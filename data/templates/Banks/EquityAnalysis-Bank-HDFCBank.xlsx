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filterPrivacy="1" defaultThemeVersion="124226"/>
  <xr:revisionPtr revIDLastSave="0" documentId="13_ncr:1_{4CD541FD-1598-D643-90E0-C82D8C74E204}" xr6:coauthVersionLast="47" xr6:coauthVersionMax="47" xr10:uidLastSave="{00000000-0000-0000-0000-000000000000}"/>
  <bookViews>
    <workbookView xWindow="0" yWindow="660" windowWidth="30240" windowHeight="17240" tabRatio="430" xr2:uid="{00000000-000D-0000-FFFF-FFFF00000000}"/>
  </bookViews>
  <sheets>
    <sheet name="Forecast" sheetId="18" r:id="rId1"/>
    <sheet name="Sheet1" sheetId="11" state="hidden" r:id="rId2"/>
    <sheet name="IOB" sheetId="9" state="hidden" r:id="rId3"/>
    <sheet name="Template" sheetId="1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0" i="18" l="1"/>
  <c r="G277" i="18" l="1"/>
  <c r="G59" i="18"/>
  <c r="G57" i="18"/>
  <c r="G29" i="18"/>
  <c r="G27" i="18"/>
  <c r="G25" i="18"/>
  <c r="H47" i="18"/>
  <c r="G47" i="18" s="1"/>
  <c r="G7" i="18"/>
  <c r="G6" i="18"/>
  <c r="Y216" i="18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Y64" i="18"/>
  <c r="Y62" i="18"/>
  <c r="Y60" i="18"/>
  <c r="Y58" i="18"/>
  <c r="Y56" i="18"/>
  <c r="Y54" i="18"/>
  <c r="Y50" i="18"/>
  <c r="Y48" i="18"/>
  <c r="Y46" i="18"/>
  <c r="Y44" i="18"/>
  <c r="Y39" i="18"/>
  <c r="Y37" i="18"/>
  <c r="Y30" i="18"/>
  <c r="Y28" i="18"/>
  <c r="Y26" i="18"/>
  <c r="Y11" i="18"/>
  <c r="Y8" i="18"/>
  <c r="R253" i="18"/>
  <c r="R254" i="18"/>
  <c r="R255" i="18"/>
  <c r="W253" i="18"/>
  <c r="X253" i="18"/>
  <c r="W254" i="18"/>
  <c r="X254" i="18"/>
  <c r="W255" i="18"/>
  <c r="X255" i="18"/>
  <c r="W215" i="18"/>
  <c r="W216" i="18"/>
  <c r="W8" i="18"/>
  <c r="W11" i="18"/>
  <c r="W26" i="18"/>
  <c r="W28" i="18"/>
  <c r="W30" i="18"/>
  <c r="W37" i="18"/>
  <c r="W39" i="18"/>
  <c r="W44" i="18"/>
  <c r="W46" i="18"/>
  <c r="W48" i="18"/>
  <c r="W50" i="18"/>
  <c r="W54" i="18"/>
  <c r="W56" i="18"/>
  <c r="W58" i="18"/>
  <c r="W60" i="18"/>
  <c r="W62" i="18"/>
  <c r="W64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94" i="18"/>
  <c r="W96" i="18"/>
  <c r="W97" i="18"/>
  <c r="W98" i="18"/>
  <c r="W99" i="18"/>
  <c r="W100" i="18"/>
  <c r="W102" i="18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3" i="18"/>
  <c r="W144" i="18" s="1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68" i="18"/>
  <c r="W170" i="18"/>
  <c r="W171" i="18"/>
  <c r="X207" i="18"/>
  <c r="X220" i="18" s="1"/>
  <c r="X221" i="18" s="1"/>
  <c r="Z209" i="18"/>
  <c r="Z213" i="18"/>
  <c r="X215" i="18"/>
  <c r="Z215" i="18"/>
  <c r="X216" i="18"/>
  <c r="Z216" i="18"/>
  <c r="X218" i="18"/>
  <c r="AA6" i="18"/>
  <c r="X26" i="18"/>
  <c r="Z26" i="18"/>
  <c r="X28" i="18"/>
  <c r="Z28" i="18"/>
  <c r="X30" i="18"/>
  <c r="Z30" i="18"/>
  <c r="X37" i="18"/>
  <c r="Z37" i="18"/>
  <c r="X39" i="18"/>
  <c r="Z39" i="18"/>
  <c r="X44" i="18"/>
  <c r="Z44" i="18"/>
  <c r="X46" i="18"/>
  <c r="Z46" i="18"/>
  <c r="X48" i="18"/>
  <c r="Z48" i="18"/>
  <c r="X50" i="18"/>
  <c r="Z50" i="18"/>
  <c r="X54" i="18"/>
  <c r="Z54" i="18"/>
  <c r="X56" i="18"/>
  <c r="Z56" i="18"/>
  <c r="X58" i="18"/>
  <c r="Z58" i="18"/>
  <c r="X60" i="18"/>
  <c r="Z60" i="18"/>
  <c r="X62" i="18"/>
  <c r="Z62" i="18"/>
  <c r="X64" i="18"/>
  <c r="Z64" i="18"/>
  <c r="X70" i="18"/>
  <c r="X206" i="18" s="1"/>
  <c r="Z70" i="18"/>
  <c r="Z206" i="18" s="1"/>
  <c r="X71" i="18"/>
  <c r="Z71" i="18"/>
  <c r="X72" i="18"/>
  <c r="X114" i="18" s="1"/>
  <c r="Z72" i="18"/>
  <c r="Z114" i="18" s="1"/>
  <c r="X74" i="18"/>
  <c r="X208" i="18" s="1"/>
  <c r="Z74" i="18"/>
  <c r="Z208" i="18" s="1"/>
  <c r="X75" i="18"/>
  <c r="X209" i="18" s="1"/>
  <c r="Z75" i="18"/>
  <c r="X76" i="18"/>
  <c r="Z76" i="18"/>
  <c r="Z207" i="18" s="1"/>
  <c r="X77" i="18"/>
  <c r="Z77" i="18"/>
  <c r="X78" i="18"/>
  <c r="Z78" i="18"/>
  <c r="X79" i="18"/>
  <c r="X210" i="18" s="1"/>
  <c r="Z79" i="18"/>
  <c r="Z210" i="18" s="1"/>
  <c r="X80" i="18"/>
  <c r="Z80" i="18"/>
  <c r="X82" i="18"/>
  <c r="Z82" i="18"/>
  <c r="X83" i="18"/>
  <c r="Z83" i="18"/>
  <c r="X84" i="18"/>
  <c r="X213" i="18" s="1"/>
  <c r="Z84" i="18"/>
  <c r="X86" i="18"/>
  <c r="Z86" i="18"/>
  <c r="X87" i="18"/>
  <c r="Z87" i="18"/>
  <c r="X89" i="18"/>
  <c r="Z89" i="18"/>
  <c r="X90" i="18"/>
  <c r="X212" i="18" s="1"/>
  <c r="Z90" i="18"/>
  <c r="Z212" i="18" s="1"/>
  <c r="X92" i="18"/>
  <c r="X143" i="18" s="1"/>
  <c r="X144" i="18" s="1"/>
  <c r="Z92" i="18"/>
  <c r="Z143" i="18" s="1"/>
  <c r="Z144" i="18" s="1"/>
  <c r="X94" i="18"/>
  <c r="X96" i="18" s="1"/>
  <c r="Z94" i="18"/>
  <c r="Z96" i="18"/>
  <c r="X97" i="18"/>
  <c r="Z97" i="18"/>
  <c r="X98" i="18"/>
  <c r="Z98" i="18"/>
  <c r="X99" i="18"/>
  <c r="Z99" i="18"/>
  <c r="X100" i="18"/>
  <c r="Z100" i="18"/>
  <c r="X102" i="18"/>
  <c r="X168" i="18" s="1"/>
  <c r="Z102" i="18"/>
  <c r="Z168" i="18" s="1"/>
  <c r="X103" i="18"/>
  <c r="Z103" i="18"/>
  <c r="X104" i="18"/>
  <c r="Z104" i="18"/>
  <c r="X106" i="18"/>
  <c r="Z106" i="18"/>
  <c r="X109" i="18"/>
  <c r="Z109" i="18"/>
  <c r="X110" i="18"/>
  <c r="Z110" i="18"/>
  <c r="X111" i="18"/>
  <c r="Z111" i="18"/>
  <c r="X112" i="18"/>
  <c r="Z112" i="18"/>
  <c r="X113" i="18"/>
  <c r="Z113" i="18"/>
  <c r="X116" i="18"/>
  <c r="X122" i="18" s="1"/>
  <c r="Z116" i="18"/>
  <c r="Z122" i="18" s="1"/>
  <c r="X117" i="18"/>
  <c r="X123" i="18" s="1"/>
  <c r="Z117" i="18"/>
  <c r="Z123" i="18" s="1"/>
  <c r="X118" i="18"/>
  <c r="X124" i="18" s="1"/>
  <c r="Z118" i="18"/>
  <c r="Z124" i="18" s="1"/>
  <c r="X119" i="18"/>
  <c r="X125" i="18" s="1"/>
  <c r="Z119" i="18"/>
  <c r="Z125" i="18" s="1"/>
  <c r="X120" i="18"/>
  <c r="X126" i="18" s="1"/>
  <c r="Z120" i="18"/>
  <c r="Z126" i="18" s="1"/>
  <c r="X128" i="18"/>
  <c r="Z128" i="18"/>
  <c r="X129" i="18"/>
  <c r="Z129" i="18"/>
  <c r="X130" i="18"/>
  <c r="Z130" i="18"/>
  <c r="X131" i="18"/>
  <c r="Z131" i="18"/>
  <c r="X132" i="18"/>
  <c r="Z132" i="18"/>
  <c r="X133" i="18"/>
  <c r="Z133" i="18"/>
  <c r="X134" i="18"/>
  <c r="Z134" i="18"/>
  <c r="X135" i="18"/>
  <c r="Z135" i="18"/>
  <c r="X136" i="18"/>
  <c r="Z136" i="18"/>
  <c r="X138" i="18"/>
  <c r="Z138" i="18"/>
  <c r="X139" i="18"/>
  <c r="Z139" i="18"/>
  <c r="X140" i="18"/>
  <c r="Z140" i="18"/>
  <c r="X141" i="18"/>
  <c r="Z141" i="18"/>
  <c r="X149" i="18"/>
  <c r="Z149" i="18"/>
  <c r="X150" i="18"/>
  <c r="Z150" i="18"/>
  <c r="X151" i="18"/>
  <c r="Z151" i="18"/>
  <c r="X153" i="18"/>
  <c r="Z153" i="18"/>
  <c r="X154" i="18"/>
  <c r="Z154" i="18"/>
  <c r="X155" i="18"/>
  <c r="Z155" i="18"/>
  <c r="X158" i="18"/>
  <c r="Z158" i="18"/>
  <c r="X159" i="18"/>
  <c r="Z159" i="18"/>
  <c r="X160" i="18"/>
  <c r="Z160" i="18"/>
  <c r="X161" i="18"/>
  <c r="Z161" i="18"/>
  <c r="X163" i="18"/>
  <c r="Z163" i="18"/>
  <c r="X164" i="18"/>
  <c r="Z164" i="18"/>
  <c r="X166" i="18"/>
  <c r="X167" i="18" s="1"/>
  <c r="Z166" i="18"/>
  <c r="Z167" i="18"/>
  <c r="X170" i="18"/>
  <c r="Z170" i="18"/>
  <c r="X171" i="18"/>
  <c r="Z171" i="18"/>
  <c r="Z11" i="18"/>
  <c r="X11" i="18"/>
  <c r="X8" i="18"/>
  <c r="Z88" i="18" l="1"/>
  <c r="Z211" i="18" s="1"/>
  <c r="Y88" i="18"/>
  <c r="Y211" i="18" s="1"/>
  <c r="X88" i="18"/>
  <c r="X211" i="18" s="1"/>
  <c r="W218" i="18"/>
  <c r="Z220" i="18"/>
  <c r="Z221" i="18" s="1"/>
  <c r="Z219" i="18"/>
  <c r="Z218" i="18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Z145" i="18"/>
  <c r="Z146" i="18" s="1"/>
  <c r="Z147" i="18"/>
  <c r="X147" i="18"/>
  <c r="X145" i="18"/>
  <c r="X146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S72" i="18"/>
  <c r="S114" i="18" s="1"/>
  <c r="T72" i="18"/>
  <c r="U72" i="18"/>
  <c r="U114" i="18" s="1"/>
  <c r="V72" i="18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S87" i="18"/>
  <c r="T87" i="18"/>
  <c r="U87" i="18"/>
  <c r="V87" i="18"/>
  <c r="T88" i="18"/>
  <c r="T211" i="18" s="1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U143" i="18" s="1"/>
  <c r="U144" i="18" s="1"/>
  <c r="V92" i="18"/>
  <c r="V143" i="18" s="1"/>
  <c r="V144" i="18" s="1"/>
  <c r="R94" i="18"/>
  <c r="R96" i="18" s="1"/>
  <c r="S94" i="18"/>
  <c r="S96" i="18" s="1"/>
  <c r="T94" i="18"/>
  <c r="U94" i="18"/>
  <c r="V94" i="18"/>
  <c r="V96" i="18" s="1"/>
  <c r="T96" i="18"/>
  <c r="U96" i="18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S102" i="18"/>
  <c r="S168" i="18" s="1"/>
  <c r="T102" i="18"/>
  <c r="T168" i="18" s="1"/>
  <c r="U102" i="18"/>
  <c r="U168" i="18" s="1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T114" i="18"/>
  <c r="V114" i="18"/>
  <c r="R116" i="18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T117" i="18"/>
  <c r="T123" i="18" s="1"/>
  <c r="U117" i="18"/>
  <c r="U123" i="18" s="1"/>
  <c r="V117" i="18"/>
  <c r="V123" i="18" s="1"/>
  <c r="R118" i="18"/>
  <c r="R124" i="18" s="1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V125" i="18" s="1"/>
  <c r="R120" i="18"/>
  <c r="S120" i="18"/>
  <c r="S126" i="18" s="1"/>
  <c r="T120" i="18"/>
  <c r="T126" i="18" s="1"/>
  <c r="U120" i="18"/>
  <c r="U126" i="18" s="1"/>
  <c r="V120" i="18"/>
  <c r="V126" i="18" s="1"/>
  <c r="R122" i="18"/>
  <c r="S123" i="18"/>
  <c r="R126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U166" i="18"/>
  <c r="U167" i="18" s="1"/>
  <c r="V166" i="18"/>
  <c r="V167" i="18" s="1"/>
  <c r="T167" i="18"/>
  <c r="R168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U8" i="18"/>
  <c r="V8" i="18"/>
  <c r="Z8" i="18"/>
  <c r="R11" i="18"/>
  <c r="S11" i="18"/>
  <c r="T11" i="18"/>
  <c r="U11" i="18"/>
  <c r="V11" i="18"/>
  <c r="R26" i="18"/>
  <c r="S26" i="18"/>
  <c r="T26" i="18"/>
  <c r="U26" i="18"/>
  <c r="V26" i="18"/>
  <c r="R28" i="18"/>
  <c r="S28" i="18"/>
  <c r="T28" i="18"/>
  <c r="U28" i="18"/>
  <c r="V28" i="18"/>
  <c r="R30" i="18"/>
  <c r="S30" i="18"/>
  <c r="T30" i="18"/>
  <c r="U30" i="18"/>
  <c r="V30" i="18"/>
  <c r="R37" i="18"/>
  <c r="S37" i="18"/>
  <c r="T37" i="18"/>
  <c r="U37" i="18"/>
  <c r="V37" i="18"/>
  <c r="R39" i="18"/>
  <c r="S39" i="18"/>
  <c r="T39" i="18"/>
  <c r="U39" i="18"/>
  <c r="V39" i="18"/>
  <c r="R44" i="18"/>
  <c r="S44" i="18"/>
  <c r="T44" i="18"/>
  <c r="U44" i="18"/>
  <c r="V44" i="18"/>
  <c r="R46" i="18"/>
  <c r="S46" i="18"/>
  <c r="T46" i="18"/>
  <c r="U46" i="18"/>
  <c r="V46" i="18"/>
  <c r="R48" i="18"/>
  <c r="S48" i="18"/>
  <c r="T48" i="18"/>
  <c r="U48" i="18"/>
  <c r="V48" i="18"/>
  <c r="R50" i="18"/>
  <c r="S50" i="18"/>
  <c r="T50" i="18"/>
  <c r="U50" i="18"/>
  <c r="V50" i="18"/>
  <c r="R54" i="18"/>
  <c r="S54" i="18"/>
  <c r="T54" i="18"/>
  <c r="U54" i="18"/>
  <c r="V54" i="18"/>
  <c r="R56" i="18"/>
  <c r="S56" i="18"/>
  <c r="T56" i="18"/>
  <c r="U56" i="18"/>
  <c r="V56" i="18"/>
  <c r="R58" i="18"/>
  <c r="S58" i="18"/>
  <c r="T58" i="18"/>
  <c r="U58" i="18"/>
  <c r="V58" i="18"/>
  <c r="R60" i="18"/>
  <c r="S60" i="18"/>
  <c r="T60" i="18"/>
  <c r="U60" i="18"/>
  <c r="V60" i="18"/>
  <c r="R62" i="18"/>
  <c r="S62" i="18"/>
  <c r="T62" i="18"/>
  <c r="U62" i="18"/>
  <c r="V62" i="18"/>
  <c r="R64" i="18"/>
  <c r="S64" i="18"/>
  <c r="T64" i="18"/>
  <c r="U64" i="18"/>
  <c r="V64" i="18"/>
  <c r="S207" i="18" l="1"/>
  <c r="S220" i="18" s="1"/>
  <c r="S221" i="18" s="1"/>
  <c r="V207" i="18"/>
  <c r="V219" i="18" s="1"/>
  <c r="R207" i="18"/>
  <c r="S88" i="18"/>
  <c r="S211" i="18" s="1"/>
  <c r="V220" i="18"/>
  <c r="V221" i="18" s="1"/>
  <c r="R88" i="18"/>
  <c r="R211" i="18" s="1"/>
  <c r="Y220" i="18"/>
  <c r="Y221" i="18" s="1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C52" i="18"/>
  <c r="AC61" i="18"/>
  <c r="AC63" i="18"/>
  <c r="S219" i="18" l="1"/>
  <c r="R220" i="18"/>
  <c r="R221" i="18" s="1"/>
  <c r="R219" i="18"/>
  <c r="Z255" i="18"/>
  <c r="Z254" i="18"/>
  <c r="Z253" i="18"/>
  <c r="G106" i="18"/>
  <c r="H106" i="18"/>
  <c r="I106" i="18"/>
  <c r="J106" i="18"/>
  <c r="K106" i="18"/>
  <c r="L106" i="18"/>
  <c r="M106" i="18"/>
  <c r="N106" i="18"/>
  <c r="O106" i="18"/>
  <c r="P106" i="18"/>
  <c r="Q106" i="18"/>
  <c r="U174" i="18"/>
  <c r="AN110" i="18"/>
  <c r="AN111" i="18"/>
  <c r="AN112" i="18"/>
  <c r="AN113" i="18"/>
  <c r="AN114" i="18"/>
  <c r="AN116" i="18"/>
  <c r="AN117" i="18"/>
  <c r="AN118" i="18"/>
  <c r="AN119" i="18"/>
  <c r="AN120" i="18"/>
  <c r="AN122" i="18"/>
  <c r="AN123" i="18"/>
  <c r="AN124" i="18"/>
  <c r="AN125" i="18"/>
  <c r="AN126" i="18"/>
  <c r="AN128" i="18"/>
  <c r="AN129" i="18"/>
  <c r="AN130" i="18"/>
  <c r="AN131" i="18"/>
  <c r="AN132" i="18"/>
  <c r="AN133" i="18"/>
  <c r="AN134" i="18"/>
  <c r="AN135" i="18"/>
  <c r="AN136" i="18"/>
  <c r="AN138" i="18"/>
  <c r="AN139" i="18"/>
  <c r="AN140" i="18"/>
  <c r="AN141" i="18"/>
  <c r="AN143" i="18"/>
  <c r="AN144" i="18"/>
  <c r="AN145" i="18"/>
  <c r="AN146" i="18"/>
  <c r="AN147" i="18"/>
  <c r="AN149" i="18"/>
  <c r="AN150" i="18"/>
  <c r="AN151" i="18"/>
  <c r="AN153" i="18"/>
  <c r="AN154" i="18"/>
  <c r="AN155" i="18"/>
  <c r="AN158" i="18"/>
  <c r="AN159" i="18"/>
  <c r="AN160" i="18"/>
  <c r="AN161" i="18"/>
  <c r="AN163" i="18"/>
  <c r="AN164" i="18"/>
  <c r="AN166" i="18"/>
  <c r="AN167" i="18"/>
  <c r="AN168" i="18"/>
  <c r="AN170" i="18"/>
  <c r="AN171" i="18"/>
  <c r="AN109" i="18"/>
  <c r="AN106" i="18"/>
  <c r="AN90" i="18"/>
  <c r="AA73" i="18"/>
  <c r="AA81" i="18"/>
  <c r="AA85" i="18"/>
  <c r="AA91" i="18"/>
  <c r="AA93" i="18"/>
  <c r="AA95" i="18"/>
  <c r="AA101" i="18"/>
  <c r="AA105" i="18"/>
  <c r="AA106" i="18"/>
  <c r="AA107" i="18"/>
  <c r="AA108" i="18"/>
  <c r="AA115" i="18"/>
  <c r="AA121" i="18"/>
  <c r="AA127" i="18"/>
  <c r="AA137" i="18"/>
  <c r="AA142" i="18"/>
  <c r="AA148" i="18"/>
  <c r="AA152" i="18"/>
  <c r="AA156" i="18"/>
  <c r="AA157" i="18"/>
  <c r="AA162" i="18"/>
  <c r="AA165" i="18"/>
  <c r="AA169" i="18"/>
  <c r="AA13" i="18"/>
  <c r="AA14" i="18"/>
  <c r="AA15" i="18"/>
  <c r="AA16" i="18"/>
  <c r="AA18" i="18"/>
  <c r="AA20" i="18"/>
  <c r="AA21" i="18"/>
  <c r="AA22" i="18"/>
  <c r="AA23" i="18"/>
  <c r="AA25" i="18"/>
  <c r="AA27" i="18"/>
  <c r="AA29" i="18"/>
  <c r="AA31" i="18"/>
  <c r="AA32" i="18"/>
  <c r="AA33" i="18"/>
  <c r="AA34" i="18"/>
  <c r="AA47" i="18"/>
  <c r="AA52" i="18"/>
  <c r="AA53" i="18"/>
  <c r="AA55" i="18"/>
  <c r="AA57" i="18"/>
  <c r="AA59" i="18"/>
  <c r="R238" i="18" s="1"/>
  <c r="AA61" i="18"/>
  <c r="AA63" i="18"/>
  <c r="AA65" i="18"/>
  <c r="AA66" i="18"/>
  <c r="AA67" i="18"/>
  <c r="AA12" i="18"/>
  <c r="AA10" i="18"/>
  <c r="AA9" i="18"/>
  <c r="AA7" i="18"/>
  <c r="C1" i="18"/>
  <c r="T174" i="18" l="1"/>
  <c r="W224" i="18"/>
  <c r="W223" i="18" s="1"/>
  <c r="Y224" i="18"/>
  <c r="W229" i="18"/>
  <c r="Y229" i="18"/>
  <c r="W230" i="18"/>
  <c r="W231" i="18" s="1"/>
  <c r="W228" i="18"/>
  <c r="X229" i="18"/>
  <c r="Z229" i="18"/>
  <c r="Z224" i="18"/>
  <c r="X224" i="18"/>
  <c r="T229" i="18"/>
  <c r="R229" i="18"/>
  <c r="U229" i="18"/>
  <c r="V229" i="18"/>
  <c r="S229" i="18"/>
  <c r="R224" i="18"/>
  <c r="V224" i="18"/>
  <c r="T224" i="18"/>
  <c r="U224" i="18"/>
  <c r="S224" i="18"/>
  <c r="AN47" i="18"/>
  <c r="AB47" i="18"/>
  <c r="Q48" i="18"/>
  <c r="P48" i="18"/>
  <c r="O48" i="18"/>
  <c r="N48" i="18"/>
  <c r="M48" i="18"/>
  <c r="L48" i="18"/>
  <c r="K48" i="18"/>
  <c r="J48" i="18"/>
  <c r="I48" i="18"/>
  <c r="H48" i="18"/>
  <c r="G48" i="18"/>
  <c r="AN57" i="18"/>
  <c r="AB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AA255" i="18" s="1"/>
  <c r="V254" i="18"/>
  <c r="AA254" i="18" s="1"/>
  <c r="V253" i="18"/>
  <c r="AA253" i="18"/>
  <c r="AA205" i="18"/>
  <c r="T249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W225" i="18" l="1"/>
  <c r="W226" i="18" s="1"/>
  <c r="Y228" i="18"/>
  <c r="Y230" i="18"/>
  <c r="Y231" i="18" s="1"/>
  <c r="AC57" i="18"/>
  <c r="AD57" i="18" s="1"/>
  <c r="AE57" i="18" s="1"/>
  <c r="AF57" i="18" s="1"/>
  <c r="AG57" i="18" s="1"/>
  <c r="AH57" i="18" s="1"/>
  <c r="AI57" i="18" s="1"/>
  <c r="AJ57" i="18" s="1"/>
  <c r="AK57" i="18" s="1"/>
  <c r="AL57" i="18" s="1"/>
  <c r="AC47" i="18"/>
  <c r="AD47" i="18" s="1"/>
  <c r="AE47" i="18" s="1"/>
  <c r="AF47" i="18" s="1"/>
  <c r="AG47" i="18" s="1"/>
  <c r="AH47" i="18" s="1"/>
  <c r="AI47" i="18" s="1"/>
  <c r="AJ47" i="18" s="1"/>
  <c r="AK47" i="18" s="1"/>
  <c r="AL47" i="18" s="1"/>
  <c r="Y223" i="18"/>
  <c r="Y225" i="18"/>
  <c r="Y226" i="18" s="1"/>
  <c r="X230" i="18"/>
  <c r="X231" i="18" s="1"/>
  <c r="X228" i="18"/>
  <c r="Z228" i="18"/>
  <c r="Z230" i="18"/>
  <c r="Z231" i="18" s="1"/>
  <c r="Z223" i="18"/>
  <c r="Z225" i="18"/>
  <c r="Z226" i="18" s="1"/>
  <c r="X223" i="18"/>
  <c r="X225" i="18"/>
  <c r="X226" i="18" s="1"/>
  <c r="U228" i="18"/>
  <c r="U230" i="18"/>
  <c r="U231" i="18" s="1"/>
  <c r="S223" i="18"/>
  <c r="S225" i="18"/>
  <c r="S226" i="18" s="1"/>
  <c r="R223" i="18"/>
  <c r="R225" i="18"/>
  <c r="R226" i="18" s="1"/>
  <c r="U223" i="18"/>
  <c r="U225" i="18"/>
  <c r="U226" i="18" s="1"/>
  <c r="S228" i="18"/>
  <c r="S230" i="18"/>
  <c r="S231" i="18" s="1"/>
  <c r="R228" i="18"/>
  <c r="R230" i="18"/>
  <c r="R231" i="18" s="1"/>
  <c r="V223" i="18"/>
  <c r="V225" i="18"/>
  <c r="V226" i="18" s="1"/>
  <c r="T223" i="18"/>
  <c r="T225" i="18"/>
  <c r="T226" i="18" s="1"/>
  <c r="V228" i="18"/>
  <c r="V230" i="18"/>
  <c r="V231" i="18" s="1"/>
  <c r="T228" i="18"/>
  <c r="T230" i="18"/>
  <c r="T231" i="18" s="1"/>
  <c r="T250" i="18"/>
  <c r="G215" i="18"/>
  <c r="AA215" i="18" s="1"/>
  <c r="G216" i="18"/>
  <c r="G62" i="18"/>
  <c r="G64" i="18"/>
  <c r="G70" i="18"/>
  <c r="G71" i="18"/>
  <c r="AA71" i="18" s="1"/>
  <c r="G72" i="18"/>
  <c r="G74" i="18"/>
  <c r="G75" i="18"/>
  <c r="G76" i="18"/>
  <c r="AA76" i="18" s="1"/>
  <c r="G77" i="18"/>
  <c r="AA77" i="18" s="1"/>
  <c r="G78" i="18"/>
  <c r="AA78" i="18" s="1"/>
  <c r="G79" i="18"/>
  <c r="G80" i="18"/>
  <c r="AA80" i="18" s="1"/>
  <c r="G82" i="18"/>
  <c r="AA82" i="18" s="1"/>
  <c r="G83" i="18"/>
  <c r="AA83" i="18" s="1"/>
  <c r="G84" i="18"/>
  <c r="G86" i="18"/>
  <c r="AA86" i="18" s="1"/>
  <c r="G87" i="18"/>
  <c r="AA87" i="18" s="1"/>
  <c r="G89" i="18"/>
  <c r="AA89" i="18" s="1"/>
  <c r="G90" i="18"/>
  <c r="G92" i="18"/>
  <c r="G94" i="18"/>
  <c r="G97" i="18"/>
  <c r="AA97" i="18" s="1"/>
  <c r="G98" i="18"/>
  <c r="AA98" i="18" s="1"/>
  <c r="G99" i="18"/>
  <c r="AA99" i="18" s="1"/>
  <c r="G100" i="18"/>
  <c r="AA100" i="18" s="1"/>
  <c r="G102" i="18"/>
  <c r="G103" i="18"/>
  <c r="AA103" i="18" s="1"/>
  <c r="G104" i="18"/>
  <c r="AA104" i="18" s="1"/>
  <c r="G109" i="18"/>
  <c r="AA109" i="18" s="1"/>
  <c r="G110" i="18"/>
  <c r="AA110" i="18" s="1"/>
  <c r="G111" i="18"/>
  <c r="AA111" i="18" s="1"/>
  <c r="G112" i="18"/>
  <c r="AA112" i="18" s="1"/>
  <c r="G113" i="18"/>
  <c r="AA113" i="18" s="1"/>
  <c r="G116" i="18"/>
  <c r="G117" i="18"/>
  <c r="G118" i="18"/>
  <c r="G119" i="18"/>
  <c r="G120" i="18"/>
  <c r="G138" i="18"/>
  <c r="AA138" i="18" s="1"/>
  <c r="G139" i="18"/>
  <c r="AA139" i="18" s="1"/>
  <c r="G140" i="18"/>
  <c r="AA140" i="18" s="1"/>
  <c r="G141" i="18"/>
  <c r="AA141" i="18" s="1"/>
  <c r="G149" i="18"/>
  <c r="AA149" i="18" s="1"/>
  <c r="G150" i="18"/>
  <c r="AA150" i="18" s="1"/>
  <c r="G151" i="18"/>
  <c r="AA151" i="18" s="1"/>
  <c r="G153" i="18"/>
  <c r="AA153" i="18" s="1"/>
  <c r="G154" i="18"/>
  <c r="AA154" i="18" s="1"/>
  <c r="G155" i="18"/>
  <c r="AA155" i="18" s="1"/>
  <c r="G158" i="18"/>
  <c r="AA158" i="18" s="1"/>
  <c r="G159" i="18"/>
  <c r="AA159" i="18" s="1"/>
  <c r="G160" i="18"/>
  <c r="AA160" i="18" s="1"/>
  <c r="G161" i="18"/>
  <c r="AA161" i="18" s="1"/>
  <c r="G163" i="18"/>
  <c r="AA163" i="18" s="1"/>
  <c r="G164" i="18"/>
  <c r="AA164" i="18" s="1"/>
  <c r="G166" i="18"/>
  <c r="G170" i="18"/>
  <c r="AA170" i="18" s="1"/>
  <c r="G171" i="18"/>
  <c r="AA171" i="18" s="1"/>
  <c r="AN236" i="18"/>
  <c r="AN235" i="18"/>
  <c r="AN234" i="18"/>
  <c r="AN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AM47" i="18" l="1"/>
  <c r="AO47" i="18"/>
  <c r="AO57" i="18"/>
  <c r="AM57" i="18"/>
  <c r="AA216" i="18"/>
  <c r="G238" i="18"/>
  <c r="G126" i="18"/>
  <c r="AA126" i="18" s="1"/>
  <c r="AA120" i="18"/>
  <c r="G124" i="18"/>
  <c r="AA124" i="18" s="1"/>
  <c r="AA118" i="18"/>
  <c r="G122" i="18"/>
  <c r="AA122" i="18" s="1"/>
  <c r="AA116" i="18"/>
  <c r="G168" i="18"/>
  <c r="AA168" i="18" s="1"/>
  <c r="AA102" i="18"/>
  <c r="G143" i="18"/>
  <c r="AA92" i="18"/>
  <c r="G208" i="18"/>
  <c r="AA208" i="18" s="1"/>
  <c r="AA74" i="18"/>
  <c r="G167" i="18"/>
  <c r="AA167" i="18" s="1"/>
  <c r="AA166" i="18"/>
  <c r="G125" i="18"/>
  <c r="AA125" i="18" s="1"/>
  <c r="AA119" i="18"/>
  <c r="G123" i="18"/>
  <c r="AA123" i="18" s="1"/>
  <c r="AA117" i="18"/>
  <c r="G96" i="18"/>
  <c r="AA96" i="18" s="1"/>
  <c r="AA94" i="18"/>
  <c r="G212" i="18"/>
  <c r="AA212" i="18" s="1"/>
  <c r="AA90" i="18"/>
  <c r="G213" i="18"/>
  <c r="AA213" i="18" s="1"/>
  <c r="AA84" i="18"/>
  <c r="G210" i="18"/>
  <c r="AA210" i="18" s="1"/>
  <c r="AA79" i="18"/>
  <c r="G209" i="18"/>
  <c r="AA209" i="18" s="1"/>
  <c r="AA75" i="18"/>
  <c r="G114" i="18"/>
  <c r="AA114" i="18" s="1"/>
  <c r="AA72" i="18"/>
  <c r="G206" i="18"/>
  <c r="AA206" i="18" s="1"/>
  <c r="AA70" i="18"/>
  <c r="G207" i="18"/>
  <c r="G219" i="18" s="1"/>
  <c r="AA219" i="18" s="1"/>
  <c r="G88" i="18"/>
  <c r="AA88" i="18" s="1"/>
  <c r="G218" i="18"/>
  <c r="AA218" i="18" s="1"/>
  <c r="G144" i="18" l="1"/>
  <c r="AA143" i="18"/>
  <c r="G211" i="18"/>
  <c r="AA211" i="18" s="1"/>
  <c r="G220" i="18"/>
  <c r="AA207" i="18"/>
  <c r="G145" i="18" l="1"/>
  <c r="AA144" i="18"/>
  <c r="G147" i="18"/>
  <c r="AA147" i="18" s="1"/>
  <c r="G221" i="18"/>
  <c r="AA221" i="18" s="1"/>
  <c r="AA220" i="18"/>
  <c r="G146" i="18" l="1"/>
  <c r="AA146" i="18" s="1"/>
  <c r="AA145" i="18"/>
  <c r="G280" i="18" l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H45" i="18"/>
  <c r="G45" i="18" s="1"/>
  <c r="AA45" i="18" s="1"/>
  <c r="H42" i="18"/>
  <c r="H41" i="18"/>
  <c r="H40" i="18"/>
  <c r="H38" i="18"/>
  <c r="G38" i="18" s="1"/>
  <c r="AA38" i="18" s="1"/>
  <c r="I88" i="18" l="1"/>
  <c r="I211" i="18" s="1"/>
  <c r="H88" i="18"/>
  <c r="H211" i="18" s="1"/>
  <c r="G46" i="18"/>
  <c r="G39" i="18"/>
  <c r="I147" i="18"/>
  <c r="H145" i="18"/>
  <c r="H146" i="18" s="1"/>
  <c r="H147" i="18"/>
  <c r="G40" i="18"/>
  <c r="AA40" i="18" s="1"/>
  <c r="G42" i="18"/>
  <c r="AA42" i="18" s="1"/>
  <c r="G41" i="18"/>
  <c r="AA41" i="18" s="1"/>
  <c r="H43" i="18"/>
  <c r="G43" i="18" s="1"/>
  <c r="AA43" i="18" s="1"/>
  <c r="I129" i="18"/>
  <c r="I130" i="18"/>
  <c r="I131" i="18"/>
  <c r="I132" i="18"/>
  <c r="I135" i="18"/>
  <c r="H49" i="18"/>
  <c r="G49" i="18" s="1"/>
  <c r="AA49" i="18" s="1"/>
  <c r="I133" i="18"/>
  <c r="I39" i="18"/>
  <c r="H39" i="18"/>
  <c r="H36" i="18"/>
  <c r="G36" i="18" s="1"/>
  <c r="AA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H104" i="18"/>
  <c r="H79" i="18"/>
  <c r="Q133" i="18"/>
  <c r="P133" i="18"/>
  <c r="O133" i="18"/>
  <c r="N133" i="18"/>
  <c r="M133" i="18"/>
  <c r="L133" i="18"/>
  <c r="K133" i="18"/>
  <c r="J133" i="18"/>
  <c r="AN49" i="18"/>
  <c r="AB49" i="18"/>
  <c r="AC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AD49" i="18" l="1"/>
  <c r="AE49" i="18" s="1"/>
  <c r="AF49" i="18" s="1"/>
  <c r="AG49" i="18" s="1"/>
  <c r="AH49" i="18" s="1"/>
  <c r="AI49" i="18" s="1"/>
  <c r="AJ49" i="18" s="1"/>
  <c r="AK49" i="18" s="1"/>
  <c r="AL49" i="18" s="1"/>
  <c r="G133" i="18"/>
  <c r="AA133" i="18" s="1"/>
  <c r="G50" i="18"/>
  <c r="G129" i="18"/>
  <c r="AA129" i="18" s="1"/>
  <c r="G131" i="18"/>
  <c r="AA131" i="18" s="1"/>
  <c r="G135" i="18"/>
  <c r="AA135" i="18" s="1"/>
  <c r="G44" i="18"/>
  <c r="G130" i="18"/>
  <c r="AA130" i="18" s="1"/>
  <c r="G132" i="18"/>
  <c r="AA132" i="18" s="1"/>
  <c r="G37" i="18"/>
  <c r="G128" i="18"/>
  <c r="AA128" i="18" s="1"/>
  <c r="G136" i="18"/>
  <c r="AA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Q130" i="18"/>
  <c r="P130" i="18"/>
  <c r="O130" i="18"/>
  <c r="N130" i="18"/>
  <c r="M130" i="18"/>
  <c r="L130" i="18"/>
  <c r="K130" i="18"/>
  <c r="K46" i="18"/>
  <c r="AB51" i="18"/>
  <c r="AC51" i="18" s="1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O49" i="18" l="1"/>
  <c r="AM49" i="18"/>
  <c r="J134" i="18"/>
  <c r="H221" i="18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N51" i="18"/>
  <c r="AN45" i="18"/>
  <c r="AN43" i="18"/>
  <c r="AN42" i="18"/>
  <c r="AN41" i="18"/>
  <c r="AN40" i="18"/>
  <c r="AN38" i="18"/>
  <c r="AN36" i="18"/>
  <c r="AB40" i="18"/>
  <c r="AC40" i="18" s="1"/>
  <c r="AD51" i="18"/>
  <c r="AE51" i="18" s="1"/>
  <c r="AF51" i="18" s="1"/>
  <c r="AG51" i="18" s="1"/>
  <c r="AH51" i="18" s="1"/>
  <c r="AI51" i="18" s="1"/>
  <c r="AJ51" i="18" s="1"/>
  <c r="AK51" i="18" s="1"/>
  <c r="AL51" i="18" s="1"/>
  <c r="AB45" i="18"/>
  <c r="AC45" i="18" s="1"/>
  <c r="AO51" i="18" l="1"/>
  <c r="AD45" i="18"/>
  <c r="AE45" i="18" s="1"/>
  <c r="AF45" i="18" s="1"/>
  <c r="AG45" i="18" s="1"/>
  <c r="AH45" i="18" s="1"/>
  <c r="AI45" i="18" s="1"/>
  <c r="AJ45" i="18" s="1"/>
  <c r="AK45" i="18" s="1"/>
  <c r="AL45" i="18" s="1"/>
  <c r="AD40" i="18"/>
  <c r="AE40" i="18" s="1"/>
  <c r="AF40" i="18" s="1"/>
  <c r="AG40" i="18" s="1"/>
  <c r="AH40" i="18" s="1"/>
  <c r="AI40" i="18" s="1"/>
  <c r="AJ40" i="18" s="1"/>
  <c r="AK40" i="18" s="1"/>
  <c r="AL40" i="18" s="1"/>
  <c r="H51" i="18"/>
  <c r="G51" i="18" s="1"/>
  <c r="AA51" i="18" s="1"/>
  <c r="I134" i="18"/>
  <c r="AB43" i="18"/>
  <c r="AC43" i="18" s="1"/>
  <c r="AB42" i="18"/>
  <c r="AC42" i="18" s="1"/>
  <c r="AB41" i="18"/>
  <c r="AC41" i="18" s="1"/>
  <c r="AB38" i="18"/>
  <c r="AC38" i="18" s="1"/>
  <c r="AB36" i="18"/>
  <c r="AC36" i="18" s="1"/>
  <c r="AM51" i="18" l="1"/>
  <c r="AO40" i="18"/>
  <c r="AM40" i="18"/>
  <c r="AO45" i="18"/>
  <c r="AM45" i="18"/>
  <c r="AD42" i="18"/>
  <c r="AE42" i="18" s="1"/>
  <c r="AF42" i="18" s="1"/>
  <c r="AG42" i="18" s="1"/>
  <c r="AH42" i="18" s="1"/>
  <c r="AI42" i="18" s="1"/>
  <c r="AJ42" i="18" s="1"/>
  <c r="AK42" i="18" s="1"/>
  <c r="AL42" i="18" s="1"/>
  <c r="G134" i="18"/>
  <c r="AA134" i="18" s="1"/>
  <c r="AD41" i="18"/>
  <c r="AE41" i="18" s="1"/>
  <c r="AF41" i="18" s="1"/>
  <c r="AG41" i="18" s="1"/>
  <c r="AH41" i="18" s="1"/>
  <c r="AI41" i="18" s="1"/>
  <c r="AJ41" i="18" s="1"/>
  <c r="AK41" i="18" s="1"/>
  <c r="AL41" i="18" s="1"/>
  <c r="AC130" i="18"/>
  <c r="H134" i="18"/>
  <c r="AD38" i="18"/>
  <c r="AC131" i="18"/>
  <c r="AD36" i="18"/>
  <c r="B219" i="18"/>
  <c r="AN231" i="18"/>
  <c r="AN228" i="18"/>
  <c r="AN230" i="18"/>
  <c r="AN229" i="18"/>
  <c r="AN226" i="18"/>
  <c r="AN225" i="18"/>
  <c r="AN224" i="18"/>
  <c r="AN223" i="18"/>
  <c r="AN218" i="18"/>
  <c r="AN221" i="18"/>
  <c r="AN220" i="18"/>
  <c r="AN219" i="18"/>
  <c r="AN216" i="18"/>
  <c r="AN215" i="18"/>
  <c r="AN212" i="18"/>
  <c r="AN211" i="18"/>
  <c r="AN213" i="18"/>
  <c r="AN210" i="18"/>
  <c r="AN209" i="18"/>
  <c r="AN208" i="18"/>
  <c r="AN207" i="18"/>
  <c r="AN206" i="18"/>
  <c r="AN205" i="18"/>
  <c r="AO228" i="18"/>
  <c r="AC132" i="18" l="1"/>
  <c r="AD43" i="18"/>
  <c r="AE43" i="18" s="1"/>
  <c r="AF43" i="18" s="1"/>
  <c r="AG43" i="18" s="1"/>
  <c r="AH43" i="18" s="1"/>
  <c r="AI43" i="18" s="1"/>
  <c r="AJ43" i="18" s="1"/>
  <c r="AK43" i="18" s="1"/>
  <c r="AL43" i="18" s="1"/>
  <c r="AO43" i="18" s="1"/>
  <c r="AO42" i="18"/>
  <c r="AM42" i="18"/>
  <c r="AO41" i="18"/>
  <c r="AM41" i="18"/>
  <c r="AE38" i="18"/>
  <c r="AD131" i="18"/>
  <c r="AE36" i="18"/>
  <c r="AO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D130" i="18" l="1"/>
  <c r="AM43" i="18"/>
  <c r="AD132" i="18"/>
  <c r="AF38" i="18"/>
  <c r="AE131" i="18"/>
  <c r="AF36" i="18"/>
  <c r="AE132" i="18"/>
  <c r="AE130" i="18"/>
  <c r="Q64" i="18"/>
  <c r="P64" i="18"/>
  <c r="O64" i="18"/>
  <c r="N64" i="18"/>
  <c r="M64" i="18"/>
  <c r="L64" i="18"/>
  <c r="K64" i="18"/>
  <c r="J64" i="18"/>
  <c r="AG38" i="18" l="1"/>
  <c r="AF131" i="18"/>
  <c r="AG36" i="18"/>
  <c r="AF132" i="18"/>
  <c r="AF130" i="18"/>
  <c r="AH38" i="18" l="1"/>
  <c r="AG131" i="18"/>
  <c r="AH36" i="18"/>
  <c r="AG130" i="18"/>
  <c r="AG132" i="18"/>
  <c r="G224" i="18"/>
  <c r="AA224" i="18" s="1"/>
  <c r="G229" i="18" l="1"/>
  <c r="AA229" i="18" s="1"/>
  <c r="G223" i="18"/>
  <c r="AA223" i="18" s="1"/>
  <c r="G225" i="18"/>
  <c r="AC229" i="18"/>
  <c r="AC230" i="18" s="1"/>
  <c r="AC231" i="18" s="1"/>
  <c r="H229" i="18"/>
  <c r="I229" i="18"/>
  <c r="AC224" i="18"/>
  <c r="AC225" i="18" s="1"/>
  <c r="AC226" i="18" s="1"/>
  <c r="H224" i="18"/>
  <c r="I224" i="18"/>
  <c r="AI38" i="18"/>
  <c r="AH131" i="18"/>
  <c r="AI36" i="18"/>
  <c r="AH130" i="18"/>
  <c r="AH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N75" i="18"/>
  <c r="AN74" i="18"/>
  <c r="AN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A226" i="18" s="1"/>
  <c r="AA225" i="18"/>
  <c r="AC228" i="18"/>
  <c r="G228" i="18"/>
  <c r="AA228" i="18" s="1"/>
  <c r="G230" i="18"/>
  <c r="AC223" i="18"/>
  <c r="H223" i="18"/>
  <c r="H225" i="18"/>
  <c r="I228" i="18"/>
  <c r="I230" i="18"/>
  <c r="I231" i="18" s="1"/>
  <c r="I223" i="18"/>
  <c r="I225" i="18"/>
  <c r="I226" i="18" s="1"/>
  <c r="H228" i="18"/>
  <c r="H230" i="18"/>
  <c r="AJ38" i="18"/>
  <c r="AI131" i="18"/>
  <c r="AJ36" i="18"/>
  <c r="AI132" i="18"/>
  <c r="AI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A231" i="18" s="1"/>
  <c r="AA230" i="18"/>
  <c r="H226" i="18"/>
  <c r="H231" i="18"/>
  <c r="AK38" i="18"/>
  <c r="AJ131" i="18"/>
  <c r="AK36" i="18"/>
  <c r="AJ132" i="18"/>
  <c r="AJ130" i="18"/>
  <c r="J151" i="18"/>
  <c r="K151" i="18"/>
  <c r="L151" i="18"/>
  <c r="M151" i="18"/>
  <c r="N151" i="18"/>
  <c r="O151" i="18"/>
  <c r="P151" i="18"/>
  <c r="Q151" i="18"/>
  <c r="AL38" i="18" l="1"/>
  <c r="AK131" i="18"/>
  <c r="AL36" i="18"/>
  <c r="AK130" i="18"/>
  <c r="AK132" i="18"/>
  <c r="I266" i="18"/>
  <c r="I263" i="18"/>
  <c r="I264" i="18"/>
  <c r="I265" i="18"/>
  <c r="AO36" i="18" l="1"/>
  <c r="AM36" i="18"/>
  <c r="AO38" i="18"/>
  <c r="AM38" i="18"/>
  <c r="AL131" i="18"/>
  <c r="AL130" i="18"/>
  <c r="AL132" i="18"/>
  <c r="U255" i="18"/>
  <c r="U254" i="18"/>
  <c r="U253" i="18"/>
  <c r="AM132" i="18" l="1"/>
  <c r="AO132" i="18"/>
  <c r="AM131" i="18"/>
  <c r="AO131" i="18"/>
  <c r="AM130" i="18"/>
  <c r="AO130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K250" i="18" l="1"/>
  <c r="N246" i="18" l="1"/>
  <c r="N245" i="18"/>
  <c r="N244" i="18"/>
  <c r="N243" i="18"/>
  <c r="AN55" i="18" l="1"/>
  <c r="AB55" i="18"/>
  <c r="AC55" i="18" s="1"/>
  <c r="AD55" i="18" l="1"/>
  <c r="Z250" i="18"/>
  <c r="Z251" i="18" s="1"/>
  <c r="AE55" i="18" l="1"/>
  <c r="D262" i="18"/>
  <c r="H276" i="18" s="1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1" i="18"/>
  <c r="AN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N276" i="18"/>
  <c r="N279" i="18" s="1"/>
  <c r="G276" i="18"/>
  <c r="AF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N14" i="18"/>
  <c r="AB14" i="18"/>
  <c r="AC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AG55" i="18"/>
  <c r="AD14" i="18"/>
  <c r="AE14" i="18" s="1"/>
  <c r="AF14" i="18" s="1"/>
  <c r="AG14" i="18" s="1"/>
  <c r="AH14" i="18" s="1"/>
  <c r="AI14" i="18" s="1"/>
  <c r="AJ14" i="18" s="1"/>
  <c r="AK14" i="18" s="1"/>
  <c r="AL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N32" i="18"/>
  <c r="AB32" i="18"/>
  <c r="AC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O14" i="18" l="1"/>
  <c r="AM14" i="18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H55" i="18"/>
  <c r="AD32" i="18"/>
  <c r="AE32" i="18" s="1"/>
  <c r="AF32" i="18" s="1"/>
  <c r="AG32" i="18" s="1"/>
  <c r="AH32" i="18" s="1"/>
  <c r="AI32" i="18" s="1"/>
  <c r="AJ32" i="18" s="1"/>
  <c r="AK32" i="18" s="1"/>
  <c r="AL32" i="18" s="1"/>
  <c r="O267" i="18"/>
  <c r="AB9" i="18"/>
  <c r="AC9" i="18" s="1"/>
  <c r="AB10" i="18"/>
  <c r="AC10" i="18" s="1"/>
  <c r="AB12" i="18"/>
  <c r="AC12" i="18" s="1"/>
  <c r="AB13" i="18"/>
  <c r="AC13" i="18" s="1"/>
  <c r="AB15" i="18"/>
  <c r="AC15" i="18" s="1"/>
  <c r="AB16" i="18"/>
  <c r="AC16" i="18" s="1"/>
  <c r="AB18" i="18"/>
  <c r="AC18" i="18" s="1"/>
  <c r="AB20" i="18"/>
  <c r="AC20" i="18" s="1"/>
  <c r="AB21" i="18"/>
  <c r="AC21" i="18" s="1"/>
  <c r="AB22" i="18"/>
  <c r="AC22" i="18" s="1"/>
  <c r="AB23" i="18"/>
  <c r="AC23" i="18" s="1"/>
  <c r="AB25" i="18"/>
  <c r="AC25" i="18" s="1"/>
  <c r="AB27" i="18"/>
  <c r="AC27" i="18" s="1"/>
  <c r="AB29" i="18"/>
  <c r="AC29" i="18" s="1"/>
  <c r="AB31" i="18"/>
  <c r="AC31" i="18" s="1"/>
  <c r="AB33" i="18"/>
  <c r="AC33" i="18" s="1"/>
  <c r="AB34" i="18"/>
  <c r="AC34" i="18" s="1"/>
  <c r="AB53" i="18"/>
  <c r="AC53" i="18" s="1"/>
  <c r="AB59" i="18"/>
  <c r="AB7" i="18"/>
  <c r="AC7" i="18" s="1"/>
  <c r="AB6" i="18"/>
  <c r="AC6" i="18" s="1"/>
  <c r="AN9" i="18"/>
  <c r="AN10" i="18"/>
  <c r="AN12" i="18"/>
  <c r="AN13" i="18"/>
  <c r="AN15" i="18"/>
  <c r="AN16" i="18"/>
  <c r="AN18" i="18"/>
  <c r="AN20" i="18"/>
  <c r="AN21" i="18"/>
  <c r="AN22" i="18"/>
  <c r="AN23" i="18"/>
  <c r="AN25" i="18"/>
  <c r="AN27" i="18"/>
  <c r="AN29" i="18"/>
  <c r="AN31" i="18"/>
  <c r="AN33" i="18"/>
  <c r="AN34" i="18"/>
  <c r="AN53" i="18"/>
  <c r="AN59" i="18"/>
  <c r="AN61" i="18"/>
  <c r="AN63" i="18"/>
  <c r="AN70" i="18"/>
  <c r="AN71" i="18"/>
  <c r="AN76" i="18"/>
  <c r="AN78" i="18"/>
  <c r="AN79" i="18"/>
  <c r="AN80" i="18"/>
  <c r="AN82" i="18"/>
  <c r="AN83" i="18"/>
  <c r="AN84" i="18"/>
  <c r="AN86" i="18"/>
  <c r="AN87" i="18"/>
  <c r="AN88" i="18"/>
  <c r="AN89" i="18"/>
  <c r="AN92" i="18"/>
  <c r="AN94" i="18"/>
  <c r="AN96" i="18"/>
  <c r="AN97" i="18"/>
  <c r="AN98" i="18"/>
  <c r="AN99" i="18"/>
  <c r="AN100" i="18"/>
  <c r="AN102" i="18"/>
  <c r="AN103" i="18"/>
  <c r="AN104" i="18"/>
  <c r="AN7" i="18"/>
  <c r="AN6" i="18"/>
  <c r="S238" i="18" l="1"/>
  <c r="AC59" i="18"/>
  <c r="T238" i="18" s="1"/>
  <c r="AO32" i="18"/>
  <c r="AM32" i="18"/>
  <c r="AC133" i="18"/>
  <c r="AC128" i="18"/>
  <c r="AI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C134" i="18" l="1"/>
  <c r="AC72" i="18"/>
  <c r="AC114" i="18" s="1"/>
  <c r="AC129" i="18"/>
  <c r="AC135" i="18"/>
  <c r="AC136" i="18"/>
  <c r="AJ55" i="18"/>
  <c r="AD31" i="18"/>
  <c r="AC151" i="18"/>
  <c r="AD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AK55" i="18" l="1"/>
  <c r="AE31" i="18"/>
  <c r="AE29" i="18"/>
  <c r="AL55" i="18" l="1"/>
  <c r="AF31" i="18"/>
  <c r="AF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O55" i="18" l="1"/>
  <c r="AM55" i="18"/>
  <c r="AG31" i="18"/>
  <c r="AC92" i="18"/>
  <c r="AG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D63" i="18"/>
  <c r="AH31" i="18" l="1"/>
  <c r="AE63" i="18"/>
  <c r="AH29" i="18"/>
  <c r="AD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AI31" i="18" l="1"/>
  <c r="AF63" i="18"/>
  <c r="AE92" i="18"/>
  <c r="AI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C117" i="18"/>
  <c r="AC123" i="18" s="1"/>
  <c r="J218" i="18" l="1"/>
  <c r="AJ31" i="18"/>
  <c r="AG63" i="18"/>
  <c r="AF92" i="18"/>
  <c r="AJ29" i="18"/>
  <c r="AD53" i="18"/>
  <c r="AD117" i="18" l="1"/>
  <c r="AD123" i="18" s="1"/>
  <c r="AK31" i="18"/>
  <c r="AH63" i="18"/>
  <c r="AG92" i="18"/>
  <c r="AK29" i="18"/>
  <c r="AE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D22" i="18"/>
  <c r="AE22" i="18" s="1"/>
  <c r="AF22" i="18" s="1"/>
  <c r="AG22" i="18" s="1"/>
  <c r="AH22" i="18" s="1"/>
  <c r="AI22" i="18" s="1"/>
  <c r="AJ22" i="18" s="1"/>
  <c r="AK22" i="18" s="1"/>
  <c r="AL22" i="18" s="1"/>
  <c r="J94" i="18"/>
  <c r="J96" i="18" s="1"/>
  <c r="K94" i="18"/>
  <c r="K96" i="18" s="1"/>
  <c r="K98" i="18"/>
  <c r="K97" i="18"/>
  <c r="AO22" i="18" l="1"/>
  <c r="AM22" i="18"/>
  <c r="AE117" i="18"/>
  <c r="AE123" i="18" s="1"/>
  <c r="AL31" i="18"/>
  <c r="AI63" i="18"/>
  <c r="AH92" i="18"/>
  <c r="AD23" i="18"/>
  <c r="AC120" i="18"/>
  <c r="AC126" i="18" s="1"/>
  <c r="AL29" i="18"/>
  <c r="AF53" i="18"/>
  <c r="AD21" i="18"/>
  <c r="AO31" i="18" l="1"/>
  <c r="AM31" i="18"/>
  <c r="AO29" i="18"/>
  <c r="AM29" i="18"/>
  <c r="AF117" i="18"/>
  <c r="AF123" i="18" s="1"/>
  <c r="AI92" i="18"/>
  <c r="AJ63" i="18"/>
  <c r="AE23" i="18"/>
  <c r="AD120" i="18"/>
  <c r="AD126" i="18" s="1"/>
  <c r="AD20" i="18"/>
  <c r="AC94" i="18"/>
  <c r="AE21" i="18"/>
  <c r="AD9" i="18"/>
  <c r="AE9" i="18" s="1"/>
  <c r="AF9" i="18" s="1"/>
  <c r="AG9" i="18" s="1"/>
  <c r="AH9" i="18" s="1"/>
  <c r="AI9" i="18" s="1"/>
  <c r="AJ9" i="18" s="1"/>
  <c r="AK9" i="18" s="1"/>
  <c r="AL9" i="18" s="1"/>
  <c r="AC113" i="18"/>
  <c r="AD33" i="18"/>
  <c r="AE33" i="18" s="1"/>
  <c r="AF33" i="18" s="1"/>
  <c r="AG33" i="18" s="1"/>
  <c r="AH33" i="18" s="1"/>
  <c r="AI33" i="18" s="1"/>
  <c r="AJ33" i="18" s="1"/>
  <c r="AK33" i="18" s="1"/>
  <c r="AL33" i="18" s="1"/>
  <c r="AD34" i="18"/>
  <c r="AE34" i="18" s="1"/>
  <c r="AF34" i="18" s="1"/>
  <c r="AG34" i="18" s="1"/>
  <c r="AH34" i="18" s="1"/>
  <c r="AI34" i="18" s="1"/>
  <c r="AJ34" i="18" s="1"/>
  <c r="AK34" i="18" s="1"/>
  <c r="AL34" i="18" s="1"/>
  <c r="AG53" i="18"/>
  <c r="AO9" i="18" l="1"/>
  <c r="AM9" i="18"/>
  <c r="V174" i="18"/>
  <c r="AO34" i="18"/>
  <c r="AM34" i="18"/>
  <c r="AO33" i="18"/>
  <c r="AM33" i="18"/>
  <c r="AG117" i="18"/>
  <c r="AG123" i="18" s="1"/>
  <c r="AJ92" i="18"/>
  <c r="AK63" i="18"/>
  <c r="AD94" i="18"/>
  <c r="AC160" i="18"/>
  <c r="AC170" i="18"/>
  <c r="AC161" i="18"/>
  <c r="AC171" i="18"/>
  <c r="AF23" i="18"/>
  <c r="AE120" i="18"/>
  <c r="AE126" i="18" s="1"/>
  <c r="AC154" i="18"/>
  <c r="AC155" i="18"/>
  <c r="AC153" i="18"/>
  <c r="AC141" i="18"/>
  <c r="AC116" i="18"/>
  <c r="AC122" i="18" s="1"/>
  <c r="AC150" i="18"/>
  <c r="AC149" i="18"/>
  <c r="AD18" i="18"/>
  <c r="AE20" i="18"/>
  <c r="AD27" i="18"/>
  <c r="AH53" i="18"/>
  <c r="AD25" i="18"/>
  <c r="AD133" i="18" s="1"/>
  <c r="AC109" i="18"/>
  <c r="AF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AD128" i="18" l="1"/>
  <c r="AD129" i="18"/>
  <c r="AH117" i="18"/>
  <c r="AH123" i="18" s="1"/>
  <c r="AD113" i="18"/>
  <c r="AD151" i="18"/>
  <c r="AL63" i="18"/>
  <c r="AK92" i="18"/>
  <c r="AD161" i="18"/>
  <c r="AD171" i="18"/>
  <c r="AD160" i="18"/>
  <c r="AD170" i="18"/>
  <c r="AG23" i="18"/>
  <c r="AF120" i="18"/>
  <c r="AF126" i="18" s="1"/>
  <c r="AD153" i="18"/>
  <c r="AD155" i="18"/>
  <c r="AD154" i="18"/>
  <c r="AD141" i="18"/>
  <c r="AD116" i="18"/>
  <c r="AD122" i="18" s="1"/>
  <c r="AD150" i="18"/>
  <c r="AD149" i="18"/>
  <c r="AE18" i="18"/>
  <c r="AF20" i="18"/>
  <c r="AE94" i="18"/>
  <c r="AE27" i="18"/>
  <c r="AE25" i="18"/>
  <c r="AD109" i="18"/>
  <c r="AI53" i="18"/>
  <c r="AG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O63" i="18" l="1"/>
  <c r="AM63" i="18"/>
  <c r="AE129" i="18"/>
  <c r="AE133" i="18"/>
  <c r="AE151" i="18"/>
  <c r="AE128" i="18"/>
  <c r="AI117" i="18"/>
  <c r="AI123" i="18" s="1"/>
  <c r="AL92" i="18"/>
  <c r="AO92" i="18" s="1"/>
  <c r="AE160" i="18"/>
  <c r="AE170" i="18"/>
  <c r="AE161" i="18"/>
  <c r="AE171" i="18"/>
  <c r="AE113" i="18"/>
  <c r="AH23" i="18"/>
  <c r="AG120" i="18"/>
  <c r="AG126" i="18" s="1"/>
  <c r="AE155" i="18"/>
  <c r="AE154" i="18"/>
  <c r="AE153" i="18"/>
  <c r="AE141" i="18"/>
  <c r="AE116" i="18"/>
  <c r="AE122" i="18" s="1"/>
  <c r="AE150" i="18"/>
  <c r="AE149" i="18"/>
  <c r="AF18" i="18"/>
  <c r="AG20" i="18"/>
  <c r="AF94" i="18"/>
  <c r="AF27" i="18"/>
  <c r="AF25" i="18"/>
  <c r="AF133" i="18" s="1"/>
  <c r="AE109" i="18"/>
  <c r="AJ53" i="18"/>
  <c r="AH21" i="18"/>
  <c r="AF128" i="18" l="1"/>
  <c r="AF129" i="18"/>
  <c r="AJ117" i="18"/>
  <c r="AJ123" i="18" s="1"/>
  <c r="AF113" i="18"/>
  <c r="AF151" i="18"/>
  <c r="AC192" i="18"/>
  <c r="U242" i="18" s="1"/>
  <c r="AD192" i="18"/>
  <c r="T242" i="18" s="1"/>
  <c r="AM92" i="18"/>
  <c r="AF161" i="18"/>
  <c r="AF171" i="18"/>
  <c r="AF160" i="18"/>
  <c r="AF170" i="18"/>
  <c r="AI23" i="18"/>
  <c r="AH120" i="18"/>
  <c r="AH126" i="18" s="1"/>
  <c r="AF141" i="18"/>
  <c r="AF155" i="18"/>
  <c r="AF154" i="18"/>
  <c r="AF153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C158" i="18"/>
  <c r="AC166" i="18"/>
  <c r="AC167" i="18" s="1"/>
  <c r="AC118" i="18"/>
  <c r="AC124" i="18" s="1"/>
  <c r="M218" i="18" l="1"/>
  <c r="AA174" i="18"/>
  <c r="Z249" i="18" s="1"/>
  <c r="Z248" i="18" s="1"/>
  <c r="Q218" i="18"/>
  <c r="L218" i="18"/>
  <c r="K218" i="18"/>
  <c r="AG129" i="18"/>
  <c r="AG133" i="18"/>
  <c r="AG151" i="18"/>
  <c r="AG128" i="18"/>
  <c r="AC215" i="18"/>
  <c r="AK117" i="18"/>
  <c r="AK123" i="18" s="1"/>
  <c r="AC138" i="18"/>
  <c r="AB192" i="18"/>
  <c r="AG160" i="18"/>
  <c r="AG170" i="18"/>
  <c r="AG113" i="18"/>
  <c r="AG161" i="18"/>
  <c r="AG171" i="18"/>
  <c r="AJ23" i="18"/>
  <c r="AI120" i="18"/>
  <c r="AI126" i="18" s="1"/>
  <c r="AC111" i="18"/>
  <c r="AC112" i="18"/>
  <c r="AC164" i="18"/>
  <c r="AC163" i="18"/>
  <c r="AC119" i="18"/>
  <c r="AC125" i="18" s="1"/>
  <c r="AC159" i="18"/>
  <c r="K207" i="18"/>
  <c r="AG141" i="18"/>
  <c r="AG154" i="18"/>
  <c r="AG153" i="18"/>
  <c r="AG155" i="18"/>
  <c r="AC140" i="18"/>
  <c r="AG116" i="18"/>
  <c r="AG122" i="18" s="1"/>
  <c r="AG150" i="18"/>
  <c r="AG149" i="18"/>
  <c r="AC139" i="18"/>
  <c r="AH18" i="18"/>
  <c r="N207" i="18"/>
  <c r="M207" i="18"/>
  <c r="P207" i="18"/>
  <c r="L207" i="18"/>
  <c r="AI20" i="18"/>
  <c r="AH94" i="18"/>
  <c r="K88" i="18"/>
  <c r="K211" i="18" s="1"/>
  <c r="AH27" i="18"/>
  <c r="AD12" i="18"/>
  <c r="AD15" i="18"/>
  <c r="AD158" i="18" s="1"/>
  <c r="AD13" i="18"/>
  <c r="AD10" i="18"/>
  <c r="AD16" i="18"/>
  <c r="AD166" i="18" s="1"/>
  <c r="AD167" i="18" s="1"/>
  <c r="AD6" i="18"/>
  <c r="AD7" i="18"/>
  <c r="AH25" i="18"/>
  <c r="AH133" i="18" s="1"/>
  <c r="AG109" i="18"/>
  <c r="AD59" i="18"/>
  <c r="U238" i="18" s="1"/>
  <c r="AC110" i="18"/>
  <c r="AL53" i="18"/>
  <c r="O88" i="18"/>
  <c r="O211" i="18" s="1"/>
  <c r="N88" i="18"/>
  <c r="N211" i="18" s="1"/>
  <c r="M88" i="18"/>
  <c r="M211" i="18" s="1"/>
  <c r="AJ21" i="18"/>
  <c r="AD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D134" i="18" l="1"/>
  <c r="AO53" i="18"/>
  <c r="AM53" i="18"/>
  <c r="AD136" i="18"/>
  <c r="AD135" i="18"/>
  <c r="AH128" i="18"/>
  <c r="AH129" i="18"/>
  <c r="AD215" i="18"/>
  <c r="AD224" i="18"/>
  <c r="AD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H113" i="18"/>
  <c r="AH151" i="18"/>
  <c r="AD118" i="18"/>
  <c r="AD124" i="18" s="1"/>
  <c r="AD72" i="18"/>
  <c r="AD114" i="18" s="1"/>
  <c r="AA250" i="18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AD138" i="18"/>
  <c r="AH160" i="18"/>
  <c r="AH170" i="18"/>
  <c r="AH161" i="18"/>
  <c r="AH171" i="18"/>
  <c r="AL117" i="18"/>
  <c r="AO117" i="18" s="1"/>
  <c r="AK23" i="18"/>
  <c r="AJ120" i="18"/>
  <c r="AJ126" i="18" s="1"/>
  <c r="AD164" i="18"/>
  <c r="AD163" i="18"/>
  <c r="AD119" i="18"/>
  <c r="AD125" i="18" s="1"/>
  <c r="AD159" i="18"/>
  <c r="AD112" i="18"/>
  <c r="AH153" i="18"/>
  <c r="AH154" i="18"/>
  <c r="AH155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5" i="18"/>
  <c r="AE158" i="18" s="1"/>
  <c r="AE13" i="18"/>
  <c r="AE12" i="18"/>
  <c r="AE16" i="18"/>
  <c r="AE166" i="18" s="1"/>
  <c r="AE167" i="18" s="1"/>
  <c r="AE10" i="18"/>
  <c r="AE7" i="18"/>
  <c r="AE6" i="18"/>
  <c r="AI25" i="18"/>
  <c r="AI133" i="18" s="1"/>
  <c r="AH109" i="18"/>
  <c r="AE59" i="18"/>
  <c r="V238" i="18" s="1"/>
  <c r="AD111" i="18"/>
  <c r="AD110" i="18"/>
  <c r="AK21" i="18"/>
  <c r="AE205" i="18"/>
  <c r="J211" i="18"/>
  <c r="Q211" i="18"/>
  <c r="AE134" i="18" l="1"/>
  <c r="AE135" i="18"/>
  <c r="AE136" i="18"/>
  <c r="AI128" i="18"/>
  <c r="AI129" i="18"/>
  <c r="AD230" i="18"/>
  <c r="AD231" i="18" s="1"/>
  <c r="AD228" i="18"/>
  <c r="AD225" i="18"/>
  <c r="AD226" i="18" s="1"/>
  <c r="AD223" i="18"/>
  <c r="AE215" i="18"/>
  <c r="AE229" i="18"/>
  <c r="AE224" i="18"/>
  <c r="AI113" i="18"/>
  <c r="AI151" i="18"/>
  <c r="AE118" i="18"/>
  <c r="AE124" i="18" s="1"/>
  <c r="AE72" i="18"/>
  <c r="AE114" i="18" s="1"/>
  <c r="AA251" i="18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AM117" i="18"/>
  <c r="AL123" i="18"/>
  <c r="AA249" i="18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E138" i="18"/>
  <c r="AI160" i="18"/>
  <c r="AI170" i="18"/>
  <c r="AI161" i="18"/>
  <c r="AI171" i="18"/>
  <c r="AL23" i="18"/>
  <c r="AK120" i="18"/>
  <c r="AK126" i="18" s="1"/>
  <c r="AE119" i="18"/>
  <c r="AE125" i="18" s="1"/>
  <c r="AE159" i="18"/>
  <c r="AE164" i="18"/>
  <c r="AE163" i="18"/>
  <c r="AE112" i="18"/>
  <c r="AI155" i="18"/>
  <c r="AI154" i="18"/>
  <c r="AI153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E111" i="18"/>
  <c r="AE110" i="18"/>
  <c r="AJ25" i="18"/>
  <c r="AJ133" i="18" s="1"/>
  <c r="AI109" i="18"/>
  <c r="AL21" i="18"/>
  <c r="AF205" i="18"/>
  <c r="X238" i="18" l="1"/>
  <c r="Y238" i="18"/>
  <c r="W238" i="18"/>
  <c r="AF134" i="18"/>
  <c r="AO23" i="18"/>
  <c r="AM23" i="18"/>
  <c r="AM123" i="18"/>
  <c r="AO123" i="18"/>
  <c r="AO21" i="18"/>
  <c r="AM21" i="18"/>
  <c r="AF136" i="18"/>
  <c r="AF135" i="18"/>
  <c r="AJ128" i="18"/>
  <c r="AJ129" i="18"/>
  <c r="AE225" i="18"/>
  <c r="AE226" i="18" s="1"/>
  <c r="AE223" i="18"/>
  <c r="AE230" i="18"/>
  <c r="AE231" i="18" s="1"/>
  <c r="AE228" i="18"/>
  <c r="AF215" i="18"/>
  <c r="AF224" i="18"/>
  <c r="AF229" i="18"/>
  <c r="AJ113" i="18"/>
  <c r="AJ151" i="18"/>
  <c r="AF118" i="18"/>
  <c r="AF124" i="18" s="1"/>
  <c r="AF72" i="18"/>
  <c r="AF114" i="18" s="1"/>
  <c r="AA248" i="18"/>
  <c r="AB248" i="18" s="1"/>
  <c r="AC248" i="18" s="1"/>
  <c r="AD248" i="18" s="1"/>
  <c r="AE248" i="18" s="1"/>
  <c r="AF248" i="18" s="1"/>
  <c r="AG248" i="18" s="1"/>
  <c r="AH248" i="18" s="1"/>
  <c r="AI248" i="18" s="1"/>
  <c r="AJ248" i="18" s="1"/>
  <c r="AK249" i="18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AF138" i="18"/>
  <c r="AJ160" i="18"/>
  <c r="AJ170" i="18"/>
  <c r="AJ161" i="18"/>
  <c r="AJ171" i="18"/>
  <c r="AL120" i="18"/>
  <c r="AO120" i="18" s="1"/>
  <c r="AF112" i="18"/>
  <c r="AF163" i="18"/>
  <c r="AF164" i="18"/>
  <c r="AF119" i="18"/>
  <c r="AF125" i="18" s="1"/>
  <c r="AF159" i="18"/>
  <c r="AJ155" i="18"/>
  <c r="AJ154" i="18"/>
  <c r="AJ153" i="18"/>
  <c r="AJ141" i="18"/>
  <c r="AJ116" i="18"/>
  <c r="AJ122" i="18" s="1"/>
  <c r="AJ150" i="18"/>
  <c r="AJ149" i="18"/>
  <c r="AF140" i="18"/>
  <c r="AF139" i="18"/>
  <c r="AK18" i="18"/>
  <c r="AL20" i="18"/>
  <c r="AK94" i="18"/>
  <c r="AK27" i="18"/>
  <c r="AG12" i="18"/>
  <c r="AG15" i="18"/>
  <c r="AG158" i="18" s="1"/>
  <c r="AG13" i="18"/>
  <c r="AG16" i="18"/>
  <c r="AG166" i="18" s="1"/>
  <c r="AG167" i="18" s="1"/>
  <c r="AG10" i="18"/>
  <c r="AG7" i="18"/>
  <c r="AG6" i="18"/>
  <c r="AK25" i="18"/>
  <c r="AJ109" i="18"/>
  <c r="AG59" i="18"/>
  <c r="Z238" i="18" s="1"/>
  <c r="AF110" i="18"/>
  <c r="AF111" i="18"/>
  <c r="AG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G134" i="18" l="1"/>
  <c r="AO20" i="18"/>
  <c r="AM20" i="18"/>
  <c r="AK129" i="18"/>
  <c r="AK133" i="18"/>
  <c r="AG136" i="18"/>
  <c r="AG135" i="18"/>
  <c r="AK151" i="18"/>
  <c r="AK128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K248" i="18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AM120" i="18"/>
  <c r="AL126" i="18"/>
  <c r="AG138" i="18"/>
  <c r="AK160" i="18"/>
  <c r="AK170" i="18"/>
  <c r="AK161" i="18"/>
  <c r="AK171" i="18"/>
  <c r="AK113" i="18"/>
  <c r="AG164" i="18"/>
  <c r="AG163" i="18"/>
  <c r="AG119" i="18"/>
  <c r="AG125" i="18" s="1"/>
  <c r="AG159" i="18"/>
  <c r="AG112" i="18"/>
  <c r="AK154" i="18"/>
  <c r="AK153" i="18"/>
  <c r="AK155" i="18"/>
  <c r="AK141" i="18"/>
  <c r="AK116" i="18"/>
  <c r="AK122" i="18" s="1"/>
  <c r="AK150" i="18"/>
  <c r="AK149" i="18"/>
  <c r="AG140" i="18"/>
  <c r="AG139" i="18"/>
  <c r="AL18" i="18"/>
  <c r="AL94" i="18"/>
  <c r="AO94" i="18" s="1"/>
  <c r="AL27" i="18"/>
  <c r="AH15" i="18"/>
  <c r="AH158" i="18" s="1"/>
  <c r="AH13" i="18"/>
  <c r="AH12" i="18"/>
  <c r="AH10" i="18"/>
  <c r="AH16" i="18"/>
  <c r="AH166" i="18" s="1"/>
  <c r="AH167" i="18" s="1"/>
  <c r="AH6" i="18"/>
  <c r="AH7" i="18"/>
  <c r="AH59" i="18"/>
  <c r="AH134" i="18" s="1"/>
  <c r="AG111" i="18"/>
  <c r="AG110" i="18"/>
  <c r="AL25" i="18"/>
  <c r="AK109" i="18"/>
  <c r="AH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L133" i="18" l="1"/>
  <c r="AO25" i="18"/>
  <c r="AM25" i="18"/>
  <c r="AM126" i="18"/>
  <c r="AO126" i="18"/>
  <c r="AL171" i="18"/>
  <c r="AO27" i="18"/>
  <c r="AM27" i="18"/>
  <c r="AO18" i="18"/>
  <c r="AM18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9" i="18"/>
  <c r="AH224" i="18"/>
  <c r="AL113" i="18"/>
  <c r="AL151" i="18"/>
  <c r="AH118" i="18"/>
  <c r="AH124" i="18" s="1"/>
  <c r="AH72" i="18"/>
  <c r="AH114" i="18" s="1"/>
  <c r="AH138" i="18"/>
  <c r="AL160" i="18"/>
  <c r="AL170" i="18"/>
  <c r="AH119" i="18"/>
  <c r="AH125" i="18" s="1"/>
  <c r="AH159" i="18"/>
  <c r="AH164" i="18"/>
  <c r="AH163" i="18"/>
  <c r="AL161" i="18"/>
  <c r="AH112" i="18"/>
  <c r="AL153" i="18"/>
  <c r="AL155" i="18"/>
  <c r="AL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L141" i="18"/>
  <c r="AL116" i="18"/>
  <c r="AO116" i="18" s="1"/>
  <c r="AL150" i="18"/>
  <c r="AL149" i="18"/>
  <c r="AH140" i="18"/>
  <c r="AH139" i="18"/>
  <c r="AC194" i="18"/>
  <c r="AM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I12" i="18"/>
  <c r="AI15" i="18"/>
  <c r="AI158" i="18" s="1"/>
  <c r="AI13" i="18"/>
  <c r="AI10" i="18"/>
  <c r="AI16" i="18"/>
  <c r="AI166" i="18" s="1"/>
  <c r="AI167" i="18" s="1"/>
  <c r="AI7" i="18"/>
  <c r="AI6" i="18"/>
  <c r="AL109" i="18"/>
  <c r="AI59" i="18"/>
  <c r="AI134" i="18" s="1"/>
  <c r="AH111" i="18"/>
  <c r="AH110" i="18"/>
  <c r="O31" i="9"/>
  <c r="O32" i="9" s="1"/>
  <c r="AI205" i="18"/>
  <c r="P31" i="11"/>
  <c r="N32" i="11"/>
  <c r="T19" i="9"/>
  <c r="D22" i="9"/>
  <c r="AM150" i="18" l="1"/>
  <c r="AO150" i="18"/>
  <c r="AM109" i="18"/>
  <c r="AO109" i="18"/>
  <c r="AM149" i="18"/>
  <c r="AO149" i="18"/>
  <c r="AM154" i="18"/>
  <c r="AO154" i="18"/>
  <c r="AM153" i="18"/>
  <c r="AO153" i="18"/>
  <c r="AM161" i="18"/>
  <c r="AO161" i="18"/>
  <c r="AM160" i="18"/>
  <c r="AO160" i="18"/>
  <c r="AM151" i="18"/>
  <c r="AO151" i="18"/>
  <c r="AM128" i="18"/>
  <c r="AO128" i="18"/>
  <c r="AM133" i="18"/>
  <c r="AO133" i="18"/>
  <c r="AM141" i="18"/>
  <c r="AO141" i="18"/>
  <c r="AM155" i="18"/>
  <c r="AO155" i="18"/>
  <c r="AM170" i="18"/>
  <c r="AO170" i="18"/>
  <c r="AM113" i="18"/>
  <c r="AO113" i="18"/>
  <c r="AM129" i="18"/>
  <c r="AO129" i="18"/>
  <c r="AM171" i="18"/>
  <c r="AO171" i="18"/>
  <c r="AI135" i="18"/>
  <c r="AI136" i="18"/>
  <c r="AH225" i="18"/>
  <c r="AH226" i="18" s="1"/>
  <c r="AH223" i="18"/>
  <c r="AH230" i="18"/>
  <c r="AH231" i="18" s="1"/>
  <c r="AH228" i="18"/>
  <c r="AI215" i="18"/>
  <c r="AI224" i="18"/>
  <c r="AI229" i="18"/>
  <c r="AI118" i="18"/>
  <c r="AI124" i="18" s="1"/>
  <c r="AI72" i="18"/>
  <c r="AI114" i="18" s="1"/>
  <c r="AM116" i="18"/>
  <c r="AL122" i="18"/>
  <c r="AI138" i="18"/>
  <c r="AI164" i="18"/>
  <c r="AI163" i="18"/>
  <c r="AI119" i="18"/>
  <c r="AI125" i="18" s="1"/>
  <c r="AI159" i="18"/>
  <c r="AI112" i="18"/>
  <c r="AI139" i="18"/>
  <c r="AI140" i="18"/>
  <c r="AD194" i="18"/>
  <c r="AB194" i="18" s="1"/>
  <c r="AJ13" i="18"/>
  <c r="AJ12" i="18"/>
  <c r="AJ15" i="18"/>
  <c r="AJ158" i="18" s="1"/>
  <c r="AJ10" i="18"/>
  <c r="AJ16" i="18"/>
  <c r="AJ166" i="18" s="1"/>
  <c r="AJ167" i="18" s="1"/>
  <c r="AJ6" i="18"/>
  <c r="AJ7" i="18"/>
  <c r="AJ59" i="18"/>
  <c r="AJ134" i="18" s="1"/>
  <c r="AI111" i="18"/>
  <c r="AI110" i="18"/>
  <c r="AJ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M122" i="18" l="1"/>
  <c r="AO122" i="18"/>
  <c r="AJ136" i="18"/>
  <c r="AJ135" i="18"/>
  <c r="AI230" i="18"/>
  <c r="AI231" i="18" s="1"/>
  <c r="AI228" i="18"/>
  <c r="AI225" i="18"/>
  <c r="AI226" i="18" s="1"/>
  <c r="AI223" i="18"/>
  <c r="AJ215" i="18"/>
  <c r="AJ229" i="18"/>
  <c r="AJ224" i="18"/>
  <c r="AJ118" i="18"/>
  <c r="AJ124" i="18" s="1"/>
  <c r="AJ72" i="18"/>
  <c r="AJ114" i="18" s="1"/>
  <c r="AJ138" i="18"/>
  <c r="AJ119" i="18"/>
  <c r="AJ125" i="18" s="1"/>
  <c r="AJ159" i="18"/>
  <c r="AJ163" i="18"/>
  <c r="AJ164" i="18"/>
  <c r="AJ112" i="18"/>
  <c r="AJ139" i="18"/>
  <c r="AJ140" i="18"/>
  <c r="AK12" i="18"/>
  <c r="AK15" i="18"/>
  <c r="AK158" i="18" s="1"/>
  <c r="AK13" i="18"/>
  <c r="AK10" i="18"/>
  <c r="AK16" i="18"/>
  <c r="AK166" i="18" s="1"/>
  <c r="AK167" i="18" s="1"/>
  <c r="AK7" i="18"/>
  <c r="AK6" i="18"/>
  <c r="AK59" i="18"/>
  <c r="AK134" i="18" s="1"/>
  <c r="AJ110" i="18"/>
  <c r="AJ111" i="18"/>
  <c r="AK205" i="18"/>
  <c r="N34" i="11"/>
  <c r="O33" i="11"/>
  <c r="AK136" i="18" l="1"/>
  <c r="AK135" i="18"/>
  <c r="AJ225" i="18"/>
  <c r="AJ226" i="18" s="1"/>
  <c r="AJ223" i="18"/>
  <c r="AJ230" i="18"/>
  <c r="AJ231" i="18" s="1"/>
  <c r="AJ228" i="18"/>
  <c r="AK215" i="18"/>
  <c r="AK229" i="18"/>
  <c r="AK224" i="18"/>
  <c r="AK118" i="18"/>
  <c r="AK124" i="18" s="1"/>
  <c r="AK72" i="18"/>
  <c r="AK114" i="18" s="1"/>
  <c r="AK138" i="18"/>
  <c r="AK112" i="18"/>
  <c r="AK163" i="18"/>
  <c r="AK164" i="18"/>
  <c r="AK119" i="18"/>
  <c r="AK125" i="18" s="1"/>
  <c r="AK159" i="18"/>
  <c r="AK139" i="18"/>
  <c r="AK140" i="18"/>
  <c r="AL15" i="18"/>
  <c r="AL13" i="18"/>
  <c r="AL12" i="18"/>
  <c r="AL10" i="18"/>
  <c r="AL16" i="18"/>
  <c r="AL6" i="18"/>
  <c r="AO6" i="18" s="1"/>
  <c r="AL7" i="18"/>
  <c r="AL59" i="18"/>
  <c r="AK111" i="18"/>
  <c r="AK110" i="18"/>
  <c r="AL205" i="18"/>
  <c r="N35" i="11"/>
  <c r="O34" i="11"/>
  <c r="AO7" i="18" l="1"/>
  <c r="AM7" i="18"/>
  <c r="AO16" i="18"/>
  <c r="AM16" i="18"/>
  <c r="AL159" i="18"/>
  <c r="AO12" i="18"/>
  <c r="AM12" i="18"/>
  <c r="AO15" i="18"/>
  <c r="AM15" i="18"/>
  <c r="AL134" i="18"/>
  <c r="AO59" i="18"/>
  <c r="AM59" i="18"/>
  <c r="AM6" i="18"/>
  <c r="AO10" i="18"/>
  <c r="AM10" i="18"/>
  <c r="AO13" i="18"/>
  <c r="AM13" i="18"/>
  <c r="AL136" i="18"/>
  <c r="AL135" i="18"/>
  <c r="AK225" i="18"/>
  <c r="AK226" i="18" s="1"/>
  <c r="AK223" i="18"/>
  <c r="AK230" i="18"/>
  <c r="AK231" i="18" s="1"/>
  <c r="AK228" i="18"/>
  <c r="AL215" i="18"/>
  <c r="AM215" i="18" s="1"/>
  <c r="AO215" i="18" s="1"/>
  <c r="AO230" i="18" s="1"/>
  <c r="AL229" i="18"/>
  <c r="AL228" i="18" s="1"/>
  <c r="AM228" i="18" s="1"/>
  <c r="AL224" i="18"/>
  <c r="AL223" i="18" s="1"/>
  <c r="AM223" i="18" s="1"/>
  <c r="AL118" i="18"/>
  <c r="AL72" i="18"/>
  <c r="AO72" i="18" s="1"/>
  <c r="AL138" i="18"/>
  <c r="AL166" i="18"/>
  <c r="AO166" i="18" s="1"/>
  <c r="AL164" i="18"/>
  <c r="AL163" i="18"/>
  <c r="AL158" i="18"/>
  <c r="AL112" i="18"/>
  <c r="AL119" i="18"/>
  <c r="AO119" i="18" s="1"/>
  <c r="AL139" i="18"/>
  <c r="AL140" i="18"/>
  <c r="AC188" i="18"/>
  <c r="AL111" i="18"/>
  <c r="AL110" i="18"/>
  <c r="AM205" i="18"/>
  <c r="AO205" i="18" s="1"/>
  <c r="N36" i="11"/>
  <c r="O35" i="11"/>
  <c r="AM164" i="18" l="1"/>
  <c r="AO164" i="18"/>
  <c r="AM134" i="18"/>
  <c r="AO134" i="18"/>
  <c r="AM110" i="18"/>
  <c r="AO110" i="18"/>
  <c r="AM139" i="18"/>
  <c r="AO139" i="18"/>
  <c r="AM112" i="18"/>
  <c r="AO112" i="18"/>
  <c r="AM163" i="18"/>
  <c r="AO163" i="18"/>
  <c r="AM136" i="18"/>
  <c r="AO136" i="18"/>
  <c r="AM159" i="18"/>
  <c r="AO159" i="18"/>
  <c r="AM111" i="18"/>
  <c r="AO111" i="18"/>
  <c r="AM140" i="18"/>
  <c r="AO140" i="18"/>
  <c r="AM158" i="18"/>
  <c r="AO158" i="18"/>
  <c r="AM138" i="18"/>
  <c r="AO138" i="18"/>
  <c r="AL124" i="18"/>
  <c r="AO118" i="18"/>
  <c r="AM135" i="18"/>
  <c r="AO135" i="18"/>
  <c r="AL225" i="18"/>
  <c r="AM224" i="18"/>
  <c r="AM229" i="18"/>
  <c r="AL230" i="18"/>
  <c r="AM72" i="18"/>
  <c r="AM118" i="18"/>
  <c r="AL114" i="18"/>
  <c r="AM119" i="18"/>
  <c r="AL125" i="18"/>
  <c r="AM166" i="18"/>
  <c r="AL167" i="18"/>
  <c r="AD188" i="18"/>
  <c r="AD189" i="18" s="1"/>
  <c r="T245" i="18" s="1"/>
  <c r="AC189" i="18"/>
  <c r="U245" i="18" s="1"/>
  <c r="N37" i="11"/>
  <c r="O36" i="11"/>
  <c r="AM167" i="18" l="1"/>
  <c r="AO167" i="18"/>
  <c r="AM125" i="18"/>
  <c r="AO125" i="18"/>
  <c r="AM114" i="18"/>
  <c r="AO114" i="18"/>
  <c r="AM124" i="18"/>
  <c r="AO124" i="18"/>
  <c r="AM225" i="18"/>
  <c r="AL226" i="18"/>
  <c r="AM226" i="18" s="1"/>
  <c r="AL231" i="18"/>
  <c r="AM231" i="18" s="1"/>
  <c r="AM230" i="18"/>
  <c r="AB188" i="18"/>
  <c r="AB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C216" i="18"/>
  <c r="AC238" i="18" s="1"/>
  <c r="AC97" i="18"/>
  <c r="AC78" i="18"/>
  <c r="AC83" i="18"/>
  <c r="AC104" i="18"/>
  <c r="AC106" i="18"/>
  <c r="AC99" i="18"/>
  <c r="AC96" i="18"/>
  <c r="AC82" i="18"/>
  <c r="AC77" i="18"/>
  <c r="AC71" i="18"/>
  <c r="AC89" i="18"/>
  <c r="AC103" i="18"/>
  <c r="AC87" i="18"/>
  <c r="AC80" i="18"/>
  <c r="AC98" i="18"/>
  <c r="AC100" i="18"/>
  <c r="AC84" i="18"/>
  <c r="AC213" i="18" s="1"/>
  <c r="AC70" i="18"/>
  <c r="AC206" i="18" s="1"/>
  <c r="AC75" i="18"/>
  <c r="AC209" i="18" s="1"/>
  <c r="AC90" i="18"/>
  <c r="AC212" i="18" s="1"/>
  <c r="AC102" i="18"/>
  <c r="AC168" i="18" s="1"/>
  <c r="AC74" i="18"/>
  <c r="AC208" i="18" s="1"/>
  <c r="AC86" i="18"/>
  <c r="AC143" i="18"/>
  <c r="AC144" i="18" s="1"/>
  <c r="AC76" i="18"/>
  <c r="AC218" i="18" s="1"/>
  <c r="AC79" i="18"/>
  <c r="AD61" i="18"/>
  <c r="AC210" i="18" l="1"/>
  <c r="AC234" i="18" s="1"/>
  <c r="AC88" i="18"/>
  <c r="AC211" i="18" s="1"/>
  <c r="AD80" i="18"/>
  <c r="AD103" i="18"/>
  <c r="AD87" i="18"/>
  <c r="AD99" i="18"/>
  <c r="AD83" i="18"/>
  <c r="AD82" i="18"/>
  <c r="AD216" i="18"/>
  <c r="AD238" i="18" s="1"/>
  <c r="AD98" i="18"/>
  <c r="AD78" i="18"/>
  <c r="AD102" i="18"/>
  <c r="AD168" i="18" s="1"/>
  <c r="AD90" i="18"/>
  <c r="AD212" i="18" s="1"/>
  <c r="AD74" i="18"/>
  <c r="AD208" i="18" s="1"/>
  <c r="AD143" i="18"/>
  <c r="AD144" i="18" s="1"/>
  <c r="AD96" i="18"/>
  <c r="AD77" i="18"/>
  <c r="AD106" i="18"/>
  <c r="AD89" i="18"/>
  <c r="AD104" i="18"/>
  <c r="AD97" i="18"/>
  <c r="AD100" i="18"/>
  <c r="AD71" i="18"/>
  <c r="AD79" i="18"/>
  <c r="AD210" i="18" s="1"/>
  <c r="AD234" i="18" s="1"/>
  <c r="AD70" i="18"/>
  <c r="AD206" i="18" s="1"/>
  <c r="AD84" i="18"/>
  <c r="AD213" i="18" s="1"/>
  <c r="AD75" i="18"/>
  <c r="AD209" i="18" s="1"/>
  <c r="AD76" i="18"/>
  <c r="AD218" i="18" s="1"/>
  <c r="AE61" i="18"/>
  <c r="AD86" i="18"/>
  <c r="AC145" i="18"/>
  <c r="AC146" i="18" s="1"/>
  <c r="AC147" i="18"/>
  <c r="AC207" i="18"/>
  <c r="AC233" i="18" l="1"/>
  <c r="AC235" i="18"/>
  <c r="AC236" i="18" s="1"/>
  <c r="AD235" i="18"/>
  <c r="AD236" i="18" s="1"/>
  <c r="AD233" i="18"/>
  <c r="AD88" i="18"/>
  <c r="AD211" i="18" s="1"/>
  <c r="AC220" i="18"/>
  <c r="AC221" i="18" s="1"/>
  <c r="AC219" i="18"/>
  <c r="AE97" i="18"/>
  <c r="AE74" i="18"/>
  <c r="AE208" i="18" s="1"/>
  <c r="AE98" i="18"/>
  <c r="AE99" i="18"/>
  <c r="AE103" i="18"/>
  <c r="AE83" i="18"/>
  <c r="AE80" i="18"/>
  <c r="AE106" i="18"/>
  <c r="AE89" i="18"/>
  <c r="AE87" i="18"/>
  <c r="AE70" i="18"/>
  <c r="AE206" i="18" s="1"/>
  <c r="AE79" i="18"/>
  <c r="AE210" i="18" s="1"/>
  <c r="AE234" i="18" s="1"/>
  <c r="AE75" i="18"/>
  <c r="AE209" i="18" s="1"/>
  <c r="AE78" i="18"/>
  <c r="AE77" i="18"/>
  <c r="AE96" i="18"/>
  <c r="AE100" i="18"/>
  <c r="AE71" i="18"/>
  <c r="AE84" i="18"/>
  <c r="AE213" i="18" s="1"/>
  <c r="AE104" i="18"/>
  <c r="AE82" i="18"/>
  <c r="AE216" i="18"/>
  <c r="AE238" i="18" s="1"/>
  <c r="AE102" i="18"/>
  <c r="AE168" i="18" s="1"/>
  <c r="AE90" i="18"/>
  <c r="AE212" i="18" s="1"/>
  <c r="AE86" i="18"/>
  <c r="AE143" i="18"/>
  <c r="AE144" i="18" s="1"/>
  <c r="AE76" i="18"/>
  <c r="AE218" i="18" s="1"/>
  <c r="AF61" i="18"/>
  <c r="AD207" i="18"/>
  <c r="AD147" i="18"/>
  <c r="AD145" i="18"/>
  <c r="AD146" i="18" s="1"/>
  <c r="AE235" i="18" l="1"/>
  <c r="AE236" i="18" s="1"/>
  <c r="AE233" i="18"/>
  <c r="AD220" i="18"/>
  <c r="AD221" i="18" s="1"/>
  <c r="AD219" i="18"/>
  <c r="AF97" i="18"/>
  <c r="AF216" i="18"/>
  <c r="AF238" i="18" s="1"/>
  <c r="AF71" i="18"/>
  <c r="AF98" i="18"/>
  <c r="AF83" i="18"/>
  <c r="AF78" i="18"/>
  <c r="AF82" i="18"/>
  <c r="AF96" i="18"/>
  <c r="AF102" i="18"/>
  <c r="AF168" i="18" s="1"/>
  <c r="AF74" i="18"/>
  <c r="AF208" i="18" s="1"/>
  <c r="AF75" i="18"/>
  <c r="AF209" i="18" s="1"/>
  <c r="AF90" i="18"/>
  <c r="AF212" i="18" s="1"/>
  <c r="AF106" i="18"/>
  <c r="AF77" i="18"/>
  <c r="AF100" i="18"/>
  <c r="AF104" i="18"/>
  <c r="AF103" i="18"/>
  <c r="AF80" i="18"/>
  <c r="AF99" i="18"/>
  <c r="AF89" i="18"/>
  <c r="AF87" i="18"/>
  <c r="AF84" i="18"/>
  <c r="AF213" i="18" s="1"/>
  <c r="AF70" i="18"/>
  <c r="AF206" i="18" s="1"/>
  <c r="AF143" i="18"/>
  <c r="AF144" i="18" s="1"/>
  <c r="AF76" i="18"/>
  <c r="AF218" i="18" s="1"/>
  <c r="AF79" i="18"/>
  <c r="AF210" i="18" s="1"/>
  <c r="AF234" i="18" s="1"/>
  <c r="AG61" i="18"/>
  <c r="AF86" i="18"/>
  <c r="AE207" i="18"/>
  <c r="AE145" i="18"/>
  <c r="AE146" i="18" s="1"/>
  <c r="AE147" i="18"/>
  <c r="AE88" i="18"/>
  <c r="AE211" i="18" s="1"/>
  <c r="AF235" i="18" l="1"/>
  <c r="AF236" i="18" s="1"/>
  <c r="AF233" i="18"/>
  <c r="AE220" i="18"/>
  <c r="AE221" i="18" s="1"/>
  <c r="AE219" i="18"/>
  <c r="AF207" i="18"/>
  <c r="AF88" i="18"/>
  <c r="AF211" i="18" s="1"/>
  <c r="AF147" i="18"/>
  <c r="AF145" i="18"/>
  <c r="AF146" i="18" s="1"/>
  <c r="AG77" i="18"/>
  <c r="AG98" i="18"/>
  <c r="AG87" i="18"/>
  <c r="AG97" i="18"/>
  <c r="AG96" i="18"/>
  <c r="AG82" i="18"/>
  <c r="AG71" i="18"/>
  <c r="AG80" i="18"/>
  <c r="AG79" i="18"/>
  <c r="AG210" i="18" s="1"/>
  <c r="AG234" i="18" s="1"/>
  <c r="AG70" i="18"/>
  <c r="AG206" i="18" s="1"/>
  <c r="AG102" i="18"/>
  <c r="AG168" i="18" s="1"/>
  <c r="AG216" i="18"/>
  <c r="AG238" i="18" s="1"/>
  <c r="AG100" i="18"/>
  <c r="AG78" i="18"/>
  <c r="AG106" i="18"/>
  <c r="AG99" i="18"/>
  <c r="AG83" i="18"/>
  <c r="AG89" i="18"/>
  <c r="AG103" i="18"/>
  <c r="AG104" i="18"/>
  <c r="AG74" i="18"/>
  <c r="AG208" i="18" s="1"/>
  <c r="AG75" i="18"/>
  <c r="AG209" i="18" s="1"/>
  <c r="AG90" i="18"/>
  <c r="AG212" i="18" s="1"/>
  <c r="AG84" i="18"/>
  <c r="AG213" i="18" s="1"/>
  <c r="AG86" i="18"/>
  <c r="AG76" i="18"/>
  <c r="AG218" i="18" s="1"/>
  <c r="AG143" i="18"/>
  <c r="AG144" i="18" s="1"/>
  <c r="AH61" i="18"/>
  <c r="AG235" i="18" l="1"/>
  <c r="AG236" i="18" s="1"/>
  <c r="AG233" i="18"/>
  <c r="AG88" i="18"/>
  <c r="AG211" i="18" s="1"/>
  <c r="AF220" i="18"/>
  <c r="AF221" i="18" s="1"/>
  <c r="AF219" i="18"/>
  <c r="AH77" i="18"/>
  <c r="AH80" i="18"/>
  <c r="AH82" i="18"/>
  <c r="AH71" i="18"/>
  <c r="AH84" i="18"/>
  <c r="AH213" i="18" s="1"/>
  <c r="AH96" i="18"/>
  <c r="AH89" i="18"/>
  <c r="AH97" i="18"/>
  <c r="AH87" i="18"/>
  <c r="AH75" i="18"/>
  <c r="AH209" i="18" s="1"/>
  <c r="AH70" i="18"/>
  <c r="AH206" i="18" s="1"/>
  <c r="AH79" i="18"/>
  <c r="AH210" i="18" s="1"/>
  <c r="AH234" i="18" s="1"/>
  <c r="AH99" i="18"/>
  <c r="AH98" i="18"/>
  <c r="AH78" i="18"/>
  <c r="AH104" i="18"/>
  <c r="AH90" i="18"/>
  <c r="AH212" i="18" s="1"/>
  <c r="AH106" i="18"/>
  <c r="AH216" i="18"/>
  <c r="AH103" i="18"/>
  <c r="AH100" i="18"/>
  <c r="AH83" i="18"/>
  <c r="AH102" i="18"/>
  <c r="AH168" i="18" s="1"/>
  <c r="AH74" i="18"/>
  <c r="AH208" i="18" s="1"/>
  <c r="AI61" i="18"/>
  <c r="AH143" i="18"/>
  <c r="AH144" i="18" s="1"/>
  <c r="AH86" i="18"/>
  <c r="AH76" i="18"/>
  <c r="AH218" i="18" s="1"/>
  <c r="AG145" i="18"/>
  <c r="AG146" i="18" s="1"/>
  <c r="AG147" i="18"/>
  <c r="AG207" i="18"/>
  <c r="AH235" i="18" l="1"/>
  <c r="AH236" i="18" s="1"/>
  <c r="AH233" i="18"/>
  <c r="AG220" i="18"/>
  <c r="AG221" i="18" s="1"/>
  <c r="AG219" i="18"/>
  <c r="AH88" i="18"/>
  <c r="AH211" i="18" s="1"/>
  <c r="AI96" i="18"/>
  <c r="AI83" i="18"/>
  <c r="AI216" i="18"/>
  <c r="AI82" i="18"/>
  <c r="AI84" i="18"/>
  <c r="AI213" i="18" s="1"/>
  <c r="AI99" i="18"/>
  <c r="AI71" i="18"/>
  <c r="AI87" i="18"/>
  <c r="AI104" i="18"/>
  <c r="AI102" i="18"/>
  <c r="AI168" i="18" s="1"/>
  <c r="AI70" i="18"/>
  <c r="AI206" i="18" s="1"/>
  <c r="AI103" i="18"/>
  <c r="AI78" i="18"/>
  <c r="AI80" i="18"/>
  <c r="AI100" i="18"/>
  <c r="AI90" i="18"/>
  <c r="AI212" i="18" s="1"/>
  <c r="AI77" i="18"/>
  <c r="AI106" i="18"/>
  <c r="AI98" i="18"/>
  <c r="AI97" i="18"/>
  <c r="AI89" i="18"/>
  <c r="AI74" i="18"/>
  <c r="AI208" i="18" s="1"/>
  <c r="AI75" i="18"/>
  <c r="AI209" i="18" s="1"/>
  <c r="AI79" i="18"/>
  <c r="AI210" i="18" s="1"/>
  <c r="AI234" i="18" s="1"/>
  <c r="AI143" i="18"/>
  <c r="AI144" i="18" s="1"/>
  <c r="AI76" i="18"/>
  <c r="AI218" i="18" s="1"/>
  <c r="AI86" i="18"/>
  <c r="AJ61" i="18"/>
  <c r="AH207" i="18"/>
  <c r="AH145" i="18"/>
  <c r="AH146" i="18" s="1"/>
  <c r="AH147" i="18"/>
  <c r="AI235" i="18" l="1"/>
  <c r="AI236" i="18" s="1"/>
  <c r="AI233" i="18"/>
  <c r="AH220" i="18"/>
  <c r="AH221" i="18" s="1"/>
  <c r="AH219" i="18"/>
  <c r="AI88" i="18"/>
  <c r="AI211" i="18" s="1"/>
  <c r="AI147" i="18"/>
  <c r="AI145" i="18"/>
  <c r="AI146" i="18" s="1"/>
  <c r="AJ96" i="18"/>
  <c r="AJ98" i="18"/>
  <c r="AJ80" i="18"/>
  <c r="AJ100" i="18"/>
  <c r="AJ70" i="18"/>
  <c r="AJ206" i="18" s="1"/>
  <c r="AJ78" i="18"/>
  <c r="AJ87" i="18"/>
  <c r="AJ104" i="18"/>
  <c r="AJ99" i="18"/>
  <c r="AJ74" i="18"/>
  <c r="AJ208" i="18" s="1"/>
  <c r="AJ84" i="18"/>
  <c r="AJ213" i="18" s="1"/>
  <c r="AJ89" i="18"/>
  <c r="AJ83" i="18"/>
  <c r="AJ216" i="18"/>
  <c r="AJ103" i="18"/>
  <c r="AJ106" i="18"/>
  <c r="AJ97" i="18"/>
  <c r="AJ71" i="18"/>
  <c r="AJ77" i="18"/>
  <c r="AJ82" i="18"/>
  <c r="AJ75" i="18"/>
  <c r="AJ209" i="18" s="1"/>
  <c r="AJ90" i="18"/>
  <c r="AJ212" i="18" s="1"/>
  <c r="AJ102" i="18"/>
  <c r="AJ168" i="18" s="1"/>
  <c r="AJ79" i="18"/>
  <c r="AJ210" i="18" s="1"/>
  <c r="AJ234" i="18" s="1"/>
  <c r="AJ143" i="18"/>
  <c r="AJ144" i="18" s="1"/>
  <c r="AJ86" i="18"/>
  <c r="AJ76" i="18"/>
  <c r="AJ218" i="18" s="1"/>
  <c r="AK61" i="18"/>
  <c r="AI207" i="18"/>
  <c r="AJ235" i="18" l="1"/>
  <c r="AJ236" i="18" s="1"/>
  <c r="AJ233" i="18"/>
  <c r="AI220" i="18"/>
  <c r="AI221" i="18" s="1"/>
  <c r="AI219" i="18"/>
  <c r="AJ207" i="18"/>
  <c r="AJ88" i="18"/>
  <c r="AJ211" i="18" s="1"/>
  <c r="AJ145" i="18"/>
  <c r="AJ146" i="18" s="1"/>
  <c r="AJ147" i="18"/>
  <c r="AK83" i="18"/>
  <c r="AK96" i="18"/>
  <c r="AK87" i="18"/>
  <c r="AK77" i="18"/>
  <c r="AK102" i="18"/>
  <c r="AK168" i="18" s="1"/>
  <c r="AK104" i="18"/>
  <c r="AK97" i="18"/>
  <c r="AK103" i="18"/>
  <c r="AK80" i="18"/>
  <c r="AK70" i="18"/>
  <c r="AK206" i="18" s="1"/>
  <c r="AK90" i="18"/>
  <c r="AK212" i="18" s="1"/>
  <c r="AK100" i="18"/>
  <c r="AK75" i="18"/>
  <c r="AK209" i="18" s="1"/>
  <c r="AK106" i="18"/>
  <c r="AK98" i="18"/>
  <c r="AK99" i="18"/>
  <c r="AK89" i="18"/>
  <c r="AK82" i="18"/>
  <c r="AK71" i="18"/>
  <c r="AK216" i="18"/>
  <c r="AK78" i="18"/>
  <c r="AK74" i="18"/>
  <c r="AK208" i="18" s="1"/>
  <c r="AK84" i="18"/>
  <c r="AK213" i="18" s="1"/>
  <c r="AK79" i="18"/>
  <c r="AK210" i="18" s="1"/>
  <c r="AK234" i="18" s="1"/>
  <c r="AK143" i="18"/>
  <c r="AK144" i="18" s="1"/>
  <c r="AK76" i="18"/>
  <c r="AK218" i="18" s="1"/>
  <c r="AL61" i="18"/>
  <c r="AK86" i="18"/>
  <c r="AO61" i="18" l="1"/>
  <c r="AM61" i="18"/>
  <c r="AK235" i="18"/>
  <c r="AK236" i="18" s="1"/>
  <c r="AK233" i="18"/>
  <c r="AJ220" i="18"/>
  <c r="AJ221" i="18" s="1"/>
  <c r="AJ219" i="18"/>
  <c r="AK88" i="18"/>
  <c r="AK211" i="18" s="1"/>
  <c r="AK207" i="18"/>
  <c r="AL216" i="18"/>
  <c r="AL103" i="18"/>
  <c r="AO103" i="18" s="1"/>
  <c r="AL104" i="18"/>
  <c r="AO104" i="18" s="1"/>
  <c r="AL71" i="18"/>
  <c r="AO71" i="18" s="1"/>
  <c r="AL77" i="18"/>
  <c r="AO77" i="18" s="1"/>
  <c r="AL106" i="18"/>
  <c r="AL102" i="18"/>
  <c r="AO102" i="18" s="1"/>
  <c r="AL74" i="18"/>
  <c r="AO74" i="18" s="1"/>
  <c r="AL70" i="18"/>
  <c r="AO70" i="18" s="1"/>
  <c r="AL75" i="18"/>
  <c r="AO75" i="18" s="1"/>
  <c r="AL79" i="18"/>
  <c r="AO79" i="18" s="1"/>
  <c r="AL89" i="18"/>
  <c r="AO89" i="18" s="1"/>
  <c r="AL76" i="18"/>
  <c r="AL90" i="18"/>
  <c r="AO90" i="18" s="1"/>
  <c r="AL97" i="18"/>
  <c r="AO97" i="18" s="1"/>
  <c r="AL99" i="18"/>
  <c r="AO99" i="18" s="1"/>
  <c r="AL84" i="18"/>
  <c r="AO84" i="18" s="1"/>
  <c r="AL86" i="18"/>
  <c r="AO86" i="18" s="1"/>
  <c r="AL82" i="18"/>
  <c r="AO82" i="18" s="1"/>
  <c r="AL87" i="18"/>
  <c r="AO87" i="18" s="1"/>
  <c r="AL98" i="18"/>
  <c r="AO98" i="18" s="1"/>
  <c r="AL96" i="18"/>
  <c r="AO96" i="18" s="1"/>
  <c r="AL80" i="18"/>
  <c r="AO80" i="18" s="1"/>
  <c r="AL100" i="18"/>
  <c r="AO100" i="18" s="1"/>
  <c r="AL143" i="18"/>
  <c r="AO143" i="18" s="1"/>
  <c r="AL78" i="18"/>
  <c r="AO78" i="18" s="1"/>
  <c r="AL83" i="18"/>
  <c r="AO83" i="18" s="1"/>
  <c r="AK147" i="18"/>
  <c r="AK145" i="18"/>
  <c r="AK146" i="18" s="1"/>
  <c r="AO106" i="18" l="1"/>
  <c r="AM106" i="18"/>
  <c r="AL218" i="18"/>
  <c r="AO76" i="18"/>
  <c r="AD175" i="18" s="1"/>
  <c r="T247" i="18" s="1"/>
  <c r="AK220" i="18"/>
  <c r="AK221" i="18" s="1"/>
  <c r="AK219" i="18"/>
  <c r="AL144" i="18"/>
  <c r="AO144" i="18" s="1"/>
  <c r="AM143" i="18"/>
  <c r="AM98" i="18"/>
  <c r="AC198" i="18"/>
  <c r="AD198" i="18"/>
  <c r="AD183" i="18"/>
  <c r="T243" i="18" s="1"/>
  <c r="AL213" i="18"/>
  <c r="AM84" i="18"/>
  <c r="AC183" i="18"/>
  <c r="U243" i="18" s="1"/>
  <c r="AM76" i="18"/>
  <c r="AC175" i="18"/>
  <c r="AL207" i="18"/>
  <c r="AL219" i="18" s="1"/>
  <c r="AM219" i="18" s="1"/>
  <c r="AM70" i="18"/>
  <c r="AL206" i="18"/>
  <c r="AM104" i="18"/>
  <c r="AC202" i="18"/>
  <c r="U246" i="18" s="1"/>
  <c r="AD202" i="18"/>
  <c r="T246" i="18" s="1"/>
  <c r="AM100" i="18"/>
  <c r="AM87" i="18"/>
  <c r="AD199" i="18"/>
  <c r="AM99" i="18"/>
  <c r="AC199" i="18"/>
  <c r="AM89" i="18"/>
  <c r="AC185" i="18"/>
  <c r="AD185" i="18"/>
  <c r="AM74" i="18"/>
  <c r="AL208" i="18"/>
  <c r="AM77" i="18"/>
  <c r="AM103" i="18"/>
  <c r="AM83" i="18"/>
  <c r="AD182" i="18"/>
  <c r="AC182" i="18"/>
  <c r="AM80" i="18"/>
  <c r="AC178" i="18"/>
  <c r="AD178" i="18"/>
  <c r="AC181" i="18"/>
  <c r="AM82" i="18"/>
  <c r="AD181" i="18"/>
  <c r="AM97" i="18"/>
  <c r="AC197" i="18"/>
  <c r="AD197" i="18"/>
  <c r="AM79" i="18"/>
  <c r="AD177" i="18"/>
  <c r="AL210" i="18"/>
  <c r="AL234" i="18" s="1"/>
  <c r="AC177" i="18"/>
  <c r="AM102" i="18"/>
  <c r="AL168" i="18"/>
  <c r="AM216" i="18"/>
  <c r="AO216" i="18" s="1"/>
  <c r="AO231" i="18" s="1"/>
  <c r="AC176" i="18"/>
  <c r="U244" i="18" s="1"/>
  <c r="AD176" i="18"/>
  <c r="T244" i="18" s="1"/>
  <c r="AM78" i="18"/>
  <c r="AM96" i="18"/>
  <c r="AC196" i="18"/>
  <c r="AD196" i="18"/>
  <c r="AM86" i="18"/>
  <c r="AD179" i="18"/>
  <c r="AC179" i="18"/>
  <c r="AL88" i="18"/>
  <c r="AO88" i="18" s="1"/>
  <c r="AM90" i="18"/>
  <c r="AL212" i="18"/>
  <c r="AC186" i="18"/>
  <c r="AD186" i="18"/>
  <c r="AM75" i="18"/>
  <c r="AL209" i="18"/>
  <c r="AM71" i="18"/>
  <c r="W234" i="18" l="1"/>
  <c r="W233" i="18" s="1"/>
  <c r="Y234" i="18"/>
  <c r="Z234" i="18"/>
  <c r="X234" i="18"/>
  <c r="R234" i="18"/>
  <c r="V234" i="18"/>
  <c r="S234" i="18"/>
  <c r="T234" i="18"/>
  <c r="U234" i="18"/>
  <c r="AM168" i="18"/>
  <c r="AO168" i="18"/>
  <c r="U247" i="18"/>
  <c r="U248" i="18" s="1"/>
  <c r="G234" i="18"/>
  <c r="G235" i="18" s="1"/>
  <c r="G236" i="18" s="1"/>
  <c r="AL235" i="18"/>
  <c r="AL236" i="18" s="1"/>
  <c r="AL233" i="18"/>
  <c r="I234" i="18"/>
  <c r="K234" i="18"/>
  <c r="M234" i="18"/>
  <c r="O234" i="18"/>
  <c r="Q234" i="18"/>
  <c r="H234" i="18"/>
  <c r="J234" i="18"/>
  <c r="L234" i="18"/>
  <c r="N234" i="18"/>
  <c r="P234" i="18"/>
  <c r="AB179" i="18"/>
  <c r="AD200" i="18"/>
  <c r="AM218" i="18"/>
  <c r="AO218" i="18" s="1"/>
  <c r="AO233" i="18" s="1"/>
  <c r="AB196" i="18"/>
  <c r="AB181" i="18"/>
  <c r="AB177" i="18"/>
  <c r="AB185" i="18"/>
  <c r="AL211" i="18"/>
  <c r="AM88" i="18"/>
  <c r="AM210" i="18"/>
  <c r="AO210" i="18" s="1"/>
  <c r="AC200" i="18"/>
  <c r="AB197" i="18"/>
  <c r="AB182" i="18"/>
  <c r="AB202" i="18"/>
  <c r="AB198" i="18"/>
  <c r="AM209" i="18"/>
  <c r="AO209" i="18" s="1"/>
  <c r="AB186" i="18"/>
  <c r="AB176" i="18"/>
  <c r="AB199" i="18"/>
  <c r="AM213" i="18"/>
  <c r="AO213" i="18" s="1"/>
  <c r="AM212" i="18"/>
  <c r="AO212" i="18" s="1"/>
  <c r="AO226" i="18" s="1"/>
  <c r="AB178" i="18"/>
  <c r="AL220" i="18"/>
  <c r="AM207" i="18"/>
  <c r="AO207" i="18" s="1"/>
  <c r="AO220" i="18" s="1"/>
  <c r="AO235" i="18" s="1"/>
  <c r="AM208" i="18"/>
  <c r="AO208" i="18" s="1"/>
  <c r="AO221" i="18" s="1"/>
  <c r="AO236" i="18" s="1"/>
  <c r="AM206" i="18"/>
  <c r="AO206" i="18" s="1"/>
  <c r="AO219" i="18" s="1"/>
  <c r="AO234" i="18" s="1"/>
  <c r="AB175" i="18"/>
  <c r="T248" i="18" s="1"/>
  <c r="AB183" i="18"/>
  <c r="AL147" i="18"/>
  <c r="AM144" i="18"/>
  <c r="AL145" i="18"/>
  <c r="AO145" i="18" s="1"/>
  <c r="W235" i="18" l="1"/>
  <c r="W236" i="18" s="1"/>
  <c r="Y233" i="18"/>
  <c r="Y235" i="18"/>
  <c r="Y236" i="18" s="1"/>
  <c r="X235" i="18"/>
  <c r="X236" i="18" s="1"/>
  <c r="X233" i="18"/>
  <c r="Z233" i="18"/>
  <c r="Z235" i="18"/>
  <c r="Z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M147" i="18"/>
  <c r="AO147" i="18"/>
  <c r="AA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M233" i="18" s="1"/>
  <c r="J235" i="18"/>
  <c r="AM234" i="18"/>
  <c r="O235" i="18"/>
  <c r="O236" i="18" s="1"/>
  <c r="O233" i="18"/>
  <c r="K235" i="18"/>
  <c r="K236" i="18" s="1"/>
  <c r="K233" i="18"/>
  <c r="AO224" i="18"/>
  <c r="AO223" i="18"/>
  <c r="AM220" i="18"/>
  <c r="AL221" i="18"/>
  <c r="AM221" i="18" s="1"/>
  <c r="AB200" i="18"/>
  <c r="AM145" i="18"/>
  <c r="AL146" i="18"/>
  <c r="P243" i="18"/>
  <c r="P244" i="18"/>
  <c r="P246" i="18"/>
  <c r="AM211" i="18"/>
  <c r="AO211" i="18" s="1"/>
  <c r="AO225" i="18" s="1"/>
  <c r="AA233" i="18" l="1"/>
  <c r="AM146" i="18"/>
  <c r="AO146" i="18"/>
  <c r="AA236" i="18"/>
  <c r="AA235" i="18"/>
  <c r="J236" i="18"/>
  <c r="AM236" i="18" s="1"/>
  <c r="AM235" i="18"/>
</calcChain>
</file>

<file path=xl/sharedStrings.xml><?xml version="1.0" encoding="utf-8"?>
<sst xmlns="http://schemas.openxmlformats.org/spreadsheetml/2006/main" count="458" uniqueCount="310">
  <si>
    <t>#</t>
  </si>
  <si>
    <t>CAGR</t>
  </si>
  <si>
    <t>Cash and equivalents</t>
  </si>
  <si>
    <t>Total Liabilities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</si>
  <si>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</si>
  <si>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</si>
  <si>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</si>
  <si>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</si>
  <si>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</si>
  <si>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</si>
  <si>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</si>
  <si>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</si>
  <si>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</si>
  <si>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</si>
  <si>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</si>
  <si>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</si>
  <si>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</si>
  <si>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</si>
  <si>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</si>
  <si>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</si>
  <si>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</si>
  <si>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</si>
  <si>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</si>
  <si>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</si>
  <si>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</si>
  <si>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</si>
  <si>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</si>
  <si>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</si>
  <si>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</si>
  <si>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</si>
  <si>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</si>
  <si>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</si>
  <si>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</si>
  <si>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</si>
  <si>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</si>
  <si>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</si>
  <si>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</si>
  <si>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</si>
  <si>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</si>
  <si>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</si>
  <si>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</si>
  <si>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</si>
  <si>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</si>
  <si>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</si>
  <si>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</si>
  <si>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</si>
  <si>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</si>
  <si>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</si>
  <si>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</si>
  <si>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</si>
  <si>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</si>
  <si>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</si>
  <si>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</si>
  <si>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</si>
  <si>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</si>
  <si>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</si>
  <si>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</si>
  <si>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</si>
  <si>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</si>
  <si>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</si>
  <si>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</si>
  <si>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</si>
  <si>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</si>
  <si>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</si>
  <si>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Earnings</t>
  </si>
  <si>
    <t>Market Cap</t>
  </si>
  <si>
    <t>Price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</si>
  <si>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</si>
  <si>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</si>
  <si>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</si>
  <si>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</si>
  <si>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</si>
  <si>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</si>
  <si>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</si>
  <si>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</si>
  <si>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</si>
  <si>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</si>
  <si>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</si>
  <si>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</si>
  <si>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</si>
  <si>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</si>
  <si>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</si>
  <si>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</si>
  <si>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</si>
  <si>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</si>
  <si>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</si>
  <si>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</si>
  <si>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</si>
  <si>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</si>
  <si>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</si>
  <si>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</si>
  <si>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</si>
  <si>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</si>
  <si>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</si>
  <si>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</si>
  <si>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</si>
  <si>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</si>
  <si>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</si>
  <si>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</si>
  <si>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</si>
  <si>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</si>
  <si>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</si>
  <si>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</si>
  <si>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</si>
  <si>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</si>
  <si>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</si>
  <si>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</si>
  <si>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</si>
  <si>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</si>
  <si>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</si>
  <si>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</si>
  <si>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</si>
  <si>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</si>
  <si>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</si>
  <si>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</si>
  <si>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</si>
  <si>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</si>
  <si>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</si>
  <si>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</si>
  <si>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</si>
  <si>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</si>
  <si>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</si>
  <si>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</si>
  <si>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</si>
  <si>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</si>
  <si>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</si>
  <si>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</si>
  <si>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</si>
  <si>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</si>
  <si>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</si>
  <si>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</si>
  <si>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</si>
  <si>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</si>
  <si>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</si>
  <si>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</si>
  <si>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</si>
  <si>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</si>
  <si>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</si>
  <si>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</si>
  <si>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</si>
  <si>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</si>
  <si>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</si>
  <si>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</si>
  <si>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</si>
  <si>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</si>
  <si>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</si>
  <si>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</si>
  <si>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</si>
  <si>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</si>
  <si>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</si>
  <si>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</si>
  <si>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</si>
  <si>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</si>
  <si>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</si>
  <si>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</si>
  <si>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</si>
  <si>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</si>
  <si>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</si>
  <si>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</si>
  <si>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</si>
  <si>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</si>
  <si>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</si>
  <si>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</si>
  <si>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</si>
  <si>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</si>
  <si>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</si>
  <si>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</si>
  <si>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</si>
  <si>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</si>
  <si>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</si>
  <si>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</si>
  <si>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</si>
  <si>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</si>
  <si>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</si>
  <si>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</si>
  <si>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</si>
  <si>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</si>
  <si>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</si>
  <si>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</si>
  <si>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</si>
  <si>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</si>
  <si>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</si>
  <si>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</si>
  <si>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</si>
  <si>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</si>
  <si>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</si>
  <si>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</si>
  <si>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</si>
  <si>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</si>
  <si>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</si>
  <si>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</si>
  <si>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</si>
  <si>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</si>
  <si>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</si>
  <si>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</si>
  <si>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</si>
  <si>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</si>
  <si>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</si>
  <si>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</si>
  <si>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</si>
  <si>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</si>
  <si>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</si>
  <si>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</si>
  <si>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</si>
  <si>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</si>
  <si>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</si>
  <si>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</si>
  <si>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</si>
  <si>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</si>
  <si>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</si>
  <si>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</si>
  <si>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</si>
  <si>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</si>
  <si>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</si>
  <si>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</si>
  <si>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</si>
  <si>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</si>
  <si>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</si>
  <si>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</si>
  <si>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</si>
  <si>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</si>
  <si>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</si>
  <si>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</si>
  <si>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</si>
  <si>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</si>
  <si>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</si>
  <si>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</si>
  <si>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</si>
  <si>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</si>
  <si>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</si>
  <si>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</si>
  <si>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</si>
  <si>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</si>
  <si>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</si>
  <si>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</si>
  <si>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</si>
  <si>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</si>
  <si>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</si>
  <si>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</si>
  <si>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</si>
  <si>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</si>
  <si>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</si>
  <si>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</si>
  <si>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</si>
  <si>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</si>
  <si>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</si>
  <si>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</si>
  <si>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</si>
  <si>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</si>
  <si>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</si>
  <si>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</si>
  <si>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</si>
  <si>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</si>
  <si>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</si>
  <si>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</si>
  <si>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</si>
  <si>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</si>
  <si>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</si>
  <si>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</si>
  <si>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</si>
  <si>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</si>
  <si>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</si>
  <si>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</si>
  <si>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</si>
  <si>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</si>
  <si>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</si>
  <si>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</si>
  <si>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</si>
  <si>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</si>
  <si>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</si>
  <si>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</si>
  <si>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</si>
  <si>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</si>
  <si>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</si>
  <si>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</si>
  <si>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</si>
  <si>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</si>
  <si>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</si>
  <si>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</si>
  <si>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</si>
  <si>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</si>
  <si>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</si>
  <si>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</si>
  <si>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</si>
  <si>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</si>
  <si>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</si>
  <si>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</si>
  <si>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</si>
  <si>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</si>
  <si>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</si>
  <si>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</si>
  <si>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</si>
  <si>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</si>
  <si>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</si>
  <si>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</si>
  <si>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</si>
  <si>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</si>
  <si>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</si>
  <si>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</si>
  <si>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</si>
  <si>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</si>
  <si>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</si>
  <si>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</si>
  <si>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</si>
  <si>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</si>
  <si>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</si>
  <si>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</si>
  <si>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MoneyControl / Screener</t>
  </si>
  <si>
    <t>10-&gt;2 i.e. 5x</t>
  </si>
  <si>
    <t>2-&gt;1 i.e.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</si>
</sst>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_);_(* \(#,##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0" xfId="0" applyFont="1" applyFill="1"/>
    <xf numFmtId="0" fontId="5" fillId="4" borderId="1" xfId="0" applyFont="1" applyFill="1" applyBorder="1"/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2" fillId="5" borderId="1" xfId="0" applyFont="1" applyFill="1" applyBorder="1" applyAlignment="1">
      <alignment horizontal="right"/>
    </xf>
    <xf numFmtId="0" fontId="15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9" fontId="5" fillId="6" borderId="0" xfId="0" applyNumberFormat="1" applyFont="1" applyFill="1"/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84"/>
  <sheetViews>
    <sheetView tabSelected="1" zoomScale="130" zoomScaleNormal="130" workbookViewId="0">
      <pane xSplit="2" ySplit="3" topLeftCell="S4" activePane="bottomRight" state="frozen"/>
      <selection pane="topRight" activeCell="C1" sqref="C1"/>
      <selection pane="bottomLeft" activeCell="A5" sqref="A5"/>
      <selection pane="bottomRight" activeCell="H281" sqref="H281"/>
    </sheetView>
  </sheetViews>
  <sheetFormatPr baseColWidth="10" defaultColWidth="9.1640625" defaultRowHeight="13" x14ac:dyDescent="0.15"/>
  <cols>
    <col min="1" max="1" width="4.6640625" style="88" customWidth="1"/>
    <col min="2" max="2" width="37.1640625" style="88" customWidth="1"/>
    <col min="3" max="3" width="7.83203125" style="88" customWidth="1"/>
    <col min="4" max="4" width="11.33203125" style="88" customWidth="1"/>
    <col min="5" max="5" width="8.5" style="88" bestFit="1" customWidth="1"/>
    <col min="6" max="6" width="8.5" style="88" customWidth="1"/>
    <col min="7" max="8" width="9.6640625" style="88" customWidth="1"/>
    <col min="9" max="9" width="10.83203125" style="88" customWidth="1"/>
    <col min="10" max="10" width="13.5" style="88" bestFit="1" customWidth="1"/>
    <col min="11" max="11" width="11.33203125" style="88" bestFit="1" customWidth="1"/>
    <col min="12" max="17" width="12.33203125" style="88" bestFit="1" customWidth="1"/>
    <col min="18" max="18" width="12.33203125" style="88" customWidth="1"/>
    <col min="19" max="20" width="12.33203125" style="88" bestFit="1" customWidth="1"/>
    <col min="21" max="23" width="10.6640625" style="88" customWidth="1"/>
    <col min="24" max="24" width="12.1640625" style="88" bestFit="1" customWidth="1"/>
    <col min="25" max="26" width="10.6640625" style="88" customWidth="1"/>
    <col min="27" max="27" width="9.83203125" style="88" customWidth="1"/>
    <col min="28" max="28" width="10.83203125" style="88" bestFit="1" customWidth="1"/>
    <col min="29" max="30" width="9.6640625" style="88" bestFit="1" customWidth="1"/>
    <col min="31" max="37" width="8" style="88" bestFit="1" customWidth="1"/>
    <col min="38" max="38" width="11.33203125" style="88" bestFit="1" customWidth="1"/>
    <col min="39" max="39" width="9.33203125" style="88" bestFit="1" customWidth="1"/>
    <col min="40" max="40" width="9" style="88" customWidth="1"/>
    <col min="41" max="41" width="10.6640625" style="88" customWidth="1"/>
    <col min="42" max="16384" width="9.1640625" style="88"/>
  </cols>
  <sheetData>
    <row r="1" spans="2:41" x14ac:dyDescent="0.15">
      <c r="B1" s="101" t="s">
        <v>302</v>
      </c>
      <c r="C1" s="174">
        <f>T2</f>
        <v>0.22</v>
      </c>
      <c r="I1" s="88" t="s">
        <v>85</v>
      </c>
      <c r="K1" s="102">
        <v>2004</v>
      </c>
      <c r="M1" s="88" t="s">
        <v>147</v>
      </c>
      <c r="O1" s="131">
        <v>0.01</v>
      </c>
      <c r="Q1" s="88" t="s">
        <v>215</v>
      </c>
      <c r="T1" s="131">
        <v>0.01</v>
      </c>
    </row>
    <row r="2" spans="2:41" x14ac:dyDescent="0.15">
      <c r="B2" s="123" t="s">
        <v>137</v>
      </c>
      <c r="C2" s="98"/>
      <c r="I2" s="88" t="s">
        <v>86</v>
      </c>
      <c r="K2" s="102">
        <v>2023</v>
      </c>
      <c r="M2" s="88" t="s">
        <v>148</v>
      </c>
      <c r="O2" s="131">
        <v>0.15</v>
      </c>
      <c r="Q2" s="88" t="s">
        <v>265</v>
      </c>
      <c r="T2" s="131">
        <v>0.22</v>
      </c>
      <c r="AC2" s="93" t="s">
        <v>4</v>
      </c>
      <c r="AD2" s="93" t="s">
        <v>5</v>
      </c>
      <c r="AE2" s="93" t="s">
        <v>6</v>
      </c>
      <c r="AF2" s="93" t="s">
        <v>7</v>
      </c>
      <c r="AG2" s="93" t="s">
        <v>8</v>
      </c>
      <c r="AH2" s="93" t="s">
        <v>68</v>
      </c>
      <c r="AI2" s="93" t="s">
        <v>69</v>
      </c>
      <c r="AJ2" s="93" t="s">
        <v>70</v>
      </c>
      <c r="AK2" s="93" t="s">
        <v>71</v>
      </c>
      <c r="AL2" s="93" t="s">
        <v>72</v>
      </c>
      <c r="AN2" s="179" t="s">
        <v>116</v>
      </c>
      <c r="AO2" s="180"/>
    </row>
    <row r="3" spans="2:41" x14ac:dyDescent="0.15">
      <c r="B3" s="10"/>
      <c r="C3" s="92">
        <v>2000</v>
      </c>
      <c r="D3" s="92">
        <v>2001</v>
      </c>
      <c r="E3" s="92">
        <v>2002</v>
      </c>
      <c r="F3" s="92">
        <v>2003</v>
      </c>
      <c r="G3" s="92">
        <v>2004</v>
      </c>
      <c r="H3" s="92">
        <v>2005</v>
      </c>
      <c r="I3" s="92">
        <v>2006</v>
      </c>
      <c r="J3" s="92">
        <v>2007</v>
      </c>
      <c r="K3" s="92">
        <v>2008</v>
      </c>
      <c r="L3" s="92">
        <v>2009</v>
      </c>
      <c r="M3" s="92">
        <v>2010</v>
      </c>
      <c r="N3" s="92">
        <v>2011</v>
      </c>
      <c r="O3" s="92">
        <v>2012</v>
      </c>
      <c r="P3" s="92">
        <v>2013</v>
      </c>
      <c r="Q3" s="92">
        <v>2014</v>
      </c>
      <c r="R3" s="92">
        <v>2015</v>
      </c>
      <c r="S3" s="92">
        <v>2016</v>
      </c>
      <c r="T3" s="92">
        <v>2017</v>
      </c>
      <c r="U3" s="92">
        <v>2018</v>
      </c>
      <c r="V3" s="92">
        <v>2019</v>
      </c>
      <c r="W3" s="92">
        <v>2020</v>
      </c>
      <c r="X3" s="92">
        <v>2021</v>
      </c>
      <c r="Y3" s="92">
        <v>2022</v>
      </c>
      <c r="Z3" s="92">
        <v>2023</v>
      </c>
      <c r="AA3" s="94" t="s">
        <v>1</v>
      </c>
      <c r="AB3" s="94" t="s">
        <v>87</v>
      </c>
      <c r="AC3" s="93">
        <v>2024</v>
      </c>
      <c r="AD3" s="93">
        <v>2025</v>
      </c>
      <c r="AE3" s="93">
        <v>2026</v>
      </c>
      <c r="AF3" s="93">
        <v>2027</v>
      </c>
      <c r="AG3" s="93">
        <v>2028</v>
      </c>
      <c r="AH3" s="93">
        <v>2029</v>
      </c>
      <c r="AI3" s="93">
        <v>2030</v>
      </c>
      <c r="AJ3" s="93">
        <v>2031</v>
      </c>
      <c r="AK3" s="93">
        <v>2032</v>
      </c>
      <c r="AL3" s="93">
        <v>2033</v>
      </c>
      <c r="AM3" s="107" t="s">
        <v>1</v>
      </c>
      <c r="AN3" s="181" t="s">
        <v>117</v>
      </c>
      <c r="AO3" s="182"/>
    </row>
    <row r="4" spans="2:4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108"/>
      <c r="AN4" s="10"/>
      <c r="AO4" s="10"/>
    </row>
    <row r="5" spans="2:41" x14ac:dyDescent="0.15">
      <c r="B5" s="89" t="s">
        <v>75</v>
      </c>
      <c r="C5" s="10"/>
      <c r="D5" s="10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0"/>
      <c r="AB5" s="10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08"/>
      <c r="AN5" s="10"/>
      <c r="AO5" s="124"/>
    </row>
    <row r="6" spans="2:41" x14ac:dyDescent="0.15">
      <c r="B6" s="10" t="s">
        <v>9</v>
      </c>
      <c r="C6" s="112"/>
      <c r="D6" s="112"/>
      <c r="E6" s="118"/>
      <c r="F6" s="118"/>
      <c r="G6" s="118">
        <f>I6</f>
        <v>5014</v>
      </c>
      <c r="H6" s="118"/>
      <c r="I6" s="118">
        <v>5014</v>
      </c>
      <c r="J6" s="118">
        <v>6150</v>
      </c>
      <c r="K6" s="118">
        <v>11180</v>
      </c>
      <c r="L6" s="118">
        <v>14262</v>
      </c>
      <c r="M6" s="118">
        <v>21158</v>
      </c>
      <c r="N6" s="118">
        <v>25117</v>
      </c>
      <c r="O6" s="118">
        <v>29741</v>
      </c>
      <c r="P6" s="118">
        <v>36166</v>
      </c>
      <c r="Q6" s="118">
        <v>43686</v>
      </c>
      <c r="R6" s="118">
        <v>62652</v>
      </c>
      <c r="S6" s="118">
        <v>73798</v>
      </c>
      <c r="T6" s="169">
        <v>91281</v>
      </c>
      <c r="U6" s="169">
        <v>109080</v>
      </c>
      <c r="V6" s="169">
        <v>153128</v>
      </c>
      <c r="W6" s="169">
        <v>175810</v>
      </c>
      <c r="X6" s="169">
        <v>209258</v>
      </c>
      <c r="Y6" s="169">
        <v>246771</v>
      </c>
      <c r="Z6" s="169">
        <v>288879</v>
      </c>
      <c r="AA6" s="96">
        <f>((Z6/G6)^(1/($K$2-$K$1) ))-1</f>
        <v>0.23782588458676179</v>
      </c>
      <c r="AB6" s="21">
        <f>$O$2</f>
        <v>0.15</v>
      </c>
      <c r="AC6" s="124">
        <f>Z6*(1+$AB6)</f>
        <v>332210.84999999998</v>
      </c>
      <c r="AD6" s="124">
        <f>AC6*(1+$AB6)</f>
        <v>382042.47749999992</v>
      </c>
      <c r="AE6" s="124">
        <f t="shared" ref="AE6:AL6" si="0">AD6*(1+$AB6)</f>
        <v>439348.84912499989</v>
      </c>
      <c r="AF6" s="124">
        <f t="shared" si="0"/>
        <v>505251.17649374984</v>
      </c>
      <c r="AG6" s="124">
        <f t="shared" si="0"/>
        <v>581038.85296781221</v>
      </c>
      <c r="AH6" s="124">
        <f t="shared" si="0"/>
        <v>668194.68091298395</v>
      </c>
      <c r="AI6" s="124">
        <f t="shared" si="0"/>
        <v>768423.88304993149</v>
      </c>
      <c r="AJ6" s="124">
        <f t="shared" si="0"/>
        <v>883687.46550742118</v>
      </c>
      <c r="AK6" s="124">
        <f t="shared" si="0"/>
        <v>1016240.5853335343</v>
      </c>
      <c r="AL6" s="124">
        <f t="shared" si="0"/>
        <v>1168676.6731335644</v>
      </c>
      <c r="AM6" s="109">
        <f>((AL6/G6)^(1/($AL$3-$K$1) ))-1</f>
        <v>0.20680826946110042</v>
      </c>
      <c r="AN6" s="21">
        <f>$O$1</f>
        <v>0.01</v>
      </c>
      <c r="AO6" s="117" t="e">
        <f>(AL6*(1+AN6))/($O$1-AN6)</f>
        <v>#DIV/0!</v>
      </c>
    </row>
    <row r="7" spans="2:41" x14ac:dyDescent="0.15">
      <c r="B7" s="10" t="s">
        <v>74</v>
      </c>
      <c r="C7" s="112"/>
      <c r="D7" s="112"/>
      <c r="E7" s="118"/>
      <c r="F7" s="118"/>
      <c r="G7" s="118">
        <f>I7</f>
        <v>5327</v>
      </c>
      <c r="H7" s="118"/>
      <c r="I7" s="118">
        <v>5327</v>
      </c>
      <c r="J7" s="118">
        <v>6470</v>
      </c>
      <c r="K7" s="118">
        <v>11535</v>
      </c>
      <c r="L7" s="118">
        <v>15094</v>
      </c>
      <c r="M7" s="118">
        <v>21618</v>
      </c>
      <c r="N7" s="118">
        <v>25585</v>
      </c>
      <c r="O7" s="118">
        <v>30210</v>
      </c>
      <c r="P7" s="118">
        <v>36642</v>
      </c>
      <c r="Q7" s="118">
        <v>44166</v>
      </c>
      <c r="R7" s="118">
        <v>53154</v>
      </c>
      <c r="S7" s="118">
        <v>74304</v>
      </c>
      <c r="T7" s="169">
        <v>91793</v>
      </c>
      <c r="U7" s="169">
        <v>109599</v>
      </c>
      <c r="V7" s="169">
        <v>153672</v>
      </c>
      <c r="W7" s="169">
        <v>176358</v>
      </c>
      <c r="X7" s="169">
        <v>209810</v>
      </c>
      <c r="Y7" s="169">
        <v>247326</v>
      </c>
      <c r="Z7" s="169">
        <v>289437</v>
      </c>
      <c r="AA7" s="96">
        <f>((Z7/G7)^(1/($K$2-$K$1) ))-1</f>
        <v>0.23401245986710784</v>
      </c>
      <c r="AB7" s="21">
        <f>$O$2</f>
        <v>0.15</v>
      </c>
      <c r="AC7" s="124">
        <f t="shared" ref="AC7:AC63" si="1">Z7*(1+$AB7)</f>
        <v>332852.55</v>
      </c>
      <c r="AD7" s="124">
        <f t="shared" ref="AD7:AL7" si="2">AC7*(1+$AB7)</f>
        <v>382780.43249999994</v>
      </c>
      <c r="AE7" s="124">
        <f t="shared" si="2"/>
        <v>440197.49737499992</v>
      </c>
      <c r="AF7" s="124">
        <f t="shared" si="2"/>
        <v>506227.12198124989</v>
      </c>
      <c r="AG7" s="124">
        <f t="shared" si="2"/>
        <v>582161.19027843734</v>
      </c>
      <c r="AH7" s="124">
        <f t="shared" si="2"/>
        <v>669485.36882020289</v>
      </c>
      <c r="AI7" s="124">
        <f t="shared" si="2"/>
        <v>769908.17414323322</v>
      </c>
      <c r="AJ7" s="124">
        <f t="shared" si="2"/>
        <v>885394.4002647181</v>
      </c>
      <c r="AK7" s="124">
        <f t="shared" si="2"/>
        <v>1018203.5603044258</v>
      </c>
      <c r="AL7" s="124">
        <f t="shared" si="2"/>
        <v>1170934.0943500896</v>
      </c>
      <c r="AM7" s="109">
        <f t="shared" ref="AM7:AM63" si="3">((AL7/G7)^(1/($AL$3-$K$1) ))-1</f>
        <v>0.20437112969147342</v>
      </c>
      <c r="AN7" s="21">
        <f>$O$1</f>
        <v>0.01</v>
      </c>
      <c r="AO7" s="117" t="e">
        <f>(AL7*(1+AN7))/($O$1-AN7)</f>
        <v>#DIV/0!</v>
      </c>
    </row>
    <row r="8" spans="2:41" x14ac:dyDescent="0.15">
      <c r="B8" s="10"/>
      <c r="C8" s="112"/>
      <c r="D8" s="112"/>
      <c r="E8" s="118"/>
      <c r="F8" s="121"/>
      <c r="G8" s="121">
        <f>(G7-F7)/G7</f>
        <v>1</v>
      </c>
      <c r="H8" s="121" t="e">
        <f>(H7-G7)/H7</f>
        <v>#DIV/0!</v>
      </c>
      <c r="I8" s="121">
        <f t="shared" ref="I8:P8" si="4">(I7-H7)/I7</f>
        <v>1</v>
      </c>
      <c r="J8" s="121">
        <f t="shared" si="4"/>
        <v>0.17666151468315303</v>
      </c>
      <c r="K8" s="121">
        <f t="shared" si="4"/>
        <v>0.43909839618552232</v>
      </c>
      <c r="L8" s="121">
        <f t="shared" si="4"/>
        <v>0.23578905525374322</v>
      </c>
      <c r="M8" s="121">
        <f t="shared" si="4"/>
        <v>0.30178554907947081</v>
      </c>
      <c r="N8" s="121">
        <f t="shared" si="4"/>
        <v>0.15505178815712331</v>
      </c>
      <c r="O8" s="121">
        <f t="shared" si="4"/>
        <v>0.15309500165508111</v>
      </c>
      <c r="P8" s="121">
        <f t="shared" si="4"/>
        <v>0.1755362698542656</v>
      </c>
      <c r="Q8" s="121">
        <f t="shared" ref="Q8" si="5">(Q7-P7)/Q7</f>
        <v>0.17035728841190056</v>
      </c>
      <c r="R8" s="121">
        <f t="shared" ref="R8" si="6">(R7-Q7)/R7</f>
        <v>0.16909357715317755</v>
      </c>
      <c r="S8" s="121">
        <f t="shared" ref="S8" si="7">(S7-R7)/S7</f>
        <v>0.28464147286821706</v>
      </c>
      <c r="T8" s="121">
        <f t="shared" ref="T8" si="8">(T7-S7)/T7</f>
        <v>0.19052651073611276</v>
      </c>
      <c r="U8" s="121">
        <f t="shared" ref="U8" si="9">(U7-T7)/U7</f>
        <v>0.16246498599439776</v>
      </c>
      <c r="V8" s="121">
        <f t="shared" ref="V8:W8" si="10">(V7-U7)/V7</f>
        <v>0.28679915664532252</v>
      </c>
      <c r="W8" s="121">
        <f t="shared" si="10"/>
        <v>0.12863606981254039</v>
      </c>
      <c r="X8" s="121">
        <f>(X7-V7)/X7</f>
        <v>0.26756589295076499</v>
      </c>
      <c r="Y8" s="121">
        <f t="shared" ref="Y8:Z8" si="11">(Y7-U7)/Y7</f>
        <v>0.55686421969384536</v>
      </c>
      <c r="Z8" s="121">
        <f t="shared" si="11"/>
        <v>0.46906580706682283</v>
      </c>
      <c r="AA8" s="10"/>
      <c r="AB8" s="10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08"/>
      <c r="AN8" s="108"/>
      <c r="AO8" s="117"/>
    </row>
    <row r="9" spans="2:41" x14ac:dyDescent="0.15">
      <c r="B9" s="10" t="s">
        <v>96</v>
      </c>
      <c r="C9" s="112"/>
      <c r="D9" s="112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96" t="e">
        <f>((Z9/G9)^(1/($K$2-$K$1) ))-1</f>
        <v>#DIV/0!</v>
      </c>
      <c r="AB9" s="21">
        <f t="shared" ref="AB9:AB59" si="12">$O$2</f>
        <v>0.15</v>
      </c>
      <c r="AC9" s="124">
        <f t="shared" si="1"/>
        <v>0</v>
      </c>
      <c r="AD9" s="124">
        <f t="shared" ref="AD9" si="13">AC9*(1+$AB9)</f>
        <v>0</v>
      </c>
      <c r="AE9" s="124">
        <f t="shared" ref="AE9" si="14">AD9*(1+$AB9)</f>
        <v>0</v>
      </c>
      <c r="AF9" s="124">
        <f t="shared" ref="AF9" si="15">AE9*(1+$AB9)</f>
        <v>0</v>
      </c>
      <c r="AG9" s="124">
        <f t="shared" ref="AG9" si="16">AF9*(1+$AB9)</f>
        <v>0</v>
      </c>
      <c r="AH9" s="124">
        <f t="shared" ref="AH9" si="17">AG9*(1+$AB9)</f>
        <v>0</v>
      </c>
      <c r="AI9" s="124">
        <f t="shared" ref="AI9" si="18">AH9*(1+$AB9)</f>
        <v>0</v>
      </c>
      <c r="AJ9" s="124">
        <f t="shared" ref="AJ9" si="19">AI9*(1+$AB9)</f>
        <v>0</v>
      </c>
      <c r="AK9" s="124">
        <f t="shared" ref="AK9" si="20">AJ9*(1+$AB9)</f>
        <v>0</v>
      </c>
      <c r="AL9" s="124">
        <f t="shared" ref="AL9" si="21">AK9*(1+$AB9)</f>
        <v>0</v>
      </c>
      <c r="AM9" s="109" t="e">
        <f t="shared" si="3"/>
        <v>#DIV/0!</v>
      </c>
      <c r="AN9" s="21">
        <f t="shared" ref="AN9:AN103" si="22">$O$1</f>
        <v>0.01</v>
      </c>
      <c r="AO9" s="117" t="e">
        <f>(AL9*(1+AN9))/($O$1-AN9)</f>
        <v>#DIV/0!</v>
      </c>
    </row>
    <row r="10" spans="2:41" x14ac:dyDescent="0.15">
      <c r="B10" s="10" t="s">
        <v>3</v>
      </c>
      <c r="C10" s="112"/>
      <c r="D10" s="112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96" t="e">
        <f>((Z10/G10)^(1/($K$2-$K$1) ))-1</f>
        <v>#DIV/0!</v>
      </c>
      <c r="AB10" s="21">
        <f t="shared" si="12"/>
        <v>0.15</v>
      </c>
      <c r="AC10" s="124">
        <f t="shared" si="1"/>
        <v>0</v>
      </c>
      <c r="AD10" s="124">
        <f t="shared" ref="AD10:AL10" si="23">AC10*(1+$AB10)</f>
        <v>0</v>
      </c>
      <c r="AE10" s="124">
        <f t="shared" si="23"/>
        <v>0</v>
      </c>
      <c r="AF10" s="124">
        <f t="shared" si="23"/>
        <v>0</v>
      </c>
      <c r="AG10" s="124">
        <f t="shared" si="23"/>
        <v>0</v>
      </c>
      <c r="AH10" s="124">
        <f t="shared" si="23"/>
        <v>0</v>
      </c>
      <c r="AI10" s="124">
        <f t="shared" si="23"/>
        <v>0</v>
      </c>
      <c r="AJ10" s="124">
        <f t="shared" si="23"/>
        <v>0</v>
      </c>
      <c r="AK10" s="124">
        <f t="shared" si="23"/>
        <v>0</v>
      </c>
      <c r="AL10" s="124">
        <f t="shared" si="23"/>
        <v>0</v>
      </c>
      <c r="AM10" s="109" t="e">
        <f t="shared" si="3"/>
        <v>#DIV/0!</v>
      </c>
      <c r="AN10" s="21">
        <f t="shared" si="22"/>
        <v>0.01</v>
      </c>
      <c r="AO10" s="117" t="e">
        <f>(AL10*(1+AN10))/($O$1-AN10)</f>
        <v>#DIV/0!</v>
      </c>
    </row>
    <row r="11" spans="2:41" x14ac:dyDescent="0.15">
      <c r="B11" s="10"/>
      <c r="C11" s="112"/>
      <c r="D11" s="112"/>
      <c r="E11" s="118"/>
      <c r="F11" s="121"/>
      <c r="G11" s="121" t="e">
        <f>(G10-F10)/G10</f>
        <v>#DIV/0!</v>
      </c>
      <c r="H11" s="121" t="e">
        <f t="shared" ref="H11:P11" si="24">(H10-G10)/H10</f>
        <v>#DIV/0!</v>
      </c>
      <c r="I11" s="121" t="e">
        <f t="shared" si="24"/>
        <v>#DIV/0!</v>
      </c>
      <c r="J11" s="121" t="e">
        <f t="shared" si="24"/>
        <v>#DIV/0!</v>
      </c>
      <c r="K11" s="121" t="e">
        <f t="shared" si="24"/>
        <v>#DIV/0!</v>
      </c>
      <c r="L11" s="121" t="e">
        <f t="shared" si="24"/>
        <v>#DIV/0!</v>
      </c>
      <c r="M11" s="121" t="e">
        <f t="shared" si="24"/>
        <v>#DIV/0!</v>
      </c>
      <c r="N11" s="121" t="e">
        <f t="shared" si="24"/>
        <v>#DIV/0!</v>
      </c>
      <c r="O11" s="121" t="e">
        <f t="shared" si="24"/>
        <v>#DIV/0!</v>
      </c>
      <c r="P11" s="121" t="e">
        <f t="shared" si="24"/>
        <v>#DIV/0!</v>
      </c>
      <c r="Q11" s="121" t="e">
        <f t="shared" ref="Q11" si="25">(Q10-P10)/Q10</f>
        <v>#DIV/0!</v>
      </c>
      <c r="R11" s="121" t="e">
        <f t="shared" ref="R11" si="26">(R10-Q10)/R10</f>
        <v>#DIV/0!</v>
      </c>
      <c r="S11" s="121" t="e">
        <f t="shared" ref="S11" si="27">(S10-R10)/S10</f>
        <v>#DIV/0!</v>
      </c>
      <c r="T11" s="121" t="e">
        <f t="shared" ref="T11" si="28">(T10-S10)/T10</f>
        <v>#DIV/0!</v>
      </c>
      <c r="U11" s="121" t="e">
        <f t="shared" ref="U11" si="29">(U10-T10)/U10</f>
        <v>#DIV/0!</v>
      </c>
      <c r="V11" s="121" t="e">
        <f t="shared" ref="V11:W11" si="30">(V10-U10)/V10</f>
        <v>#DIV/0!</v>
      </c>
      <c r="W11" s="121" t="e">
        <f t="shared" si="30"/>
        <v>#DIV/0!</v>
      </c>
      <c r="X11" s="121" t="e">
        <f>(X10-V10)/X10</f>
        <v>#DIV/0!</v>
      </c>
      <c r="Y11" s="121" t="e">
        <f>(Y10-W10)/Y10</f>
        <v>#DIV/0!</v>
      </c>
      <c r="Z11" s="121" t="e">
        <f>(Z10-X10)/Z10</f>
        <v>#DIV/0!</v>
      </c>
      <c r="AA11" s="10"/>
      <c r="AB11" s="10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08"/>
      <c r="AN11" s="108"/>
      <c r="AO11" s="108"/>
    </row>
    <row r="12" spans="2:41" x14ac:dyDescent="0.15">
      <c r="B12" s="10" t="s">
        <v>2</v>
      </c>
      <c r="C12" s="112"/>
      <c r="D12" s="112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96" t="e">
        <f>((Z12/G12)^(1/($K$2-$K$1) ))-1</f>
        <v>#DIV/0!</v>
      </c>
      <c r="AB12" s="21">
        <f t="shared" si="12"/>
        <v>0.15</v>
      </c>
      <c r="AC12" s="124">
        <f t="shared" si="1"/>
        <v>0</v>
      </c>
      <c r="AD12" s="124">
        <f t="shared" ref="AD12:AL12" si="31">AC12*(1+$AB12)</f>
        <v>0</v>
      </c>
      <c r="AE12" s="124">
        <f t="shared" si="31"/>
        <v>0</v>
      </c>
      <c r="AF12" s="124">
        <f t="shared" si="31"/>
        <v>0</v>
      </c>
      <c r="AG12" s="124">
        <f t="shared" si="31"/>
        <v>0</v>
      </c>
      <c r="AH12" s="124">
        <f t="shared" si="31"/>
        <v>0</v>
      </c>
      <c r="AI12" s="124">
        <f t="shared" si="31"/>
        <v>0</v>
      </c>
      <c r="AJ12" s="124">
        <f t="shared" si="31"/>
        <v>0</v>
      </c>
      <c r="AK12" s="124">
        <f t="shared" si="31"/>
        <v>0</v>
      </c>
      <c r="AL12" s="124">
        <f t="shared" si="31"/>
        <v>0</v>
      </c>
      <c r="AM12" s="109" t="e">
        <f t="shared" si="3"/>
        <v>#DIV/0!</v>
      </c>
      <c r="AN12" s="21">
        <f t="shared" si="22"/>
        <v>0.01</v>
      </c>
      <c r="AO12" s="117" t="e">
        <f t="shared" ref="AO12:AO74" si="32">(AL12*(1+AN12))/($O$1-AN12)</f>
        <v>#DIV/0!</v>
      </c>
    </row>
    <row r="13" spans="2:41" x14ac:dyDescent="0.15">
      <c r="B13" s="10" t="s">
        <v>67</v>
      </c>
      <c r="C13" s="112"/>
      <c r="D13" s="112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96" t="e">
        <f t="shared" ref="AA13:AA67" si="33">((Z13/G13)^(1/($K$2-$K$1) ))-1</f>
        <v>#DIV/0!</v>
      </c>
      <c r="AB13" s="21">
        <f t="shared" si="12"/>
        <v>0.15</v>
      </c>
      <c r="AC13" s="124">
        <f t="shared" si="1"/>
        <v>0</v>
      </c>
      <c r="AD13" s="124">
        <f t="shared" ref="AD13:AL13" si="34">AC13*(1+$AB13)</f>
        <v>0</v>
      </c>
      <c r="AE13" s="124">
        <f t="shared" si="34"/>
        <v>0</v>
      </c>
      <c r="AF13" s="124">
        <f t="shared" si="34"/>
        <v>0</v>
      </c>
      <c r="AG13" s="124">
        <f t="shared" si="34"/>
        <v>0</v>
      </c>
      <c r="AH13" s="124">
        <f t="shared" si="34"/>
        <v>0</v>
      </c>
      <c r="AI13" s="124">
        <f t="shared" si="34"/>
        <v>0</v>
      </c>
      <c r="AJ13" s="124">
        <f t="shared" si="34"/>
        <v>0</v>
      </c>
      <c r="AK13" s="124">
        <f t="shared" si="34"/>
        <v>0</v>
      </c>
      <c r="AL13" s="124">
        <f t="shared" si="34"/>
        <v>0</v>
      </c>
      <c r="AM13" s="109" t="e">
        <f t="shared" si="3"/>
        <v>#DIV/0!</v>
      </c>
      <c r="AN13" s="21">
        <f t="shared" si="22"/>
        <v>0.01</v>
      </c>
      <c r="AO13" s="117" t="e">
        <f t="shared" si="32"/>
        <v>#DIV/0!</v>
      </c>
    </row>
    <row r="14" spans="2:41" x14ac:dyDescent="0.15">
      <c r="B14" s="10" t="s">
        <v>190</v>
      </c>
      <c r="C14" s="112"/>
      <c r="D14" s="112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96" t="e">
        <f t="shared" si="33"/>
        <v>#DIV/0!</v>
      </c>
      <c r="AB14" s="21">
        <f t="shared" si="12"/>
        <v>0.15</v>
      </c>
      <c r="AC14" s="124">
        <f t="shared" si="1"/>
        <v>0</v>
      </c>
      <c r="AD14" s="124">
        <f t="shared" ref="AD14" si="35">AC14*(1+$AB14)</f>
        <v>0</v>
      </c>
      <c r="AE14" s="124">
        <f t="shared" ref="AE14" si="36">AD14*(1+$AB14)</f>
        <v>0</v>
      </c>
      <c r="AF14" s="124">
        <f t="shared" ref="AF14" si="37">AE14*(1+$AB14)</f>
        <v>0</v>
      </c>
      <c r="AG14" s="124">
        <f t="shared" ref="AG14" si="38">AF14*(1+$AB14)</f>
        <v>0</v>
      </c>
      <c r="AH14" s="124">
        <f t="shared" ref="AH14" si="39">AG14*(1+$AB14)</f>
        <v>0</v>
      </c>
      <c r="AI14" s="124">
        <f t="shared" ref="AI14" si="40">AH14*(1+$AB14)</f>
        <v>0</v>
      </c>
      <c r="AJ14" s="124">
        <f t="shared" ref="AJ14" si="41">AI14*(1+$AB14)</f>
        <v>0</v>
      </c>
      <c r="AK14" s="124">
        <f t="shared" ref="AK14" si="42">AJ14*(1+$AB14)</f>
        <v>0</v>
      </c>
      <c r="AL14" s="124">
        <f t="shared" ref="AL14" si="43">AK14*(1+$AB14)</f>
        <v>0</v>
      </c>
      <c r="AM14" s="109" t="e">
        <f t="shared" si="3"/>
        <v>#DIV/0!</v>
      </c>
      <c r="AN14" s="21">
        <f t="shared" si="22"/>
        <v>0.01</v>
      </c>
      <c r="AO14" s="117" t="e">
        <f t="shared" si="32"/>
        <v>#DIV/0!</v>
      </c>
    </row>
    <row r="15" spans="2:41" x14ac:dyDescent="0.15">
      <c r="B15" s="10" t="s">
        <v>10</v>
      </c>
      <c r="C15" s="112"/>
      <c r="D15" s="112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96" t="e">
        <f t="shared" si="33"/>
        <v>#DIV/0!</v>
      </c>
      <c r="AB15" s="21">
        <f t="shared" si="12"/>
        <v>0.15</v>
      </c>
      <c r="AC15" s="124">
        <f t="shared" si="1"/>
        <v>0</v>
      </c>
      <c r="AD15" s="124">
        <f t="shared" ref="AD15:AL15" si="44">AC15*(1+$AB15)</f>
        <v>0</v>
      </c>
      <c r="AE15" s="124">
        <f t="shared" si="44"/>
        <v>0</v>
      </c>
      <c r="AF15" s="124">
        <f t="shared" si="44"/>
        <v>0</v>
      </c>
      <c r="AG15" s="124">
        <f t="shared" si="44"/>
        <v>0</v>
      </c>
      <c r="AH15" s="124">
        <f t="shared" si="44"/>
        <v>0</v>
      </c>
      <c r="AI15" s="124">
        <f t="shared" si="44"/>
        <v>0</v>
      </c>
      <c r="AJ15" s="124">
        <f t="shared" si="44"/>
        <v>0</v>
      </c>
      <c r="AK15" s="124">
        <f t="shared" si="44"/>
        <v>0</v>
      </c>
      <c r="AL15" s="124">
        <f t="shared" si="44"/>
        <v>0</v>
      </c>
      <c r="AM15" s="109" t="e">
        <f t="shared" si="3"/>
        <v>#DIV/0!</v>
      </c>
      <c r="AN15" s="21">
        <f t="shared" si="22"/>
        <v>0.01</v>
      </c>
      <c r="AO15" s="117" t="e">
        <f t="shared" si="32"/>
        <v>#DIV/0!</v>
      </c>
    </row>
    <row r="16" spans="2:41" x14ac:dyDescent="0.15">
      <c r="B16" s="10" t="s">
        <v>11</v>
      </c>
      <c r="C16" s="112"/>
      <c r="D16" s="112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96" t="e">
        <f t="shared" si="33"/>
        <v>#DIV/0!</v>
      </c>
      <c r="AB16" s="21">
        <f t="shared" si="12"/>
        <v>0.15</v>
      </c>
      <c r="AC16" s="124">
        <f t="shared" si="1"/>
        <v>0</v>
      </c>
      <c r="AD16" s="124">
        <f t="shared" ref="AD16:AL16" si="45">AC16*(1+$AB16)</f>
        <v>0</v>
      </c>
      <c r="AE16" s="124">
        <f t="shared" si="45"/>
        <v>0</v>
      </c>
      <c r="AF16" s="124">
        <f t="shared" si="45"/>
        <v>0</v>
      </c>
      <c r="AG16" s="124">
        <f t="shared" si="45"/>
        <v>0</v>
      </c>
      <c r="AH16" s="124">
        <f t="shared" si="45"/>
        <v>0</v>
      </c>
      <c r="AI16" s="124">
        <f t="shared" si="45"/>
        <v>0</v>
      </c>
      <c r="AJ16" s="124">
        <f t="shared" si="45"/>
        <v>0</v>
      </c>
      <c r="AK16" s="124">
        <f t="shared" si="45"/>
        <v>0</v>
      </c>
      <c r="AL16" s="124">
        <f t="shared" si="45"/>
        <v>0</v>
      </c>
      <c r="AM16" s="109" t="e">
        <f t="shared" si="3"/>
        <v>#DIV/0!</v>
      </c>
      <c r="AN16" s="21">
        <f t="shared" si="22"/>
        <v>0.01</v>
      </c>
      <c r="AO16" s="117" t="e">
        <f t="shared" si="32"/>
        <v>#DIV/0!</v>
      </c>
    </row>
    <row r="17" spans="2:41" x14ac:dyDescent="0.15">
      <c r="B17" s="10"/>
      <c r="C17" s="112"/>
      <c r="D17" s="112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0"/>
      <c r="AB17" s="10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08"/>
      <c r="AN17" s="108"/>
      <c r="AO17" s="108"/>
    </row>
    <row r="18" spans="2:41" x14ac:dyDescent="0.15">
      <c r="B18" s="10" t="s">
        <v>104</v>
      </c>
      <c r="C18" s="112"/>
      <c r="D18" s="112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96" t="e">
        <f t="shared" si="33"/>
        <v>#DIV/0!</v>
      </c>
      <c r="AB18" s="21">
        <f t="shared" si="12"/>
        <v>0.15</v>
      </c>
      <c r="AC18" s="124">
        <f t="shared" si="1"/>
        <v>0</v>
      </c>
      <c r="AD18" s="124">
        <f t="shared" ref="AD18:AD34" si="46">AC18*(1+$AB18)</f>
        <v>0</v>
      </c>
      <c r="AE18" s="124">
        <f t="shared" ref="AE18:AE34" si="47">AD18*(1+$AB18)</f>
        <v>0</v>
      </c>
      <c r="AF18" s="124">
        <f t="shared" ref="AF18:AF34" si="48">AE18*(1+$AB18)</f>
        <v>0</v>
      </c>
      <c r="AG18" s="124">
        <f t="shared" ref="AG18:AG53" si="49">AF18*(1+$AB18)</f>
        <v>0</v>
      </c>
      <c r="AH18" s="124">
        <f t="shared" ref="AH18:AH53" si="50">AG18*(1+$AB18)</f>
        <v>0</v>
      </c>
      <c r="AI18" s="124">
        <f t="shared" ref="AI18:AI53" si="51">AH18*(1+$AB18)</f>
        <v>0</v>
      </c>
      <c r="AJ18" s="124">
        <f t="shared" ref="AJ18:AJ53" si="52">AI18*(1+$AB18)</f>
        <v>0</v>
      </c>
      <c r="AK18" s="124">
        <f t="shared" ref="AK18:AK53" si="53">AJ18*(1+$AB18)</f>
        <v>0</v>
      </c>
      <c r="AL18" s="124">
        <f t="shared" ref="AL18:AL53" si="54">AK18*(1+$AB18)</f>
        <v>0</v>
      </c>
      <c r="AM18" s="109" t="e">
        <f t="shared" si="3"/>
        <v>#DIV/0!</v>
      </c>
      <c r="AN18" s="21">
        <f t="shared" si="22"/>
        <v>0.01</v>
      </c>
      <c r="AO18" s="117" t="e">
        <f t="shared" si="32"/>
        <v>#DIV/0!</v>
      </c>
    </row>
    <row r="19" spans="2:41" x14ac:dyDescent="0.15">
      <c r="B19" s="10"/>
      <c r="C19" s="112"/>
      <c r="D19" s="112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0"/>
      <c r="AB19" s="10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08"/>
      <c r="AN19" s="108"/>
      <c r="AO19" s="108"/>
    </row>
    <row r="20" spans="2:41" x14ac:dyDescent="0.15">
      <c r="B20" s="10" t="s">
        <v>109</v>
      </c>
      <c r="C20" s="112"/>
      <c r="D20" s="112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96" t="e">
        <f t="shared" si="33"/>
        <v>#DIV/0!</v>
      </c>
      <c r="AB20" s="21">
        <f t="shared" si="12"/>
        <v>0.15</v>
      </c>
      <c r="AC20" s="124">
        <f t="shared" si="1"/>
        <v>0</v>
      </c>
      <c r="AD20" s="124">
        <f t="shared" ref="AD20:AD22" si="55">AC20*(1+$AB20)</f>
        <v>0</v>
      </c>
      <c r="AE20" s="124">
        <f t="shared" ref="AE20:AE22" si="56">AD20*(1+$AB20)</f>
        <v>0</v>
      </c>
      <c r="AF20" s="124">
        <f t="shared" ref="AF20:AF22" si="57">AE20*(1+$AB20)</f>
        <v>0</v>
      </c>
      <c r="AG20" s="124">
        <f t="shared" ref="AG20:AG22" si="58">AF20*(1+$AB20)</f>
        <v>0</v>
      </c>
      <c r="AH20" s="124">
        <f t="shared" ref="AH20:AH22" si="59">AG20*(1+$AB20)</f>
        <v>0</v>
      </c>
      <c r="AI20" s="124">
        <f t="shared" ref="AI20:AI22" si="60">AH20*(1+$AB20)</f>
        <v>0</v>
      </c>
      <c r="AJ20" s="124">
        <f t="shared" ref="AJ20:AJ22" si="61">AI20*(1+$AB20)</f>
        <v>0</v>
      </c>
      <c r="AK20" s="124">
        <f t="shared" ref="AK20:AK22" si="62">AJ20*(1+$AB20)</f>
        <v>0</v>
      </c>
      <c r="AL20" s="124">
        <f t="shared" ref="AL20:AL22" si="63">AK20*(1+$AB20)</f>
        <v>0</v>
      </c>
      <c r="AM20" s="109" t="e">
        <f t="shared" si="3"/>
        <v>#DIV/0!</v>
      </c>
      <c r="AN20" s="21">
        <f t="shared" si="22"/>
        <v>0.01</v>
      </c>
      <c r="AO20" s="117" t="e">
        <f t="shared" si="32"/>
        <v>#DIV/0!</v>
      </c>
    </row>
    <row r="21" spans="2:41" x14ac:dyDescent="0.15">
      <c r="B21" s="10" t="s">
        <v>110</v>
      </c>
      <c r="C21" s="112"/>
      <c r="D21" s="112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96" t="e">
        <f t="shared" si="33"/>
        <v>#DIV/0!</v>
      </c>
      <c r="AB21" s="21">
        <f t="shared" si="12"/>
        <v>0.15</v>
      </c>
      <c r="AC21" s="124">
        <f t="shared" si="1"/>
        <v>0</v>
      </c>
      <c r="AD21" s="124">
        <f t="shared" si="55"/>
        <v>0</v>
      </c>
      <c r="AE21" s="124">
        <f t="shared" si="56"/>
        <v>0</v>
      </c>
      <c r="AF21" s="124">
        <f t="shared" si="57"/>
        <v>0</v>
      </c>
      <c r="AG21" s="124">
        <f t="shared" si="58"/>
        <v>0</v>
      </c>
      <c r="AH21" s="124">
        <f t="shared" si="59"/>
        <v>0</v>
      </c>
      <c r="AI21" s="124">
        <f t="shared" si="60"/>
        <v>0</v>
      </c>
      <c r="AJ21" s="124">
        <f t="shared" si="61"/>
        <v>0</v>
      </c>
      <c r="AK21" s="124">
        <f t="shared" si="62"/>
        <v>0</v>
      </c>
      <c r="AL21" s="124">
        <f t="shared" si="63"/>
        <v>0</v>
      </c>
      <c r="AM21" s="109" t="e">
        <f t="shared" si="3"/>
        <v>#DIV/0!</v>
      </c>
      <c r="AN21" s="21">
        <f t="shared" si="22"/>
        <v>0.01</v>
      </c>
      <c r="AO21" s="117" t="e">
        <f t="shared" si="32"/>
        <v>#DIV/0!</v>
      </c>
    </row>
    <row r="22" spans="2:41" x14ac:dyDescent="0.15">
      <c r="B22" s="10" t="s">
        <v>111</v>
      </c>
      <c r="C22" s="112"/>
      <c r="D22" s="112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96" t="e">
        <f t="shared" si="33"/>
        <v>#DIV/0!</v>
      </c>
      <c r="AB22" s="21">
        <f t="shared" si="12"/>
        <v>0.15</v>
      </c>
      <c r="AC22" s="124">
        <f t="shared" si="1"/>
        <v>0</v>
      </c>
      <c r="AD22" s="124">
        <f t="shared" si="55"/>
        <v>0</v>
      </c>
      <c r="AE22" s="124">
        <f t="shared" si="56"/>
        <v>0</v>
      </c>
      <c r="AF22" s="124">
        <f t="shared" si="57"/>
        <v>0</v>
      </c>
      <c r="AG22" s="124">
        <f t="shared" si="58"/>
        <v>0</v>
      </c>
      <c r="AH22" s="124">
        <f t="shared" si="59"/>
        <v>0</v>
      </c>
      <c r="AI22" s="124">
        <f t="shared" si="60"/>
        <v>0</v>
      </c>
      <c r="AJ22" s="124">
        <f t="shared" si="61"/>
        <v>0</v>
      </c>
      <c r="AK22" s="124">
        <f t="shared" si="62"/>
        <v>0</v>
      </c>
      <c r="AL22" s="124">
        <f t="shared" si="63"/>
        <v>0</v>
      </c>
      <c r="AM22" s="109" t="e">
        <f t="shared" si="3"/>
        <v>#DIV/0!</v>
      </c>
      <c r="AN22" s="21">
        <f t="shared" si="22"/>
        <v>0.01</v>
      </c>
      <c r="AO22" s="117" t="e">
        <f t="shared" si="32"/>
        <v>#DIV/0!</v>
      </c>
    </row>
    <row r="23" spans="2:41" x14ac:dyDescent="0.15">
      <c r="B23" s="10" t="s">
        <v>120</v>
      </c>
      <c r="C23" s="112"/>
      <c r="D23" s="112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96" t="e">
        <f t="shared" si="33"/>
        <v>#DIV/0!</v>
      </c>
      <c r="AB23" s="21">
        <f t="shared" si="12"/>
        <v>0.15</v>
      </c>
      <c r="AC23" s="124">
        <f t="shared" si="1"/>
        <v>0</v>
      </c>
      <c r="AD23" s="124">
        <f t="shared" ref="AD23" si="64">AC23*(1+$AB23)</f>
        <v>0</v>
      </c>
      <c r="AE23" s="124">
        <f t="shared" ref="AE23" si="65">AD23*(1+$AB23)</f>
        <v>0</v>
      </c>
      <c r="AF23" s="124">
        <f t="shared" ref="AF23" si="66">AE23*(1+$AB23)</f>
        <v>0</v>
      </c>
      <c r="AG23" s="124">
        <f t="shared" ref="AG23" si="67">AF23*(1+$AB23)</f>
        <v>0</v>
      </c>
      <c r="AH23" s="124">
        <f t="shared" ref="AH23" si="68">AG23*(1+$AB23)</f>
        <v>0</v>
      </c>
      <c r="AI23" s="124">
        <f t="shared" ref="AI23" si="69">AH23*(1+$AB23)</f>
        <v>0</v>
      </c>
      <c r="AJ23" s="124">
        <f t="shared" ref="AJ23" si="70">AI23*(1+$AB23)</f>
        <v>0</v>
      </c>
      <c r="AK23" s="124">
        <f t="shared" ref="AK23" si="71">AJ23*(1+$AB23)</f>
        <v>0</v>
      </c>
      <c r="AL23" s="124">
        <f t="shared" ref="AL23" si="72">AK23*(1+$AB23)</f>
        <v>0</v>
      </c>
      <c r="AM23" s="109" t="e">
        <f t="shared" si="3"/>
        <v>#DIV/0!</v>
      </c>
      <c r="AN23" s="21">
        <f t="shared" si="22"/>
        <v>0.01</v>
      </c>
      <c r="AO23" s="117" t="e">
        <f t="shared" si="32"/>
        <v>#DIV/0!</v>
      </c>
    </row>
    <row r="24" spans="2:41" x14ac:dyDescent="0.15">
      <c r="B24" s="10"/>
      <c r="C24" s="112"/>
      <c r="D24" s="112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0"/>
      <c r="AB24" s="10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08"/>
      <c r="AN24" s="108"/>
      <c r="AO24" s="108"/>
    </row>
    <row r="25" spans="2:41" x14ac:dyDescent="0.15">
      <c r="B25" s="10" t="s">
        <v>64</v>
      </c>
      <c r="C25" s="112"/>
      <c r="D25" s="112"/>
      <c r="E25" s="118"/>
      <c r="F25" s="118"/>
      <c r="G25" s="118">
        <f>I25</f>
        <v>5720</v>
      </c>
      <c r="H25" s="118"/>
      <c r="I25" s="118">
        <v>5720</v>
      </c>
      <c r="J25" s="118">
        <v>8217</v>
      </c>
      <c r="K25" s="118">
        <v>12415</v>
      </c>
      <c r="L25" s="118">
        <v>16314</v>
      </c>
      <c r="M25" s="118">
        <v>16232</v>
      </c>
      <c r="N25" s="118">
        <v>20043</v>
      </c>
      <c r="O25" s="118">
        <v>28193</v>
      </c>
      <c r="P25" s="118">
        <v>35861</v>
      </c>
      <c r="Q25" s="118">
        <v>42555</v>
      </c>
      <c r="R25" s="118">
        <v>50666</v>
      </c>
      <c r="S25" s="118">
        <v>63161</v>
      </c>
      <c r="T25" s="118">
        <v>73271</v>
      </c>
      <c r="U25" s="118">
        <v>85287</v>
      </c>
      <c r="V25" s="118">
        <v>105160</v>
      </c>
      <c r="W25" s="118">
        <v>122189</v>
      </c>
      <c r="X25" s="118">
        <v>128552</v>
      </c>
      <c r="Y25" s="118">
        <v>135936</v>
      </c>
      <c r="Z25" s="118">
        <v>170754</v>
      </c>
      <c r="AA25" s="96">
        <f t="shared" si="33"/>
        <v>0.19572209849736577</v>
      </c>
      <c r="AB25" s="21">
        <f t="shared" si="12"/>
        <v>0.15</v>
      </c>
      <c r="AC25" s="124">
        <f t="shared" si="1"/>
        <v>196367.09999999998</v>
      </c>
      <c r="AD25" s="124">
        <f t="shared" si="46"/>
        <v>225822.16499999995</v>
      </c>
      <c r="AE25" s="124">
        <f t="shared" si="47"/>
        <v>259695.48974999992</v>
      </c>
      <c r="AF25" s="124">
        <f t="shared" si="48"/>
        <v>298649.8132124999</v>
      </c>
      <c r="AG25" s="124">
        <f t="shared" si="49"/>
        <v>343447.28519437485</v>
      </c>
      <c r="AH25" s="124">
        <f t="shared" si="50"/>
        <v>394964.37797353102</v>
      </c>
      <c r="AI25" s="124">
        <f t="shared" si="51"/>
        <v>454209.03466956061</v>
      </c>
      <c r="AJ25" s="124">
        <f t="shared" si="52"/>
        <v>522340.38986999466</v>
      </c>
      <c r="AK25" s="124">
        <f t="shared" si="53"/>
        <v>600691.4483504938</v>
      </c>
      <c r="AL25" s="124">
        <f t="shared" si="54"/>
        <v>690795.16560306784</v>
      </c>
      <c r="AM25" s="109">
        <f t="shared" si="3"/>
        <v>0.17975409030169542</v>
      </c>
      <c r="AN25" s="21">
        <f t="shared" si="22"/>
        <v>0.01</v>
      </c>
      <c r="AO25" s="117" t="e">
        <f t="shared" si="32"/>
        <v>#DIV/0!</v>
      </c>
    </row>
    <row r="26" spans="2:41" s="101" customFormat="1" x14ac:dyDescent="0.15">
      <c r="B26" s="13"/>
      <c r="C26" s="119"/>
      <c r="D26" s="119"/>
      <c r="E26" s="120"/>
      <c r="F26" s="121"/>
      <c r="G26" s="121">
        <f>(G25-F25)/G25</f>
        <v>1</v>
      </c>
      <c r="H26" s="121" t="e">
        <f>(H25-G25)/H25</f>
        <v>#DIV/0!</v>
      </c>
      <c r="I26" s="121">
        <f t="shared" ref="I26:P26" si="73">(I25-H25)/I25</f>
        <v>1</v>
      </c>
      <c r="J26" s="121">
        <f t="shared" si="73"/>
        <v>0.30388219544846051</v>
      </c>
      <c r="K26" s="121">
        <f t="shared" si="73"/>
        <v>0.33813934756343134</v>
      </c>
      <c r="L26" s="121">
        <f t="shared" si="73"/>
        <v>0.23899718033590781</v>
      </c>
      <c r="M26" s="121">
        <f t="shared" si="73"/>
        <v>-5.0517496303597829E-3</v>
      </c>
      <c r="N26" s="121">
        <f t="shared" si="73"/>
        <v>0.19014119642768049</v>
      </c>
      <c r="O26" s="121">
        <f t="shared" si="73"/>
        <v>0.28907884935977013</v>
      </c>
      <c r="P26" s="121">
        <f t="shared" si="73"/>
        <v>0.21382560441705473</v>
      </c>
      <c r="Q26" s="121">
        <f t="shared" ref="Q26" si="74">(Q25-P25)/Q25</f>
        <v>0.15730231465162731</v>
      </c>
      <c r="R26" s="121">
        <f t="shared" ref="R26" si="75">(R25-Q25)/R25</f>
        <v>0.16008763273200963</v>
      </c>
      <c r="S26" s="121">
        <f t="shared" ref="S26" si="76">(S25-R25)/S25</f>
        <v>0.1978277734678045</v>
      </c>
      <c r="T26" s="121">
        <f t="shared" ref="T26" si="77">(T25-S25)/T25</f>
        <v>0.13798092014576027</v>
      </c>
      <c r="U26" s="121">
        <f t="shared" ref="U26" si="78">(U25-T25)/U25</f>
        <v>0.14088899832330837</v>
      </c>
      <c r="V26" s="121">
        <f t="shared" ref="V26:W26" si="79">(V25-U25)/V25</f>
        <v>0.18897869912514265</v>
      </c>
      <c r="W26" s="121">
        <f t="shared" si="79"/>
        <v>0.13936606404831858</v>
      </c>
      <c r="X26" s="121">
        <f t="shared" ref="X26" si="80">(X25-V25)/X25</f>
        <v>0.18196527475262927</v>
      </c>
      <c r="Y26" s="121">
        <f t="shared" ref="Y26:Z26" si="81">(Y25-W25)/Y25</f>
        <v>0.10112847222222222</v>
      </c>
      <c r="Z26" s="121">
        <f t="shared" si="81"/>
        <v>0.24715087201471123</v>
      </c>
      <c r="AA26" s="10"/>
      <c r="AB26" s="10"/>
      <c r="AC26" s="124"/>
      <c r="AD26" s="125"/>
      <c r="AE26" s="125"/>
      <c r="AF26" s="125"/>
      <c r="AG26" s="125"/>
      <c r="AH26" s="125"/>
      <c r="AI26" s="125"/>
      <c r="AJ26" s="125"/>
      <c r="AK26" s="125"/>
      <c r="AL26" s="125"/>
      <c r="AM26" s="108"/>
      <c r="AN26" s="108"/>
      <c r="AO26" s="108"/>
    </row>
    <row r="27" spans="2:41" x14ac:dyDescent="0.15">
      <c r="B27" s="10" t="s">
        <v>94</v>
      </c>
      <c r="C27" s="112"/>
      <c r="D27" s="112"/>
      <c r="E27" s="118"/>
      <c r="F27" s="118"/>
      <c r="G27" s="118">
        <f>I27</f>
        <v>4844</v>
      </c>
      <c r="H27" s="118"/>
      <c r="I27" s="118">
        <v>4844</v>
      </c>
      <c r="J27" s="118">
        <v>7073</v>
      </c>
      <c r="K27" s="118">
        <v>10822</v>
      </c>
      <c r="L27" s="118">
        <v>17678</v>
      </c>
      <c r="M27" s="118">
        <v>17237</v>
      </c>
      <c r="N27" s="118">
        <v>20610</v>
      </c>
      <c r="O27" s="118">
        <v>28912</v>
      </c>
      <c r="P27" s="118">
        <v>36093</v>
      </c>
      <c r="Q27" s="118">
        <v>42088</v>
      </c>
      <c r="R27" s="118">
        <v>49512</v>
      </c>
      <c r="S27" s="118">
        <v>61555</v>
      </c>
      <c r="T27" s="118">
        <v>70861</v>
      </c>
      <c r="U27" s="118">
        <v>82783</v>
      </c>
      <c r="V27" s="118">
        <v>101662</v>
      </c>
      <c r="W27" s="118">
        <v>119772</v>
      </c>
      <c r="X27" s="118">
        <v>124028</v>
      </c>
      <c r="Y27" s="118">
        <v>129544</v>
      </c>
      <c r="Z27" s="118">
        <v>158517</v>
      </c>
      <c r="AA27" s="96">
        <f t="shared" si="33"/>
        <v>0.20151747055055069</v>
      </c>
      <c r="AB27" s="21">
        <f t="shared" si="12"/>
        <v>0.15</v>
      </c>
      <c r="AC27" s="124">
        <f t="shared" si="1"/>
        <v>182294.55</v>
      </c>
      <c r="AD27" s="124">
        <f t="shared" si="46"/>
        <v>209638.73249999998</v>
      </c>
      <c r="AE27" s="124">
        <f t="shared" si="47"/>
        <v>241084.54237499996</v>
      </c>
      <c r="AF27" s="124">
        <f t="shared" si="48"/>
        <v>277247.22373124992</v>
      </c>
      <c r="AG27" s="124">
        <f t="shared" si="49"/>
        <v>318834.3072909374</v>
      </c>
      <c r="AH27" s="124">
        <f t="shared" si="50"/>
        <v>366659.453384578</v>
      </c>
      <c r="AI27" s="124">
        <f t="shared" si="51"/>
        <v>421658.37139226467</v>
      </c>
      <c r="AJ27" s="124">
        <f t="shared" si="52"/>
        <v>484907.12710110436</v>
      </c>
      <c r="AK27" s="124">
        <f t="shared" si="53"/>
        <v>557643.19616626995</v>
      </c>
      <c r="AL27" s="124">
        <f t="shared" si="54"/>
        <v>641289.67559121037</v>
      </c>
      <c r="AM27" s="109">
        <f t="shared" si="3"/>
        <v>0.18349722865279627</v>
      </c>
      <c r="AN27" s="21">
        <f t="shared" si="22"/>
        <v>0.01</v>
      </c>
      <c r="AO27" s="117" t="e">
        <f t="shared" si="32"/>
        <v>#DIV/0!</v>
      </c>
    </row>
    <row r="28" spans="2:41" s="101" customFormat="1" x14ac:dyDescent="0.15">
      <c r="B28" s="13"/>
      <c r="C28" s="119"/>
      <c r="D28" s="119"/>
      <c r="E28" s="120"/>
      <c r="F28" s="121"/>
      <c r="G28" s="121">
        <f t="shared" ref="G28:P28" si="82">(G27-F27)/G27</f>
        <v>1</v>
      </c>
      <c r="H28" s="121" t="e">
        <f t="shared" si="82"/>
        <v>#DIV/0!</v>
      </c>
      <c r="I28" s="121">
        <f t="shared" si="82"/>
        <v>1</v>
      </c>
      <c r="J28" s="121">
        <f t="shared" si="82"/>
        <v>0.31514208963664642</v>
      </c>
      <c r="K28" s="121">
        <f t="shared" si="82"/>
        <v>0.34642395121049713</v>
      </c>
      <c r="L28" s="121">
        <f t="shared" si="82"/>
        <v>0.38782667722593056</v>
      </c>
      <c r="M28" s="121">
        <f t="shared" si="82"/>
        <v>-2.5584498462609503E-2</v>
      </c>
      <c r="N28" s="121">
        <f t="shared" si="82"/>
        <v>0.16365841824357108</v>
      </c>
      <c r="O28" s="121">
        <f t="shared" si="82"/>
        <v>0.28714720531267296</v>
      </c>
      <c r="P28" s="121">
        <f t="shared" si="82"/>
        <v>0.19895824675144766</v>
      </c>
      <c r="Q28" s="121">
        <f t="shared" ref="Q28" si="83">(Q27-P27)/Q27</f>
        <v>0.14243965025660521</v>
      </c>
      <c r="R28" s="121">
        <f t="shared" ref="R28" si="84">(R27-Q27)/R27</f>
        <v>0.14994344805299725</v>
      </c>
      <c r="S28" s="121">
        <f t="shared" ref="S28" si="85">(S27-R27)/S27</f>
        <v>0.19564617009178784</v>
      </c>
      <c r="T28" s="121">
        <f t="shared" ref="T28" si="86">(T27-S27)/T27</f>
        <v>0.13132752854179308</v>
      </c>
      <c r="U28" s="121">
        <f t="shared" ref="U28" si="87">(U27-T27)/U27</f>
        <v>0.14401507555899157</v>
      </c>
      <c r="V28" s="121">
        <f t="shared" ref="V28:W28" si="88">(V27-U27)/V27</f>
        <v>0.18570360606716374</v>
      </c>
      <c r="W28" s="121">
        <f t="shared" si="88"/>
        <v>0.15120395417960791</v>
      </c>
      <c r="X28" s="121">
        <f t="shared" ref="X28" si="89">(X27-V27)/X27</f>
        <v>0.18033024800851422</v>
      </c>
      <c r="Y28" s="121">
        <f t="shared" ref="Y28:Z28" si="90">(Y27-W27)/Y27</f>
        <v>7.5433829432470817E-2</v>
      </c>
      <c r="Z28" s="121">
        <f t="shared" si="90"/>
        <v>0.21757287861869704</v>
      </c>
      <c r="AA28" s="10"/>
      <c r="AB28" s="10"/>
      <c r="AC28" s="124"/>
      <c r="AD28" s="125"/>
      <c r="AE28" s="125"/>
      <c r="AF28" s="125"/>
      <c r="AG28" s="125"/>
      <c r="AH28" s="125"/>
      <c r="AI28" s="125"/>
      <c r="AJ28" s="125"/>
      <c r="AK28" s="125"/>
      <c r="AL28" s="125"/>
      <c r="AM28" s="108"/>
      <c r="AN28" s="108"/>
      <c r="AO28" s="108"/>
    </row>
    <row r="29" spans="2:41" s="101" customFormat="1" x14ac:dyDescent="0.15">
      <c r="B29" s="10" t="s">
        <v>144</v>
      </c>
      <c r="C29" s="119"/>
      <c r="D29" s="119"/>
      <c r="E29" s="120"/>
      <c r="F29" s="118"/>
      <c r="G29" s="118">
        <f>I29</f>
        <v>1929</v>
      </c>
      <c r="H29" s="118"/>
      <c r="I29" s="118">
        <v>1929</v>
      </c>
      <c r="J29" s="118">
        <v>3179</v>
      </c>
      <c r="K29" s="118">
        <v>4887</v>
      </c>
      <c r="L29" s="118">
        <v>8903</v>
      </c>
      <c r="M29" s="118">
        <v>7797</v>
      </c>
      <c r="N29" s="118">
        <v>9425</v>
      </c>
      <c r="O29" s="118">
        <v>15106</v>
      </c>
      <c r="P29" s="118">
        <v>19695</v>
      </c>
      <c r="Q29" s="118">
        <v>23445</v>
      </c>
      <c r="R29" s="118">
        <v>27288</v>
      </c>
      <c r="S29" s="118">
        <v>34069</v>
      </c>
      <c r="T29" s="118">
        <v>38041</v>
      </c>
      <c r="U29" s="118">
        <v>42381</v>
      </c>
      <c r="V29" s="118">
        <v>18947</v>
      </c>
      <c r="W29" s="118">
        <v>24878</v>
      </c>
      <c r="X29" s="118">
        <v>27332</v>
      </c>
      <c r="Y29" s="118">
        <v>31758</v>
      </c>
      <c r="Z29" s="118">
        <v>33912</v>
      </c>
      <c r="AA29" s="96">
        <f t="shared" si="33"/>
        <v>0.1628599956493022</v>
      </c>
      <c r="AB29" s="21">
        <f t="shared" si="12"/>
        <v>0.15</v>
      </c>
      <c r="AC29" s="124">
        <f t="shared" si="1"/>
        <v>38998.799999999996</v>
      </c>
      <c r="AD29" s="124">
        <f t="shared" ref="AD29" si="91">AC29*(1+$AB29)</f>
        <v>44848.619999999988</v>
      </c>
      <c r="AE29" s="124">
        <f t="shared" ref="AE29" si="92">AD29*(1+$AB29)</f>
        <v>51575.912999999986</v>
      </c>
      <c r="AF29" s="124">
        <f t="shared" ref="AF29" si="93">AE29*(1+$AB29)</f>
        <v>59312.299949999979</v>
      </c>
      <c r="AG29" s="124">
        <f t="shared" ref="AG29" si="94">AF29*(1+$AB29)</f>
        <v>68209.144942499974</v>
      </c>
      <c r="AH29" s="124">
        <f t="shared" ref="AH29" si="95">AG29*(1+$AB29)</f>
        <v>78440.516683874957</v>
      </c>
      <c r="AI29" s="124">
        <f t="shared" ref="AI29" si="96">AH29*(1+$AB29)</f>
        <v>90206.59418645619</v>
      </c>
      <c r="AJ29" s="124">
        <f t="shared" ref="AJ29" si="97">AI29*(1+$AB29)</f>
        <v>103737.58331442461</v>
      </c>
      <c r="AK29" s="124">
        <f t="shared" ref="AK29" si="98">AJ29*(1+$AB29)</f>
        <v>119298.2208115883</v>
      </c>
      <c r="AL29" s="124">
        <f t="shared" ref="AL29" si="99">AK29*(1+$AB29)</f>
        <v>137192.95393332653</v>
      </c>
      <c r="AM29" s="109">
        <f t="shared" si="3"/>
        <v>0.15840935060451944</v>
      </c>
      <c r="AN29" s="21">
        <f t="shared" si="22"/>
        <v>0.01</v>
      </c>
      <c r="AO29" s="117" t="e">
        <f t="shared" si="32"/>
        <v>#DIV/0!</v>
      </c>
    </row>
    <row r="30" spans="2:41" s="101" customFormat="1" x14ac:dyDescent="0.15">
      <c r="B30" s="13"/>
      <c r="C30" s="119"/>
      <c r="D30" s="119"/>
      <c r="E30" s="120"/>
      <c r="F30" s="121"/>
      <c r="G30" s="121">
        <f t="shared" ref="G30:P30" si="100">(G29-F29)/G29</f>
        <v>1</v>
      </c>
      <c r="H30" s="121" t="e">
        <f t="shared" si="100"/>
        <v>#DIV/0!</v>
      </c>
      <c r="I30" s="121">
        <f t="shared" si="100"/>
        <v>1</v>
      </c>
      <c r="J30" s="121">
        <f t="shared" si="100"/>
        <v>0.39320541050644858</v>
      </c>
      <c r="K30" s="121">
        <f t="shared" si="100"/>
        <v>0.34949866994065887</v>
      </c>
      <c r="L30" s="121">
        <f t="shared" si="100"/>
        <v>0.45108390430192069</v>
      </c>
      <c r="M30" s="121">
        <f t="shared" si="100"/>
        <v>-0.14184942926766705</v>
      </c>
      <c r="N30" s="121">
        <f t="shared" si="100"/>
        <v>0.17273209549071619</v>
      </c>
      <c r="O30" s="121">
        <f t="shared" si="100"/>
        <v>0.37607573149741824</v>
      </c>
      <c r="P30" s="121">
        <f t="shared" si="100"/>
        <v>0.233003300330033</v>
      </c>
      <c r="Q30" s="121">
        <f t="shared" ref="Q30" si="101">(Q29-P29)/Q29</f>
        <v>0.1599488163787588</v>
      </c>
      <c r="R30" s="121">
        <f t="shared" ref="R30" si="102">(R29-Q29)/R29</f>
        <v>0.1408311345646438</v>
      </c>
      <c r="S30" s="121">
        <f t="shared" ref="S30" si="103">(S29-R29)/S29</f>
        <v>0.19903724793800817</v>
      </c>
      <c r="T30" s="121">
        <f t="shared" ref="T30" si="104">(T29-S29)/T29</f>
        <v>0.10441365894692568</v>
      </c>
      <c r="U30" s="121">
        <f t="shared" ref="U30" si="105">(U29-T29)/U29</f>
        <v>0.10240437932092211</v>
      </c>
      <c r="V30" s="121">
        <f t="shared" ref="V30:W30" si="106">(V29-U29)/V29</f>
        <v>-1.236818493692933</v>
      </c>
      <c r="W30" s="121">
        <f t="shared" si="106"/>
        <v>0.23840340863413459</v>
      </c>
      <c r="X30" s="121">
        <f t="shared" ref="X30" si="107">(X29-V29)/X29</f>
        <v>0.30678325771988879</v>
      </c>
      <c r="Y30" s="121">
        <f t="shared" ref="Y30:Z30" si="108">(Y29-W29)/Y29</f>
        <v>0.21663832735058883</v>
      </c>
      <c r="Z30" s="121">
        <f t="shared" si="108"/>
        <v>0.19403161122906346</v>
      </c>
      <c r="AA30" s="10"/>
      <c r="AB30" s="10"/>
      <c r="AC30" s="124"/>
      <c r="AD30" s="125"/>
      <c r="AE30" s="125"/>
      <c r="AF30" s="125"/>
      <c r="AG30" s="125"/>
      <c r="AH30" s="125"/>
      <c r="AI30" s="125"/>
      <c r="AJ30" s="125"/>
      <c r="AK30" s="125"/>
      <c r="AL30" s="125"/>
      <c r="AM30" s="108"/>
      <c r="AN30" s="108"/>
      <c r="AO30" s="108"/>
    </row>
    <row r="31" spans="2:41" x14ac:dyDescent="0.15">
      <c r="B31" s="10" t="s">
        <v>152</v>
      </c>
      <c r="C31" s="112"/>
      <c r="D31" s="112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96" t="e">
        <f t="shared" si="33"/>
        <v>#DIV/0!</v>
      </c>
      <c r="AB31" s="21">
        <f t="shared" si="12"/>
        <v>0.15</v>
      </c>
      <c r="AC31" s="124">
        <f t="shared" si="1"/>
        <v>0</v>
      </c>
      <c r="AD31" s="124">
        <f>AC31*(1+$AB31)</f>
        <v>0</v>
      </c>
      <c r="AE31" s="124">
        <f t="shared" ref="AE31:AL32" si="109">AD31*(1+$AB31)</f>
        <v>0</v>
      </c>
      <c r="AF31" s="124">
        <f t="shared" si="109"/>
        <v>0</v>
      </c>
      <c r="AG31" s="124">
        <f t="shared" si="109"/>
        <v>0</v>
      </c>
      <c r="AH31" s="124">
        <f t="shared" si="109"/>
        <v>0</v>
      </c>
      <c r="AI31" s="124">
        <f t="shared" si="109"/>
        <v>0</v>
      </c>
      <c r="AJ31" s="124">
        <f t="shared" si="109"/>
        <v>0</v>
      </c>
      <c r="AK31" s="124">
        <f t="shared" si="109"/>
        <v>0</v>
      </c>
      <c r="AL31" s="124">
        <f t="shared" si="109"/>
        <v>0</v>
      </c>
      <c r="AM31" s="109" t="e">
        <f t="shared" si="3"/>
        <v>#DIV/0!</v>
      </c>
      <c r="AN31" s="21">
        <f t="shared" si="22"/>
        <v>0.01</v>
      </c>
      <c r="AO31" s="117" t="e">
        <f t="shared" si="32"/>
        <v>#DIV/0!</v>
      </c>
    </row>
    <row r="32" spans="2:41" x14ac:dyDescent="0.15">
      <c r="B32" s="10" t="s">
        <v>151</v>
      </c>
      <c r="C32" s="112"/>
      <c r="D32" s="112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96" t="e">
        <f t="shared" si="33"/>
        <v>#DIV/0!</v>
      </c>
      <c r="AB32" s="21">
        <f t="shared" si="12"/>
        <v>0.15</v>
      </c>
      <c r="AC32" s="124">
        <f t="shared" si="1"/>
        <v>0</v>
      </c>
      <c r="AD32" s="124">
        <f>AC32*(1+$AB32)</f>
        <v>0</v>
      </c>
      <c r="AE32" s="124">
        <f t="shared" si="109"/>
        <v>0</v>
      </c>
      <c r="AF32" s="124">
        <f t="shared" si="109"/>
        <v>0</v>
      </c>
      <c r="AG32" s="124">
        <f t="shared" si="109"/>
        <v>0</v>
      </c>
      <c r="AH32" s="124">
        <f t="shared" si="109"/>
        <v>0</v>
      </c>
      <c r="AI32" s="124">
        <f t="shared" si="109"/>
        <v>0</v>
      </c>
      <c r="AJ32" s="124">
        <f t="shared" si="109"/>
        <v>0</v>
      </c>
      <c r="AK32" s="124">
        <f t="shared" si="109"/>
        <v>0</v>
      </c>
      <c r="AL32" s="124">
        <f t="shared" si="109"/>
        <v>0</v>
      </c>
      <c r="AM32" s="109" t="e">
        <f t="shared" si="3"/>
        <v>#DIV/0!</v>
      </c>
      <c r="AN32" s="21">
        <f t="shared" si="22"/>
        <v>0.01</v>
      </c>
      <c r="AO32" s="117" t="e">
        <f t="shared" si="32"/>
        <v>#DIV/0!</v>
      </c>
    </row>
    <row r="33" spans="1:41" x14ac:dyDescent="0.15">
      <c r="B33" s="10" t="s">
        <v>294</v>
      </c>
      <c r="C33" s="112"/>
      <c r="D33" s="112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96" t="e">
        <f t="shared" si="33"/>
        <v>#DIV/0!</v>
      </c>
      <c r="AB33" s="21">
        <f t="shared" si="12"/>
        <v>0.15</v>
      </c>
      <c r="AC33" s="124">
        <f t="shared" si="1"/>
        <v>0</v>
      </c>
      <c r="AD33" s="124">
        <f t="shared" si="46"/>
        <v>0</v>
      </c>
      <c r="AE33" s="124">
        <f t="shared" si="47"/>
        <v>0</v>
      </c>
      <c r="AF33" s="124">
        <f t="shared" si="48"/>
        <v>0</v>
      </c>
      <c r="AG33" s="124">
        <f t="shared" si="49"/>
        <v>0</v>
      </c>
      <c r="AH33" s="124">
        <f t="shared" si="50"/>
        <v>0</v>
      </c>
      <c r="AI33" s="124">
        <f t="shared" si="51"/>
        <v>0</v>
      </c>
      <c r="AJ33" s="124">
        <f t="shared" si="52"/>
        <v>0</v>
      </c>
      <c r="AK33" s="124">
        <f t="shared" si="53"/>
        <v>0</v>
      </c>
      <c r="AL33" s="124">
        <f t="shared" si="54"/>
        <v>0</v>
      </c>
      <c r="AM33" s="109" t="e">
        <f t="shared" si="3"/>
        <v>#DIV/0!</v>
      </c>
      <c r="AN33" s="21">
        <f t="shared" si="22"/>
        <v>0.01</v>
      </c>
      <c r="AO33" s="117" t="e">
        <f t="shared" si="32"/>
        <v>#DIV/0!</v>
      </c>
    </row>
    <row r="34" spans="1:41" x14ac:dyDescent="0.15">
      <c r="B34" s="10" t="s">
        <v>295</v>
      </c>
      <c r="C34" s="112"/>
      <c r="D34" s="112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96" t="e">
        <f t="shared" si="33"/>
        <v>#DIV/0!</v>
      </c>
      <c r="AB34" s="21">
        <f t="shared" si="12"/>
        <v>0.15</v>
      </c>
      <c r="AC34" s="124">
        <f t="shared" si="1"/>
        <v>0</v>
      </c>
      <c r="AD34" s="124">
        <f t="shared" si="46"/>
        <v>0</v>
      </c>
      <c r="AE34" s="124">
        <f t="shared" si="47"/>
        <v>0</v>
      </c>
      <c r="AF34" s="124">
        <f t="shared" si="48"/>
        <v>0</v>
      </c>
      <c r="AG34" s="124">
        <f t="shared" si="49"/>
        <v>0</v>
      </c>
      <c r="AH34" s="124">
        <f t="shared" si="50"/>
        <v>0</v>
      </c>
      <c r="AI34" s="124">
        <f t="shared" si="51"/>
        <v>0</v>
      </c>
      <c r="AJ34" s="124">
        <f t="shared" si="52"/>
        <v>0</v>
      </c>
      <c r="AK34" s="124">
        <f t="shared" si="53"/>
        <v>0</v>
      </c>
      <c r="AL34" s="124">
        <f t="shared" si="54"/>
        <v>0</v>
      </c>
      <c r="AM34" s="109" t="e">
        <f t="shared" si="3"/>
        <v>#DIV/0!</v>
      </c>
      <c r="AN34" s="21">
        <f t="shared" si="22"/>
        <v>0.01</v>
      </c>
      <c r="AO34" s="117" t="e">
        <f t="shared" si="32"/>
        <v>#DIV/0!</v>
      </c>
    </row>
    <row r="35" spans="1:41" x14ac:dyDescent="0.15">
      <c r="B35" s="10"/>
      <c r="C35" s="112"/>
      <c r="D35" s="112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0"/>
      <c r="AB35" s="118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08"/>
      <c r="AN35" s="108"/>
      <c r="AO35" s="108"/>
    </row>
    <row r="36" spans="1:41" x14ac:dyDescent="0.15">
      <c r="A36" s="175" t="s">
        <v>277</v>
      </c>
      <c r="B36" s="166" t="s">
        <v>271</v>
      </c>
      <c r="C36" s="112"/>
      <c r="D36" s="112"/>
      <c r="E36" s="118"/>
      <c r="F36" s="169"/>
      <c r="G36" s="169">
        <f t="shared" ref="G36" si="110">H36</f>
        <v>55747</v>
      </c>
      <c r="H36" s="169">
        <f t="shared" ref="H36" si="111">I36</f>
        <v>55747</v>
      </c>
      <c r="I36" s="169">
        <v>55747</v>
      </c>
      <c r="J36" s="169">
        <v>68264</v>
      </c>
      <c r="K36" s="169">
        <v>100631</v>
      </c>
      <c r="L36" s="169">
        <v>142644</v>
      </c>
      <c r="M36" s="169">
        <v>167297</v>
      </c>
      <c r="N36" s="169">
        <v>208287</v>
      </c>
      <c r="O36" s="169">
        <v>246539</v>
      </c>
      <c r="P36" s="169">
        <v>296091</v>
      </c>
      <c r="Q36" s="169">
        <v>367080</v>
      </c>
      <c r="R36" s="169">
        <v>45283</v>
      </c>
      <c r="S36" s="169">
        <v>545873</v>
      </c>
      <c r="T36" s="169">
        <v>643134</v>
      </c>
      <c r="U36" s="169">
        <v>788375</v>
      </c>
      <c r="V36" s="169">
        <v>922502</v>
      </c>
      <c r="W36" s="169">
        <v>1146207</v>
      </c>
      <c r="X36" s="169">
        <v>13333720</v>
      </c>
      <c r="Y36" s="169">
        <v>1558003</v>
      </c>
      <c r="Z36" s="169">
        <v>1882663</v>
      </c>
      <c r="AA36" s="96">
        <f t="shared" si="33"/>
        <v>0.20351098098039744</v>
      </c>
      <c r="AB36" s="21">
        <f t="shared" si="12"/>
        <v>0.15</v>
      </c>
      <c r="AC36" s="124">
        <f t="shared" si="1"/>
        <v>2165062.4499999997</v>
      </c>
      <c r="AD36" s="124">
        <f t="shared" ref="AD36:AD51" si="112">AC36*(1+$AB36)</f>
        <v>2489821.8174999994</v>
      </c>
      <c r="AE36" s="124">
        <f t="shared" ref="AE36:AE51" si="113">AD36*(1+$AB36)</f>
        <v>2863295.0901249992</v>
      </c>
      <c r="AF36" s="124">
        <f t="shared" ref="AF36:AF51" si="114">AE36*(1+$AB36)</f>
        <v>3292789.3536437489</v>
      </c>
      <c r="AG36" s="124">
        <f t="shared" ref="AG36:AG51" si="115">AF36*(1+$AB36)</f>
        <v>3786707.7566903108</v>
      </c>
      <c r="AH36" s="124">
        <f t="shared" ref="AH36:AH51" si="116">AG36*(1+$AB36)</f>
        <v>4354713.9201938575</v>
      </c>
      <c r="AI36" s="124">
        <f t="shared" ref="AI36:AI51" si="117">AH36*(1+$AB36)</f>
        <v>5007921.0082229357</v>
      </c>
      <c r="AJ36" s="124">
        <f t="shared" ref="AJ36:AJ51" si="118">AI36*(1+$AB36)</f>
        <v>5759109.159456376</v>
      </c>
      <c r="AK36" s="124">
        <f t="shared" ref="AK36:AK51" si="119">AJ36*(1+$AB36)</f>
        <v>6622975.533374832</v>
      </c>
      <c r="AL36" s="124">
        <f t="shared" ref="AL36:AL51" si="120">AK36*(1+$AB36)</f>
        <v>7616421.8633810561</v>
      </c>
      <c r="AM36" s="109">
        <f t="shared" si="3"/>
        <v>0.18478336529016048</v>
      </c>
      <c r="AN36" s="21">
        <f t="shared" si="22"/>
        <v>0.01</v>
      </c>
      <c r="AO36" s="117" t="e">
        <f t="shared" si="32"/>
        <v>#DIV/0!</v>
      </c>
    </row>
    <row r="37" spans="1:41" x14ac:dyDescent="0.15">
      <c r="A37" s="175"/>
      <c r="B37" s="166"/>
      <c r="C37" s="112"/>
      <c r="D37" s="112"/>
      <c r="E37" s="118"/>
      <c r="F37" s="121"/>
      <c r="G37" s="121" t="e">
        <f t="shared" ref="G37" si="121">(G36-E36)/E36</f>
        <v>#DIV/0!</v>
      </c>
      <c r="H37" s="121" t="e">
        <f t="shared" ref="H37" si="122">(H36-F36)/F36</f>
        <v>#DIV/0!</v>
      </c>
      <c r="I37" s="121">
        <f t="shared" ref="I37" si="123">(I36-H36)/H36</f>
        <v>0</v>
      </c>
      <c r="J37" s="121">
        <f t="shared" ref="J37" si="124">(J36-I36)/I36</f>
        <v>0.22453226182574848</v>
      </c>
      <c r="K37" s="121">
        <f t="shared" ref="K37" si="125">(K36-J36)/J36</f>
        <v>0.47414449783194657</v>
      </c>
      <c r="L37" s="121">
        <f t="shared" ref="L37" si="126">(L36-K36)/K36</f>
        <v>0.41749560274666853</v>
      </c>
      <c r="M37" s="121">
        <f t="shared" ref="M37" si="127">(M36-L36)/L36</f>
        <v>0.17282886066010489</v>
      </c>
      <c r="N37" s="121">
        <f t="shared" ref="N37" si="128">(N36-M36)/M36</f>
        <v>0.24501335947446756</v>
      </c>
      <c r="O37" s="121">
        <f t="shared" ref="O37" si="129">(O36-N36)/N36</f>
        <v>0.18365044385871418</v>
      </c>
      <c r="P37" s="121">
        <f t="shared" ref="P37" si="130">(P36-O36)/O36</f>
        <v>0.20099051265722664</v>
      </c>
      <c r="Q37" s="121">
        <f t="shared" ref="Q37" si="131">(Q36-P36)/P36</f>
        <v>0.23975399454897312</v>
      </c>
      <c r="R37" s="121">
        <f t="shared" ref="R37" si="132">(R36-Q36)/Q36</f>
        <v>-0.87663996948893974</v>
      </c>
      <c r="S37" s="121">
        <f t="shared" ref="S37" si="133">(S36-R36)/R36</f>
        <v>11.054700439458516</v>
      </c>
      <c r="T37" s="121">
        <f t="shared" ref="T37" si="134">(T36-S36)/S36</f>
        <v>0.17817514330256304</v>
      </c>
      <c r="U37" s="121">
        <f t="shared" ref="U37" si="135">(U36-T36)/T36</f>
        <v>0.22583318561917112</v>
      </c>
      <c r="V37" s="121">
        <f t="shared" ref="V37:W37" si="136">(V36-U36)/U36</f>
        <v>0.17013096559378468</v>
      </c>
      <c r="W37" s="121">
        <f t="shared" si="136"/>
        <v>0.24249811924526993</v>
      </c>
      <c r="X37" s="121">
        <f t="shared" ref="X37" si="137">(X36-V36)/V36</f>
        <v>13.453865682676026</v>
      </c>
      <c r="Y37" s="121">
        <f t="shared" ref="Y37:Z37" si="138">(Y36-W36)/W36</f>
        <v>0.35926843929586888</v>
      </c>
      <c r="Z37" s="121">
        <f t="shared" si="138"/>
        <v>-0.85880436967327944</v>
      </c>
      <c r="AA37" s="10"/>
      <c r="AB37" s="10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08"/>
      <c r="AN37" s="124"/>
      <c r="AO37" s="108"/>
    </row>
    <row r="38" spans="1:41" x14ac:dyDescent="0.15">
      <c r="A38" s="175"/>
      <c r="B38" s="166" t="s">
        <v>272</v>
      </c>
      <c r="C38" s="112"/>
      <c r="D38" s="112"/>
      <c r="E38" s="118"/>
      <c r="F38" s="169"/>
      <c r="G38" s="169">
        <f t="shared" ref="G38" si="139">H38</f>
        <v>4560.4799999999996</v>
      </c>
      <c r="H38" s="169">
        <f t="shared" ref="H38" si="140">I38</f>
        <v>4560.4799999999996</v>
      </c>
      <c r="I38" s="169">
        <v>4560.4799999999996</v>
      </c>
      <c r="J38" s="169">
        <v>2815</v>
      </c>
      <c r="K38" s="169">
        <v>4478</v>
      </c>
      <c r="L38" s="169">
        <v>2775</v>
      </c>
      <c r="M38" s="169">
        <v>13171</v>
      </c>
      <c r="N38" s="169">
        <v>14650</v>
      </c>
      <c r="O38" s="169">
        <v>26334</v>
      </c>
      <c r="P38" s="169">
        <v>39496</v>
      </c>
      <c r="Q38" s="169">
        <v>49596</v>
      </c>
      <c r="R38" s="169">
        <v>59478</v>
      </c>
      <c r="S38" s="169">
        <v>71763</v>
      </c>
      <c r="T38" s="169">
        <v>98415</v>
      </c>
      <c r="U38" s="169">
        <v>156442</v>
      </c>
      <c r="V38" s="169">
        <v>157732</v>
      </c>
      <c r="W38" s="169">
        <v>186834</v>
      </c>
      <c r="X38" s="169">
        <v>177696</v>
      </c>
      <c r="Y38" s="169">
        <v>226966</v>
      </c>
      <c r="Z38" s="169">
        <v>256548</v>
      </c>
      <c r="AA38" s="96">
        <f t="shared" si="33"/>
        <v>0.23627071876851069</v>
      </c>
      <c r="AB38" s="21">
        <f t="shared" si="12"/>
        <v>0.15</v>
      </c>
      <c r="AC38" s="124">
        <f t="shared" si="1"/>
        <v>295030.19999999995</v>
      </c>
      <c r="AD38" s="124">
        <f t="shared" si="112"/>
        <v>339284.72999999992</v>
      </c>
      <c r="AE38" s="124">
        <f t="shared" si="113"/>
        <v>390177.43949999986</v>
      </c>
      <c r="AF38" s="124">
        <f t="shared" si="114"/>
        <v>448704.05542499979</v>
      </c>
      <c r="AG38" s="124">
        <f t="shared" si="115"/>
        <v>516009.66373874975</v>
      </c>
      <c r="AH38" s="124">
        <f t="shared" si="116"/>
        <v>593411.11329956213</v>
      </c>
      <c r="AI38" s="124">
        <f t="shared" si="117"/>
        <v>682422.78029449645</v>
      </c>
      <c r="AJ38" s="124">
        <f t="shared" si="118"/>
        <v>784786.19733867084</v>
      </c>
      <c r="AK38" s="124">
        <f t="shared" si="119"/>
        <v>902504.12693947135</v>
      </c>
      <c r="AL38" s="124">
        <f t="shared" si="120"/>
        <v>1037879.745980392</v>
      </c>
      <c r="AM38" s="109">
        <f t="shared" si="3"/>
        <v>0.20581468420088056</v>
      </c>
      <c r="AN38" s="21">
        <f t="shared" si="22"/>
        <v>0.01</v>
      </c>
      <c r="AO38" s="117" t="e">
        <f t="shared" si="32"/>
        <v>#DIV/0!</v>
      </c>
    </row>
    <row r="39" spans="1:41" x14ac:dyDescent="0.15">
      <c r="A39" s="175"/>
      <c r="B39" s="166"/>
      <c r="C39" s="112"/>
      <c r="D39" s="112"/>
      <c r="E39" s="118"/>
      <c r="F39" s="121"/>
      <c r="G39" s="121" t="e">
        <f t="shared" ref="G39" si="141">(G38-E38)/E38</f>
        <v>#DIV/0!</v>
      </c>
      <c r="H39" s="121" t="e">
        <f t="shared" ref="H39" si="142">(H38-F38)/F38</f>
        <v>#DIV/0!</v>
      </c>
      <c r="I39" s="121">
        <f t="shared" ref="I39" si="143">(I38-H38)/H38</f>
        <v>0</v>
      </c>
      <c r="J39" s="121">
        <f t="shared" ref="J39" si="144">(J38-I38)/I38</f>
        <v>-0.38274041328982911</v>
      </c>
      <c r="K39" s="121">
        <f t="shared" ref="K39" si="145">(K38-J38)/J38</f>
        <v>0.5907637655417407</v>
      </c>
      <c r="L39" s="121">
        <f t="shared" ref="L39" si="146">(L38-K38)/K38</f>
        <v>-0.38030370701205896</v>
      </c>
      <c r="M39" s="121">
        <f t="shared" ref="M39" si="147">(M38-L38)/L38</f>
        <v>3.7463063063063062</v>
      </c>
      <c r="N39" s="121">
        <f t="shared" ref="N39" si="148">(N38-M38)/M38</f>
        <v>0.11229215701161643</v>
      </c>
      <c r="O39" s="121">
        <f t="shared" ref="O39" si="149">(O38-N38)/N38</f>
        <v>0.79754266211604097</v>
      </c>
      <c r="P39" s="121">
        <f t="shared" ref="P39" si="150">(P38-O38)/O38</f>
        <v>0.49981013138907876</v>
      </c>
      <c r="Q39" s="121">
        <f t="shared" ref="Q39" si="151">(Q38-P38)/P38</f>
        <v>0.25572209844034838</v>
      </c>
      <c r="R39" s="121">
        <f t="shared" ref="R39" si="152">(R38-Q38)/Q38</f>
        <v>0.19924993951125092</v>
      </c>
      <c r="S39" s="121">
        <f t="shared" ref="S39" si="153">(S38-R38)/R38</f>
        <v>0.20654695853929184</v>
      </c>
      <c r="T39" s="121">
        <f t="shared" ref="T39" si="154">(T38-S38)/S38</f>
        <v>0.37138915597174033</v>
      </c>
      <c r="U39" s="121">
        <f t="shared" ref="U39" si="155">(U38-T38)/T38</f>
        <v>0.58961540415587055</v>
      </c>
      <c r="V39" s="121">
        <f t="shared" ref="V39:W39" si="156">(V38-U38)/U38</f>
        <v>8.2458674780429807E-3</v>
      </c>
      <c r="W39" s="121">
        <f t="shared" si="156"/>
        <v>0.18450282758096012</v>
      </c>
      <c r="X39" s="121">
        <f t="shared" ref="X39" si="157">(X38-V38)/V38</f>
        <v>0.12656911723683209</v>
      </c>
      <c r="Y39" s="121">
        <f t="shared" ref="Y39:Z39" si="158">(Y38-W38)/W38</f>
        <v>0.21480030401318817</v>
      </c>
      <c r="Z39" s="121">
        <f t="shared" si="158"/>
        <v>0.4437466234467855</v>
      </c>
      <c r="AA39" s="10"/>
      <c r="AB39" s="10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08"/>
      <c r="AN39" s="124"/>
      <c r="AO39" s="108"/>
    </row>
    <row r="40" spans="1:41" x14ac:dyDescent="0.15">
      <c r="A40" s="175"/>
      <c r="B40" s="166" t="s">
        <v>276</v>
      </c>
      <c r="C40" s="112"/>
      <c r="D40" s="112"/>
      <c r="E40" s="118"/>
      <c r="F40" s="169"/>
      <c r="G40" s="169">
        <f t="shared" ref="G40:G43" si="159">H40</f>
        <v>7941</v>
      </c>
      <c r="H40" s="169">
        <f t="shared" ref="H40" si="160">I40</f>
        <v>7941</v>
      </c>
      <c r="I40" s="169">
        <v>7941</v>
      </c>
      <c r="J40" s="169">
        <v>13729</v>
      </c>
      <c r="K40" s="169">
        <v>16510</v>
      </c>
      <c r="L40" s="169">
        <v>22844</v>
      </c>
      <c r="M40" s="169">
        <v>20783</v>
      </c>
      <c r="N40" s="169">
        <v>29317</v>
      </c>
      <c r="O40" s="169">
        <v>37786</v>
      </c>
      <c r="P40" s="169">
        <v>35270</v>
      </c>
      <c r="Q40" s="169">
        <v>42624</v>
      </c>
      <c r="R40" s="169">
        <v>34018</v>
      </c>
      <c r="S40" s="169">
        <v>38140</v>
      </c>
      <c r="T40" s="169">
        <v>5870</v>
      </c>
      <c r="U40" s="169">
        <v>48413</v>
      </c>
      <c r="V40" s="169">
        <v>58395</v>
      </c>
      <c r="W40" s="169">
        <v>70853</v>
      </c>
      <c r="X40" s="169">
        <v>77646</v>
      </c>
      <c r="Y40" s="169">
        <v>89918</v>
      </c>
      <c r="Z40" s="169">
        <v>100922</v>
      </c>
      <c r="AA40" s="96">
        <f t="shared" si="33"/>
        <v>0.14317070583344993</v>
      </c>
      <c r="AB40" s="21">
        <f t="shared" si="12"/>
        <v>0.15</v>
      </c>
      <c r="AC40" s="124">
        <f t="shared" si="1"/>
        <v>116060.29999999999</v>
      </c>
      <c r="AD40" s="124">
        <f t="shared" si="112"/>
        <v>133469.34499999997</v>
      </c>
      <c r="AE40" s="124">
        <f t="shared" si="113"/>
        <v>153489.74674999996</v>
      </c>
      <c r="AF40" s="124">
        <f t="shared" si="114"/>
        <v>176513.20876249994</v>
      </c>
      <c r="AG40" s="124">
        <f t="shared" si="115"/>
        <v>202990.19007687492</v>
      </c>
      <c r="AH40" s="124">
        <f t="shared" si="116"/>
        <v>233438.71858840613</v>
      </c>
      <c r="AI40" s="124">
        <f t="shared" si="117"/>
        <v>268454.52637666703</v>
      </c>
      <c r="AJ40" s="124">
        <f t="shared" si="118"/>
        <v>308722.70533316705</v>
      </c>
      <c r="AK40" s="124">
        <f t="shared" si="119"/>
        <v>355031.11113314208</v>
      </c>
      <c r="AL40" s="124">
        <f t="shared" si="120"/>
        <v>408285.77780311339</v>
      </c>
      <c r="AM40" s="109">
        <f t="shared" si="3"/>
        <v>0.14552104139537447</v>
      </c>
      <c r="AN40" s="21">
        <f t="shared" si="22"/>
        <v>0.01</v>
      </c>
      <c r="AO40" s="117" t="e">
        <f t="shared" si="32"/>
        <v>#DIV/0!</v>
      </c>
    </row>
    <row r="41" spans="1:41" x14ac:dyDescent="0.15">
      <c r="A41" s="175"/>
      <c r="B41" s="166" t="s">
        <v>273</v>
      </c>
      <c r="C41" s="112"/>
      <c r="D41" s="112"/>
      <c r="E41" s="118"/>
      <c r="F41" s="169"/>
      <c r="G41" s="169">
        <f t="shared" si="159"/>
        <v>3306</v>
      </c>
      <c r="H41" s="169">
        <f t="shared" ref="H41" si="161">I41</f>
        <v>3306</v>
      </c>
      <c r="I41" s="169">
        <v>3306</v>
      </c>
      <c r="J41" s="169">
        <v>5075</v>
      </c>
      <c r="K41" s="169">
        <v>12553</v>
      </c>
      <c r="L41" s="169">
        <v>13527</v>
      </c>
      <c r="M41" s="169">
        <v>15483</v>
      </c>
      <c r="N41" s="169">
        <v>25100</v>
      </c>
      <c r="O41" s="169">
        <v>14991</v>
      </c>
      <c r="P41" s="169">
        <v>14630</v>
      </c>
      <c r="Q41" s="169">
        <v>25357</v>
      </c>
      <c r="R41" s="169">
        <v>27522</v>
      </c>
      <c r="S41" s="169">
        <v>30076</v>
      </c>
      <c r="T41" s="169">
        <v>37910</v>
      </c>
      <c r="U41" s="169">
        <v>104688</v>
      </c>
      <c r="V41" s="169">
        <v>46804</v>
      </c>
      <c r="W41" s="169">
        <v>72211</v>
      </c>
      <c r="X41" s="169">
        <v>97370</v>
      </c>
      <c r="Y41" s="169">
        <v>130030</v>
      </c>
      <c r="Z41" s="169">
        <v>117189</v>
      </c>
      <c r="AA41" s="96">
        <f t="shared" si="33"/>
        <v>0.20658258464667512</v>
      </c>
      <c r="AB41" s="21">
        <f t="shared" si="12"/>
        <v>0.15</v>
      </c>
      <c r="AC41" s="124">
        <f t="shared" si="1"/>
        <v>134767.34999999998</v>
      </c>
      <c r="AD41" s="124">
        <f t="shared" si="112"/>
        <v>154982.45249999996</v>
      </c>
      <c r="AE41" s="124">
        <f t="shared" si="113"/>
        <v>178229.82037499992</v>
      </c>
      <c r="AF41" s="124">
        <f t="shared" si="114"/>
        <v>204964.29343124988</v>
      </c>
      <c r="AG41" s="124">
        <f t="shared" si="115"/>
        <v>235708.93744593734</v>
      </c>
      <c r="AH41" s="124">
        <f t="shared" si="116"/>
        <v>271065.27806282794</v>
      </c>
      <c r="AI41" s="124">
        <f t="shared" si="117"/>
        <v>311725.06977225211</v>
      </c>
      <c r="AJ41" s="124">
        <f t="shared" si="118"/>
        <v>358483.8302380899</v>
      </c>
      <c r="AK41" s="124">
        <f t="shared" si="119"/>
        <v>412256.40477380337</v>
      </c>
      <c r="AL41" s="124">
        <f t="shared" si="120"/>
        <v>474094.86548987386</v>
      </c>
      <c r="AM41" s="109">
        <f t="shared" si="3"/>
        <v>0.1867636094571985</v>
      </c>
      <c r="AN41" s="21">
        <f t="shared" si="22"/>
        <v>0.01</v>
      </c>
      <c r="AO41" s="117" t="e">
        <f t="shared" si="32"/>
        <v>#DIV/0!</v>
      </c>
    </row>
    <row r="42" spans="1:41" x14ac:dyDescent="0.15">
      <c r="A42" s="175"/>
      <c r="B42" s="166" t="s">
        <v>275</v>
      </c>
      <c r="C42" s="112"/>
      <c r="D42" s="112"/>
      <c r="E42" s="118"/>
      <c r="F42" s="169"/>
      <c r="G42" s="169">
        <f t="shared" si="159"/>
        <v>3635</v>
      </c>
      <c r="H42" s="169">
        <f t="shared" ref="H42" si="162">I42</f>
        <v>3635</v>
      </c>
      <c r="I42" s="169">
        <v>3635</v>
      </c>
      <c r="J42" s="169">
        <v>3998</v>
      </c>
      <c r="K42" s="169">
        <v>2274</v>
      </c>
      <c r="L42" s="169">
        <v>4009</v>
      </c>
      <c r="M42" s="169">
        <v>14594</v>
      </c>
      <c r="N42" s="169">
        <v>4737</v>
      </c>
      <c r="O42" s="169">
        <v>6183</v>
      </c>
      <c r="P42" s="169">
        <v>12900</v>
      </c>
      <c r="Q42" s="169">
        <v>14556</v>
      </c>
      <c r="R42" s="169">
        <v>9004</v>
      </c>
      <c r="S42" s="169">
        <v>8992</v>
      </c>
      <c r="T42" s="169">
        <v>11400</v>
      </c>
      <c r="U42" s="169">
        <v>18373</v>
      </c>
      <c r="V42" s="169">
        <v>35013</v>
      </c>
      <c r="W42" s="169">
        <v>15729</v>
      </c>
      <c r="X42" s="169">
        <v>23902</v>
      </c>
      <c r="Y42" s="169">
        <v>25355</v>
      </c>
      <c r="Z42" s="169">
        <v>79958</v>
      </c>
      <c r="AA42" s="96">
        <f t="shared" si="33"/>
        <v>0.17665838807555745</v>
      </c>
      <c r="AB42" s="21">
        <f t="shared" si="12"/>
        <v>0.15</v>
      </c>
      <c r="AC42" s="124">
        <f t="shared" si="1"/>
        <v>91951.7</v>
      </c>
      <c r="AD42" s="124">
        <f t="shared" si="112"/>
        <v>105744.45499999999</v>
      </c>
      <c r="AE42" s="124">
        <f t="shared" si="113"/>
        <v>121606.12324999998</v>
      </c>
      <c r="AF42" s="124">
        <f t="shared" si="114"/>
        <v>139847.04173749997</v>
      </c>
      <c r="AG42" s="124">
        <f t="shared" si="115"/>
        <v>160824.09799812495</v>
      </c>
      <c r="AH42" s="124">
        <f t="shared" si="116"/>
        <v>184947.71269784367</v>
      </c>
      <c r="AI42" s="124">
        <f t="shared" si="117"/>
        <v>212689.86960252019</v>
      </c>
      <c r="AJ42" s="124">
        <f t="shared" si="118"/>
        <v>244593.35004289821</v>
      </c>
      <c r="AK42" s="124">
        <f t="shared" si="119"/>
        <v>281282.35254933289</v>
      </c>
      <c r="AL42" s="124">
        <f t="shared" si="120"/>
        <v>323474.70543173281</v>
      </c>
      <c r="AM42" s="109">
        <f t="shared" si="3"/>
        <v>0.16739674938889393</v>
      </c>
      <c r="AN42" s="21">
        <f t="shared" si="22"/>
        <v>0.01</v>
      </c>
      <c r="AO42" s="117" t="e">
        <f t="shared" si="32"/>
        <v>#DIV/0!</v>
      </c>
    </row>
    <row r="43" spans="1:41" x14ac:dyDescent="0.15">
      <c r="A43" s="175"/>
      <c r="B43" s="166" t="s">
        <v>274</v>
      </c>
      <c r="C43" s="112"/>
      <c r="D43" s="112"/>
      <c r="E43" s="118"/>
      <c r="F43" s="169"/>
      <c r="G43" s="169">
        <f t="shared" si="159"/>
        <v>35062</v>
      </c>
      <c r="H43" s="169">
        <f t="shared" ref="H43" si="163">I43</f>
        <v>35062</v>
      </c>
      <c r="I43" s="169">
        <v>35062</v>
      </c>
      <c r="J43" s="169">
        <v>46944</v>
      </c>
      <c r="K43" s="169">
        <v>63426</v>
      </c>
      <c r="L43" s="169">
        <v>99027</v>
      </c>
      <c r="M43" s="169">
        <v>126162</v>
      </c>
      <c r="N43" s="169">
        <v>160831</v>
      </c>
      <c r="O43" s="169">
        <v>198837</v>
      </c>
      <c r="P43" s="169">
        <v>247245</v>
      </c>
      <c r="Q43" s="169">
        <v>315418</v>
      </c>
      <c r="R43" s="169">
        <v>383407</v>
      </c>
      <c r="S43" s="169">
        <v>487290</v>
      </c>
      <c r="T43" s="169">
        <v>585480</v>
      </c>
      <c r="U43" s="169">
        <v>700033</v>
      </c>
      <c r="V43" s="169">
        <v>869222</v>
      </c>
      <c r="W43" s="169">
        <v>1043670</v>
      </c>
      <c r="X43" s="169">
        <v>1185283</v>
      </c>
      <c r="Y43" s="169">
        <v>1420942</v>
      </c>
      <c r="Z43" s="169">
        <v>1661949</v>
      </c>
      <c r="AA43" s="96">
        <f t="shared" si="33"/>
        <v>0.22517746571875485</v>
      </c>
      <c r="AB43" s="21">
        <f t="shared" si="12"/>
        <v>0.15</v>
      </c>
      <c r="AC43" s="124">
        <f t="shared" si="1"/>
        <v>1911241.3499999999</v>
      </c>
      <c r="AD43" s="124">
        <f t="shared" si="112"/>
        <v>2197927.5524999998</v>
      </c>
      <c r="AE43" s="124">
        <f t="shared" si="113"/>
        <v>2527616.6853749994</v>
      </c>
      <c r="AF43" s="124">
        <f t="shared" si="114"/>
        <v>2906759.188181249</v>
      </c>
      <c r="AG43" s="124">
        <f t="shared" si="115"/>
        <v>3342773.0664084358</v>
      </c>
      <c r="AH43" s="124">
        <f t="shared" si="116"/>
        <v>3844189.0263697007</v>
      </c>
      <c r="AI43" s="124">
        <f t="shared" si="117"/>
        <v>4420817.3803251553</v>
      </c>
      <c r="AJ43" s="124">
        <f t="shared" si="118"/>
        <v>5083939.9873739285</v>
      </c>
      <c r="AK43" s="124">
        <f t="shared" si="119"/>
        <v>5846530.985480017</v>
      </c>
      <c r="AL43" s="124">
        <f t="shared" si="120"/>
        <v>6723510.633302019</v>
      </c>
      <c r="AM43" s="109">
        <f t="shared" si="3"/>
        <v>0.19871472918483302</v>
      </c>
      <c r="AN43" s="21">
        <f t="shared" si="22"/>
        <v>0.01</v>
      </c>
      <c r="AO43" s="117" t="e">
        <f t="shared" si="32"/>
        <v>#DIV/0!</v>
      </c>
    </row>
    <row r="44" spans="1:41" x14ac:dyDescent="0.15">
      <c r="A44" s="175"/>
      <c r="B44" s="166"/>
      <c r="C44" s="112"/>
      <c r="D44" s="112"/>
      <c r="E44" s="118"/>
      <c r="F44" s="121"/>
      <c r="G44" s="121" t="e">
        <f t="shared" ref="G44" si="164">(G43-E43)/E43</f>
        <v>#DIV/0!</v>
      </c>
      <c r="H44" s="121" t="e">
        <f t="shared" ref="H44" si="165">(H43-F43)/F43</f>
        <v>#DIV/0!</v>
      </c>
      <c r="I44" s="121">
        <f t="shared" ref="I44" si="166">(I43-H43)/H43</f>
        <v>0</v>
      </c>
      <c r="J44" s="121">
        <f t="shared" ref="J44" si="167">(J43-I43)/I43</f>
        <v>0.33888540300039927</v>
      </c>
      <c r="K44" s="121">
        <f t="shared" ref="K44" si="168">(K43-J43)/J43</f>
        <v>0.35109918200408996</v>
      </c>
      <c r="L44" s="121">
        <f t="shared" ref="L44" si="169">(L43-K43)/K43</f>
        <v>0.56129978242361178</v>
      </c>
      <c r="M44" s="121">
        <f t="shared" ref="M44" si="170">(M43-L43)/L43</f>
        <v>0.27401617740616196</v>
      </c>
      <c r="N44" s="121">
        <f t="shared" ref="N44" si="171">(N43-M43)/M43</f>
        <v>0.27479748260173426</v>
      </c>
      <c r="O44" s="121">
        <f t="shared" ref="O44" si="172">(O43-N43)/N43</f>
        <v>0.23631016408528208</v>
      </c>
      <c r="P44" s="121">
        <f t="shared" ref="P44" si="173">(P43-O43)/O43</f>
        <v>0.24345569486564372</v>
      </c>
      <c r="Q44" s="121">
        <f t="shared" ref="Q44" si="174">(Q43-P43)/P43</f>
        <v>0.27573055066836538</v>
      </c>
      <c r="R44" s="121">
        <f t="shared" ref="R44" si="175">(R43-Q43)/Q43</f>
        <v>0.21555206107451064</v>
      </c>
      <c r="S44" s="121">
        <f t="shared" ref="S44" si="176">(S43-R43)/R43</f>
        <v>0.27094706147775077</v>
      </c>
      <c r="T44" s="121">
        <f t="shared" ref="T44" si="177">(T43-S43)/S43</f>
        <v>0.20150218555685526</v>
      </c>
      <c r="U44" s="121">
        <f t="shared" ref="U44" si="178">(U43-T43)/T43</f>
        <v>0.19565655530504886</v>
      </c>
      <c r="V44" s="121">
        <f t="shared" ref="V44:W44" si="179">(V43-U43)/U43</f>
        <v>0.24168717760448435</v>
      </c>
      <c r="W44" s="121">
        <f t="shared" si="179"/>
        <v>0.20069441408523944</v>
      </c>
      <c r="X44" s="121">
        <f t="shared" ref="X44" si="180">(X43-V43)/V43</f>
        <v>0.3636136683148839</v>
      </c>
      <c r="Y44" s="121">
        <f t="shared" ref="Y44:Z44" si="181">(Y43-W43)/W43</f>
        <v>0.36148591029731619</v>
      </c>
      <c r="Z44" s="121">
        <f t="shared" si="181"/>
        <v>0.40215374724854741</v>
      </c>
      <c r="AA44" s="10"/>
      <c r="AB44" s="10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08"/>
      <c r="AN44" s="124"/>
      <c r="AO44" s="108"/>
    </row>
    <row r="45" spans="1:41" x14ac:dyDescent="0.15">
      <c r="A45" s="175"/>
      <c r="B45" s="166" t="s">
        <v>67</v>
      </c>
      <c r="C45" s="112"/>
      <c r="D45" s="112"/>
      <c r="E45" s="118"/>
      <c r="F45" s="169"/>
      <c r="G45" s="169">
        <f t="shared" ref="G45" si="182">H45</f>
        <v>28390</v>
      </c>
      <c r="H45" s="169">
        <f t="shared" ref="H45" si="183">I45</f>
        <v>28390</v>
      </c>
      <c r="I45" s="169">
        <v>28390</v>
      </c>
      <c r="J45" s="169">
        <v>30567</v>
      </c>
      <c r="K45" s="169">
        <v>49288</v>
      </c>
      <c r="L45" s="169">
        <v>58715</v>
      </c>
      <c r="M45" s="169">
        <v>58508</v>
      </c>
      <c r="N45" s="169">
        <v>70276</v>
      </c>
      <c r="O45" s="169">
        <v>96795</v>
      </c>
      <c r="P45" s="169">
        <v>110960</v>
      </c>
      <c r="Q45" s="169">
        <v>119571</v>
      </c>
      <c r="R45" s="169">
        <v>164272</v>
      </c>
      <c r="S45" s="169">
        <v>161683</v>
      </c>
      <c r="T45" s="169">
        <v>210777</v>
      </c>
      <c r="U45" s="169">
        <v>238460</v>
      </c>
      <c r="V45" s="169">
        <v>286917</v>
      </c>
      <c r="W45" s="169">
        <v>389304</v>
      </c>
      <c r="X45" s="169">
        <v>438823</v>
      </c>
      <c r="Y45" s="169">
        <v>449263</v>
      </c>
      <c r="Z45" s="169">
        <v>511581</v>
      </c>
      <c r="AA45" s="96">
        <f t="shared" si="33"/>
        <v>0.16437280454482894</v>
      </c>
      <c r="AB45" s="21">
        <f t="shared" si="12"/>
        <v>0.15</v>
      </c>
      <c r="AC45" s="124">
        <f t="shared" si="1"/>
        <v>588318.14999999991</v>
      </c>
      <c r="AD45" s="124">
        <f t="shared" si="112"/>
        <v>676565.87249999982</v>
      </c>
      <c r="AE45" s="124">
        <f t="shared" si="113"/>
        <v>778050.75337499974</v>
      </c>
      <c r="AF45" s="124">
        <f t="shared" si="114"/>
        <v>894758.36638124962</v>
      </c>
      <c r="AG45" s="124">
        <f t="shared" si="115"/>
        <v>1028972.121338437</v>
      </c>
      <c r="AH45" s="124">
        <f t="shared" si="116"/>
        <v>1183317.9395392025</v>
      </c>
      <c r="AI45" s="124">
        <f t="shared" si="117"/>
        <v>1360815.6304700829</v>
      </c>
      <c r="AJ45" s="124">
        <f t="shared" si="118"/>
        <v>1564937.9750405953</v>
      </c>
      <c r="AK45" s="124">
        <f t="shared" si="119"/>
        <v>1799678.6712966845</v>
      </c>
      <c r="AL45" s="124">
        <f t="shared" si="120"/>
        <v>2069630.471991187</v>
      </c>
      <c r="AM45" s="109">
        <f t="shared" si="3"/>
        <v>0.15939648646805171</v>
      </c>
      <c r="AN45" s="21">
        <f t="shared" si="22"/>
        <v>0.01</v>
      </c>
      <c r="AO45" s="117" t="e">
        <f t="shared" si="32"/>
        <v>#DIV/0!</v>
      </c>
    </row>
    <row r="46" spans="1:41" x14ac:dyDescent="0.15">
      <c r="A46" s="167"/>
      <c r="B46" s="166"/>
      <c r="C46" s="112"/>
      <c r="D46" s="112"/>
      <c r="E46" s="118"/>
      <c r="F46" s="121"/>
      <c r="G46" s="121" t="e">
        <f t="shared" ref="G46" si="184">(G45-E45)/E45</f>
        <v>#DIV/0!</v>
      </c>
      <c r="H46" s="121" t="e">
        <f t="shared" ref="H46" si="185">(H45-F45)/F45</f>
        <v>#DIV/0!</v>
      </c>
      <c r="I46" s="121">
        <f t="shared" ref="I46" si="186">(I45-H45)/H45</f>
        <v>0</v>
      </c>
      <c r="J46" s="121">
        <f t="shared" ref="J46" si="187">(J45-I45)/I45</f>
        <v>7.6681930257132797E-2</v>
      </c>
      <c r="K46" s="121">
        <f t="shared" ref="K46" si="188">(K45-J45)/J45</f>
        <v>0.61245787941243823</v>
      </c>
      <c r="L46" s="121">
        <f t="shared" ref="L46" si="189">(L45-K45)/K45</f>
        <v>0.191263593572472</v>
      </c>
      <c r="M46" s="121">
        <f t="shared" ref="M46" si="190">(M45-L45)/L45</f>
        <v>-3.5255045559056458E-3</v>
      </c>
      <c r="N46" s="121">
        <f t="shared" ref="N46" si="191">(N45-M45)/M45</f>
        <v>0.2011348875367471</v>
      </c>
      <c r="O46" s="121">
        <f t="shared" ref="O46" si="192">(O45-N45)/N45</f>
        <v>0.37735500028459218</v>
      </c>
      <c r="P46" s="121">
        <f t="shared" ref="P46" si="193">(P45-O45)/O45</f>
        <v>0.14634020352290925</v>
      </c>
      <c r="Q46" s="121">
        <f t="shared" ref="Q46" si="194">(Q45-P45)/P45</f>
        <v>7.7604542177361208E-2</v>
      </c>
      <c r="R46" s="121">
        <f t="shared" ref="R46" si="195">(R45-Q45)/Q45</f>
        <v>0.37384482859556245</v>
      </c>
      <c r="S46" s="121">
        <f t="shared" ref="S46" si="196">(S45-R45)/R45</f>
        <v>-1.5760446089412683E-2</v>
      </c>
      <c r="T46" s="121">
        <f t="shared" ref="T46" si="197">(T45-S45)/S45</f>
        <v>0.3036435494145952</v>
      </c>
      <c r="U46" s="121">
        <f t="shared" ref="U46" si="198">(U45-T45)/T45</f>
        <v>0.13133785944386722</v>
      </c>
      <c r="V46" s="121">
        <f t="shared" ref="V46:W46" si="199">(V45-U45)/U45</f>
        <v>0.20320808521345299</v>
      </c>
      <c r="W46" s="121">
        <f t="shared" si="199"/>
        <v>0.35685233011637513</v>
      </c>
      <c r="X46" s="121">
        <f t="shared" ref="X46" si="200">(X45-V45)/V45</f>
        <v>0.52944231258517271</v>
      </c>
      <c r="Y46" s="121">
        <f t="shared" ref="Y46:Z46" si="201">(Y45-W45)/W45</f>
        <v>0.15401588475844069</v>
      </c>
      <c r="Z46" s="121">
        <f t="shared" si="201"/>
        <v>0.16580261289859466</v>
      </c>
      <c r="AA46" s="10"/>
      <c r="AB46" s="10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08"/>
      <c r="AN46" s="124"/>
      <c r="AO46" s="108"/>
    </row>
    <row r="47" spans="1:41" x14ac:dyDescent="0.15">
      <c r="A47" s="167"/>
      <c r="B47" s="166" t="s">
        <v>301</v>
      </c>
      <c r="C47" s="112"/>
      <c r="D47" s="112"/>
      <c r="E47" s="118"/>
      <c r="F47" s="121"/>
      <c r="G47" s="169">
        <f t="shared" ref="G47" si="202">H47</f>
        <v>955</v>
      </c>
      <c r="H47" s="169">
        <f t="shared" ref="H47" si="203">I47</f>
        <v>955</v>
      </c>
      <c r="I47" s="169">
        <v>955</v>
      </c>
      <c r="J47" s="169">
        <v>14.2</v>
      </c>
      <c r="K47" s="169">
        <v>21.09</v>
      </c>
      <c r="L47" s="169">
        <v>2973</v>
      </c>
      <c r="M47" s="169">
        <v>3533</v>
      </c>
      <c r="N47" s="169">
        <v>3867</v>
      </c>
      <c r="O47" s="169">
        <v>4311</v>
      </c>
      <c r="P47" s="169">
        <v>4846</v>
      </c>
      <c r="Q47" s="169">
        <v>6172</v>
      </c>
      <c r="R47" s="169">
        <v>7646</v>
      </c>
      <c r="S47" s="169">
        <v>9654</v>
      </c>
      <c r="T47" s="169">
        <v>12068</v>
      </c>
      <c r="U47" s="169">
        <v>16474</v>
      </c>
      <c r="V47" s="169">
        <v>20254</v>
      </c>
      <c r="W47" s="169">
        <v>24598</v>
      </c>
      <c r="X47" s="169">
        <v>29779</v>
      </c>
      <c r="Y47" s="169">
        <v>30647</v>
      </c>
      <c r="Z47" s="169">
        <v>29203</v>
      </c>
      <c r="AA47" s="96">
        <f t="shared" si="33"/>
        <v>0.19723723597490084</v>
      </c>
      <c r="AB47" s="21">
        <f t="shared" si="12"/>
        <v>0.15</v>
      </c>
      <c r="AC47" s="124">
        <f t="shared" si="1"/>
        <v>33583.449999999997</v>
      </c>
      <c r="AD47" s="124">
        <f t="shared" ref="AD47" si="204">AC47*(1+$AB47)</f>
        <v>38620.967499999992</v>
      </c>
      <c r="AE47" s="124">
        <f t="shared" ref="AE47" si="205">AD47*(1+$AB47)</f>
        <v>44414.112624999987</v>
      </c>
      <c r="AF47" s="124">
        <f t="shared" ref="AF47" si="206">AE47*(1+$AB47)</f>
        <v>51076.229518749984</v>
      </c>
      <c r="AG47" s="124">
        <f t="shared" ref="AG47" si="207">AF47*(1+$AB47)</f>
        <v>58737.663946562476</v>
      </c>
      <c r="AH47" s="124">
        <f t="shared" ref="AH47" si="208">AG47*(1+$AB47)</f>
        <v>67548.313538546849</v>
      </c>
      <c r="AI47" s="124">
        <f t="shared" ref="AI47" si="209">AH47*(1+$AB47)</f>
        <v>77680.560569328867</v>
      </c>
      <c r="AJ47" s="124">
        <f t="shared" ref="AJ47" si="210">AI47*(1+$AB47)</f>
        <v>89332.644654728196</v>
      </c>
      <c r="AK47" s="124">
        <f t="shared" ref="AK47" si="211">AJ47*(1+$AB47)</f>
        <v>102732.54135293742</v>
      </c>
      <c r="AL47" s="124">
        <f t="shared" ref="AL47" si="212">AK47*(1+$AB47)</f>
        <v>118142.42255587803</v>
      </c>
      <c r="AM47" s="109">
        <f t="shared" si="3"/>
        <v>0.18073329624933465</v>
      </c>
      <c r="AN47" s="21">
        <f t="shared" si="22"/>
        <v>0.01</v>
      </c>
      <c r="AO47" s="117" t="e">
        <f t="shared" si="32"/>
        <v>#DIV/0!</v>
      </c>
    </row>
    <row r="48" spans="1:41" x14ac:dyDescent="0.15">
      <c r="A48" s="167"/>
      <c r="B48" s="166"/>
      <c r="C48" s="112"/>
      <c r="D48" s="112"/>
      <c r="E48" s="118"/>
      <c r="F48" s="121"/>
      <c r="G48" s="121" t="e">
        <f t="shared" ref="G48" si="213">(G47-E47)/E47</f>
        <v>#DIV/0!</v>
      </c>
      <c r="H48" s="121" t="e">
        <f t="shared" ref="H48" si="214">(H47-F47)/F47</f>
        <v>#DIV/0!</v>
      </c>
      <c r="I48" s="121">
        <f t="shared" ref="I48" si="215">(I47-H47)/H47</f>
        <v>0</v>
      </c>
      <c r="J48" s="121">
        <f t="shared" ref="J48" si="216">(J47-I47)/I47</f>
        <v>-0.98513089005235599</v>
      </c>
      <c r="K48" s="121">
        <f t="shared" ref="K48" si="217">(K47-J47)/J47</f>
        <v>0.48521126760563388</v>
      </c>
      <c r="L48" s="121">
        <f t="shared" ref="L48" si="218">(L47-K47)/K47</f>
        <v>139.96728307254622</v>
      </c>
      <c r="M48" s="121">
        <f t="shared" ref="M48" si="219">(M47-L47)/L47</f>
        <v>0.18836192398250926</v>
      </c>
      <c r="N48" s="121">
        <f t="shared" ref="N48" si="220">(N47-M47)/M47</f>
        <v>9.4537220492499296E-2</v>
      </c>
      <c r="O48" s="121">
        <f t="shared" ref="O48" si="221">(O47-N47)/N47</f>
        <v>0.11481768813033359</v>
      </c>
      <c r="P48" s="121">
        <f t="shared" ref="P48" si="222">(P47-O47)/O47</f>
        <v>0.12410113662723266</v>
      </c>
      <c r="Q48" s="121">
        <f t="shared" ref="Q48" si="223">(Q47-P47)/P47</f>
        <v>0.27362773421378456</v>
      </c>
      <c r="R48" s="121">
        <f t="shared" ref="R48" si="224">(R47-Q47)/Q47</f>
        <v>0.23882047958522359</v>
      </c>
      <c r="S48" s="121">
        <f t="shared" ref="S48" si="225">(S47-R47)/R47</f>
        <v>0.26262097828930159</v>
      </c>
      <c r="T48" s="121">
        <f t="shared" ref="T48" si="226">(T47-S47)/S47</f>
        <v>0.25005179200331468</v>
      </c>
      <c r="U48" s="121">
        <f t="shared" ref="U48" si="227">(U47-T47)/T47</f>
        <v>0.36509777925091152</v>
      </c>
      <c r="V48" s="121">
        <f t="shared" ref="V48:W48" si="228">(V47-U47)/U47</f>
        <v>0.22945247055966977</v>
      </c>
      <c r="W48" s="121">
        <f t="shared" si="228"/>
        <v>0.21447615285869459</v>
      </c>
      <c r="X48" s="121">
        <f t="shared" ref="X48" si="229">(X47-V47)/V47</f>
        <v>0.47027747605411274</v>
      </c>
      <c r="Y48" s="121">
        <f t="shared" ref="Y48:Z48" si="230">(Y47-W47)/W47</f>
        <v>0.24591430197577038</v>
      </c>
      <c r="Z48" s="121">
        <f t="shared" si="230"/>
        <v>-1.9342489673931294E-2</v>
      </c>
      <c r="AA48" s="10"/>
      <c r="AB48" s="10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08"/>
      <c r="AN48" s="124"/>
      <c r="AO48" s="108"/>
    </row>
    <row r="49" spans="1:41" x14ac:dyDescent="0.15">
      <c r="A49" s="167"/>
      <c r="B49" s="166" t="s">
        <v>287</v>
      </c>
      <c r="C49" s="112"/>
      <c r="D49" s="112"/>
      <c r="E49" s="118"/>
      <c r="F49" s="169"/>
      <c r="G49" s="169">
        <f t="shared" ref="G49" si="231">H49</f>
        <v>1245</v>
      </c>
      <c r="H49" s="169">
        <f t="shared" ref="H49" si="232">I49</f>
        <v>1245</v>
      </c>
      <c r="I49" s="169">
        <v>1245</v>
      </c>
      <c r="J49" s="169">
        <v>1571</v>
      </c>
      <c r="K49" s="169">
        <v>2298</v>
      </c>
      <c r="L49" s="169">
        <v>3616</v>
      </c>
      <c r="M49" s="169">
        <v>4037</v>
      </c>
      <c r="N49" s="169">
        <v>4585</v>
      </c>
      <c r="O49" s="169">
        <v>5992</v>
      </c>
      <c r="P49" s="169">
        <v>7132</v>
      </c>
      <c r="Q49" s="169">
        <v>8297</v>
      </c>
      <c r="R49" s="169">
        <v>9545</v>
      </c>
      <c r="S49" s="169">
        <v>11211</v>
      </c>
      <c r="T49" s="169">
        <v>12877</v>
      </c>
      <c r="U49" s="169">
        <v>16056</v>
      </c>
      <c r="V49" s="169">
        <v>18947</v>
      </c>
      <c r="W49" s="169">
        <v>24878</v>
      </c>
      <c r="X49" s="169">
        <v>27332</v>
      </c>
      <c r="Y49" s="169">
        <v>31758</v>
      </c>
      <c r="Z49" s="169">
        <v>33912</v>
      </c>
      <c r="AA49" s="96">
        <f t="shared" si="33"/>
        <v>0.18996997284505968</v>
      </c>
      <c r="AB49" s="21">
        <f t="shared" si="12"/>
        <v>0.15</v>
      </c>
      <c r="AC49" s="124">
        <f t="shared" si="1"/>
        <v>38998.799999999996</v>
      </c>
      <c r="AD49" s="124">
        <f t="shared" ref="AD49" si="233">AC49*(1+$AB49)</f>
        <v>44848.619999999988</v>
      </c>
      <c r="AE49" s="124">
        <f t="shared" ref="AE49" si="234">AD49*(1+$AB49)</f>
        <v>51575.912999999986</v>
      </c>
      <c r="AF49" s="124">
        <f t="shared" ref="AF49" si="235">AE49*(1+$AB49)</f>
        <v>59312.299949999979</v>
      </c>
      <c r="AG49" s="124">
        <f t="shared" ref="AG49" si="236">AF49*(1+$AB49)</f>
        <v>68209.144942499974</v>
      </c>
      <c r="AH49" s="124">
        <f t="shared" ref="AH49" si="237">AG49*(1+$AB49)</f>
        <v>78440.516683874957</v>
      </c>
      <c r="AI49" s="124">
        <f t="shared" ref="AI49" si="238">AH49*(1+$AB49)</f>
        <v>90206.59418645619</v>
      </c>
      <c r="AJ49" s="124">
        <f t="shared" ref="AJ49" si="239">AI49*(1+$AB49)</f>
        <v>103737.58331442461</v>
      </c>
      <c r="AK49" s="124">
        <f t="shared" ref="AK49" si="240">AJ49*(1+$AB49)</f>
        <v>119298.2208115883</v>
      </c>
      <c r="AL49" s="124">
        <f t="shared" ref="AL49" si="241">AK49*(1+$AB49)</f>
        <v>137192.95393332653</v>
      </c>
      <c r="AM49" s="109">
        <f t="shared" si="3"/>
        <v>0.17603269297334734</v>
      </c>
      <c r="AN49" s="21">
        <f t="shared" si="22"/>
        <v>0.01</v>
      </c>
      <c r="AO49" s="117" t="e">
        <f t="shared" si="32"/>
        <v>#DIV/0!</v>
      </c>
    </row>
    <row r="50" spans="1:41" x14ac:dyDescent="0.15">
      <c r="A50" s="167"/>
      <c r="B50" s="166"/>
      <c r="C50" s="112"/>
      <c r="D50" s="112"/>
      <c r="E50" s="118"/>
      <c r="F50" s="121"/>
      <c r="G50" s="121" t="e">
        <f t="shared" ref="G50" si="242">(G49-E49)/E49</f>
        <v>#DIV/0!</v>
      </c>
      <c r="H50" s="121" t="e">
        <f t="shared" ref="H50" si="243">(H49-F49)/F49</f>
        <v>#DIV/0!</v>
      </c>
      <c r="I50" s="121">
        <f t="shared" ref="I50" si="244">(I49-H49)/H49</f>
        <v>0</v>
      </c>
      <c r="J50" s="121">
        <f t="shared" ref="J50" si="245">(J49-I49)/I49</f>
        <v>0.26184738955823295</v>
      </c>
      <c r="K50" s="121">
        <f t="shared" ref="K50" si="246">(K49-J49)/J49</f>
        <v>0.46276257161043921</v>
      </c>
      <c r="L50" s="121">
        <f t="shared" ref="L50" si="247">(L49-K49)/K49</f>
        <v>0.57354221061792865</v>
      </c>
      <c r="M50" s="121">
        <f t="shared" ref="M50" si="248">(M49-L49)/L49</f>
        <v>0.11642699115044247</v>
      </c>
      <c r="N50" s="121">
        <f t="shared" ref="N50" si="249">(N49-M49)/M49</f>
        <v>0.13574436462719841</v>
      </c>
      <c r="O50" s="121">
        <f t="shared" ref="O50" si="250">(O49-N49)/N49</f>
        <v>0.30687022900763361</v>
      </c>
      <c r="P50" s="121">
        <f t="shared" ref="P50" si="251">(P49-O49)/O49</f>
        <v>0.19025367156208278</v>
      </c>
      <c r="Q50" s="121">
        <f t="shared" ref="Q50" si="252">(Q49-P49)/P49</f>
        <v>0.16334828939988782</v>
      </c>
      <c r="R50" s="121">
        <f t="shared" ref="R50" si="253">(R49-Q49)/Q49</f>
        <v>0.15041581294443776</v>
      </c>
      <c r="S50" s="121">
        <f t="shared" ref="S50" si="254">(S49-R49)/R49</f>
        <v>0.17454164484023049</v>
      </c>
      <c r="T50" s="121">
        <f t="shared" ref="T50" si="255">(T49-S49)/S49</f>
        <v>0.14860404959414861</v>
      </c>
      <c r="U50" s="121">
        <f t="shared" ref="U50" si="256">(U49-T49)/T49</f>
        <v>0.24687427195775413</v>
      </c>
      <c r="V50" s="121">
        <f t="shared" ref="V50:W50" si="257">(V49-U49)/U49</f>
        <v>0.18005729945191828</v>
      </c>
      <c r="W50" s="121">
        <f t="shared" si="257"/>
        <v>0.313031086715575</v>
      </c>
      <c r="X50" s="121">
        <f t="shared" ref="X50" si="258">(X49-V49)/V49</f>
        <v>0.44255027181084078</v>
      </c>
      <c r="Y50" s="121">
        <f t="shared" ref="Y50:Z50" si="259">(Y49-W49)/W49</f>
        <v>0.27654956186188601</v>
      </c>
      <c r="Z50" s="121">
        <f t="shared" si="259"/>
        <v>0.2407434509000439</v>
      </c>
      <c r="AA50" s="10"/>
      <c r="AB50" s="10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08"/>
      <c r="AN50" s="124"/>
      <c r="AO50" s="108"/>
    </row>
    <row r="51" spans="1:41" x14ac:dyDescent="0.15">
      <c r="A51" s="167"/>
      <c r="B51" s="166" t="s">
        <v>278</v>
      </c>
      <c r="C51" s="112"/>
      <c r="D51" s="112"/>
      <c r="E51" s="118"/>
      <c r="F51" s="169"/>
      <c r="G51" s="169">
        <f t="shared" ref="G51" si="260">H51</f>
        <v>73601</v>
      </c>
      <c r="H51" s="169">
        <f t="shared" ref="H51" si="261">I51</f>
        <v>73601</v>
      </c>
      <c r="I51" s="169">
        <v>73601</v>
      </c>
      <c r="J51" s="169">
        <v>91308</v>
      </c>
      <c r="K51" s="169">
        <v>133193</v>
      </c>
      <c r="L51" s="169">
        <v>183402</v>
      </c>
      <c r="M51" s="169">
        <v>222947</v>
      </c>
      <c r="N51" s="169">
        <v>277962</v>
      </c>
      <c r="O51" s="169">
        <v>341055</v>
      </c>
      <c r="P51" s="169">
        <v>407722</v>
      </c>
      <c r="Q51" s="169">
        <v>503619</v>
      </c>
      <c r="R51" s="169">
        <v>607096</v>
      </c>
      <c r="S51" s="169">
        <v>730261</v>
      </c>
      <c r="T51" s="169">
        <v>892344</v>
      </c>
      <c r="U51" s="169">
        <v>1103186</v>
      </c>
      <c r="V51" s="169">
        <v>1292805</v>
      </c>
      <c r="W51" s="169">
        <v>1580830</v>
      </c>
      <c r="X51" s="169">
        <v>1799506</v>
      </c>
      <c r="Y51" s="169">
        <v>2122934</v>
      </c>
      <c r="Z51" s="169">
        <v>2530432</v>
      </c>
      <c r="AA51" s="96">
        <f t="shared" si="33"/>
        <v>0.20464330517280027</v>
      </c>
      <c r="AB51" s="21">
        <f t="shared" si="12"/>
        <v>0.15</v>
      </c>
      <c r="AC51" s="124">
        <f t="shared" si="1"/>
        <v>2909996.8</v>
      </c>
      <c r="AD51" s="124">
        <f t="shared" si="112"/>
        <v>3346496.3199999994</v>
      </c>
      <c r="AE51" s="124">
        <f t="shared" si="113"/>
        <v>3848470.7679999988</v>
      </c>
      <c r="AF51" s="124">
        <f t="shared" si="114"/>
        <v>4425741.3831999982</v>
      </c>
      <c r="AG51" s="124">
        <f t="shared" si="115"/>
        <v>5089602.5906799976</v>
      </c>
      <c r="AH51" s="124">
        <f t="shared" si="116"/>
        <v>5853042.9792819964</v>
      </c>
      <c r="AI51" s="124">
        <f t="shared" si="117"/>
        <v>6730999.4261742951</v>
      </c>
      <c r="AJ51" s="124">
        <f t="shared" si="118"/>
        <v>7740649.3401004393</v>
      </c>
      <c r="AK51" s="124">
        <f t="shared" si="119"/>
        <v>8901746.7411155049</v>
      </c>
      <c r="AL51" s="124">
        <f t="shared" si="120"/>
        <v>10237008.75228283</v>
      </c>
      <c r="AM51" s="109">
        <f t="shared" si="3"/>
        <v>0.18551357037801086</v>
      </c>
      <c r="AN51" s="21">
        <f t="shared" si="22"/>
        <v>0.01</v>
      </c>
      <c r="AO51" s="117" t="e">
        <f t="shared" si="32"/>
        <v>#DIV/0!</v>
      </c>
    </row>
    <row r="52" spans="1:41" x14ac:dyDescent="0.15">
      <c r="B52" s="10"/>
      <c r="C52" s="112"/>
      <c r="D52" s="112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96" t="e">
        <f t="shared" si="33"/>
        <v>#DIV/0!</v>
      </c>
      <c r="AB52" s="10"/>
      <c r="AC52" s="124">
        <f t="shared" si="1"/>
        <v>0</v>
      </c>
      <c r="AD52" s="124"/>
      <c r="AE52" s="124"/>
      <c r="AF52" s="124"/>
      <c r="AG52" s="124"/>
      <c r="AH52" s="124"/>
      <c r="AI52" s="124"/>
      <c r="AJ52" s="124"/>
      <c r="AK52" s="124"/>
      <c r="AL52" s="124"/>
      <c r="AM52" s="108"/>
      <c r="AN52" s="108"/>
      <c r="AO52" s="108"/>
    </row>
    <row r="53" spans="1:41" x14ac:dyDescent="0.15">
      <c r="B53" s="10" t="s">
        <v>105</v>
      </c>
      <c r="C53" s="112"/>
      <c r="D53" s="112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96" t="e">
        <f t="shared" si="33"/>
        <v>#DIV/0!</v>
      </c>
      <c r="AB53" s="21">
        <f t="shared" si="12"/>
        <v>0.15</v>
      </c>
      <c r="AC53" s="124">
        <f t="shared" si="1"/>
        <v>0</v>
      </c>
      <c r="AD53" s="124">
        <f t="shared" ref="AD53" si="262">AC53*(1+$AB53)</f>
        <v>0</v>
      </c>
      <c r="AE53" s="124">
        <f t="shared" ref="AE53" si="263">AD53*(1+$AB53)</f>
        <v>0</v>
      </c>
      <c r="AF53" s="124">
        <f t="shared" ref="AF53" si="264">AE53*(1+$AB53)</f>
        <v>0</v>
      </c>
      <c r="AG53" s="124">
        <f t="shared" si="49"/>
        <v>0</v>
      </c>
      <c r="AH53" s="124">
        <f t="shared" si="50"/>
        <v>0</v>
      </c>
      <c r="AI53" s="124">
        <f t="shared" si="51"/>
        <v>0</v>
      </c>
      <c r="AJ53" s="124">
        <f t="shared" si="52"/>
        <v>0</v>
      </c>
      <c r="AK53" s="124">
        <f t="shared" si="53"/>
        <v>0</v>
      </c>
      <c r="AL53" s="124">
        <f t="shared" si="54"/>
        <v>0</v>
      </c>
      <c r="AM53" s="109" t="e">
        <f t="shared" si="3"/>
        <v>#DIV/0!</v>
      </c>
      <c r="AN53" s="21">
        <f t="shared" si="22"/>
        <v>0.01</v>
      </c>
      <c r="AO53" s="117" t="e">
        <f t="shared" si="32"/>
        <v>#DIV/0!</v>
      </c>
    </row>
    <row r="54" spans="1:41" s="101" customFormat="1" x14ac:dyDescent="0.15">
      <c r="B54" s="13"/>
      <c r="C54" s="119"/>
      <c r="D54" s="119"/>
      <c r="E54" s="120"/>
      <c r="F54" s="121"/>
      <c r="G54" s="121" t="e">
        <f t="shared" ref="G54:P54" si="265">(G53-F53)/G53</f>
        <v>#DIV/0!</v>
      </c>
      <c r="H54" s="121" t="e">
        <f t="shared" si="265"/>
        <v>#DIV/0!</v>
      </c>
      <c r="I54" s="121" t="e">
        <f t="shared" si="265"/>
        <v>#DIV/0!</v>
      </c>
      <c r="J54" s="121" t="e">
        <f t="shared" si="265"/>
        <v>#DIV/0!</v>
      </c>
      <c r="K54" s="121" t="e">
        <f t="shared" si="265"/>
        <v>#DIV/0!</v>
      </c>
      <c r="L54" s="121" t="e">
        <f t="shared" si="265"/>
        <v>#DIV/0!</v>
      </c>
      <c r="M54" s="121" t="e">
        <f t="shared" si="265"/>
        <v>#DIV/0!</v>
      </c>
      <c r="N54" s="121" t="e">
        <f t="shared" si="265"/>
        <v>#DIV/0!</v>
      </c>
      <c r="O54" s="121" t="e">
        <f t="shared" si="265"/>
        <v>#DIV/0!</v>
      </c>
      <c r="P54" s="121" t="e">
        <f t="shared" si="265"/>
        <v>#DIV/0!</v>
      </c>
      <c r="Q54" s="121" t="e">
        <f t="shared" ref="Q54" si="266">(Q53-P53)/Q53</f>
        <v>#DIV/0!</v>
      </c>
      <c r="R54" s="121" t="e">
        <f t="shared" ref="R54" si="267">(R53-Q53)/R53</f>
        <v>#DIV/0!</v>
      </c>
      <c r="S54" s="121" t="e">
        <f t="shared" ref="S54" si="268">(S53-R53)/S53</f>
        <v>#DIV/0!</v>
      </c>
      <c r="T54" s="121" t="e">
        <f t="shared" ref="T54" si="269">(T53-S53)/T53</f>
        <v>#DIV/0!</v>
      </c>
      <c r="U54" s="121" t="e">
        <f t="shared" ref="U54" si="270">(U53-T53)/U53</f>
        <v>#DIV/0!</v>
      </c>
      <c r="V54" s="121" t="e">
        <f t="shared" ref="V54:W54" si="271">(V53-U53)/V53</f>
        <v>#DIV/0!</v>
      </c>
      <c r="W54" s="121" t="e">
        <f t="shared" si="271"/>
        <v>#DIV/0!</v>
      </c>
      <c r="X54" s="121" t="e">
        <f t="shared" ref="X54" si="272">(X53-V53)/X53</f>
        <v>#DIV/0!</v>
      </c>
      <c r="Y54" s="121" t="e">
        <f t="shared" ref="Y54:Z54" si="273">(Y53-W53)/Y53</f>
        <v>#DIV/0!</v>
      </c>
      <c r="Z54" s="121" t="e">
        <f t="shared" si="273"/>
        <v>#DIV/0!</v>
      </c>
      <c r="AA54" s="10"/>
      <c r="AB54" s="10"/>
      <c r="AC54" s="124"/>
      <c r="AD54" s="125"/>
      <c r="AE54" s="125"/>
      <c r="AF54" s="125"/>
      <c r="AG54" s="125"/>
      <c r="AH54" s="125"/>
      <c r="AI54" s="125"/>
      <c r="AJ54" s="125"/>
      <c r="AK54" s="125"/>
      <c r="AL54" s="125"/>
      <c r="AM54" s="108"/>
      <c r="AN54" s="108"/>
      <c r="AO54" s="108"/>
    </row>
    <row r="55" spans="1:41" s="101" customFormat="1" x14ac:dyDescent="0.15">
      <c r="B55" s="10" t="s">
        <v>217</v>
      </c>
      <c r="C55" s="119"/>
      <c r="D55" s="119"/>
      <c r="E55" s="120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96" t="e">
        <f t="shared" si="33"/>
        <v>#DIV/0!</v>
      </c>
      <c r="AB55" s="21">
        <f t="shared" si="12"/>
        <v>0.15</v>
      </c>
      <c r="AC55" s="124">
        <f t="shared" si="1"/>
        <v>0</v>
      </c>
      <c r="AD55" s="124">
        <f t="shared" ref="AD55" si="274">AC55*(1+$AB55)</f>
        <v>0</v>
      </c>
      <c r="AE55" s="124">
        <f t="shared" ref="AE55" si="275">AD55*(1+$AB55)</f>
        <v>0</v>
      </c>
      <c r="AF55" s="124">
        <f t="shared" ref="AF55" si="276">AE55*(1+$AB55)</f>
        <v>0</v>
      </c>
      <c r="AG55" s="124">
        <f t="shared" ref="AG55" si="277">AF55*(1+$AB55)</f>
        <v>0</v>
      </c>
      <c r="AH55" s="124">
        <f t="shared" ref="AH55" si="278">AG55*(1+$AB55)</f>
        <v>0</v>
      </c>
      <c r="AI55" s="124">
        <f t="shared" ref="AI55" si="279">AH55*(1+$AB55)</f>
        <v>0</v>
      </c>
      <c r="AJ55" s="124">
        <f t="shared" ref="AJ55" si="280">AI55*(1+$AB55)</f>
        <v>0</v>
      </c>
      <c r="AK55" s="124">
        <f t="shared" ref="AK55" si="281">AJ55*(1+$AB55)</f>
        <v>0</v>
      </c>
      <c r="AL55" s="124">
        <f t="shared" ref="AL55" si="282">AK55*(1+$AB55)</f>
        <v>0</v>
      </c>
      <c r="AM55" s="109" t="e">
        <f t="shared" si="3"/>
        <v>#DIV/0!</v>
      </c>
      <c r="AN55" s="21">
        <f t="shared" si="22"/>
        <v>0.01</v>
      </c>
      <c r="AO55" s="117" t="e">
        <f t="shared" si="32"/>
        <v>#DIV/0!</v>
      </c>
    </row>
    <row r="56" spans="1:41" s="101" customFormat="1" x14ac:dyDescent="0.15">
      <c r="B56" s="13"/>
      <c r="C56" s="119"/>
      <c r="D56" s="119"/>
      <c r="E56" s="120"/>
      <c r="F56" s="121"/>
      <c r="G56" s="121" t="e">
        <f t="shared" ref="G56:P56" si="283">(G55-F55)/G55</f>
        <v>#DIV/0!</v>
      </c>
      <c r="H56" s="121" t="e">
        <f t="shared" si="283"/>
        <v>#DIV/0!</v>
      </c>
      <c r="I56" s="121" t="e">
        <f t="shared" si="283"/>
        <v>#DIV/0!</v>
      </c>
      <c r="J56" s="121" t="e">
        <f t="shared" si="283"/>
        <v>#DIV/0!</v>
      </c>
      <c r="K56" s="121" t="e">
        <f t="shared" si="283"/>
        <v>#DIV/0!</v>
      </c>
      <c r="L56" s="121" t="e">
        <f t="shared" si="283"/>
        <v>#DIV/0!</v>
      </c>
      <c r="M56" s="121" t="e">
        <f t="shared" si="283"/>
        <v>#DIV/0!</v>
      </c>
      <c r="N56" s="121" t="e">
        <f t="shared" si="283"/>
        <v>#DIV/0!</v>
      </c>
      <c r="O56" s="121" t="e">
        <f t="shared" si="283"/>
        <v>#DIV/0!</v>
      </c>
      <c r="P56" s="121" t="e">
        <f t="shared" si="283"/>
        <v>#DIV/0!</v>
      </c>
      <c r="Q56" s="121" t="e">
        <f t="shared" ref="Q56" si="284">(Q55-P55)/Q55</f>
        <v>#DIV/0!</v>
      </c>
      <c r="R56" s="121" t="e">
        <f t="shared" ref="R56" si="285">(R55-Q55)/R55</f>
        <v>#DIV/0!</v>
      </c>
      <c r="S56" s="121" t="e">
        <f t="shared" ref="S56" si="286">(S55-R55)/S55</f>
        <v>#DIV/0!</v>
      </c>
      <c r="T56" s="121" t="e">
        <f t="shared" ref="T56" si="287">(T55-S55)/T55</f>
        <v>#DIV/0!</v>
      </c>
      <c r="U56" s="121" t="e">
        <f t="shared" ref="U56" si="288">(U55-T55)/U55</f>
        <v>#DIV/0!</v>
      </c>
      <c r="V56" s="121" t="e">
        <f t="shared" ref="V56:W56" si="289">(V55-U55)/V55</f>
        <v>#DIV/0!</v>
      </c>
      <c r="W56" s="121" t="e">
        <f t="shared" si="289"/>
        <v>#DIV/0!</v>
      </c>
      <c r="X56" s="121" t="e">
        <f t="shared" ref="X56" si="290">(X55-V55)/X55</f>
        <v>#DIV/0!</v>
      </c>
      <c r="Y56" s="121" t="e">
        <f t="shared" ref="Y56:Z56" si="291">(Y55-W55)/Y55</f>
        <v>#DIV/0!</v>
      </c>
      <c r="Z56" s="121" t="e">
        <f t="shared" si="291"/>
        <v>#DIV/0!</v>
      </c>
      <c r="AA56" s="10"/>
      <c r="AB56" s="10"/>
      <c r="AC56" s="124"/>
      <c r="AD56" s="125"/>
      <c r="AE56" s="125"/>
      <c r="AF56" s="125"/>
      <c r="AG56" s="125"/>
      <c r="AH56" s="125"/>
      <c r="AI56" s="125"/>
      <c r="AJ56" s="125"/>
      <c r="AK56" s="125"/>
      <c r="AL56" s="125"/>
      <c r="AM56" s="108"/>
      <c r="AN56" s="108"/>
      <c r="AO56" s="108"/>
    </row>
    <row r="57" spans="1:41" s="101" customFormat="1" x14ac:dyDescent="0.15">
      <c r="B57" s="10" t="s">
        <v>300</v>
      </c>
      <c r="C57" s="119"/>
      <c r="D57" s="119"/>
      <c r="E57" s="120"/>
      <c r="F57" s="121"/>
      <c r="G57" s="118">
        <f>I57</f>
        <v>181</v>
      </c>
      <c r="H57" s="118"/>
      <c r="I57" s="118">
        <v>181</v>
      </c>
      <c r="J57" s="118">
        <v>226</v>
      </c>
      <c r="K57" s="118">
        <v>280</v>
      </c>
      <c r="L57" s="118">
        <v>369</v>
      </c>
      <c r="M57" s="118">
        <v>404</v>
      </c>
      <c r="N57" s="118">
        <v>509</v>
      </c>
      <c r="O57" s="118">
        <v>554</v>
      </c>
      <c r="P57" s="118">
        <v>663</v>
      </c>
      <c r="Q57" s="118">
        <v>688</v>
      </c>
      <c r="R57" s="118">
        <v>680</v>
      </c>
      <c r="S57" s="118">
        <v>738</v>
      </c>
      <c r="T57" s="118">
        <v>886</v>
      </c>
      <c r="U57" s="118">
        <v>966</v>
      </c>
      <c r="V57" s="118">
        <v>1220</v>
      </c>
      <c r="W57" s="118">
        <v>1276</v>
      </c>
      <c r="X57" s="118">
        <v>1385</v>
      </c>
      <c r="Y57" s="118">
        <v>1680</v>
      </c>
      <c r="Z57" s="118">
        <v>1680</v>
      </c>
      <c r="AA57" s="96">
        <f t="shared" si="33"/>
        <v>0.12441836930578121</v>
      </c>
      <c r="AB57" s="21">
        <f t="shared" si="12"/>
        <v>0.15</v>
      </c>
      <c r="AC57" s="124">
        <f t="shared" si="1"/>
        <v>1931.9999999999998</v>
      </c>
      <c r="AD57" s="124">
        <f t="shared" ref="AD57" si="292">AC57*(1+$AB57)</f>
        <v>2221.7999999999997</v>
      </c>
      <c r="AE57" s="124">
        <f t="shared" ref="AE57" si="293">AD57*(1+$AB57)</f>
        <v>2555.0699999999997</v>
      </c>
      <c r="AF57" s="124">
        <f t="shared" ref="AF57" si="294">AE57*(1+$AB57)</f>
        <v>2938.3304999999996</v>
      </c>
      <c r="AG57" s="124">
        <f t="shared" ref="AG57" si="295">AF57*(1+$AB57)</f>
        <v>3379.0800749999994</v>
      </c>
      <c r="AH57" s="124">
        <f t="shared" ref="AH57" si="296">AG57*(1+$AB57)</f>
        <v>3885.9420862499992</v>
      </c>
      <c r="AI57" s="124">
        <f t="shared" ref="AI57" si="297">AH57*(1+$AB57)</f>
        <v>4468.8333991874988</v>
      </c>
      <c r="AJ57" s="124">
        <f t="shared" ref="AJ57" si="298">AI57*(1+$AB57)</f>
        <v>5139.1584090656233</v>
      </c>
      <c r="AK57" s="124">
        <f t="shared" ref="AK57" si="299">AJ57*(1+$AB57)</f>
        <v>5910.0321704254666</v>
      </c>
      <c r="AL57" s="124">
        <f t="shared" ref="AL57" si="300">AK57*(1+$AB57)</f>
        <v>6796.536995989286</v>
      </c>
      <c r="AM57" s="109">
        <f t="shared" si="3"/>
        <v>0.13317469024621165</v>
      </c>
      <c r="AN57" s="21">
        <f t="shared" si="22"/>
        <v>0.01</v>
      </c>
      <c r="AO57" s="117" t="e">
        <f t="shared" si="32"/>
        <v>#DIV/0!</v>
      </c>
    </row>
    <row r="58" spans="1:41" s="101" customFormat="1" x14ac:dyDescent="0.15">
      <c r="B58" s="13"/>
      <c r="C58" s="119"/>
      <c r="D58" s="119"/>
      <c r="E58" s="120"/>
      <c r="F58" s="121"/>
      <c r="G58" s="121">
        <f t="shared" ref="G58" si="301">(G57-F57)/G57</f>
        <v>1</v>
      </c>
      <c r="H58" s="121" t="e">
        <f t="shared" ref="H58" si="302">(H57-G57)/H57</f>
        <v>#DIV/0!</v>
      </c>
      <c r="I58" s="121">
        <f t="shared" ref="I58" si="303">(I57-H57)/I57</f>
        <v>1</v>
      </c>
      <c r="J58" s="121">
        <f t="shared" ref="J58" si="304">(J57-I57)/J57</f>
        <v>0.19911504424778761</v>
      </c>
      <c r="K58" s="121">
        <f t="shared" ref="K58" si="305">(K57-J57)/K57</f>
        <v>0.19285714285714287</v>
      </c>
      <c r="L58" s="121">
        <f t="shared" ref="L58" si="306">(L57-K57)/L57</f>
        <v>0.24119241192411925</v>
      </c>
      <c r="M58" s="121">
        <f t="shared" ref="M58" si="307">(M57-L57)/M57</f>
        <v>8.6633663366336627E-2</v>
      </c>
      <c r="N58" s="121">
        <f t="shared" ref="N58" si="308">(N57-M57)/N57</f>
        <v>0.206286836935167</v>
      </c>
      <c r="O58" s="121">
        <f t="shared" ref="O58" si="309">(O57-N57)/O57</f>
        <v>8.1227436823104696E-2</v>
      </c>
      <c r="P58" s="121">
        <f t="shared" ref="P58" si="310">(P57-O57)/P57</f>
        <v>0.16440422322775264</v>
      </c>
      <c r="Q58" s="121">
        <f t="shared" ref="Q58" si="311">(Q57-P57)/Q57</f>
        <v>3.6337209302325583E-2</v>
      </c>
      <c r="R58" s="121">
        <f t="shared" ref="R58" si="312">(R57-Q57)/R57</f>
        <v>-1.1764705882352941E-2</v>
      </c>
      <c r="S58" s="121">
        <f t="shared" ref="S58" si="313">(S57-R57)/S57</f>
        <v>7.8590785907859076E-2</v>
      </c>
      <c r="T58" s="121">
        <f t="shared" ref="T58" si="314">(T57-S57)/T57</f>
        <v>0.1670428893905192</v>
      </c>
      <c r="U58" s="121">
        <f t="shared" ref="U58" si="315">(U57-T57)/U57</f>
        <v>8.2815734989648032E-2</v>
      </c>
      <c r="V58" s="121">
        <f t="shared" ref="V58:W58" si="316">(V57-U57)/V57</f>
        <v>0.2081967213114754</v>
      </c>
      <c r="W58" s="121">
        <f t="shared" si="316"/>
        <v>4.3887147335423198E-2</v>
      </c>
      <c r="X58" s="121">
        <f t="shared" ref="X58" si="317">(X57-V57)/X57</f>
        <v>0.11913357400722022</v>
      </c>
      <c r="Y58" s="121">
        <f t="shared" ref="Y58:Z58" si="318">(Y57-W57)/Y57</f>
        <v>0.24047619047619048</v>
      </c>
      <c r="Z58" s="121">
        <f t="shared" si="318"/>
        <v>0.17559523809523808</v>
      </c>
      <c r="AA58" s="10"/>
      <c r="AB58" s="10"/>
      <c r="AC58" s="124"/>
      <c r="AD58" s="125"/>
      <c r="AE58" s="125"/>
      <c r="AF58" s="125"/>
      <c r="AG58" s="125"/>
      <c r="AH58" s="125"/>
      <c r="AI58" s="125"/>
      <c r="AJ58" s="125"/>
      <c r="AK58" s="125"/>
      <c r="AL58" s="125"/>
      <c r="AM58" s="108"/>
      <c r="AN58" s="108"/>
      <c r="AO58" s="108"/>
    </row>
    <row r="59" spans="1:41" x14ac:dyDescent="0.15">
      <c r="B59" s="10" t="s">
        <v>218</v>
      </c>
      <c r="C59" s="112"/>
      <c r="D59" s="112"/>
      <c r="E59" s="118"/>
      <c r="F59" s="118"/>
      <c r="G59" s="118">
        <f>I59</f>
        <v>875</v>
      </c>
      <c r="H59" s="118"/>
      <c r="I59" s="118">
        <v>875</v>
      </c>
      <c r="J59" s="118">
        <v>1143</v>
      </c>
      <c r="K59" s="118">
        <v>1592</v>
      </c>
      <c r="L59" s="118">
        <v>2252</v>
      </c>
      <c r="M59" s="118">
        <v>3032</v>
      </c>
      <c r="N59" s="118">
        <v>4017</v>
      </c>
      <c r="O59" s="118">
        <v>5273</v>
      </c>
      <c r="P59" s="118">
        <v>6900</v>
      </c>
      <c r="Q59" s="118">
        <v>8764</v>
      </c>
      <c r="R59" s="118">
        <v>10700</v>
      </c>
      <c r="S59" s="118">
        <v>12817</v>
      </c>
      <c r="T59" s="118">
        <v>15287</v>
      </c>
      <c r="U59" s="118">
        <v>18560</v>
      </c>
      <c r="V59" s="118">
        <v>22445</v>
      </c>
      <c r="W59" s="118">
        <v>27296</v>
      </c>
      <c r="X59" s="118">
        <v>31856</v>
      </c>
      <c r="Y59" s="118">
        <v>38150</v>
      </c>
      <c r="Z59" s="118">
        <v>46148</v>
      </c>
      <c r="AA59" s="96">
        <f t="shared" si="33"/>
        <v>0.23208083343082309</v>
      </c>
      <c r="AB59" s="21">
        <f t="shared" si="12"/>
        <v>0.15</v>
      </c>
      <c r="AC59" s="124">
        <f t="shared" si="1"/>
        <v>53070.2</v>
      </c>
      <c r="AD59" s="124">
        <f t="shared" ref="AD59:AL59" si="319">AC59*(1+$AB59)</f>
        <v>61030.729999999989</v>
      </c>
      <c r="AE59" s="124">
        <f t="shared" si="319"/>
        <v>70185.339499999987</v>
      </c>
      <c r="AF59" s="124">
        <f t="shared" si="319"/>
        <v>80713.140424999976</v>
      </c>
      <c r="AG59" s="124">
        <f t="shared" si="319"/>
        <v>92820.111488749972</v>
      </c>
      <c r="AH59" s="124">
        <f t="shared" si="319"/>
        <v>106743.12821206245</v>
      </c>
      <c r="AI59" s="124">
        <f t="shared" si="319"/>
        <v>122754.59744387181</v>
      </c>
      <c r="AJ59" s="124">
        <f t="shared" si="319"/>
        <v>141167.78706045257</v>
      </c>
      <c r="AK59" s="124">
        <f t="shared" si="319"/>
        <v>162342.95511952043</v>
      </c>
      <c r="AL59" s="124">
        <f t="shared" si="319"/>
        <v>186694.39838744848</v>
      </c>
      <c r="AM59" s="109">
        <f t="shared" si="3"/>
        <v>0.20313564658796812</v>
      </c>
      <c r="AN59" s="21">
        <f t="shared" si="22"/>
        <v>0.01</v>
      </c>
      <c r="AO59" s="117" t="e">
        <f t="shared" si="32"/>
        <v>#DIV/0!</v>
      </c>
    </row>
    <row r="60" spans="1:41" s="101" customFormat="1" x14ac:dyDescent="0.15">
      <c r="B60" s="13"/>
      <c r="C60" s="119"/>
      <c r="D60" s="119"/>
      <c r="E60" s="120"/>
      <c r="F60" s="121"/>
      <c r="G60" s="121">
        <f>(G59-F59)/G59</f>
        <v>1</v>
      </c>
      <c r="H60" s="121" t="e">
        <f t="shared" ref="H60:P60" si="320">(H59-G59)/H59</f>
        <v>#DIV/0!</v>
      </c>
      <c r="I60" s="121">
        <f t="shared" si="320"/>
        <v>1</v>
      </c>
      <c r="J60" s="121">
        <f t="shared" si="320"/>
        <v>0.23447069116360456</v>
      </c>
      <c r="K60" s="121">
        <f t="shared" si="320"/>
        <v>0.28203517587939697</v>
      </c>
      <c r="L60" s="121">
        <f t="shared" si="320"/>
        <v>0.29307282415630553</v>
      </c>
      <c r="M60" s="121">
        <f t="shared" si="320"/>
        <v>0.25725593667546176</v>
      </c>
      <c r="N60" s="121">
        <f t="shared" si="320"/>
        <v>0.24520786656708987</v>
      </c>
      <c r="O60" s="121">
        <f t="shared" si="320"/>
        <v>0.2381945761426133</v>
      </c>
      <c r="P60" s="121">
        <f t="shared" si="320"/>
        <v>0.23579710144927538</v>
      </c>
      <c r="Q60" s="121">
        <f t="shared" ref="Q60" si="321">(Q59-P59)/Q59</f>
        <v>0.21268827019625741</v>
      </c>
      <c r="R60" s="121">
        <f t="shared" ref="R60" si="322">(R59-Q59)/R59</f>
        <v>0.18093457943925234</v>
      </c>
      <c r="S60" s="121">
        <f t="shared" ref="S60" si="323">(S59-R59)/S59</f>
        <v>0.1651712569243973</v>
      </c>
      <c r="T60" s="121">
        <f t="shared" ref="T60" si="324">(T59-S59)/T59</f>
        <v>0.16157519460979919</v>
      </c>
      <c r="U60" s="121">
        <f t="shared" ref="U60" si="325">(U59-T59)/U59</f>
        <v>0.17634698275862068</v>
      </c>
      <c r="V60" s="121">
        <f t="shared" ref="V60:W60" si="326">(V59-U59)/V59</f>
        <v>0.17308977500556916</v>
      </c>
      <c r="W60" s="121">
        <f t="shared" si="326"/>
        <v>0.177718347010551</v>
      </c>
      <c r="X60" s="121">
        <f t="shared" ref="X60" si="327">(X59-V59)/X59</f>
        <v>0.29542315419387244</v>
      </c>
      <c r="Y60" s="121">
        <f t="shared" ref="Y60:Z60" si="328">(Y59-W59)/Y59</f>
        <v>0.28450851900393187</v>
      </c>
      <c r="Z60" s="121">
        <f t="shared" si="328"/>
        <v>0.30969922856895205</v>
      </c>
      <c r="AA60" s="10"/>
      <c r="AB60" s="10"/>
      <c r="AC60" s="124"/>
      <c r="AD60" s="125"/>
      <c r="AE60" s="125"/>
      <c r="AF60" s="125"/>
      <c r="AG60" s="125"/>
      <c r="AH60" s="125"/>
      <c r="AI60" s="125"/>
      <c r="AJ60" s="125"/>
      <c r="AK60" s="125"/>
      <c r="AL60" s="125"/>
      <c r="AM60" s="108"/>
      <c r="AN60" s="108"/>
      <c r="AO60" s="108"/>
    </row>
    <row r="61" spans="1:41" x14ac:dyDescent="0.15">
      <c r="B61" s="10" t="s">
        <v>73</v>
      </c>
      <c r="C61" s="113"/>
      <c r="D61" s="113"/>
      <c r="E61" s="116"/>
      <c r="F61" s="118"/>
      <c r="G61" s="172">
        <v>28</v>
      </c>
      <c r="H61" s="172">
        <v>30</v>
      </c>
      <c r="I61" s="172">
        <v>31</v>
      </c>
      <c r="J61" s="172">
        <v>31</v>
      </c>
      <c r="K61" s="172">
        <v>35</v>
      </c>
      <c r="L61" s="172">
        <v>42</v>
      </c>
      <c r="M61" s="172">
        <v>45</v>
      </c>
      <c r="N61" s="172">
        <v>46</v>
      </c>
      <c r="O61" s="172">
        <v>234</v>
      </c>
      <c r="P61" s="172">
        <v>237</v>
      </c>
      <c r="Q61" s="116">
        <v>239</v>
      </c>
      <c r="R61" s="116">
        <v>250</v>
      </c>
      <c r="S61" s="116">
        <v>252</v>
      </c>
      <c r="T61" s="116">
        <v>256</v>
      </c>
      <c r="U61" s="116">
        <v>259</v>
      </c>
      <c r="V61" s="116">
        <v>272</v>
      </c>
      <c r="W61" s="116">
        <v>548</v>
      </c>
      <c r="X61" s="116">
        <v>551</v>
      </c>
      <c r="Y61" s="116">
        <v>554</v>
      </c>
      <c r="Z61" s="116">
        <v>554</v>
      </c>
      <c r="AA61" s="96">
        <f t="shared" si="33"/>
        <v>0.17011632528499687</v>
      </c>
      <c r="AB61" s="21">
        <v>0.02</v>
      </c>
      <c r="AC61" s="124">
        <f t="shared" si="1"/>
        <v>565.08000000000004</v>
      </c>
      <c r="AD61" s="124">
        <f>AC61*(1+$AB61)</f>
        <v>576.38160000000005</v>
      </c>
      <c r="AE61" s="124">
        <f t="shared" ref="AE61:AL61" si="329">AD61*(1+$AB61)</f>
        <v>587.90923200000009</v>
      </c>
      <c r="AF61" s="124">
        <f t="shared" si="329"/>
        <v>599.66741664000006</v>
      </c>
      <c r="AG61" s="124">
        <f t="shared" si="329"/>
        <v>611.66076497280005</v>
      </c>
      <c r="AH61" s="124">
        <f t="shared" si="329"/>
        <v>623.89398027225604</v>
      </c>
      <c r="AI61" s="124">
        <f t="shared" si="329"/>
        <v>636.37185987770113</v>
      </c>
      <c r="AJ61" s="124">
        <f t="shared" si="329"/>
        <v>649.09929707525521</v>
      </c>
      <c r="AK61" s="124">
        <f t="shared" si="329"/>
        <v>662.08128301676038</v>
      </c>
      <c r="AL61" s="124">
        <f t="shared" si="329"/>
        <v>675.3229086770956</v>
      </c>
      <c r="AM61" s="109">
        <f t="shared" si="3"/>
        <v>0.11600813508161134</v>
      </c>
      <c r="AN61" s="21">
        <f t="shared" si="22"/>
        <v>0.01</v>
      </c>
      <c r="AO61" s="117" t="e">
        <f t="shared" si="32"/>
        <v>#DIV/0!</v>
      </c>
    </row>
    <row r="62" spans="1:41" x14ac:dyDescent="0.15">
      <c r="B62" s="10"/>
      <c r="C62" s="113"/>
      <c r="D62" s="113"/>
      <c r="E62" s="114"/>
      <c r="F62" s="121"/>
      <c r="G62" s="121">
        <f t="shared" ref="G62" si="330">(G61-E61)/G61</f>
        <v>1</v>
      </c>
      <c r="H62" s="121">
        <f>(H61-F61)/H61</f>
        <v>1</v>
      </c>
      <c r="I62" s="121">
        <f t="shared" ref="I62:Q62" si="331">(I61-H61)/I61</f>
        <v>3.2258064516129031E-2</v>
      </c>
      <c r="J62" s="121">
        <f t="shared" si="331"/>
        <v>0</v>
      </c>
      <c r="K62" s="121">
        <f t="shared" si="331"/>
        <v>0.11428571428571428</v>
      </c>
      <c r="L62" s="121">
        <f t="shared" si="331"/>
        <v>0.16666666666666666</v>
      </c>
      <c r="M62" s="121">
        <f t="shared" si="331"/>
        <v>6.6666666666666666E-2</v>
      </c>
      <c r="N62" s="121">
        <f t="shared" si="331"/>
        <v>2.1739130434782608E-2</v>
      </c>
      <c r="O62" s="121">
        <f t="shared" si="331"/>
        <v>0.80341880341880345</v>
      </c>
      <c r="P62" s="121">
        <f t="shared" si="331"/>
        <v>1.2658227848101266E-2</v>
      </c>
      <c r="Q62" s="121">
        <f t="shared" si="331"/>
        <v>8.368200836820083E-3</v>
      </c>
      <c r="R62" s="121">
        <f t="shared" ref="R62" si="332">(R61-Q61)/R61</f>
        <v>4.3999999999999997E-2</v>
      </c>
      <c r="S62" s="121">
        <f t="shared" ref="S62" si="333">(S61-R61)/S61</f>
        <v>7.9365079365079361E-3</v>
      </c>
      <c r="T62" s="121">
        <f t="shared" ref="T62" si="334">(T61-S61)/T61</f>
        <v>1.5625E-2</v>
      </c>
      <c r="U62" s="121">
        <f t="shared" ref="U62" si="335">(U61-T61)/U61</f>
        <v>1.1583011583011582E-2</v>
      </c>
      <c r="V62" s="121">
        <f t="shared" ref="V62:W62" si="336">(V61-U61)/V61</f>
        <v>4.779411764705882E-2</v>
      </c>
      <c r="W62" s="121">
        <f t="shared" si="336"/>
        <v>0.5036496350364964</v>
      </c>
      <c r="X62" s="121">
        <f t="shared" ref="X62" si="337">(X61-V61)/X61</f>
        <v>0.50635208711433755</v>
      </c>
      <c r="Y62" s="121">
        <f t="shared" ref="Y62:Z62" si="338">(Y61-W61)/Y61</f>
        <v>1.0830324909747292E-2</v>
      </c>
      <c r="Z62" s="121">
        <f t="shared" si="338"/>
        <v>5.415162454873646E-3</v>
      </c>
      <c r="AA62" s="10"/>
      <c r="AB62" s="10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08"/>
      <c r="AN62" s="108"/>
      <c r="AO62" s="108"/>
    </row>
    <row r="63" spans="1:41" x14ac:dyDescent="0.15">
      <c r="B63" s="10" t="s">
        <v>108</v>
      </c>
      <c r="C63" s="116"/>
      <c r="D63" s="116"/>
      <c r="E63" s="116"/>
      <c r="F63" s="118"/>
      <c r="G63" s="173">
        <v>0.45</v>
      </c>
      <c r="H63" s="173">
        <v>0.45</v>
      </c>
      <c r="I63" s="173">
        <v>0</v>
      </c>
      <c r="J63" s="173">
        <v>0.7</v>
      </c>
      <c r="K63" s="173">
        <v>0.85</v>
      </c>
      <c r="L63" s="173">
        <v>1</v>
      </c>
      <c r="M63" s="173">
        <v>1.2</v>
      </c>
      <c r="N63" s="173">
        <v>1.65</v>
      </c>
      <c r="O63" s="173">
        <v>2.15</v>
      </c>
      <c r="P63" s="173">
        <v>2.75</v>
      </c>
      <c r="Q63" s="118">
        <v>3.42</v>
      </c>
      <c r="R63" s="118">
        <v>4</v>
      </c>
      <c r="S63" s="118">
        <v>4.75</v>
      </c>
      <c r="T63" s="118">
        <v>5.5</v>
      </c>
      <c r="U63" s="118">
        <v>6.5</v>
      </c>
      <c r="V63" s="118">
        <v>7.5</v>
      </c>
      <c r="W63" s="118">
        <v>2.5</v>
      </c>
      <c r="X63" s="118">
        <v>6.5</v>
      </c>
      <c r="Y63" s="118">
        <v>15.5</v>
      </c>
      <c r="Z63" s="118">
        <v>19</v>
      </c>
      <c r="AA63" s="96">
        <f t="shared" si="33"/>
        <v>0.2177406230405412</v>
      </c>
      <c r="AB63" s="21">
        <v>0.02</v>
      </c>
      <c r="AC63" s="124">
        <f t="shared" si="1"/>
        <v>19.38</v>
      </c>
      <c r="AD63" s="124">
        <f t="shared" ref="AD63" si="339">AC63*(1+$AB63)</f>
        <v>19.767599999999998</v>
      </c>
      <c r="AE63" s="124">
        <f t="shared" ref="AE63" si="340">AD63*(1+$AB63)</f>
        <v>20.162951999999997</v>
      </c>
      <c r="AF63" s="124">
        <f t="shared" ref="AF63" si="341">AE63*(1+$AB63)</f>
        <v>20.566211039999999</v>
      </c>
      <c r="AG63" s="124">
        <f t="shared" ref="AG63" si="342">AF63*(1+$AB63)</f>
        <v>20.9775352608</v>
      </c>
      <c r="AH63" s="124">
        <f t="shared" ref="AH63" si="343">AG63*(1+$AB63)</f>
        <v>21.397085966016</v>
      </c>
      <c r="AI63" s="124">
        <f t="shared" ref="AI63" si="344">AH63*(1+$AB63)</f>
        <v>21.82502768533632</v>
      </c>
      <c r="AJ63" s="124">
        <f t="shared" ref="AJ63" si="345">AI63*(1+$AB63)</f>
        <v>22.261528239043045</v>
      </c>
      <c r="AK63" s="124">
        <f t="shared" ref="AK63" si="346">AJ63*(1+$AB63)</f>
        <v>22.706758803823906</v>
      </c>
      <c r="AL63" s="124">
        <f t="shared" ref="AL63" si="347">AK63*(1+$AB63)</f>
        <v>23.160893979900383</v>
      </c>
      <c r="AM63" s="109">
        <f t="shared" si="3"/>
        <v>0.14556231230939831</v>
      </c>
      <c r="AN63" s="21">
        <f t="shared" si="22"/>
        <v>0.01</v>
      </c>
      <c r="AO63" s="117" t="e">
        <f t="shared" si="32"/>
        <v>#DIV/0!</v>
      </c>
    </row>
    <row r="64" spans="1:41" x14ac:dyDescent="0.15">
      <c r="B64" s="10"/>
      <c r="C64" s="116"/>
      <c r="D64" s="116"/>
      <c r="E64" s="116"/>
      <c r="F64" s="121"/>
      <c r="G64" s="121" t="e">
        <f t="shared" ref="G64" si="348">(G63-E63)/E63</f>
        <v>#DIV/0!</v>
      </c>
      <c r="H64" s="121" t="e">
        <f t="shared" ref="H64" si="349">(H63-F63)/F63</f>
        <v>#DIV/0!</v>
      </c>
      <c r="I64" s="121">
        <f t="shared" ref="I64" si="350">(I63-H63)/H63</f>
        <v>-1</v>
      </c>
      <c r="J64" s="121" t="e">
        <f t="shared" ref="J64:Q64" si="351">(J63-I63)/I63</f>
        <v>#DIV/0!</v>
      </c>
      <c r="K64" s="121">
        <f t="shared" si="351"/>
        <v>0.21428571428571433</v>
      </c>
      <c r="L64" s="121">
        <f t="shared" si="351"/>
        <v>0.17647058823529416</v>
      </c>
      <c r="M64" s="121">
        <f t="shared" si="351"/>
        <v>0.19999999999999996</v>
      </c>
      <c r="N64" s="121">
        <f t="shared" si="351"/>
        <v>0.375</v>
      </c>
      <c r="O64" s="121">
        <f t="shared" si="351"/>
        <v>0.30303030303030304</v>
      </c>
      <c r="P64" s="121">
        <f t="shared" si="351"/>
        <v>0.27906976744186052</v>
      </c>
      <c r="Q64" s="121">
        <f t="shared" si="351"/>
        <v>0.24363636363636362</v>
      </c>
      <c r="R64" s="121">
        <f t="shared" ref="R64" si="352">(R63-Q63)/Q63</f>
        <v>0.16959064327485382</v>
      </c>
      <c r="S64" s="121">
        <f t="shared" ref="S64" si="353">(S63-R63)/R63</f>
        <v>0.1875</v>
      </c>
      <c r="T64" s="121">
        <f t="shared" ref="T64" si="354">(T63-S63)/S63</f>
        <v>0.15789473684210525</v>
      </c>
      <c r="U64" s="121">
        <f t="shared" ref="U64" si="355">(U63-T63)/T63</f>
        <v>0.18181818181818182</v>
      </c>
      <c r="V64" s="121">
        <f t="shared" ref="V64:W64" si="356">(V63-U63)/U63</f>
        <v>0.15384615384615385</v>
      </c>
      <c r="W64" s="121">
        <f t="shared" si="356"/>
        <v>-0.66666666666666663</v>
      </c>
      <c r="X64" s="121">
        <f t="shared" ref="X64" si="357">(X63-V63)/V63</f>
        <v>-0.13333333333333333</v>
      </c>
      <c r="Y64" s="121">
        <f t="shared" ref="Y64:Z64" si="358">(Y63-W63)/W63</f>
        <v>5.2</v>
      </c>
      <c r="Z64" s="121">
        <f t="shared" si="358"/>
        <v>1.9230769230769231</v>
      </c>
      <c r="AA64" s="10"/>
      <c r="AB64" s="10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10"/>
      <c r="AN64" s="108"/>
      <c r="AO64" s="117"/>
    </row>
    <row r="65" spans="2:41" x14ac:dyDescent="0.15">
      <c r="B65" s="10" t="s">
        <v>243</v>
      </c>
      <c r="C65" s="10"/>
      <c r="D65" s="10"/>
      <c r="E65" s="103"/>
      <c r="F65" s="118"/>
      <c r="G65" s="118">
        <v>0</v>
      </c>
      <c r="H65" s="118">
        <v>0</v>
      </c>
      <c r="I65" s="118">
        <v>0</v>
      </c>
      <c r="J65" s="118">
        <v>0</v>
      </c>
      <c r="K65" s="118">
        <v>0</v>
      </c>
      <c r="L65" s="118">
        <v>0</v>
      </c>
      <c r="M65" s="118">
        <v>0</v>
      </c>
      <c r="N65" s="118">
        <v>0</v>
      </c>
      <c r="O65" s="118" t="s">
        <v>308</v>
      </c>
      <c r="P65" s="118">
        <v>0</v>
      </c>
      <c r="Q65" s="118">
        <v>0</v>
      </c>
      <c r="R65" s="118"/>
      <c r="S65" s="118">
        <v>0</v>
      </c>
      <c r="T65" s="118">
        <v>0</v>
      </c>
      <c r="U65" s="118">
        <v>0</v>
      </c>
      <c r="V65" s="118">
        <v>0</v>
      </c>
      <c r="W65" s="118" t="s">
        <v>309</v>
      </c>
      <c r="X65" s="118">
        <v>0</v>
      </c>
      <c r="Y65" s="118">
        <v>0</v>
      </c>
      <c r="Z65" s="118">
        <v>0</v>
      </c>
      <c r="AA65" s="96" t="e">
        <f t="shared" si="33"/>
        <v>#DIV/0!</v>
      </c>
      <c r="AB65" s="10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10"/>
      <c r="AN65" s="108"/>
      <c r="AO65" s="117"/>
    </row>
    <row r="66" spans="2:41" x14ac:dyDescent="0.15">
      <c r="B66" s="10" t="s">
        <v>241</v>
      </c>
      <c r="C66" s="10"/>
      <c r="D66" s="10"/>
      <c r="E66" s="103"/>
      <c r="F66" s="118"/>
      <c r="G66" s="118">
        <v>0</v>
      </c>
      <c r="H66" s="118">
        <v>0</v>
      </c>
      <c r="I66" s="118">
        <v>0</v>
      </c>
      <c r="J66" s="118">
        <v>0</v>
      </c>
      <c r="K66" s="118">
        <v>0</v>
      </c>
      <c r="L66" s="118">
        <v>0</v>
      </c>
      <c r="M66" s="118">
        <v>0</v>
      </c>
      <c r="N66" s="118">
        <v>0</v>
      </c>
      <c r="O66" s="118">
        <v>0</v>
      </c>
      <c r="P66" s="118">
        <v>0</v>
      </c>
      <c r="Q66" s="118">
        <v>0</v>
      </c>
      <c r="R66" s="118"/>
      <c r="S66" s="118">
        <v>0</v>
      </c>
      <c r="T66" s="118">
        <v>0</v>
      </c>
      <c r="U66" s="118">
        <v>0</v>
      </c>
      <c r="V66" s="118">
        <v>0</v>
      </c>
      <c r="W66" s="118">
        <v>0</v>
      </c>
      <c r="X66" s="118">
        <v>0</v>
      </c>
      <c r="Y66" s="118">
        <v>0</v>
      </c>
      <c r="Z66" s="118">
        <v>0</v>
      </c>
      <c r="AA66" s="96" t="e">
        <f t="shared" si="33"/>
        <v>#DIV/0!</v>
      </c>
      <c r="AB66" s="10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10"/>
      <c r="AN66" s="108"/>
      <c r="AO66" s="117"/>
    </row>
    <row r="67" spans="2:41" x14ac:dyDescent="0.15">
      <c r="B67" s="10" t="s">
        <v>242</v>
      </c>
      <c r="C67" s="10"/>
      <c r="D67" s="10"/>
      <c r="E67" s="103"/>
      <c r="F67" s="118"/>
      <c r="G67" s="118">
        <v>0</v>
      </c>
      <c r="H67" s="118">
        <v>0</v>
      </c>
      <c r="I67" s="118">
        <v>0</v>
      </c>
      <c r="J67" s="118">
        <v>0</v>
      </c>
      <c r="K67" s="118">
        <v>0</v>
      </c>
      <c r="L67" s="118">
        <v>0</v>
      </c>
      <c r="M67" s="118">
        <v>0</v>
      </c>
      <c r="N67" s="118">
        <v>0</v>
      </c>
      <c r="O67" s="118">
        <v>0</v>
      </c>
      <c r="P67" s="118">
        <v>0</v>
      </c>
      <c r="Q67" s="118">
        <v>0</v>
      </c>
      <c r="R67" s="118"/>
      <c r="S67" s="118">
        <v>0</v>
      </c>
      <c r="T67" s="118">
        <v>0</v>
      </c>
      <c r="U67" s="118">
        <v>0</v>
      </c>
      <c r="V67" s="118">
        <v>0</v>
      </c>
      <c r="W67" s="118">
        <v>0</v>
      </c>
      <c r="X67" s="118">
        <v>0</v>
      </c>
      <c r="Y67" s="118">
        <v>0</v>
      </c>
      <c r="Z67" s="118">
        <v>0</v>
      </c>
      <c r="AA67" s="96" t="e">
        <f t="shared" si="33"/>
        <v>#DIV/0!</v>
      </c>
      <c r="AB67" s="10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10"/>
      <c r="AN67" s="108"/>
      <c r="AO67" s="117"/>
    </row>
    <row r="68" spans="2:41" x14ac:dyDescent="0.15">
      <c r="B68" s="10"/>
      <c r="C68" s="10"/>
      <c r="D68" s="10"/>
      <c r="E68" s="103"/>
      <c r="F68" s="103"/>
      <c r="G68" s="103"/>
      <c r="H68" s="103"/>
      <c r="I68" s="103"/>
      <c r="J68" s="10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10"/>
      <c r="AN68" s="108"/>
      <c r="AO68" s="117"/>
    </row>
    <row r="69" spans="2:41" x14ac:dyDescent="0.15">
      <c r="B69" s="89" t="s">
        <v>76</v>
      </c>
      <c r="C69" s="10"/>
      <c r="D69" s="10"/>
      <c r="E69" s="103"/>
      <c r="F69" s="103"/>
      <c r="G69" s="103"/>
      <c r="H69" s="103"/>
      <c r="I69" s="103"/>
      <c r="J69" s="10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10"/>
      <c r="AN69" s="108"/>
      <c r="AO69" s="117"/>
    </row>
    <row r="70" spans="2:41" x14ac:dyDescent="0.15">
      <c r="B70" s="10" t="s">
        <v>128</v>
      </c>
      <c r="C70" s="105"/>
      <c r="D70" s="105"/>
      <c r="E70" s="105"/>
      <c r="F70" s="105"/>
      <c r="G70" s="105">
        <f t="shared" ref="G70" si="359">G25/G61</f>
        <v>204.28571428571428</v>
      </c>
      <c r="H70" s="105">
        <f t="shared" ref="H70:I70" si="360">H25/H61</f>
        <v>0</v>
      </c>
      <c r="I70" s="105">
        <f t="shared" si="360"/>
        <v>184.51612903225808</v>
      </c>
      <c r="J70" s="105">
        <f t="shared" ref="J70:Q70" si="361">J25/J61</f>
        <v>265.06451612903226</v>
      </c>
      <c r="K70" s="105">
        <f t="shared" si="361"/>
        <v>354.71428571428572</v>
      </c>
      <c r="L70" s="105">
        <f t="shared" si="361"/>
        <v>388.42857142857144</v>
      </c>
      <c r="M70" s="105">
        <f t="shared" si="361"/>
        <v>360.71111111111111</v>
      </c>
      <c r="N70" s="105">
        <f t="shared" si="361"/>
        <v>435.71739130434781</v>
      </c>
      <c r="O70" s="105">
        <f t="shared" si="361"/>
        <v>120.48290598290598</v>
      </c>
      <c r="P70" s="105">
        <f t="shared" si="361"/>
        <v>151.31223628691984</v>
      </c>
      <c r="Q70" s="105">
        <f t="shared" si="361"/>
        <v>178.05439330543933</v>
      </c>
      <c r="R70" s="105">
        <f t="shared" ref="R70:V70" si="362">R25/R61</f>
        <v>202.66399999999999</v>
      </c>
      <c r="S70" s="105">
        <f t="shared" si="362"/>
        <v>250.63888888888889</v>
      </c>
      <c r="T70" s="105">
        <f t="shared" si="362"/>
        <v>286.21484375</v>
      </c>
      <c r="U70" s="105">
        <f t="shared" si="362"/>
        <v>329.29343629343629</v>
      </c>
      <c r="V70" s="105">
        <f t="shared" si="362"/>
        <v>386.61764705882354</v>
      </c>
      <c r="W70" s="105">
        <f t="shared" ref="W70" si="363">W25/W61</f>
        <v>222.97262773722628</v>
      </c>
      <c r="X70" s="105">
        <f t="shared" ref="X70:Z70" si="364">X25/X61</f>
        <v>233.30671506352087</v>
      </c>
      <c r="Y70" s="105">
        <f t="shared" ref="Y70" si="365">Y25/Y61</f>
        <v>245.37184115523465</v>
      </c>
      <c r="Z70" s="105">
        <f t="shared" si="364"/>
        <v>308.22021660649818</v>
      </c>
      <c r="AA70" s="96">
        <f t="shared" ref="AA70:AA133" si="366">((Z70/G70)^(1/($K$2-$K$1) ))-1</f>
        <v>2.1883100559367152E-2</v>
      </c>
      <c r="AB70" s="104"/>
      <c r="AC70" s="127">
        <f t="shared" ref="AC70:AL70" si="367">AC25/AC61</f>
        <v>347.50318538967929</v>
      </c>
      <c r="AD70" s="127">
        <f t="shared" si="367"/>
        <v>391.79280705699131</v>
      </c>
      <c r="AE70" s="127">
        <f t="shared" si="367"/>
        <v>441.72718442699994</v>
      </c>
      <c r="AF70" s="127">
        <f t="shared" si="367"/>
        <v>498.02574714808816</v>
      </c>
      <c r="AG70" s="127">
        <f t="shared" si="367"/>
        <v>561.49961688264841</v>
      </c>
      <c r="AH70" s="127">
        <f t="shared" si="367"/>
        <v>633.06329354416232</v>
      </c>
      <c r="AI70" s="127">
        <f t="shared" si="367"/>
        <v>713.7478309566535</v>
      </c>
      <c r="AJ70" s="127">
        <f t="shared" si="367"/>
        <v>804.71569176485434</v>
      </c>
      <c r="AK70" s="127">
        <f t="shared" si="367"/>
        <v>907.27749561723749</v>
      </c>
      <c r="AL70" s="127">
        <f t="shared" si="367"/>
        <v>1022.9109019213952</v>
      </c>
      <c r="AM70" s="109">
        <f t="shared" ref="AM70" si="368">((AL70/J70)^(1/($AL$3-$K$1) ))-1</f>
        <v>4.7667960302577361E-2</v>
      </c>
      <c r="AN70" s="21">
        <f t="shared" si="22"/>
        <v>0.01</v>
      </c>
      <c r="AO70" s="117" t="e">
        <f t="shared" si="32"/>
        <v>#DIV/0!</v>
      </c>
    </row>
    <row r="71" spans="2:41" x14ac:dyDescent="0.15">
      <c r="B71" s="10" t="s">
        <v>129</v>
      </c>
      <c r="C71" s="105"/>
      <c r="D71" s="105"/>
      <c r="E71" s="105"/>
      <c r="F71" s="105"/>
      <c r="G71" s="105">
        <f t="shared" ref="G71" si="369">G27/G61</f>
        <v>173</v>
      </c>
      <c r="H71" s="105">
        <f t="shared" ref="H71:I71" si="370">H27/H61</f>
        <v>0</v>
      </c>
      <c r="I71" s="105">
        <f t="shared" si="370"/>
        <v>156.25806451612902</v>
      </c>
      <c r="J71" s="105">
        <f t="shared" ref="J71:Q71" si="371">J27/J61</f>
        <v>228.16129032258064</v>
      </c>
      <c r="K71" s="105">
        <f t="shared" si="371"/>
        <v>309.2</v>
      </c>
      <c r="L71" s="105">
        <f t="shared" si="371"/>
        <v>420.90476190476193</v>
      </c>
      <c r="M71" s="105">
        <f t="shared" si="371"/>
        <v>383.04444444444442</v>
      </c>
      <c r="N71" s="105">
        <f t="shared" si="371"/>
        <v>448.04347826086956</v>
      </c>
      <c r="O71" s="105">
        <f t="shared" si="371"/>
        <v>123.55555555555556</v>
      </c>
      <c r="P71" s="105">
        <f t="shared" si="371"/>
        <v>152.29113924050634</v>
      </c>
      <c r="Q71" s="105">
        <f t="shared" si="371"/>
        <v>176.10041841004184</v>
      </c>
      <c r="R71" s="105">
        <f t="shared" ref="R71:V71" si="372">R27/R61</f>
        <v>198.048</v>
      </c>
      <c r="S71" s="105">
        <f t="shared" si="372"/>
        <v>244.26587301587301</v>
      </c>
      <c r="T71" s="105">
        <f t="shared" si="372"/>
        <v>276.80078125</v>
      </c>
      <c r="U71" s="105">
        <f t="shared" si="372"/>
        <v>319.62548262548262</v>
      </c>
      <c r="V71" s="105">
        <f t="shared" si="372"/>
        <v>373.75735294117646</v>
      </c>
      <c r="W71" s="105">
        <f t="shared" ref="W71" si="373">W27/W61</f>
        <v>218.56204379562044</v>
      </c>
      <c r="X71" s="105">
        <f t="shared" ref="X71:Z71" si="374">X27/X61</f>
        <v>225.09618874773139</v>
      </c>
      <c r="Y71" s="105">
        <f t="shared" ref="Y71" si="375">Y27/Y61</f>
        <v>233.83393501805054</v>
      </c>
      <c r="Z71" s="105">
        <f t="shared" si="374"/>
        <v>286.13176895306862</v>
      </c>
      <c r="AA71" s="96">
        <f t="shared" si="366"/>
        <v>2.6835917581019775E-2</v>
      </c>
      <c r="AB71" s="104"/>
      <c r="AC71" s="127">
        <f t="shared" ref="AC71:AL71" si="376">AC27/AC61</f>
        <v>322.59954342747926</v>
      </c>
      <c r="AD71" s="127">
        <f t="shared" si="376"/>
        <v>363.71517151137368</v>
      </c>
      <c r="AE71" s="127">
        <f t="shared" si="376"/>
        <v>410.07102670399962</v>
      </c>
      <c r="AF71" s="127">
        <f t="shared" si="376"/>
        <v>462.33498108784272</v>
      </c>
      <c r="AG71" s="127">
        <f t="shared" si="376"/>
        <v>521.26002769707759</v>
      </c>
      <c r="AH71" s="127">
        <f t="shared" si="376"/>
        <v>587.69512926631296</v>
      </c>
      <c r="AI71" s="127">
        <f t="shared" si="376"/>
        <v>662.59744966299991</v>
      </c>
      <c r="AJ71" s="127">
        <f t="shared" si="376"/>
        <v>747.04614422789189</v>
      </c>
      <c r="AK71" s="127">
        <f t="shared" si="376"/>
        <v>842.25790770791718</v>
      </c>
      <c r="AL71" s="127">
        <f t="shared" si="376"/>
        <v>949.60450378833787</v>
      </c>
      <c r="AM71" s="109">
        <f t="shared" ref="AM71" si="377">((AL71/J71)^(1/($AL$3-$K$1) ))-1</f>
        <v>5.0401177802341435E-2</v>
      </c>
      <c r="AN71" s="21">
        <f t="shared" si="22"/>
        <v>0.01</v>
      </c>
      <c r="AO71" s="117" t="e">
        <f t="shared" si="32"/>
        <v>#DIV/0!</v>
      </c>
    </row>
    <row r="72" spans="2:41" x14ac:dyDescent="0.15">
      <c r="B72" s="10" t="s">
        <v>244</v>
      </c>
      <c r="C72" s="105"/>
      <c r="D72" s="105"/>
      <c r="E72" s="105"/>
      <c r="F72" s="105"/>
      <c r="G72" s="105">
        <f t="shared" ref="G72" si="378">G55-G59</f>
        <v>-875</v>
      </c>
      <c r="H72" s="105">
        <f t="shared" ref="H72:I72" si="379">H55-H59</f>
        <v>0</v>
      </c>
      <c r="I72" s="105">
        <f t="shared" si="379"/>
        <v>-875</v>
      </c>
      <c r="J72" s="105">
        <f>J55-J59</f>
        <v>-1143</v>
      </c>
      <c r="K72" s="105">
        <f t="shared" ref="K72:Q72" si="380">K55-K59</f>
        <v>-1592</v>
      </c>
      <c r="L72" s="105">
        <f t="shared" si="380"/>
        <v>-2252</v>
      </c>
      <c r="M72" s="105">
        <f t="shared" si="380"/>
        <v>-3032</v>
      </c>
      <c r="N72" s="105">
        <f t="shared" si="380"/>
        <v>-4017</v>
      </c>
      <c r="O72" s="105">
        <f t="shared" si="380"/>
        <v>-5273</v>
      </c>
      <c r="P72" s="105">
        <f t="shared" si="380"/>
        <v>-6900</v>
      </c>
      <c r="Q72" s="105">
        <f t="shared" si="380"/>
        <v>-8764</v>
      </c>
      <c r="R72" s="105">
        <f t="shared" ref="R72:V72" si="381">R55-R59</f>
        <v>-10700</v>
      </c>
      <c r="S72" s="105">
        <f t="shared" si="381"/>
        <v>-12817</v>
      </c>
      <c r="T72" s="105">
        <f t="shared" si="381"/>
        <v>-15287</v>
      </c>
      <c r="U72" s="105">
        <f t="shared" si="381"/>
        <v>-18560</v>
      </c>
      <c r="V72" s="105">
        <f t="shared" si="381"/>
        <v>-22445</v>
      </c>
      <c r="W72" s="105">
        <f t="shared" ref="W72" si="382">W55-W59</f>
        <v>-27296</v>
      </c>
      <c r="X72" s="105">
        <f t="shared" ref="X72:Z72" si="383">X55-X59</f>
        <v>-31856</v>
      </c>
      <c r="Y72" s="105">
        <f t="shared" ref="Y72" si="384">Y55-Y59</f>
        <v>-38150</v>
      </c>
      <c r="Z72" s="105">
        <f t="shared" si="383"/>
        <v>-46148</v>
      </c>
      <c r="AA72" s="96">
        <f t="shared" si="366"/>
        <v>0.23208083343082309</v>
      </c>
      <c r="AB72" s="104"/>
      <c r="AC72" s="105">
        <f t="shared" ref="AC72:AL72" si="385">AC55-AC59</f>
        <v>-53070.2</v>
      </c>
      <c r="AD72" s="105">
        <f t="shared" si="385"/>
        <v>-61030.729999999989</v>
      </c>
      <c r="AE72" s="105">
        <f t="shared" si="385"/>
        <v>-70185.339499999987</v>
      </c>
      <c r="AF72" s="105">
        <f t="shared" si="385"/>
        <v>-80713.140424999976</v>
      </c>
      <c r="AG72" s="105">
        <f t="shared" si="385"/>
        <v>-92820.111488749972</v>
      </c>
      <c r="AH72" s="105">
        <f t="shared" si="385"/>
        <v>-106743.12821206245</v>
      </c>
      <c r="AI72" s="105">
        <f t="shared" si="385"/>
        <v>-122754.59744387181</v>
      </c>
      <c r="AJ72" s="105">
        <f t="shared" si="385"/>
        <v>-141167.78706045257</v>
      </c>
      <c r="AK72" s="105">
        <f t="shared" si="385"/>
        <v>-162342.95511952043</v>
      </c>
      <c r="AL72" s="105">
        <f t="shared" si="385"/>
        <v>-186694.39838744848</v>
      </c>
      <c r="AM72" s="109">
        <f t="shared" ref="AM72" si="386">((AL72/J72)^(1/($AL$3-$K$1) ))-1</f>
        <v>0.192101619098626</v>
      </c>
      <c r="AN72" s="21">
        <f t="shared" si="22"/>
        <v>0.01</v>
      </c>
      <c r="AO72" s="117" t="e">
        <f t="shared" si="32"/>
        <v>#DIV/0!</v>
      </c>
    </row>
    <row r="73" spans="2:41" x14ac:dyDescent="0.15">
      <c r="B73" s="10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96" t="e">
        <f t="shared" si="366"/>
        <v>#DIV/0!</v>
      </c>
      <c r="AB73" s="10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97"/>
      <c r="AN73" s="108"/>
      <c r="AO73" s="117"/>
    </row>
    <row r="74" spans="2:41" x14ac:dyDescent="0.15">
      <c r="B74" s="10" t="s">
        <v>261</v>
      </c>
      <c r="C74" s="105"/>
      <c r="D74" s="105"/>
      <c r="E74" s="105"/>
      <c r="F74" s="15"/>
      <c r="G74" s="15">
        <f t="shared" ref="G74" si="387">G53/G61</f>
        <v>0</v>
      </c>
      <c r="H74" s="15">
        <f t="shared" ref="H74:I74" si="388">H53/H61</f>
        <v>0</v>
      </c>
      <c r="I74" s="15">
        <f t="shared" si="388"/>
        <v>0</v>
      </c>
      <c r="J74" s="15">
        <f t="shared" ref="J74:Q74" si="389">J53/J61</f>
        <v>0</v>
      </c>
      <c r="K74" s="15">
        <f t="shared" si="389"/>
        <v>0</v>
      </c>
      <c r="L74" s="15">
        <f t="shared" si="389"/>
        <v>0</v>
      </c>
      <c r="M74" s="15">
        <f t="shared" si="389"/>
        <v>0</v>
      </c>
      <c r="N74" s="15">
        <f t="shared" si="389"/>
        <v>0</v>
      </c>
      <c r="O74" s="15">
        <f t="shared" si="389"/>
        <v>0</v>
      </c>
      <c r="P74" s="15">
        <f t="shared" si="389"/>
        <v>0</v>
      </c>
      <c r="Q74" s="15">
        <f t="shared" si="389"/>
        <v>0</v>
      </c>
      <c r="R74" s="15">
        <f t="shared" ref="R74:V74" si="390">R53/R61</f>
        <v>0</v>
      </c>
      <c r="S74" s="15">
        <f t="shared" si="390"/>
        <v>0</v>
      </c>
      <c r="T74" s="15">
        <f t="shared" si="390"/>
        <v>0</v>
      </c>
      <c r="U74" s="15">
        <f t="shared" si="390"/>
        <v>0</v>
      </c>
      <c r="V74" s="15">
        <f t="shared" si="390"/>
        <v>0</v>
      </c>
      <c r="W74" s="15">
        <f t="shared" ref="W74" si="391">W53/W61</f>
        <v>0</v>
      </c>
      <c r="X74" s="15">
        <f t="shared" ref="X74:Z74" si="392">X53/X61</f>
        <v>0</v>
      </c>
      <c r="Y74" s="15">
        <f t="shared" ref="Y74" si="393">Y53/Y61</f>
        <v>0</v>
      </c>
      <c r="Z74" s="15">
        <f t="shared" si="392"/>
        <v>0</v>
      </c>
      <c r="AA74" s="96" t="e">
        <f t="shared" si="366"/>
        <v>#DIV/0!</v>
      </c>
      <c r="AB74" s="104"/>
      <c r="AC74" s="91">
        <f>AC53/AC61</f>
        <v>0</v>
      </c>
      <c r="AD74" s="91">
        <f t="shared" ref="AD74:AL74" si="394">AD53/AD61</f>
        <v>0</v>
      </c>
      <c r="AE74" s="91">
        <f t="shared" si="394"/>
        <v>0</v>
      </c>
      <c r="AF74" s="91">
        <f t="shared" si="394"/>
        <v>0</v>
      </c>
      <c r="AG74" s="91">
        <f t="shared" si="394"/>
        <v>0</v>
      </c>
      <c r="AH74" s="91">
        <f t="shared" si="394"/>
        <v>0</v>
      </c>
      <c r="AI74" s="91">
        <f t="shared" si="394"/>
        <v>0</v>
      </c>
      <c r="AJ74" s="91">
        <f t="shared" si="394"/>
        <v>0</v>
      </c>
      <c r="AK74" s="91">
        <f t="shared" si="394"/>
        <v>0</v>
      </c>
      <c r="AL74" s="91">
        <f t="shared" si="394"/>
        <v>0</v>
      </c>
      <c r="AM74" s="109" t="e">
        <f t="shared" ref="AM74:AM75" si="395">((AL74/J74)^(1/($AL$3-$K$1) ))-1</f>
        <v>#DIV/0!</v>
      </c>
      <c r="AN74" s="21">
        <f t="shared" si="22"/>
        <v>0.01</v>
      </c>
      <c r="AO74" s="117" t="e">
        <f t="shared" si="32"/>
        <v>#DIV/0!</v>
      </c>
    </row>
    <row r="75" spans="2:41" x14ac:dyDescent="0.15">
      <c r="B75" s="10" t="s">
        <v>262</v>
      </c>
      <c r="C75" s="105"/>
      <c r="D75" s="105"/>
      <c r="E75" s="105"/>
      <c r="F75" s="15"/>
      <c r="G75" s="15">
        <f t="shared" ref="G75" si="396">G55/G61</f>
        <v>0</v>
      </c>
      <c r="H75" s="15">
        <f t="shared" ref="H75:I75" si="397">H55/H61</f>
        <v>0</v>
      </c>
      <c r="I75" s="15">
        <f t="shared" si="397"/>
        <v>0</v>
      </c>
      <c r="J75" s="15">
        <f t="shared" ref="J75:Q75" si="398">J55/J61</f>
        <v>0</v>
      </c>
      <c r="K75" s="15">
        <f t="shared" si="398"/>
        <v>0</v>
      </c>
      <c r="L75" s="15">
        <f t="shared" si="398"/>
        <v>0</v>
      </c>
      <c r="M75" s="15">
        <f t="shared" si="398"/>
        <v>0</v>
      </c>
      <c r="N75" s="15">
        <f t="shared" si="398"/>
        <v>0</v>
      </c>
      <c r="O75" s="15">
        <f t="shared" si="398"/>
        <v>0</v>
      </c>
      <c r="P75" s="15">
        <f t="shared" si="398"/>
        <v>0</v>
      </c>
      <c r="Q75" s="15">
        <f t="shared" si="398"/>
        <v>0</v>
      </c>
      <c r="R75" s="15">
        <f t="shared" ref="R75:V75" si="399">R55/R61</f>
        <v>0</v>
      </c>
      <c r="S75" s="15">
        <f t="shared" si="399"/>
        <v>0</v>
      </c>
      <c r="T75" s="15">
        <f t="shared" si="399"/>
        <v>0</v>
      </c>
      <c r="U75" s="15">
        <f t="shared" si="399"/>
        <v>0</v>
      </c>
      <c r="V75" s="15">
        <f t="shared" si="399"/>
        <v>0</v>
      </c>
      <c r="W75" s="15">
        <f t="shared" ref="W75" si="400">W55/W61</f>
        <v>0</v>
      </c>
      <c r="X75" s="15">
        <f t="shared" ref="X75:Z75" si="401">X55/X61</f>
        <v>0</v>
      </c>
      <c r="Y75" s="15">
        <f t="shared" ref="Y75" si="402">Y55/Y61</f>
        <v>0</v>
      </c>
      <c r="Z75" s="15">
        <f t="shared" si="401"/>
        <v>0</v>
      </c>
      <c r="AA75" s="96" t="e">
        <f t="shared" si="366"/>
        <v>#DIV/0!</v>
      </c>
      <c r="AB75" s="104"/>
      <c r="AC75" s="91">
        <f>AC55/AC61</f>
        <v>0</v>
      </c>
      <c r="AD75" s="91">
        <f t="shared" ref="AD75:AL75" si="403">AD55/AD61</f>
        <v>0</v>
      </c>
      <c r="AE75" s="91">
        <f t="shared" si="403"/>
        <v>0</v>
      </c>
      <c r="AF75" s="91">
        <f t="shared" si="403"/>
        <v>0</v>
      </c>
      <c r="AG75" s="91">
        <f t="shared" si="403"/>
        <v>0</v>
      </c>
      <c r="AH75" s="91">
        <f t="shared" si="403"/>
        <v>0</v>
      </c>
      <c r="AI75" s="91">
        <f t="shared" si="403"/>
        <v>0</v>
      </c>
      <c r="AJ75" s="91">
        <f t="shared" si="403"/>
        <v>0</v>
      </c>
      <c r="AK75" s="91">
        <f t="shared" si="403"/>
        <v>0</v>
      </c>
      <c r="AL75" s="91">
        <f t="shared" si="403"/>
        <v>0</v>
      </c>
      <c r="AM75" s="109" t="e">
        <f t="shared" si="395"/>
        <v>#DIV/0!</v>
      </c>
      <c r="AN75" s="21">
        <f t="shared" si="22"/>
        <v>0.01</v>
      </c>
      <c r="AO75" s="117" t="e">
        <f t="shared" ref="AO75:AO138" si="404">(AL75*(1+AN75))/($O$1-AN75)</f>
        <v>#DIV/0!</v>
      </c>
    </row>
    <row r="76" spans="2:41" x14ac:dyDescent="0.15">
      <c r="B76" s="10" t="s">
        <v>90</v>
      </c>
      <c r="C76" s="15"/>
      <c r="D76" s="15"/>
      <c r="E76" s="15"/>
      <c r="F76" s="105"/>
      <c r="G76" s="105">
        <f t="shared" ref="G76" si="405">G59/G61</f>
        <v>31.25</v>
      </c>
      <c r="H76" s="105">
        <f t="shared" ref="H76:I76" si="406">H59/H61</f>
        <v>0</v>
      </c>
      <c r="I76" s="105">
        <f t="shared" si="406"/>
        <v>28.225806451612904</v>
      </c>
      <c r="J76" s="105">
        <f t="shared" ref="J76:Q76" si="407">J59/J61</f>
        <v>36.87096774193548</v>
      </c>
      <c r="K76" s="105">
        <f t="shared" si="407"/>
        <v>45.485714285714288</v>
      </c>
      <c r="L76" s="105">
        <f t="shared" si="407"/>
        <v>53.61904761904762</v>
      </c>
      <c r="M76" s="105">
        <f t="shared" si="407"/>
        <v>67.37777777777778</v>
      </c>
      <c r="N76" s="105">
        <f t="shared" si="407"/>
        <v>87.326086956521735</v>
      </c>
      <c r="O76" s="105">
        <f t="shared" si="407"/>
        <v>22.534188034188034</v>
      </c>
      <c r="P76" s="105">
        <f t="shared" si="407"/>
        <v>29.11392405063291</v>
      </c>
      <c r="Q76" s="105">
        <f t="shared" si="407"/>
        <v>36.669456066945607</v>
      </c>
      <c r="R76" s="105">
        <f t="shared" ref="R76:V76" si="408">R59/R61</f>
        <v>42.8</v>
      </c>
      <c r="S76" s="105">
        <f t="shared" si="408"/>
        <v>50.861111111111114</v>
      </c>
      <c r="T76" s="105">
        <f t="shared" si="408"/>
        <v>59.71484375</v>
      </c>
      <c r="U76" s="105">
        <f t="shared" si="408"/>
        <v>71.660231660231659</v>
      </c>
      <c r="V76" s="105">
        <f t="shared" si="408"/>
        <v>82.518382352941174</v>
      </c>
      <c r="W76" s="105">
        <f t="shared" ref="W76" si="409">W59/W61</f>
        <v>49.810218978102192</v>
      </c>
      <c r="X76" s="105">
        <f t="shared" ref="X76:Z76" si="410">X59/X61</f>
        <v>57.814882032667875</v>
      </c>
      <c r="Y76" s="105">
        <f t="shared" ref="Y76" si="411">Y59/Y61</f>
        <v>68.862815884476532</v>
      </c>
      <c r="Z76" s="105">
        <f t="shared" si="410"/>
        <v>83.299638989169679</v>
      </c>
      <c r="AA76" s="96">
        <f t="shared" si="366"/>
        <v>5.2955853026607436E-2</v>
      </c>
      <c r="AB76" s="104"/>
      <c r="AC76" s="127">
        <f t="shared" ref="AC76:AL76" si="412">AC59/AC61</f>
        <v>93.916259644652072</v>
      </c>
      <c r="AD76" s="127">
        <f t="shared" si="412"/>
        <v>105.88597901112732</v>
      </c>
      <c r="AE76" s="127">
        <f t="shared" si="412"/>
        <v>119.38125084587884</v>
      </c>
      <c r="AF76" s="127">
        <f t="shared" si="412"/>
        <v>134.5965083066281</v>
      </c>
      <c r="AG76" s="127">
        <f t="shared" si="412"/>
        <v>151.75096524766892</v>
      </c>
      <c r="AH76" s="127">
        <f t="shared" si="412"/>
        <v>171.09177454394043</v>
      </c>
      <c r="AI76" s="127">
        <f t="shared" si="412"/>
        <v>192.89758894659951</v>
      </c>
      <c r="AJ76" s="127">
        <f t="shared" si="412"/>
        <v>217.48257577312685</v>
      </c>
      <c r="AK76" s="127">
        <f t="shared" si="412"/>
        <v>245.20094327362335</v>
      </c>
      <c r="AL76" s="127">
        <f t="shared" si="412"/>
        <v>276.45204388692827</v>
      </c>
      <c r="AM76" s="109">
        <f t="shared" ref="AM76:AM90" si="413">((AL76/J76)^(1/($AL$3-$K$1) ))-1</f>
        <v>7.1939270701208535E-2</v>
      </c>
      <c r="AN76" s="21">
        <f t="shared" si="22"/>
        <v>0.01</v>
      </c>
      <c r="AO76" s="117" t="e">
        <f t="shared" si="404"/>
        <v>#DIV/0!</v>
      </c>
    </row>
    <row r="77" spans="2:41" x14ac:dyDescent="0.15">
      <c r="B77" s="10" t="s">
        <v>205</v>
      </c>
      <c r="C77" s="105"/>
      <c r="D77" s="105"/>
      <c r="E77" s="105"/>
      <c r="F77" s="105"/>
      <c r="G77" s="105">
        <f t="shared" ref="G77" si="414">G20/G61</f>
        <v>0</v>
      </c>
      <c r="H77" s="105">
        <f t="shared" ref="H77:I77" si="415">H20/H61</f>
        <v>0</v>
      </c>
      <c r="I77" s="105">
        <f t="shared" si="415"/>
        <v>0</v>
      </c>
      <c r="J77" s="105">
        <f>J20/J61</f>
        <v>0</v>
      </c>
      <c r="K77" s="105">
        <f t="shared" ref="K77:Q77" si="416">K20/K61</f>
        <v>0</v>
      </c>
      <c r="L77" s="105">
        <f t="shared" si="416"/>
        <v>0</v>
      </c>
      <c r="M77" s="105">
        <f t="shared" si="416"/>
        <v>0</v>
      </c>
      <c r="N77" s="105">
        <f t="shared" si="416"/>
        <v>0</v>
      </c>
      <c r="O77" s="105">
        <f t="shared" si="416"/>
        <v>0</v>
      </c>
      <c r="P77" s="105">
        <f t="shared" si="416"/>
        <v>0</v>
      </c>
      <c r="Q77" s="105">
        <f t="shared" si="416"/>
        <v>0</v>
      </c>
      <c r="R77" s="105">
        <f t="shared" ref="R77:V77" si="417">R20/R61</f>
        <v>0</v>
      </c>
      <c r="S77" s="105">
        <f t="shared" si="417"/>
        <v>0</v>
      </c>
      <c r="T77" s="105">
        <f t="shared" si="417"/>
        <v>0</v>
      </c>
      <c r="U77" s="105">
        <f t="shared" si="417"/>
        <v>0</v>
      </c>
      <c r="V77" s="105">
        <f t="shared" si="417"/>
        <v>0</v>
      </c>
      <c r="W77" s="105">
        <f t="shared" ref="W77" si="418">W20/W61</f>
        <v>0</v>
      </c>
      <c r="X77" s="105">
        <f t="shared" ref="X77:Z77" si="419">X20/X61</f>
        <v>0</v>
      </c>
      <c r="Y77" s="105">
        <f t="shared" ref="Y77" si="420">Y20/Y61</f>
        <v>0</v>
      </c>
      <c r="Z77" s="105">
        <f t="shared" si="419"/>
        <v>0</v>
      </c>
      <c r="AA77" s="96" t="e">
        <f t="shared" si="366"/>
        <v>#DIV/0!</v>
      </c>
      <c r="AB77" s="104"/>
      <c r="AC77" s="105">
        <f t="shared" ref="AC77:AL77" si="421">AC20/AC61</f>
        <v>0</v>
      </c>
      <c r="AD77" s="105">
        <f t="shared" si="421"/>
        <v>0</v>
      </c>
      <c r="AE77" s="105">
        <f t="shared" si="421"/>
        <v>0</v>
      </c>
      <c r="AF77" s="105">
        <f t="shared" si="421"/>
        <v>0</v>
      </c>
      <c r="AG77" s="105">
        <f t="shared" si="421"/>
        <v>0</v>
      </c>
      <c r="AH77" s="105">
        <f t="shared" si="421"/>
        <v>0</v>
      </c>
      <c r="AI77" s="105">
        <f t="shared" si="421"/>
        <v>0</v>
      </c>
      <c r="AJ77" s="105">
        <f t="shared" si="421"/>
        <v>0</v>
      </c>
      <c r="AK77" s="105">
        <f t="shared" si="421"/>
        <v>0</v>
      </c>
      <c r="AL77" s="105">
        <f t="shared" si="421"/>
        <v>0</v>
      </c>
      <c r="AM77" s="109" t="e">
        <f t="shared" ref="AM77" si="422">((AL77/J77)^(1/($AL$3-$K$1) ))-1</f>
        <v>#DIV/0!</v>
      </c>
      <c r="AN77" s="21">
        <f t="shared" si="22"/>
        <v>0.01</v>
      </c>
      <c r="AO77" s="117" t="e">
        <f t="shared" si="404"/>
        <v>#DIV/0!</v>
      </c>
    </row>
    <row r="78" spans="2:41" x14ac:dyDescent="0.15">
      <c r="B78" s="10" t="s">
        <v>78</v>
      </c>
      <c r="C78" s="15"/>
      <c r="D78" s="15"/>
      <c r="E78" s="15"/>
      <c r="F78" s="105"/>
      <c r="G78" s="105">
        <f t="shared" ref="G78" si="423">G7/G61</f>
        <v>190.25</v>
      </c>
      <c r="H78" s="105">
        <f t="shared" ref="H78:I78" si="424">H7/H61</f>
        <v>0</v>
      </c>
      <c r="I78" s="105">
        <f t="shared" si="424"/>
        <v>171.83870967741936</v>
      </c>
      <c r="J78" s="105">
        <f t="shared" ref="J78:Q78" si="425">J7/J61</f>
        <v>208.70967741935485</v>
      </c>
      <c r="K78" s="105">
        <f t="shared" si="425"/>
        <v>329.57142857142856</v>
      </c>
      <c r="L78" s="105">
        <f t="shared" si="425"/>
        <v>359.38095238095241</v>
      </c>
      <c r="M78" s="105">
        <f t="shared" si="425"/>
        <v>480.4</v>
      </c>
      <c r="N78" s="105">
        <f t="shared" si="425"/>
        <v>556.195652173913</v>
      </c>
      <c r="O78" s="105">
        <f t="shared" si="425"/>
        <v>129.10256410256412</v>
      </c>
      <c r="P78" s="105">
        <f t="shared" si="425"/>
        <v>154.60759493670886</v>
      </c>
      <c r="Q78" s="105">
        <f t="shared" si="425"/>
        <v>184.79497907949792</v>
      </c>
      <c r="R78" s="105">
        <f t="shared" ref="R78:V78" si="426">R7/R61</f>
        <v>212.61600000000001</v>
      </c>
      <c r="S78" s="105">
        <f t="shared" si="426"/>
        <v>294.85714285714283</v>
      </c>
      <c r="T78" s="105">
        <f t="shared" si="426"/>
        <v>358.56640625</v>
      </c>
      <c r="U78" s="105">
        <f t="shared" si="426"/>
        <v>423.16216216216219</v>
      </c>
      <c r="V78" s="105">
        <f t="shared" si="426"/>
        <v>564.97058823529414</v>
      </c>
      <c r="W78" s="105">
        <f t="shared" ref="W78" si="427">W7/W61</f>
        <v>321.82116788321167</v>
      </c>
      <c r="X78" s="105">
        <f t="shared" ref="X78:Z78" si="428">X7/X61</f>
        <v>380.78039927404717</v>
      </c>
      <c r="Y78" s="105">
        <f t="shared" ref="Y78" si="429">Y7/Y61</f>
        <v>446.43682310469313</v>
      </c>
      <c r="Z78" s="105">
        <f t="shared" si="428"/>
        <v>522.44945848375448</v>
      </c>
      <c r="AA78" s="96">
        <f t="shared" si="366"/>
        <v>5.4606651664780514E-2</v>
      </c>
      <c r="AB78" s="104"/>
      <c r="AC78" s="127">
        <f t="shared" ref="AC78:AL78" si="430">AC7/AC61</f>
        <v>589.03615417286039</v>
      </c>
      <c r="AD78" s="127">
        <f t="shared" si="430"/>
        <v>664.10938950861703</v>
      </c>
      <c r="AE78" s="127">
        <f t="shared" si="430"/>
        <v>748.75078228912696</v>
      </c>
      <c r="AF78" s="127">
        <f t="shared" si="430"/>
        <v>844.17980356127066</v>
      </c>
      <c r="AG78" s="127">
        <f t="shared" si="430"/>
        <v>951.77134715241289</v>
      </c>
      <c r="AH78" s="127">
        <f t="shared" si="430"/>
        <v>1073.0755384561517</v>
      </c>
      <c r="AI78" s="127">
        <f t="shared" si="430"/>
        <v>1209.8400678672299</v>
      </c>
      <c r="AJ78" s="127">
        <f t="shared" si="430"/>
        <v>1364.0353706346216</v>
      </c>
      <c r="AK78" s="127">
        <f t="shared" si="430"/>
        <v>1537.883015911583</v>
      </c>
      <c r="AL78" s="127">
        <f t="shared" si="430"/>
        <v>1733.8877140179611</v>
      </c>
      <c r="AM78" s="109">
        <f t="shared" si="413"/>
        <v>7.5737110641219241E-2</v>
      </c>
      <c r="AN78" s="21">
        <f t="shared" si="22"/>
        <v>0.01</v>
      </c>
      <c r="AO78" s="117" t="e">
        <f t="shared" si="404"/>
        <v>#DIV/0!</v>
      </c>
    </row>
    <row r="79" spans="2:41" x14ac:dyDescent="0.15">
      <c r="B79" s="10" t="s">
        <v>79</v>
      </c>
      <c r="C79" s="103"/>
      <c r="D79" s="103"/>
      <c r="E79" s="103"/>
      <c r="F79" s="115"/>
      <c r="G79" s="115">
        <f t="shared" ref="G79" si="431">G6/G61</f>
        <v>179.07142857142858</v>
      </c>
      <c r="H79" s="115">
        <f t="shared" ref="H79:I79" si="432">H6/H61</f>
        <v>0</v>
      </c>
      <c r="I79" s="115">
        <f t="shared" si="432"/>
        <v>161.74193548387098</v>
      </c>
      <c r="J79" s="115">
        <f t="shared" ref="J79:Q79" si="433">J6/J61</f>
        <v>198.38709677419354</v>
      </c>
      <c r="K79" s="115">
        <f t="shared" si="433"/>
        <v>319.42857142857144</v>
      </c>
      <c r="L79" s="115">
        <f t="shared" si="433"/>
        <v>339.57142857142856</v>
      </c>
      <c r="M79" s="115">
        <f t="shared" si="433"/>
        <v>470.17777777777781</v>
      </c>
      <c r="N79" s="115">
        <f t="shared" si="433"/>
        <v>546.02173913043475</v>
      </c>
      <c r="O79" s="115">
        <f t="shared" si="433"/>
        <v>127.0982905982906</v>
      </c>
      <c r="P79" s="115">
        <f t="shared" si="433"/>
        <v>152.59915611814347</v>
      </c>
      <c r="Q79" s="115">
        <f t="shared" si="433"/>
        <v>182.78661087866109</v>
      </c>
      <c r="R79" s="115">
        <f t="shared" ref="R79:V79" si="434">R6/R61</f>
        <v>250.608</v>
      </c>
      <c r="S79" s="115">
        <f t="shared" si="434"/>
        <v>292.84920634920633</v>
      </c>
      <c r="T79" s="115">
        <f t="shared" si="434"/>
        <v>356.56640625</v>
      </c>
      <c r="U79" s="115">
        <f t="shared" si="434"/>
        <v>421.15830115830119</v>
      </c>
      <c r="V79" s="115">
        <f t="shared" si="434"/>
        <v>562.97058823529414</v>
      </c>
      <c r="W79" s="115">
        <f t="shared" ref="W79" si="435">W6/W61</f>
        <v>320.82116788321167</v>
      </c>
      <c r="X79" s="115">
        <f t="shared" ref="X79:Z79" si="436">X6/X61</f>
        <v>379.77858439201452</v>
      </c>
      <c r="Y79" s="115">
        <f t="shared" ref="Y79" si="437">Y6/Y61</f>
        <v>445.43501805054154</v>
      </c>
      <c r="Z79" s="115">
        <f t="shared" si="436"/>
        <v>521.44223826714801</v>
      </c>
      <c r="AA79" s="96">
        <f t="shared" si="366"/>
        <v>5.7865665010077949E-2</v>
      </c>
      <c r="AB79" s="104"/>
      <c r="AC79" s="126">
        <f t="shared" ref="AC79:AL79" si="438">AC6/AC61</f>
        <v>587.9005627521766</v>
      </c>
      <c r="AD79" s="126">
        <f t="shared" si="438"/>
        <v>662.82906584804209</v>
      </c>
      <c r="AE79" s="126">
        <f t="shared" si="438"/>
        <v>747.30728012279258</v>
      </c>
      <c r="AF79" s="126">
        <f t="shared" si="438"/>
        <v>842.55232562863864</v>
      </c>
      <c r="AG79" s="126">
        <f t="shared" si="438"/>
        <v>949.93644556170022</v>
      </c>
      <c r="AH79" s="126">
        <f t="shared" si="438"/>
        <v>1071.0067768587796</v>
      </c>
      <c r="AI79" s="126">
        <f t="shared" si="438"/>
        <v>1207.5076405760749</v>
      </c>
      <c r="AJ79" s="126">
        <f t="shared" si="438"/>
        <v>1361.4056731985158</v>
      </c>
      <c r="AK79" s="126">
        <f t="shared" si="438"/>
        <v>1534.9181609591105</v>
      </c>
      <c r="AL79" s="126">
        <f t="shared" si="438"/>
        <v>1730.5449853950756</v>
      </c>
      <c r="AM79" s="109">
        <f t="shared" si="413"/>
        <v>7.7548628120527985E-2</v>
      </c>
      <c r="AN79" s="21">
        <f t="shared" si="22"/>
        <v>0.01</v>
      </c>
      <c r="AO79" s="117" t="e">
        <f t="shared" si="404"/>
        <v>#DIV/0!</v>
      </c>
    </row>
    <row r="80" spans="2:41" x14ac:dyDescent="0.15">
      <c r="B80" s="10" t="s">
        <v>80</v>
      </c>
      <c r="C80" s="103"/>
      <c r="D80" s="103"/>
      <c r="E80" s="103"/>
      <c r="F80" s="115"/>
      <c r="G80" s="115">
        <f t="shared" ref="G80" si="439">G10/G61</f>
        <v>0</v>
      </c>
      <c r="H80" s="115">
        <f t="shared" ref="H80:I80" si="440">H10/H61</f>
        <v>0</v>
      </c>
      <c r="I80" s="115">
        <f t="shared" si="440"/>
        <v>0</v>
      </c>
      <c r="J80" s="115">
        <f t="shared" ref="J80:Q80" si="441">J10/J61</f>
        <v>0</v>
      </c>
      <c r="K80" s="115">
        <f t="shared" si="441"/>
        <v>0</v>
      </c>
      <c r="L80" s="115">
        <f t="shared" si="441"/>
        <v>0</v>
      </c>
      <c r="M80" s="115">
        <f t="shared" si="441"/>
        <v>0</v>
      </c>
      <c r="N80" s="115">
        <f t="shared" si="441"/>
        <v>0</v>
      </c>
      <c r="O80" s="115">
        <f t="shared" si="441"/>
        <v>0</v>
      </c>
      <c r="P80" s="115">
        <f t="shared" si="441"/>
        <v>0</v>
      </c>
      <c r="Q80" s="115">
        <f t="shared" si="441"/>
        <v>0</v>
      </c>
      <c r="R80" s="115">
        <f t="shared" ref="R80:V80" si="442">R10/R61</f>
        <v>0</v>
      </c>
      <c r="S80" s="115">
        <f t="shared" si="442"/>
        <v>0</v>
      </c>
      <c r="T80" s="115">
        <f t="shared" si="442"/>
        <v>0</v>
      </c>
      <c r="U80" s="115">
        <f t="shared" si="442"/>
        <v>0</v>
      </c>
      <c r="V80" s="115">
        <f t="shared" si="442"/>
        <v>0</v>
      </c>
      <c r="W80" s="115">
        <f t="shared" ref="W80" si="443">W10/W61</f>
        <v>0</v>
      </c>
      <c r="X80" s="115">
        <f t="shared" ref="X80:Z80" si="444">X10/X61</f>
        <v>0</v>
      </c>
      <c r="Y80" s="115">
        <f t="shared" ref="Y80" si="445">Y10/Y61</f>
        <v>0</v>
      </c>
      <c r="Z80" s="115">
        <f t="shared" si="444"/>
        <v>0</v>
      </c>
      <c r="AA80" s="96" t="e">
        <f t="shared" si="366"/>
        <v>#DIV/0!</v>
      </c>
      <c r="AB80" s="104"/>
      <c r="AC80" s="126">
        <f t="shared" ref="AC80:AL80" si="446">AC10/AC61</f>
        <v>0</v>
      </c>
      <c r="AD80" s="126">
        <f t="shared" si="446"/>
        <v>0</v>
      </c>
      <c r="AE80" s="126">
        <f t="shared" si="446"/>
        <v>0</v>
      </c>
      <c r="AF80" s="126">
        <f t="shared" si="446"/>
        <v>0</v>
      </c>
      <c r="AG80" s="126">
        <f t="shared" si="446"/>
        <v>0</v>
      </c>
      <c r="AH80" s="126">
        <f t="shared" si="446"/>
        <v>0</v>
      </c>
      <c r="AI80" s="126">
        <f t="shared" si="446"/>
        <v>0</v>
      </c>
      <c r="AJ80" s="126">
        <f t="shared" si="446"/>
        <v>0</v>
      </c>
      <c r="AK80" s="126">
        <f t="shared" si="446"/>
        <v>0</v>
      </c>
      <c r="AL80" s="126">
        <f t="shared" si="446"/>
        <v>0</v>
      </c>
      <c r="AM80" s="109" t="e">
        <f t="shared" si="413"/>
        <v>#DIV/0!</v>
      </c>
      <c r="AN80" s="21">
        <f t="shared" si="22"/>
        <v>0.01</v>
      </c>
      <c r="AO80" s="117" t="e">
        <f t="shared" si="404"/>
        <v>#DIV/0!</v>
      </c>
    </row>
    <row r="81" spans="2:41" x14ac:dyDescent="0.15">
      <c r="B81" s="10"/>
      <c r="C81" s="103"/>
      <c r="D81" s="103"/>
      <c r="E81" s="103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96" t="e">
        <f t="shared" si="366"/>
        <v>#DIV/0!</v>
      </c>
      <c r="AB81" s="10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10"/>
      <c r="AN81" s="108"/>
      <c r="AO81" s="117"/>
    </row>
    <row r="82" spans="2:41" x14ac:dyDescent="0.15">
      <c r="B82" s="10" t="s">
        <v>97</v>
      </c>
      <c r="C82" s="103"/>
      <c r="D82" s="103"/>
      <c r="E82" s="103"/>
      <c r="F82" s="115"/>
      <c r="G82" s="115">
        <f t="shared" ref="G82" si="447">(G7-G10)/G61</f>
        <v>190.25</v>
      </c>
      <c r="H82" s="115">
        <f t="shared" ref="H82:I82" si="448">(H7-H10)/H61</f>
        <v>0</v>
      </c>
      <c r="I82" s="115">
        <f t="shared" si="448"/>
        <v>171.83870967741936</v>
      </c>
      <c r="J82" s="115">
        <f t="shared" ref="J82:Q82" si="449">(J7-J10)/J61</f>
        <v>208.70967741935485</v>
      </c>
      <c r="K82" s="115">
        <f t="shared" si="449"/>
        <v>329.57142857142856</v>
      </c>
      <c r="L82" s="115">
        <f t="shared" si="449"/>
        <v>359.38095238095241</v>
      </c>
      <c r="M82" s="115">
        <f t="shared" si="449"/>
        <v>480.4</v>
      </c>
      <c r="N82" s="115">
        <f t="shared" si="449"/>
        <v>556.195652173913</v>
      </c>
      <c r="O82" s="115">
        <f t="shared" si="449"/>
        <v>129.10256410256412</v>
      </c>
      <c r="P82" s="115">
        <f t="shared" si="449"/>
        <v>154.60759493670886</v>
      </c>
      <c r="Q82" s="115">
        <f t="shared" si="449"/>
        <v>184.79497907949792</v>
      </c>
      <c r="R82" s="115">
        <f t="shared" ref="R82:V82" si="450">(R7-R10)/R61</f>
        <v>212.61600000000001</v>
      </c>
      <c r="S82" s="115">
        <f t="shared" si="450"/>
        <v>294.85714285714283</v>
      </c>
      <c r="T82" s="115">
        <f t="shared" si="450"/>
        <v>358.56640625</v>
      </c>
      <c r="U82" s="115">
        <f t="shared" si="450"/>
        <v>423.16216216216219</v>
      </c>
      <c r="V82" s="115">
        <f t="shared" si="450"/>
        <v>564.97058823529414</v>
      </c>
      <c r="W82" s="115">
        <f t="shared" ref="W82" si="451">(W7-W10)/W61</f>
        <v>321.82116788321167</v>
      </c>
      <c r="X82" s="115">
        <f t="shared" ref="X82:Z82" si="452">(X7-X10)/X61</f>
        <v>380.78039927404717</v>
      </c>
      <c r="Y82" s="115">
        <f t="shared" ref="Y82" si="453">(Y7-Y10)/Y61</f>
        <v>446.43682310469313</v>
      </c>
      <c r="Z82" s="115">
        <f t="shared" si="452"/>
        <v>522.44945848375448</v>
      </c>
      <c r="AA82" s="96">
        <f t="shared" si="366"/>
        <v>5.4606651664780514E-2</v>
      </c>
      <c r="AB82" s="104"/>
      <c r="AC82" s="126">
        <f t="shared" ref="AC82:AL82" si="454">(AC7-AC10)/AC61</f>
        <v>589.03615417286039</v>
      </c>
      <c r="AD82" s="126">
        <f t="shared" si="454"/>
        <v>664.10938950861703</v>
      </c>
      <c r="AE82" s="126">
        <f t="shared" si="454"/>
        <v>748.75078228912696</v>
      </c>
      <c r="AF82" s="126">
        <f t="shared" si="454"/>
        <v>844.17980356127066</v>
      </c>
      <c r="AG82" s="126">
        <f t="shared" si="454"/>
        <v>951.77134715241289</v>
      </c>
      <c r="AH82" s="126">
        <f t="shared" si="454"/>
        <v>1073.0755384561517</v>
      </c>
      <c r="AI82" s="126">
        <f t="shared" si="454"/>
        <v>1209.8400678672299</v>
      </c>
      <c r="AJ82" s="126">
        <f t="shared" si="454"/>
        <v>1364.0353706346216</v>
      </c>
      <c r="AK82" s="126">
        <f t="shared" si="454"/>
        <v>1537.883015911583</v>
      </c>
      <c r="AL82" s="126">
        <f t="shared" si="454"/>
        <v>1733.8877140179611</v>
      </c>
      <c r="AM82" s="109">
        <f t="shared" si="413"/>
        <v>7.5737110641219241E-2</v>
      </c>
      <c r="AN82" s="21">
        <f t="shared" si="22"/>
        <v>0.01</v>
      </c>
      <c r="AO82" s="117" t="e">
        <f t="shared" si="404"/>
        <v>#DIV/0!</v>
      </c>
    </row>
    <row r="83" spans="2:41" x14ac:dyDescent="0.15">
      <c r="B83" s="10" t="s">
        <v>98</v>
      </c>
      <c r="C83" s="103"/>
      <c r="D83" s="103"/>
      <c r="E83" s="103"/>
      <c r="F83" s="115"/>
      <c r="G83" s="115">
        <f t="shared" ref="G83" si="455">(G7-G10-G9)/G61</f>
        <v>190.25</v>
      </c>
      <c r="H83" s="115">
        <f t="shared" ref="H83:I83" si="456">(H7-H10-H9)/H61</f>
        <v>0</v>
      </c>
      <c r="I83" s="115">
        <f t="shared" si="456"/>
        <v>171.83870967741936</v>
      </c>
      <c r="J83" s="115">
        <f t="shared" ref="J83:Q83" si="457">(J7-J10-J9)/J61</f>
        <v>208.70967741935485</v>
      </c>
      <c r="K83" s="115">
        <f t="shared" si="457"/>
        <v>329.57142857142856</v>
      </c>
      <c r="L83" s="115">
        <f t="shared" si="457"/>
        <v>359.38095238095241</v>
      </c>
      <c r="M83" s="115">
        <f t="shared" si="457"/>
        <v>480.4</v>
      </c>
      <c r="N83" s="115">
        <f t="shared" si="457"/>
        <v>556.195652173913</v>
      </c>
      <c r="O83" s="115">
        <f t="shared" si="457"/>
        <v>129.10256410256412</v>
      </c>
      <c r="P83" s="115">
        <f t="shared" si="457"/>
        <v>154.60759493670886</v>
      </c>
      <c r="Q83" s="115">
        <f t="shared" si="457"/>
        <v>184.79497907949792</v>
      </c>
      <c r="R83" s="115">
        <f t="shared" ref="R83:V83" si="458">(R7-R10-R9)/R61</f>
        <v>212.61600000000001</v>
      </c>
      <c r="S83" s="115">
        <f t="shared" si="458"/>
        <v>294.85714285714283</v>
      </c>
      <c r="T83" s="115">
        <f t="shared" si="458"/>
        <v>358.56640625</v>
      </c>
      <c r="U83" s="115">
        <f t="shared" si="458"/>
        <v>423.16216216216219</v>
      </c>
      <c r="V83" s="115">
        <f t="shared" si="458"/>
        <v>564.97058823529414</v>
      </c>
      <c r="W83" s="115">
        <f t="shared" ref="W83" si="459">(W7-W10-W9)/W61</f>
        <v>321.82116788321167</v>
      </c>
      <c r="X83" s="115">
        <f t="shared" ref="X83:Z83" si="460">(X7-X10-X9)/X61</f>
        <v>380.78039927404717</v>
      </c>
      <c r="Y83" s="115">
        <f t="shared" ref="Y83" si="461">(Y7-Y10-Y9)/Y61</f>
        <v>446.43682310469313</v>
      </c>
      <c r="Z83" s="115">
        <f t="shared" si="460"/>
        <v>522.44945848375448</v>
      </c>
      <c r="AA83" s="96">
        <f t="shared" si="366"/>
        <v>5.4606651664780514E-2</v>
      </c>
      <c r="AB83" s="104"/>
      <c r="AC83" s="126">
        <f t="shared" ref="AC83:AL83" si="462">(AC7-AC10-AC9)/AC61</f>
        <v>589.03615417286039</v>
      </c>
      <c r="AD83" s="126">
        <f t="shared" si="462"/>
        <v>664.10938950861703</v>
      </c>
      <c r="AE83" s="126">
        <f t="shared" si="462"/>
        <v>748.75078228912696</v>
      </c>
      <c r="AF83" s="126">
        <f t="shared" si="462"/>
        <v>844.17980356127066</v>
      </c>
      <c r="AG83" s="126">
        <f t="shared" si="462"/>
        <v>951.77134715241289</v>
      </c>
      <c r="AH83" s="126">
        <f t="shared" si="462"/>
        <v>1073.0755384561517</v>
      </c>
      <c r="AI83" s="126">
        <f t="shared" si="462"/>
        <v>1209.8400678672299</v>
      </c>
      <c r="AJ83" s="126">
        <f t="shared" si="462"/>
        <v>1364.0353706346216</v>
      </c>
      <c r="AK83" s="126">
        <f t="shared" si="462"/>
        <v>1537.883015911583</v>
      </c>
      <c r="AL83" s="126">
        <f t="shared" si="462"/>
        <v>1733.8877140179611</v>
      </c>
      <c r="AM83" s="109">
        <f t="shared" si="413"/>
        <v>7.5737110641219241E-2</v>
      </c>
      <c r="AN83" s="21">
        <f t="shared" si="22"/>
        <v>0.01</v>
      </c>
      <c r="AO83" s="117" t="e">
        <f t="shared" si="404"/>
        <v>#DIV/0!</v>
      </c>
    </row>
    <row r="84" spans="2:41" x14ac:dyDescent="0.15">
      <c r="B84" s="10" t="s">
        <v>103</v>
      </c>
      <c r="C84" s="103"/>
      <c r="D84" s="103"/>
      <c r="E84" s="103"/>
      <c r="F84" s="115"/>
      <c r="G84" s="115">
        <f t="shared" ref="G84" si="463">(G7+G15-G10-G9)/G61</f>
        <v>190.25</v>
      </c>
      <c r="H84" s="115">
        <f t="shared" ref="H84:I84" si="464">(H7+H15-H10-H9)/H61</f>
        <v>0</v>
      </c>
      <c r="I84" s="115">
        <f t="shared" si="464"/>
        <v>171.83870967741936</v>
      </c>
      <c r="J84" s="115">
        <f t="shared" ref="J84:Q84" si="465">(J7+J15-J10-J9)/J61</f>
        <v>208.70967741935485</v>
      </c>
      <c r="K84" s="115">
        <f t="shared" si="465"/>
        <v>329.57142857142856</v>
      </c>
      <c r="L84" s="115">
        <f t="shared" si="465"/>
        <v>359.38095238095241</v>
      </c>
      <c r="M84" s="115">
        <f t="shared" si="465"/>
        <v>480.4</v>
      </c>
      <c r="N84" s="115">
        <f t="shared" si="465"/>
        <v>556.195652173913</v>
      </c>
      <c r="O84" s="115">
        <f t="shared" si="465"/>
        <v>129.10256410256412</v>
      </c>
      <c r="P84" s="115">
        <f t="shared" si="465"/>
        <v>154.60759493670886</v>
      </c>
      <c r="Q84" s="115">
        <f t="shared" si="465"/>
        <v>184.79497907949792</v>
      </c>
      <c r="R84" s="115">
        <f t="shared" ref="R84:V84" si="466">(R7+R15-R10-R9)/R61</f>
        <v>212.61600000000001</v>
      </c>
      <c r="S84" s="115">
        <f t="shared" si="466"/>
        <v>294.85714285714283</v>
      </c>
      <c r="T84" s="115">
        <f t="shared" si="466"/>
        <v>358.56640625</v>
      </c>
      <c r="U84" s="115">
        <f t="shared" si="466"/>
        <v>423.16216216216219</v>
      </c>
      <c r="V84" s="115">
        <f t="shared" si="466"/>
        <v>564.97058823529414</v>
      </c>
      <c r="W84" s="115">
        <f t="shared" ref="W84" si="467">(W7+W15-W10-W9)/W61</f>
        <v>321.82116788321167</v>
      </c>
      <c r="X84" s="115">
        <f t="shared" ref="X84:Z84" si="468">(X7+X15-X10-X9)/X61</f>
        <v>380.78039927404717</v>
      </c>
      <c r="Y84" s="115">
        <f t="shared" ref="Y84" si="469">(Y7+Y15-Y10-Y9)/Y61</f>
        <v>446.43682310469313</v>
      </c>
      <c r="Z84" s="115">
        <f t="shared" si="468"/>
        <v>522.44945848375448</v>
      </c>
      <c r="AA84" s="96">
        <f t="shared" si="366"/>
        <v>5.4606651664780514E-2</v>
      </c>
      <c r="AB84" s="104"/>
      <c r="AC84" s="126">
        <f t="shared" ref="AC84:AL84" si="470">(AC7+AC15-AC10-AC9)/AC61</f>
        <v>589.03615417286039</v>
      </c>
      <c r="AD84" s="126">
        <f t="shared" si="470"/>
        <v>664.10938950861703</v>
      </c>
      <c r="AE84" s="126">
        <f t="shared" si="470"/>
        <v>748.75078228912696</v>
      </c>
      <c r="AF84" s="126">
        <f t="shared" si="470"/>
        <v>844.17980356127066</v>
      </c>
      <c r="AG84" s="126">
        <f t="shared" si="470"/>
        <v>951.77134715241289</v>
      </c>
      <c r="AH84" s="126">
        <f t="shared" si="470"/>
        <v>1073.0755384561517</v>
      </c>
      <c r="AI84" s="126">
        <f t="shared" si="470"/>
        <v>1209.8400678672299</v>
      </c>
      <c r="AJ84" s="126">
        <f t="shared" si="470"/>
        <v>1364.0353706346216</v>
      </c>
      <c r="AK84" s="126">
        <f t="shared" si="470"/>
        <v>1537.883015911583</v>
      </c>
      <c r="AL84" s="126">
        <f t="shared" si="470"/>
        <v>1733.8877140179611</v>
      </c>
      <c r="AM84" s="109">
        <f t="shared" si="413"/>
        <v>7.5737110641219241E-2</v>
      </c>
      <c r="AN84" s="21">
        <f t="shared" si="22"/>
        <v>0.01</v>
      </c>
      <c r="AO84" s="117" t="e">
        <f t="shared" si="404"/>
        <v>#DIV/0!</v>
      </c>
    </row>
    <row r="85" spans="2:41" x14ac:dyDescent="0.15">
      <c r="B85" s="10"/>
      <c r="C85" s="103"/>
      <c r="D85" s="103"/>
      <c r="E85" s="103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96" t="e">
        <f t="shared" si="366"/>
        <v>#DIV/0!</v>
      </c>
      <c r="AB85" s="10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10"/>
      <c r="AN85" s="108"/>
      <c r="AO85" s="117"/>
    </row>
    <row r="86" spans="2:41" x14ac:dyDescent="0.15">
      <c r="B86" s="10" t="s">
        <v>81</v>
      </c>
      <c r="C86" s="103"/>
      <c r="D86" s="103"/>
      <c r="E86" s="103"/>
      <c r="F86" s="115"/>
      <c r="G86" s="115">
        <f t="shared" ref="G86" si="471">G12/G61</f>
        <v>0</v>
      </c>
      <c r="H86" s="115">
        <f t="shared" ref="H86:I86" si="472">H12/H61</f>
        <v>0</v>
      </c>
      <c r="I86" s="115">
        <f t="shared" si="472"/>
        <v>0</v>
      </c>
      <c r="J86" s="115">
        <f t="shared" ref="J86:Q86" si="473">J12/J61</f>
        <v>0</v>
      </c>
      <c r="K86" s="115">
        <f t="shared" si="473"/>
        <v>0</v>
      </c>
      <c r="L86" s="115">
        <f t="shared" si="473"/>
        <v>0</v>
      </c>
      <c r="M86" s="115">
        <f t="shared" si="473"/>
        <v>0</v>
      </c>
      <c r="N86" s="115">
        <f t="shared" si="473"/>
        <v>0</v>
      </c>
      <c r="O86" s="115">
        <f t="shared" si="473"/>
        <v>0</v>
      </c>
      <c r="P86" s="115">
        <f t="shared" si="473"/>
        <v>0</v>
      </c>
      <c r="Q86" s="115">
        <f t="shared" si="473"/>
        <v>0</v>
      </c>
      <c r="R86" s="115">
        <f t="shared" ref="R86:V86" si="474">R12/R61</f>
        <v>0</v>
      </c>
      <c r="S86" s="115">
        <f t="shared" si="474"/>
        <v>0</v>
      </c>
      <c r="T86" s="115">
        <f t="shared" si="474"/>
        <v>0</v>
      </c>
      <c r="U86" s="115">
        <f t="shared" si="474"/>
        <v>0</v>
      </c>
      <c r="V86" s="115">
        <f t="shared" si="474"/>
        <v>0</v>
      </c>
      <c r="W86" s="115">
        <f t="shared" ref="W86" si="475">W12/W61</f>
        <v>0</v>
      </c>
      <c r="X86" s="115">
        <f t="shared" ref="X86:Z86" si="476">X12/X61</f>
        <v>0</v>
      </c>
      <c r="Y86" s="115">
        <f t="shared" ref="Y86" si="477">Y12/Y61</f>
        <v>0</v>
      </c>
      <c r="Z86" s="115">
        <f t="shared" si="476"/>
        <v>0</v>
      </c>
      <c r="AA86" s="96" t="e">
        <f t="shared" si="366"/>
        <v>#DIV/0!</v>
      </c>
      <c r="AB86" s="104"/>
      <c r="AC86" s="126">
        <f t="shared" ref="AC86:AL86" si="478">AC12/AC61</f>
        <v>0</v>
      </c>
      <c r="AD86" s="126">
        <f t="shared" si="478"/>
        <v>0</v>
      </c>
      <c r="AE86" s="126">
        <f t="shared" si="478"/>
        <v>0</v>
      </c>
      <c r="AF86" s="126">
        <f t="shared" si="478"/>
        <v>0</v>
      </c>
      <c r="AG86" s="126">
        <f t="shared" si="478"/>
        <v>0</v>
      </c>
      <c r="AH86" s="126">
        <f t="shared" si="478"/>
        <v>0</v>
      </c>
      <c r="AI86" s="126">
        <f t="shared" si="478"/>
        <v>0</v>
      </c>
      <c r="AJ86" s="126">
        <f t="shared" si="478"/>
        <v>0</v>
      </c>
      <c r="AK86" s="126">
        <f t="shared" si="478"/>
        <v>0</v>
      </c>
      <c r="AL86" s="126">
        <f t="shared" si="478"/>
        <v>0</v>
      </c>
      <c r="AM86" s="109" t="e">
        <f t="shared" si="413"/>
        <v>#DIV/0!</v>
      </c>
      <c r="AN86" s="21">
        <f t="shared" si="22"/>
        <v>0.01</v>
      </c>
      <c r="AO86" s="117" t="e">
        <f t="shared" si="404"/>
        <v>#DIV/0!</v>
      </c>
    </row>
    <row r="87" spans="2:41" x14ac:dyDescent="0.15">
      <c r="B87" s="10" t="s">
        <v>88</v>
      </c>
      <c r="C87" s="103"/>
      <c r="D87" s="103"/>
      <c r="E87" s="103"/>
      <c r="F87" s="115"/>
      <c r="G87" s="115">
        <f t="shared" ref="G87" si="479">G13/G61</f>
        <v>0</v>
      </c>
      <c r="H87" s="115">
        <f t="shared" ref="H87:I87" si="480">H13/H61</f>
        <v>0</v>
      </c>
      <c r="I87" s="115">
        <f t="shared" si="480"/>
        <v>0</v>
      </c>
      <c r="J87" s="115">
        <f t="shared" ref="J87:Q87" si="481">J13/J61</f>
        <v>0</v>
      </c>
      <c r="K87" s="115">
        <f t="shared" si="481"/>
        <v>0</v>
      </c>
      <c r="L87" s="115">
        <f t="shared" si="481"/>
        <v>0</v>
      </c>
      <c r="M87" s="115">
        <f t="shared" si="481"/>
        <v>0</v>
      </c>
      <c r="N87" s="115">
        <f t="shared" si="481"/>
        <v>0</v>
      </c>
      <c r="O87" s="115">
        <f t="shared" si="481"/>
        <v>0</v>
      </c>
      <c r="P87" s="115">
        <f t="shared" si="481"/>
        <v>0</v>
      </c>
      <c r="Q87" s="115">
        <f t="shared" si="481"/>
        <v>0</v>
      </c>
      <c r="R87" s="115">
        <f t="shared" ref="R87:V87" si="482">R13/R61</f>
        <v>0</v>
      </c>
      <c r="S87" s="115">
        <f t="shared" si="482"/>
        <v>0</v>
      </c>
      <c r="T87" s="115">
        <f t="shared" si="482"/>
        <v>0</v>
      </c>
      <c r="U87" s="115">
        <f t="shared" si="482"/>
        <v>0</v>
      </c>
      <c r="V87" s="115">
        <f t="shared" si="482"/>
        <v>0</v>
      </c>
      <c r="W87" s="115">
        <f t="shared" ref="W87" si="483">W13/W61</f>
        <v>0</v>
      </c>
      <c r="X87" s="115">
        <f t="shared" ref="X87:Z87" si="484">X13/X61</f>
        <v>0</v>
      </c>
      <c r="Y87" s="115">
        <f t="shared" ref="Y87" si="485">Y13/Y61</f>
        <v>0</v>
      </c>
      <c r="Z87" s="115">
        <f t="shared" si="484"/>
        <v>0</v>
      </c>
      <c r="AA87" s="96" t="e">
        <f t="shared" si="366"/>
        <v>#DIV/0!</v>
      </c>
      <c r="AB87" s="104"/>
      <c r="AC87" s="126">
        <f t="shared" ref="AC87:AL87" si="486">AC13/AC61</f>
        <v>0</v>
      </c>
      <c r="AD87" s="126">
        <f t="shared" si="486"/>
        <v>0</v>
      </c>
      <c r="AE87" s="126">
        <f t="shared" si="486"/>
        <v>0</v>
      </c>
      <c r="AF87" s="126">
        <f t="shared" si="486"/>
        <v>0</v>
      </c>
      <c r="AG87" s="126">
        <f t="shared" si="486"/>
        <v>0</v>
      </c>
      <c r="AH87" s="126">
        <f t="shared" si="486"/>
        <v>0</v>
      </c>
      <c r="AI87" s="126">
        <f t="shared" si="486"/>
        <v>0</v>
      </c>
      <c r="AJ87" s="126">
        <f t="shared" si="486"/>
        <v>0</v>
      </c>
      <c r="AK87" s="126">
        <f t="shared" si="486"/>
        <v>0</v>
      </c>
      <c r="AL87" s="126">
        <f t="shared" si="486"/>
        <v>0</v>
      </c>
      <c r="AM87" s="109" t="e">
        <f t="shared" si="413"/>
        <v>#DIV/0!</v>
      </c>
      <c r="AN87" s="21">
        <f t="shared" si="22"/>
        <v>0.01</v>
      </c>
      <c r="AO87" s="117" t="e">
        <f t="shared" si="404"/>
        <v>#DIV/0!</v>
      </c>
    </row>
    <row r="88" spans="2:41" x14ac:dyDescent="0.15">
      <c r="B88" s="10" t="s">
        <v>89</v>
      </c>
      <c r="C88" s="103"/>
      <c r="D88" s="103"/>
      <c r="E88" s="103"/>
      <c r="F88" s="115"/>
      <c r="G88" s="115">
        <f t="shared" ref="G88" si="487">(G86+G87)</f>
        <v>0</v>
      </c>
      <c r="H88" s="115">
        <f t="shared" ref="H88:I88" si="488">(H86+H87)</f>
        <v>0</v>
      </c>
      <c r="I88" s="115">
        <f t="shared" si="488"/>
        <v>0</v>
      </c>
      <c r="J88" s="115">
        <f t="shared" ref="J88:Q88" si="489">(J86+J87)</f>
        <v>0</v>
      </c>
      <c r="K88" s="115">
        <f t="shared" si="489"/>
        <v>0</v>
      </c>
      <c r="L88" s="115">
        <f t="shared" si="489"/>
        <v>0</v>
      </c>
      <c r="M88" s="115">
        <f t="shared" si="489"/>
        <v>0</v>
      </c>
      <c r="N88" s="115">
        <f t="shared" si="489"/>
        <v>0</v>
      </c>
      <c r="O88" s="115">
        <f t="shared" si="489"/>
        <v>0</v>
      </c>
      <c r="P88" s="115">
        <f t="shared" si="489"/>
        <v>0</v>
      </c>
      <c r="Q88" s="115">
        <f t="shared" si="489"/>
        <v>0</v>
      </c>
      <c r="R88" s="115">
        <f t="shared" ref="R88:V88" si="490">(R86+R87)</f>
        <v>0</v>
      </c>
      <c r="S88" s="115">
        <f t="shared" si="490"/>
        <v>0</v>
      </c>
      <c r="T88" s="115">
        <f t="shared" si="490"/>
        <v>0</v>
      </c>
      <c r="U88" s="115">
        <f t="shared" si="490"/>
        <v>0</v>
      </c>
      <c r="V88" s="115">
        <f t="shared" si="490"/>
        <v>0</v>
      </c>
      <c r="W88" s="115">
        <f t="shared" ref="W88" si="491">(W86+W87)</f>
        <v>0</v>
      </c>
      <c r="X88" s="115">
        <f t="shared" ref="X88:Z88" si="492">(X86+X87)</f>
        <v>0</v>
      </c>
      <c r="Y88" s="115">
        <f t="shared" ref="Y88" si="493">(Y86+Y87)</f>
        <v>0</v>
      </c>
      <c r="Z88" s="115">
        <f t="shared" si="492"/>
        <v>0</v>
      </c>
      <c r="AA88" s="96" t="e">
        <f t="shared" si="366"/>
        <v>#DIV/0!</v>
      </c>
      <c r="AB88" s="104"/>
      <c r="AC88" s="126">
        <f t="shared" ref="AC88:AL88" si="494">(AC86+AC87)</f>
        <v>0</v>
      </c>
      <c r="AD88" s="126">
        <f t="shared" si="494"/>
        <v>0</v>
      </c>
      <c r="AE88" s="126">
        <f t="shared" si="494"/>
        <v>0</v>
      </c>
      <c r="AF88" s="126">
        <f t="shared" si="494"/>
        <v>0</v>
      </c>
      <c r="AG88" s="126">
        <f t="shared" si="494"/>
        <v>0</v>
      </c>
      <c r="AH88" s="126">
        <f t="shared" si="494"/>
        <v>0</v>
      </c>
      <c r="AI88" s="126">
        <f t="shared" si="494"/>
        <v>0</v>
      </c>
      <c r="AJ88" s="126">
        <f t="shared" si="494"/>
        <v>0</v>
      </c>
      <c r="AK88" s="126">
        <f t="shared" si="494"/>
        <v>0</v>
      </c>
      <c r="AL88" s="126">
        <f t="shared" si="494"/>
        <v>0</v>
      </c>
      <c r="AM88" s="109" t="e">
        <f t="shared" si="413"/>
        <v>#DIV/0!</v>
      </c>
      <c r="AN88" s="21">
        <f t="shared" si="22"/>
        <v>0.01</v>
      </c>
      <c r="AO88" s="117" t="e">
        <f t="shared" si="404"/>
        <v>#DIV/0!</v>
      </c>
    </row>
    <row r="89" spans="2:41" x14ac:dyDescent="0.15">
      <c r="B89" s="10" t="s">
        <v>82</v>
      </c>
      <c r="C89" s="103"/>
      <c r="D89" s="103"/>
      <c r="E89" s="103"/>
      <c r="F89" s="115"/>
      <c r="G89" s="115">
        <f t="shared" ref="G89" si="495">G15/G61</f>
        <v>0</v>
      </c>
      <c r="H89" s="115">
        <f t="shared" ref="H89:I89" si="496">H15/H61</f>
        <v>0</v>
      </c>
      <c r="I89" s="115">
        <f t="shared" si="496"/>
        <v>0</v>
      </c>
      <c r="J89" s="115">
        <f t="shared" ref="J89:Q89" si="497">J15/J61</f>
        <v>0</v>
      </c>
      <c r="K89" s="115">
        <f t="shared" si="497"/>
        <v>0</v>
      </c>
      <c r="L89" s="115">
        <f t="shared" si="497"/>
        <v>0</v>
      </c>
      <c r="M89" s="115">
        <f t="shared" si="497"/>
        <v>0</v>
      </c>
      <c r="N89" s="115">
        <f t="shared" si="497"/>
        <v>0</v>
      </c>
      <c r="O89" s="115">
        <f t="shared" si="497"/>
        <v>0</v>
      </c>
      <c r="P89" s="115">
        <f t="shared" si="497"/>
        <v>0</v>
      </c>
      <c r="Q89" s="115">
        <f t="shared" si="497"/>
        <v>0</v>
      </c>
      <c r="R89" s="115">
        <f t="shared" ref="R89:V89" si="498">R15/R61</f>
        <v>0</v>
      </c>
      <c r="S89" s="115">
        <f t="shared" si="498"/>
        <v>0</v>
      </c>
      <c r="T89" s="115">
        <f t="shared" si="498"/>
        <v>0</v>
      </c>
      <c r="U89" s="115">
        <f t="shared" si="498"/>
        <v>0</v>
      </c>
      <c r="V89" s="115">
        <f t="shared" si="498"/>
        <v>0</v>
      </c>
      <c r="W89" s="115">
        <f t="shared" ref="W89" si="499">W15/W61</f>
        <v>0</v>
      </c>
      <c r="X89" s="115">
        <f t="shared" ref="X89:Z89" si="500">X15/X61</f>
        <v>0</v>
      </c>
      <c r="Y89" s="115">
        <f t="shared" ref="Y89" si="501">Y15/Y61</f>
        <v>0</v>
      </c>
      <c r="Z89" s="115">
        <f t="shared" si="500"/>
        <v>0</v>
      </c>
      <c r="AA89" s="96" t="e">
        <f t="shared" si="366"/>
        <v>#DIV/0!</v>
      </c>
      <c r="AB89" s="104"/>
      <c r="AC89" s="126">
        <f t="shared" ref="AC89:AL89" si="502">AC15/AC61</f>
        <v>0</v>
      </c>
      <c r="AD89" s="126">
        <f t="shared" si="502"/>
        <v>0</v>
      </c>
      <c r="AE89" s="126">
        <f t="shared" si="502"/>
        <v>0</v>
      </c>
      <c r="AF89" s="126">
        <f t="shared" si="502"/>
        <v>0</v>
      </c>
      <c r="AG89" s="126">
        <f t="shared" si="502"/>
        <v>0</v>
      </c>
      <c r="AH89" s="126">
        <f t="shared" si="502"/>
        <v>0</v>
      </c>
      <c r="AI89" s="126">
        <f t="shared" si="502"/>
        <v>0</v>
      </c>
      <c r="AJ89" s="126">
        <f t="shared" si="502"/>
        <v>0</v>
      </c>
      <c r="AK89" s="126">
        <f t="shared" si="502"/>
        <v>0</v>
      </c>
      <c r="AL89" s="126">
        <f t="shared" si="502"/>
        <v>0</v>
      </c>
      <c r="AM89" s="109" t="e">
        <f t="shared" si="413"/>
        <v>#DIV/0!</v>
      </c>
      <c r="AN89" s="21">
        <f t="shared" si="22"/>
        <v>0.01</v>
      </c>
      <c r="AO89" s="117" t="e">
        <f t="shared" si="404"/>
        <v>#DIV/0!</v>
      </c>
    </row>
    <row r="90" spans="2:41" x14ac:dyDescent="0.15">
      <c r="B90" s="10" t="s">
        <v>83</v>
      </c>
      <c r="C90" s="103"/>
      <c r="D90" s="103"/>
      <c r="E90" s="103"/>
      <c r="F90" s="115"/>
      <c r="G90" s="115">
        <f t="shared" ref="G90" si="503">G16/G61</f>
        <v>0</v>
      </c>
      <c r="H90" s="115">
        <f t="shared" ref="H90:I90" si="504">H16/H61</f>
        <v>0</v>
      </c>
      <c r="I90" s="115">
        <f t="shared" si="504"/>
        <v>0</v>
      </c>
      <c r="J90" s="115">
        <f t="shared" ref="J90:Q90" si="505">J16/J61</f>
        <v>0</v>
      </c>
      <c r="K90" s="115">
        <f t="shared" si="505"/>
        <v>0</v>
      </c>
      <c r="L90" s="115">
        <f t="shared" si="505"/>
        <v>0</v>
      </c>
      <c r="M90" s="115">
        <f t="shared" si="505"/>
        <v>0</v>
      </c>
      <c r="N90" s="115">
        <f t="shared" si="505"/>
        <v>0</v>
      </c>
      <c r="O90" s="115">
        <f t="shared" si="505"/>
        <v>0</v>
      </c>
      <c r="P90" s="115">
        <f t="shared" si="505"/>
        <v>0</v>
      </c>
      <c r="Q90" s="115">
        <f t="shared" si="505"/>
        <v>0</v>
      </c>
      <c r="R90" s="115">
        <f t="shared" ref="R90:V90" si="506">R16/R61</f>
        <v>0</v>
      </c>
      <c r="S90" s="115">
        <f t="shared" si="506"/>
        <v>0</v>
      </c>
      <c r="T90" s="115">
        <f t="shared" si="506"/>
        <v>0</v>
      </c>
      <c r="U90" s="115">
        <f t="shared" si="506"/>
        <v>0</v>
      </c>
      <c r="V90" s="115">
        <f t="shared" si="506"/>
        <v>0</v>
      </c>
      <c r="W90" s="115">
        <f t="shared" ref="W90" si="507">W16/W61</f>
        <v>0</v>
      </c>
      <c r="X90" s="115">
        <f t="shared" ref="X90:Z90" si="508">X16/X61</f>
        <v>0</v>
      </c>
      <c r="Y90" s="115">
        <f t="shared" ref="Y90" si="509">Y16/Y61</f>
        <v>0</v>
      </c>
      <c r="Z90" s="115">
        <f t="shared" si="508"/>
        <v>0</v>
      </c>
      <c r="AA90" s="96" t="e">
        <f t="shared" si="366"/>
        <v>#DIV/0!</v>
      </c>
      <c r="AB90" s="104"/>
      <c r="AC90" s="126">
        <f t="shared" ref="AC90:AL90" si="510">AC16/AC61</f>
        <v>0</v>
      </c>
      <c r="AD90" s="126">
        <f t="shared" si="510"/>
        <v>0</v>
      </c>
      <c r="AE90" s="126">
        <f t="shared" si="510"/>
        <v>0</v>
      </c>
      <c r="AF90" s="126">
        <f t="shared" si="510"/>
        <v>0</v>
      </c>
      <c r="AG90" s="126">
        <f t="shared" si="510"/>
        <v>0</v>
      </c>
      <c r="AH90" s="126">
        <f t="shared" si="510"/>
        <v>0</v>
      </c>
      <c r="AI90" s="126">
        <f t="shared" si="510"/>
        <v>0</v>
      </c>
      <c r="AJ90" s="126">
        <f t="shared" si="510"/>
        <v>0</v>
      </c>
      <c r="AK90" s="126">
        <f t="shared" si="510"/>
        <v>0</v>
      </c>
      <c r="AL90" s="126">
        <f t="shared" si="510"/>
        <v>0</v>
      </c>
      <c r="AM90" s="109" t="e">
        <f t="shared" si="413"/>
        <v>#DIV/0!</v>
      </c>
      <c r="AN90" s="21">
        <f t="shared" si="22"/>
        <v>0.01</v>
      </c>
      <c r="AO90" s="117" t="e">
        <f t="shared" si="404"/>
        <v>#DIV/0!</v>
      </c>
    </row>
    <row r="91" spans="2:41" x14ac:dyDescent="0.15">
      <c r="B91" s="10"/>
      <c r="C91" s="103"/>
      <c r="D91" s="103"/>
      <c r="E91" s="103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96" t="e">
        <f t="shared" si="366"/>
        <v>#DIV/0!</v>
      </c>
      <c r="AB91" s="10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10"/>
      <c r="AN91" s="110"/>
      <c r="AO91" s="110"/>
    </row>
    <row r="92" spans="2:41" x14ac:dyDescent="0.15">
      <c r="B92" s="10" t="s">
        <v>108</v>
      </c>
      <c r="C92" s="128"/>
      <c r="D92" s="128"/>
      <c r="E92" s="128"/>
      <c r="F92" s="128"/>
      <c r="G92" s="128">
        <f t="shared" ref="G92" si="511">G63</f>
        <v>0.45</v>
      </c>
      <c r="H92" s="128">
        <f t="shared" ref="H92:I92" si="512">H63</f>
        <v>0.45</v>
      </c>
      <c r="I92" s="128">
        <f t="shared" si="512"/>
        <v>0</v>
      </c>
      <c r="J92" s="128">
        <f t="shared" ref="J92:Q92" si="513">J63</f>
        <v>0.7</v>
      </c>
      <c r="K92" s="128">
        <f t="shared" si="513"/>
        <v>0.85</v>
      </c>
      <c r="L92" s="128">
        <f t="shared" si="513"/>
        <v>1</v>
      </c>
      <c r="M92" s="128">
        <f t="shared" si="513"/>
        <v>1.2</v>
      </c>
      <c r="N92" s="128">
        <f t="shared" si="513"/>
        <v>1.65</v>
      </c>
      <c r="O92" s="128">
        <f t="shared" si="513"/>
        <v>2.15</v>
      </c>
      <c r="P92" s="128">
        <f t="shared" si="513"/>
        <v>2.75</v>
      </c>
      <c r="Q92" s="128">
        <f t="shared" si="513"/>
        <v>3.42</v>
      </c>
      <c r="R92" s="128">
        <f t="shared" ref="R92:V92" si="514">R63</f>
        <v>4</v>
      </c>
      <c r="S92" s="128">
        <f t="shared" si="514"/>
        <v>4.75</v>
      </c>
      <c r="T92" s="128">
        <f t="shared" si="514"/>
        <v>5.5</v>
      </c>
      <c r="U92" s="128">
        <f t="shared" si="514"/>
        <v>6.5</v>
      </c>
      <c r="V92" s="128">
        <f t="shared" si="514"/>
        <v>7.5</v>
      </c>
      <c r="W92" s="128">
        <f t="shared" ref="W92" si="515">W63</f>
        <v>2.5</v>
      </c>
      <c r="X92" s="128">
        <f t="shared" ref="X92:Z92" si="516">X63</f>
        <v>6.5</v>
      </c>
      <c r="Y92" s="128">
        <f t="shared" ref="Y92" si="517">Y63</f>
        <v>15.5</v>
      </c>
      <c r="Z92" s="128">
        <f t="shared" si="516"/>
        <v>19</v>
      </c>
      <c r="AA92" s="96">
        <f t="shared" si="366"/>
        <v>0.2177406230405412</v>
      </c>
      <c r="AB92" s="104"/>
      <c r="AC92" s="128">
        <f t="shared" ref="AC92:AL92" si="518">AC63</f>
        <v>19.38</v>
      </c>
      <c r="AD92" s="128">
        <f t="shared" si="518"/>
        <v>19.767599999999998</v>
      </c>
      <c r="AE92" s="128">
        <f t="shared" si="518"/>
        <v>20.162951999999997</v>
      </c>
      <c r="AF92" s="128">
        <f t="shared" si="518"/>
        <v>20.566211039999999</v>
      </c>
      <c r="AG92" s="128">
        <f t="shared" si="518"/>
        <v>20.9775352608</v>
      </c>
      <c r="AH92" s="128">
        <f t="shared" si="518"/>
        <v>21.397085966016</v>
      </c>
      <c r="AI92" s="128">
        <f t="shared" si="518"/>
        <v>21.82502768533632</v>
      </c>
      <c r="AJ92" s="128">
        <f t="shared" si="518"/>
        <v>22.261528239043045</v>
      </c>
      <c r="AK92" s="128">
        <f t="shared" si="518"/>
        <v>22.706758803823906</v>
      </c>
      <c r="AL92" s="128">
        <f t="shared" si="518"/>
        <v>23.160893979900383</v>
      </c>
      <c r="AM92" s="109">
        <f t="shared" ref="AM92" si="519">((AL92/J92)^(1/($AL$3-$K$1) ))-1</f>
        <v>0.12824125275222653</v>
      </c>
      <c r="AN92" s="21">
        <f t="shared" si="22"/>
        <v>0.01</v>
      </c>
      <c r="AO92" s="117" t="e">
        <f t="shared" si="404"/>
        <v>#DIV/0!</v>
      </c>
    </row>
    <row r="93" spans="2:41" x14ac:dyDescent="0.15">
      <c r="B93" s="10"/>
      <c r="C93" s="103"/>
      <c r="D93" s="103"/>
      <c r="E93" s="103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96" t="e">
        <f t="shared" si="366"/>
        <v>#DIV/0!</v>
      </c>
      <c r="AB93" s="10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10"/>
      <c r="AN93" s="108"/>
      <c r="AO93" s="110"/>
    </row>
    <row r="94" spans="2:41" x14ac:dyDescent="0.15">
      <c r="B94" s="10" t="s">
        <v>138</v>
      </c>
      <c r="C94" s="103"/>
      <c r="D94" s="103"/>
      <c r="E94" s="103"/>
      <c r="F94" s="115"/>
      <c r="G94" s="115">
        <f t="shared" ref="G94" si="520">G20+G21</f>
        <v>0</v>
      </c>
      <c r="H94" s="115">
        <f t="shared" ref="H94:I94" si="521">H20+H21</f>
        <v>0</v>
      </c>
      <c r="I94" s="115">
        <f t="shared" si="521"/>
        <v>0</v>
      </c>
      <c r="J94" s="115">
        <f t="shared" ref="J94:Q94" si="522">J20+J21</f>
        <v>0</v>
      </c>
      <c r="K94" s="115">
        <f t="shared" si="522"/>
        <v>0</v>
      </c>
      <c r="L94" s="115">
        <f t="shared" si="522"/>
        <v>0</v>
      </c>
      <c r="M94" s="115">
        <f t="shared" si="522"/>
        <v>0</v>
      </c>
      <c r="N94" s="115">
        <f t="shared" si="522"/>
        <v>0</v>
      </c>
      <c r="O94" s="115">
        <f t="shared" si="522"/>
        <v>0</v>
      </c>
      <c r="P94" s="115">
        <f t="shared" si="522"/>
        <v>0</v>
      </c>
      <c r="Q94" s="115">
        <f t="shared" si="522"/>
        <v>0</v>
      </c>
      <c r="R94" s="115">
        <f t="shared" ref="R94:V94" si="523">R20+R21</f>
        <v>0</v>
      </c>
      <c r="S94" s="115">
        <f t="shared" si="523"/>
        <v>0</v>
      </c>
      <c r="T94" s="115">
        <f t="shared" si="523"/>
        <v>0</v>
      </c>
      <c r="U94" s="115">
        <f t="shared" si="523"/>
        <v>0</v>
      </c>
      <c r="V94" s="115">
        <f t="shared" si="523"/>
        <v>0</v>
      </c>
      <c r="W94" s="115">
        <f t="shared" ref="W94" si="524">W20+W21</f>
        <v>0</v>
      </c>
      <c r="X94" s="115">
        <f t="shared" ref="X94:Z94" si="525">X20+X21</f>
        <v>0</v>
      </c>
      <c r="Y94" s="115">
        <f t="shared" ref="Y94" si="526">Y20+Y21</f>
        <v>0</v>
      </c>
      <c r="Z94" s="115">
        <f t="shared" si="525"/>
        <v>0</v>
      </c>
      <c r="AA94" s="96" t="e">
        <f t="shared" si="366"/>
        <v>#DIV/0!</v>
      </c>
      <c r="AB94" s="104"/>
      <c r="AC94" s="115">
        <f t="shared" ref="AC94:AL94" si="527">AC20+AC21</f>
        <v>0</v>
      </c>
      <c r="AD94" s="115">
        <f t="shared" si="527"/>
        <v>0</v>
      </c>
      <c r="AE94" s="115">
        <f t="shared" si="527"/>
        <v>0</v>
      </c>
      <c r="AF94" s="115">
        <f t="shared" si="527"/>
        <v>0</v>
      </c>
      <c r="AG94" s="115">
        <f t="shared" si="527"/>
        <v>0</v>
      </c>
      <c r="AH94" s="115">
        <f t="shared" si="527"/>
        <v>0</v>
      </c>
      <c r="AI94" s="115">
        <f t="shared" si="527"/>
        <v>0</v>
      </c>
      <c r="AJ94" s="115">
        <f t="shared" si="527"/>
        <v>0</v>
      </c>
      <c r="AK94" s="115">
        <f t="shared" si="527"/>
        <v>0</v>
      </c>
      <c r="AL94" s="115">
        <f t="shared" si="527"/>
        <v>0</v>
      </c>
      <c r="AM94" s="109" t="e">
        <f t="shared" ref="AM94:AM99" si="528">((AL94/J94)^(1/($AL$3-$K$1) ))-1</f>
        <v>#DIV/0!</v>
      </c>
      <c r="AN94" s="21">
        <f t="shared" si="22"/>
        <v>0.01</v>
      </c>
      <c r="AO94" s="117" t="e">
        <f t="shared" si="404"/>
        <v>#DIV/0!</v>
      </c>
    </row>
    <row r="95" spans="2:41" x14ac:dyDescent="0.15">
      <c r="B95" s="10"/>
      <c r="C95" s="103"/>
      <c r="D95" s="103"/>
      <c r="E95" s="103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96" t="e">
        <f t="shared" si="366"/>
        <v>#DIV/0!</v>
      </c>
      <c r="AB95" s="10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0"/>
      <c r="AN95" s="108"/>
      <c r="AO95" s="110"/>
    </row>
    <row r="96" spans="2:41" x14ac:dyDescent="0.15">
      <c r="B96" s="10" t="s">
        <v>139</v>
      </c>
      <c r="C96" s="103"/>
      <c r="D96" s="103"/>
      <c r="E96" s="103"/>
      <c r="F96" s="115"/>
      <c r="G96" s="115">
        <f t="shared" ref="G96" si="529">G94/G61</f>
        <v>0</v>
      </c>
      <c r="H96" s="115">
        <f t="shared" ref="H96:I96" si="530">H94/H61</f>
        <v>0</v>
      </c>
      <c r="I96" s="115">
        <f t="shared" si="530"/>
        <v>0</v>
      </c>
      <c r="J96" s="115">
        <f t="shared" ref="J96:Q96" si="531">J94/J61</f>
        <v>0</v>
      </c>
      <c r="K96" s="115">
        <f t="shared" si="531"/>
        <v>0</v>
      </c>
      <c r="L96" s="115">
        <f t="shared" si="531"/>
        <v>0</v>
      </c>
      <c r="M96" s="115">
        <f t="shared" si="531"/>
        <v>0</v>
      </c>
      <c r="N96" s="115">
        <f t="shared" si="531"/>
        <v>0</v>
      </c>
      <c r="O96" s="115">
        <f t="shared" si="531"/>
        <v>0</v>
      </c>
      <c r="P96" s="115">
        <f t="shared" si="531"/>
        <v>0</v>
      </c>
      <c r="Q96" s="115">
        <f t="shared" si="531"/>
        <v>0</v>
      </c>
      <c r="R96" s="115">
        <f t="shared" ref="R96:V96" si="532">R94/R61</f>
        <v>0</v>
      </c>
      <c r="S96" s="115">
        <f t="shared" si="532"/>
        <v>0</v>
      </c>
      <c r="T96" s="115">
        <f t="shared" si="532"/>
        <v>0</v>
      </c>
      <c r="U96" s="115">
        <f t="shared" si="532"/>
        <v>0</v>
      </c>
      <c r="V96" s="115">
        <f t="shared" si="532"/>
        <v>0</v>
      </c>
      <c r="W96" s="115">
        <f t="shared" ref="W96" si="533">W94/W61</f>
        <v>0</v>
      </c>
      <c r="X96" s="115">
        <f t="shared" ref="X96:Z96" si="534">X94/X61</f>
        <v>0</v>
      </c>
      <c r="Y96" s="115">
        <f t="shared" ref="Y96" si="535">Y94/Y61</f>
        <v>0</v>
      </c>
      <c r="Z96" s="115">
        <f t="shared" si="534"/>
        <v>0</v>
      </c>
      <c r="AA96" s="96" t="e">
        <f t="shared" si="366"/>
        <v>#DIV/0!</v>
      </c>
      <c r="AB96" s="104"/>
      <c r="AC96" s="117">
        <f t="shared" ref="AC96:AL96" si="536">AC94/AC61</f>
        <v>0</v>
      </c>
      <c r="AD96" s="117">
        <f t="shared" si="536"/>
        <v>0</v>
      </c>
      <c r="AE96" s="117">
        <f t="shared" si="536"/>
        <v>0</v>
      </c>
      <c r="AF96" s="117">
        <f t="shared" si="536"/>
        <v>0</v>
      </c>
      <c r="AG96" s="117">
        <f t="shared" si="536"/>
        <v>0</v>
      </c>
      <c r="AH96" s="117">
        <f t="shared" si="536"/>
        <v>0</v>
      </c>
      <c r="AI96" s="117">
        <f t="shared" si="536"/>
        <v>0</v>
      </c>
      <c r="AJ96" s="117">
        <f t="shared" si="536"/>
        <v>0</v>
      </c>
      <c r="AK96" s="117">
        <f t="shared" si="536"/>
        <v>0</v>
      </c>
      <c r="AL96" s="117">
        <f t="shared" si="536"/>
        <v>0</v>
      </c>
      <c r="AM96" s="109" t="e">
        <f t="shared" si="528"/>
        <v>#DIV/0!</v>
      </c>
      <c r="AN96" s="21">
        <f t="shared" si="22"/>
        <v>0.01</v>
      </c>
      <c r="AO96" s="117" t="e">
        <f t="shared" si="404"/>
        <v>#DIV/0!</v>
      </c>
    </row>
    <row r="97" spans="2:41" x14ac:dyDescent="0.15">
      <c r="B97" s="10" t="s">
        <v>112</v>
      </c>
      <c r="C97" s="103"/>
      <c r="D97" s="103"/>
      <c r="E97" s="103"/>
      <c r="F97" s="115"/>
      <c r="G97" s="115">
        <f t="shared" ref="G97" si="537">G20/G61</f>
        <v>0</v>
      </c>
      <c r="H97" s="115">
        <f t="shared" ref="H97:I97" si="538">H20/H61</f>
        <v>0</v>
      </c>
      <c r="I97" s="115">
        <f t="shared" si="538"/>
        <v>0</v>
      </c>
      <c r="J97" s="115">
        <f t="shared" ref="J97:Q97" si="539">J20/J61</f>
        <v>0</v>
      </c>
      <c r="K97" s="115">
        <f t="shared" si="539"/>
        <v>0</v>
      </c>
      <c r="L97" s="115">
        <f t="shared" si="539"/>
        <v>0</v>
      </c>
      <c r="M97" s="115">
        <f t="shared" si="539"/>
        <v>0</v>
      </c>
      <c r="N97" s="115">
        <f t="shared" si="539"/>
        <v>0</v>
      </c>
      <c r="O97" s="115">
        <f t="shared" si="539"/>
        <v>0</v>
      </c>
      <c r="P97" s="115">
        <f t="shared" si="539"/>
        <v>0</v>
      </c>
      <c r="Q97" s="115">
        <f t="shared" si="539"/>
        <v>0</v>
      </c>
      <c r="R97" s="115">
        <f t="shared" ref="R97:V97" si="540">R20/R61</f>
        <v>0</v>
      </c>
      <c r="S97" s="115">
        <f t="shared" si="540"/>
        <v>0</v>
      </c>
      <c r="T97" s="115">
        <f t="shared" si="540"/>
        <v>0</v>
      </c>
      <c r="U97" s="115">
        <f t="shared" si="540"/>
        <v>0</v>
      </c>
      <c r="V97" s="115">
        <f t="shared" si="540"/>
        <v>0</v>
      </c>
      <c r="W97" s="115">
        <f t="shared" ref="W97" si="541">W20/W61</f>
        <v>0</v>
      </c>
      <c r="X97" s="115">
        <f t="shared" ref="X97:Z97" si="542">X20/X61</f>
        <v>0</v>
      </c>
      <c r="Y97" s="115">
        <f t="shared" ref="Y97" si="543">Y20/Y61</f>
        <v>0</v>
      </c>
      <c r="Z97" s="115">
        <f t="shared" si="542"/>
        <v>0</v>
      </c>
      <c r="AA97" s="96" t="e">
        <f t="shared" si="366"/>
        <v>#DIV/0!</v>
      </c>
      <c r="AB97" s="104"/>
      <c r="AC97" s="117">
        <f t="shared" ref="AC97:AL97" si="544">AC20/AC61</f>
        <v>0</v>
      </c>
      <c r="AD97" s="117">
        <f t="shared" si="544"/>
        <v>0</v>
      </c>
      <c r="AE97" s="117">
        <f t="shared" si="544"/>
        <v>0</v>
      </c>
      <c r="AF97" s="117">
        <f t="shared" si="544"/>
        <v>0</v>
      </c>
      <c r="AG97" s="117">
        <f t="shared" si="544"/>
        <v>0</v>
      </c>
      <c r="AH97" s="117">
        <f t="shared" si="544"/>
        <v>0</v>
      </c>
      <c r="AI97" s="117">
        <f t="shared" si="544"/>
        <v>0</v>
      </c>
      <c r="AJ97" s="117">
        <f t="shared" si="544"/>
        <v>0</v>
      </c>
      <c r="AK97" s="117">
        <f t="shared" si="544"/>
        <v>0</v>
      </c>
      <c r="AL97" s="117">
        <f t="shared" si="544"/>
        <v>0</v>
      </c>
      <c r="AM97" s="109" t="e">
        <f t="shared" si="528"/>
        <v>#DIV/0!</v>
      </c>
      <c r="AN97" s="21">
        <f t="shared" si="22"/>
        <v>0.01</v>
      </c>
      <c r="AO97" s="117" t="e">
        <f t="shared" si="404"/>
        <v>#DIV/0!</v>
      </c>
    </row>
    <row r="98" spans="2:41" x14ac:dyDescent="0.15">
      <c r="B98" s="10" t="s">
        <v>113</v>
      </c>
      <c r="C98" s="103"/>
      <c r="D98" s="103"/>
      <c r="E98" s="103"/>
      <c r="F98" s="115"/>
      <c r="G98" s="115">
        <f t="shared" ref="G98" si="545">G21/G61</f>
        <v>0</v>
      </c>
      <c r="H98" s="115">
        <f t="shared" ref="H98:I98" si="546">H21/H61</f>
        <v>0</v>
      </c>
      <c r="I98" s="115">
        <f t="shared" si="546"/>
        <v>0</v>
      </c>
      <c r="J98" s="115">
        <f t="shared" ref="J98:Q98" si="547">J21/J61</f>
        <v>0</v>
      </c>
      <c r="K98" s="115">
        <f t="shared" si="547"/>
        <v>0</v>
      </c>
      <c r="L98" s="115">
        <f t="shared" si="547"/>
        <v>0</v>
      </c>
      <c r="M98" s="115">
        <f t="shared" si="547"/>
        <v>0</v>
      </c>
      <c r="N98" s="115">
        <f t="shared" si="547"/>
        <v>0</v>
      </c>
      <c r="O98" s="115">
        <f t="shared" si="547"/>
        <v>0</v>
      </c>
      <c r="P98" s="115">
        <f t="shared" si="547"/>
        <v>0</v>
      </c>
      <c r="Q98" s="115">
        <f t="shared" si="547"/>
        <v>0</v>
      </c>
      <c r="R98" s="115">
        <f t="shared" ref="R98:V98" si="548">R21/R61</f>
        <v>0</v>
      </c>
      <c r="S98" s="115">
        <f t="shared" si="548"/>
        <v>0</v>
      </c>
      <c r="T98" s="115">
        <f t="shared" si="548"/>
        <v>0</v>
      </c>
      <c r="U98" s="115">
        <f t="shared" si="548"/>
        <v>0</v>
      </c>
      <c r="V98" s="115">
        <f t="shared" si="548"/>
        <v>0</v>
      </c>
      <c r="W98" s="115">
        <f t="shared" ref="W98" si="549">W21/W61</f>
        <v>0</v>
      </c>
      <c r="X98" s="115">
        <f t="shared" ref="X98:Z98" si="550">X21/X61</f>
        <v>0</v>
      </c>
      <c r="Y98" s="115">
        <f t="shared" ref="Y98" si="551">Y21/Y61</f>
        <v>0</v>
      </c>
      <c r="Z98" s="115">
        <f t="shared" si="550"/>
        <v>0</v>
      </c>
      <c r="AA98" s="96" t="e">
        <f t="shared" si="366"/>
        <v>#DIV/0!</v>
      </c>
      <c r="AB98" s="104"/>
      <c r="AC98" s="117">
        <f t="shared" ref="AC98:AL98" si="552">AC21/AC61</f>
        <v>0</v>
      </c>
      <c r="AD98" s="117">
        <f t="shared" si="552"/>
        <v>0</v>
      </c>
      <c r="AE98" s="117">
        <f t="shared" si="552"/>
        <v>0</v>
      </c>
      <c r="AF98" s="117">
        <f t="shared" si="552"/>
        <v>0</v>
      </c>
      <c r="AG98" s="117">
        <f t="shared" si="552"/>
        <v>0</v>
      </c>
      <c r="AH98" s="117">
        <f t="shared" si="552"/>
        <v>0</v>
      </c>
      <c r="AI98" s="117">
        <f t="shared" si="552"/>
        <v>0</v>
      </c>
      <c r="AJ98" s="117">
        <f t="shared" si="552"/>
        <v>0</v>
      </c>
      <c r="AK98" s="117">
        <f t="shared" si="552"/>
        <v>0</v>
      </c>
      <c r="AL98" s="117">
        <f t="shared" si="552"/>
        <v>0</v>
      </c>
      <c r="AM98" s="109" t="e">
        <f t="shared" si="528"/>
        <v>#DIV/0!</v>
      </c>
      <c r="AN98" s="21">
        <f t="shared" si="22"/>
        <v>0.01</v>
      </c>
      <c r="AO98" s="117" t="e">
        <f t="shared" si="404"/>
        <v>#DIV/0!</v>
      </c>
    </row>
    <row r="99" spans="2:41" x14ac:dyDescent="0.15">
      <c r="B99" s="10" t="s">
        <v>114</v>
      </c>
      <c r="C99" s="103"/>
      <c r="D99" s="103"/>
      <c r="E99" s="103"/>
      <c r="F99" s="115"/>
      <c r="G99" s="115">
        <f t="shared" ref="G99" si="553">G22/G61</f>
        <v>0</v>
      </c>
      <c r="H99" s="115">
        <f t="shared" ref="H99:I99" si="554">H22/H61</f>
        <v>0</v>
      </c>
      <c r="I99" s="115">
        <f t="shared" si="554"/>
        <v>0</v>
      </c>
      <c r="J99" s="115">
        <f t="shared" ref="J99:Q99" si="555">J22/J61</f>
        <v>0</v>
      </c>
      <c r="K99" s="115">
        <f t="shared" si="555"/>
        <v>0</v>
      </c>
      <c r="L99" s="115">
        <f t="shared" si="555"/>
        <v>0</v>
      </c>
      <c r="M99" s="115">
        <f t="shared" si="555"/>
        <v>0</v>
      </c>
      <c r="N99" s="115">
        <f t="shared" si="555"/>
        <v>0</v>
      </c>
      <c r="O99" s="115">
        <f t="shared" si="555"/>
        <v>0</v>
      </c>
      <c r="P99" s="115">
        <f t="shared" si="555"/>
        <v>0</v>
      </c>
      <c r="Q99" s="115">
        <f t="shared" si="555"/>
        <v>0</v>
      </c>
      <c r="R99" s="115">
        <f t="shared" ref="R99:V99" si="556">R22/R61</f>
        <v>0</v>
      </c>
      <c r="S99" s="115">
        <f t="shared" si="556"/>
        <v>0</v>
      </c>
      <c r="T99" s="115">
        <f t="shared" si="556"/>
        <v>0</v>
      </c>
      <c r="U99" s="115">
        <f t="shared" si="556"/>
        <v>0</v>
      </c>
      <c r="V99" s="115">
        <f t="shared" si="556"/>
        <v>0</v>
      </c>
      <c r="W99" s="115">
        <f t="shared" ref="W99" si="557">W22/W61</f>
        <v>0</v>
      </c>
      <c r="X99" s="115">
        <f t="shared" ref="X99:Z99" si="558">X22/X61</f>
        <v>0</v>
      </c>
      <c r="Y99" s="115">
        <f t="shared" ref="Y99" si="559">Y22/Y61</f>
        <v>0</v>
      </c>
      <c r="Z99" s="115">
        <f t="shared" si="558"/>
        <v>0</v>
      </c>
      <c r="AA99" s="96" t="e">
        <f t="shared" si="366"/>
        <v>#DIV/0!</v>
      </c>
      <c r="AB99" s="104"/>
      <c r="AC99" s="117">
        <f t="shared" ref="AC99:AL99" si="560">AC22/AC61</f>
        <v>0</v>
      </c>
      <c r="AD99" s="117">
        <f t="shared" si="560"/>
        <v>0</v>
      </c>
      <c r="AE99" s="117">
        <f t="shared" si="560"/>
        <v>0</v>
      </c>
      <c r="AF99" s="117">
        <f t="shared" si="560"/>
        <v>0</v>
      </c>
      <c r="AG99" s="117">
        <f t="shared" si="560"/>
        <v>0</v>
      </c>
      <c r="AH99" s="117">
        <f t="shared" si="560"/>
        <v>0</v>
      </c>
      <c r="AI99" s="117">
        <f t="shared" si="560"/>
        <v>0</v>
      </c>
      <c r="AJ99" s="117">
        <f t="shared" si="560"/>
        <v>0</v>
      </c>
      <c r="AK99" s="117">
        <f t="shared" si="560"/>
        <v>0</v>
      </c>
      <c r="AL99" s="117">
        <f t="shared" si="560"/>
        <v>0</v>
      </c>
      <c r="AM99" s="109" t="e">
        <f t="shared" si="528"/>
        <v>#DIV/0!</v>
      </c>
      <c r="AN99" s="21">
        <f t="shared" si="22"/>
        <v>0.01</v>
      </c>
      <c r="AO99" s="117" t="e">
        <f t="shared" si="404"/>
        <v>#DIV/0!</v>
      </c>
    </row>
    <row r="100" spans="2:41" x14ac:dyDescent="0.15">
      <c r="B100" s="10" t="s">
        <v>121</v>
      </c>
      <c r="C100" s="103"/>
      <c r="D100" s="103"/>
      <c r="E100" s="103"/>
      <c r="F100" s="115"/>
      <c r="G100" s="115">
        <f t="shared" ref="G100" si="561">G23/G61</f>
        <v>0</v>
      </c>
      <c r="H100" s="115">
        <f t="shared" ref="H100:I100" si="562">H23/H61</f>
        <v>0</v>
      </c>
      <c r="I100" s="115">
        <f t="shared" si="562"/>
        <v>0</v>
      </c>
      <c r="J100" s="115">
        <f t="shared" ref="J100:Q100" si="563">J23/J61</f>
        <v>0</v>
      </c>
      <c r="K100" s="115">
        <f t="shared" si="563"/>
        <v>0</v>
      </c>
      <c r="L100" s="115">
        <f t="shared" si="563"/>
        <v>0</v>
      </c>
      <c r="M100" s="115">
        <f t="shared" si="563"/>
        <v>0</v>
      </c>
      <c r="N100" s="115">
        <f t="shared" si="563"/>
        <v>0</v>
      </c>
      <c r="O100" s="115">
        <f t="shared" si="563"/>
        <v>0</v>
      </c>
      <c r="P100" s="115">
        <f t="shared" si="563"/>
        <v>0</v>
      </c>
      <c r="Q100" s="115">
        <f t="shared" si="563"/>
        <v>0</v>
      </c>
      <c r="R100" s="115">
        <f t="shared" ref="R100:V100" si="564">R23/R61</f>
        <v>0</v>
      </c>
      <c r="S100" s="115">
        <f t="shared" si="564"/>
        <v>0</v>
      </c>
      <c r="T100" s="115">
        <f t="shared" si="564"/>
        <v>0</v>
      </c>
      <c r="U100" s="115">
        <f t="shared" si="564"/>
        <v>0</v>
      </c>
      <c r="V100" s="115">
        <f t="shared" si="564"/>
        <v>0</v>
      </c>
      <c r="W100" s="115">
        <f t="shared" ref="W100" si="565">W23/W61</f>
        <v>0</v>
      </c>
      <c r="X100" s="115">
        <f t="shared" ref="X100:Z100" si="566">X23/X61</f>
        <v>0</v>
      </c>
      <c r="Y100" s="115">
        <f t="shared" ref="Y100" si="567">Y23/Y61</f>
        <v>0</v>
      </c>
      <c r="Z100" s="115">
        <f t="shared" si="566"/>
        <v>0</v>
      </c>
      <c r="AA100" s="96" t="e">
        <f t="shared" si="366"/>
        <v>#DIV/0!</v>
      </c>
      <c r="AB100" s="104"/>
      <c r="AC100" s="117">
        <f t="shared" ref="AC100:AL100" si="568">AC23/AC61</f>
        <v>0</v>
      </c>
      <c r="AD100" s="117">
        <f t="shared" si="568"/>
        <v>0</v>
      </c>
      <c r="AE100" s="117">
        <f t="shared" si="568"/>
        <v>0</v>
      </c>
      <c r="AF100" s="117">
        <f t="shared" si="568"/>
        <v>0</v>
      </c>
      <c r="AG100" s="117">
        <f t="shared" si="568"/>
        <v>0</v>
      </c>
      <c r="AH100" s="117">
        <f t="shared" si="568"/>
        <v>0</v>
      </c>
      <c r="AI100" s="117">
        <f t="shared" si="568"/>
        <v>0</v>
      </c>
      <c r="AJ100" s="117">
        <f t="shared" si="568"/>
        <v>0</v>
      </c>
      <c r="AK100" s="117">
        <f t="shared" si="568"/>
        <v>0</v>
      </c>
      <c r="AL100" s="117">
        <f t="shared" si="568"/>
        <v>0</v>
      </c>
      <c r="AM100" s="109" t="e">
        <f t="shared" ref="AM100" si="569">((AL100/J100)^(1/($AL$3-$K$1) ))-1</f>
        <v>#DIV/0!</v>
      </c>
      <c r="AN100" s="21">
        <f t="shared" si="22"/>
        <v>0.01</v>
      </c>
      <c r="AO100" s="117" t="e">
        <f t="shared" si="404"/>
        <v>#DIV/0!</v>
      </c>
    </row>
    <row r="101" spans="2:41" x14ac:dyDescent="0.15">
      <c r="B101" s="10"/>
      <c r="C101" s="103"/>
      <c r="D101" s="103"/>
      <c r="E101" s="103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96" t="e">
        <f t="shared" si="366"/>
        <v>#DIV/0!</v>
      </c>
      <c r="AB101" s="10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110"/>
      <c r="AN101" s="108"/>
      <c r="AO101" s="110"/>
    </row>
    <row r="102" spans="2:41" x14ac:dyDescent="0.15">
      <c r="B102" s="10" t="s">
        <v>289</v>
      </c>
      <c r="C102" s="115"/>
      <c r="D102" s="115"/>
      <c r="E102" s="115"/>
      <c r="F102" s="115"/>
      <c r="G102" s="115">
        <f t="shared" ref="G102" si="570">G53/G61</f>
        <v>0</v>
      </c>
      <c r="H102" s="115">
        <f t="shared" ref="H102:I102" si="571">H53/H61</f>
        <v>0</v>
      </c>
      <c r="I102" s="115">
        <f t="shared" si="571"/>
        <v>0</v>
      </c>
      <c r="J102" s="115">
        <f t="shared" ref="J102:Q102" si="572">J53/J61</f>
        <v>0</v>
      </c>
      <c r="K102" s="115">
        <f t="shared" si="572"/>
        <v>0</v>
      </c>
      <c r="L102" s="115">
        <f t="shared" si="572"/>
        <v>0</v>
      </c>
      <c r="M102" s="115">
        <f t="shared" si="572"/>
        <v>0</v>
      </c>
      <c r="N102" s="115">
        <f t="shared" si="572"/>
        <v>0</v>
      </c>
      <c r="O102" s="115">
        <f t="shared" si="572"/>
        <v>0</v>
      </c>
      <c r="P102" s="115">
        <f t="shared" si="572"/>
        <v>0</v>
      </c>
      <c r="Q102" s="115">
        <f t="shared" si="572"/>
        <v>0</v>
      </c>
      <c r="R102" s="115">
        <f t="shared" ref="R102:V102" si="573">R53/R61</f>
        <v>0</v>
      </c>
      <c r="S102" s="115">
        <f t="shared" si="573"/>
        <v>0</v>
      </c>
      <c r="T102" s="115">
        <f t="shared" si="573"/>
        <v>0</v>
      </c>
      <c r="U102" s="115">
        <f t="shared" si="573"/>
        <v>0</v>
      </c>
      <c r="V102" s="115">
        <f t="shared" si="573"/>
        <v>0</v>
      </c>
      <c r="W102" s="115">
        <f t="shared" ref="W102" si="574">W53/W61</f>
        <v>0</v>
      </c>
      <c r="X102" s="115">
        <f t="shared" ref="X102:Z102" si="575">X53/X61</f>
        <v>0</v>
      </c>
      <c r="Y102" s="115">
        <f t="shared" ref="Y102" si="576">Y53/Y61</f>
        <v>0</v>
      </c>
      <c r="Z102" s="115">
        <f t="shared" si="575"/>
        <v>0</v>
      </c>
      <c r="AA102" s="96" t="e">
        <f t="shared" si="366"/>
        <v>#DIV/0!</v>
      </c>
      <c r="AB102" s="104"/>
      <c r="AC102" s="115">
        <f t="shared" ref="AC102:AL102" si="577">AC53/AC61</f>
        <v>0</v>
      </c>
      <c r="AD102" s="115">
        <f t="shared" si="577"/>
        <v>0</v>
      </c>
      <c r="AE102" s="115">
        <f t="shared" si="577"/>
        <v>0</v>
      </c>
      <c r="AF102" s="115">
        <f t="shared" si="577"/>
        <v>0</v>
      </c>
      <c r="AG102" s="115">
        <f t="shared" si="577"/>
        <v>0</v>
      </c>
      <c r="AH102" s="115">
        <f t="shared" si="577"/>
        <v>0</v>
      </c>
      <c r="AI102" s="115">
        <f t="shared" si="577"/>
        <v>0</v>
      </c>
      <c r="AJ102" s="115">
        <f t="shared" si="577"/>
        <v>0</v>
      </c>
      <c r="AK102" s="115">
        <f t="shared" si="577"/>
        <v>0</v>
      </c>
      <c r="AL102" s="115">
        <f t="shared" si="577"/>
        <v>0</v>
      </c>
      <c r="AM102" s="109" t="e">
        <f t="shared" ref="AM102:AM104" si="578">((AL102/J102)^(1/($AL$3-$K$1) ))-1</f>
        <v>#DIV/0!</v>
      </c>
      <c r="AN102" s="21">
        <f t="shared" si="22"/>
        <v>0.01</v>
      </c>
      <c r="AO102" s="117" t="e">
        <f t="shared" si="404"/>
        <v>#DIV/0!</v>
      </c>
    </row>
    <row r="103" spans="2:41" x14ac:dyDescent="0.15">
      <c r="B103" s="10" t="s">
        <v>290</v>
      </c>
      <c r="C103" s="115"/>
      <c r="D103" s="115"/>
      <c r="E103" s="115"/>
      <c r="F103" s="115"/>
      <c r="G103" s="115">
        <f t="shared" ref="G103" si="579">G59/G61</f>
        <v>31.25</v>
      </c>
      <c r="H103" s="115">
        <f t="shared" ref="H103:I103" si="580">H59/H61</f>
        <v>0</v>
      </c>
      <c r="I103" s="115">
        <f t="shared" si="580"/>
        <v>28.225806451612904</v>
      </c>
      <c r="J103" s="115">
        <f t="shared" ref="J103:Q103" si="581">J59/J61</f>
        <v>36.87096774193548</v>
      </c>
      <c r="K103" s="115">
        <f t="shared" si="581"/>
        <v>45.485714285714288</v>
      </c>
      <c r="L103" s="115">
        <f t="shared" si="581"/>
        <v>53.61904761904762</v>
      </c>
      <c r="M103" s="115">
        <f t="shared" si="581"/>
        <v>67.37777777777778</v>
      </c>
      <c r="N103" s="115">
        <f t="shared" si="581"/>
        <v>87.326086956521735</v>
      </c>
      <c r="O103" s="115">
        <f t="shared" si="581"/>
        <v>22.534188034188034</v>
      </c>
      <c r="P103" s="115">
        <f t="shared" si="581"/>
        <v>29.11392405063291</v>
      </c>
      <c r="Q103" s="115">
        <f t="shared" si="581"/>
        <v>36.669456066945607</v>
      </c>
      <c r="R103" s="115">
        <f t="shared" ref="R103:V103" si="582">R59/R61</f>
        <v>42.8</v>
      </c>
      <c r="S103" s="115">
        <f t="shared" si="582"/>
        <v>50.861111111111114</v>
      </c>
      <c r="T103" s="115">
        <f t="shared" si="582"/>
        <v>59.71484375</v>
      </c>
      <c r="U103" s="115">
        <f t="shared" si="582"/>
        <v>71.660231660231659</v>
      </c>
      <c r="V103" s="115">
        <f t="shared" si="582"/>
        <v>82.518382352941174</v>
      </c>
      <c r="W103" s="115">
        <f t="shared" ref="W103" si="583">W59/W61</f>
        <v>49.810218978102192</v>
      </c>
      <c r="X103" s="115">
        <f t="shared" ref="X103:Z103" si="584">X59/X61</f>
        <v>57.814882032667875</v>
      </c>
      <c r="Y103" s="115">
        <f t="shared" ref="Y103" si="585">Y59/Y61</f>
        <v>68.862815884476532</v>
      </c>
      <c r="Z103" s="115">
        <f t="shared" si="584"/>
        <v>83.299638989169679</v>
      </c>
      <c r="AA103" s="96">
        <f t="shared" si="366"/>
        <v>5.2955853026607436E-2</v>
      </c>
      <c r="AB103" s="104"/>
      <c r="AC103" s="115">
        <f t="shared" ref="AC103:AL103" si="586">AC59/AC61</f>
        <v>93.916259644652072</v>
      </c>
      <c r="AD103" s="115">
        <f t="shared" si="586"/>
        <v>105.88597901112732</v>
      </c>
      <c r="AE103" s="115">
        <f t="shared" si="586"/>
        <v>119.38125084587884</v>
      </c>
      <c r="AF103" s="115">
        <f t="shared" si="586"/>
        <v>134.5965083066281</v>
      </c>
      <c r="AG103" s="115">
        <f t="shared" si="586"/>
        <v>151.75096524766892</v>
      </c>
      <c r="AH103" s="115">
        <f t="shared" si="586"/>
        <v>171.09177454394043</v>
      </c>
      <c r="AI103" s="115">
        <f t="shared" si="586"/>
        <v>192.89758894659951</v>
      </c>
      <c r="AJ103" s="115">
        <f t="shared" si="586"/>
        <v>217.48257577312685</v>
      </c>
      <c r="AK103" s="115">
        <f t="shared" si="586"/>
        <v>245.20094327362335</v>
      </c>
      <c r="AL103" s="115">
        <f t="shared" si="586"/>
        <v>276.45204388692827</v>
      </c>
      <c r="AM103" s="109">
        <f t="shared" si="578"/>
        <v>7.1939270701208535E-2</v>
      </c>
      <c r="AN103" s="21">
        <f t="shared" si="22"/>
        <v>0.01</v>
      </c>
      <c r="AO103" s="117" t="e">
        <f t="shared" si="404"/>
        <v>#DIV/0!</v>
      </c>
    </row>
    <row r="104" spans="2:41" x14ac:dyDescent="0.15">
      <c r="B104" s="10" t="s">
        <v>135</v>
      </c>
      <c r="C104" s="115"/>
      <c r="D104" s="115"/>
      <c r="E104" s="115"/>
      <c r="F104" s="115"/>
      <c r="G104" s="115">
        <f t="shared" ref="G104" si="587">G6/G61</f>
        <v>179.07142857142858</v>
      </c>
      <c r="H104" s="115">
        <f t="shared" ref="H104:I104" si="588">H6/H61</f>
        <v>0</v>
      </c>
      <c r="I104" s="115">
        <f t="shared" si="588"/>
        <v>161.74193548387098</v>
      </c>
      <c r="J104" s="115">
        <f t="shared" ref="J104:Q104" si="589">J6/J61</f>
        <v>198.38709677419354</v>
      </c>
      <c r="K104" s="115">
        <f t="shared" si="589"/>
        <v>319.42857142857144</v>
      </c>
      <c r="L104" s="115">
        <f t="shared" si="589"/>
        <v>339.57142857142856</v>
      </c>
      <c r="M104" s="115">
        <f t="shared" si="589"/>
        <v>470.17777777777781</v>
      </c>
      <c r="N104" s="115">
        <f t="shared" si="589"/>
        <v>546.02173913043475</v>
      </c>
      <c r="O104" s="115">
        <f t="shared" si="589"/>
        <v>127.0982905982906</v>
      </c>
      <c r="P104" s="115">
        <f t="shared" si="589"/>
        <v>152.59915611814347</v>
      </c>
      <c r="Q104" s="115">
        <f t="shared" si="589"/>
        <v>182.78661087866109</v>
      </c>
      <c r="R104" s="115">
        <f t="shared" ref="R104:V104" si="590">R6/R61</f>
        <v>250.608</v>
      </c>
      <c r="S104" s="115">
        <f t="shared" si="590"/>
        <v>292.84920634920633</v>
      </c>
      <c r="T104" s="115">
        <f t="shared" si="590"/>
        <v>356.56640625</v>
      </c>
      <c r="U104" s="115">
        <f t="shared" si="590"/>
        <v>421.15830115830119</v>
      </c>
      <c r="V104" s="115">
        <f t="shared" si="590"/>
        <v>562.97058823529414</v>
      </c>
      <c r="W104" s="115">
        <f t="shared" ref="W104" si="591">W6/W61</f>
        <v>320.82116788321167</v>
      </c>
      <c r="X104" s="115">
        <f t="shared" ref="X104:Z104" si="592">X6/X61</f>
        <v>379.77858439201452</v>
      </c>
      <c r="Y104" s="115">
        <f t="shared" ref="Y104" si="593">Y6/Y61</f>
        <v>445.43501805054154</v>
      </c>
      <c r="Z104" s="115">
        <f t="shared" si="592"/>
        <v>521.44223826714801</v>
      </c>
      <c r="AA104" s="96">
        <f t="shared" si="366"/>
        <v>5.7865665010077949E-2</v>
      </c>
      <c r="AB104" s="104"/>
      <c r="AC104" s="115">
        <f t="shared" ref="AC104:AL104" si="594">AC6/AC61</f>
        <v>587.9005627521766</v>
      </c>
      <c r="AD104" s="115">
        <f t="shared" si="594"/>
        <v>662.82906584804209</v>
      </c>
      <c r="AE104" s="115">
        <f t="shared" si="594"/>
        <v>747.30728012279258</v>
      </c>
      <c r="AF104" s="115">
        <f t="shared" si="594"/>
        <v>842.55232562863864</v>
      </c>
      <c r="AG104" s="115">
        <f t="shared" si="594"/>
        <v>949.93644556170022</v>
      </c>
      <c r="AH104" s="115">
        <f t="shared" si="594"/>
        <v>1071.0067768587796</v>
      </c>
      <c r="AI104" s="115">
        <f t="shared" si="594"/>
        <v>1207.5076405760749</v>
      </c>
      <c r="AJ104" s="115">
        <f t="shared" si="594"/>
        <v>1361.4056731985158</v>
      </c>
      <c r="AK104" s="115">
        <f t="shared" si="594"/>
        <v>1534.9181609591105</v>
      </c>
      <c r="AL104" s="115">
        <f t="shared" si="594"/>
        <v>1730.5449853950756</v>
      </c>
      <c r="AM104" s="109">
        <f t="shared" si="578"/>
        <v>7.7548628120527985E-2</v>
      </c>
      <c r="AN104" s="21">
        <f t="shared" ref="AN104:AN106" si="595">$O$1</f>
        <v>0.01</v>
      </c>
      <c r="AO104" s="117" t="e">
        <f t="shared" si="404"/>
        <v>#DIV/0!</v>
      </c>
    </row>
    <row r="105" spans="2:41" x14ac:dyDescent="0.15">
      <c r="B105" s="10"/>
      <c r="C105" s="103"/>
      <c r="D105" s="103"/>
      <c r="E105" s="103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96" t="e">
        <f t="shared" si="366"/>
        <v>#DIV/0!</v>
      </c>
      <c r="AB105" s="10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110"/>
      <c r="AN105" s="10"/>
      <c r="AO105" s="110"/>
    </row>
    <row r="106" spans="2:41" x14ac:dyDescent="0.15">
      <c r="B106" s="10" t="s">
        <v>266</v>
      </c>
      <c r="C106" s="103"/>
      <c r="D106" s="103"/>
      <c r="E106" s="103"/>
      <c r="F106" s="115"/>
      <c r="G106" s="115">
        <f t="shared" ref="G106:V106" si="596">G59/$Z$61</f>
        <v>1.5794223826714802</v>
      </c>
      <c r="H106" s="115">
        <f t="shared" si="596"/>
        <v>0</v>
      </c>
      <c r="I106" s="115">
        <f t="shared" si="596"/>
        <v>1.5794223826714802</v>
      </c>
      <c r="J106" s="115">
        <f t="shared" si="596"/>
        <v>2.0631768953068592</v>
      </c>
      <c r="K106" s="115">
        <f t="shared" si="596"/>
        <v>2.8736462093862816</v>
      </c>
      <c r="L106" s="115">
        <f t="shared" si="596"/>
        <v>4.0649819494584838</v>
      </c>
      <c r="M106" s="115">
        <f t="shared" si="596"/>
        <v>5.4729241877256314</v>
      </c>
      <c r="N106" s="115">
        <f t="shared" si="596"/>
        <v>7.2509025270758123</v>
      </c>
      <c r="O106" s="115">
        <f t="shared" si="596"/>
        <v>9.5180505415162457</v>
      </c>
      <c r="P106" s="115">
        <f t="shared" si="596"/>
        <v>12.454873646209386</v>
      </c>
      <c r="Q106" s="115">
        <f t="shared" si="596"/>
        <v>15.819494584837544</v>
      </c>
      <c r="R106" s="115">
        <f t="shared" si="596"/>
        <v>19.314079422382672</v>
      </c>
      <c r="S106" s="115">
        <f t="shared" si="596"/>
        <v>23.13537906137184</v>
      </c>
      <c r="T106" s="115">
        <f t="shared" si="596"/>
        <v>27.593862815884478</v>
      </c>
      <c r="U106" s="115">
        <f t="shared" si="596"/>
        <v>33.501805054151625</v>
      </c>
      <c r="V106" s="115">
        <f t="shared" si="596"/>
        <v>40.514440433212997</v>
      </c>
      <c r="W106" s="115">
        <f t="shared" ref="W106" si="597">W59/$Z$61</f>
        <v>49.270758122743679</v>
      </c>
      <c r="X106" s="115">
        <f t="shared" ref="X106:Z106" si="598">X59/$Z$61</f>
        <v>57.501805054151625</v>
      </c>
      <c r="Y106" s="115">
        <f t="shared" ref="Y106" si="599">Y59/$Z$61</f>
        <v>68.862815884476532</v>
      </c>
      <c r="Z106" s="115">
        <f t="shared" si="598"/>
        <v>83.299638989169679</v>
      </c>
      <c r="AA106" s="96">
        <f t="shared" si="366"/>
        <v>0.23208083343082309</v>
      </c>
      <c r="AB106" s="104"/>
      <c r="AC106" s="115">
        <f t="shared" ref="AC106:AL106" si="600">AC59/AC61</f>
        <v>93.916259644652072</v>
      </c>
      <c r="AD106" s="115">
        <f t="shared" si="600"/>
        <v>105.88597901112732</v>
      </c>
      <c r="AE106" s="115">
        <f t="shared" si="600"/>
        <v>119.38125084587884</v>
      </c>
      <c r="AF106" s="115">
        <f t="shared" si="600"/>
        <v>134.5965083066281</v>
      </c>
      <c r="AG106" s="115">
        <f t="shared" si="600"/>
        <v>151.75096524766892</v>
      </c>
      <c r="AH106" s="115">
        <f t="shared" si="600"/>
        <v>171.09177454394043</v>
      </c>
      <c r="AI106" s="115">
        <f t="shared" si="600"/>
        <v>192.89758894659951</v>
      </c>
      <c r="AJ106" s="115">
        <f t="shared" si="600"/>
        <v>217.48257577312685</v>
      </c>
      <c r="AK106" s="115">
        <f t="shared" si="600"/>
        <v>245.20094327362335</v>
      </c>
      <c r="AL106" s="115">
        <f t="shared" si="600"/>
        <v>276.45204388692827</v>
      </c>
      <c r="AM106" s="109">
        <f t="shared" ref="AM106" si="601">((AL106/J106)^(1/($AL$3-$K$1) ))-1</f>
        <v>0.1839890922113856</v>
      </c>
      <c r="AN106" s="21">
        <f t="shared" si="595"/>
        <v>0.01</v>
      </c>
      <c r="AO106" s="117" t="e">
        <f t="shared" si="404"/>
        <v>#DIV/0!</v>
      </c>
    </row>
    <row r="107" spans="2:41" x14ac:dyDescent="0.15">
      <c r="B107" s="10"/>
      <c r="C107" s="103"/>
      <c r="D107" s="103"/>
      <c r="E107" s="103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96" t="e">
        <f t="shared" si="366"/>
        <v>#DIV/0!</v>
      </c>
      <c r="AB107" s="10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110"/>
      <c r="AN107" s="10"/>
      <c r="AO107" s="110"/>
    </row>
    <row r="108" spans="2:41" x14ac:dyDescent="0.15">
      <c r="B108" s="89" t="s">
        <v>134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96" t="e">
        <f t="shared" si="366"/>
        <v>#DIV/0!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10"/>
    </row>
    <row r="109" spans="2:41" x14ac:dyDescent="0.15">
      <c r="B109" s="10" t="s">
        <v>133</v>
      </c>
      <c r="C109" s="122"/>
      <c r="D109" s="122"/>
      <c r="E109" s="122"/>
      <c r="F109" s="122"/>
      <c r="G109" s="122">
        <f t="shared" ref="G109" si="602">G53/G25</f>
        <v>0</v>
      </c>
      <c r="H109" s="122" t="e">
        <f t="shared" ref="H109:I109" si="603">H53/H25</f>
        <v>#DIV/0!</v>
      </c>
      <c r="I109" s="122">
        <f t="shared" si="603"/>
        <v>0</v>
      </c>
      <c r="J109" s="122">
        <f t="shared" ref="J109:Q109" si="604">J53/J25</f>
        <v>0</v>
      </c>
      <c r="K109" s="122">
        <f t="shared" si="604"/>
        <v>0</v>
      </c>
      <c r="L109" s="122">
        <f t="shared" si="604"/>
        <v>0</v>
      </c>
      <c r="M109" s="122">
        <f t="shared" si="604"/>
        <v>0</v>
      </c>
      <c r="N109" s="122">
        <f t="shared" si="604"/>
        <v>0</v>
      </c>
      <c r="O109" s="122">
        <f t="shared" si="604"/>
        <v>0</v>
      </c>
      <c r="P109" s="122">
        <f t="shared" si="604"/>
        <v>0</v>
      </c>
      <c r="Q109" s="122">
        <f t="shared" si="604"/>
        <v>0</v>
      </c>
      <c r="R109" s="122">
        <f t="shared" ref="R109:V109" si="605">R53/R25</f>
        <v>0</v>
      </c>
      <c r="S109" s="122">
        <f t="shared" si="605"/>
        <v>0</v>
      </c>
      <c r="T109" s="122">
        <f t="shared" si="605"/>
        <v>0</v>
      </c>
      <c r="U109" s="122">
        <f t="shared" si="605"/>
        <v>0</v>
      </c>
      <c r="V109" s="122">
        <f t="shared" si="605"/>
        <v>0</v>
      </c>
      <c r="W109" s="122">
        <f t="shared" ref="W109" si="606">W53/W25</f>
        <v>0</v>
      </c>
      <c r="X109" s="122">
        <f t="shared" ref="X109:Z109" si="607">X53/X25</f>
        <v>0</v>
      </c>
      <c r="Y109" s="122">
        <f t="shared" ref="Y109" si="608">Y53/Y25</f>
        <v>0</v>
      </c>
      <c r="Z109" s="122">
        <f t="shared" si="607"/>
        <v>0</v>
      </c>
      <c r="AA109" s="96" t="e">
        <f t="shared" si="366"/>
        <v>#DIV/0!</v>
      </c>
      <c r="AB109" s="122"/>
      <c r="AC109" s="122">
        <f t="shared" ref="AC109:AL109" si="609">AC53/AC25</f>
        <v>0</v>
      </c>
      <c r="AD109" s="122">
        <f t="shared" si="609"/>
        <v>0</v>
      </c>
      <c r="AE109" s="122">
        <f t="shared" si="609"/>
        <v>0</v>
      </c>
      <c r="AF109" s="122">
        <f t="shared" si="609"/>
        <v>0</v>
      </c>
      <c r="AG109" s="122">
        <f t="shared" si="609"/>
        <v>0</v>
      </c>
      <c r="AH109" s="122">
        <f t="shared" si="609"/>
        <v>0</v>
      </c>
      <c r="AI109" s="122">
        <f t="shared" si="609"/>
        <v>0</v>
      </c>
      <c r="AJ109" s="122">
        <f t="shared" si="609"/>
        <v>0</v>
      </c>
      <c r="AK109" s="122">
        <f t="shared" si="609"/>
        <v>0</v>
      </c>
      <c r="AL109" s="122">
        <f t="shared" si="609"/>
        <v>0</v>
      </c>
      <c r="AM109" s="109" t="e">
        <f t="shared" ref="AM109:AM158" si="610">((AL109/J109)^(1/($AL$3-$K$1) ))-1</f>
        <v>#DIV/0!</v>
      </c>
      <c r="AN109" s="21">
        <f t="shared" ref="AN109:AN171" si="611">$O$1</f>
        <v>0.01</v>
      </c>
      <c r="AO109" s="117" t="e">
        <f t="shared" si="404"/>
        <v>#DIV/0!</v>
      </c>
    </row>
    <row r="110" spans="2:41" x14ac:dyDescent="0.15">
      <c r="B110" s="10" t="s">
        <v>95</v>
      </c>
      <c r="C110" s="122"/>
      <c r="D110" s="122"/>
      <c r="E110" s="122"/>
      <c r="F110" s="122"/>
      <c r="G110" s="122">
        <f t="shared" ref="G110" si="612">G59/G25</f>
        <v>0.15297202797202797</v>
      </c>
      <c r="H110" s="122" t="e">
        <f t="shared" ref="H110:I110" si="613">H59/H25</f>
        <v>#DIV/0!</v>
      </c>
      <c r="I110" s="122">
        <f t="shared" si="613"/>
        <v>0.15297202797202797</v>
      </c>
      <c r="J110" s="122">
        <f t="shared" ref="J110:Q110" si="614">J59/J25</f>
        <v>0.13910186199342825</v>
      </c>
      <c r="K110" s="122">
        <f t="shared" si="614"/>
        <v>0.12823197744663714</v>
      </c>
      <c r="L110" s="122">
        <f t="shared" si="614"/>
        <v>0.13804094642638226</v>
      </c>
      <c r="M110" s="122">
        <f t="shared" si="614"/>
        <v>0.18679152291769344</v>
      </c>
      <c r="N110" s="122">
        <f t="shared" si="614"/>
        <v>0.20041909893728485</v>
      </c>
      <c r="O110" s="122">
        <f t="shared" si="614"/>
        <v>0.18703224204589791</v>
      </c>
      <c r="P110" s="122">
        <f t="shared" si="614"/>
        <v>0.19240958143944675</v>
      </c>
      <c r="Q110" s="122">
        <f t="shared" si="614"/>
        <v>0.2059452473269886</v>
      </c>
      <c r="R110" s="122">
        <f t="shared" ref="R110:V110" si="615">R59/R25</f>
        <v>0.21118698930249083</v>
      </c>
      <c r="S110" s="122">
        <f t="shared" si="615"/>
        <v>0.20292585614540617</v>
      </c>
      <c r="T110" s="122">
        <f t="shared" si="615"/>
        <v>0.20863643187618566</v>
      </c>
      <c r="U110" s="122">
        <f t="shared" si="615"/>
        <v>0.21761815986023661</v>
      </c>
      <c r="V110" s="122">
        <f t="shared" si="615"/>
        <v>0.21343666793457589</v>
      </c>
      <c r="W110" s="122">
        <f t="shared" ref="W110" si="616">W59/W25</f>
        <v>0.22339163099788034</v>
      </c>
      <c r="X110" s="122">
        <f t="shared" ref="X110:Z110" si="617">X59/X25</f>
        <v>0.24780633517953823</v>
      </c>
      <c r="Y110" s="122">
        <f t="shared" ref="Y110" si="618">Y59/Y25</f>
        <v>0.28064677495291901</v>
      </c>
      <c r="Z110" s="122">
        <f t="shared" si="617"/>
        <v>0.27026014031882123</v>
      </c>
      <c r="AA110" s="96">
        <f t="shared" si="366"/>
        <v>3.0407345468607128E-2</v>
      </c>
      <c r="AB110" s="122"/>
      <c r="AC110" s="122">
        <f t="shared" ref="AC110:AL110" si="619">AC59/AC25</f>
        <v>0.27026014031882123</v>
      </c>
      <c r="AD110" s="122">
        <f t="shared" si="619"/>
        <v>0.27026014031882123</v>
      </c>
      <c r="AE110" s="122">
        <f t="shared" si="619"/>
        <v>0.27026014031882128</v>
      </c>
      <c r="AF110" s="122">
        <f t="shared" si="619"/>
        <v>0.27026014031882123</v>
      </c>
      <c r="AG110" s="122">
        <f t="shared" si="619"/>
        <v>0.27026014031882128</v>
      </c>
      <c r="AH110" s="122">
        <f t="shared" si="619"/>
        <v>0.27026014031882128</v>
      </c>
      <c r="AI110" s="122">
        <f t="shared" si="619"/>
        <v>0.27026014031882128</v>
      </c>
      <c r="AJ110" s="122">
        <f t="shared" si="619"/>
        <v>0.27026014031882128</v>
      </c>
      <c r="AK110" s="122">
        <f t="shared" si="619"/>
        <v>0.27026014031882128</v>
      </c>
      <c r="AL110" s="122">
        <f t="shared" si="619"/>
        <v>0.27026014031882128</v>
      </c>
      <c r="AM110" s="109">
        <f t="shared" si="610"/>
        <v>2.3166987364604763E-2</v>
      </c>
      <c r="AN110" s="21">
        <f t="shared" si="611"/>
        <v>0.01</v>
      </c>
      <c r="AO110" s="117" t="e">
        <f t="shared" si="404"/>
        <v>#DIV/0!</v>
      </c>
    </row>
    <row r="111" spans="2:41" x14ac:dyDescent="0.15">
      <c r="B111" s="10" t="s">
        <v>176</v>
      </c>
      <c r="C111" s="122"/>
      <c r="D111" s="122"/>
      <c r="E111" s="122"/>
      <c r="F111" s="122"/>
      <c r="G111" s="122">
        <f t="shared" ref="G111" si="620">G59/G7</f>
        <v>0.16425755584756899</v>
      </c>
      <c r="H111" s="122" t="e">
        <f t="shared" ref="H111:I111" si="621">H59/H7</f>
        <v>#DIV/0!</v>
      </c>
      <c r="I111" s="122">
        <f t="shared" si="621"/>
        <v>0.16425755584756899</v>
      </c>
      <c r="J111" s="122">
        <f>J59/J7</f>
        <v>0.17666151468315303</v>
      </c>
      <c r="K111" s="122">
        <f t="shared" ref="K111:Q111" si="622">K59/K7</f>
        <v>0.13801473775465972</v>
      </c>
      <c r="L111" s="122">
        <f t="shared" si="622"/>
        <v>0.14919835696303166</v>
      </c>
      <c r="M111" s="122">
        <f t="shared" si="622"/>
        <v>0.14025349245998706</v>
      </c>
      <c r="N111" s="122">
        <f t="shared" si="622"/>
        <v>0.15700605823724839</v>
      </c>
      <c r="O111" s="122">
        <f t="shared" si="622"/>
        <v>0.17454485269778219</v>
      </c>
      <c r="P111" s="122">
        <f t="shared" si="622"/>
        <v>0.18830849844440806</v>
      </c>
      <c r="Q111" s="122">
        <f t="shared" si="622"/>
        <v>0.19843318389711542</v>
      </c>
      <c r="R111" s="122">
        <f t="shared" ref="R111:V111" si="623">R59/R7</f>
        <v>0.20130187756330661</v>
      </c>
      <c r="S111" s="122">
        <f t="shared" si="623"/>
        <v>0.17249407838070629</v>
      </c>
      <c r="T111" s="122">
        <f t="shared" si="623"/>
        <v>0.16653775342346366</v>
      </c>
      <c r="U111" s="122">
        <f t="shared" si="623"/>
        <v>0.16934461080849278</v>
      </c>
      <c r="V111" s="122">
        <f t="shared" si="623"/>
        <v>0.14605783747201834</v>
      </c>
      <c r="W111" s="122">
        <f t="shared" ref="W111" si="624">W59/W7</f>
        <v>0.15477608047267491</v>
      </c>
      <c r="X111" s="122">
        <f t="shared" ref="X111:Z111" si="625">X59/X7</f>
        <v>0.15183261045708021</v>
      </c>
      <c r="Y111" s="122">
        <f t="shared" ref="Y111" si="626">Y59/Y7</f>
        <v>0.15424985646474693</v>
      </c>
      <c r="Z111" s="122">
        <f t="shared" si="625"/>
        <v>0.15944056910484838</v>
      </c>
      <c r="AA111" s="96">
        <f t="shared" si="366"/>
        <v>-1.5653216633588762E-3</v>
      </c>
      <c r="AB111" s="10"/>
      <c r="AC111" s="122">
        <f t="shared" ref="AC111" si="627">AC59/AC7</f>
        <v>0.15944056910484838</v>
      </c>
      <c r="AD111" s="122">
        <f t="shared" ref="AD111:AL111" si="628">AD59/AD7</f>
        <v>0.15944056910484838</v>
      </c>
      <c r="AE111" s="122">
        <f t="shared" si="628"/>
        <v>0.15944056910484838</v>
      </c>
      <c r="AF111" s="122">
        <f t="shared" si="628"/>
        <v>0.15944056910484836</v>
      </c>
      <c r="AG111" s="122">
        <f t="shared" si="628"/>
        <v>0.15944056910484838</v>
      </c>
      <c r="AH111" s="122">
        <f t="shared" si="628"/>
        <v>0.15944056910484836</v>
      </c>
      <c r="AI111" s="122">
        <f t="shared" si="628"/>
        <v>0.15944056910484838</v>
      </c>
      <c r="AJ111" s="122">
        <f t="shared" si="628"/>
        <v>0.15944056910484838</v>
      </c>
      <c r="AK111" s="122">
        <f t="shared" si="628"/>
        <v>0.15944056910484836</v>
      </c>
      <c r="AL111" s="122">
        <f t="shared" si="628"/>
        <v>0.15944056910484836</v>
      </c>
      <c r="AM111" s="109">
        <f t="shared" si="610"/>
        <v>-3.530453586143345E-3</v>
      </c>
      <c r="AN111" s="21">
        <f t="shared" si="611"/>
        <v>0.01</v>
      </c>
      <c r="AO111" s="117" t="e">
        <f t="shared" si="404"/>
        <v>#DIV/0!</v>
      </c>
    </row>
    <row r="112" spans="2:41" x14ac:dyDescent="0.15">
      <c r="B112" s="10" t="s">
        <v>177</v>
      </c>
      <c r="C112" s="122"/>
      <c r="D112" s="122"/>
      <c r="E112" s="122"/>
      <c r="F112" s="122"/>
      <c r="G112" s="122">
        <f t="shared" ref="G112" si="629">(G59)/(G7+G10)</f>
        <v>0.16425755584756899</v>
      </c>
      <c r="H112" s="122" t="e">
        <f t="shared" ref="H112:I112" si="630">(H59)/(H7+H10)</f>
        <v>#DIV/0!</v>
      </c>
      <c r="I112" s="122">
        <f t="shared" si="630"/>
        <v>0.16425755584756899</v>
      </c>
      <c r="J112" s="122">
        <f>(J59)/(J7+J10)</f>
        <v>0.17666151468315303</v>
      </c>
      <c r="K112" s="122">
        <f t="shared" ref="K112:Q112" si="631">(K59)/(K7+K10)</f>
        <v>0.13801473775465972</v>
      </c>
      <c r="L112" s="122">
        <f t="shared" si="631"/>
        <v>0.14919835696303166</v>
      </c>
      <c r="M112" s="122">
        <f t="shared" si="631"/>
        <v>0.14025349245998706</v>
      </c>
      <c r="N112" s="122">
        <f t="shared" si="631"/>
        <v>0.15700605823724839</v>
      </c>
      <c r="O112" s="122">
        <f t="shared" si="631"/>
        <v>0.17454485269778219</v>
      </c>
      <c r="P112" s="122">
        <f t="shared" si="631"/>
        <v>0.18830849844440806</v>
      </c>
      <c r="Q112" s="122">
        <f t="shared" si="631"/>
        <v>0.19843318389711542</v>
      </c>
      <c r="R112" s="122">
        <f t="shared" ref="R112:V112" si="632">(R59)/(R7+R10)</f>
        <v>0.20130187756330661</v>
      </c>
      <c r="S112" s="122">
        <f t="shared" si="632"/>
        <v>0.17249407838070629</v>
      </c>
      <c r="T112" s="122">
        <f t="shared" si="632"/>
        <v>0.16653775342346366</v>
      </c>
      <c r="U112" s="122">
        <f t="shared" si="632"/>
        <v>0.16934461080849278</v>
      </c>
      <c r="V112" s="122">
        <f t="shared" si="632"/>
        <v>0.14605783747201834</v>
      </c>
      <c r="W112" s="122">
        <f t="shared" ref="W112" si="633">(W59)/(W7+W10)</f>
        <v>0.15477608047267491</v>
      </c>
      <c r="X112" s="122">
        <f t="shared" ref="X112:Z112" si="634">(X59)/(X7+X10)</f>
        <v>0.15183261045708021</v>
      </c>
      <c r="Y112" s="122">
        <f t="shared" ref="Y112" si="635">(Y59)/(Y7+Y10)</f>
        <v>0.15424985646474693</v>
      </c>
      <c r="Z112" s="122">
        <f t="shared" si="634"/>
        <v>0.15944056910484838</v>
      </c>
      <c r="AA112" s="96">
        <f t="shared" si="366"/>
        <v>-1.5653216633588762E-3</v>
      </c>
      <c r="AB112" s="10"/>
      <c r="AC112" s="122">
        <f t="shared" ref="AC112:AL112" si="636">(AC59)/(AC7+AC10)</f>
        <v>0.15944056910484838</v>
      </c>
      <c r="AD112" s="122">
        <f t="shared" si="636"/>
        <v>0.15944056910484838</v>
      </c>
      <c r="AE112" s="122">
        <f t="shared" si="636"/>
        <v>0.15944056910484838</v>
      </c>
      <c r="AF112" s="122">
        <f t="shared" si="636"/>
        <v>0.15944056910484836</v>
      </c>
      <c r="AG112" s="122">
        <f t="shared" si="636"/>
        <v>0.15944056910484838</v>
      </c>
      <c r="AH112" s="122">
        <f t="shared" si="636"/>
        <v>0.15944056910484836</v>
      </c>
      <c r="AI112" s="122">
        <f t="shared" si="636"/>
        <v>0.15944056910484838</v>
      </c>
      <c r="AJ112" s="122">
        <f t="shared" si="636"/>
        <v>0.15944056910484838</v>
      </c>
      <c r="AK112" s="122">
        <f t="shared" si="636"/>
        <v>0.15944056910484836</v>
      </c>
      <c r="AL112" s="122">
        <f t="shared" si="636"/>
        <v>0.15944056910484836</v>
      </c>
      <c r="AM112" s="109">
        <f t="shared" si="610"/>
        <v>-3.530453586143345E-3</v>
      </c>
      <c r="AN112" s="21">
        <f t="shared" si="611"/>
        <v>0.01</v>
      </c>
      <c r="AO112" s="117" t="e">
        <f t="shared" si="404"/>
        <v>#DIV/0!</v>
      </c>
    </row>
    <row r="113" spans="1:41" x14ac:dyDescent="0.15">
      <c r="B113" s="10" t="s">
        <v>193</v>
      </c>
      <c r="C113" s="122"/>
      <c r="D113" s="122"/>
      <c r="E113" s="122"/>
      <c r="F113" s="122"/>
      <c r="G113" s="122">
        <f t="shared" ref="G113" si="637">G20/G25</f>
        <v>0</v>
      </c>
      <c r="H113" s="122" t="e">
        <f t="shared" ref="H113:I113" si="638">H20/H25</f>
        <v>#DIV/0!</v>
      </c>
      <c r="I113" s="122">
        <f t="shared" si="638"/>
        <v>0</v>
      </c>
      <c r="J113" s="122">
        <f>J20/J25</f>
        <v>0</v>
      </c>
      <c r="K113" s="122">
        <f t="shared" ref="K113:Q113" si="639">K20/K25</f>
        <v>0</v>
      </c>
      <c r="L113" s="122">
        <f t="shared" si="639"/>
        <v>0</v>
      </c>
      <c r="M113" s="122">
        <f t="shared" si="639"/>
        <v>0</v>
      </c>
      <c r="N113" s="122">
        <f t="shared" si="639"/>
        <v>0</v>
      </c>
      <c r="O113" s="122">
        <f t="shared" si="639"/>
        <v>0</v>
      </c>
      <c r="P113" s="122">
        <f t="shared" si="639"/>
        <v>0</v>
      </c>
      <c r="Q113" s="122">
        <f t="shared" si="639"/>
        <v>0</v>
      </c>
      <c r="R113" s="122">
        <f t="shared" ref="R113:V113" si="640">R20/R25</f>
        <v>0</v>
      </c>
      <c r="S113" s="122">
        <f t="shared" si="640"/>
        <v>0</v>
      </c>
      <c r="T113" s="122">
        <f t="shared" si="640"/>
        <v>0</v>
      </c>
      <c r="U113" s="122">
        <f t="shared" si="640"/>
        <v>0</v>
      </c>
      <c r="V113" s="122">
        <f t="shared" si="640"/>
        <v>0</v>
      </c>
      <c r="W113" s="122">
        <f t="shared" ref="W113" si="641">W20/W25</f>
        <v>0</v>
      </c>
      <c r="X113" s="122">
        <f t="shared" ref="X113:Z113" si="642">X20/X25</f>
        <v>0</v>
      </c>
      <c r="Y113" s="122">
        <f t="shared" ref="Y113" si="643">Y20/Y25</f>
        <v>0</v>
      </c>
      <c r="Z113" s="122">
        <f t="shared" si="642"/>
        <v>0</v>
      </c>
      <c r="AA113" s="96" t="e">
        <f t="shared" si="366"/>
        <v>#DIV/0!</v>
      </c>
      <c r="AB113" s="10"/>
      <c r="AC113" s="122">
        <f t="shared" ref="AC113:AL113" si="644">AC20/AC25</f>
        <v>0</v>
      </c>
      <c r="AD113" s="122">
        <f t="shared" si="644"/>
        <v>0</v>
      </c>
      <c r="AE113" s="122">
        <f t="shared" si="644"/>
        <v>0</v>
      </c>
      <c r="AF113" s="122">
        <f t="shared" si="644"/>
        <v>0</v>
      </c>
      <c r="AG113" s="122">
        <f t="shared" si="644"/>
        <v>0</v>
      </c>
      <c r="AH113" s="122">
        <f t="shared" si="644"/>
        <v>0</v>
      </c>
      <c r="AI113" s="122">
        <f t="shared" si="644"/>
        <v>0</v>
      </c>
      <c r="AJ113" s="122">
        <f t="shared" si="644"/>
        <v>0</v>
      </c>
      <c r="AK113" s="122">
        <f t="shared" si="644"/>
        <v>0</v>
      </c>
      <c r="AL113" s="122">
        <f t="shared" si="644"/>
        <v>0</v>
      </c>
      <c r="AM113" s="109" t="e">
        <f t="shared" si="610"/>
        <v>#DIV/0!</v>
      </c>
      <c r="AN113" s="21">
        <f t="shared" si="611"/>
        <v>0.01</v>
      </c>
      <c r="AO113" s="117" t="e">
        <f t="shared" si="404"/>
        <v>#DIV/0!</v>
      </c>
    </row>
    <row r="114" spans="1:41" x14ac:dyDescent="0.15">
      <c r="B114" s="10" t="s">
        <v>245</v>
      </c>
      <c r="C114" s="122"/>
      <c r="D114" s="122"/>
      <c r="E114" s="122"/>
      <c r="F114" s="122"/>
      <c r="G114" s="122">
        <f t="shared" ref="G114" si="645">G72/G25</f>
        <v>-0.15297202797202797</v>
      </c>
      <c r="H114" s="122" t="e">
        <f t="shared" ref="H114:I114" si="646">H72/H25</f>
        <v>#DIV/0!</v>
      </c>
      <c r="I114" s="122">
        <f t="shared" si="646"/>
        <v>-0.15297202797202797</v>
      </c>
      <c r="J114" s="122">
        <f>J72/J25</f>
        <v>-0.13910186199342825</v>
      </c>
      <c r="K114" s="122">
        <f t="shared" ref="K114:Q114" si="647">K72/K25</f>
        <v>-0.12823197744663714</v>
      </c>
      <c r="L114" s="122">
        <f t="shared" si="647"/>
        <v>-0.13804094642638226</v>
      </c>
      <c r="M114" s="122">
        <f t="shared" si="647"/>
        <v>-0.18679152291769344</v>
      </c>
      <c r="N114" s="122">
        <f t="shared" si="647"/>
        <v>-0.20041909893728485</v>
      </c>
      <c r="O114" s="122">
        <f t="shared" si="647"/>
        <v>-0.18703224204589791</v>
      </c>
      <c r="P114" s="122">
        <f t="shared" si="647"/>
        <v>-0.19240958143944675</v>
      </c>
      <c r="Q114" s="122">
        <f t="shared" si="647"/>
        <v>-0.2059452473269886</v>
      </c>
      <c r="R114" s="122">
        <f t="shared" ref="R114:V114" si="648">R72/R25</f>
        <v>-0.21118698930249083</v>
      </c>
      <c r="S114" s="122">
        <f t="shared" si="648"/>
        <v>-0.20292585614540617</v>
      </c>
      <c r="T114" s="122">
        <f t="shared" si="648"/>
        <v>-0.20863643187618566</v>
      </c>
      <c r="U114" s="122">
        <f t="shared" si="648"/>
        <v>-0.21761815986023661</v>
      </c>
      <c r="V114" s="122">
        <f t="shared" si="648"/>
        <v>-0.21343666793457589</v>
      </c>
      <c r="W114" s="122">
        <f t="shared" ref="W114" si="649">W72/W25</f>
        <v>-0.22339163099788034</v>
      </c>
      <c r="X114" s="122">
        <f t="shared" ref="X114:Z114" si="650">X72/X25</f>
        <v>-0.24780633517953823</v>
      </c>
      <c r="Y114" s="122">
        <f t="shared" ref="Y114" si="651">Y72/Y25</f>
        <v>-0.28064677495291901</v>
      </c>
      <c r="Z114" s="122">
        <f t="shared" si="650"/>
        <v>-0.27026014031882123</v>
      </c>
      <c r="AA114" s="96">
        <f t="shared" si="366"/>
        <v>3.0407345468607128E-2</v>
      </c>
      <c r="AB114" s="10"/>
      <c r="AC114" s="122">
        <f t="shared" ref="AC114:AL114" si="652">AC72/AC25</f>
        <v>-0.27026014031882123</v>
      </c>
      <c r="AD114" s="122">
        <f t="shared" si="652"/>
        <v>-0.27026014031882123</v>
      </c>
      <c r="AE114" s="122">
        <f t="shared" si="652"/>
        <v>-0.27026014031882128</v>
      </c>
      <c r="AF114" s="122">
        <f t="shared" si="652"/>
        <v>-0.27026014031882123</v>
      </c>
      <c r="AG114" s="122">
        <f t="shared" si="652"/>
        <v>-0.27026014031882128</v>
      </c>
      <c r="AH114" s="122">
        <f t="shared" si="652"/>
        <v>-0.27026014031882128</v>
      </c>
      <c r="AI114" s="122">
        <f t="shared" si="652"/>
        <v>-0.27026014031882128</v>
      </c>
      <c r="AJ114" s="122">
        <f t="shared" si="652"/>
        <v>-0.27026014031882128</v>
      </c>
      <c r="AK114" s="122">
        <f t="shared" si="652"/>
        <v>-0.27026014031882128</v>
      </c>
      <c r="AL114" s="122">
        <f t="shared" si="652"/>
        <v>-0.27026014031882128</v>
      </c>
      <c r="AM114" s="109">
        <f t="shared" si="610"/>
        <v>2.3166987364604763E-2</v>
      </c>
      <c r="AN114" s="21">
        <f t="shared" si="611"/>
        <v>0.01</v>
      </c>
      <c r="AO114" s="117" t="e">
        <f t="shared" si="404"/>
        <v>#DIV/0!</v>
      </c>
    </row>
    <row r="115" spans="1:41" x14ac:dyDescent="0.15">
      <c r="B115" s="10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96" t="e">
        <f t="shared" si="366"/>
        <v>#DIV/0!</v>
      </c>
      <c r="AB115" s="10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3"/>
      <c r="AN115" s="117"/>
      <c r="AO115" s="117"/>
    </row>
    <row r="116" spans="1:41" x14ac:dyDescent="0.15">
      <c r="B116" s="10" t="s">
        <v>143</v>
      </c>
      <c r="C116" s="122"/>
      <c r="D116" s="122"/>
      <c r="E116" s="122"/>
      <c r="F116" s="122"/>
      <c r="G116" s="122">
        <f t="shared" ref="G116" si="653">G29/G25</f>
        <v>0.33723776223776225</v>
      </c>
      <c r="H116" s="122" t="e">
        <f t="shared" ref="H116:I116" si="654">H29/H25</f>
        <v>#DIV/0!</v>
      </c>
      <c r="I116" s="122">
        <f t="shared" si="654"/>
        <v>0.33723776223776225</v>
      </c>
      <c r="J116" s="122">
        <f>J29/J25</f>
        <v>0.38688085676037481</v>
      </c>
      <c r="K116" s="122">
        <f t="shared" ref="K116:Q116" si="655">K29/K25</f>
        <v>0.39363672976238423</v>
      </c>
      <c r="L116" s="122">
        <f t="shared" si="655"/>
        <v>0.54572759592987619</v>
      </c>
      <c r="M116" s="122">
        <f t="shared" si="655"/>
        <v>0.48034746180384424</v>
      </c>
      <c r="N116" s="122">
        <f t="shared" si="655"/>
        <v>0.4702389861797136</v>
      </c>
      <c r="O116" s="122">
        <f t="shared" si="655"/>
        <v>0.53580676054339726</v>
      </c>
      <c r="P116" s="122">
        <f t="shared" si="655"/>
        <v>0.54920387049998609</v>
      </c>
      <c r="Q116" s="122">
        <f t="shared" si="655"/>
        <v>0.55093408530137467</v>
      </c>
      <c r="R116" s="122">
        <f t="shared" ref="R116:V116" si="656">R29/R25</f>
        <v>0.53858603402676353</v>
      </c>
      <c r="S116" s="122">
        <f t="shared" si="656"/>
        <v>0.5393993128671174</v>
      </c>
      <c r="T116" s="122">
        <f t="shared" si="656"/>
        <v>0.51918221397278597</v>
      </c>
      <c r="U116" s="122">
        <f t="shared" si="656"/>
        <v>0.49692215695240777</v>
      </c>
      <c r="V116" s="122">
        <f t="shared" si="656"/>
        <v>0.18017306960821605</v>
      </c>
      <c r="W116" s="122">
        <f t="shared" ref="W116" si="657">W29/W25</f>
        <v>0.20360261562006399</v>
      </c>
      <c r="X116" s="122">
        <f t="shared" ref="X116:Z116" si="658">X29/X25</f>
        <v>0.21261435061298151</v>
      </c>
      <c r="Y116" s="122">
        <f t="shared" ref="Y116" si="659">Y29/Y25</f>
        <v>0.23362464689265536</v>
      </c>
      <c r="Z116" s="122">
        <f t="shared" si="658"/>
        <v>0.19860149689026318</v>
      </c>
      <c r="AA116" s="96">
        <f t="shared" si="366"/>
        <v>-2.7483060561781514E-2</v>
      </c>
      <c r="AB116" s="10"/>
      <c r="AC116" s="122">
        <f t="shared" ref="AC116:AL116" si="660">AC29/AC25</f>
        <v>0.19860149689026318</v>
      </c>
      <c r="AD116" s="122">
        <f t="shared" si="660"/>
        <v>0.19860149689026318</v>
      </c>
      <c r="AE116" s="122">
        <f t="shared" si="660"/>
        <v>0.19860149689026318</v>
      </c>
      <c r="AF116" s="122">
        <f t="shared" si="660"/>
        <v>0.19860149689026318</v>
      </c>
      <c r="AG116" s="122">
        <f t="shared" si="660"/>
        <v>0.19860149689026318</v>
      </c>
      <c r="AH116" s="122">
        <f t="shared" si="660"/>
        <v>0.19860149689026318</v>
      </c>
      <c r="AI116" s="122">
        <f t="shared" si="660"/>
        <v>0.19860149689026318</v>
      </c>
      <c r="AJ116" s="122">
        <f t="shared" si="660"/>
        <v>0.19860149689026321</v>
      </c>
      <c r="AK116" s="122">
        <f t="shared" si="660"/>
        <v>0.19860149689026321</v>
      </c>
      <c r="AL116" s="122">
        <f t="shared" si="660"/>
        <v>0.19860149689026318</v>
      </c>
      <c r="AM116" s="109">
        <f t="shared" si="610"/>
        <v>-2.2731332264290915E-2</v>
      </c>
      <c r="AN116" s="21">
        <f t="shared" si="611"/>
        <v>0.01</v>
      </c>
      <c r="AO116" s="117" t="e">
        <f t="shared" si="404"/>
        <v>#DIV/0!</v>
      </c>
    </row>
    <row r="117" spans="1:41" x14ac:dyDescent="0.15">
      <c r="B117" s="10" t="s">
        <v>186</v>
      </c>
      <c r="C117" s="122"/>
      <c r="D117" s="122"/>
      <c r="E117" s="122"/>
      <c r="F117" s="122"/>
      <c r="G117" s="122" t="e">
        <f t="shared" ref="G117" si="661">G29/G53</f>
        <v>#DIV/0!</v>
      </c>
      <c r="H117" s="122" t="e">
        <f t="shared" ref="H117:I117" si="662">H29/H53</f>
        <v>#DIV/0!</v>
      </c>
      <c r="I117" s="122" t="e">
        <f t="shared" si="662"/>
        <v>#DIV/0!</v>
      </c>
      <c r="J117" s="122" t="e">
        <f>J29/J53</f>
        <v>#DIV/0!</v>
      </c>
      <c r="K117" s="122" t="e">
        <f t="shared" ref="K117:Q117" si="663">K29/K53</f>
        <v>#DIV/0!</v>
      </c>
      <c r="L117" s="122" t="e">
        <f t="shared" si="663"/>
        <v>#DIV/0!</v>
      </c>
      <c r="M117" s="122" t="e">
        <f t="shared" si="663"/>
        <v>#DIV/0!</v>
      </c>
      <c r="N117" s="122" t="e">
        <f t="shared" si="663"/>
        <v>#DIV/0!</v>
      </c>
      <c r="O117" s="122" t="e">
        <f t="shared" si="663"/>
        <v>#DIV/0!</v>
      </c>
      <c r="P117" s="122" t="e">
        <f t="shared" si="663"/>
        <v>#DIV/0!</v>
      </c>
      <c r="Q117" s="122" t="e">
        <f t="shared" si="663"/>
        <v>#DIV/0!</v>
      </c>
      <c r="R117" s="122" t="e">
        <f t="shared" ref="R117:V117" si="664">R29/R53</f>
        <v>#DIV/0!</v>
      </c>
      <c r="S117" s="122" t="e">
        <f t="shared" si="664"/>
        <v>#DIV/0!</v>
      </c>
      <c r="T117" s="122" t="e">
        <f t="shared" si="664"/>
        <v>#DIV/0!</v>
      </c>
      <c r="U117" s="122" t="e">
        <f t="shared" si="664"/>
        <v>#DIV/0!</v>
      </c>
      <c r="V117" s="122" t="e">
        <f t="shared" si="664"/>
        <v>#DIV/0!</v>
      </c>
      <c r="W117" s="122" t="e">
        <f t="shared" ref="W117" si="665">W29/W53</f>
        <v>#DIV/0!</v>
      </c>
      <c r="X117" s="122" t="e">
        <f t="shared" ref="X117:Z117" si="666">X29/X53</f>
        <v>#DIV/0!</v>
      </c>
      <c r="Y117" s="122" t="e">
        <f t="shared" ref="Y117" si="667">Y29/Y53</f>
        <v>#DIV/0!</v>
      </c>
      <c r="Z117" s="122" t="e">
        <f t="shared" si="666"/>
        <v>#DIV/0!</v>
      </c>
      <c r="AA117" s="96" t="e">
        <f t="shared" si="366"/>
        <v>#DIV/0!</v>
      </c>
      <c r="AB117" s="10"/>
      <c r="AC117" s="122" t="e">
        <f t="shared" ref="AC117:AL117" si="668">AC29/AC53</f>
        <v>#DIV/0!</v>
      </c>
      <c r="AD117" s="122" t="e">
        <f t="shared" si="668"/>
        <v>#DIV/0!</v>
      </c>
      <c r="AE117" s="122" t="e">
        <f t="shared" si="668"/>
        <v>#DIV/0!</v>
      </c>
      <c r="AF117" s="122" t="e">
        <f t="shared" si="668"/>
        <v>#DIV/0!</v>
      </c>
      <c r="AG117" s="122" t="e">
        <f t="shared" si="668"/>
        <v>#DIV/0!</v>
      </c>
      <c r="AH117" s="122" t="e">
        <f t="shared" si="668"/>
        <v>#DIV/0!</v>
      </c>
      <c r="AI117" s="122" t="e">
        <f t="shared" si="668"/>
        <v>#DIV/0!</v>
      </c>
      <c r="AJ117" s="122" t="e">
        <f t="shared" si="668"/>
        <v>#DIV/0!</v>
      </c>
      <c r="AK117" s="122" t="e">
        <f t="shared" si="668"/>
        <v>#DIV/0!</v>
      </c>
      <c r="AL117" s="122" t="e">
        <f t="shared" si="668"/>
        <v>#DIV/0!</v>
      </c>
      <c r="AM117" s="109" t="e">
        <f t="shared" ref="AM117" si="669">((AL117/J117)^(1/($AL$3-$K$1) ))-1</f>
        <v>#DIV/0!</v>
      </c>
      <c r="AN117" s="21">
        <f t="shared" si="611"/>
        <v>0.01</v>
      </c>
      <c r="AO117" s="117" t="e">
        <f t="shared" si="404"/>
        <v>#DIV/0!</v>
      </c>
    </row>
    <row r="118" spans="1:41" ht="12" customHeight="1" x14ac:dyDescent="0.15">
      <c r="B118" s="10" t="s">
        <v>185</v>
      </c>
      <c r="C118" s="122"/>
      <c r="D118" s="122"/>
      <c r="E118" s="122"/>
      <c r="F118" s="122"/>
      <c r="G118" s="122">
        <f t="shared" ref="G118" si="670">G29/G59</f>
        <v>2.2045714285714286</v>
      </c>
      <c r="H118" s="122" t="e">
        <f t="shared" ref="H118:I118" si="671">H29/H59</f>
        <v>#DIV/0!</v>
      </c>
      <c r="I118" s="122">
        <f t="shared" si="671"/>
        <v>2.2045714285714286</v>
      </c>
      <c r="J118" s="122">
        <f t="shared" ref="J118:Q118" si="672">J29/J59</f>
        <v>2.7812773403324584</v>
      </c>
      <c r="K118" s="122">
        <f t="shared" si="672"/>
        <v>3.0697236180904524</v>
      </c>
      <c r="L118" s="122">
        <f t="shared" si="672"/>
        <v>3.9533747779751334</v>
      </c>
      <c r="M118" s="122">
        <f t="shared" si="672"/>
        <v>2.5715699208443272</v>
      </c>
      <c r="N118" s="122">
        <f t="shared" si="672"/>
        <v>2.3462783171521036</v>
      </c>
      <c r="O118" s="122">
        <f t="shared" si="672"/>
        <v>2.8647828560591693</v>
      </c>
      <c r="P118" s="122">
        <f t="shared" si="672"/>
        <v>2.8543478260869564</v>
      </c>
      <c r="Q118" s="122">
        <f t="shared" si="672"/>
        <v>2.675148334094021</v>
      </c>
      <c r="R118" s="122">
        <f t="shared" ref="R118:V118" si="673">R29/R59</f>
        <v>2.5502803738317756</v>
      </c>
      <c r="S118" s="122">
        <f t="shared" si="673"/>
        <v>2.6581103222282905</v>
      </c>
      <c r="T118" s="122">
        <f t="shared" si="673"/>
        <v>2.4884542421665468</v>
      </c>
      <c r="U118" s="122">
        <f t="shared" si="673"/>
        <v>2.283459051724138</v>
      </c>
      <c r="V118" s="122">
        <f t="shared" si="673"/>
        <v>0.84415237246602803</v>
      </c>
      <c r="W118" s="122">
        <f t="shared" ref="W118" si="674">W29/W59</f>
        <v>0.91141559202813605</v>
      </c>
      <c r="X118" s="122">
        <f t="shared" ref="X118:Z118" si="675">X29/X59</f>
        <v>0.8579859367152185</v>
      </c>
      <c r="Y118" s="122">
        <f t="shared" ref="Y118" si="676">Y29/Y59</f>
        <v>0.83245085190039314</v>
      </c>
      <c r="Z118" s="122">
        <f t="shared" si="675"/>
        <v>0.73485308139030947</v>
      </c>
      <c r="AA118" s="96">
        <f t="shared" si="366"/>
        <v>-5.618205876051996E-2</v>
      </c>
      <c r="AB118" s="10"/>
      <c r="AC118" s="122">
        <f t="shared" ref="AC118:AL118" si="677">AC29/AC59</f>
        <v>0.73485308139030936</v>
      </c>
      <c r="AD118" s="122">
        <f t="shared" si="677"/>
        <v>0.73485308139030936</v>
      </c>
      <c r="AE118" s="122">
        <f t="shared" si="677"/>
        <v>0.73485308139030936</v>
      </c>
      <c r="AF118" s="122">
        <f t="shared" si="677"/>
        <v>0.73485308139030936</v>
      </c>
      <c r="AG118" s="122">
        <f t="shared" si="677"/>
        <v>0.73485308139030936</v>
      </c>
      <c r="AH118" s="122">
        <f t="shared" si="677"/>
        <v>0.73485308139030936</v>
      </c>
      <c r="AI118" s="122">
        <f t="shared" si="677"/>
        <v>0.73485308139030936</v>
      </c>
      <c r="AJ118" s="122">
        <f t="shared" si="677"/>
        <v>0.73485308139030936</v>
      </c>
      <c r="AK118" s="122">
        <f t="shared" si="677"/>
        <v>0.73485308139030947</v>
      </c>
      <c r="AL118" s="122">
        <f t="shared" si="677"/>
        <v>0.73485308139030936</v>
      </c>
      <c r="AM118" s="109">
        <f t="shared" ref="AM118" si="678">((AL118/J118)^(1/($AL$3-$K$1) ))-1</f>
        <v>-4.4859070118277722E-2</v>
      </c>
      <c r="AN118" s="21">
        <f t="shared" si="611"/>
        <v>0.01</v>
      </c>
      <c r="AO118" s="117" t="e">
        <f t="shared" si="404"/>
        <v>#DIV/0!</v>
      </c>
    </row>
    <row r="119" spans="1:41" ht="12" customHeight="1" x14ac:dyDescent="0.15">
      <c r="B119" s="10" t="s">
        <v>145</v>
      </c>
      <c r="C119" s="122"/>
      <c r="D119" s="122"/>
      <c r="E119" s="122"/>
      <c r="F119" s="122"/>
      <c r="G119" s="122" t="e">
        <f t="shared" ref="G119" si="679">G29/G12</f>
        <v>#DIV/0!</v>
      </c>
      <c r="H119" s="122" t="e">
        <f t="shared" ref="H119:I119" si="680">H29/H12</f>
        <v>#DIV/0!</v>
      </c>
      <c r="I119" s="122" t="e">
        <f t="shared" si="680"/>
        <v>#DIV/0!</v>
      </c>
      <c r="J119" s="122" t="e">
        <f t="shared" ref="J119:Q119" si="681">J29/J12</f>
        <v>#DIV/0!</v>
      </c>
      <c r="K119" s="122" t="e">
        <f t="shared" si="681"/>
        <v>#DIV/0!</v>
      </c>
      <c r="L119" s="122" t="e">
        <f t="shared" si="681"/>
        <v>#DIV/0!</v>
      </c>
      <c r="M119" s="122" t="e">
        <f t="shared" si="681"/>
        <v>#DIV/0!</v>
      </c>
      <c r="N119" s="122" t="e">
        <f t="shared" si="681"/>
        <v>#DIV/0!</v>
      </c>
      <c r="O119" s="122" t="e">
        <f t="shared" si="681"/>
        <v>#DIV/0!</v>
      </c>
      <c r="P119" s="122" t="e">
        <f t="shared" si="681"/>
        <v>#DIV/0!</v>
      </c>
      <c r="Q119" s="122" t="e">
        <f t="shared" si="681"/>
        <v>#DIV/0!</v>
      </c>
      <c r="R119" s="122" t="e">
        <f t="shared" ref="R119:V119" si="682">R29/R12</f>
        <v>#DIV/0!</v>
      </c>
      <c r="S119" s="122" t="e">
        <f t="shared" si="682"/>
        <v>#DIV/0!</v>
      </c>
      <c r="T119" s="122" t="e">
        <f t="shared" si="682"/>
        <v>#DIV/0!</v>
      </c>
      <c r="U119" s="122" t="e">
        <f t="shared" si="682"/>
        <v>#DIV/0!</v>
      </c>
      <c r="V119" s="122" t="e">
        <f t="shared" si="682"/>
        <v>#DIV/0!</v>
      </c>
      <c r="W119" s="122" t="e">
        <f t="shared" ref="W119" si="683">W29/W12</f>
        <v>#DIV/0!</v>
      </c>
      <c r="X119" s="122" t="e">
        <f t="shared" ref="X119:Z119" si="684">X29/X12</f>
        <v>#DIV/0!</v>
      </c>
      <c r="Y119" s="122" t="e">
        <f t="shared" ref="Y119" si="685">Y29/Y12</f>
        <v>#DIV/0!</v>
      </c>
      <c r="Z119" s="122" t="e">
        <f t="shared" si="684"/>
        <v>#DIV/0!</v>
      </c>
      <c r="AA119" s="96" t="e">
        <f t="shared" si="366"/>
        <v>#DIV/0!</v>
      </c>
      <c r="AB119" s="10"/>
      <c r="AC119" s="122" t="e">
        <f t="shared" ref="AC119:AL119" si="686">AC29/AC12</f>
        <v>#DIV/0!</v>
      </c>
      <c r="AD119" s="122" t="e">
        <f t="shared" si="686"/>
        <v>#DIV/0!</v>
      </c>
      <c r="AE119" s="122" t="e">
        <f t="shared" si="686"/>
        <v>#DIV/0!</v>
      </c>
      <c r="AF119" s="122" t="e">
        <f t="shared" si="686"/>
        <v>#DIV/0!</v>
      </c>
      <c r="AG119" s="122" t="e">
        <f t="shared" si="686"/>
        <v>#DIV/0!</v>
      </c>
      <c r="AH119" s="122" t="e">
        <f t="shared" si="686"/>
        <v>#DIV/0!</v>
      </c>
      <c r="AI119" s="122" t="e">
        <f t="shared" si="686"/>
        <v>#DIV/0!</v>
      </c>
      <c r="AJ119" s="122" t="e">
        <f t="shared" si="686"/>
        <v>#DIV/0!</v>
      </c>
      <c r="AK119" s="122" t="e">
        <f t="shared" si="686"/>
        <v>#DIV/0!</v>
      </c>
      <c r="AL119" s="122" t="e">
        <f t="shared" si="686"/>
        <v>#DIV/0!</v>
      </c>
      <c r="AM119" s="109" t="e">
        <f t="shared" si="610"/>
        <v>#DIV/0!</v>
      </c>
      <c r="AN119" s="21">
        <f t="shared" si="611"/>
        <v>0.01</v>
      </c>
      <c r="AO119" s="117" t="e">
        <f t="shared" si="404"/>
        <v>#DIV/0!</v>
      </c>
    </row>
    <row r="120" spans="1:41" ht="12" customHeight="1" x14ac:dyDescent="0.15">
      <c r="B120" s="10" t="s">
        <v>187</v>
      </c>
      <c r="C120" s="122"/>
      <c r="D120" s="122"/>
      <c r="E120" s="122"/>
      <c r="F120" s="122"/>
      <c r="G120" s="122" t="e">
        <f t="shared" ref="G120" si="687">G29/G23</f>
        <v>#DIV/0!</v>
      </c>
      <c r="H120" s="122" t="e">
        <f t="shared" ref="H120:I120" si="688">H29/H23</f>
        <v>#DIV/0!</v>
      </c>
      <c r="I120" s="122" t="e">
        <f t="shared" si="688"/>
        <v>#DIV/0!</v>
      </c>
      <c r="J120" s="122" t="e">
        <f>J29/J23</f>
        <v>#DIV/0!</v>
      </c>
      <c r="K120" s="122" t="e">
        <f t="shared" ref="K120:Q120" si="689">K29/K23</f>
        <v>#DIV/0!</v>
      </c>
      <c r="L120" s="122" t="e">
        <f t="shared" si="689"/>
        <v>#DIV/0!</v>
      </c>
      <c r="M120" s="122" t="e">
        <f t="shared" si="689"/>
        <v>#DIV/0!</v>
      </c>
      <c r="N120" s="122" t="e">
        <f t="shared" si="689"/>
        <v>#DIV/0!</v>
      </c>
      <c r="O120" s="122" t="e">
        <f t="shared" si="689"/>
        <v>#DIV/0!</v>
      </c>
      <c r="P120" s="122" t="e">
        <f t="shared" si="689"/>
        <v>#DIV/0!</v>
      </c>
      <c r="Q120" s="122" t="e">
        <f t="shared" si="689"/>
        <v>#DIV/0!</v>
      </c>
      <c r="R120" s="122" t="e">
        <f t="shared" ref="R120:V120" si="690">R29/R23</f>
        <v>#DIV/0!</v>
      </c>
      <c r="S120" s="122" t="e">
        <f t="shared" si="690"/>
        <v>#DIV/0!</v>
      </c>
      <c r="T120" s="122" t="e">
        <f t="shared" si="690"/>
        <v>#DIV/0!</v>
      </c>
      <c r="U120" s="122" t="e">
        <f t="shared" si="690"/>
        <v>#DIV/0!</v>
      </c>
      <c r="V120" s="122" t="e">
        <f t="shared" si="690"/>
        <v>#DIV/0!</v>
      </c>
      <c r="W120" s="122" t="e">
        <f t="shared" ref="W120" si="691">W29/W23</f>
        <v>#DIV/0!</v>
      </c>
      <c r="X120" s="122" t="e">
        <f t="shared" ref="X120:Z120" si="692">X29/X23</f>
        <v>#DIV/0!</v>
      </c>
      <c r="Y120" s="122" t="e">
        <f t="shared" ref="Y120" si="693">Y29/Y23</f>
        <v>#DIV/0!</v>
      </c>
      <c r="Z120" s="122" t="e">
        <f t="shared" si="692"/>
        <v>#DIV/0!</v>
      </c>
      <c r="AA120" s="96" t="e">
        <f t="shared" si="366"/>
        <v>#DIV/0!</v>
      </c>
      <c r="AB120" s="10"/>
      <c r="AC120" s="122" t="e">
        <f t="shared" ref="AC120:AL120" si="694">AC29/AC23</f>
        <v>#DIV/0!</v>
      </c>
      <c r="AD120" s="122" t="e">
        <f t="shared" si="694"/>
        <v>#DIV/0!</v>
      </c>
      <c r="AE120" s="122" t="e">
        <f t="shared" si="694"/>
        <v>#DIV/0!</v>
      </c>
      <c r="AF120" s="122" t="e">
        <f t="shared" si="694"/>
        <v>#DIV/0!</v>
      </c>
      <c r="AG120" s="122" t="e">
        <f t="shared" si="694"/>
        <v>#DIV/0!</v>
      </c>
      <c r="AH120" s="122" t="e">
        <f t="shared" si="694"/>
        <v>#DIV/0!</v>
      </c>
      <c r="AI120" s="122" t="e">
        <f t="shared" si="694"/>
        <v>#DIV/0!</v>
      </c>
      <c r="AJ120" s="122" t="e">
        <f t="shared" si="694"/>
        <v>#DIV/0!</v>
      </c>
      <c r="AK120" s="122" t="e">
        <f t="shared" si="694"/>
        <v>#DIV/0!</v>
      </c>
      <c r="AL120" s="122" t="e">
        <f t="shared" si="694"/>
        <v>#DIV/0!</v>
      </c>
      <c r="AM120" s="109" t="e">
        <f t="shared" ref="AM120" si="695">((AL120/J120)^(1/($AL$3-$K$1) ))-1</f>
        <v>#DIV/0!</v>
      </c>
      <c r="AN120" s="21">
        <f t="shared" si="611"/>
        <v>0.01</v>
      </c>
      <c r="AO120" s="117" t="e">
        <f t="shared" si="404"/>
        <v>#DIV/0!</v>
      </c>
    </row>
    <row r="121" spans="1:41" ht="12" customHeight="1" x14ac:dyDescent="0.15">
      <c r="B121" s="10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96" t="e">
        <f t="shared" si="366"/>
        <v>#DIV/0!</v>
      </c>
      <c r="AB121" s="10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17"/>
      <c r="AO121" s="117"/>
    </row>
    <row r="122" spans="1:41" ht="12" customHeight="1" x14ac:dyDescent="0.15">
      <c r="B122" s="10" t="s">
        <v>219</v>
      </c>
      <c r="C122" s="122"/>
      <c r="D122" s="122"/>
      <c r="E122" s="122"/>
      <c r="F122" s="103"/>
      <c r="G122" s="103">
        <f t="shared" ref="G122" si="696">1/G116</f>
        <v>2.9652669777086573</v>
      </c>
      <c r="H122" s="103" t="e">
        <f t="shared" ref="H122:I122" si="697">1/H116</f>
        <v>#DIV/0!</v>
      </c>
      <c r="I122" s="103">
        <f t="shared" si="697"/>
        <v>2.9652669777086573</v>
      </c>
      <c r="J122" s="103">
        <f>1/J116</f>
        <v>2.5847750865051906</v>
      </c>
      <c r="K122" s="103">
        <f t="shared" ref="K122:Q122" si="698">1/K116</f>
        <v>2.5404133415183137</v>
      </c>
      <c r="L122" s="103">
        <f t="shared" si="698"/>
        <v>1.8324160395372346</v>
      </c>
      <c r="M122" s="103">
        <f t="shared" si="698"/>
        <v>2.0818263434654356</v>
      </c>
      <c r="N122" s="103">
        <f t="shared" si="698"/>
        <v>2.1265782493368701</v>
      </c>
      <c r="O122" s="103">
        <f t="shared" si="698"/>
        <v>1.8663444988746194</v>
      </c>
      <c r="P122" s="103">
        <f t="shared" si="698"/>
        <v>1.8208174663620207</v>
      </c>
      <c r="Q122" s="103">
        <f t="shared" si="698"/>
        <v>1.815099168266155</v>
      </c>
      <c r="R122" s="103">
        <f t="shared" ref="R122:V122" si="699">1/R116</f>
        <v>1.8567135737320433</v>
      </c>
      <c r="S122" s="103">
        <f t="shared" si="699"/>
        <v>1.8539141154715428</v>
      </c>
      <c r="T122" s="103">
        <f t="shared" si="699"/>
        <v>1.9261060434794037</v>
      </c>
      <c r="U122" s="103">
        <f t="shared" si="699"/>
        <v>2.0123876265307565</v>
      </c>
      <c r="V122" s="103">
        <f t="shared" si="699"/>
        <v>5.5502190320367344</v>
      </c>
      <c r="W122" s="103">
        <f t="shared" ref="W122" si="700">1/W116</f>
        <v>4.9115282578985449</v>
      </c>
      <c r="X122" s="103">
        <f t="shared" ref="X122:Z122" si="701">1/X116</f>
        <v>4.7033513829942928</v>
      </c>
      <c r="Y122" s="103">
        <f t="shared" ref="Y122" si="702">1/Y116</f>
        <v>4.2803703003967506</v>
      </c>
      <c r="Z122" s="103">
        <f t="shared" si="701"/>
        <v>5.0352087756546355</v>
      </c>
      <c r="AA122" s="96">
        <f t="shared" si="366"/>
        <v>2.8259724275504494E-2</v>
      </c>
      <c r="AB122" s="10"/>
      <c r="AC122" s="103">
        <f t="shared" ref="AC122:AL122" si="703">1/AC116</f>
        <v>5.0352087756546355</v>
      </c>
      <c r="AD122" s="103">
        <f t="shared" si="703"/>
        <v>5.0352087756546355</v>
      </c>
      <c r="AE122" s="103">
        <f t="shared" si="703"/>
        <v>5.0352087756546355</v>
      </c>
      <c r="AF122" s="103">
        <f t="shared" si="703"/>
        <v>5.0352087756546355</v>
      </c>
      <c r="AG122" s="103">
        <f t="shared" si="703"/>
        <v>5.0352087756546355</v>
      </c>
      <c r="AH122" s="103">
        <f t="shared" si="703"/>
        <v>5.0352087756546355</v>
      </c>
      <c r="AI122" s="103">
        <f t="shared" si="703"/>
        <v>5.0352087756546355</v>
      </c>
      <c r="AJ122" s="103">
        <f t="shared" si="703"/>
        <v>5.0352087756546346</v>
      </c>
      <c r="AK122" s="103">
        <f t="shared" si="703"/>
        <v>5.0352087756546346</v>
      </c>
      <c r="AL122" s="103">
        <f t="shared" si="703"/>
        <v>5.0352087756546355</v>
      </c>
      <c r="AM122" s="109">
        <f t="shared" si="610"/>
        <v>2.3260064519369683E-2</v>
      </c>
      <c r="AN122" s="21">
        <f t="shared" si="611"/>
        <v>0.01</v>
      </c>
      <c r="AO122" s="117" t="e">
        <f t="shared" si="404"/>
        <v>#DIV/0!</v>
      </c>
    </row>
    <row r="123" spans="1:41" ht="12" customHeight="1" x14ac:dyDescent="0.15">
      <c r="B123" s="10" t="s">
        <v>220</v>
      </c>
      <c r="C123" s="122"/>
      <c r="D123" s="122"/>
      <c r="E123" s="122"/>
      <c r="F123" s="103"/>
      <c r="G123" s="103" t="e">
        <f t="shared" ref="G123" si="704">1/G117</f>
        <v>#DIV/0!</v>
      </c>
      <c r="H123" s="103" t="e">
        <f t="shared" ref="H123:I123" si="705">1/H117</f>
        <v>#DIV/0!</v>
      </c>
      <c r="I123" s="103" t="e">
        <f t="shared" si="705"/>
        <v>#DIV/0!</v>
      </c>
      <c r="J123" s="103" t="e">
        <f t="shared" ref="J123:Q126" si="706">1/J117</f>
        <v>#DIV/0!</v>
      </c>
      <c r="K123" s="103" t="e">
        <f t="shared" si="706"/>
        <v>#DIV/0!</v>
      </c>
      <c r="L123" s="103" t="e">
        <f t="shared" si="706"/>
        <v>#DIV/0!</v>
      </c>
      <c r="M123" s="103" t="e">
        <f t="shared" si="706"/>
        <v>#DIV/0!</v>
      </c>
      <c r="N123" s="103" t="e">
        <f t="shared" si="706"/>
        <v>#DIV/0!</v>
      </c>
      <c r="O123" s="103" t="e">
        <f t="shared" si="706"/>
        <v>#DIV/0!</v>
      </c>
      <c r="P123" s="103" t="e">
        <f t="shared" si="706"/>
        <v>#DIV/0!</v>
      </c>
      <c r="Q123" s="103" t="e">
        <f t="shared" si="706"/>
        <v>#DIV/0!</v>
      </c>
      <c r="R123" s="103" t="e">
        <f t="shared" ref="R123:V123" si="707">1/R117</f>
        <v>#DIV/0!</v>
      </c>
      <c r="S123" s="103" t="e">
        <f t="shared" si="707"/>
        <v>#DIV/0!</v>
      </c>
      <c r="T123" s="103" t="e">
        <f t="shared" si="707"/>
        <v>#DIV/0!</v>
      </c>
      <c r="U123" s="103" t="e">
        <f t="shared" si="707"/>
        <v>#DIV/0!</v>
      </c>
      <c r="V123" s="103" t="e">
        <f t="shared" si="707"/>
        <v>#DIV/0!</v>
      </c>
      <c r="W123" s="103" t="e">
        <f t="shared" ref="W123" si="708">1/W117</f>
        <v>#DIV/0!</v>
      </c>
      <c r="X123" s="103" t="e">
        <f t="shared" ref="X123:Z123" si="709">1/X117</f>
        <v>#DIV/0!</v>
      </c>
      <c r="Y123" s="103" t="e">
        <f t="shared" ref="Y123" si="710">1/Y117</f>
        <v>#DIV/0!</v>
      </c>
      <c r="Z123" s="103" t="e">
        <f t="shared" si="709"/>
        <v>#DIV/0!</v>
      </c>
      <c r="AA123" s="96" t="e">
        <f t="shared" si="366"/>
        <v>#DIV/0!</v>
      </c>
      <c r="AB123" s="10"/>
      <c r="AC123" s="103" t="e">
        <f t="shared" ref="AC123:AL123" si="711">1/AC117</f>
        <v>#DIV/0!</v>
      </c>
      <c r="AD123" s="103" t="e">
        <f t="shared" si="711"/>
        <v>#DIV/0!</v>
      </c>
      <c r="AE123" s="103" t="e">
        <f t="shared" si="711"/>
        <v>#DIV/0!</v>
      </c>
      <c r="AF123" s="103" t="e">
        <f t="shared" si="711"/>
        <v>#DIV/0!</v>
      </c>
      <c r="AG123" s="103" t="e">
        <f t="shared" si="711"/>
        <v>#DIV/0!</v>
      </c>
      <c r="AH123" s="103" t="e">
        <f t="shared" si="711"/>
        <v>#DIV/0!</v>
      </c>
      <c r="AI123" s="103" t="e">
        <f t="shared" si="711"/>
        <v>#DIV/0!</v>
      </c>
      <c r="AJ123" s="103" t="e">
        <f t="shared" si="711"/>
        <v>#DIV/0!</v>
      </c>
      <c r="AK123" s="103" t="e">
        <f t="shared" si="711"/>
        <v>#DIV/0!</v>
      </c>
      <c r="AL123" s="103" t="e">
        <f t="shared" si="711"/>
        <v>#DIV/0!</v>
      </c>
      <c r="AM123" s="109" t="e">
        <f t="shared" si="610"/>
        <v>#DIV/0!</v>
      </c>
      <c r="AN123" s="21">
        <f t="shared" si="611"/>
        <v>0.01</v>
      </c>
      <c r="AO123" s="117" t="e">
        <f t="shared" si="404"/>
        <v>#DIV/0!</v>
      </c>
    </row>
    <row r="124" spans="1:41" ht="12" customHeight="1" x14ac:dyDescent="0.15">
      <c r="B124" s="10" t="s">
        <v>221</v>
      </c>
      <c r="C124" s="122"/>
      <c r="D124" s="122"/>
      <c r="E124" s="122"/>
      <c r="F124" s="103"/>
      <c r="G124" s="103">
        <f t="shared" ref="G124" si="712">1/G118</f>
        <v>0.45360290305857959</v>
      </c>
      <c r="H124" s="103" t="e">
        <f t="shared" ref="H124:I124" si="713">1/H118</f>
        <v>#DIV/0!</v>
      </c>
      <c r="I124" s="103">
        <f t="shared" si="713"/>
        <v>0.45360290305857959</v>
      </c>
      <c r="J124" s="103">
        <f t="shared" si="706"/>
        <v>0.35954702736709659</v>
      </c>
      <c r="K124" s="103">
        <f t="shared" si="706"/>
        <v>0.32576222631471247</v>
      </c>
      <c r="L124" s="103">
        <f t="shared" si="706"/>
        <v>0.25294844434460295</v>
      </c>
      <c r="M124" s="103">
        <f t="shared" si="706"/>
        <v>0.38886751314608181</v>
      </c>
      <c r="N124" s="103">
        <f t="shared" si="706"/>
        <v>0.42620689655172411</v>
      </c>
      <c r="O124" s="103">
        <f t="shared" si="706"/>
        <v>0.34906659605454787</v>
      </c>
      <c r="P124" s="103">
        <f t="shared" si="706"/>
        <v>0.35034272658035037</v>
      </c>
      <c r="Q124" s="103">
        <f t="shared" si="706"/>
        <v>0.37381104713158458</v>
      </c>
      <c r="R124" s="103">
        <f t="shared" ref="R124:V124" si="714">1/R118</f>
        <v>0.39211374963353857</v>
      </c>
      <c r="S124" s="103">
        <f t="shared" si="714"/>
        <v>0.3762071091021163</v>
      </c>
      <c r="T124" s="103">
        <f t="shared" si="714"/>
        <v>0.40185589232670016</v>
      </c>
      <c r="U124" s="103">
        <f t="shared" si="714"/>
        <v>0.43793209221113233</v>
      </c>
      <c r="V124" s="103">
        <f t="shared" si="714"/>
        <v>1.1846202565049877</v>
      </c>
      <c r="W124" s="103">
        <f t="shared" ref="W124" si="715">1/W118</f>
        <v>1.0971943082241338</v>
      </c>
      <c r="X124" s="103">
        <f t="shared" ref="X124:Z124" si="716">1/X118</f>
        <v>1.1655202692814284</v>
      </c>
      <c r="Y124" s="103">
        <f t="shared" ref="Y124" si="717">1/Y118</f>
        <v>1.2012721204106052</v>
      </c>
      <c r="Z124" s="103">
        <f t="shared" si="716"/>
        <v>1.3608162302429818</v>
      </c>
      <c r="AA124" s="96">
        <f t="shared" si="366"/>
        <v>5.9526372943004446E-2</v>
      </c>
      <c r="AB124" s="10"/>
      <c r="AC124" s="103">
        <f t="shared" ref="AC124:AL124" si="718">1/AC118</f>
        <v>1.360816230242982</v>
      </c>
      <c r="AD124" s="103">
        <f t="shared" si="718"/>
        <v>1.360816230242982</v>
      </c>
      <c r="AE124" s="103">
        <f t="shared" si="718"/>
        <v>1.360816230242982</v>
      </c>
      <c r="AF124" s="103">
        <f t="shared" si="718"/>
        <v>1.360816230242982</v>
      </c>
      <c r="AG124" s="103">
        <f t="shared" si="718"/>
        <v>1.360816230242982</v>
      </c>
      <c r="AH124" s="103">
        <f t="shared" si="718"/>
        <v>1.360816230242982</v>
      </c>
      <c r="AI124" s="103">
        <f t="shared" si="718"/>
        <v>1.360816230242982</v>
      </c>
      <c r="AJ124" s="103">
        <f t="shared" si="718"/>
        <v>1.360816230242982</v>
      </c>
      <c r="AK124" s="103">
        <f t="shared" si="718"/>
        <v>1.3608162302429818</v>
      </c>
      <c r="AL124" s="103">
        <f t="shared" si="718"/>
        <v>1.360816230242982</v>
      </c>
      <c r="AM124" s="109">
        <f t="shared" si="610"/>
        <v>4.6965917504794508E-2</v>
      </c>
      <c r="AN124" s="21">
        <f t="shared" si="611"/>
        <v>0.01</v>
      </c>
      <c r="AO124" s="117" t="e">
        <f t="shared" si="404"/>
        <v>#DIV/0!</v>
      </c>
    </row>
    <row r="125" spans="1:41" ht="12" customHeight="1" x14ac:dyDescent="0.15">
      <c r="B125" s="10" t="s">
        <v>222</v>
      </c>
      <c r="C125" s="122"/>
      <c r="D125" s="122"/>
      <c r="E125" s="122"/>
      <c r="F125" s="103"/>
      <c r="G125" s="103" t="e">
        <f t="shared" ref="G125" si="719">1/G119</f>
        <v>#DIV/0!</v>
      </c>
      <c r="H125" s="103" t="e">
        <f t="shared" ref="H125:I125" si="720">1/H119</f>
        <v>#DIV/0!</v>
      </c>
      <c r="I125" s="103" t="e">
        <f t="shared" si="720"/>
        <v>#DIV/0!</v>
      </c>
      <c r="J125" s="103" t="e">
        <f t="shared" si="706"/>
        <v>#DIV/0!</v>
      </c>
      <c r="K125" s="103" t="e">
        <f t="shared" si="706"/>
        <v>#DIV/0!</v>
      </c>
      <c r="L125" s="103" t="e">
        <f t="shared" si="706"/>
        <v>#DIV/0!</v>
      </c>
      <c r="M125" s="103" t="e">
        <f t="shared" si="706"/>
        <v>#DIV/0!</v>
      </c>
      <c r="N125" s="103" t="e">
        <f t="shared" si="706"/>
        <v>#DIV/0!</v>
      </c>
      <c r="O125" s="103" t="e">
        <f t="shared" si="706"/>
        <v>#DIV/0!</v>
      </c>
      <c r="P125" s="103" t="e">
        <f t="shared" si="706"/>
        <v>#DIV/0!</v>
      </c>
      <c r="Q125" s="103" t="e">
        <f t="shared" si="706"/>
        <v>#DIV/0!</v>
      </c>
      <c r="R125" s="103" t="e">
        <f t="shared" ref="R125:V125" si="721">1/R119</f>
        <v>#DIV/0!</v>
      </c>
      <c r="S125" s="103" t="e">
        <f t="shared" si="721"/>
        <v>#DIV/0!</v>
      </c>
      <c r="T125" s="103" t="e">
        <f t="shared" si="721"/>
        <v>#DIV/0!</v>
      </c>
      <c r="U125" s="103" t="e">
        <f t="shared" si="721"/>
        <v>#DIV/0!</v>
      </c>
      <c r="V125" s="103" t="e">
        <f t="shared" si="721"/>
        <v>#DIV/0!</v>
      </c>
      <c r="W125" s="103" t="e">
        <f t="shared" ref="W125" si="722">1/W119</f>
        <v>#DIV/0!</v>
      </c>
      <c r="X125" s="103" t="e">
        <f t="shared" ref="X125:Z125" si="723">1/X119</f>
        <v>#DIV/0!</v>
      </c>
      <c r="Y125" s="103" t="e">
        <f t="shared" ref="Y125" si="724">1/Y119</f>
        <v>#DIV/0!</v>
      </c>
      <c r="Z125" s="103" t="e">
        <f t="shared" si="723"/>
        <v>#DIV/0!</v>
      </c>
      <c r="AA125" s="96" t="e">
        <f t="shared" si="366"/>
        <v>#DIV/0!</v>
      </c>
      <c r="AB125" s="10"/>
      <c r="AC125" s="103" t="e">
        <f t="shared" ref="AC125:AL125" si="725">1/AC119</f>
        <v>#DIV/0!</v>
      </c>
      <c r="AD125" s="103" t="e">
        <f t="shared" si="725"/>
        <v>#DIV/0!</v>
      </c>
      <c r="AE125" s="103" t="e">
        <f t="shared" si="725"/>
        <v>#DIV/0!</v>
      </c>
      <c r="AF125" s="103" t="e">
        <f t="shared" si="725"/>
        <v>#DIV/0!</v>
      </c>
      <c r="AG125" s="103" t="e">
        <f t="shared" si="725"/>
        <v>#DIV/0!</v>
      </c>
      <c r="AH125" s="103" t="e">
        <f t="shared" si="725"/>
        <v>#DIV/0!</v>
      </c>
      <c r="AI125" s="103" t="e">
        <f t="shared" si="725"/>
        <v>#DIV/0!</v>
      </c>
      <c r="AJ125" s="103" t="e">
        <f t="shared" si="725"/>
        <v>#DIV/0!</v>
      </c>
      <c r="AK125" s="103" t="e">
        <f t="shared" si="725"/>
        <v>#DIV/0!</v>
      </c>
      <c r="AL125" s="103" t="e">
        <f t="shared" si="725"/>
        <v>#DIV/0!</v>
      </c>
      <c r="AM125" s="109" t="e">
        <f t="shared" si="610"/>
        <v>#DIV/0!</v>
      </c>
      <c r="AN125" s="21">
        <f t="shared" si="611"/>
        <v>0.01</v>
      </c>
      <c r="AO125" s="117" t="e">
        <f t="shared" si="404"/>
        <v>#DIV/0!</v>
      </c>
    </row>
    <row r="126" spans="1:41" ht="12" customHeight="1" x14ac:dyDescent="0.15">
      <c r="B126" s="10" t="s">
        <v>223</v>
      </c>
      <c r="C126" s="122"/>
      <c r="D126" s="122"/>
      <c r="E126" s="122"/>
      <c r="F126" s="103"/>
      <c r="G126" s="103" t="e">
        <f t="shared" ref="G126" si="726">1/G120</f>
        <v>#DIV/0!</v>
      </c>
      <c r="H126" s="103" t="e">
        <f t="shared" ref="H126:I126" si="727">1/H120</f>
        <v>#DIV/0!</v>
      </c>
      <c r="I126" s="103" t="e">
        <f t="shared" si="727"/>
        <v>#DIV/0!</v>
      </c>
      <c r="J126" s="103" t="e">
        <f t="shared" si="706"/>
        <v>#DIV/0!</v>
      </c>
      <c r="K126" s="103" t="e">
        <f t="shared" si="706"/>
        <v>#DIV/0!</v>
      </c>
      <c r="L126" s="103" t="e">
        <f t="shared" si="706"/>
        <v>#DIV/0!</v>
      </c>
      <c r="M126" s="103" t="e">
        <f t="shared" si="706"/>
        <v>#DIV/0!</v>
      </c>
      <c r="N126" s="103" t="e">
        <f t="shared" si="706"/>
        <v>#DIV/0!</v>
      </c>
      <c r="O126" s="103" t="e">
        <f t="shared" si="706"/>
        <v>#DIV/0!</v>
      </c>
      <c r="P126" s="103" t="e">
        <f t="shared" si="706"/>
        <v>#DIV/0!</v>
      </c>
      <c r="Q126" s="103" t="e">
        <f t="shared" si="706"/>
        <v>#DIV/0!</v>
      </c>
      <c r="R126" s="103" t="e">
        <f t="shared" ref="R126:V126" si="728">1/R120</f>
        <v>#DIV/0!</v>
      </c>
      <c r="S126" s="103" t="e">
        <f t="shared" si="728"/>
        <v>#DIV/0!</v>
      </c>
      <c r="T126" s="103" t="e">
        <f t="shared" si="728"/>
        <v>#DIV/0!</v>
      </c>
      <c r="U126" s="103" t="e">
        <f t="shared" si="728"/>
        <v>#DIV/0!</v>
      </c>
      <c r="V126" s="103" t="e">
        <f t="shared" si="728"/>
        <v>#DIV/0!</v>
      </c>
      <c r="W126" s="103" t="e">
        <f t="shared" ref="W126" si="729">1/W120</f>
        <v>#DIV/0!</v>
      </c>
      <c r="X126" s="103" t="e">
        <f t="shared" ref="X126:Z126" si="730">1/X120</f>
        <v>#DIV/0!</v>
      </c>
      <c r="Y126" s="103" t="e">
        <f t="shared" ref="Y126" si="731">1/Y120</f>
        <v>#DIV/0!</v>
      </c>
      <c r="Z126" s="103" t="e">
        <f t="shared" si="730"/>
        <v>#DIV/0!</v>
      </c>
      <c r="AA126" s="96" t="e">
        <f t="shared" si="366"/>
        <v>#DIV/0!</v>
      </c>
      <c r="AB126" s="10"/>
      <c r="AC126" s="103" t="e">
        <f t="shared" ref="AC126:AL126" si="732">1/AC120</f>
        <v>#DIV/0!</v>
      </c>
      <c r="AD126" s="103" t="e">
        <f t="shared" si="732"/>
        <v>#DIV/0!</v>
      </c>
      <c r="AE126" s="103" t="e">
        <f t="shared" si="732"/>
        <v>#DIV/0!</v>
      </c>
      <c r="AF126" s="103" t="e">
        <f t="shared" si="732"/>
        <v>#DIV/0!</v>
      </c>
      <c r="AG126" s="103" t="e">
        <f t="shared" si="732"/>
        <v>#DIV/0!</v>
      </c>
      <c r="AH126" s="103" t="e">
        <f t="shared" si="732"/>
        <v>#DIV/0!</v>
      </c>
      <c r="AI126" s="103" t="e">
        <f t="shared" si="732"/>
        <v>#DIV/0!</v>
      </c>
      <c r="AJ126" s="103" t="e">
        <f t="shared" si="732"/>
        <v>#DIV/0!</v>
      </c>
      <c r="AK126" s="103" t="e">
        <f t="shared" si="732"/>
        <v>#DIV/0!</v>
      </c>
      <c r="AL126" s="103" t="e">
        <f t="shared" si="732"/>
        <v>#DIV/0!</v>
      </c>
      <c r="AM126" s="109" t="e">
        <f t="shared" si="610"/>
        <v>#DIV/0!</v>
      </c>
      <c r="AN126" s="21">
        <f t="shared" si="611"/>
        <v>0.01</v>
      </c>
      <c r="AO126" s="117" t="e">
        <f t="shared" si="404"/>
        <v>#DIV/0!</v>
      </c>
    </row>
    <row r="127" spans="1:41" ht="12" customHeight="1" x14ac:dyDescent="0.15">
      <c r="B127" s="10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96" t="e">
        <f t="shared" si="366"/>
        <v>#DIV/0!</v>
      </c>
      <c r="AB127" s="10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17"/>
      <c r="AO127" s="117"/>
    </row>
    <row r="128" spans="1:41" ht="12" customHeight="1" x14ac:dyDescent="0.15">
      <c r="A128" s="175" t="s">
        <v>277</v>
      </c>
      <c r="B128" s="166" t="s">
        <v>284</v>
      </c>
      <c r="C128" s="122"/>
      <c r="D128" s="122"/>
      <c r="E128" s="122"/>
      <c r="F128" s="122"/>
      <c r="G128" s="122">
        <f t="shared" ref="G128" si="733">G25/(G36+G38)</f>
        <v>9.4847272676623198E-2</v>
      </c>
      <c r="H128" s="122">
        <f t="shared" ref="H128:I128" si="734">H25/(H36+H38)</f>
        <v>0</v>
      </c>
      <c r="I128" s="122">
        <f t="shared" si="734"/>
        <v>9.4847272676623198E-2</v>
      </c>
      <c r="J128" s="122">
        <f t="shared" ref="J128:Q128" si="735">J25/(J36+J38)</f>
        <v>0.11560376482505381</v>
      </c>
      <c r="K128" s="122">
        <f t="shared" si="735"/>
        <v>0.11811548012063668</v>
      </c>
      <c r="L128" s="122">
        <f t="shared" si="735"/>
        <v>0.11218616549419265</v>
      </c>
      <c r="M128" s="122">
        <f t="shared" si="735"/>
        <v>8.9943923576478929E-2</v>
      </c>
      <c r="N128" s="122">
        <f t="shared" si="735"/>
        <v>8.9904322745887846E-2</v>
      </c>
      <c r="O128" s="122">
        <f t="shared" si="735"/>
        <v>0.10331912648008414</v>
      </c>
      <c r="P128" s="122">
        <f t="shared" si="735"/>
        <v>0.10686051605097933</v>
      </c>
      <c r="Q128" s="122">
        <f t="shared" si="735"/>
        <v>0.10212971229444461</v>
      </c>
      <c r="R128" s="122">
        <f t="shared" ref="R128:V128" si="736">R25/(R36+R38)</f>
        <v>0.48363417684061816</v>
      </c>
      <c r="S128" s="122">
        <f t="shared" si="736"/>
        <v>0.10226249765233891</v>
      </c>
      <c r="T128" s="122">
        <f t="shared" si="736"/>
        <v>9.8808035611942027E-2</v>
      </c>
      <c r="U128" s="122">
        <f t="shared" si="736"/>
        <v>9.0268274173728874E-2</v>
      </c>
      <c r="V128" s="122">
        <f t="shared" si="736"/>
        <v>9.7349278026797895E-2</v>
      </c>
      <c r="W128" s="122">
        <f t="shared" ref="W128" si="737">W25/(W36+W38)</f>
        <v>9.166184685992404E-2</v>
      </c>
      <c r="X128" s="122">
        <f t="shared" ref="X128:Z128" si="738">X25/(X36+X38)</f>
        <v>9.5143247754343446E-3</v>
      </c>
      <c r="Y128" s="122">
        <f t="shared" ref="Y128" si="739">Y25/(Y36+Y38)</f>
        <v>7.6155944444973547E-2</v>
      </c>
      <c r="Z128" s="122">
        <f t="shared" si="738"/>
        <v>7.9821018123036949E-2</v>
      </c>
      <c r="AA128" s="96">
        <f t="shared" si="366"/>
        <v>-9.0368717500163287E-3</v>
      </c>
      <c r="AB128" s="10"/>
      <c r="AC128" s="122">
        <f t="shared" ref="AC128:AL128" si="740">AC25/(AC36+AC38)</f>
        <v>7.9821018123036963E-2</v>
      </c>
      <c r="AD128" s="122">
        <f t="shared" si="740"/>
        <v>7.9821018123036949E-2</v>
      </c>
      <c r="AE128" s="122">
        <f t="shared" si="740"/>
        <v>7.9821018123036949E-2</v>
      </c>
      <c r="AF128" s="122">
        <f t="shared" si="740"/>
        <v>7.9821018123036949E-2</v>
      </c>
      <c r="AG128" s="122">
        <f t="shared" si="740"/>
        <v>7.9821018123036963E-2</v>
      </c>
      <c r="AH128" s="122">
        <f t="shared" si="740"/>
        <v>7.9821018123036935E-2</v>
      </c>
      <c r="AI128" s="122">
        <f t="shared" si="740"/>
        <v>7.9821018123036935E-2</v>
      </c>
      <c r="AJ128" s="122">
        <f t="shared" si="740"/>
        <v>7.9821018123036935E-2</v>
      </c>
      <c r="AK128" s="122">
        <f t="shared" si="740"/>
        <v>7.9821018123036935E-2</v>
      </c>
      <c r="AL128" s="122">
        <f t="shared" si="740"/>
        <v>7.9821018123036935E-2</v>
      </c>
      <c r="AM128" s="109">
        <f t="shared" ref="AM128:AM136" si="741">((AL128/J128)^(1/($AL$3-$K$1) ))-1</f>
        <v>-1.2690568585987605E-2</v>
      </c>
      <c r="AN128" s="21">
        <f t="shared" si="611"/>
        <v>0.01</v>
      </c>
      <c r="AO128" s="117" t="e">
        <f t="shared" si="404"/>
        <v>#DIV/0!</v>
      </c>
    </row>
    <row r="129" spans="1:41" ht="12" customHeight="1" x14ac:dyDescent="0.15">
      <c r="A129" s="175"/>
      <c r="B129" s="166" t="s">
        <v>279</v>
      </c>
      <c r="C129" s="122"/>
      <c r="D129" s="122"/>
      <c r="E129" s="122"/>
      <c r="F129" s="122"/>
      <c r="G129" s="122">
        <f t="shared" ref="G129" si="742">G25/G43</f>
        <v>0.16313958131310249</v>
      </c>
      <c r="H129" s="122">
        <f t="shared" ref="H129:I129" si="743">H25/H43</f>
        <v>0</v>
      </c>
      <c r="I129" s="122">
        <f t="shared" si="743"/>
        <v>0.16313958131310249</v>
      </c>
      <c r="J129" s="122">
        <f t="shared" ref="J129:Q129" si="744">J25/J43</f>
        <v>0.17503834355828221</v>
      </c>
      <c r="K129" s="122">
        <f t="shared" si="744"/>
        <v>0.19573991738403809</v>
      </c>
      <c r="L129" s="122">
        <f t="shared" si="744"/>
        <v>0.16474294889272623</v>
      </c>
      <c r="M129" s="122">
        <f t="shared" si="744"/>
        <v>0.12865997685515448</v>
      </c>
      <c r="N129" s="122">
        <f t="shared" si="744"/>
        <v>0.12462149709943979</v>
      </c>
      <c r="O129" s="122">
        <f t="shared" si="744"/>
        <v>0.14178950597725776</v>
      </c>
      <c r="P129" s="122">
        <f t="shared" si="744"/>
        <v>0.14504236688305122</v>
      </c>
      <c r="Q129" s="122">
        <f t="shared" si="744"/>
        <v>0.13491620643083146</v>
      </c>
      <c r="R129" s="122">
        <f t="shared" ref="R129:V129" si="745">R25/R43</f>
        <v>0.13214677874947511</v>
      </c>
      <c r="S129" s="122">
        <f t="shared" si="745"/>
        <v>0.12961686059635946</v>
      </c>
      <c r="T129" s="122">
        <f t="shared" si="745"/>
        <v>0.12514688802350207</v>
      </c>
      <c r="U129" s="122">
        <f t="shared" si="745"/>
        <v>0.12183282788097133</v>
      </c>
      <c r="V129" s="122">
        <f t="shared" si="745"/>
        <v>0.12098175149731599</v>
      </c>
      <c r="W129" s="122">
        <f t="shared" ref="W129" si="746">W25/W43</f>
        <v>0.11707627890041872</v>
      </c>
      <c r="X129" s="122">
        <f t="shared" ref="X129:Z129" si="747">X25/X43</f>
        <v>0.10845679892481373</v>
      </c>
      <c r="Y129" s="122">
        <f t="shared" ref="Y129" si="748">Y25/Y43</f>
        <v>9.5666114450836129E-2</v>
      </c>
      <c r="Z129" s="122">
        <f t="shared" si="747"/>
        <v>0.10274322497260746</v>
      </c>
      <c r="AA129" s="96">
        <f t="shared" si="366"/>
        <v>-2.4041714809135084E-2</v>
      </c>
      <c r="AB129" s="10"/>
      <c r="AC129" s="122">
        <f t="shared" ref="AC129:AL129" si="749">AC25/AC43</f>
        <v>0.10274322497260746</v>
      </c>
      <c r="AD129" s="122">
        <f t="shared" si="749"/>
        <v>0.10274322497260745</v>
      </c>
      <c r="AE129" s="122">
        <f t="shared" si="749"/>
        <v>0.10274322497260746</v>
      </c>
      <c r="AF129" s="122">
        <f t="shared" si="749"/>
        <v>0.10274322497260746</v>
      </c>
      <c r="AG129" s="122">
        <f t="shared" si="749"/>
        <v>0.10274322497260747</v>
      </c>
      <c r="AH129" s="122">
        <f t="shared" si="749"/>
        <v>0.10274322497260747</v>
      </c>
      <c r="AI129" s="122">
        <f t="shared" si="749"/>
        <v>0.10274322497260746</v>
      </c>
      <c r="AJ129" s="122">
        <f t="shared" si="749"/>
        <v>0.10274322497260746</v>
      </c>
      <c r="AK129" s="122">
        <f t="shared" si="749"/>
        <v>0.10274322497260746</v>
      </c>
      <c r="AL129" s="122">
        <f t="shared" si="749"/>
        <v>0.10274322497260746</v>
      </c>
      <c r="AM129" s="109">
        <f t="shared" si="741"/>
        <v>-1.8203726715701474E-2</v>
      </c>
      <c r="AN129" s="21">
        <f t="shared" si="611"/>
        <v>0.01</v>
      </c>
      <c r="AO129" s="117" t="e">
        <f t="shared" si="404"/>
        <v>#DIV/0!</v>
      </c>
    </row>
    <row r="130" spans="1:41" ht="12" customHeight="1" x14ac:dyDescent="0.15">
      <c r="A130" s="175"/>
      <c r="B130" s="166" t="s">
        <v>285</v>
      </c>
      <c r="C130" s="122"/>
      <c r="D130" s="122"/>
      <c r="E130" s="122"/>
      <c r="F130" s="122"/>
      <c r="G130" s="122">
        <f t="shared" ref="G130" si="750">G43/(G36)</f>
        <v>0.62894864297630371</v>
      </c>
      <c r="H130" s="122">
        <f t="shared" ref="H130:I130" si="751">H43/(H36)</f>
        <v>0.62894864297630371</v>
      </c>
      <c r="I130" s="122">
        <f t="shared" si="751"/>
        <v>0.62894864297630371</v>
      </c>
      <c r="J130" s="122">
        <f t="shared" ref="J130:Q130" si="752">J43/(J36)</f>
        <v>0.68768311262158677</v>
      </c>
      <c r="K130" s="122">
        <f t="shared" si="752"/>
        <v>0.63028291480756427</v>
      </c>
      <c r="L130" s="122">
        <f t="shared" si="752"/>
        <v>0.69422478337679816</v>
      </c>
      <c r="M130" s="122">
        <f t="shared" si="752"/>
        <v>0.75411991846835269</v>
      </c>
      <c r="N130" s="122">
        <f t="shared" si="752"/>
        <v>0.77216052850153871</v>
      </c>
      <c r="O130" s="122">
        <f t="shared" si="752"/>
        <v>0.80651337110964183</v>
      </c>
      <c r="P130" s="122">
        <f t="shared" si="752"/>
        <v>0.83503044672077165</v>
      </c>
      <c r="Q130" s="122">
        <f t="shared" si="752"/>
        <v>0.85926228615015798</v>
      </c>
      <c r="R130" s="122">
        <f t="shared" ref="R130:V130" si="753">R43/(R36)</f>
        <v>8.4669081112117137</v>
      </c>
      <c r="S130" s="122">
        <f t="shared" si="753"/>
        <v>0.89268016553300855</v>
      </c>
      <c r="T130" s="122">
        <f t="shared" si="753"/>
        <v>0.91035460728246365</v>
      </c>
      <c r="U130" s="122">
        <f t="shared" si="753"/>
        <v>0.8879441889963533</v>
      </c>
      <c r="V130" s="122">
        <f t="shared" si="753"/>
        <v>0.94224402765522464</v>
      </c>
      <c r="W130" s="122">
        <f t="shared" ref="W130" si="754">W43/(W36)</f>
        <v>0.91054233659365191</v>
      </c>
      <c r="X130" s="122">
        <f t="shared" ref="X130:Z130" si="755">X43/(X36)</f>
        <v>8.8893647084234556E-2</v>
      </c>
      <c r="Y130" s="122">
        <f t="shared" ref="Y130" si="756">Y43/(Y36)</f>
        <v>0.91202776888106118</v>
      </c>
      <c r="Z130" s="122">
        <f t="shared" si="755"/>
        <v>0.88276499830293575</v>
      </c>
      <c r="AA130" s="96">
        <f t="shared" si="366"/>
        <v>1.8002731242807268E-2</v>
      </c>
      <c r="AB130" s="10"/>
      <c r="AC130" s="122">
        <f t="shared" ref="AC130:AL130" si="757">AC43/(AC36+AC38)</f>
        <v>0.77689811804445674</v>
      </c>
      <c r="AD130" s="122">
        <f t="shared" si="757"/>
        <v>0.77689811804445663</v>
      </c>
      <c r="AE130" s="122">
        <f t="shared" si="757"/>
        <v>0.77689811804445663</v>
      </c>
      <c r="AF130" s="122">
        <f t="shared" si="757"/>
        <v>0.77689811804445652</v>
      </c>
      <c r="AG130" s="122">
        <f t="shared" si="757"/>
        <v>0.77689811804445663</v>
      </c>
      <c r="AH130" s="122">
        <f t="shared" si="757"/>
        <v>0.77689811804445641</v>
      </c>
      <c r="AI130" s="122">
        <f t="shared" si="757"/>
        <v>0.77689811804445641</v>
      </c>
      <c r="AJ130" s="122">
        <f t="shared" si="757"/>
        <v>0.77689811804445641</v>
      </c>
      <c r="AK130" s="122">
        <f t="shared" si="757"/>
        <v>0.77689811804445641</v>
      </c>
      <c r="AL130" s="122">
        <f t="shared" si="757"/>
        <v>0.77689811804445641</v>
      </c>
      <c r="AM130" s="109">
        <f t="shared" si="741"/>
        <v>4.2151027939598684E-3</v>
      </c>
      <c r="AN130" s="21">
        <f t="shared" si="611"/>
        <v>0.01</v>
      </c>
      <c r="AO130" s="117" t="e">
        <f t="shared" si="404"/>
        <v>#DIV/0!</v>
      </c>
    </row>
    <row r="131" spans="1:41" ht="12" customHeight="1" x14ac:dyDescent="0.15">
      <c r="A131" s="175"/>
      <c r="B131" s="166" t="s">
        <v>283</v>
      </c>
      <c r="C131" s="122"/>
      <c r="D131" s="122"/>
      <c r="E131" s="122"/>
      <c r="F131" s="122"/>
      <c r="G131" s="122">
        <f t="shared" ref="G131" si="758">G43/G38</f>
        <v>7.6882258007928996</v>
      </c>
      <c r="H131" s="122">
        <f t="shared" ref="H131:I131" si="759">H43/H38</f>
        <v>7.6882258007928996</v>
      </c>
      <c r="I131" s="122">
        <f t="shared" si="759"/>
        <v>7.6882258007928996</v>
      </c>
      <c r="J131" s="122">
        <f t="shared" ref="J131:Q131" si="760">J43/J38</f>
        <v>16.676376554174066</v>
      </c>
      <c r="K131" s="122">
        <f t="shared" si="760"/>
        <v>14.163912460920054</v>
      </c>
      <c r="L131" s="122">
        <f t="shared" si="760"/>
        <v>35.685405405405405</v>
      </c>
      <c r="M131" s="122">
        <f t="shared" si="760"/>
        <v>9.5787715435426311</v>
      </c>
      <c r="N131" s="122">
        <f t="shared" si="760"/>
        <v>10.978225255972696</v>
      </c>
      <c r="O131" s="122">
        <f t="shared" si="760"/>
        <v>7.5505809979494192</v>
      </c>
      <c r="P131" s="122">
        <f t="shared" si="760"/>
        <v>6.2600010127607861</v>
      </c>
      <c r="Q131" s="122">
        <f t="shared" si="760"/>
        <v>6.3597467537704651</v>
      </c>
      <c r="R131" s="122">
        <f t="shared" ref="R131:V131" si="761">R43/R38</f>
        <v>6.4461985944382798</v>
      </c>
      <c r="S131" s="122">
        <f t="shared" si="761"/>
        <v>6.7902679653860627</v>
      </c>
      <c r="T131" s="122">
        <f t="shared" si="761"/>
        <v>5.9490931260478588</v>
      </c>
      <c r="U131" s="122">
        <f t="shared" si="761"/>
        <v>4.4747126730673346</v>
      </c>
      <c r="V131" s="122">
        <f t="shared" si="761"/>
        <v>5.5107524154895646</v>
      </c>
      <c r="W131" s="122">
        <f t="shared" ref="W131" si="762">W43/W38</f>
        <v>5.5860817624201164</v>
      </c>
      <c r="X131" s="122">
        <f t="shared" ref="X131:Z131" si="763">X43/X38</f>
        <v>6.6702852061948494</v>
      </c>
      <c r="Y131" s="122">
        <f t="shared" ref="Y131" si="764">Y43/Y38</f>
        <v>6.2605940977943835</v>
      </c>
      <c r="Z131" s="122">
        <f t="shared" si="763"/>
        <v>6.4781210533701294</v>
      </c>
      <c r="AA131" s="96">
        <f t="shared" si="366"/>
        <v>-8.9731584525484243E-3</v>
      </c>
      <c r="AB131" s="10"/>
      <c r="AC131" s="122">
        <f t="shared" ref="AC131:AL131" si="765">AC43/AC38</f>
        <v>6.4781210533701303</v>
      </c>
      <c r="AD131" s="122">
        <f t="shared" si="765"/>
        <v>6.4781210533701303</v>
      </c>
      <c r="AE131" s="122">
        <f t="shared" si="765"/>
        <v>6.4781210533701303</v>
      </c>
      <c r="AF131" s="122">
        <f t="shared" si="765"/>
        <v>6.4781210533701303</v>
      </c>
      <c r="AG131" s="122">
        <f t="shared" si="765"/>
        <v>6.4781210533701294</v>
      </c>
      <c r="AH131" s="122">
        <f t="shared" si="765"/>
        <v>6.4781210533701294</v>
      </c>
      <c r="AI131" s="122">
        <f t="shared" si="765"/>
        <v>6.4781210533701286</v>
      </c>
      <c r="AJ131" s="122">
        <f t="shared" si="765"/>
        <v>6.4781210533701294</v>
      </c>
      <c r="AK131" s="122">
        <f t="shared" si="765"/>
        <v>6.4781210533701294</v>
      </c>
      <c r="AL131" s="122">
        <f t="shared" si="765"/>
        <v>6.4781210533701294</v>
      </c>
      <c r="AM131" s="109">
        <f t="shared" si="741"/>
        <v>-3.2079775717312131E-2</v>
      </c>
      <c r="AN131" s="21">
        <f t="shared" si="611"/>
        <v>0.01</v>
      </c>
      <c r="AO131" s="117" t="e">
        <f t="shared" si="404"/>
        <v>#DIV/0!</v>
      </c>
    </row>
    <row r="132" spans="1:41" ht="12" customHeight="1" x14ac:dyDescent="0.15">
      <c r="A132" s="175"/>
      <c r="B132" s="166" t="s">
        <v>282</v>
      </c>
      <c r="C132" s="122"/>
      <c r="D132" s="122"/>
      <c r="E132" s="122"/>
      <c r="F132" s="122"/>
      <c r="G132" s="122">
        <f t="shared" ref="G132" si="766">G43/(G36+G38)</f>
        <v>0.58138725080205644</v>
      </c>
      <c r="H132" s="122">
        <f t="shared" ref="H132:I132" si="767">H43/(H36+H38)</f>
        <v>0.58138725080205644</v>
      </c>
      <c r="I132" s="122">
        <f t="shared" si="767"/>
        <v>0.58138725080205644</v>
      </c>
      <c r="J132" s="122">
        <f t="shared" ref="J132:Q132" si="768">J43/(J36+J38)</f>
        <v>0.66044823365551009</v>
      </c>
      <c r="K132" s="122">
        <f t="shared" si="768"/>
        <v>0.60343072429573108</v>
      </c>
      <c r="L132" s="122">
        <f t="shared" si="768"/>
        <v>0.68097703876384796</v>
      </c>
      <c r="M132" s="122">
        <f t="shared" si="768"/>
        <v>0.69908238579692794</v>
      </c>
      <c r="N132" s="122">
        <f t="shared" si="768"/>
        <v>0.72141905560763808</v>
      </c>
      <c r="O132" s="122">
        <f t="shared" si="768"/>
        <v>0.72867964217786296</v>
      </c>
      <c r="P132" s="122">
        <f t="shared" si="768"/>
        <v>0.73675380750744224</v>
      </c>
      <c r="Q132" s="122">
        <f t="shared" si="768"/>
        <v>0.75698624350814536</v>
      </c>
      <c r="R132" s="122">
        <f t="shared" ref="R132:V132" si="769">R43/(R36+R38)</f>
        <v>3.6598256984946689</v>
      </c>
      <c r="S132" s="122">
        <f t="shared" si="769"/>
        <v>0.78895984042380951</v>
      </c>
      <c r="T132" s="122">
        <f t="shared" si="769"/>
        <v>0.78953649725102459</v>
      </c>
      <c r="U132" s="122">
        <f t="shared" si="769"/>
        <v>0.7409191409553384</v>
      </c>
      <c r="V132" s="122">
        <f t="shared" si="769"/>
        <v>0.80466084200275123</v>
      </c>
      <c r="W132" s="122">
        <f t="shared" ref="W132" si="770">W43/(W36+W38)</f>
        <v>0.78292415612122956</v>
      </c>
      <c r="X132" s="122">
        <f t="shared" ref="X132:Z132" si="771">X43/(X36+X38)</f>
        <v>8.7724558255034113E-2</v>
      </c>
      <c r="Y132" s="122">
        <f t="shared" ref="Y132" si="772">Y43/(Y36+Y38)</f>
        <v>0.79605976350289553</v>
      </c>
      <c r="Z132" s="122">
        <f t="shared" si="771"/>
        <v>0.77689811804445663</v>
      </c>
      <c r="AA132" s="96">
        <f t="shared" si="366"/>
        <v>1.5374471723639482E-2</v>
      </c>
      <c r="AB132" s="10"/>
      <c r="AC132" s="122">
        <f t="shared" ref="AC132:AL132" si="773">AC43/(AC36+AC38)</f>
        <v>0.77689811804445674</v>
      </c>
      <c r="AD132" s="122">
        <f t="shared" si="773"/>
        <v>0.77689811804445663</v>
      </c>
      <c r="AE132" s="122">
        <f t="shared" si="773"/>
        <v>0.77689811804445663</v>
      </c>
      <c r="AF132" s="122">
        <f t="shared" si="773"/>
        <v>0.77689811804445652</v>
      </c>
      <c r="AG132" s="122">
        <f t="shared" si="773"/>
        <v>0.77689811804445663</v>
      </c>
      <c r="AH132" s="122">
        <f t="shared" si="773"/>
        <v>0.77689811804445641</v>
      </c>
      <c r="AI132" s="122">
        <f t="shared" si="773"/>
        <v>0.77689811804445641</v>
      </c>
      <c r="AJ132" s="122">
        <f t="shared" si="773"/>
        <v>0.77689811804445641</v>
      </c>
      <c r="AK132" s="122">
        <f t="shared" si="773"/>
        <v>0.77689811804445641</v>
      </c>
      <c r="AL132" s="122">
        <f t="shared" si="773"/>
        <v>0.77689811804445641</v>
      </c>
      <c r="AM132" s="109">
        <f>((AL132/J132)^(1/($AL$3-$K$1) ))-1</f>
        <v>5.615378953590211E-3</v>
      </c>
      <c r="AN132" s="21">
        <f t="shared" si="611"/>
        <v>0.01</v>
      </c>
      <c r="AO132" s="117" t="e">
        <f t="shared" si="404"/>
        <v>#DIV/0!</v>
      </c>
    </row>
    <row r="133" spans="1:41" ht="12" customHeight="1" x14ac:dyDescent="0.15">
      <c r="A133" s="175"/>
      <c r="B133" s="166" t="s">
        <v>288</v>
      </c>
      <c r="C133" s="122"/>
      <c r="D133" s="122"/>
      <c r="E133" s="122"/>
      <c r="F133" s="122"/>
      <c r="G133" s="122">
        <f t="shared" ref="G133" si="774">G49/G25</f>
        <v>0.21765734265734266</v>
      </c>
      <c r="H133" s="122" t="e">
        <f t="shared" ref="H133:I133" si="775">H49/H25</f>
        <v>#DIV/0!</v>
      </c>
      <c r="I133" s="122">
        <f t="shared" si="775"/>
        <v>0.21765734265734266</v>
      </c>
      <c r="J133" s="122">
        <f t="shared" ref="J133:Q133" si="776">J49/J25</f>
        <v>0.19118899841791409</v>
      </c>
      <c r="K133" s="122">
        <f t="shared" si="776"/>
        <v>0.18509867096254531</v>
      </c>
      <c r="L133" s="122">
        <f t="shared" si="776"/>
        <v>0.22165011646438643</v>
      </c>
      <c r="M133" s="122">
        <f t="shared" si="776"/>
        <v>0.24870625924100542</v>
      </c>
      <c r="N133" s="122">
        <f t="shared" si="776"/>
        <v>0.22875816993464052</v>
      </c>
      <c r="O133" s="122">
        <f t="shared" si="776"/>
        <v>0.21253502642499911</v>
      </c>
      <c r="P133" s="122">
        <f t="shared" si="776"/>
        <v>0.19887900504726583</v>
      </c>
      <c r="Q133" s="122">
        <f t="shared" si="776"/>
        <v>0.19497121372341675</v>
      </c>
      <c r="R133" s="122">
        <f t="shared" ref="R133:V133" si="777">R49/R25</f>
        <v>0.18839063671890419</v>
      </c>
      <c r="S133" s="122">
        <f t="shared" si="777"/>
        <v>0.17749877297699529</v>
      </c>
      <c r="T133" s="122">
        <f t="shared" si="777"/>
        <v>0.17574483765746338</v>
      </c>
      <c r="U133" s="122">
        <f t="shared" si="777"/>
        <v>0.18825846846529951</v>
      </c>
      <c r="V133" s="122">
        <f t="shared" si="777"/>
        <v>0.18017306960821605</v>
      </c>
      <c r="W133" s="122">
        <f t="shared" ref="W133" si="778">W49/W25</f>
        <v>0.20360261562006399</v>
      </c>
      <c r="X133" s="122">
        <f t="shared" ref="X133:Z133" si="779">X49/X25</f>
        <v>0.21261435061298151</v>
      </c>
      <c r="Y133" s="122">
        <f t="shared" ref="Y133" si="780">Y49/Y25</f>
        <v>0.23362464689265536</v>
      </c>
      <c r="Z133" s="122">
        <f t="shared" si="779"/>
        <v>0.19860149689026318</v>
      </c>
      <c r="AA133" s="96">
        <f t="shared" si="366"/>
        <v>-4.8105873927850595E-3</v>
      </c>
      <c r="AB133" s="10"/>
      <c r="AC133" s="122">
        <f t="shared" ref="AC133:AL133" si="781">AC49/AC25</f>
        <v>0.19860149689026318</v>
      </c>
      <c r="AD133" s="122">
        <f t="shared" si="781"/>
        <v>0.19860149689026318</v>
      </c>
      <c r="AE133" s="122">
        <f t="shared" si="781"/>
        <v>0.19860149689026318</v>
      </c>
      <c r="AF133" s="122">
        <f t="shared" si="781"/>
        <v>0.19860149689026318</v>
      </c>
      <c r="AG133" s="122">
        <f t="shared" si="781"/>
        <v>0.19860149689026318</v>
      </c>
      <c r="AH133" s="122">
        <f t="shared" si="781"/>
        <v>0.19860149689026318</v>
      </c>
      <c r="AI133" s="122">
        <f t="shared" si="781"/>
        <v>0.19860149689026318</v>
      </c>
      <c r="AJ133" s="122">
        <f t="shared" si="781"/>
        <v>0.19860149689026321</v>
      </c>
      <c r="AK133" s="122">
        <f t="shared" si="781"/>
        <v>0.19860149689026321</v>
      </c>
      <c r="AL133" s="122">
        <f t="shared" si="781"/>
        <v>0.19860149689026318</v>
      </c>
      <c r="AM133" s="109">
        <f>((AL133/J133)^(1/($AL$3-$K$1) ))-1</f>
        <v>1.3125098808417501E-3</v>
      </c>
      <c r="AN133" s="21">
        <f t="shared" si="611"/>
        <v>0.01</v>
      </c>
      <c r="AO133" s="117" t="e">
        <f t="shared" si="404"/>
        <v>#DIV/0!</v>
      </c>
    </row>
    <row r="134" spans="1:41" ht="12" customHeight="1" x14ac:dyDescent="0.15">
      <c r="A134" s="175"/>
      <c r="B134" s="166" t="s">
        <v>286</v>
      </c>
      <c r="C134" s="122"/>
      <c r="D134" s="122"/>
      <c r="E134" s="122"/>
      <c r="F134" s="170"/>
      <c r="G134" s="170">
        <f t="shared" ref="G134" si="782">G59/G51</f>
        <v>1.1888425429002323E-2</v>
      </c>
      <c r="H134" s="170">
        <f t="shared" ref="H134:I134" si="783">H59/H51</f>
        <v>0</v>
      </c>
      <c r="I134" s="170">
        <f t="shared" si="783"/>
        <v>1.1888425429002323E-2</v>
      </c>
      <c r="J134" s="170">
        <f t="shared" ref="J134:Q134" si="784">J59/J51</f>
        <v>1.2518070705743199E-2</v>
      </c>
      <c r="K134" s="170">
        <f t="shared" si="784"/>
        <v>1.19525800905453E-2</v>
      </c>
      <c r="L134" s="170">
        <f t="shared" si="784"/>
        <v>1.2279037306027196E-2</v>
      </c>
      <c r="M134" s="170">
        <f t="shared" si="784"/>
        <v>1.3599644758619762E-2</v>
      </c>
      <c r="N134" s="170">
        <f t="shared" si="784"/>
        <v>1.4451615688475403E-2</v>
      </c>
      <c r="O134" s="170">
        <f t="shared" si="784"/>
        <v>1.5460849423113574E-2</v>
      </c>
      <c r="P134" s="170">
        <f t="shared" si="784"/>
        <v>1.6923295775062418E-2</v>
      </c>
      <c r="Q134" s="170">
        <f t="shared" si="784"/>
        <v>1.7402044005488275E-2</v>
      </c>
      <c r="R134" s="170">
        <f t="shared" ref="R134:V134" si="785">R59/R51</f>
        <v>1.7624889638541516E-2</v>
      </c>
      <c r="S134" s="170">
        <f t="shared" si="785"/>
        <v>1.7551259070387164E-2</v>
      </c>
      <c r="T134" s="170">
        <f t="shared" si="785"/>
        <v>1.7131285692513203E-2</v>
      </c>
      <c r="U134" s="170">
        <f t="shared" si="785"/>
        <v>1.6823998854227664E-2</v>
      </c>
      <c r="V134" s="170">
        <f t="shared" si="785"/>
        <v>1.7361473694795425E-2</v>
      </c>
      <c r="W134" s="170">
        <f t="shared" ref="W134" si="786">W59/W51</f>
        <v>1.7266878791520911E-2</v>
      </c>
      <c r="X134" s="170">
        <f t="shared" ref="X134:Z134" si="787">X59/X51</f>
        <v>1.7702636167926087E-2</v>
      </c>
      <c r="Y134" s="170">
        <f t="shared" ref="Y134" si="788">Y59/Y51</f>
        <v>1.7970412645894784E-2</v>
      </c>
      <c r="Z134" s="170">
        <f t="shared" si="787"/>
        <v>1.8237202185239516E-2</v>
      </c>
      <c r="AA134" s="96">
        <f t="shared" ref="AA134:AA171" si="789">((Z134/G134)^(1/($K$2-$K$1) ))-1</f>
        <v>2.2776475111101036E-2</v>
      </c>
      <c r="AB134" s="10"/>
      <c r="AC134" s="170">
        <f t="shared" ref="AC134:AL134" si="790">AC59/AC51</f>
        <v>1.8237202185239516E-2</v>
      </c>
      <c r="AD134" s="170">
        <f t="shared" si="790"/>
        <v>1.8237202185239516E-2</v>
      </c>
      <c r="AE134" s="170">
        <f t="shared" si="790"/>
        <v>1.8237202185239519E-2</v>
      </c>
      <c r="AF134" s="170">
        <f t="shared" si="790"/>
        <v>1.8237202185239519E-2</v>
      </c>
      <c r="AG134" s="170">
        <f t="shared" si="790"/>
        <v>1.8237202185239519E-2</v>
      </c>
      <c r="AH134" s="170">
        <f t="shared" si="790"/>
        <v>1.8237202185239519E-2</v>
      </c>
      <c r="AI134" s="170">
        <f t="shared" si="790"/>
        <v>1.8237202185239519E-2</v>
      </c>
      <c r="AJ134" s="170">
        <f t="shared" si="790"/>
        <v>1.8237202185239519E-2</v>
      </c>
      <c r="AK134" s="170">
        <f t="shared" si="790"/>
        <v>1.8237202185239516E-2</v>
      </c>
      <c r="AL134" s="170">
        <f t="shared" si="790"/>
        <v>1.8237202185239516E-2</v>
      </c>
      <c r="AM134" s="109">
        <f>((AL134/J134)^(1/($AL$3-$K$1) ))-1</f>
        <v>1.3060075977826768E-2</v>
      </c>
      <c r="AN134" s="21">
        <f t="shared" si="611"/>
        <v>0.01</v>
      </c>
      <c r="AO134" s="117" t="e">
        <f t="shared" si="404"/>
        <v>#DIV/0!</v>
      </c>
    </row>
    <row r="135" spans="1:41" ht="12" customHeight="1" x14ac:dyDescent="0.15">
      <c r="A135" s="175"/>
      <c r="B135" s="166" t="s">
        <v>280</v>
      </c>
      <c r="C135" s="122"/>
      <c r="D135" s="122"/>
      <c r="E135" s="122"/>
      <c r="F135" s="122"/>
      <c r="G135" s="122">
        <f t="shared" ref="G135" si="791">G59/G43</f>
        <v>2.4955792595972848E-2</v>
      </c>
      <c r="H135" s="122">
        <f t="shared" ref="H135:I135" si="792">H59/H43</f>
        <v>0</v>
      </c>
      <c r="I135" s="122">
        <f t="shared" si="792"/>
        <v>2.4955792595972848E-2</v>
      </c>
      <c r="J135" s="122">
        <f t="shared" ref="J135:Q135" si="793">J59/J43</f>
        <v>2.4348159509202456E-2</v>
      </c>
      <c r="K135" s="122">
        <f t="shared" si="793"/>
        <v>2.510011667139659E-2</v>
      </c>
      <c r="L135" s="122">
        <f t="shared" si="793"/>
        <v>2.2741272582225049E-2</v>
      </c>
      <c r="M135" s="122">
        <f t="shared" si="793"/>
        <v>2.4032593015329496E-2</v>
      </c>
      <c r="N135" s="122">
        <f t="shared" si="793"/>
        <v>2.4976528156885176E-2</v>
      </c>
      <c r="O135" s="122">
        <f t="shared" si="793"/>
        <v>2.6519209201506761E-2</v>
      </c>
      <c r="P135" s="122">
        <f t="shared" si="793"/>
        <v>2.7907541102954559E-2</v>
      </c>
      <c r="Q135" s="122">
        <f t="shared" si="793"/>
        <v>2.7785351501816637E-2</v>
      </c>
      <c r="R135" s="122">
        <f t="shared" ref="R135:V135" si="794">R59/R43</f>
        <v>2.7907680350124021E-2</v>
      </c>
      <c r="S135" s="122">
        <f t="shared" si="794"/>
        <v>2.6302612407396005E-2</v>
      </c>
      <c r="T135" s="122">
        <f t="shared" si="794"/>
        <v>2.6110200177632027E-2</v>
      </c>
      <c r="U135" s="122">
        <f t="shared" si="794"/>
        <v>2.651303581402591E-2</v>
      </c>
      <c r="V135" s="122">
        <f t="shared" si="794"/>
        <v>2.5821941920476012E-2</v>
      </c>
      <c r="W135" s="122">
        <f t="shared" ref="W135" si="795">W59/W43</f>
        <v>2.6153860894727262E-2</v>
      </c>
      <c r="X135" s="122">
        <f t="shared" ref="X135:Z135" si="796">X59/X43</f>
        <v>2.6876281866862174E-2</v>
      </c>
      <c r="Y135" s="122">
        <f t="shared" ref="Y135" si="797">Y59/Y43</f>
        <v>2.6848386492904004E-2</v>
      </c>
      <c r="Z135" s="122">
        <f t="shared" si="796"/>
        <v>2.776739839790511E-2</v>
      </c>
      <c r="AA135" s="96">
        <f t="shared" si="789"/>
        <v>5.6345859316131452E-3</v>
      </c>
      <c r="AB135" s="10"/>
      <c r="AC135" s="122">
        <f t="shared" ref="AC135:AL135" si="798">AC59/AC43</f>
        <v>2.776739839790511E-2</v>
      </c>
      <c r="AD135" s="122">
        <f t="shared" si="798"/>
        <v>2.7767398397905107E-2</v>
      </c>
      <c r="AE135" s="122">
        <f t="shared" si="798"/>
        <v>2.776739839790511E-2</v>
      </c>
      <c r="AF135" s="122">
        <f t="shared" si="798"/>
        <v>2.776739839790511E-2</v>
      </c>
      <c r="AG135" s="122">
        <f t="shared" si="798"/>
        <v>2.7767398397905117E-2</v>
      </c>
      <c r="AH135" s="122">
        <f t="shared" si="798"/>
        <v>2.7767398397905117E-2</v>
      </c>
      <c r="AI135" s="122">
        <f t="shared" si="798"/>
        <v>2.7767398397905117E-2</v>
      </c>
      <c r="AJ135" s="122">
        <f t="shared" si="798"/>
        <v>2.7767398397905114E-2</v>
      </c>
      <c r="AK135" s="122">
        <f t="shared" si="798"/>
        <v>2.7767398397905114E-2</v>
      </c>
      <c r="AL135" s="122">
        <f t="shared" si="798"/>
        <v>2.7767398397905114E-2</v>
      </c>
      <c r="AM135" s="109">
        <f t="shared" si="741"/>
        <v>4.5415351420921013E-3</v>
      </c>
      <c r="AN135" s="21">
        <f t="shared" si="611"/>
        <v>0.01</v>
      </c>
      <c r="AO135" s="117" t="e">
        <f t="shared" si="404"/>
        <v>#DIV/0!</v>
      </c>
    </row>
    <row r="136" spans="1:41" ht="12" customHeight="1" x14ac:dyDescent="0.15">
      <c r="A136" s="175"/>
      <c r="B136" s="166" t="s">
        <v>281</v>
      </c>
      <c r="C136" s="122"/>
      <c r="D136" s="122"/>
      <c r="E136" s="122"/>
      <c r="F136" s="122"/>
      <c r="G136" s="122">
        <f t="shared" ref="G136" si="799">G59/(G36+G38)</f>
        <v>1.450897964895897E-2</v>
      </c>
      <c r="H136" s="122">
        <f t="shared" ref="H136:I136" si="800">H59/(H36+H38)</f>
        <v>0</v>
      </c>
      <c r="I136" s="122">
        <f t="shared" si="800"/>
        <v>1.450897964895897E-2</v>
      </c>
      <c r="J136" s="122">
        <f t="shared" ref="J136:Q136" si="801">J59/(J36+J38)</f>
        <v>1.6080698940615371E-2</v>
      </c>
      <c r="K136" s="122">
        <f t="shared" si="801"/>
        <v>1.5146181582928199E-2</v>
      </c>
      <c r="L136" s="122">
        <f t="shared" si="801"/>
        <v>1.5486284460765099E-2</v>
      </c>
      <c r="M136" s="122">
        <f t="shared" si="801"/>
        <v>1.6800762462043133E-2</v>
      </c>
      <c r="N136" s="122">
        <f t="shared" si="801"/>
        <v>1.8018543355297685E-2</v>
      </c>
      <c r="O136" s="122">
        <f t="shared" si="801"/>
        <v>1.9324007871793839E-2</v>
      </c>
      <c r="P136" s="122">
        <f t="shared" si="801"/>
        <v>2.0560987165772215E-2</v>
      </c>
      <c r="Q136" s="122">
        <f t="shared" si="801"/>
        <v>2.1033128857913582E-2</v>
      </c>
      <c r="R136" s="122">
        <f t="shared" ref="R136:V136" si="802">R59/(R36+R38)</f>
        <v>0.10213724573075858</v>
      </c>
      <c r="S136" s="122">
        <f t="shared" si="802"/>
        <v>2.0751704887668466E-2</v>
      </c>
      <c r="T136" s="122">
        <f t="shared" si="802"/>
        <v>2.0614955990770671E-2</v>
      </c>
      <c r="U136" s="122">
        <f t="shared" si="802"/>
        <v>1.9644015719446201E-2</v>
      </c>
      <c r="V136" s="122">
        <f t="shared" si="802"/>
        <v>2.0777905527876367E-2</v>
      </c>
      <c r="W136" s="122">
        <f t="shared" ref="W136" si="803">W59/(W36+W38)</f>
        <v>2.0476489470316366E-2</v>
      </c>
      <c r="X136" s="122">
        <f t="shared" ref="X136:Z136" si="804">X59/(X36+X38)</f>
        <v>2.3577099543082678E-3</v>
      </c>
      <c r="Y136" s="122">
        <f t="shared" ref="Y136" si="805">Y59/(Y36+Y38)</f>
        <v>2.1372920201975495E-2</v>
      </c>
      <c r="Z136" s="122">
        <f t="shared" si="804"/>
        <v>2.157243955832314E-2</v>
      </c>
      <c r="AA136" s="96">
        <f t="shared" si="789"/>
        <v>2.1095686437332617E-2</v>
      </c>
      <c r="AB136" s="10"/>
      <c r="AC136" s="122">
        <f t="shared" ref="AC136:AL136" si="806">AC59/(AC36+AC38)</f>
        <v>2.1572439558323143E-2</v>
      </c>
      <c r="AD136" s="122">
        <f t="shared" si="806"/>
        <v>2.157243955832314E-2</v>
      </c>
      <c r="AE136" s="122">
        <f t="shared" si="806"/>
        <v>2.157243955832314E-2</v>
      </c>
      <c r="AF136" s="122">
        <f t="shared" si="806"/>
        <v>2.157243955832314E-2</v>
      </c>
      <c r="AG136" s="122">
        <f t="shared" si="806"/>
        <v>2.1572439558323143E-2</v>
      </c>
      <c r="AH136" s="122">
        <f t="shared" si="806"/>
        <v>2.1572439558323137E-2</v>
      </c>
      <c r="AI136" s="122">
        <f t="shared" si="806"/>
        <v>2.157243955832314E-2</v>
      </c>
      <c r="AJ136" s="122">
        <f t="shared" si="806"/>
        <v>2.1572439558323137E-2</v>
      </c>
      <c r="AK136" s="122">
        <f t="shared" si="806"/>
        <v>2.1572439558323137E-2</v>
      </c>
      <c r="AL136" s="122">
        <f t="shared" si="806"/>
        <v>2.1572439558323137E-2</v>
      </c>
      <c r="AM136" s="109">
        <f t="shared" si="741"/>
        <v>1.0182416536536065E-2</v>
      </c>
      <c r="AN136" s="21">
        <f t="shared" si="611"/>
        <v>0.01</v>
      </c>
      <c r="AO136" s="117" t="e">
        <f t="shared" si="404"/>
        <v>#DIV/0!</v>
      </c>
    </row>
    <row r="137" spans="1:41" ht="12" customHeight="1" x14ac:dyDescent="0.15">
      <c r="B137" s="10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96" t="e">
        <f t="shared" si="789"/>
        <v>#DIV/0!</v>
      </c>
      <c r="AB137" s="10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68"/>
      <c r="AN137" s="117"/>
      <c r="AO137" s="117"/>
    </row>
    <row r="138" spans="1:41" x14ac:dyDescent="0.15">
      <c r="B138" s="10" t="s">
        <v>146</v>
      </c>
      <c r="C138" s="122"/>
      <c r="D138" s="122"/>
      <c r="E138" s="122"/>
      <c r="F138" s="130"/>
      <c r="G138" s="130">
        <f t="shared" ref="G138" si="807">G10-(G12+G13)</f>
        <v>0</v>
      </c>
      <c r="H138" s="130">
        <f t="shared" ref="H138:I138" si="808">H10-(H12+H13)</f>
        <v>0</v>
      </c>
      <c r="I138" s="130">
        <f t="shared" si="808"/>
        <v>0</v>
      </c>
      <c r="J138" s="130">
        <f t="shared" ref="J138:Q138" si="809">J10-(J12+J13)</f>
        <v>0</v>
      </c>
      <c r="K138" s="130">
        <f t="shared" si="809"/>
        <v>0</v>
      </c>
      <c r="L138" s="130">
        <f t="shared" si="809"/>
        <v>0</v>
      </c>
      <c r="M138" s="130">
        <f t="shared" si="809"/>
        <v>0</v>
      </c>
      <c r="N138" s="130">
        <f t="shared" si="809"/>
        <v>0</v>
      </c>
      <c r="O138" s="130">
        <f t="shared" si="809"/>
        <v>0</v>
      </c>
      <c r="P138" s="130">
        <f t="shared" si="809"/>
        <v>0</v>
      </c>
      <c r="Q138" s="130">
        <f t="shared" si="809"/>
        <v>0</v>
      </c>
      <c r="R138" s="130">
        <f t="shared" ref="R138:V138" si="810">R10-(R12+R13)</f>
        <v>0</v>
      </c>
      <c r="S138" s="130">
        <f t="shared" si="810"/>
        <v>0</v>
      </c>
      <c r="T138" s="130">
        <f t="shared" si="810"/>
        <v>0</v>
      </c>
      <c r="U138" s="130">
        <f t="shared" si="810"/>
        <v>0</v>
      </c>
      <c r="V138" s="130">
        <f t="shared" si="810"/>
        <v>0</v>
      </c>
      <c r="W138" s="130">
        <f t="shared" ref="W138" si="811">W10-(W12+W13)</f>
        <v>0</v>
      </c>
      <c r="X138" s="130">
        <f t="shared" ref="X138:Z138" si="812">X10-(X12+X13)</f>
        <v>0</v>
      </c>
      <c r="Y138" s="130">
        <f t="shared" ref="Y138" si="813">Y10-(Y12+Y13)</f>
        <v>0</v>
      </c>
      <c r="Z138" s="130">
        <f t="shared" si="812"/>
        <v>0</v>
      </c>
      <c r="AA138" s="96" t="e">
        <f t="shared" si="789"/>
        <v>#DIV/0!</v>
      </c>
      <c r="AB138" s="10"/>
      <c r="AC138" s="130">
        <f t="shared" ref="AC138:AL138" si="814">AC10-(AC12+AC13)</f>
        <v>0</v>
      </c>
      <c r="AD138" s="130">
        <f t="shared" si="814"/>
        <v>0</v>
      </c>
      <c r="AE138" s="130">
        <f t="shared" si="814"/>
        <v>0</v>
      </c>
      <c r="AF138" s="130">
        <f t="shared" si="814"/>
        <v>0</v>
      </c>
      <c r="AG138" s="130">
        <f t="shared" si="814"/>
        <v>0</v>
      </c>
      <c r="AH138" s="130">
        <f t="shared" si="814"/>
        <v>0</v>
      </c>
      <c r="AI138" s="130">
        <f t="shared" si="814"/>
        <v>0</v>
      </c>
      <c r="AJ138" s="130">
        <f t="shared" si="814"/>
        <v>0</v>
      </c>
      <c r="AK138" s="130">
        <f t="shared" si="814"/>
        <v>0</v>
      </c>
      <c r="AL138" s="130">
        <f t="shared" si="814"/>
        <v>0</v>
      </c>
      <c r="AM138" s="109" t="e">
        <f t="shared" si="610"/>
        <v>#DIV/0!</v>
      </c>
      <c r="AN138" s="21">
        <f t="shared" si="611"/>
        <v>0.01</v>
      </c>
      <c r="AO138" s="117" t="e">
        <f t="shared" si="404"/>
        <v>#DIV/0!</v>
      </c>
    </row>
    <row r="139" spans="1:41" ht="12" customHeight="1" x14ac:dyDescent="0.15">
      <c r="B139" s="10" t="s">
        <v>141</v>
      </c>
      <c r="C139" s="10"/>
      <c r="D139" s="10"/>
      <c r="E139" s="10"/>
      <c r="F139" s="122"/>
      <c r="G139" s="122" t="e">
        <f t="shared" ref="G139" si="815">G59/G18</f>
        <v>#DIV/0!</v>
      </c>
      <c r="H139" s="122" t="e">
        <f t="shared" ref="H139:I139" si="816">H59/H18</f>
        <v>#DIV/0!</v>
      </c>
      <c r="I139" s="122" t="e">
        <f t="shared" si="816"/>
        <v>#DIV/0!</v>
      </c>
      <c r="J139" s="122" t="e">
        <f t="shared" ref="J139:Q139" si="817">J59/J18</f>
        <v>#DIV/0!</v>
      </c>
      <c r="K139" s="122" t="e">
        <f t="shared" si="817"/>
        <v>#DIV/0!</v>
      </c>
      <c r="L139" s="122" t="e">
        <f t="shared" si="817"/>
        <v>#DIV/0!</v>
      </c>
      <c r="M139" s="122" t="e">
        <f t="shared" si="817"/>
        <v>#DIV/0!</v>
      </c>
      <c r="N139" s="122" t="e">
        <f t="shared" si="817"/>
        <v>#DIV/0!</v>
      </c>
      <c r="O139" s="122" t="e">
        <f t="shared" si="817"/>
        <v>#DIV/0!</v>
      </c>
      <c r="P139" s="122" t="e">
        <f t="shared" si="817"/>
        <v>#DIV/0!</v>
      </c>
      <c r="Q139" s="122" t="e">
        <f t="shared" si="817"/>
        <v>#DIV/0!</v>
      </c>
      <c r="R139" s="122" t="e">
        <f t="shared" ref="R139:V139" si="818">R59/R18</f>
        <v>#DIV/0!</v>
      </c>
      <c r="S139" s="122" t="e">
        <f t="shared" si="818"/>
        <v>#DIV/0!</v>
      </c>
      <c r="T139" s="122" t="e">
        <f t="shared" si="818"/>
        <v>#DIV/0!</v>
      </c>
      <c r="U139" s="122" t="e">
        <f t="shared" si="818"/>
        <v>#DIV/0!</v>
      </c>
      <c r="V139" s="122" t="e">
        <f t="shared" si="818"/>
        <v>#DIV/0!</v>
      </c>
      <c r="W139" s="122" t="e">
        <f t="shared" ref="W139" si="819">W59/W18</f>
        <v>#DIV/0!</v>
      </c>
      <c r="X139" s="122" t="e">
        <f t="shared" ref="X139:Z139" si="820">X59/X18</f>
        <v>#DIV/0!</v>
      </c>
      <c r="Y139" s="122" t="e">
        <f t="shared" ref="Y139" si="821">Y59/Y18</f>
        <v>#DIV/0!</v>
      </c>
      <c r="Z139" s="122" t="e">
        <f t="shared" si="820"/>
        <v>#DIV/0!</v>
      </c>
      <c r="AA139" s="96" t="e">
        <f t="shared" si="789"/>
        <v>#DIV/0!</v>
      </c>
      <c r="AB139" s="10"/>
      <c r="AC139" s="122" t="e">
        <f t="shared" ref="AC139:AL139" si="822">AC59/AC18</f>
        <v>#DIV/0!</v>
      </c>
      <c r="AD139" s="122" t="e">
        <f t="shared" si="822"/>
        <v>#DIV/0!</v>
      </c>
      <c r="AE139" s="122" t="e">
        <f t="shared" si="822"/>
        <v>#DIV/0!</v>
      </c>
      <c r="AF139" s="122" t="e">
        <f t="shared" si="822"/>
        <v>#DIV/0!</v>
      </c>
      <c r="AG139" s="122" t="e">
        <f t="shared" si="822"/>
        <v>#DIV/0!</v>
      </c>
      <c r="AH139" s="122" t="e">
        <f t="shared" si="822"/>
        <v>#DIV/0!</v>
      </c>
      <c r="AI139" s="122" t="e">
        <f t="shared" si="822"/>
        <v>#DIV/0!</v>
      </c>
      <c r="AJ139" s="122" t="e">
        <f t="shared" si="822"/>
        <v>#DIV/0!</v>
      </c>
      <c r="AK139" s="122" t="e">
        <f t="shared" si="822"/>
        <v>#DIV/0!</v>
      </c>
      <c r="AL139" s="122" t="e">
        <f t="shared" si="822"/>
        <v>#DIV/0!</v>
      </c>
      <c r="AM139" s="109" t="e">
        <f t="shared" si="610"/>
        <v>#DIV/0!</v>
      </c>
      <c r="AN139" s="21">
        <f t="shared" si="611"/>
        <v>0.01</v>
      </c>
      <c r="AO139" s="117" t="e">
        <f t="shared" ref="AO139:AO171" si="823">(AL139*(1+AN139))/($O$1-AN139)</f>
        <v>#DIV/0!</v>
      </c>
    </row>
    <row r="140" spans="1:41" x14ac:dyDescent="0.15">
      <c r="B140" s="10" t="s">
        <v>142</v>
      </c>
      <c r="C140" s="10"/>
      <c r="D140" s="10"/>
      <c r="E140" s="10"/>
      <c r="F140" s="122"/>
      <c r="G140" s="122">
        <f t="shared" ref="G140" si="824">G59/G25</f>
        <v>0.15297202797202797</v>
      </c>
      <c r="H140" s="122" t="e">
        <f t="shared" ref="H140:I140" si="825">H59/H25</f>
        <v>#DIV/0!</v>
      </c>
      <c r="I140" s="122">
        <f t="shared" si="825"/>
        <v>0.15297202797202797</v>
      </c>
      <c r="J140" s="122">
        <f t="shared" ref="J140:Q140" si="826">J59/J25</f>
        <v>0.13910186199342825</v>
      </c>
      <c r="K140" s="122">
        <f t="shared" si="826"/>
        <v>0.12823197744663714</v>
      </c>
      <c r="L140" s="122">
        <f t="shared" si="826"/>
        <v>0.13804094642638226</v>
      </c>
      <c r="M140" s="122">
        <f t="shared" si="826"/>
        <v>0.18679152291769344</v>
      </c>
      <c r="N140" s="122">
        <f t="shared" si="826"/>
        <v>0.20041909893728485</v>
      </c>
      <c r="O140" s="122">
        <f t="shared" si="826"/>
        <v>0.18703224204589791</v>
      </c>
      <c r="P140" s="122">
        <f t="shared" si="826"/>
        <v>0.19240958143944675</v>
      </c>
      <c r="Q140" s="122">
        <f t="shared" si="826"/>
        <v>0.2059452473269886</v>
      </c>
      <c r="R140" s="122">
        <f t="shared" ref="R140:V140" si="827">R59/R25</f>
        <v>0.21118698930249083</v>
      </c>
      <c r="S140" s="122">
        <f t="shared" si="827"/>
        <v>0.20292585614540617</v>
      </c>
      <c r="T140" s="122">
        <f t="shared" si="827"/>
        <v>0.20863643187618566</v>
      </c>
      <c r="U140" s="122">
        <f t="shared" si="827"/>
        <v>0.21761815986023661</v>
      </c>
      <c r="V140" s="122">
        <f t="shared" si="827"/>
        <v>0.21343666793457589</v>
      </c>
      <c r="W140" s="122">
        <f t="shared" ref="W140" si="828">W59/W25</f>
        <v>0.22339163099788034</v>
      </c>
      <c r="X140" s="122">
        <f t="shared" ref="X140:Z140" si="829">X59/X25</f>
        <v>0.24780633517953823</v>
      </c>
      <c r="Y140" s="122">
        <f t="shared" ref="Y140" si="830">Y59/Y25</f>
        <v>0.28064677495291901</v>
      </c>
      <c r="Z140" s="122">
        <f t="shared" si="829"/>
        <v>0.27026014031882123</v>
      </c>
      <c r="AA140" s="96">
        <f t="shared" si="789"/>
        <v>3.0407345468607128E-2</v>
      </c>
      <c r="AB140" s="10"/>
      <c r="AC140" s="122">
        <f t="shared" ref="AC140:AL140" si="831">AC59/AC25</f>
        <v>0.27026014031882123</v>
      </c>
      <c r="AD140" s="122">
        <f t="shared" si="831"/>
        <v>0.27026014031882123</v>
      </c>
      <c r="AE140" s="122">
        <f t="shared" si="831"/>
        <v>0.27026014031882128</v>
      </c>
      <c r="AF140" s="122">
        <f t="shared" si="831"/>
        <v>0.27026014031882123</v>
      </c>
      <c r="AG140" s="122">
        <f t="shared" si="831"/>
        <v>0.27026014031882128</v>
      </c>
      <c r="AH140" s="122">
        <f t="shared" si="831"/>
        <v>0.27026014031882128</v>
      </c>
      <c r="AI140" s="122">
        <f t="shared" si="831"/>
        <v>0.27026014031882128</v>
      </c>
      <c r="AJ140" s="122">
        <f t="shared" si="831"/>
        <v>0.27026014031882128</v>
      </c>
      <c r="AK140" s="122">
        <f t="shared" si="831"/>
        <v>0.27026014031882128</v>
      </c>
      <c r="AL140" s="122">
        <f t="shared" si="831"/>
        <v>0.27026014031882128</v>
      </c>
      <c r="AM140" s="109">
        <f t="shared" si="610"/>
        <v>2.3166987364604763E-2</v>
      </c>
      <c r="AN140" s="21">
        <f t="shared" si="611"/>
        <v>0.01</v>
      </c>
      <c r="AO140" s="117" t="e">
        <f t="shared" si="823"/>
        <v>#DIV/0!</v>
      </c>
    </row>
    <row r="141" spans="1:41" x14ac:dyDescent="0.15">
      <c r="B141" s="10" t="s">
        <v>165</v>
      </c>
      <c r="C141" s="10"/>
      <c r="D141" s="10"/>
      <c r="E141" s="122"/>
      <c r="F141" s="122"/>
      <c r="G141" s="122" t="e">
        <f t="shared" ref="G141" si="832">G25/G18</f>
        <v>#DIV/0!</v>
      </c>
      <c r="H141" s="122" t="e">
        <f t="shared" ref="H141:I141" si="833">H25/H18</f>
        <v>#DIV/0!</v>
      </c>
      <c r="I141" s="122" t="e">
        <f t="shared" si="833"/>
        <v>#DIV/0!</v>
      </c>
      <c r="J141" s="122" t="e">
        <f t="shared" ref="J141:Q141" si="834">J25/J18</f>
        <v>#DIV/0!</v>
      </c>
      <c r="K141" s="122" t="e">
        <f t="shared" si="834"/>
        <v>#DIV/0!</v>
      </c>
      <c r="L141" s="122" t="e">
        <f t="shared" si="834"/>
        <v>#DIV/0!</v>
      </c>
      <c r="M141" s="122" t="e">
        <f t="shared" si="834"/>
        <v>#DIV/0!</v>
      </c>
      <c r="N141" s="122" t="e">
        <f t="shared" si="834"/>
        <v>#DIV/0!</v>
      </c>
      <c r="O141" s="122" t="e">
        <f t="shared" si="834"/>
        <v>#DIV/0!</v>
      </c>
      <c r="P141" s="122" t="e">
        <f t="shared" si="834"/>
        <v>#DIV/0!</v>
      </c>
      <c r="Q141" s="122" t="e">
        <f t="shared" si="834"/>
        <v>#DIV/0!</v>
      </c>
      <c r="R141" s="122" t="e">
        <f t="shared" ref="R141:V141" si="835">R25/R18</f>
        <v>#DIV/0!</v>
      </c>
      <c r="S141" s="122" t="e">
        <f t="shared" si="835"/>
        <v>#DIV/0!</v>
      </c>
      <c r="T141" s="122" t="e">
        <f t="shared" si="835"/>
        <v>#DIV/0!</v>
      </c>
      <c r="U141" s="122" t="e">
        <f t="shared" si="835"/>
        <v>#DIV/0!</v>
      </c>
      <c r="V141" s="122" t="e">
        <f t="shared" si="835"/>
        <v>#DIV/0!</v>
      </c>
      <c r="W141" s="122" t="e">
        <f t="shared" ref="W141" si="836">W25/W18</f>
        <v>#DIV/0!</v>
      </c>
      <c r="X141" s="122" t="e">
        <f t="shared" ref="X141:Z141" si="837">X25/X18</f>
        <v>#DIV/0!</v>
      </c>
      <c r="Y141" s="122" t="e">
        <f t="shared" ref="Y141" si="838">Y25/Y18</f>
        <v>#DIV/0!</v>
      </c>
      <c r="Z141" s="122" t="e">
        <f t="shared" si="837"/>
        <v>#DIV/0!</v>
      </c>
      <c r="AA141" s="96" t="e">
        <f t="shared" si="789"/>
        <v>#DIV/0!</v>
      </c>
      <c r="AB141" s="10"/>
      <c r="AC141" s="122" t="e">
        <f t="shared" ref="AC141:AL141" si="839">AC25/AC18</f>
        <v>#DIV/0!</v>
      </c>
      <c r="AD141" s="122" t="e">
        <f t="shared" si="839"/>
        <v>#DIV/0!</v>
      </c>
      <c r="AE141" s="122" t="e">
        <f t="shared" si="839"/>
        <v>#DIV/0!</v>
      </c>
      <c r="AF141" s="122" t="e">
        <f t="shared" si="839"/>
        <v>#DIV/0!</v>
      </c>
      <c r="AG141" s="122" t="e">
        <f t="shared" si="839"/>
        <v>#DIV/0!</v>
      </c>
      <c r="AH141" s="122" t="e">
        <f t="shared" si="839"/>
        <v>#DIV/0!</v>
      </c>
      <c r="AI141" s="122" t="e">
        <f t="shared" si="839"/>
        <v>#DIV/0!</v>
      </c>
      <c r="AJ141" s="122" t="e">
        <f t="shared" si="839"/>
        <v>#DIV/0!</v>
      </c>
      <c r="AK141" s="122" t="e">
        <f t="shared" si="839"/>
        <v>#DIV/0!</v>
      </c>
      <c r="AL141" s="122" t="e">
        <f t="shared" si="839"/>
        <v>#DIV/0!</v>
      </c>
      <c r="AM141" s="109" t="e">
        <f t="shared" si="610"/>
        <v>#DIV/0!</v>
      </c>
      <c r="AN141" s="21">
        <f t="shared" si="611"/>
        <v>0.01</v>
      </c>
      <c r="AO141" s="117" t="e">
        <f t="shared" si="823"/>
        <v>#DIV/0!</v>
      </c>
    </row>
    <row r="142" spans="1:41" x14ac:dyDescent="0.15">
      <c r="B142" s="10"/>
      <c r="C142" s="10"/>
      <c r="D142" s="10"/>
      <c r="E142" s="10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96" t="e">
        <f t="shared" si="789"/>
        <v>#DIV/0!</v>
      </c>
      <c r="AB142" s="10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04"/>
      <c r="AN142" s="117"/>
      <c r="AO142" s="117"/>
    </row>
    <row r="143" spans="1:41" x14ac:dyDescent="0.15">
      <c r="B143" s="10" t="s">
        <v>154</v>
      </c>
      <c r="C143" s="10"/>
      <c r="D143" s="10"/>
      <c r="E143" s="132"/>
      <c r="F143" s="132"/>
      <c r="G143" s="132">
        <f t="shared" ref="G143" si="840">G92*G61</f>
        <v>12.6</v>
      </c>
      <c r="H143" s="132">
        <f t="shared" ref="H143:I143" si="841">H92*H61</f>
        <v>13.5</v>
      </c>
      <c r="I143" s="132">
        <f t="shared" si="841"/>
        <v>0</v>
      </c>
      <c r="J143" s="132">
        <f t="shared" ref="J143:Q143" si="842">J92*J61</f>
        <v>21.7</v>
      </c>
      <c r="K143" s="132">
        <f t="shared" si="842"/>
        <v>29.75</v>
      </c>
      <c r="L143" s="132">
        <f t="shared" si="842"/>
        <v>42</v>
      </c>
      <c r="M143" s="132">
        <f t="shared" si="842"/>
        <v>54</v>
      </c>
      <c r="N143" s="132">
        <f t="shared" si="842"/>
        <v>75.899999999999991</v>
      </c>
      <c r="O143" s="132">
        <f t="shared" si="842"/>
        <v>503.09999999999997</v>
      </c>
      <c r="P143" s="132">
        <f t="shared" si="842"/>
        <v>651.75</v>
      </c>
      <c r="Q143" s="132">
        <f t="shared" si="842"/>
        <v>817.38</v>
      </c>
      <c r="R143" s="132">
        <f t="shared" ref="R143:V143" si="843">R92*R61</f>
        <v>1000</v>
      </c>
      <c r="S143" s="132">
        <f t="shared" si="843"/>
        <v>1197</v>
      </c>
      <c r="T143" s="132">
        <f t="shared" si="843"/>
        <v>1408</v>
      </c>
      <c r="U143" s="132">
        <f t="shared" si="843"/>
        <v>1683.5</v>
      </c>
      <c r="V143" s="132">
        <f t="shared" si="843"/>
        <v>2040</v>
      </c>
      <c r="W143" s="132">
        <f t="shared" ref="W143" si="844">W92*W61</f>
        <v>1370</v>
      </c>
      <c r="X143" s="132">
        <f t="shared" ref="X143:Z143" si="845">X92*X61</f>
        <v>3581.5</v>
      </c>
      <c r="Y143" s="132">
        <f t="shared" ref="Y143" si="846">Y92*Y61</f>
        <v>8587</v>
      </c>
      <c r="Z143" s="132">
        <f t="shared" si="845"/>
        <v>10526</v>
      </c>
      <c r="AA143" s="96">
        <f t="shared" si="789"/>
        <v>0.42489818298246074</v>
      </c>
      <c r="AB143" s="10"/>
      <c r="AC143" s="132">
        <f t="shared" ref="AC143:AL143" si="847">AC92*AC61</f>
        <v>10951.250400000001</v>
      </c>
      <c r="AD143" s="132">
        <f t="shared" si="847"/>
        <v>11393.680916159999</v>
      </c>
      <c r="AE143" s="132">
        <f t="shared" si="847"/>
        <v>11853.985625172863</v>
      </c>
      <c r="AF143" s="132">
        <f t="shared" si="847"/>
        <v>12332.886644429847</v>
      </c>
      <c r="AG143" s="132">
        <f t="shared" si="847"/>
        <v>12831.135264864815</v>
      </c>
      <c r="AH143" s="132">
        <f t="shared" si="847"/>
        <v>13349.513129565354</v>
      </c>
      <c r="AI143" s="132">
        <f t="shared" si="847"/>
        <v>13888.833459999792</v>
      </c>
      <c r="AJ143" s="132">
        <f t="shared" si="847"/>
        <v>14449.942331783785</v>
      </c>
      <c r="AK143" s="132">
        <f t="shared" si="847"/>
        <v>15033.720001987851</v>
      </c>
      <c r="AL143" s="132">
        <f t="shared" si="847"/>
        <v>15641.08229006816</v>
      </c>
      <c r="AM143" s="109">
        <f t="shared" si="610"/>
        <v>0.25471494598754152</v>
      </c>
      <c r="AN143" s="21">
        <f t="shared" si="611"/>
        <v>0.01</v>
      </c>
      <c r="AO143" s="117" t="e">
        <f t="shared" si="823"/>
        <v>#DIV/0!</v>
      </c>
    </row>
    <row r="144" spans="1:41" x14ac:dyDescent="0.15">
      <c r="B144" s="10" t="s">
        <v>155</v>
      </c>
      <c r="C144" s="10"/>
      <c r="D144" s="10"/>
      <c r="E144" s="132"/>
      <c r="F144" s="132"/>
      <c r="G144" s="132">
        <f t="shared" ref="G144" si="848">(G143*0.17)+G143</f>
        <v>14.741999999999999</v>
      </c>
      <c r="H144" s="132">
        <f t="shared" ref="H144:I144" si="849">(H143*0.17)+H143</f>
        <v>15.795</v>
      </c>
      <c r="I144" s="132">
        <f t="shared" si="849"/>
        <v>0</v>
      </c>
      <c r="J144" s="132">
        <f t="shared" ref="J144:Q144" si="850">(J143*0.17)+J143</f>
        <v>25.388999999999999</v>
      </c>
      <c r="K144" s="132">
        <f t="shared" si="850"/>
        <v>34.807499999999997</v>
      </c>
      <c r="L144" s="132">
        <f t="shared" si="850"/>
        <v>49.14</v>
      </c>
      <c r="M144" s="132">
        <f t="shared" si="850"/>
        <v>63.18</v>
      </c>
      <c r="N144" s="132">
        <f t="shared" si="850"/>
        <v>88.802999999999997</v>
      </c>
      <c r="O144" s="132">
        <f t="shared" si="850"/>
        <v>588.62699999999995</v>
      </c>
      <c r="P144" s="132">
        <f t="shared" si="850"/>
        <v>762.54750000000001</v>
      </c>
      <c r="Q144" s="132">
        <f t="shared" si="850"/>
        <v>956.33460000000002</v>
      </c>
      <c r="R144" s="132">
        <f t="shared" ref="R144:V144" si="851">(R143*0.17)+R143</f>
        <v>1170</v>
      </c>
      <c r="S144" s="132">
        <f t="shared" si="851"/>
        <v>1400.49</v>
      </c>
      <c r="T144" s="132">
        <f t="shared" si="851"/>
        <v>1647.3600000000001</v>
      </c>
      <c r="U144" s="132">
        <f t="shared" si="851"/>
        <v>1969.6949999999999</v>
      </c>
      <c r="V144" s="132">
        <f t="shared" si="851"/>
        <v>2386.8000000000002</v>
      </c>
      <c r="W144" s="132">
        <f t="shared" ref="W144" si="852">(W143*0.17)+W143</f>
        <v>1602.9</v>
      </c>
      <c r="X144" s="132">
        <f t="shared" ref="X144:Z144" si="853">(X143*0.17)+X143</f>
        <v>4190.3549999999996</v>
      </c>
      <c r="Y144" s="132">
        <f t="shared" ref="Y144" si="854">(Y143*0.17)+Y143</f>
        <v>10046.790000000001</v>
      </c>
      <c r="Z144" s="132">
        <f t="shared" si="853"/>
        <v>12315.42</v>
      </c>
      <c r="AA144" s="96">
        <f t="shared" si="789"/>
        <v>0.42489818298246074</v>
      </c>
      <c r="AB144" s="10"/>
      <c r="AC144" s="132">
        <f t="shared" ref="AC144:AL144" si="855">(AC143*0.17)+AC143</f>
        <v>12812.962968000002</v>
      </c>
      <c r="AD144" s="132">
        <f t="shared" si="855"/>
        <v>13330.606671907201</v>
      </c>
      <c r="AE144" s="132">
        <f t="shared" si="855"/>
        <v>13869.16318145225</v>
      </c>
      <c r="AF144" s="132">
        <f t="shared" si="855"/>
        <v>14429.477373982922</v>
      </c>
      <c r="AG144" s="132">
        <f t="shared" si="855"/>
        <v>15012.428259891834</v>
      </c>
      <c r="AH144" s="132">
        <f t="shared" si="855"/>
        <v>15618.930361591465</v>
      </c>
      <c r="AI144" s="132">
        <f t="shared" si="855"/>
        <v>16249.935148199758</v>
      </c>
      <c r="AJ144" s="132">
        <f t="shared" si="855"/>
        <v>16906.43252818703</v>
      </c>
      <c r="AK144" s="132">
        <f t="shared" si="855"/>
        <v>17589.452402325787</v>
      </c>
      <c r="AL144" s="132">
        <f t="shared" si="855"/>
        <v>18300.066279379746</v>
      </c>
      <c r="AM144" s="109">
        <f t="shared" si="610"/>
        <v>0.25471494598754152</v>
      </c>
      <c r="AN144" s="21">
        <f t="shared" si="611"/>
        <v>0.01</v>
      </c>
      <c r="AO144" s="117" t="e">
        <f t="shared" si="823"/>
        <v>#DIV/0!</v>
      </c>
    </row>
    <row r="145" spans="2:41" x14ac:dyDescent="0.15">
      <c r="B145" s="10" t="s">
        <v>156</v>
      </c>
      <c r="C145" s="10"/>
      <c r="D145" s="10"/>
      <c r="E145" s="10"/>
      <c r="F145" s="122"/>
      <c r="G145" s="122">
        <f t="shared" ref="G145" si="856">G144/G59</f>
        <v>1.6847999999999998E-2</v>
      </c>
      <c r="H145" s="122" t="e">
        <f t="shared" ref="H145:I145" si="857">H144/H59</f>
        <v>#DIV/0!</v>
      </c>
      <c r="I145" s="122">
        <f t="shared" si="857"/>
        <v>0</v>
      </c>
      <c r="J145" s="122">
        <f t="shared" ref="J145:Q145" si="858">J144/J59</f>
        <v>2.221259842519685E-2</v>
      </c>
      <c r="K145" s="122">
        <f t="shared" si="858"/>
        <v>2.186400753768844E-2</v>
      </c>
      <c r="L145" s="122">
        <f t="shared" si="858"/>
        <v>2.1820603907637657E-2</v>
      </c>
      <c r="M145" s="122">
        <f t="shared" si="858"/>
        <v>2.08377308707124E-2</v>
      </c>
      <c r="N145" s="122">
        <f t="shared" si="858"/>
        <v>2.2106796116504852E-2</v>
      </c>
      <c r="O145" s="122">
        <f t="shared" si="858"/>
        <v>0.11163038118717997</v>
      </c>
      <c r="P145" s="122">
        <f t="shared" si="858"/>
        <v>0.11051413043478261</v>
      </c>
      <c r="Q145" s="122">
        <f t="shared" si="858"/>
        <v>0.10912078959379279</v>
      </c>
      <c r="R145" s="122">
        <f t="shared" ref="R145:V145" si="859">R144/R59</f>
        <v>0.10934579439252337</v>
      </c>
      <c r="S145" s="122">
        <f t="shared" si="859"/>
        <v>0.10926815947569635</v>
      </c>
      <c r="T145" s="122">
        <f t="shared" si="859"/>
        <v>0.10776215084712501</v>
      </c>
      <c r="U145" s="122">
        <f t="shared" si="859"/>
        <v>0.10612580818965517</v>
      </c>
      <c r="V145" s="122">
        <f t="shared" si="859"/>
        <v>0.10633994208064157</v>
      </c>
      <c r="W145" s="122">
        <f t="shared" ref="W145" si="860">W144/W59</f>
        <v>5.87228898007034E-2</v>
      </c>
      <c r="X145" s="122">
        <f t="shared" ref="X145:Z145" si="861">X144/X59</f>
        <v>0.13154052611752887</v>
      </c>
      <c r="Y145" s="122">
        <f t="shared" ref="Y145" si="862">Y144/Y59</f>
        <v>0.26334967234600265</v>
      </c>
      <c r="Z145" s="122">
        <f t="shared" si="861"/>
        <v>0.26686790326774723</v>
      </c>
      <c r="AA145" s="96">
        <f t="shared" si="789"/>
        <v>0.15649732088983415</v>
      </c>
      <c r="AB145" s="10"/>
      <c r="AC145" s="122">
        <f t="shared" ref="AC145:AL145" si="863">AC144/AC59</f>
        <v>0.24143423179109938</v>
      </c>
      <c r="AD145" s="122">
        <f t="shared" si="863"/>
        <v>0.21842449978735634</v>
      </c>
      <c r="AE145" s="122">
        <f t="shared" si="863"/>
        <v>0.19760769528588307</v>
      </c>
      <c r="AF145" s="122">
        <f t="shared" si="863"/>
        <v>0.1787748227612459</v>
      </c>
      <c r="AG145" s="122">
        <f t="shared" si="863"/>
        <v>0.1617368048702611</v>
      </c>
      <c r="AH145" s="122">
        <f t="shared" si="863"/>
        <v>0.14632258416262581</v>
      </c>
      <c r="AI145" s="122">
        <f t="shared" si="863"/>
        <v>0.13237740570677903</v>
      </c>
      <c r="AJ145" s="122">
        <f t="shared" si="863"/>
        <v>0.11976126338898516</v>
      </c>
      <c r="AK145" s="122">
        <f t="shared" si="863"/>
        <v>0.10834749428686972</v>
      </c>
      <c r="AL145" s="122">
        <f t="shared" si="863"/>
        <v>9.8021507005268904E-2</v>
      </c>
      <c r="AM145" s="109">
        <f t="shared" si="610"/>
        <v>5.2523481124250759E-2</v>
      </c>
      <c r="AN145" s="21">
        <f t="shared" si="611"/>
        <v>0.01</v>
      </c>
      <c r="AO145" s="117" t="e">
        <f t="shared" si="823"/>
        <v>#DIV/0!</v>
      </c>
    </row>
    <row r="146" spans="2:41" x14ac:dyDescent="0.15">
      <c r="B146" s="10" t="s">
        <v>149</v>
      </c>
      <c r="C146" s="10"/>
      <c r="D146" s="10"/>
      <c r="E146" s="10"/>
      <c r="F146" s="122"/>
      <c r="G146" s="122">
        <f t="shared" ref="G146" si="864">1-G145</f>
        <v>0.98315200000000003</v>
      </c>
      <c r="H146" s="122" t="e">
        <f t="shared" ref="H146:I146" si="865">1-H145</f>
        <v>#DIV/0!</v>
      </c>
      <c r="I146" s="122">
        <f t="shared" si="865"/>
        <v>1</v>
      </c>
      <c r="J146" s="122">
        <f>1-J145</f>
        <v>0.97778740157480315</v>
      </c>
      <c r="K146" s="122">
        <f t="shared" ref="K146:Q146" si="866">1-K145</f>
        <v>0.97813599246231153</v>
      </c>
      <c r="L146" s="122">
        <f t="shared" si="866"/>
        <v>0.97817939609236237</v>
      </c>
      <c r="M146" s="122">
        <f t="shared" si="866"/>
        <v>0.97916226912928761</v>
      </c>
      <c r="N146" s="122">
        <f t="shared" si="866"/>
        <v>0.9778932038834951</v>
      </c>
      <c r="O146" s="122">
        <f t="shared" si="866"/>
        <v>0.88836961881282006</v>
      </c>
      <c r="P146" s="122">
        <f t="shared" si="866"/>
        <v>0.88948586956521736</v>
      </c>
      <c r="Q146" s="122">
        <f t="shared" si="866"/>
        <v>0.89087921040620721</v>
      </c>
      <c r="R146" s="122">
        <f t="shared" ref="R146:V146" si="867">1-R145</f>
        <v>0.89065420560747666</v>
      </c>
      <c r="S146" s="122">
        <f t="shared" si="867"/>
        <v>0.89073184052430365</v>
      </c>
      <c r="T146" s="122">
        <f t="shared" si="867"/>
        <v>0.89223784915287496</v>
      </c>
      <c r="U146" s="122">
        <f t="shared" si="867"/>
        <v>0.89387419181034478</v>
      </c>
      <c r="V146" s="122">
        <f t="shared" si="867"/>
        <v>0.89366005791935843</v>
      </c>
      <c r="W146" s="122">
        <f t="shared" ref="W146" si="868">1-W145</f>
        <v>0.94127711019929661</v>
      </c>
      <c r="X146" s="122">
        <f t="shared" ref="X146:Z146" si="869">1-X145</f>
        <v>0.86845947388247113</v>
      </c>
      <c r="Y146" s="122">
        <f t="shared" ref="Y146" si="870">1-Y145</f>
        <v>0.73665032765399729</v>
      </c>
      <c r="Z146" s="122">
        <f t="shared" si="869"/>
        <v>0.73313209673225277</v>
      </c>
      <c r="AA146" s="96">
        <f t="shared" si="789"/>
        <v>-1.5325448235607109E-2</v>
      </c>
      <c r="AB146" s="10"/>
      <c r="AC146" s="122">
        <f t="shared" ref="AC146:AL146" si="871">1-AC145</f>
        <v>0.75856576820890065</v>
      </c>
      <c r="AD146" s="122">
        <f t="shared" si="871"/>
        <v>0.78157550021264366</v>
      </c>
      <c r="AE146" s="122">
        <f t="shared" si="871"/>
        <v>0.80239230471411693</v>
      </c>
      <c r="AF146" s="122">
        <f t="shared" si="871"/>
        <v>0.8212251772387541</v>
      </c>
      <c r="AG146" s="122">
        <f t="shared" si="871"/>
        <v>0.8382631951297389</v>
      </c>
      <c r="AH146" s="122">
        <f t="shared" si="871"/>
        <v>0.85367741583737422</v>
      </c>
      <c r="AI146" s="122">
        <f t="shared" si="871"/>
        <v>0.86762259429322097</v>
      </c>
      <c r="AJ146" s="122">
        <f t="shared" si="871"/>
        <v>0.88023873661101482</v>
      </c>
      <c r="AK146" s="122">
        <f t="shared" si="871"/>
        <v>0.89165250571313026</v>
      </c>
      <c r="AL146" s="122">
        <f t="shared" si="871"/>
        <v>0.9019784929947311</v>
      </c>
      <c r="AM146" s="109">
        <f t="shared" si="610"/>
        <v>-2.7789449952764222E-3</v>
      </c>
      <c r="AN146" s="21">
        <f t="shared" si="611"/>
        <v>0.01</v>
      </c>
      <c r="AO146" s="117" t="e">
        <f t="shared" si="823"/>
        <v>#DIV/0!</v>
      </c>
    </row>
    <row r="147" spans="2:41" x14ac:dyDescent="0.15">
      <c r="B147" s="10" t="s">
        <v>252</v>
      </c>
      <c r="C147" s="10"/>
      <c r="D147" s="10"/>
      <c r="E147" s="10"/>
      <c r="F147" s="122"/>
      <c r="G147" s="122" t="e">
        <f t="shared" ref="G147" si="872">G144/G20</f>
        <v>#DIV/0!</v>
      </c>
      <c r="H147" s="122" t="e">
        <f t="shared" ref="H147:I147" si="873">H144/H20</f>
        <v>#DIV/0!</v>
      </c>
      <c r="I147" s="122" t="e">
        <f t="shared" si="873"/>
        <v>#DIV/0!</v>
      </c>
      <c r="J147" s="122" t="e">
        <f t="shared" ref="J147:Q147" si="874">J144/J20</f>
        <v>#DIV/0!</v>
      </c>
      <c r="K147" s="122" t="e">
        <f t="shared" si="874"/>
        <v>#DIV/0!</v>
      </c>
      <c r="L147" s="122" t="e">
        <f t="shared" si="874"/>
        <v>#DIV/0!</v>
      </c>
      <c r="M147" s="122" t="e">
        <f t="shared" si="874"/>
        <v>#DIV/0!</v>
      </c>
      <c r="N147" s="122" t="e">
        <f t="shared" si="874"/>
        <v>#DIV/0!</v>
      </c>
      <c r="O147" s="122" t="e">
        <f t="shared" si="874"/>
        <v>#DIV/0!</v>
      </c>
      <c r="P147" s="122" t="e">
        <f t="shared" si="874"/>
        <v>#DIV/0!</v>
      </c>
      <c r="Q147" s="122" t="e">
        <f t="shared" si="874"/>
        <v>#DIV/0!</v>
      </c>
      <c r="R147" s="122" t="e">
        <f t="shared" ref="R147:V147" si="875">R144/R20</f>
        <v>#DIV/0!</v>
      </c>
      <c r="S147" s="122" t="e">
        <f t="shared" si="875"/>
        <v>#DIV/0!</v>
      </c>
      <c r="T147" s="122" t="e">
        <f t="shared" si="875"/>
        <v>#DIV/0!</v>
      </c>
      <c r="U147" s="122" t="e">
        <f t="shared" si="875"/>
        <v>#DIV/0!</v>
      </c>
      <c r="V147" s="122" t="e">
        <f t="shared" si="875"/>
        <v>#DIV/0!</v>
      </c>
      <c r="W147" s="122" t="e">
        <f t="shared" ref="W147" si="876">W144/W20</f>
        <v>#DIV/0!</v>
      </c>
      <c r="X147" s="122" t="e">
        <f t="shared" ref="X147:Z147" si="877">X144/X20</f>
        <v>#DIV/0!</v>
      </c>
      <c r="Y147" s="122" t="e">
        <f t="shared" ref="Y147" si="878">Y144/Y20</f>
        <v>#DIV/0!</v>
      </c>
      <c r="Z147" s="122" t="e">
        <f t="shared" si="877"/>
        <v>#DIV/0!</v>
      </c>
      <c r="AA147" s="96" t="e">
        <f t="shared" si="789"/>
        <v>#DIV/0!</v>
      </c>
      <c r="AB147" s="10"/>
      <c r="AC147" s="122" t="e">
        <f t="shared" ref="AC147:AL147" si="879">AC144/AC20</f>
        <v>#DIV/0!</v>
      </c>
      <c r="AD147" s="122" t="e">
        <f t="shared" si="879"/>
        <v>#DIV/0!</v>
      </c>
      <c r="AE147" s="122" t="e">
        <f t="shared" si="879"/>
        <v>#DIV/0!</v>
      </c>
      <c r="AF147" s="122" t="e">
        <f t="shared" si="879"/>
        <v>#DIV/0!</v>
      </c>
      <c r="AG147" s="122" t="e">
        <f t="shared" si="879"/>
        <v>#DIV/0!</v>
      </c>
      <c r="AH147" s="122" t="e">
        <f t="shared" si="879"/>
        <v>#DIV/0!</v>
      </c>
      <c r="AI147" s="122" t="e">
        <f t="shared" si="879"/>
        <v>#DIV/0!</v>
      </c>
      <c r="AJ147" s="122" t="e">
        <f t="shared" si="879"/>
        <v>#DIV/0!</v>
      </c>
      <c r="AK147" s="122" t="e">
        <f t="shared" si="879"/>
        <v>#DIV/0!</v>
      </c>
      <c r="AL147" s="122" t="e">
        <f t="shared" si="879"/>
        <v>#DIV/0!</v>
      </c>
      <c r="AM147" s="109" t="e">
        <f t="shared" si="610"/>
        <v>#DIV/0!</v>
      </c>
      <c r="AN147" s="21">
        <f t="shared" si="611"/>
        <v>0.01</v>
      </c>
      <c r="AO147" s="117" t="e">
        <f t="shared" si="823"/>
        <v>#DIV/0!</v>
      </c>
    </row>
    <row r="148" spans="2:41" x14ac:dyDescent="0.15">
      <c r="B148" s="10"/>
      <c r="C148" s="10"/>
      <c r="D148" s="10"/>
      <c r="E148" s="10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96" t="e">
        <f t="shared" si="789"/>
        <v>#DIV/0!</v>
      </c>
      <c r="AB148" s="10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04"/>
      <c r="AN148" s="117"/>
      <c r="AO148" s="117"/>
    </row>
    <row r="149" spans="2:41" x14ac:dyDescent="0.15">
      <c r="B149" s="10" t="s">
        <v>153</v>
      </c>
      <c r="C149" s="122"/>
      <c r="D149" s="122"/>
      <c r="E149" s="122"/>
      <c r="F149" s="122"/>
      <c r="G149" s="122">
        <f t="shared" ref="G149" si="880">G31/G25</f>
        <v>0</v>
      </c>
      <c r="H149" s="122" t="e">
        <f t="shared" ref="H149:I149" si="881">H31/H25</f>
        <v>#DIV/0!</v>
      </c>
      <c r="I149" s="122">
        <f t="shared" si="881"/>
        <v>0</v>
      </c>
      <c r="J149" s="122">
        <f t="shared" ref="J149:Q149" si="882">J31/J25</f>
        <v>0</v>
      </c>
      <c r="K149" s="122">
        <f t="shared" si="882"/>
        <v>0</v>
      </c>
      <c r="L149" s="122">
        <f t="shared" si="882"/>
        <v>0</v>
      </c>
      <c r="M149" s="122">
        <f t="shared" si="882"/>
        <v>0</v>
      </c>
      <c r="N149" s="122">
        <f t="shared" si="882"/>
        <v>0</v>
      </c>
      <c r="O149" s="122">
        <f t="shared" si="882"/>
        <v>0</v>
      </c>
      <c r="P149" s="122">
        <f t="shared" si="882"/>
        <v>0</v>
      </c>
      <c r="Q149" s="122">
        <f t="shared" si="882"/>
        <v>0</v>
      </c>
      <c r="R149" s="122">
        <f t="shared" ref="R149:V149" si="883">R31/R25</f>
        <v>0</v>
      </c>
      <c r="S149" s="122">
        <f t="shared" si="883"/>
        <v>0</v>
      </c>
      <c r="T149" s="122">
        <f t="shared" si="883"/>
        <v>0</v>
      </c>
      <c r="U149" s="122">
        <f t="shared" si="883"/>
        <v>0</v>
      </c>
      <c r="V149" s="122">
        <f t="shared" si="883"/>
        <v>0</v>
      </c>
      <c r="W149" s="122">
        <f t="shared" ref="W149" si="884">W31/W25</f>
        <v>0</v>
      </c>
      <c r="X149" s="122">
        <f t="shared" ref="X149:Z149" si="885">X31/X25</f>
        <v>0</v>
      </c>
      <c r="Y149" s="122">
        <f t="shared" ref="Y149" si="886">Y31/Y25</f>
        <v>0</v>
      </c>
      <c r="Z149" s="122">
        <f t="shared" si="885"/>
        <v>0</v>
      </c>
      <c r="AA149" s="96" t="e">
        <f t="shared" si="789"/>
        <v>#DIV/0!</v>
      </c>
      <c r="AB149" s="10"/>
      <c r="AC149" s="122">
        <f t="shared" ref="AC149:AL149" si="887">AC31/AC25</f>
        <v>0</v>
      </c>
      <c r="AD149" s="122">
        <f t="shared" si="887"/>
        <v>0</v>
      </c>
      <c r="AE149" s="122">
        <f t="shared" si="887"/>
        <v>0</v>
      </c>
      <c r="AF149" s="122">
        <f t="shared" si="887"/>
        <v>0</v>
      </c>
      <c r="AG149" s="122">
        <f t="shared" si="887"/>
        <v>0</v>
      </c>
      <c r="AH149" s="122">
        <f t="shared" si="887"/>
        <v>0</v>
      </c>
      <c r="AI149" s="122">
        <f t="shared" si="887"/>
        <v>0</v>
      </c>
      <c r="AJ149" s="122">
        <f t="shared" si="887"/>
        <v>0</v>
      </c>
      <c r="AK149" s="122">
        <f t="shared" si="887"/>
        <v>0</v>
      </c>
      <c r="AL149" s="122">
        <f t="shared" si="887"/>
        <v>0</v>
      </c>
      <c r="AM149" s="109" t="e">
        <f t="shared" si="610"/>
        <v>#DIV/0!</v>
      </c>
      <c r="AN149" s="21">
        <f t="shared" si="611"/>
        <v>0.01</v>
      </c>
      <c r="AO149" s="117" t="e">
        <f t="shared" si="823"/>
        <v>#DIV/0!</v>
      </c>
    </row>
    <row r="150" spans="2:41" x14ac:dyDescent="0.15">
      <c r="B150" s="10" t="s">
        <v>150</v>
      </c>
      <c r="C150" s="122"/>
      <c r="D150" s="122"/>
      <c r="E150" s="122"/>
      <c r="F150" s="122"/>
      <c r="G150" s="122">
        <f t="shared" ref="G150" si="888">G32/G25</f>
        <v>0</v>
      </c>
      <c r="H150" s="122" t="e">
        <f t="shared" ref="H150:I150" si="889">H32/H25</f>
        <v>#DIV/0!</v>
      </c>
      <c r="I150" s="122">
        <f t="shared" si="889"/>
        <v>0</v>
      </c>
      <c r="J150" s="122">
        <f t="shared" ref="J150:Q150" si="890">J32/J25</f>
        <v>0</v>
      </c>
      <c r="K150" s="122">
        <f t="shared" si="890"/>
        <v>0</v>
      </c>
      <c r="L150" s="122">
        <f t="shared" si="890"/>
        <v>0</v>
      </c>
      <c r="M150" s="122">
        <f t="shared" si="890"/>
        <v>0</v>
      </c>
      <c r="N150" s="122">
        <f t="shared" si="890"/>
        <v>0</v>
      </c>
      <c r="O150" s="122">
        <f t="shared" si="890"/>
        <v>0</v>
      </c>
      <c r="P150" s="122">
        <f t="shared" si="890"/>
        <v>0</v>
      </c>
      <c r="Q150" s="122">
        <f t="shared" si="890"/>
        <v>0</v>
      </c>
      <c r="R150" s="122">
        <f t="shared" ref="R150:V150" si="891">R32/R25</f>
        <v>0</v>
      </c>
      <c r="S150" s="122">
        <f t="shared" si="891"/>
        <v>0</v>
      </c>
      <c r="T150" s="122">
        <f t="shared" si="891"/>
        <v>0</v>
      </c>
      <c r="U150" s="122">
        <f t="shared" si="891"/>
        <v>0</v>
      </c>
      <c r="V150" s="122">
        <f t="shared" si="891"/>
        <v>0</v>
      </c>
      <c r="W150" s="122">
        <f t="shared" ref="W150" si="892">W32/W25</f>
        <v>0</v>
      </c>
      <c r="X150" s="122">
        <f t="shared" ref="X150:Z150" si="893">X32/X25</f>
        <v>0</v>
      </c>
      <c r="Y150" s="122">
        <f t="shared" ref="Y150" si="894">Y32/Y25</f>
        <v>0</v>
      </c>
      <c r="Z150" s="122">
        <f t="shared" si="893"/>
        <v>0</v>
      </c>
      <c r="AA150" s="96" t="e">
        <f t="shared" si="789"/>
        <v>#DIV/0!</v>
      </c>
      <c r="AB150" s="10"/>
      <c r="AC150" s="122">
        <f t="shared" ref="AC150:AL150" si="895">AC32/AC25</f>
        <v>0</v>
      </c>
      <c r="AD150" s="122">
        <f t="shared" si="895"/>
        <v>0</v>
      </c>
      <c r="AE150" s="122">
        <f t="shared" si="895"/>
        <v>0</v>
      </c>
      <c r="AF150" s="122">
        <f t="shared" si="895"/>
        <v>0</v>
      </c>
      <c r="AG150" s="122">
        <f t="shared" si="895"/>
        <v>0</v>
      </c>
      <c r="AH150" s="122">
        <f t="shared" si="895"/>
        <v>0</v>
      </c>
      <c r="AI150" s="122">
        <f t="shared" si="895"/>
        <v>0</v>
      </c>
      <c r="AJ150" s="122">
        <f t="shared" si="895"/>
        <v>0</v>
      </c>
      <c r="AK150" s="122">
        <f t="shared" si="895"/>
        <v>0</v>
      </c>
      <c r="AL150" s="122">
        <f t="shared" si="895"/>
        <v>0</v>
      </c>
      <c r="AM150" s="109" t="e">
        <f t="shared" si="610"/>
        <v>#DIV/0!</v>
      </c>
      <c r="AN150" s="21">
        <f t="shared" si="611"/>
        <v>0.01</v>
      </c>
      <c r="AO150" s="117" t="e">
        <f t="shared" si="823"/>
        <v>#DIV/0!</v>
      </c>
    </row>
    <row r="151" spans="2:41" x14ac:dyDescent="0.15">
      <c r="B151" s="10" t="s">
        <v>259</v>
      </c>
      <c r="C151" s="122"/>
      <c r="D151" s="122"/>
      <c r="E151" s="122"/>
      <c r="F151" s="122"/>
      <c r="G151" s="122">
        <f t="shared" ref="G151" si="896">(G31+G32)/G25</f>
        <v>0</v>
      </c>
      <c r="H151" s="122" t="e">
        <f t="shared" ref="H151:I151" si="897">(H31+H32)/H25</f>
        <v>#DIV/0!</v>
      </c>
      <c r="I151" s="122">
        <f t="shared" si="897"/>
        <v>0</v>
      </c>
      <c r="J151" s="122">
        <f t="shared" ref="J151:Q151" si="898">(J31+J32)/J25</f>
        <v>0</v>
      </c>
      <c r="K151" s="122">
        <f t="shared" si="898"/>
        <v>0</v>
      </c>
      <c r="L151" s="122">
        <f t="shared" si="898"/>
        <v>0</v>
      </c>
      <c r="M151" s="122">
        <f t="shared" si="898"/>
        <v>0</v>
      </c>
      <c r="N151" s="122">
        <f t="shared" si="898"/>
        <v>0</v>
      </c>
      <c r="O151" s="122">
        <f t="shared" si="898"/>
        <v>0</v>
      </c>
      <c r="P151" s="122">
        <f t="shared" si="898"/>
        <v>0</v>
      </c>
      <c r="Q151" s="122">
        <f t="shared" si="898"/>
        <v>0</v>
      </c>
      <c r="R151" s="122">
        <f t="shared" ref="R151:V151" si="899">(R31+R32)/R25</f>
        <v>0</v>
      </c>
      <c r="S151" s="122">
        <f t="shared" si="899"/>
        <v>0</v>
      </c>
      <c r="T151" s="122">
        <f t="shared" si="899"/>
        <v>0</v>
      </c>
      <c r="U151" s="122">
        <f t="shared" si="899"/>
        <v>0</v>
      </c>
      <c r="V151" s="122">
        <f t="shared" si="899"/>
        <v>0</v>
      </c>
      <c r="W151" s="122">
        <f t="shared" ref="W151" si="900">(W31+W32)/W25</f>
        <v>0</v>
      </c>
      <c r="X151" s="122">
        <f t="shared" ref="X151:Z151" si="901">(X31+X32)/X25</f>
        <v>0</v>
      </c>
      <c r="Y151" s="122">
        <f t="shared" ref="Y151" si="902">(Y31+Y32)/Y25</f>
        <v>0</v>
      </c>
      <c r="Z151" s="122">
        <f t="shared" si="901"/>
        <v>0</v>
      </c>
      <c r="AA151" s="96" t="e">
        <f t="shared" si="789"/>
        <v>#DIV/0!</v>
      </c>
      <c r="AB151" s="10"/>
      <c r="AC151" s="122">
        <f t="shared" ref="AC151:AL151" si="903">(AC31+AC32)/AC25</f>
        <v>0</v>
      </c>
      <c r="AD151" s="122">
        <f t="shared" si="903"/>
        <v>0</v>
      </c>
      <c r="AE151" s="122">
        <f t="shared" si="903"/>
        <v>0</v>
      </c>
      <c r="AF151" s="122">
        <f t="shared" si="903"/>
        <v>0</v>
      </c>
      <c r="AG151" s="122">
        <f t="shared" si="903"/>
        <v>0</v>
      </c>
      <c r="AH151" s="122">
        <f t="shared" si="903"/>
        <v>0</v>
      </c>
      <c r="AI151" s="122">
        <f t="shared" si="903"/>
        <v>0</v>
      </c>
      <c r="AJ151" s="122">
        <f t="shared" si="903"/>
        <v>0</v>
      </c>
      <c r="AK151" s="122">
        <f t="shared" si="903"/>
        <v>0</v>
      </c>
      <c r="AL151" s="122">
        <f t="shared" si="903"/>
        <v>0</v>
      </c>
      <c r="AM151" s="109" t="e">
        <f t="shared" si="610"/>
        <v>#DIV/0!</v>
      </c>
      <c r="AN151" s="21">
        <f t="shared" si="611"/>
        <v>0.01</v>
      </c>
      <c r="AO151" s="117" t="e">
        <f t="shared" si="823"/>
        <v>#DIV/0!</v>
      </c>
    </row>
    <row r="152" spans="2:41" x14ac:dyDescent="0.15">
      <c r="B152" s="10"/>
      <c r="C152" s="10"/>
      <c r="D152" s="10"/>
      <c r="E152" s="10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96" t="e">
        <f t="shared" si="789"/>
        <v>#DIV/0!</v>
      </c>
      <c r="AB152" s="10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04"/>
      <c r="AN152" s="117"/>
      <c r="AO152" s="117"/>
    </row>
    <row r="153" spans="2:41" x14ac:dyDescent="0.15">
      <c r="B153" s="10" t="s">
        <v>171</v>
      </c>
      <c r="C153" s="10"/>
      <c r="D153" s="10"/>
      <c r="E153" s="10"/>
      <c r="F153" s="122"/>
      <c r="G153" s="122">
        <f t="shared" ref="G153" si="904">G27/G25</f>
        <v>0.84685314685314683</v>
      </c>
      <c r="H153" s="122" t="e">
        <f t="shared" ref="H153:I153" si="905">H27/H25</f>
        <v>#DIV/0!</v>
      </c>
      <c r="I153" s="122">
        <f t="shared" si="905"/>
        <v>0.84685314685314683</v>
      </c>
      <c r="J153" s="122">
        <f t="shared" ref="J153:Q153" si="906">J27/J25</f>
        <v>0.86077643908969215</v>
      </c>
      <c r="K153" s="122">
        <f t="shared" si="906"/>
        <v>0.87168747482883613</v>
      </c>
      <c r="L153" s="122">
        <f t="shared" si="906"/>
        <v>1.0836091700380042</v>
      </c>
      <c r="M153" s="122">
        <f t="shared" si="906"/>
        <v>1.0619147363233119</v>
      </c>
      <c r="N153" s="122">
        <f t="shared" si="906"/>
        <v>1.0282891782667265</v>
      </c>
      <c r="O153" s="122">
        <f t="shared" si="906"/>
        <v>1.0255027843791011</v>
      </c>
      <c r="P153" s="122">
        <f t="shared" si="906"/>
        <v>1.0064694236078191</v>
      </c>
      <c r="Q153" s="122">
        <f t="shared" si="906"/>
        <v>0.98902596639642815</v>
      </c>
      <c r="R153" s="122">
        <f t="shared" ref="R153:V153" si="907">R27/R25</f>
        <v>0.97722338451821733</v>
      </c>
      <c r="S153" s="122">
        <f t="shared" si="907"/>
        <v>0.97457291683158909</v>
      </c>
      <c r="T153" s="122">
        <f t="shared" si="907"/>
        <v>0.96710840578127777</v>
      </c>
      <c r="U153" s="122">
        <f t="shared" si="907"/>
        <v>0.9706403086050629</v>
      </c>
      <c r="V153" s="122">
        <f t="shared" si="907"/>
        <v>0.96673640167364017</v>
      </c>
      <c r="W153" s="122">
        <f t="shared" ref="W153" si="908">W27/W25</f>
        <v>0.98021916866493708</v>
      </c>
      <c r="X153" s="122">
        <f t="shared" ref="X153:Z153" si="909">X27/X25</f>
        <v>0.9648080154334433</v>
      </c>
      <c r="Y153" s="122">
        <f t="shared" ref="Y153" si="910">Y27/Y25</f>
        <v>0.95297787193973638</v>
      </c>
      <c r="Z153" s="122">
        <f t="shared" si="909"/>
        <v>0.9283355001932605</v>
      </c>
      <c r="AA153" s="96">
        <f t="shared" si="789"/>
        <v>4.8467549947166511E-3</v>
      </c>
      <c r="AB153" s="10"/>
      <c r="AC153" s="122">
        <f t="shared" ref="AC153:AL153" si="911">AC27/AC25</f>
        <v>0.9283355001932605</v>
      </c>
      <c r="AD153" s="122">
        <f t="shared" si="911"/>
        <v>0.92833550019326061</v>
      </c>
      <c r="AE153" s="122">
        <f t="shared" si="911"/>
        <v>0.92833550019326061</v>
      </c>
      <c r="AF153" s="122">
        <f t="shared" si="911"/>
        <v>0.9283355001932605</v>
      </c>
      <c r="AG153" s="122">
        <f t="shared" si="911"/>
        <v>0.92833550019326061</v>
      </c>
      <c r="AH153" s="122">
        <f t="shared" si="911"/>
        <v>0.92833550019326072</v>
      </c>
      <c r="AI153" s="122">
        <f t="shared" si="911"/>
        <v>0.92833550019326072</v>
      </c>
      <c r="AJ153" s="122">
        <f t="shared" si="911"/>
        <v>0.92833550019326083</v>
      </c>
      <c r="AK153" s="122">
        <f t="shared" si="911"/>
        <v>0.92833550019326083</v>
      </c>
      <c r="AL153" s="122">
        <f t="shared" si="911"/>
        <v>0.92833550019326072</v>
      </c>
      <c r="AM153" s="109">
        <f t="shared" si="610"/>
        <v>2.6088585346970561E-3</v>
      </c>
      <c r="AN153" s="21">
        <f t="shared" si="611"/>
        <v>0.01</v>
      </c>
      <c r="AO153" s="117" t="e">
        <f t="shared" si="823"/>
        <v>#DIV/0!</v>
      </c>
    </row>
    <row r="154" spans="2:41" x14ac:dyDescent="0.15">
      <c r="B154" s="10" t="str">
        <f>B33</f>
        <v>Top Expenses ( Raw material )</v>
      </c>
      <c r="C154" s="10"/>
      <c r="D154" s="10"/>
      <c r="E154" s="10"/>
      <c r="F154" s="122"/>
      <c r="G154" s="122">
        <f t="shared" ref="G154" si="912">G33/G25</f>
        <v>0</v>
      </c>
      <c r="H154" s="122" t="e">
        <f t="shared" ref="H154:I154" si="913">H33/H25</f>
        <v>#DIV/0!</v>
      </c>
      <c r="I154" s="122">
        <f t="shared" si="913"/>
        <v>0</v>
      </c>
      <c r="J154" s="122">
        <f t="shared" ref="J154:Q154" si="914">J33/J25</f>
        <v>0</v>
      </c>
      <c r="K154" s="122">
        <f t="shared" si="914"/>
        <v>0</v>
      </c>
      <c r="L154" s="122">
        <f t="shared" si="914"/>
        <v>0</v>
      </c>
      <c r="M154" s="122">
        <f t="shared" si="914"/>
        <v>0</v>
      </c>
      <c r="N154" s="122">
        <f t="shared" si="914"/>
        <v>0</v>
      </c>
      <c r="O154" s="122">
        <f t="shared" si="914"/>
        <v>0</v>
      </c>
      <c r="P154" s="122">
        <f t="shared" si="914"/>
        <v>0</v>
      </c>
      <c r="Q154" s="122">
        <f t="shared" si="914"/>
        <v>0</v>
      </c>
      <c r="R154" s="122">
        <f t="shared" ref="R154:V154" si="915">R33/R25</f>
        <v>0</v>
      </c>
      <c r="S154" s="122">
        <f t="shared" si="915"/>
        <v>0</v>
      </c>
      <c r="T154" s="122">
        <f t="shared" si="915"/>
        <v>0</v>
      </c>
      <c r="U154" s="122">
        <f t="shared" si="915"/>
        <v>0</v>
      </c>
      <c r="V154" s="122">
        <f t="shared" si="915"/>
        <v>0</v>
      </c>
      <c r="W154" s="122">
        <f t="shared" ref="W154" si="916">W33/W25</f>
        <v>0</v>
      </c>
      <c r="X154" s="122">
        <f t="shared" ref="X154:Z154" si="917">X33/X25</f>
        <v>0</v>
      </c>
      <c r="Y154" s="122">
        <f t="shared" ref="Y154" si="918">Y33/Y25</f>
        <v>0</v>
      </c>
      <c r="Z154" s="122">
        <f t="shared" si="917"/>
        <v>0</v>
      </c>
      <c r="AA154" s="96" t="e">
        <f t="shared" si="789"/>
        <v>#DIV/0!</v>
      </c>
      <c r="AB154" s="10"/>
      <c r="AC154" s="122">
        <f t="shared" ref="AC154:AL154" si="919">AC33/AC25</f>
        <v>0</v>
      </c>
      <c r="AD154" s="122">
        <f t="shared" si="919"/>
        <v>0</v>
      </c>
      <c r="AE154" s="122">
        <f t="shared" si="919"/>
        <v>0</v>
      </c>
      <c r="AF154" s="122">
        <f t="shared" si="919"/>
        <v>0</v>
      </c>
      <c r="AG154" s="122">
        <f t="shared" si="919"/>
        <v>0</v>
      </c>
      <c r="AH154" s="122">
        <f t="shared" si="919"/>
        <v>0</v>
      </c>
      <c r="AI154" s="122">
        <f t="shared" si="919"/>
        <v>0</v>
      </c>
      <c r="AJ154" s="122">
        <f t="shared" si="919"/>
        <v>0</v>
      </c>
      <c r="AK154" s="122">
        <f t="shared" si="919"/>
        <v>0</v>
      </c>
      <c r="AL154" s="122">
        <f t="shared" si="919"/>
        <v>0</v>
      </c>
      <c r="AM154" s="109" t="e">
        <f t="shared" si="610"/>
        <v>#DIV/0!</v>
      </c>
      <c r="AN154" s="21">
        <f t="shared" si="611"/>
        <v>0.01</v>
      </c>
      <c r="AO154" s="117" t="e">
        <f t="shared" si="823"/>
        <v>#DIV/0!</v>
      </c>
    </row>
    <row r="155" spans="2:41" x14ac:dyDescent="0.15">
      <c r="B155" s="10" t="str">
        <f>B34</f>
        <v>2nd highest Expenses Comp. ( Power and Fuel )</v>
      </c>
      <c r="C155" s="10"/>
      <c r="D155" s="10"/>
      <c r="E155" s="10"/>
      <c r="F155" s="122"/>
      <c r="G155" s="122">
        <f t="shared" ref="G155" si="920">G34/G25</f>
        <v>0</v>
      </c>
      <c r="H155" s="122" t="e">
        <f t="shared" ref="H155:I155" si="921">H34/H25</f>
        <v>#DIV/0!</v>
      </c>
      <c r="I155" s="122">
        <f t="shared" si="921"/>
        <v>0</v>
      </c>
      <c r="J155" s="122">
        <f t="shared" ref="J155:Q155" si="922">J34/J25</f>
        <v>0</v>
      </c>
      <c r="K155" s="122">
        <f t="shared" si="922"/>
        <v>0</v>
      </c>
      <c r="L155" s="122">
        <f t="shared" si="922"/>
        <v>0</v>
      </c>
      <c r="M155" s="122">
        <f t="shared" si="922"/>
        <v>0</v>
      </c>
      <c r="N155" s="122">
        <f t="shared" si="922"/>
        <v>0</v>
      </c>
      <c r="O155" s="122">
        <f t="shared" si="922"/>
        <v>0</v>
      </c>
      <c r="P155" s="122">
        <f t="shared" si="922"/>
        <v>0</v>
      </c>
      <c r="Q155" s="122">
        <f t="shared" si="922"/>
        <v>0</v>
      </c>
      <c r="R155" s="122">
        <f t="shared" ref="R155:V155" si="923">R34/R25</f>
        <v>0</v>
      </c>
      <c r="S155" s="122">
        <f t="shared" si="923"/>
        <v>0</v>
      </c>
      <c r="T155" s="122">
        <f t="shared" si="923"/>
        <v>0</v>
      </c>
      <c r="U155" s="122">
        <f t="shared" si="923"/>
        <v>0</v>
      </c>
      <c r="V155" s="122">
        <f t="shared" si="923"/>
        <v>0</v>
      </c>
      <c r="W155" s="122">
        <f t="shared" ref="W155" si="924">W34/W25</f>
        <v>0</v>
      </c>
      <c r="X155" s="122">
        <f t="shared" ref="X155:Z155" si="925">X34/X25</f>
        <v>0</v>
      </c>
      <c r="Y155" s="122">
        <f t="shared" ref="Y155" si="926">Y34/Y25</f>
        <v>0</v>
      </c>
      <c r="Z155" s="122">
        <f t="shared" si="925"/>
        <v>0</v>
      </c>
      <c r="AA155" s="96" t="e">
        <f t="shared" si="789"/>
        <v>#DIV/0!</v>
      </c>
      <c r="AB155" s="10"/>
      <c r="AC155" s="122">
        <f t="shared" ref="AC155:AL155" si="927">AC34/AC25</f>
        <v>0</v>
      </c>
      <c r="AD155" s="122">
        <f t="shared" si="927"/>
        <v>0</v>
      </c>
      <c r="AE155" s="122">
        <f t="shared" si="927"/>
        <v>0</v>
      </c>
      <c r="AF155" s="122">
        <f t="shared" si="927"/>
        <v>0</v>
      </c>
      <c r="AG155" s="122">
        <f t="shared" si="927"/>
        <v>0</v>
      </c>
      <c r="AH155" s="122">
        <f t="shared" si="927"/>
        <v>0</v>
      </c>
      <c r="AI155" s="122">
        <f t="shared" si="927"/>
        <v>0</v>
      </c>
      <c r="AJ155" s="122">
        <f t="shared" si="927"/>
        <v>0</v>
      </c>
      <c r="AK155" s="122">
        <f t="shared" si="927"/>
        <v>0</v>
      </c>
      <c r="AL155" s="122">
        <f t="shared" si="927"/>
        <v>0</v>
      </c>
      <c r="AM155" s="109" t="e">
        <f t="shared" si="610"/>
        <v>#DIV/0!</v>
      </c>
      <c r="AN155" s="21">
        <f t="shared" si="611"/>
        <v>0.01</v>
      </c>
      <c r="AO155" s="117" t="e">
        <f t="shared" si="823"/>
        <v>#DIV/0!</v>
      </c>
    </row>
    <row r="156" spans="2:41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96" t="e">
        <f t="shared" si="789"/>
        <v>#DIV/0!</v>
      </c>
      <c r="AB156" s="10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110"/>
      <c r="AN156" s="117"/>
      <c r="AO156" s="117"/>
    </row>
    <row r="157" spans="2:41" x14ac:dyDescent="0.15">
      <c r="B157" s="89" t="s">
        <v>179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96" t="e">
        <f t="shared" si="789"/>
        <v>#DIV/0!</v>
      </c>
      <c r="AB157" s="1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0"/>
      <c r="AN157" s="117"/>
      <c r="AO157" s="117"/>
    </row>
    <row r="158" spans="2:41" x14ac:dyDescent="0.15">
      <c r="B158" s="10" t="s">
        <v>182</v>
      </c>
      <c r="C158" s="10"/>
      <c r="D158" s="10"/>
      <c r="E158" s="10"/>
      <c r="F158" s="15"/>
      <c r="G158" s="15" t="e">
        <f t="shared" ref="G158" si="928">G15/G9</f>
        <v>#DIV/0!</v>
      </c>
      <c r="H158" s="15" t="e">
        <f t="shared" ref="H158:I158" si="929">H15/H9</f>
        <v>#DIV/0!</v>
      </c>
      <c r="I158" s="15" t="e">
        <f t="shared" si="929"/>
        <v>#DIV/0!</v>
      </c>
      <c r="J158" s="15" t="e">
        <f t="shared" ref="J158:Q158" si="930">J15/J9</f>
        <v>#DIV/0!</v>
      </c>
      <c r="K158" s="15" t="e">
        <f t="shared" si="930"/>
        <v>#DIV/0!</v>
      </c>
      <c r="L158" s="15" t="e">
        <f t="shared" si="930"/>
        <v>#DIV/0!</v>
      </c>
      <c r="M158" s="15" t="e">
        <f t="shared" si="930"/>
        <v>#DIV/0!</v>
      </c>
      <c r="N158" s="15" t="e">
        <f t="shared" si="930"/>
        <v>#DIV/0!</v>
      </c>
      <c r="O158" s="15" t="e">
        <f t="shared" si="930"/>
        <v>#DIV/0!</v>
      </c>
      <c r="P158" s="15" t="e">
        <f t="shared" si="930"/>
        <v>#DIV/0!</v>
      </c>
      <c r="Q158" s="15" t="e">
        <f t="shared" si="930"/>
        <v>#DIV/0!</v>
      </c>
      <c r="R158" s="15" t="e">
        <f t="shared" ref="R158:V158" si="931">R15/R9</f>
        <v>#DIV/0!</v>
      </c>
      <c r="S158" s="15" t="e">
        <f t="shared" si="931"/>
        <v>#DIV/0!</v>
      </c>
      <c r="T158" s="15" t="e">
        <f t="shared" si="931"/>
        <v>#DIV/0!</v>
      </c>
      <c r="U158" s="15" t="e">
        <f t="shared" si="931"/>
        <v>#DIV/0!</v>
      </c>
      <c r="V158" s="15" t="e">
        <f t="shared" si="931"/>
        <v>#DIV/0!</v>
      </c>
      <c r="W158" s="15" t="e">
        <f t="shared" ref="W158" si="932">W15/W9</f>
        <v>#DIV/0!</v>
      </c>
      <c r="X158" s="15" t="e">
        <f t="shared" ref="X158:Z158" si="933">X15/X9</f>
        <v>#DIV/0!</v>
      </c>
      <c r="Y158" s="15" t="e">
        <f t="shared" ref="Y158" si="934">Y15/Y9</f>
        <v>#DIV/0!</v>
      </c>
      <c r="Z158" s="15" t="e">
        <f t="shared" si="933"/>
        <v>#DIV/0!</v>
      </c>
      <c r="AA158" s="96" t="e">
        <f t="shared" si="789"/>
        <v>#DIV/0!</v>
      </c>
      <c r="AB158" s="10"/>
      <c r="AC158" s="10" t="e">
        <f t="shared" ref="AC158:AL158" si="935">AC15/AC9</f>
        <v>#DIV/0!</v>
      </c>
      <c r="AD158" s="10" t="e">
        <f t="shared" si="935"/>
        <v>#DIV/0!</v>
      </c>
      <c r="AE158" s="10" t="e">
        <f t="shared" si="935"/>
        <v>#DIV/0!</v>
      </c>
      <c r="AF158" s="10" t="e">
        <f t="shared" si="935"/>
        <v>#DIV/0!</v>
      </c>
      <c r="AG158" s="10" t="e">
        <f t="shared" si="935"/>
        <v>#DIV/0!</v>
      </c>
      <c r="AH158" s="10" t="e">
        <f t="shared" si="935"/>
        <v>#DIV/0!</v>
      </c>
      <c r="AI158" s="10" t="e">
        <f t="shared" si="935"/>
        <v>#DIV/0!</v>
      </c>
      <c r="AJ158" s="10" t="e">
        <f t="shared" si="935"/>
        <v>#DIV/0!</v>
      </c>
      <c r="AK158" s="10" t="e">
        <f t="shared" si="935"/>
        <v>#DIV/0!</v>
      </c>
      <c r="AL158" s="10" t="e">
        <f t="shared" si="935"/>
        <v>#DIV/0!</v>
      </c>
      <c r="AM158" s="109" t="e">
        <f t="shared" si="610"/>
        <v>#DIV/0!</v>
      </c>
      <c r="AN158" s="21">
        <f t="shared" si="611"/>
        <v>0.01</v>
      </c>
      <c r="AO158" s="117" t="e">
        <f t="shared" si="823"/>
        <v>#DIV/0!</v>
      </c>
    </row>
    <row r="159" spans="2:41" x14ac:dyDescent="0.15">
      <c r="B159" s="10" t="s">
        <v>172</v>
      </c>
      <c r="C159" s="10"/>
      <c r="D159" s="10"/>
      <c r="E159" s="10"/>
      <c r="F159" s="15"/>
      <c r="G159" s="15" t="e">
        <f t="shared" ref="G159" si="936">G12/G9</f>
        <v>#DIV/0!</v>
      </c>
      <c r="H159" s="15" t="e">
        <f t="shared" ref="H159:I159" si="937">H12/H9</f>
        <v>#DIV/0!</v>
      </c>
      <c r="I159" s="15" t="e">
        <f t="shared" si="937"/>
        <v>#DIV/0!</v>
      </c>
      <c r="J159" s="15" t="e">
        <f t="shared" ref="J159:Q159" si="938">J12/J9</f>
        <v>#DIV/0!</v>
      </c>
      <c r="K159" s="15" t="e">
        <f t="shared" si="938"/>
        <v>#DIV/0!</v>
      </c>
      <c r="L159" s="15" t="e">
        <f t="shared" si="938"/>
        <v>#DIV/0!</v>
      </c>
      <c r="M159" s="15" t="e">
        <f t="shared" si="938"/>
        <v>#DIV/0!</v>
      </c>
      <c r="N159" s="15" t="e">
        <f t="shared" si="938"/>
        <v>#DIV/0!</v>
      </c>
      <c r="O159" s="15" t="e">
        <f t="shared" si="938"/>
        <v>#DIV/0!</v>
      </c>
      <c r="P159" s="15" t="e">
        <f t="shared" si="938"/>
        <v>#DIV/0!</v>
      </c>
      <c r="Q159" s="15" t="e">
        <f t="shared" si="938"/>
        <v>#DIV/0!</v>
      </c>
      <c r="R159" s="15" t="e">
        <f t="shared" ref="R159:V159" si="939">R12/R9</f>
        <v>#DIV/0!</v>
      </c>
      <c r="S159" s="15" t="e">
        <f t="shared" si="939"/>
        <v>#DIV/0!</v>
      </c>
      <c r="T159" s="15" t="e">
        <f t="shared" si="939"/>
        <v>#DIV/0!</v>
      </c>
      <c r="U159" s="15" t="e">
        <f t="shared" si="939"/>
        <v>#DIV/0!</v>
      </c>
      <c r="V159" s="15" t="e">
        <f t="shared" si="939"/>
        <v>#DIV/0!</v>
      </c>
      <c r="W159" s="15" t="e">
        <f t="shared" ref="W159" si="940">W12/W9</f>
        <v>#DIV/0!</v>
      </c>
      <c r="X159" s="15" t="e">
        <f t="shared" ref="X159:Z159" si="941">X12/X9</f>
        <v>#DIV/0!</v>
      </c>
      <c r="Y159" s="15" t="e">
        <f t="shared" ref="Y159" si="942">Y12/Y9</f>
        <v>#DIV/0!</v>
      </c>
      <c r="Z159" s="15" t="e">
        <f t="shared" si="941"/>
        <v>#DIV/0!</v>
      </c>
      <c r="AA159" s="96" t="e">
        <f t="shared" si="789"/>
        <v>#DIV/0!</v>
      </c>
      <c r="AB159" s="104"/>
      <c r="AC159" s="10" t="e">
        <f t="shared" ref="AC159:AL159" si="943">AC12/AC9</f>
        <v>#DIV/0!</v>
      </c>
      <c r="AD159" s="10" t="e">
        <f t="shared" si="943"/>
        <v>#DIV/0!</v>
      </c>
      <c r="AE159" s="10" t="e">
        <f t="shared" si="943"/>
        <v>#DIV/0!</v>
      </c>
      <c r="AF159" s="10" t="e">
        <f t="shared" si="943"/>
        <v>#DIV/0!</v>
      </c>
      <c r="AG159" s="10" t="e">
        <f t="shared" si="943"/>
        <v>#DIV/0!</v>
      </c>
      <c r="AH159" s="10" t="e">
        <f t="shared" si="943"/>
        <v>#DIV/0!</v>
      </c>
      <c r="AI159" s="10" t="e">
        <f t="shared" si="943"/>
        <v>#DIV/0!</v>
      </c>
      <c r="AJ159" s="10" t="e">
        <f t="shared" si="943"/>
        <v>#DIV/0!</v>
      </c>
      <c r="AK159" s="10" t="e">
        <f t="shared" si="943"/>
        <v>#DIV/0!</v>
      </c>
      <c r="AL159" s="10" t="e">
        <f t="shared" si="943"/>
        <v>#DIV/0!</v>
      </c>
      <c r="AM159" s="96" t="e">
        <f t="shared" ref="AM159" si="944">((AL159/AC159)^(1/($K$2-$K$1) ))-1</f>
        <v>#DIV/0!</v>
      </c>
      <c r="AN159" s="21">
        <f t="shared" si="611"/>
        <v>0.01</v>
      </c>
      <c r="AO159" s="117" t="e">
        <f t="shared" si="823"/>
        <v>#DIV/0!</v>
      </c>
    </row>
    <row r="160" spans="2:41" x14ac:dyDescent="0.15">
      <c r="B160" s="10" t="s">
        <v>174</v>
      </c>
      <c r="C160" s="10"/>
      <c r="D160" s="10"/>
      <c r="E160" s="10"/>
      <c r="F160" s="15"/>
      <c r="G160" s="15">
        <f t="shared" ref="G160" si="945">G25/360</f>
        <v>15.888888888888889</v>
      </c>
      <c r="H160" s="15">
        <f t="shared" ref="H160:I160" si="946">H25/360</f>
        <v>0</v>
      </c>
      <c r="I160" s="15">
        <f t="shared" si="946"/>
        <v>15.888888888888889</v>
      </c>
      <c r="J160" s="15">
        <f t="shared" ref="J160:Q160" si="947">J25/360</f>
        <v>22.824999999999999</v>
      </c>
      <c r="K160" s="15">
        <f t="shared" si="947"/>
        <v>34.486111111111114</v>
      </c>
      <c r="L160" s="15">
        <f t="shared" si="947"/>
        <v>45.31666666666667</v>
      </c>
      <c r="M160" s="15">
        <f t="shared" si="947"/>
        <v>45.088888888888889</v>
      </c>
      <c r="N160" s="15">
        <f t="shared" si="947"/>
        <v>55.674999999999997</v>
      </c>
      <c r="O160" s="15">
        <f t="shared" si="947"/>
        <v>78.313888888888883</v>
      </c>
      <c r="P160" s="15">
        <f t="shared" si="947"/>
        <v>99.613888888888894</v>
      </c>
      <c r="Q160" s="15">
        <f t="shared" si="947"/>
        <v>118.20833333333333</v>
      </c>
      <c r="R160" s="15">
        <f t="shared" ref="R160:V160" si="948">R25/360</f>
        <v>140.73888888888888</v>
      </c>
      <c r="S160" s="15">
        <f t="shared" si="948"/>
        <v>175.44722222222222</v>
      </c>
      <c r="T160" s="15">
        <f t="shared" si="948"/>
        <v>203.53055555555557</v>
      </c>
      <c r="U160" s="15">
        <f t="shared" si="948"/>
        <v>236.90833333333333</v>
      </c>
      <c r="V160" s="15">
        <f t="shared" si="948"/>
        <v>292.11111111111109</v>
      </c>
      <c r="W160" s="15">
        <f t="shared" ref="W160" si="949">W25/360</f>
        <v>339.41388888888889</v>
      </c>
      <c r="X160" s="15">
        <f t="shared" ref="X160:Z160" si="950">X25/360</f>
        <v>357.0888888888889</v>
      </c>
      <c r="Y160" s="15">
        <f t="shared" ref="Y160" si="951">Y25/360</f>
        <v>377.6</v>
      </c>
      <c r="Z160" s="15">
        <f t="shared" si="950"/>
        <v>474.31666666666666</v>
      </c>
      <c r="AA160" s="96">
        <f t="shared" si="789"/>
        <v>0.19572209849736577</v>
      </c>
      <c r="AB160" s="104"/>
      <c r="AC160" s="15">
        <f t="shared" ref="AC160:AL160" si="952">AC25/360</f>
        <v>545.46416666666664</v>
      </c>
      <c r="AD160" s="15">
        <f t="shared" si="952"/>
        <v>627.2837916666665</v>
      </c>
      <c r="AE160" s="15">
        <f t="shared" si="952"/>
        <v>721.37636041666644</v>
      </c>
      <c r="AF160" s="15">
        <f t="shared" si="952"/>
        <v>829.58281447916636</v>
      </c>
      <c r="AG160" s="15">
        <f t="shared" si="952"/>
        <v>954.02023665104127</v>
      </c>
      <c r="AH160" s="15">
        <f t="shared" si="952"/>
        <v>1097.1232721486972</v>
      </c>
      <c r="AI160" s="15">
        <f t="shared" si="952"/>
        <v>1261.6917629710017</v>
      </c>
      <c r="AJ160" s="15">
        <f t="shared" si="952"/>
        <v>1450.9455274166519</v>
      </c>
      <c r="AK160" s="15">
        <f t="shared" si="952"/>
        <v>1668.5873565291495</v>
      </c>
      <c r="AL160" s="15">
        <f t="shared" si="952"/>
        <v>1918.8754600085217</v>
      </c>
      <c r="AM160" s="96">
        <f t="shared" ref="AM160:AM171" si="953">((AL160/AC160)^(1/($K$2-$K$1) ))-1</f>
        <v>6.8443616271006036E-2</v>
      </c>
      <c r="AN160" s="21">
        <f t="shared" si="611"/>
        <v>0.01</v>
      </c>
      <c r="AO160" s="117" t="e">
        <f t="shared" si="823"/>
        <v>#DIV/0!</v>
      </c>
    </row>
    <row r="161" spans="2:41" x14ac:dyDescent="0.15">
      <c r="B161" s="10" t="s">
        <v>173</v>
      </c>
      <c r="C161" s="10"/>
      <c r="D161" s="10"/>
      <c r="E161" s="10"/>
      <c r="F161" s="15"/>
      <c r="G161" s="15">
        <f t="shared" ref="G161" si="954">G27/360</f>
        <v>13.455555555555556</v>
      </c>
      <c r="H161" s="15">
        <f t="shared" ref="H161:I161" si="955">H27/360</f>
        <v>0</v>
      </c>
      <c r="I161" s="15">
        <f t="shared" si="955"/>
        <v>13.455555555555556</v>
      </c>
      <c r="J161" s="15">
        <f t="shared" ref="J161:Q161" si="956">J27/360</f>
        <v>19.647222222222222</v>
      </c>
      <c r="K161" s="15">
        <f t="shared" si="956"/>
        <v>30.06111111111111</v>
      </c>
      <c r="L161" s="15">
        <f t="shared" si="956"/>
        <v>49.105555555555554</v>
      </c>
      <c r="M161" s="15">
        <f t="shared" si="956"/>
        <v>47.880555555555553</v>
      </c>
      <c r="N161" s="15">
        <f t="shared" si="956"/>
        <v>57.25</v>
      </c>
      <c r="O161" s="15">
        <f t="shared" si="956"/>
        <v>80.311111111111117</v>
      </c>
      <c r="P161" s="15">
        <f t="shared" si="956"/>
        <v>100.25833333333334</v>
      </c>
      <c r="Q161" s="15">
        <f t="shared" si="956"/>
        <v>116.91111111111111</v>
      </c>
      <c r="R161" s="15">
        <f t="shared" ref="R161:V161" si="957">R27/360</f>
        <v>137.53333333333333</v>
      </c>
      <c r="S161" s="15">
        <f t="shared" si="957"/>
        <v>170.98611111111111</v>
      </c>
      <c r="T161" s="15">
        <f t="shared" si="957"/>
        <v>196.83611111111111</v>
      </c>
      <c r="U161" s="15">
        <f t="shared" si="957"/>
        <v>229.95277777777778</v>
      </c>
      <c r="V161" s="15">
        <f t="shared" si="957"/>
        <v>282.39444444444445</v>
      </c>
      <c r="W161" s="15">
        <f t="shared" ref="W161" si="958">W27/360</f>
        <v>332.7</v>
      </c>
      <c r="X161" s="15">
        <f t="shared" ref="X161:Z161" si="959">X27/360</f>
        <v>344.52222222222224</v>
      </c>
      <c r="Y161" s="15">
        <f t="shared" ref="Y161" si="960">Y27/360</f>
        <v>359.84444444444443</v>
      </c>
      <c r="Z161" s="15">
        <f t="shared" si="959"/>
        <v>440.32499999999999</v>
      </c>
      <c r="AA161" s="96">
        <f t="shared" si="789"/>
        <v>0.20151747055055069</v>
      </c>
      <c r="AB161" s="104"/>
      <c r="AC161" s="15">
        <f t="shared" ref="AC161:AL161" si="961">AC27/360</f>
        <v>506.37374999999997</v>
      </c>
      <c r="AD161" s="15">
        <f t="shared" si="961"/>
        <v>582.3298125</v>
      </c>
      <c r="AE161" s="15">
        <f t="shared" si="961"/>
        <v>669.67928437499984</v>
      </c>
      <c r="AF161" s="15">
        <f t="shared" si="961"/>
        <v>770.13117703124976</v>
      </c>
      <c r="AG161" s="15">
        <f t="shared" si="961"/>
        <v>885.65085358593728</v>
      </c>
      <c r="AH161" s="15">
        <f t="shared" si="961"/>
        <v>1018.4984816238277</v>
      </c>
      <c r="AI161" s="15">
        <f t="shared" si="961"/>
        <v>1171.2732538674018</v>
      </c>
      <c r="AJ161" s="15">
        <f t="shared" si="961"/>
        <v>1346.9642419475122</v>
      </c>
      <c r="AK161" s="15">
        <f t="shared" si="961"/>
        <v>1549.0088782396388</v>
      </c>
      <c r="AL161" s="15">
        <f t="shared" si="961"/>
        <v>1781.3602099755844</v>
      </c>
      <c r="AM161" s="96">
        <f t="shared" si="953"/>
        <v>6.8443616271006258E-2</v>
      </c>
      <c r="AN161" s="21">
        <f t="shared" si="611"/>
        <v>0.01</v>
      </c>
      <c r="AO161" s="117" t="e">
        <f t="shared" si="823"/>
        <v>#DIV/0!</v>
      </c>
    </row>
    <row r="162" spans="2:41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96" t="e">
        <f t="shared" si="789"/>
        <v>#DIV/0!</v>
      </c>
      <c r="AB162" s="1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04"/>
      <c r="AN162" s="117"/>
      <c r="AO162" s="117"/>
    </row>
    <row r="163" spans="2:41" x14ac:dyDescent="0.15">
      <c r="B163" s="10" t="s">
        <v>183</v>
      </c>
      <c r="C163" s="10"/>
      <c r="D163" s="10"/>
      <c r="E163" s="10"/>
      <c r="F163" s="15"/>
      <c r="G163" s="15">
        <f t="shared" ref="G163" si="962">G10/G7</f>
        <v>0</v>
      </c>
      <c r="H163" s="15" t="e">
        <f t="shared" ref="H163:I163" si="963">H10/H7</f>
        <v>#DIV/0!</v>
      </c>
      <c r="I163" s="15">
        <f t="shared" si="963"/>
        <v>0</v>
      </c>
      <c r="J163" s="15">
        <f t="shared" ref="J163:Q163" si="964">J10/J7</f>
        <v>0</v>
      </c>
      <c r="K163" s="15">
        <f t="shared" si="964"/>
        <v>0</v>
      </c>
      <c r="L163" s="15">
        <f t="shared" si="964"/>
        <v>0</v>
      </c>
      <c r="M163" s="15">
        <f t="shared" si="964"/>
        <v>0</v>
      </c>
      <c r="N163" s="15">
        <f t="shared" si="964"/>
        <v>0</v>
      </c>
      <c r="O163" s="15">
        <f t="shared" si="964"/>
        <v>0</v>
      </c>
      <c r="P163" s="15">
        <f t="shared" si="964"/>
        <v>0</v>
      </c>
      <c r="Q163" s="15">
        <f t="shared" si="964"/>
        <v>0</v>
      </c>
      <c r="R163" s="15">
        <f t="shared" ref="R163:V163" si="965">R10/R7</f>
        <v>0</v>
      </c>
      <c r="S163" s="15">
        <f t="shared" si="965"/>
        <v>0</v>
      </c>
      <c r="T163" s="15">
        <f t="shared" si="965"/>
        <v>0</v>
      </c>
      <c r="U163" s="15">
        <f t="shared" si="965"/>
        <v>0</v>
      </c>
      <c r="V163" s="15">
        <f t="shared" si="965"/>
        <v>0</v>
      </c>
      <c r="W163" s="15">
        <f t="shared" ref="W163" si="966">W10/W7</f>
        <v>0</v>
      </c>
      <c r="X163" s="15">
        <f t="shared" ref="X163:Z163" si="967">X10/X7</f>
        <v>0</v>
      </c>
      <c r="Y163" s="15">
        <f t="shared" ref="Y163" si="968">Y10/Y7</f>
        <v>0</v>
      </c>
      <c r="Z163" s="15">
        <f t="shared" si="967"/>
        <v>0</v>
      </c>
      <c r="AA163" s="96" t="e">
        <f t="shared" si="789"/>
        <v>#DIV/0!</v>
      </c>
      <c r="AB163" s="104"/>
      <c r="AC163" s="15">
        <f t="shared" ref="AC163:AL163" si="969">AC10/AC7</f>
        <v>0</v>
      </c>
      <c r="AD163" s="15">
        <f t="shared" si="969"/>
        <v>0</v>
      </c>
      <c r="AE163" s="15">
        <f t="shared" si="969"/>
        <v>0</v>
      </c>
      <c r="AF163" s="15">
        <f t="shared" si="969"/>
        <v>0</v>
      </c>
      <c r="AG163" s="15">
        <f t="shared" si="969"/>
        <v>0</v>
      </c>
      <c r="AH163" s="15">
        <f t="shared" si="969"/>
        <v>0</v>
      </c>
      <c r="AI163" s="15">
        <f t="shared" si="969"/>
        <v>0</v>
      </c>
      <c r="AJ163" s="15">
        <f t="shared" si="969"/>
        <v>0</v>
      </c>
      <c r="AK163" s="15">
        <f t="shared" si="969"/>
        <v>0</v>
      </c>
      <c r="AL163" s="15">
        <f t="shared" si="969"/>
        <v>0</v>
      </c>
      <c r="AM163" s="96" t="e">
        <f t="shared" si="953"/>
        <v>#DIV/0!</v>
      </c>
      <c r="AN163" s="21">
        <f t="shared" si="611"/>
        <v>0.01</v>
      </c>
      <c r="AO163" s="117" t="e">
        <f t="shared" si="823"/>
        <v>#DIV/0!</v>
      </c>
    </row>
    <row r="164" spans="2:41" x14ac:dyDescent="0.15">
      <c r="B164" s="10" t="s">
        <v>175</v>
      </c>
      <c r="C164" s="10"/>
      <c r="D164" s="10"/>
      <c r="E164" s="10"/>
      <c r="F164" s="15"/>
      <c r="G164" s="15">
        <f t="shared" ref="G164" si="970">G10/(G10+G7)</f>
        <v>0</v>
      </c>
      <c r="H164" s="15" t="e">
        <f t="shared" ref="H164:I164" si="971">H10/(H10+H7)</f>
        <v>#DIV/0!</v>
      </c>
      <c r="I164" s="15">
        <f t="shared" si="971"/>
        <v>0</v>
      </c>
      <c r="J164" s="15">
        <f t="shared" ref="J164:Q164" si="972">J10/(J10+J7)</f>
        <v>0</v>
      </c>
      <c r="K164" s="15">
        <f t="shared" si="972"/>
        <v>0</v>
      </c>
      <c r="L164" s="15">
        <f t="shared" si="972"/>
        <v>0</v>
      </c>
      <c r="M164" s="15">
        <f t="shared" si="972"/>
        <v>0</v>
      </c>
      <c r="N164" s="15">
        <f t="shared" si="972"/>
        <v>0</v>
      </c>
      <c r="O164" s="15">
        <f t="shared" si="972"/>
        <v>0</v>
      </c>
      <c r="P164" s="15">
        <f t="shared" si="972"/>
        <v>0</v>
      </c>
      <c r="Q164" s="15">
        <f t="shared" si="972"/>
        <v>0</v>
      </c>
      <c r="R164" s="15">
        <f t="shared" ref="R164:V164" si="973">R10/(R10+R7)</f>
        <v>0</v>
      </c>
      <c r="S164" s="15">
        <f t="shared" si="973"/>
        <v>0</v>
      </c>
      <c r="T164" s="15">
        <f t="shared" si="973"/>
        <v>0</v>
      </c>
      <c r="U164" s="15">
        <f t="shared" si="973"/>
        <v>0</v>
      </c>
      <c r="V164" s="15">
        <f t="shared" si="973"/>
        <v>0</v>
      </c>
      <c r="W164" s="15">
        <f t="shared" ref="W164" si="974">W10/(W10+W7)</f>
        <v>0</v>
      </c>
      <c r="X164" s="15">
        <f t="shared" ref="X164:Z164" si="975">X10/(X10+X7)</f>
        <v>0</v>
      </c>
      <c r="Y164" s="15">
        <f t="shared" ref="Y164" si="976">Y10/(Y10+Y7)</f>
        <v>0</v>
      </c>
      <c r="Z164" s="15">
        <f t="shared" si="975"/>
        <v>0</v>
      </c>
      <c r="AA164" s="96" t="e">
        <f t="shared" si="789"/>
        <v>#DIV/0!</v>
      </c>
      <c r="AB164" s="104"/>
      <c r="AC164" s="15">
        <f t="shared" ref="AC164:AL164" si="977">AC10/(AC10+AC7)</f>
        <v>0</v>
      </c>
      <c r="AD164" s="15">
        <f t="shared" si="977"/>
        <v>0</v>
      </c>
      <c r="AE164" s="15">
        <f t="shared" si="977"/>
        <v>0</v>
      </c>
      <c r="AF164" s="15">
        <f t="shared" si="977"/>
        <v>0</v>
      </c>
      <c r="AG164" s="15">
        <f t="shared" si="977"/>
        <v>0</v>
      </c>
      <c r="AH164" s="15">
        <f t="shared" si="977"/>
        <v>0</v>
      </c>
      <c r="AI164" s="15">
        <f t="shared" si="977"/>
        <v>0</v>
      </c>
      <c r="AJ164" s="15">
        <f t="shared" si="977"/>
        <v>0</v>
      </c>
      <c r="AK164" s="15">
        <f t="shared" si="977"/>
        <v>0</v>
      </c>
      <c r="AL164" s="15">
        <f t="shared" si="977"/>
        <v>0</v>
      </c>
      <c r="AM164" s="96" t="e">
        <f t="shared" si="953"/>
        <v>#DIV/0!</v>
      </c>
      <c r="AN164" s="21">
        <f t="shared" si="611"/>
        <v>0.01</v>
      </c>
      <c r="AO164" s="117" t="e">
        <f t="shared" si="823"/>
        <v>#DIV/0!</v>
      </c>
    </row>
    <row r="165" spans="2:41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96" t="e">
        <f t="shared" si="789"/>
        <v>#DIV/0!</v>
      </c>
      <c r="AB165" s="1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08"/>
      <c r="AN165" s="117"/>
      <c r="AO165" s="117"/>
    </row>
    <row r="166" spans="2:41" x14ac:dyDescent="0.15">
      <c r="B166" s="10" t="s">
        <v>180</v>
      </c>
      <c r="C166" s="10"/>
      <c r="D166" s="10"/>
      <c r="E166" s="10"/>
      <c r="F166" s="15"/>
      <c r="G166" s="15">
        <f t="shared" ref="G166" si="978">G16</f>
        <v>0</v>
      </c>
      <c r="H166" s="15">
        <f t="shared" ref="H166:I166" si="979">H16</f>
        <v>0</v>
      </c>
      <c r="I166" s="15">
        <f t="shared" si="979"/>
        <v>0</v>
      </c>
      <c r="J166" s="15">
        <f t="shared" ref="J166:Q166" si="980">J16</f>
        <v>0</v>
      </c>
      <c r="K166" s="15">
        <f t="shared" si="980"/>
        <v>0</v>
      </c>
      <c r="L166" s="15">
        <f t="shared" si="980"/>
        <v>0</v>
      </c>
      <c r="M166" s="15">
        <f t="shared" si="980"/>
        <v>0</v>
      </c>
      <c r="N166" s="15">
        <f t="shared" si="980"/>
        <v>0</v>
      </c>
      <c r="O166" s="15">
        <f t="shared" si="980"/>
        <v>0</v>
      </c>
      <c r="P166" s="15">
        <f t="shared" si="980"/>
        <v>0</v>
      </c>
      <c r="Q166" s="15">
        <f t="shared" si="980"/>
        <v>0</v>
      </c>
      <c r="R166" s="15">
        <f t="shared" ref="R166:V166" si="981">R16</f>
        <v>0</v>
      </c>
      <c r="S166" s="15">
        <f t="shared" si="981"/>
        <v>0</v>
      </c>
      <c r="T166" s="15">
        <f t="shared" si="981"/>
        <v>0</v>
      </c>
      <c r="U166" s="15">
        <f t="shared" si="981"/>
        <v>0</v>
      </c>
      <c r="V166" s="15">
        <f t="shared" si="981"/>
        <v>0</v>
      </c>
      <c r="W166" s="15">
        <f t="shared" ref="W166" si="982">W16</f>
        <v>0</v>
      </c>
      <c r="X166" s="15">
        <f t="shared" ref="X166:Z166" si="983">X16</f>
        <v>0</v>
      </c>
      <c r="Y166" s="15">
        <f t="shared" ref="Y166" si="984">Y16</f>
        <v>0</v>
      </c>
      <c r="Z166" s="15">
        <f t="shared" si="983"/>
        <v>0</v>
      </c>
      <c r="AA166" s="96" t="e">
        <f t="shared" si="789"/>
        <v>#DIV/0!</v>
      </c>
      <c r="AB166" s="104"/>
      <c r="AC166" s="15">
        <f t="shared" ref="AC166:AL166" si="985">AC16</f>
        <v>0</v>
      </c>
      <c r="AD166" s="15">
        <f t="shared" si="985"/>
        <v>0</v>
      </c>
      <c r="AE166" s="15">
        <f t="shared" si="985"/>
        <v>0</v>
      </c>
      <c r="AF166" s="15">
        <f t="shared" si="985"/>
        <v>0</v>
      </c>
      <c r="AG166" s="15">
        <f t="shared" si="985"/>
        <v>0</v>
      </c>
      <c r="AH166" s="15">
        <f t="shared" si="985"/>
        <v>0</v>
      </c>
      <c r="AI166" s="15">
        <f t="shared" si="985"/>
        <v>0</v>
      </c>
      <c r="AJ166" s="15">
        <f t="shared" si="985"/>
        <v>0</v>
      </c>
      <c r="AK166" s="15">
        <f t="shared" si="985"/>
        <v>0</v>
      </c>
      <c r="AL166" s="15">
        <f t="shared" si="985"/>
        <v>0</v>
      </c>
      <c r="AM166" s="96" t="e">
        <f t="shared" si="953"/>
        <v>#DIV/0!</v>
      </c>
      <c r="AN166" s="21">
        <f t="shared" si="611"/>
        <v>0.01</v>
      </c>
      <c r="AO166" s="117" t="e">
        <f t="shared" si="823"/>
        <v>#DIV/0!</v>
      </c>
    </row>
    <row r="167" spans="2:41" x14ac:dyDescent="0.15">
      <c r="B167" s="10" t="s">
        <v>181</v>
      </c>
      <c r="C167" s="10"/>
      <c r="D167" s="10"/>
      <c r="E167" s="10"/>
      <c r="F167" s="97"/>
      <c r="G167" s="97">
        <f t="shared" ref="G167" si="986">G166*365/G25</f>
        <v>0</v>
      </c>
      <c r="H167" s="97" t="e">
        <f t="shared" ref="H167:I167" si="987">H166*365/H25</f>
        <v>#DIV/0!</v>
      </c>
      <c r="I167" s="97">
        <f t="shared" si="987"/>
        <v>0</v>
      </c>
      <c r="J167" s="97">
        <f t="shared" ref="J167:Q167" si="988">J166*365/J25</f>
        <v>0</v>
      </c>
      <c r="K167" s="97">
        <f t="shared" si="988"/>
        <v>0</v>
      </c>
      <c r="L167" s="97">
        <f t="shared" si="988"/>
        <v>0</v>
      </c>
      <c r="M167" s="97">
        <f t="shared" si="988"/>
        <v>0</v>
      </c>
      <c r="N167" s="97">
        <f t="shared" si="988"/>
        <v>0</v>
      </c>
      <c r="O167" s="97">
        <f t="shared" si="988"/>
        <v>0</v>
      </c>
      <c r="P167" s="97">
        <f t="shared" si="988"/>
        <v>0</v>
      </c>
      <c r="Q167" s="97">
        <f t="shared" si="988"/>
        <v>0</v>
      </c>
      <c r="R167" s="97">
        <f t="shared" ref="R167:V167" si="989">R166*365/R25</f>
        <v>0</v>
      </c>
      <c r="S167" s="97">
        <f t="shared" si="989"/>
        <v>0</v>
      </c>
      <c r="T167" s="97">
        <f t="shared" si="989"/>
        <v>0</v>
      </c>
      <c r="U167" s="97">
        <f t="shared" si="989"/>
        <v>0</v>
      </c>
      <c r="V167" s="97">
        <f t="shared" si="989"/>
        <v>0</v>
      </c>
      <c r="W167" s="97">
        <f t="shared" ref="W167" si="990">W166*365/W25</f>
        <v>0</v>
      </c>
      <c r="X167" s="97">
        <f t="shared" ref="X167:Z167" si="991">X166*365/X25</f>
        <v>0</v>
      </c>
      <c r="Y167" s="97">
        <f t="shared" ref="Y167" si="992">Y166*365/Y25</f>
        <v>0</v>
      </c>
      <c r="Z167" s="97">
        <f t="shared" si="991"/>
        <v>0</v>
      </c>
      <c r="AA167" s="96" t="e">
        <f t="shared" si="789"/>
        <v>#DIV/0!</v>
      </c>
      <c r="AB167" s="104"/>
      <c r="AC167" s="97">
        <f t="shared" ref="AC167:AL167" si="993">AC166*365/AC25</f>
        <v>0</v>
      </c>
      <c r="AD167" s="97">
        <f t="shared" si="993"/>
        <v>0</v>
      </c>
      <c r="AE167" s="97">
        <f t="shared" si="993"/>
        <v>0</v>
      </c>
      <c r="AF167" s="97">
        <f t="shared" si="993"/>
        <v>0</v>
      </c>
      <c r="AG167" s="97">
        <f t="shared" si="993"/>
        <v>0</v>
      </c>
      <c r="AH167" s="97">
        <f t="shared" si="993"/>
        <v>0</v>
      </c>
      <c r="AI167" s="97">
        <f t="shared" si="993"/>
        <v>0</v>
      </c>
      <c r="AJ167" s="97">
        <f t="shared" si="993"/>
        <v>0</v>
      </c>
      <c r="AK167" s="97">
        <f t="shared" si="993"/>
        <v>0</v>
      </c>
      <c r="AL167" s="97">
        <f t="shared" si="993"/>
        <v>0</v>
      </c>
      <c r="AM167" s="96" t="e">
        <f t="shared" si="953"/>
        <v>#DIV/0!</v>
      </c>
      <c r="AN167" s="21">
        <f t="shared" si="611"/>
        <v>0.01</v>
      </c>
      <c r="AO167" s="117" t="e">
        <f t="shared" si="823"/>
        <v>#DIV/0!</v>
      </c>
    </row>
    <row r="168" spans="2:41" x14ac:dyDescent="0.15">
      <c r="B168" s="10" t="s">
        <v>184</v>
      </c>
      <c r="C168" s="10"/>
      <c r="D168" s="10"/>
      <c r="E168" s="10"/>
      <c r="F168" s="105"/>
      <c r="G168" s="105">
        <f t="shared" ref="G168" si="994">G102/G29</f>
        <v>0</v>
      </c>
      <c r="H168" s="105" t="e">
        <f t="shared" ref="H168:I168" si="995">H102/H29</f>
        <v>#DIV/0!</v>
      </c>
      <c r="I168" s="105">
        <f t="shared" si="995"/>
        <v>0</v>
      </c>
      <c r="J168" s="105">
        <f t="shared" ref="J168:Q168" si="996">J102/J29</f>
        <v>0</v>
      </c>
      <c r="K168" s="105">
        <f t="shared" si="996"/>
        <v>0</v>
      </c>
      <c r="L168" s="105">
        <f t="shared" si="996"/>
        <v>0</v>
      </c>
      <c r="M168" s="105">
        <f t="shared" si="996"/>
        <v>0</v>
      </c>
      <c r="N168" s="105">
        <f t="shared" si="996"/>
        <v>0</v>
      </c>
      <c r="O168" s="105">
        <f t="shared" si="996"/>
        <v>0</v>
      </c>
      <c r="P168" s="105">
        <f t="shared" si="996"/>
        <v>0</v>
      </c>
      <c r="Q168" s="105">
        <f t="shared" si="996"/>
        <v>0</v>
      </c>
      <c r="R168" s="105">
        <f t="shared" ref="R168:V168" si="997">R102/R29</f>
        <v>0</v>
      </c>
      <c r="S168" s="105">
        <f t="shared" si="997"/>
        <v>0</v>
      </c>
      <c r="T168" s="105">
        <f t="shared" si="997"/>
        <v>0</v>
      </c>
      <c r="U168" s="105">
        <f t="shared" si="997"/>
        <v>0</v>
      </c>
      <c r="V168" s="105">
        <f t="shared" si="997"/>
        <v>0</v>
      </c>
      <c r="W168" s="105">
        <f t="shared" ref="W168" si="998">W102/W29</f>
        <v>0</v>
      </c>
      <c r="X168" s="105">
        <f t="shared" ref="X168:Z168" si="999">X102/X29</f>
        <v>0</v>
      </c>
      <c r="Y168" s="105">
        <f t="shared" ref="Y168" si="1000">Y102/Y29</f>
        <v>0</v>
      </c>
      <c r="Z168" s="105">
        <f t="shared" si="999"/>
        <v>0</v>
      </c>
      <c r="AA168" s="96" t="e">
        <f t="shared" si="789"/>
        <v>#DIV/0!</v>
      </c>
      <c r="AB168" s="104"/>
      <c r="AC168" s="105">
        <f t="shared" ref="AC168:AL168" si="1001">AC102/AC29</f>
        <v>0</v>
      </c>
      <c r="AD168" s="105">
        <f t="shared" si="1001"/>
        <v>0</v>
      </c>
      <c r="AE168" s="105">
        <f t="shared" si="1001"/>
        <v>0</v>
      </c>
      <c r="AF168" s="105">
        <f t="shared" si="1001"/>
        <v>0</v>
      </c>
      <c r="AG168" s="105">
        <f t="shared" si="1001"/>
        <v>0</v>
      </c>
      <c r="AH168" s="105">
        <f t="shared" si="1001"/>
        <v>0</v>
      </c>
      <c r="AI168" s="105">
        <f t="shared" si="1001"/>
        <v>0</v>
      </c>
      <c r="AJ168" s="105">
        <f t="shared" si="1001"/>
        <v>0</v>
      </c>
      <c r="AK168" s="105">
        <f t="shared" si="1001"/>
        <v>0</v>
      </c>
      <c r="AL168" s="105">
        <f t="shared" si="1001"/>
        <v>0</v>
      </c>
      <c r="AM168" s="96" t="e">
        <f t="shared" si="953"/>
        <v>#DIV/0!</v>
      </c>
      <c r="AN168" s="21">
        <f t="shared" si="611"/>
        <v>0.01</v>
      </c>
      <c r="AO168" s="117" t="e">
        <f t="shared" si="823"/>
        <v>#DIV/0!</v>
      </c>
    </row>
    <row r="169" spans="2:41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96" t="e">
        <f t="shared" si="789"/>
        <v>#DIV/0!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8"/>
      <c r="AN169" s="117"/>
      <c r="AO169" s="117"/>
    </row>
    <row r="170" spans="2:41" x14ac:dyDescent="0.15">
      <c r="B170" s="10" t="s">
        <v>191</v>
      </c>
      <c r="C170" s="10"/>
      <c r="D170" s="10"/>
      <c r="E170" s="10"/>
      <c r="F170" s="146"/>
      <c r="G170" s="146" t="e">
        <f t="shared" ref="G170" si="1002">G25/G14</f>
        <v>#DIV/0!</v>
      </c>
      <c r="H170" s="146" t="e">
        <f t="shared" ref="H170:I170" si="1003">H25/H14</f>
        <v>#DIV/0!</v>
      </c>
      <c r="I170" s="146" t="e">
        <f t="shared" si="1003"/>
        <v>#DIV/0!</v>
      </c>
      <c r="J170" s="146" t="e">
        <f t="shared" ref="J170:Q170" si="1004">J25/J14</f>
        <v>#DIV/0!</v>
      </c>
      <c r="K170" s="146" t="e">
        <f t="shared" si="1004"/>
        <v>#DIV/0!</v>
      </c>
      <c r="L170" s="146" t="e">
        <f t="shared" si="1004"/>
        <v>#DIV/0!</v>
      </c>
      <c r="M170" s="146" t="e">
        <f t="shared" si="1004"/>
        <v>#DIV/0!</v>
      </c>
      <c r="N170" s="146" t="e">
        <f t="shared" si="1004"/>
        <v>#DIV/0!</v>
      </c>
      <c r="O170" s="146" t="e">
        <f t="shared" si="1004"/>
        <v>#DIV/0!</v>
      </c>
      <c r="P170" s="146" t="e">
        <f t="shared" si="1004"/>
        <v>#DIV/0!</v>
      </c>
      <c r="Q170" s="146" t="e">
        <f t="shared" si="1004"/>
        <v>#DIV/0!</v>
      </c>
      <c r="R170" s="146" t="e">
        <f t="shared" ref="R170:V170" si="1005">R25/R14</f>
        <v>#DIV/0!</v>
      </c>
      <c r="S170" s="146" t="e">
        <f t="shared" si="1005"/>
        <v>#DIV/0!</v>
      </c>
      <c r="T170" s="146" t="e">
        <f t="shared" si="1005"/>
        <v>#DIV/0!</v>
      </c>
      <c r="U170" s="146" t="e">
        <f t="shared" si="1005"/>
        <v>#DIV/0!</v>
      </c>
      <c r="V170" s="146" t="e">
        <f t="shared" si="1005"/>
        <v>#DIV/0!</v>
      </c>
      <c r="W170" s="146" t="e">
        <f t="shared" ref="W170" si="1006">W25/W14</f>
        <v>#DIV/0!</v>
      </c>
      <c r="X170" s="146" t="e">
        <f t="shared" ref="X170:Z170" si="1007">X25/X14</f>
        <v>#DIV/0!</v>
      </c>
      <c r="Y170" s="146" t="e">
        <f t="shared" ref="Y170" si="1008">Y25/Y14</f>
        <v>#DIV/0!</v>
      </c>
      <c r="Z170" s="146" t="e">
        <f t="shared" si="1007"/>
        <v>#DIV/0!</v>
      </c>
      <c r="AA170" s="96" t="e">
        <f t="shared" si="789"/>
        <v>#DIV/0!</v>
      </c>
      <c r="AB170" s="104"/>
      <c r="AC170" s="10" t="e">
        <f t="shared" ref="AC170:AL170" si="1009">AC25/AC14</f>
        <v>#DIV/0!</v>
      </c>
      <c r="AD170" s="10" t="e">
        <f t="shared" si="1009"/>
        <v>#DIV/0!</v>
      </c>
      <c r="AE170" s="10" t="e">
        <f t="shared" si="1009"/>
        <v>#DIV/0!</v>
      </c>
      <c r="AF170" s="10" t="e">
        <f t="shared" si="1009"/>
        <v>#DIV/0!</v>
      </c>
      <c r="AG170" s="10" t="e">
        <f t="shared" si="1009"/>
        <v>#DIV/0!</v>
      </c>
      <c r="AH170" s="10" t="e">
        <f t="shared" si="1009"/>
        <v>#DIV/0!</v>
      </c>
      <c r="AI170" s="10" t="e">
        <f t="shared" si="1009"/>
        <v>#DIV/0!</v>
      </c>
      <c r="AJ170" s="10" t="e">
        <f t="shared" si="1009"/>
        <v>#DIV/0!</v>
      </c>
      <c r="AK170" s="10" t="e">
        <f t="shared" si="1009"/>
        <v>#DIV/0!</v>
      </c>
      <c r="AL170" s="10" t="e">
        <f t="shared" si="1009"/>
        <v>#DIV/0!</v>
      </c>
      <c r="AM170" s="96" t="e">
        <f t="shared" si="953"/>
        <v>#DIV/0!</v>
      </c>
      <c r="AN170" s="21">
        <f t="shared" si="611"/>
        <v>0.01</v>
      </c>
      <c r="AO170" s="117" t="e">
        <f t="shared" si="823"/>
        <v>#DIV/0!</v>
      </c>
    </row>
    <row r="171" spans="2:41" x14ac:dyDescent="0.15">
      <c r="B171" s="10" t="s">
        <v>192</v>
      </c>
      <c r="C171" s="10"/>
      <c r="D171" s="10"/>
      <c r="E171" s="10"/>
      <c r="F171" s="146"/>
      <c r="G171" s="146" t="e">
        <f t="shared" ref="G171" si="1010">G27/G14</f>
        <v>#DIV/0!</v>
      </c>
      <c r="H171" s="146" t="e">
        <f t="shared" ref="H171:I171" si="1011">H27/H14</f>
        <v>#DIV/0!</v>
      </c>
      <c r="I171" s="146" t="e">
        <f t="shared" si="1011"/>
        <v>#DIV/0!</v>
      </c>
      <c r="J171" s="146" t="e">
        <f t="shared" ref="J171:Q171" si="1012">J27/J14</f>
        <v>#DIV/0!</v>
      </c>
      <c r="K171" s="146" t="e">
        <f t="shared" si="1012"/>
        <v>#DIV/0!</v>
      </c>
      <c r="L171" s="146" t="e">
        <f t="shared" si="1012"/>
        <v>#DIV/0!</v>
      </c>
      <c r="M171" s="146" t="e">
        <f t="shared" si="1012"/>
        <v>#DIV/0!</v>
      </c>
      <c r="N171" s="146" t="e">
        <f t="shared" si="1012"/>
        <v>#DIV/0!</v>
      </c>
      <c r="O171" s="146" t="e">
        <f t="shared" si="1012"/>
        <v>#DIV/0!</v>
      </c>
      <c r="P171" s="146" t="e">
        <f t="shared" si="1012"/>
        <v>#DIV/0!</v>
      </c>
      <c r="Q171" s="146" t="e">
        <f t="shared" si="1012"/>
        <v>#DIV/0!</v>
      </c>
      <c r="R171" s="146" t="e">
        <f t="shared" ref="R171:V171" si="1013">R27/R14</f>
        <v>#DIV/0!</v>
      </c>
      <c r="S171" s="146" t="e">
        <f t="shared" si="1013"/>
        <v>#DIV/0!</v>
      </c>
      <c r="T171" s="146" t="e">
        <f t="shared" si="1013"/>
        <v>#DIV/0!</v>
      </c>
      <c r="U171" s="146" t="e">
        <f t="shared" si="1013"/>
        <v>#DIV/0!</v>
      </c>
      <c r="V171" s="146" t="e">
        <f t="shared" si="1013"/>
        <v>#DIV/0!</v>
      </c>
      <c r="W171" s="146" t="e">
        <f t="shared" ref="W171" si="1014">W27/W14</f>
        <v>#DIV/0!</v>
      </c>
      <c r="X171" s="146" t="e">
        <f t="shared" ref="X171:Z171" si="1015">X27/X14</f>
        <v>#DIV/0!</v>
      </c>
      <c r="Y171" s="146" t="e">
        <f t="shared" ref="Y171" si="1016">Y27/Y14</f>
        <v>#DIV/0!</v>
      </c>
      <c r="Z171" s="146" t="e">
        <f t="shared" si="1015"/>
        <v>#DIV/0!</v>
      </c>
      <c r="AA171" s="96" t="e">
        <f t="shared" si="789"/>
        <v>#DIV/0!</v>
      </c>
      <c r="AB171" s="104"/>
      <c r="AC171" s="10" t="e">
        <f t="shared" ref="AC171:AL171" si="1017">AC27/AC14</f>
        <v>#DIV/0!</v>
      </c>
      <c r="AD171" s="10" t="e">
        <f t="shared" si="1017"/>
        <v>#DIV/0!</v>
      </c>
      <c r="AE171" s="10" t="e">
        <f t="shared" si="1017"/>
        <v>#DIV/0!</v>
      </c>
      <c r="AF171" s="10" t="e">
        <f t="shared" si="1017"/>
        <v>#DIV/0!</v>
      </c>
      <c r="AG171" s="10" t="e">
        <f t="shared" si="1017"/>
        <v>#DIV/0!</v>
      </c>
      <c r="AH171" s="10" t="e">
        <f t="shared" si="1017"/>
        <v>#DIV/0!</v>
      </c>
      <c r="AI171" s="10" t="e">
        <f t="shared" si="1017"/>
        <v>#DIV/0!</v>
      </c>
      <c r="AJ171" s="10" t="e">
        <f t="shared" si="1017"/>
        <v>#DIV/0!</v>
      </c>
      <c r="AK171" s="10" t="e">
        <f t="shared" si="1017"/>
        <v>#DIV/0!</v>
      </c>
      <c r="AL171" s="10" t="e">
        <f t="shared" si="1017"/>
        <v>#DIV/0!</v>
      </c>
      <c r="AM171" s="96" t="e">
        <f t="shared" si="953"/>
        <v>#DIV/0!</v>
      </c>
      <c r="AN171" s="21">
        <f t="shared" si="611"/>
        <v>0.01</v>
      </c>
      <c r="AO171" s="117" t="e">
        <f t="shared" si="823"/>
        <v>#DIV/0!</v>
      </c>
    </row>
    <row r="172" spans="2:41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0" t="s">
        <v>304</v>
      </c>
      <c r="U172" s="160"/>
      <c r="V172" s="10"/>
      <c r="W172" s="10"/>
      <c r="X172" s="10"/>
      <c r="Y172" s="10"/>
      <c r="Z172" s="10"/>
      <c r="AA172" s="104"/>
      <c r="AB172" s="104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108"/>
      <c r="AN172" s="10"/>
      <c r="AO172" s="10"/>
    </row>
    <row r="173" spans="2:41" x14ac:dyDescent="0.15">
      <c r="B173" s="89" t="s">
        <v>77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303</v>
      </c>
      <c r="U173" s="13" t="s">
        <v>269</v>
      </c>
      <c r="V173" s="13" t="s">
        <v>269</v>
      </c>
      <c r="W173" s="13"/>
      <c r="X173" s="13"/>
      <c r="Y173" s="13"/>
      <c r="Z173" s="13"/>
      <c r="AA173" s="13" t="s">
        <v>297</v>
      </c>
      <c r="AB173" s="10"/>
      <c r="AC173" s="100" t="s">
        <v>53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08"/>
      <c r="AN173" s="10"/>
      <c r="AO173" s="10"/>
    </row>
    <row r="174" spans="2:41" x14ac:dyDescent="0.15">
      <c r="B174" s="13" t="s">
        <v>106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5">
        <f>AVERAGE(G106:Z106)</f>
        <v>23.283574007220217</v>
      </c>
      <c r="U174" s="105">
        <f>AVERAGE(S106:Z106)</f>
        <v>47.960063176895304</v>
      </c>
      <c r="V174" s="105">
        <f>AVERAGE(S76:Z76)</f>
        <v>65.567765594837525</v>
      </c>
      <c r="W174" s="105"/>
      <c r="X174" s="105"/>
      <c r="Y174" s="105"/>
      <c r="Z174" s="105"/>
      <c r="AA174" s="105">
        <f>AVERAGE(M76:Z76)</f>
        <v>57.883111260340449</v>
      </c>
      <c r="AB174" s="10"/>
      <c r="AC174" s="158" t="s">
        <v>246</v>
      </c>
      <c r="AD174" s="159" t="s">
        <v>247</v>
      </c>
      <c r="AE174" s="10"/>
      <c r="AF174" s="10"/>
      <c r="AG174" s="10"/>
      <c r="AH174" s="10"/>
      <c r="AI174" s="10"/>
      <c r="AJ174" s="10"/>
      <c r="AK174" s="10"/>
      <c r="AL174" s="10"/>
      <c r="AM174" s="108"/>
      <c r="AN174" s="10"/>
      <c r="AO174" s="10"/>
    </row>
    <row r="175" spans="2:41" x14ac:dyDescent="0.15">
      <c r="B175" s="10" t="s"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1" t="e">
        <f>AC175+AD175</f>
        <v>#DIV/0!</v>
      </c>
      <c r="AC175" s="105">
        <f>PV($C$1, ($AL$3-$AC$3), 0, -AL76)</f>
        <v>46.172280894243407</v>
      </c>
      <c r="AD175" s="105" t="e">
        <f>PV($C$1, ($AL$3-$AC$3), 0, -AO76)</f>
        <v>#DIV/0!</v>
      </c>
      <c r="AE175" s="10"/>
      <c r="AF175" s="10"/>
      <c r="AG175" s="10"/>
      <c r="AH175" s="10"/>
      <c r="AI175" s="10"/>
      <c r="AJ175" s="10"/>
      <c r="AK175" s="10"/>
      <c r="AL175" s="10"/>
      <c r="AM175" s="108"/>
      <c r="AN175" s="10"/>
      <c r="AO175" s="10"/>
    </row>
    <row r="176" spans="2:41" x14ac:dyDescent="0.15">
      <c r="B176" s="10" t="s">
        <v>99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1" t="e">
        <f t="shared" ref="AB176:AB194" si="1018">AC176+AD176</f>
        <v>#DIV/0!</v>
      </c>
      <c r="AC176" s="105">
        <f>PV($C$1, ($AL$3-$AC$3), 0, -AL78)</f>
        <v>289.58928805554154</v>
      </c>
      <c r="AD176" s="105" t="e">
        <f>PV($C$1, ($AL$3-$AC$3), 0, -AO78)</f>
        <v>#DIV/0!</v>
      </c>
      <c r="AE176" s="10"/>
      <c r="AF176" s="10"/>
      <c r="AG176" s="10"/>
      <c r="AH176" s="10"/>
      <c r="AI176" s="10"/>
      <c r="AJ176" s="10"/>
      <c r="AK176" s="10"/>
      <c r="AL176" s="10"/>
      <c r="AM176" s="108"/>
      <c r="AN176" s="10"/>
      <c r="AO176" s="10"/>
    </row>
    <row r="177" spans="2:41" x14ac:dyDescent="0.15">
      <c r="B177" s="10" t="s">
        <v>100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1" t="e">
        <f t="shared" si="1018"/>
        <v>#DIV/0!</v>
      </c>
      <c r="AC177" s="105">
        <f>PV($C$1, ($AL$3-$AC$3), 0, -AL79)</f>
        <v>289.0309944623416</v>
      </c>
      <c r="AD177" s="105" t="e">
        <f>PV($C$1, ($AL$3-$AC$3), 0, -AO79)</f>
        <v>#DIV/0!</v>
      </c>
      <c r="AE177" s="10"/>
      <c r="AF177" s="10"/>
      <c r="AG177" s="10"/>
      <c r="AH177" s="10"/>
      <c r="AI177" s="10"/>
      <c r="AJ177" s="10"/>
      <c r="AK177" s="10"/>
      <c r="AL177" s="10"/>
      <c r="AM177" s="108"/>
      <c r="AN177" s="10"/>
      <c r="AO177" s="10"/>
    </row>
    <row r="178" spans="2:41" x14ac:dyDescent="0.15">
      <c r="B178" s="10" t="s">
        <v>101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1" t="e">
        <f t="shared" si="1018"/>
        <v>#DIV/0!</v>
      </c>
      <c r="AC178" s="105">
        <f>PV($C$1, ($AL$3-$AC$3), 0, -AL80)</f>
        <v>0</v>
      </c>
      <c r="AD178" s="105" t="e">
        <f>PV($C$1, ($AL$3-$AC$3), 0, -AO80)</f>
        <v>#DIV/0!</v>
      </c>
      <c r="AE178" s="10"/>
      <c r="AF178" s="10"/>
      <c r="AG178" s="10"/>
      <c r="AH178" s="10"/>
      <c r="AI178" s="10"/>
      <c r="AJ178" s="10"/>
      <c r="AK178" s="10"/>
      <c r="AL178" s="10"/>
      <c r="AM178" s="108"/>
      <c r="AN178" s="10"/>
      <c r="AO178" s="10"/>
    </row>
    <row r="179" spans="2:41" x14ac:dyDescent="0.15">
      <c r="B179" s="10" t="s">
        <v>102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1" t="e">
        <f t="shared" si="1018"/>
        <v>#DIV/0!</v>
      </c>
      <c r="AC179" s="105">
        <f>PV($C$1, ($AL$3-$AC$3), 0, -AL86)</f>
        <v>0</v>
      </c>
      <c r="AD179" s="105" t="e">
        <f>PV($C$1, ($AL$3-$AC$3), 0, -AO86)</f>
        <v>#DIV/0!</v>
      </c>
      <c r="AE179" s="10"/>
      <c r="AF179" s="10"/>
      <c r="AG179" s="10"/>
      <c r="AH179" s="10"/>
      <c r="AI179" s="10"/>
      <c r="AJ179" s="10"/>
      <c r="AK179" s="10"/>
      <c r="AL179" s="10"/>
      <c r="AM179" s="108"/>
      <c r="AN179" s="10"/>
      <c r="AO179" s="10"/>
    </row>
    <row r="180" spans="2:41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1"/>
      <c r="AC180" s="105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8"/>
      <c r="AN180" s="10"/>
      <c r="AO180" s="10"/>
    </row>
    <row r="181" spans="2:41" x14ac:dyDescent="0.15">
      <c r="B181" s="10" t="s">
        <v>97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1" t="e">
        <f t="shared" si="1018"/>
        <v>#DIV/0!</v>
      </c>
      <c r="AC181" s="105">
        <f>PV($C$1, ($AL$3-$AC$3), 0, -AL82)</f>
        <v>289.58928805554154</v>
      </c>
      <c r="AD181" s="105" t="e">
        <f>PV($C$1, ($AL$3-$AC$3), 0, -$AO$82)</f>
        <v>#DIV/0!</v>
      </c>
      <c r="AE181" s="10"/>
      <c r="AF181" s="10"/>
      <c r="AG181" s="10"/>
      <c r="AH181" s="10"/>
      <c r="AI181" s="10"/>
      <c r="AJ181" s="10"/>
      <c r="AK181" s="10"/>
      <c r="AL181" s="10"/>
      <c r="AM181" s="108"/>
      <c r="AN181" s="10"/>
      <c r="AO181" s="10"/>
    </row>
    <row r="182" spans="2:41" x14ac:dyDescent="0.15">
      <c r="B182" s="10" t="s">
        <v>98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1" t="e">
        <f t="shared" si="1018"/>
        <v>#DIV/0!</v>
      </c>
      <c r="AC182" s="105">
        <f>PV($C$1, ($AL$3-$AC$3), 0, -AL83)</f>
        <v>289.58928805554154</v>
      </c>
      <c r="AD182" s="105" t="e">
        <f>PV($C$1, ($AL$3-$AC$3), 0, -$AO$83)</f>
        <v>#DIV/0!</v>
      </c>
      <c r="AE182" s="10"/>
      <c r="AF182" s="10"/>
      <c r="AG182" s="10"/>
      <c r="AH182" s="10"/>
      <c r="AI182" s="10"/>
      <c r="AJ182" s="10"/>
      <c r="AK182" s="10"/>
      <c r="AL182" s="10"/>
      <c r="AM182" s="108"/>
      <c r="AN182" s="10"/>
      <c r="AO182" s="10"/>
    </row>
    <row r="183" spans="2:41" x14ac:dyDescent="0.15">
      <c r="B183" s="10" t="s">
        <v>103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1" t="e">
        <f t="shared" si="1018"/>
        <v>#DIV/0!</v>
      </c>
      <c r="AC183" s="105">
        <f>PV($C$1, ($AL$3-$AC$3), 0, -AL84)</f>
        <v>289.58928805554154</v>
      </c>
      <c r="AD183" s="105" t="e">
        <f>PV($C$1, ($AL$3-$AC$3), 0, -$AO$84)</f>
        <v>#DIV/0!</v>
      </c>
      <c r="AE183" s="10"/>
      <c r="AF183" s="10"/>
      <c r="AG183" s="10"/>
      <c r="AH183" s="10"/>
      <c r="AI183" s="10"/>
      <c r="AJ183" s="10"/>
      <c r="AK183" s="10"/>
      <c r="AL183" s="10"/>
      <c r="AM183" s="108"/>
      <c r="AN183" s="10"/>
      <c r="AO183" s="10"/>
    </row>
    <row r="184" spans="2:41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1"/>
      <c r="AC184" s="105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8"/>
      <c r="AN184" s="10"/>
      <c r="AO184" s="10"/>
    </row>
    <row r="185" spans="2:41" x14ac:dyDescent="0.15">
      <c r="B185" s="10" t="s">
        <v>82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1" t="e">
        <f t="shared" si="1018"/>
        <v>#DIV/0!</v>
      </c>
      <c r="AC185" s="105">
        <f>PV($C$1, ($AL$3-$AC$3), 0, -AL89)</f>
        <v>0</v>
      </c>
      <c r="AD185" s="105" t="e">
        <f>PV($C$1, ($AL$3-$AC$3), 0, -AO89)</f>
        <v>#DIV/0!</v>
      </c>
      <c r="AE185" s="10"/>
      <c r="AF185" s="10"/>
      <c r="AG185" s="10"/>
      <c r="AH185" s="10"/>
      <c r="AI185" s="10"/>
      <c r="AJ185" s="10"/>
      <c r="AK185" s="10"/>
      <c r="AL185" s="10"/>
      <c r="AM185" s="108"/>
      <c r="AN185" s="10"/>
      <c r="AO185" s="10"/>
    </row>
    <row r="186" spans="2:41" x14ac:dyDescent="0.15">
      <c r="B186" s="10" t="s">
        <v>83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1" t="e">
        <f t="shared" si="1018"/>
        <v>#DIV/0!</v>
      </c>
      <c r="AC186" s="105">
        <f>PV($C$1, ($AL$3-$AC$3), 0, -AL90)</f>
        <v>0</v>
      </c>
      <c r="AD186" s="105" t="e">
        <f>PV($C$1, ($AL$3-$AC$3), 0, -AO90)</f>
        <v>#DIV/0!</v>
      </c>
      <c r="AE186" s="10"/>
      <c r="AF186" s="10"/>
      <c r="AG186" s="10"/>
      <c r="AH186" s="10"/>
      <c r="AI186" s="10"/>
      <c r="AJ186" s="10"/>
      <c r="AK186" s="10"/>
      <c r="AL186" s="10"/>
      <c r="AM186" s="108"/>
      <c r="AN186" s="10"/>
      <c r="AO186" s="10"/>
    </row>
    <row r="187" spans="2:41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1"/>
      <c r="AC187" s="105"/>
      <c r="AD187" s="105"/>
      <c r="AE187" s="10"/>
      <c r="AF187" s="10"/>
      <c r="AG187" s="10"/>
      <c r="AH187" s="10"/>
      <c r="AI187" s="10"/>
      <c r="AJ187" s="10"/>
      <c r="AK187" s="10"/>
      <c r="AL187" s="10"/>
      <c r="AM187" s="108"/>
      <c r="AN187" s="10"/>
      <c r="AO187" s="10"/>
    </row>
    <row r="188" spans="2:41" x14ac:dyDescent="0.15">
      <c r="B188" s="10" t="s">
        <v>118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1" t="e">
        <f t="shared" ref="AB188" si="1019">AC188+AD188</f>
        <v>#DIV/0!</v>
      </c>
      <c r="AC188" s="105">
        <f>PV($C$1, ($AL$3-$AC$3), 0, -AL12)</f>
        <v>0</v>
      </c>
      <c r="AD188" s="105" t="e">
        <f>PV($C$1, ($AL$3-$AC$3), 0, -AO12)</f>
        <v>#DIV/0!</v>
      </c>
      <c r="AE188" s="10"/>
      <c r="AF188" s="10"/>
      <c r="AG188" s="10"/>
      <c r="AH188" s="10"/>
      <c r="AI188" s="10"/>
      <c r="AJ188" s="10"/>
      <c r="AK188" s="10"/>
      <c r="AL188" s="10"/>
      <c r="AM188" s="108"/>
      <c r="AN188" s="10"/>
      <c r="AO188" s="10"/>
    </row>
    <row r="189" spans="2:41" x14ac:dyDescent="0.15">
      <c r="B189" s="10" t="s">
        <v>119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1" t="e">
        <f>AC189+AD189</f>
        <v>#DIV/0!</v>
      </c>
      <c r="AC189" s="111">
        <f>AC188/T61</f>
        <v>0</v>
      </c>
      <c r="AD189" s="111" t="e">
        <f>AD188/T61</f>
        <v>#DIV/0!</v>
      </c>
      <c r="AE189" s="10"/>
      <c r="AF189" s="10"/>
      <c r="AG189" s="10"/>
      <c r="AH189" s="10"/>
      <c r="AI189" s="10"/>
      <c r="AJ189" s="10"/>
      <c r="AK189" s="10"/>
      <c r="AL189" s="10"/>
      <c r="AM189" s="108"/>
      <c r="AN189" s="10"/>
      <c r="AO189" s="10"/>
    </row>
    <row r="190" spans="2:41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1"/>
      <c r="AC190" s="111"/>
      <c r="AD190" s="111"/>
      <c r="AE190" s="10"/>
      <c r="AF190" s="10"/>
      <c r="AG190" s="10"/>
      <c r="AH190" s="10"/>
      <c r="AI190" s="10"/>
      <c r="AJ190" s="10"/>
      <c r="AK190" s="10"/>
      <c r="AL190" s="10"/>
      <c r="AM190" s="108"/>
      <c r="AN190" s="10"/>
      <c r="AO190" s="10"/>
    </row>
    <row r="191" spans="2:41" x14ac:dyDescent="0.15">
      <c r="B191" s="89" t="s">
        <v>122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1"/>
      <c r="AC191" s="105"/>
      <c r="AD191" s="105"/>
      <c r="AE191" s="10"/>
      <c r="AF191" s="10"/>
      <c r="AG191" s="10"/>
      <c r="AH191" s="10"/>
      <c r="AI191" s="10"/>
      <c r="AJ191" s="10"/>
      <c r="AK191" s="10"/>
      <c r="AL191" s="10"/>
      <c r="AM191" s="108"/>
      <c r="AN191" s="10"/>
      <c r="AO191" s="10"/>
    </row>
    <row r="192" spans="2:41" x14ac:dyDescent="0.15">
      <c r="B192" s="10" t="s">
        <v>108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1" t="e">
        <f t="shared" ref="AB192" si="1020">AC192+AD192</f>
        <v>#DIV/0!</v>
      </c>
      <c r="AC192" s="105">
        <f>PV($C$1, ($AL$3-$AC$3), 0, -AL92)+PV($C$1, ($AK$3-$AC$3), 0, -AL92)+PV($C$1, ($AJ$3-$AC$3), 0, -AL92)+PV($C$1, ($AI$3-$AC$3), 0, -AL92)+PV($C$1, ($AH$3-$AC$3), 0, -AL92)+PV($C$1, ($AG$3-$AC$3), 0, -AL92)+PV($C$1, ($AF$3-$AC$3), 0, -AL92)+PV($C$1, ($AE$3-$AC$3), 0, -AL92)+PV($C$1, ($AD$3-$AC$3), 0, -AL92)+PV($C$1, ($AC$3-$AC$3), 0, -AL92)</f>
        <v>110.8546367979234</v>
      </c>
      <c r="AD192" s="105" t="e">
        <f>PV($C$1, ($AL$3-$AC$3), 0, -AO92)</f>
        <v>#DIV/0!</v>
      </c>
      <c r="AE192" s="10"/>
      <c r="AF192" s="10"/>
      <c r="AG192" s="10"/>
      <c r="AH192" s="10"/>
      <c r="AI192" s="10"/>
      <c r="AJ192" s="10"/>
      <c r="AK192" s="10"/>
      <c r="AL192" s="10"/>
      <c r="AM192" s="108"/>
      <c r="AN192" s="10"/>
      <c r="AO192" s="10"/>
    </row>
    <row r="193" spans="2:41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1"/>
      <c r="AC193" s="105"/>
      <c r="AD193" s="105"/>
      <c r="AE193" s="10"/>
      <c r="AF193" s="10"/>
      <c r="AG193" s="10"/>
      <c r="AH193" s="10"/>
      <c r="AI193" s="10"/>
      <c r="AJ193" s="10"/>
      <c r="AK193" s="10"/>
      <c r="AL193" s="10"/>
      <c r="AM193" s="108"/>
      <c r="AN193" s="10"/>
      <c r="AO193" s="10"/>
    </row>
    <row r="194" spans="2:41" x14ac:dyDescent="0.15">
      <c r="B194" s="10" t="s">
        <v>115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1" t="e">
        <f t="shared" si="1018"/>
        <v>#DIV/0!</v>
      </c>
      <c r="AC194" s="105">
        <f>PV($C$1, ($AL$3-$AC$3), 0, -AL94)+PV($C$1, ($AK$3-$AC$3), 0, -AL94)+PV($C$1, ($AJ$3-$AC$3), 0, -AL94)+PV($C$1, ($AI$3-$AC$3), 0, -AL94)+PV($C$1, ($AH$3-$AC$3), 0, -AL94)+PV($C$1, ($AG$3-$AC$3), 0, -AL94)+PV($C$1, ($AF$3-$AC$3), 0, -AL94)+PV($C$1, ($AE$3-$AC$3), 0, -AL94)+PV($C$1, ($AD$3-$AC$3), 0, -AL94)+PV($C$1, ($AC$3-$AC$3), 0, -AL94)</f>
        <v>0</v>
      </c>
      <c r="AD194" s="105" t="e">
        <f>PV($C$1, ($AL$3-$AC$3), 0, -AO94)</f>
        <v>#DIV/0!</v>
      </c>
      <c r="AE194" s="10"/>
      <c r="AF194" s="10"/>
      <c r="AG194" s="10"/>
      <c r="AH194" s="10"/>
      <c r="AI194" s="10"/>
      <c r="AJ194" s="10"/>
      <c r="AK194" s="10"/>
      <c r="AL194" s="10"/>
      <c r="AM194" s="108"/>
      <c r="AN194" s="10"/>
      <c r="AO194" s="10"/>
    </row>
    <row r="195" spans="2:41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1"/>
      <c r="AC195" s="105"/>
      <c r="AD195" s="105"/>
      <c r="AE195" s="10"/>
      <c r="AF195" s="10"/>
      <c r="AG195" s="10"/>
      <c r="AH195" s="10"/>
      <c r="AI195" s="10"/>
      <c r="AJ195" s="10"/>
      <c r="AK195" s="10"/>
      <c r="AL195" s="10"/>
      <c r="AM195" s="108"/>
      <c r="AN195" s="10"/>
      <c r="AO195" s="10"/>
    </row>
    <row r="196" spans="2:41" x14ac:dyDescent="0.15">
      <c r="B196" s="10" t="s">
        <v>260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1" t="e">
        <f t="shared" ref="AB196:AB199" si="1021">AC196+AD196</f>
        <v>#DIV/0!</v>
      </c>
      <c r="AC196" s="105">
        <f>PV($C$1, ($AL$3-$AC$3), 0, -AL96)+PV($C$1, ($AK$3-$AC$3), 0, -AL96)+PV($C$1, ($AJ$3-$AC$3), 0, -AL96)+PV($C$1, ($AI$3-$AC$3), 0, -AL96)+PV($C$1, ($AH$3-$AC$3), 0, -AL96)+PV($C$1, ($AG$3-$AC$3), 0, -AL96)+PV($C$1, ($AF$3-$AC$3), 0, -AL96)+PV($C$1, ($AE$3-$AC$3), 0, -AL96)+PV($C$1, ($AD$3-$AC$3), 0, -AL96)+PV($C$1, ($AC$3-$AC$3), 0, -AL96)</f>
        <v>0</v>
      </c>
      <c r="AD196" s="105" t="e">
        <f>PV($C$1, ($AL$3-$AC$3), 0, -AO96)</f>
        <v>#DIV/0!</v>
      </c>
      <c r="AE196" s="10"/>
      <c r="AF196" s="10"/>
      <c r="AG196" s="10"/>
      <c r="AH196" s="10"/>
      <c r="AI196" s="10"/>
      <c r="AJ196" s="10"/>
      <c r="AK196" s="10"/>
      <c r="AL196" s="10"/>
      <c r="AM196" s="108"/>
      <c r="AN196" s="10"/>
      <c r="AO196" s="10"/>
    </row>
    <row r="197" spans="2:41" x14ac:dyDescent="0.15">
      <c r="B197" s="10" t="s">
        <v>112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1" t="e">
        <f t="shared" si="1021"/>
        <v>#DIV/0!</v>
      </c>
      <c r="AC197" s="105">
        <f>PV($C$1, ($AL$3-$AC$3), 0, -AL97)+PV($C$1, ($AK$3-$AC$3), 0, -AL97)+PV($C$1, ($AJ$3-$AC$3), 0, -AL97)+PV($C$1, ($AI$3-$AC$3), 0, -AL97)+PV($C$1, ($AH$3-$AC$3), 0, -AL97)+PV($C$1, ($AG$3-$AC$3), 0, -AL97)+PV($C$1, ($AF$3-$AC$3), 0, -AL97)+PV($C$1, ($AE$3-$AC$3), 0, -AL97)+PV($C$1, ($AD$3-$AC$3), 0, -AL97)+PV($C$1, ($AC$3-$AC$3), 0, -AL97)</f>
        <v>0</v>
      </c>
      <c r="AD197" s="105" t="e">
        <f>PV($C$1, ($AL$3-$AC$3), 0, -AO97)</f>
        <v>#DIV/0!</v>
      </c>
      <c r="AE197" s="10"/>
      <c r="AF197" s="10"/>
      <c r="AG197" s="10"/>
      <c r="AH197" s="10"/>
      <c r="AI197" s="10"/>
      <c r="AJ197" s="10"/>
      <c r="AK197" s="10"/>
      <c r="AL197" s="10"/>
      <c r="AM197" s="108"/>
      <c r="AN197" s="10"/>
      <c r="AO197" s="10"/>
    </row>
    <row r="198" spans="2:41" x14ac:dyDescent="0.15">
      <c r="B198" s="10" t="s">
        <v>113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1" t="e">
        <f t="shared" si="1021"/>
        <v>#DIV/0!</v>
      </c>
      <c r="AC198" s="105">
        <f>PV($C$1, ($AL$3-$AC$3), 0, -AL98)+PV($C$1, ($AK$3-$AC$3), 0, -AL98)+PV($C$1, ($AJ$3-$AC$3), 0, -AL98)+PV($C$1, ($AI$3-$AC$3), 0, -AL98)+PV($C$1, ($AH$3-$AC$3), 0, -AL98)+PV($C$1, ($AG$3-$AC$3), 0, -AL98)+PV($C$1, ($AF$3-$AC$3), 0, -AL98)+PV($C$1, ($AE$3-$AC$3), 0, -AL98)+PV($C$1, ($AD$3-$AC$3), 0, -AL98)+PV($C$1, ($AC$3-$AC$3), 0, -AL98)</f>
        <v>0</v>
      </c>
      <c r="AD198" s="105" t="e">
        <f>PV($C$1, ($AL$3-$AC$3), 0, -AO98)</f>
        <v>#DIV/0!</v>
      </c>
      <c r="AE198" s="10"/>
      <c r="AF198" s="10"/>
      <c r="AG198" s="10"/>
      <c r="AH198" s="10"/>
      <c r="AI198" s="10"/>
      <c r="AJ198" s="10"/>
      <c r="AK198" s="10"/>
      <c r="AL198" s="10"/>
      <c r="AM198" s="108"/>
      <c r="AN198" s="10"/>
      <c r="AO198" s="10"/>
    </row>
    <row r="199" spans="2:41" x14ac:dyDescent="0.15">
      <c r="B199" s="10" t="s">
        <v>114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1" t="e">
        <f t="shared" si="1021"/>
        <v>#DIV/0!</v>
      </c>
      <c r="AC199" s="105">
        <f>PV($C$1, ($AL$3-$AC$3), 0, -AL99)+PV($C$1, ($AK$3-$AC$3), 0, -AL99)+PV($C$1, ($AJ$3-$AC$3), 0, -AL99)+PV($C$1, ($AI$3-$AC$3), 0, -AL99)+PV($C$1, ($AH$3-$AC$3), 0, -AL99)+PV($C$1, ($AG$3-$AC$3), 0, -AL99)+PV($C$1, ($AF$3-$AC$3), 0, -AL99)+PV($C$1, ($AE$3-$AC$3), 0, -AL99)+PV($C$1, ($AD$3-$AC$3), 0, -AL99)+PV($C$1, ($AC$3-$AC$3), 0, -AL99)</f>
        <v>0</v>
      </c>
      <c r="AD199" s="105" t="e">
        <f>PV($C$1, ($AL$3-$AC$3), 0, -AO99)</f>
        <v>#DIV/0!</v>
      </c>
      <c r="AE199" s="10"/>
      <c r="AF199" s="10"/>
      <c r="AG199" s="10"/>
      <c r="AH199" s="10"/>
      <c r="AI199" s="10"/>
      <c r="AJ199" s="10"/>
      <c r="AK199" s="10"/>
      <c r="AL199" s="10"/>
      <c r="AM199" s="108"/>
      <c r="AN199" s="10"/>
      <c r="AO199" s="10"/>
    </row>
    <row r="200" spans="2:41" x14ac:dyDescent="0.15">
      <c r="B200" s="10" t="s">
        <v>258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0" t="e">
        <f>AB197+AB198+AB199</f>
        <v>#DIV/0!</v>
      </c>
      <c r="AC200" s="90">
        <f t="shared" ref="AC200:AD200" si="1022">AC197+AC198+AC199</f>
        <v>0</v>
      </c>
      <c r="AD200" s="90" t="e">
        <f t="shared" si="1022"/>
        <v>#DIV/0!</v>
      </c>
      <c r="AE200" s="10"/>
      <c r="AF200" s="10"/>
      <c r="AG200" s="10"/>
      <c r="AH200" s="10"/>
      <c r="AI200" s="10"/>
      <c r="AJ200" s="10"/>
      <c r="AK200" s="10"/>
      <c r="AL200" s="10"/>
      <c r="AM200" s="108"/>
      <c r="AN200" s="10"/>
      <c r="AO200" s="10"/>
    </row>
    <row r="201" spans="2:41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1"/>
      <c r="AC201" s="105"/>
      <c r="AD201" s="105"/>
      <c r="AE201" s="10"/>
      <c r="AF201" s="10"/>
      <c r="AG201" s="10"/>
      <c r="AH201" s="10"/>
      <c r="AI201" s="10"/>
      <c r="AJ201" s="10"/>
      <c r="AK201" s="10"/>
      <c r="AL201" s="10"/>
      <c r="AM201" s="108"/>
      <c r="AN201" s="10"/>
      <c r="AO201" s="10"/>
    </row>
    <row r="202" spans="2:41" x14ac:dyDescent="0.15">
      <c r="B202" s="10" t="s">
        <v>123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1" t="e">
        <f>AC202+AD202</f>
        <v>#DIV/0!</v>
      </c>
      <c r="AC202" s="105">
        <f>PV($C$1, ($AL$3-$AC$3), 0, -AL100)+PV($C$1, ($AK$3-$AC$3), 0, -AL100)+PV($C$1, ($AJ$3-$AC$3), 0, -AL100)+PV($C$1, ($AI$3-$AC$3), 0, -AL100)+PV($C$1, ($AH$3-$AC$3), 0, -AL100)+PV($C$1, ($AG$3-$AC$3), 0, -AL100)+PV($C$1, ($AF$3-$AC$3), 0, -AL100)+PV($C$1, ($AE$3-$AC$3), 0, -AL100)+PV($C$1, ($AD$3-$AC$3), 0, -AL100)+PV($C$1, ($AC$3-$AC$3), 0, -AL100)</f>
        <v>0</v>
      </c>
      <c r="AD202" s="105" t="e">
        <f>PV($C$1, ($AL$3-$AC$3), 0, -AO100)</f>
        <v>#DIV/0!</v>
      </c>
      <c r="AE202" s="10"/>
      <c r="AF202" s="10"/>
      <c r="AG202" s="10"/>
      <c r="AH202" s="10"/>
      <c r="AI202" s="10"/>
      <c r="AJ202" s="10"/>
      <c r="AK202" s="10"/>
      <c r="AL202" s="10"/>
      <c r="AM202" s="108"/>
      <c r="AN202" s="10"/>
      <c r="AO202" s="10"/>
    </row>
    <row r="203" spans="2:41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49"/>
      <c r="V203" s="10"/>
      <c r="W203" s="10"/>
      <c r="X203" s="149"/>
      <c r="Y203" s="149">
        <v>41729</v>
      </c>
      <c r="Z203" s="10">
        <v>1609</v>
      </c>
      <c r="AA203" s="10"/>
      <c r="AB203" s="10"/>
      <c r="AC203" s="99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8"/>
      <c r="AN203" s="10"/>
      <c r="AO203" s="10"/>
    </row>
    <row r="204" spans="2:41" x14ac:dyDescent="0.15">
      <c r="B204" s="89" t="s">
        <v>84</v>
      </c>
      <c r="C204" s="10"/>
      <c r="D204" s="10"/>
      <c r="E204" s="10"/>
      <c r="F204" s="165"/>
      <c r="G204" s="165"/>
      <c r="H204" s="160">
        <v>0</v>
      </c>
      <c r="I204" s="160">
        <v>0</v>
      </c>
      <c r="J204" s="160">
        <v>0</v>
      </c>
      <c r="K204" s="160">
        <v>0</v>
      </c>
      <c r="L204" s="160">
        <v>0</v>
      </c>
      <c r="M204" s="160">
        <v>0</v>
      </c>
      <c r="N204" s="160">
        <v>2345</v>
      </c>
      <c r="O204" s="160">
        <v>0</v>
      </c>
      <c r="P204" s="160">
        <v>0</v>
      </c>
      <c r="Q204" s="160">
        <v>0</v>
      </c>
      <c r="R204" s="160"/>
      <c r="S204" s="160">
        <v>0</v>
      </c>
      <c r="T204" s="160">
        <v>0</v>
      </c>
      <c r="U204" s="160">
        <v>0</v>
      </c>
      <c r="V204" s="160">
        <v>0</v>
      </c>
      <c r="W204" s="160"/>
      <c r="X204" s="160"/>
      <c r="Y204" s="13" t="s">
        <v>207</v>
      </c>
      <c r="Z204" s="10">
        <v>1617</v>
      </c>
      <c r="AA204" s="13" t="s">
        <v>208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8"/>
      <c r="AN204" s="10"/>
      <c r="AO204" s="10"/>
    </row>
    <row r="205" spans="2:41" x14ac:dyDescent="0.15">
      <c r="B205" s="10" t="s">
        <v>66</v>
      </c>
      <c r="C205" s="12">
        <v>0</v>
      </c>
      <c r="D205" s="12">
        <v>0</v>
      </c>
      <c r="E205" s="12">
        <v>0</v>
      </c>
      <c r="F205" s="12">
        <v>0</v>
      </c>
      <c r="G205" s="12">
        <v>378</v>
      </c>
      <c r="H205" s="12">
        <v>544</v>
      </c>
      <c r="I205" s="12">
        <v>774</v>
      </c>
      <c r="J205" s="12">
        <v>954</v>
      </c>
      <c r="K205" s="12">
        <v>1331</v>
      </c>
      <c r="L205" s="12">
        <v>979</v>
      </c>
      <c r="M205" s="12">
        <v>1933</v>
      </c>
      <c r="N205" s="12">
        <v>1100</v>
      </c>
      <c r="O205" s="12">
        <v>519</v>
      </c>
      <c r="P205" s="12">
        <v>625</v>
      </c>
      <c r="Q205" s="12">
        <v>738</v>
      </c>
      <c r="R205" s="12">
        <v>1022</v>
      </c>
      <c r="S205" s="12">
        <v>1071</v>
      </c>
      <c r="T205" s="12">
        <v>1442</v>
      </c>
      <c r="U205" s="12">
        <v>1886</v>
      </c>
      <c r="V205" s="12">
        <v>2318</v>
      </c>
      <c r="W205" s="12">
        <v>861</v>
      </c>
      <c r="X205" s="12">
        <v>1494</v>
      </c>
      <c r="Y205" s="12">
        <v>1470</v>
      </c>
      <c r="Z205" s="12">
        <v>1609</v>
      </c>
      <c r="AA205" s="96">
        <f t="shared" ref="AA205:AA236" si="1023">((V205/G205)^(1/($K$2-$K$1) ))-1</f>
        <v>0.1001547294707017</v>
      </c>
      <c r="AB205" s="21">
        <v>0.02</v>
      </c>
      <c r="AC205" s="161">
        <v>50</v>
      </c>
      <c r="AD205" s="97">
        <f t="shared" ref="AD205:AL205" si="1024">AC205*(1+$AB205)</f>
        <v>51</v>
      </c>
      <c r="AE205" s="97">
        <f t="shared" si="1024"/>
        <v>52.02</v>
      </c>
      <c r="AF205" s="97">
        <f t="shared" si="1024"/>
        <v>53.060400000000001</v>
      </c>
      <c r="AG205" s="97">
        <f t="shared" si="1024"/>
        <v>54.121608000000002</v>
      </c>
      <c r="AH205" s="97">
        <f t="shared" si="1024"/>
        <v>55.204040160000005</v>
      </c>
      <c r="AI205" s="97">
        <f t="shared" si="1024"/>
        <v>56.308120963200004</v>
      </c>
      <c r="AJ205" s="97">
        <f t="shared" si="1024"/>
        <v>57.434283382464002</v>
      </c>
      <c r="AK205" s="97">
        <f t="shared" si="1024"/>
        <v>58.582969050113284</v>
      </c>
      <c r="AL205" s="97">
        <f t="shared" si="1024"/>
        <v>59.754628431115549</v>
      </c>
      <c r="AM205" s="109">
        <f t="shared" ref="AM205:AM212" si="1025">((AL205/J205)^(1/($AL$3-$K$1) ))-1</f>
        <v>-9.1110379155301624E-2</v>
      </c>
      <c r="AN205" s="21">
        <f t="shared" ref="AN205:AN212" si="1026">$O$1</f>
        <v>0.01</v>
      </c>
      <c r="AO205" s="103">
        <f t="shared" ref="AO205:AO216" si="1027">(AL205*(1+AM205))/($C$1-AN205)</f>
        <v>258.62076942129738</v>
      </c>
    </row>
    <row r="206" spans="2:41" x14ac:dyDescent="0.15">
      <c r="B206" s="10" t="s">
        <v>178</v>
      </c>
      <c r="C206" s="15"/>
      <c r="D206" s="15"/>
      <c r="E206" s="15"/>
      <c r="F206" s="15"/>
      <c r="G206" s="15">
        <f t="shared" ref="G206" si="1028">G205/G70</f>
        <v>1.8503496503496504</v>
      </c>
      <c r="H206" s="15" t="e">
        <f t="shared" ref="H206:I206" si="1029">H205/H70</f>
        <v>#DIV/0!</v>
      </c>
      <c r="I206" s="15">
        <f t="shared" si="1029"/>
        <v>4.1947552447552443</v>
      </c>
      <c r="J206" s="15">
        <f t="shared" ref="J206:Q206" si="1030">J205/J70</f>
        <v>3.5991237677984667</v>
      </c>
      <c r="K206" s="15">
        <f t="shared" si="1030"/>
        <v>3.7523157470801447</v>
      </c>
      <c r="L206" s="15">
        <f t="shared" si="1030"/>
        <v>2.5204119161456418</v>
      </c>
      <c r="M206" s="15">
        <f t="shared" si="1030"/>
        <v>5.3588590438639727</v>
      </c>
      <c r="N206" s="15">
        <f t="shared" si="1030"/>
        <v>2.5245721698348551</v>
      </c>
      <c r="O206" s="15">
        <f t="shared" si="1030"/>
        <v>4.3076650232327172</v>
      </c>
      <c r="P206" s="15">
        <f t="shared" si="1030"/>
        <v>4.1305317754663839</v>
      </c>
      <c r="Q206" s="15">
        <f t="shared" si="1030"/>
        <v>4.1448008459640464</v>
      </c>
      <c r="R206" s="15">
        <f t="shared" ref="R206:V206" si="1031">R205/R70</f>
        <v>5.0428295109146175</v>
      </c>
      <c r="S206" s="15">
        <f t="shared" si="1031"/>
        <v>4.2730799069045773</v>
      </c>
      <c r="T206" s="15">
        <f t="shared" si="1031"/>
        <v>5.0381733564438864</v>
      </c>
      <c r="U206" s="15">
        <f t="shared" si="1031"/>
        <v>5.7274144945888592</v>
      </c>
      <c r="V206" s="15">
        <f t="shared" si="1031"/>
        <v>5.9955876759224038</v>
      </c>
      <c r="W206" s="15">
        <f t="shared" ref="W206" si="1032">W205/W70</f>
        <v>3.8614605242697788</v>
      </c>
      <c r="X206" s="15">
        <f t="shared" ref="X206:Z206" si="1033">X205/X70</f>
        <v>6.4035876532453795</v>
      </c>
      <c r="Y206" s="15">
        <f t="shared" ref="Y206" si="1034">Y205/Y70</f>
        <v>5.9909074858757068</v>
      </c>
      <c r="Z206" s="15">
        <f t="shared" si="1033"/>
        <v>5.2202935216744555</v>
      </c>
      <c r="AA206" s="96">
        <f t="shared" si="1023"/>
        <v>6.3830712166542458E-2</v>
      </c>
      <c r="AB206" s="104"/>
      <c r="AC206" s="15">
        <f t="shared" ref="AC206:AL206" si="1035">AC205/AC70</f>
        <v>0.14388357316475114</v>
      </c>
      <c r="AD206" s="15">
        <f t="shared" si="1035"/>
        <v>0.13017084306139748</v>
      </c>
      <c r="AE206" s="15">
        <f t="shared" si="1035"/>
        <v>0.11776499575745911</v>
      </c>
      <c r="AF206" s="15">
        <f t="shared" si="1035"/>
        <v>0.10654147964005256</v>
      </c>
      <c r="AG206" s="15">
        <f t="shared" si="1035"/>
        <v>9.6387613406531042E-2</v>
      </c>
      <c r="AH206" s="15">
        <f t="shared" si="1035"/>
        <v>8.7201454772308618E-2</v>
      </c>
      <c r="AI206" s="15">
        <f t="shared" si="1035"/>
        <v>7.889077699574773E-2</v>
      </c>
      <c r="AJ206" s="15">
        <f t="shared" si="1035"/>
        <v>7.1372142944674741E-2</v>
      </c>
      <c r="AK206" s="15">
        <f t="shared" si="1035"/>
        <v>6.4570067408382281E-2</v>
      </c>
      <c r="AL206" s="15">
        <f t="shared" si="1035"/>
        <v>5.8416259244939935E-2</v>
      </c>
      <c r="AM206" s="109">
        <f t="shared" ref="AM206" si="1036">((AL206/J206)^(1/($AL$3-$K$1) ))-1</f>
        <v>-0.13246404845462523</v>
      </c>
      <c r="AN206" s="21">
        <f t="shared" si="1026"/>
        <v>0.01</v>
      </c>
      <c r="AO206" s="103">
        <f t="shared" ref="AO206" si="1037">(AL206*(1+AM206))/($C$1-AN206)</f>
        <v>0.24132478595133458</v>
      </c>
    </row>
    <row r="207" spans="2:41" x14ac:dyDescent="0.15">
      <c r="B207" s="10" t="s">
        <v>206</v>
      </c>
      <c r="C207" s="15"/>
      <c r="D207" s="15"/>
      <c r="E207" s="15"/>
      <c r="F207" s="15"/>
      <c r="G207" s="15">
        <f t="shared" ref="G207" si="1038">G205/G76</f>
        <v>12.096</v>
      </c>
      <c r="H207" s="15" t="e">
        <f t="shared" ref="H207:I207" si="1039">H205/H76</f>
        <v>#DIV/0!</v>
      </c>
      <c r="I207" s="15">
        <f t="shared" si="1039"/>
        <v>27.421714285714284</v>
      </c>
      <c r="J207" s="15">
        <f t="shared" ref="J207:Q207" si="1040">J205/J76</f>
        <v>25.8740157480315</v>
      </c>
      <c r="K207" s="15">
        <f t="shared" si="1040"/>
        <v>29.261934673366834</v>
      </c>
      <c r="L207" s="15">
        <f t="shared" si="1040"/>
        <v>18.258436944937834</v>
      </c>
      <c r="M207" s="15">
        <f t="shared" si="1040"/>
        <v>28.688984168865435</v>
      </c>
      <c r="N207" s="15">
        <f t="shared" si="1040"/>
        <v>12.59646502364949</v>
      </c>
      <c r="O207" s="15">
        <f t="shared" si="1040"/>
        <v>23.031670775649534</v>
      </c>
      <c r="P207" s="15">
        <f t="shared" si="1040"/>
        <v>21.467391304347828</v>
      </c>
      <c r="Q207" s="15">
        <f t="shared" si="1040"/>
        <v>20.125741670470106</v>
      </c>
      <c r="R207" s="15">
        <f t="shared" ref="R207:V207" si="1041">R205/R76</f>
        <v>23.878504672897197</v>
      </c>
      <c r="S207" s="15">
        <f t="shared" si="1041"/>
        <v>21.057345712725287</v>
      </c>
      <c r="T207" s="15">
        <f t="shared" si="1041"/>
        <v>24.148099692549224</v>
      </c>
      <c r="U207" s="15">
        <f t="shared" si="1041"/>
        <v>26.318642241379312</v>
      </c>
      <c r="V207" s="15">
        <f t="shared" si="1041"/>
        <v>28.090710625974605</v>
      </c>
      <c r="W207" s="15">
        <f t="shared" ref="W207" si="1042">W205/W76</f>
        <v>17.285609613130127</v>
      </c>
      <c r="X207" s="15">
        <f t="shared" ref="X207:Z207" si="1043">X205/X76</f>
        <v>25.841097438473131</v>
      </c>
      <c r="Y207" s="15">
        <f t="shared" ref="Y207" si="1044">Y205/Y76</f>
        <v>21.34678899082569</v>
      </c>
      <c r="Z207" s="15">
        <f t="shared" si="1043"/>
        <v>19.31581000260033</v>
      </c>
      <c r="AA207" s="96">
        <f t="shared" si="1023"/>
        <v>4.5343437737103143E-2</v>
      </c>
      <c r="AB207" s="104"/>
      <c r="AC207" s="97">
        <f t="shared" ref="AC207:AL207" si="1045">AC205/AC76</f>
        <v>0.5323891750926133</v>
      </c>
      <c r="AD207" s="97">
        <f t="shared" si="1045"/>
        <v>0.48165017197074339</v>
      </c>
      <c r="AE207" s="97">
        <f t="shared" si="1045"/>
        <v>0.43574681645074909</v>
      </c>
      <c r="AF207" s="97">
        <f t="shared" si="1045"/>
        <v>0.39421825029161683</v>
      </c>
      <c r="AG207" s="97">
        <f t="shared" si="1045"/>
        <v>0.35664753704643326</v>
      </c>
      <c r="AH207" s="97">
        <f t="shared" si="1045"/>
        <v>0.32265747612444279</v>
      </c>
      <c r="AI207" s="97">
        <f t="shared" si="1045"/>
        <v>0.29190681579119149</v>
      </c>
      <c r="AJ207" s="97">
        <f t="shared" si="1045"/>
        <v>0.26408682708622233</v>
      </c>
      <c r="AK207" s="97">
        <f t="shared" si="1045"/>
        <v>0.23891820426130941</v>
      </c>
      <c r="AL207" s="97">
        <f t="shared" si="1045"/>
        <v>0.21614826062040549</v>
      </c>
      <c r="AM207" s="109">
        <f t="shared" si="1025"/>
        <v>-0.15210717091263137</v>
      </c>
      <c r="AN207" s="21">
        <f t="shared" si="1026"/>
        <v>0.01</v>
      </c>
      <c r="AO207" s="103">
        <f t="shared" si="1027"/>
        <v>0.87271695333214039</v>
      </c>
    </row>
    <row r="208" spans="2:41" x14ac:dyDescent="0.15">
      <c r="B208" s="10" t="s">
        <v>263</v>
      </c>
      <c r="C208" s="15"/>
      <c r="D208" s="15"/>
      <c r="E208" s="15"/>
      <c r="F208" s="15"/>
      <c r="G208" s="15" t="e">
        <f t="shared" ref="G208" si="1046">G205/G74</f>
        <v>#DIV/0!</v>
      </c>
      <c r="H208" s="15" t="e">
        <f t="shared" ref="H208:I208" si="1047">H205/H74</f>
        <v>#DIV/0!</v>
      </c>
      <c r="I208" s="15" t="e">
        <f t="shared" si="1047"/>
        <v>#DIV/0!</v>
      </c>
      <c r="J208" s="15" t="e">
        <f t="shared" ref="J208:Q208" si="1048">J205/J74</f>
        <v>#DIV/0!</v>
      </c>
      <c r="K208" s="15" t="e">
        <f t="shared" si="1048"/>
        <v>#DIV/0!</v>
      </c>
      <c r="L208" s="15" t="e">
        <f t="shared" si="1048"/>
        <v>#DIV/0!</v>
      </c>
      <c r="M208" s="15" t="e">
        <f t="shared" si="1048"/>
        <v>#DIV/0!</v>
      </c>
      <c r="N208" s="15" t="e">
        <f t="shared" si="1048"/>
        <v>#DIV/0!</v>
      </c>
      <c r="O208" s="15" t="e">
        <f t="shared" si="1048"/>
        <v>#DIV/0!</v>
      </c>
      <c r="P208" s="15" t="e">
        <f t="shared" si="1048"/>
        <v>#DIV/0!</v>
      </c>
      <c r="Q208" s="15" t="e">
        <f t="shared" si="1048"/>
        <v>#DIV/0!</v>
      </c>
      <c r="R208" s="15" t="e">
        <f t="shared" ref="R208:V208" si="1049">R205/R74</f>
        <v>#DIV/0!</v>
      </c>
      <c r="S208" s="15" t="e">
        <f t="shared" si="1049"/>
        <v>#DIV/0!</v>
      </c>
      <c r="T208" s="15" t="e">
        <f t="shared" si="1049"/>
        <v>#DIV/0!</v>
      </c>
      <c r="U208" s="15" t="e">
        <f t="shared" si="1049"/>
        <v>#DIV/0!</v>
      </c>
      <c r="V208" s="15" t="e">
        <f t="shared" si="1049"/>
        <v>#DIV/0!</v>
      </c>
      <c r="W208" s="15" t="e">
        <f t="shared" ref="W208" si="1050">W205/W74</f>
        <v>#DIV/0!</v>
      </c>
      <c r="X208" s="15" t="e">
        <f t="shared" ref="X208:Z208" si="1051">X205/X74</f>
        <v>#DIV/0!</v>
      </c>
      <c r="Y208" s="15" t="e">
        <f t="shared" ref="Y208" si="1052">Y205/Y74</f>
        <v>#DIV/0!</v>
      </c>
      <c r="Z208" s="15" t="e">
        <f t="shared" si="1051"/>
        <v>#DIV/0!</v>
      </c>
      <c r="AA208" s="96" t="e">
        <f t="shared" si="1023"/>
        <v>#DIV/0!</v>
      </c>
      <c r="AB208" s="104"/>
      <c r="AC208" s="15" t="e">
        <f t="shared" ref="AC208:AL208" si="1053">AC205/AC74</f>
        <v>#DIV/0!</v>
      </c>
      <c r="AD208" s="15" t="e">
        <f t="shared" si="1053"/>
        <v>#DIV/0!</v>
      </c>
      <c r="AE208" s="15" t="e">
        <f t="shared" si="1053"/>
        <v>#DIV/0!</v>
      </c>
      <c r="AF208" s="15" t="e">
        <f t="shared" si="1053"/>
        <v>#DIV/0!</v>
      </c>
      <c r="AG208" s="15" t="e">
        <f t="shared" si="1053"/>
        <v>#DIV/0!</v>
      </c>
      <c r="AH208" s="15" t="e">
        <f t="shared" si="1053"/>
        <v>#DIV/0!</v>
      </c>
      <c r="AI208" s="15" t="e">
        <f t="shared" si="1053"/>
        <v>#DIV/0!</v>
      </c>
      <c r="AJ208" s="15" t="e">
        <f t="shared" si="1053"/>
        <v>#DIV/0!</v>
      </c>
      <c r="AK208" s="15" t="e">
        <f t="shared" si="1053"/>
        <v>#DIV/0!</v>
      </c>
      <c r="AL208" s="15" t="e">
        <f t="shared" si="1053"/>
        <v>#DIV/0!</v>
      </c>
      <c r="AM208" s="109" t="e">
        <f t="shared" ref="AM208:AM209" si="1054">((AL208/J208)^(1/($AL$3-$K$1) ))-1</f>
        <v>#DIV/0!</v>
      </c>
      <c r="AN208" s="21">
        <f t="shared" si="1026"/>
        <v>0.01</v>
      </c>
      <c r="AO208" s="103" t="e">
        <f t="shared" ref="AO208:AO209" si="1055">(AL208*(1+AM208))/($C$1-AN208)</f>
        <v>#DIV/0!</v>
      </c>
    </row>
    <row r="209" spans="2:41" x14ac:dyDescent="0.15">
      <c r="B209" s="10" t="s">
        <v>264</v>
      </c>
      <c r="C209" s="15"/>
      <c r="D209" s="15"/>
      <c r="E209" s="15"/>
      <c r="F209" s="15"/>
      <c r="G209" s="15" t="e">
        <f t="shared" ref="G209" si="1056">G205/G75</f>
        <v>#DIV/0!</v>
      </c>
      <c r="H209" s="15" t="e">
        <f t="shared" ref="H209:I209" si="1057">H205/H75</f>
        <v>#DIV/0!</v>
      </c>
      <c r="I209" s="15" t="e">
        <f t="shared" si="1057"/>
        <v>#DIV/0!</v>
      </c>
      <c r="J209" s="15" t="e">
        <f t="shared" ref="J209:Q209" si="1058">J205/J75</f>
        <v>#DIV/0!</v>
      </c>
      <c r="K209" s="15" t="e">
        <f t="shared" si="1058"/>
        <v>#DIV/0!</v>
      </c>
      <c r="L209" s="15" t="e">
        <f t="shared" si="1058"/>
        <v>#DIV/0!</v>
      </c>
      <c r="M209" s="15" t="e">
        <f t="shared" si="1058"/>
        <v>#DIV/0!</v>
      </c>
      <c r="N209" s="15" t="e">
        <f t="shared" si="1058"/>
        <v>#DIV/0!</v>
      </c>
      <c r="O209" s="15" t="e">
        <f t="shared" si="1058"/>
        <v>#DIV/0!</v>
      </c>
      <c r="P209" s="15" t="e">
        <f t="shared" si="1058"/>
        <v>#DIV/0!</v>
      </c>
      <c r="Q209" s="15" t="e">
        <f t="shared" si="1058"/>
        <v>#DIV/0!</v>
      </c>
      <c r="R209" s="15" t="e">
        <f t="shared" ref="R209:V209" si="1059">R205/R75</f>
        <v>#DIV/0!</v>
      </c>
      <c r="S209" s="15" t="e">
        <f t="shared" si="1059"/>
        <v>#DIV/0!</v>
      </c>
      <c r="T209" s="15" t="e">
        <f t="shared" si="1059"/>
        <v>#DIV/0!</v>
      </c>
      <c r="U209" s="15" t="e">
        <f t="shared" si="1059"/>
        <v>#DIV/0!</v>
      </c>
      <c r="V209" s="15" t="e">
        <f t="shared" si="1059"/>
        <v>#DIV/0!</v>
      </c>
      <c r="W209" s="15" t="e">
        <f t="shared" ref="W209" si="1060">W205/W75</f>
        <v>#DIV/0!</v>
      </c>
      <c r="X209" s="15" t="e">
        <f t="shared" ref="X209:Z209" si="1061">X205/X75</f>
        <v>#DIV/0!</v>
      </c>
      <c r="Y209" s="15" t="e">
        <f t="shared" ref="Y209" si="1062">Y205/Y75</f>
        <v>#DIV/0!</v>
      </c>
      <c r="Z209" s="15" t="e">
        <f t="shared" si="1061"/>
        <v>#DIV/0!</v>
      </c>
      <c r="AA209" s="96" t="e">
        <f t="shared" si="1023"/>
        <v>#DIV/0!</v>
      </c>
      <c r="AB209" s="104"/>
      <c r="AC209" s="15" t="e">
        <f t="shared" ref="AC209:AL210" si="1063">AC205/AC75</f>
        <v>#DIV/0!</v>
      </c>
      <c r="AD209" s="15" t="e">
        <f t="shared" si="1063"/>
        <v>#DIV/0!</v>
      </c>
      <c r="AE209" s="15" t="e">
        <f t="shared" si="1063"/>
        <v>#DIV/0!</v>
      </c>
      <c r="AF209" s="15" t="e">
        <f t="shared" si="1063"/>
        <v>#DIV/0!</v>
      </c>
      <c r="AG209" s="15" t="e">
        <f t="shared" si="1063"/>
        <v>#DIV/0!</v>
      </c>
      <c r="AH209" s="15" t="e">
        <f t="shared" si="1063"/>
        <v>#DIV/0!</v>
      </c>
      <c r="AI209" s="15" t="e">
        <f t="shared" si="1063"/>
        <v>#DIV/0!</v>
      </c>
      <c r="AJ209" s="15" t="e">
        <f t="shared" si="1063"/>
        <v>#DIV/0!</v>
      </c>
      <c r="AK209" s="15" t="e">
        <f t="shared" si="1063"/>
        <v>#DIV/0!</v>
      </c>
      <c r="AL209" s="15" t="e">
        <f t="shared" si="1063"/>
        <v>#DIV/0!</v>
      </c>
      <c r="AM209" s="109" t="e">
        <f t="shared" si="1054"/>
        <v>#DIV/0!</v>
      </c>
      <c r="AN209" s="21">
        <f t="shared" si="1026"/>
        <v>0.01</v>
      </c>
      <c r="AO209" s="103" t="e">
        <f t="shared" si="1055"/>
        <v>#DIV/0!</v>
      </c>
    </row>
    <row r="210" spans="2:41" x14ac:dyDescent="0.15">
      <c r="B210" s="10" t="s">
        <v>91</v>
      </c>
      <c r="C210" s="15"/>
      <c r="D210" s="15"/>
      <c r="E210" s="15"/>
      <c r="F210" s="15"/>
      <c r="G210" s="15">
        <f t="shared" ref="G210" si="1064">G205/G79</f>
        <v>2.1108895093737532</v>
      </c>
      <c r="H210" s="15" t="e">
        <f t="shared" ref="H210:I210" si="1065">H205/H79</f>
        <v>#DIV/0!</v>
      </c>
      <c r="I210" s="15">
        <f t="shared" si="1065"/>
        <v>4.7854008775428793</v>
      </c>
      <c r="J210" s="15">
        <f t="shared" ref="J210:Q210" si="1066">J205/J79</f>
        <v>4.8087804878048779</v>
      </c>
      <c r="K210" s="15">
        <f t="shared" si="1066"/>
        <v>4.1668157423971373</v>
      </c>
      <c r="L210" s="15">
        <f t="shared" si="1066"/>
        <v>2.8830458561211612</v>
      </c>
      <c r="M210" s="15">
        <f t="shared" si="1066"/>
        <v>4.1112108894980617</v>
      </c>
      <c r="N210" s="15">
        <f t="shared" si="1066"/>
        <v>2.0145718039574789</v>
      </c>
      <c r="O210" s="15">
        <f t="shared" si="1066"/>
        <v>4.0834538179617361</v>
      </c>
      <c r="P210" s="15">
        <f t="shared" si="1066"/>
        <v>4.0956976165459267</v>
      </c>
      <c r="Q210" s="15">
        <f t="shared" si="1066"/>
        <v>4.0374948496085699</v>
      </c>
      <c r="R210" s="15">
        <f t="shared" ref="R210:V210" si="1067">R205/R79</f>
        <v>4.0780821043222879</v>
      </c>
      <c r="S210" s="15">
        <f t="shared" si="1067"/>
        <v>3.6571722810916287</v>
      </c>
      <c r="T210" s="15">
        <f t="shared" si="1067"/>
        <v>4.0441274745018134</v>
      </c>
      <c r="U210" s="15">
        <f t="shared" si="1067"/>
        <v>4.478126145947928</v>
      </c>
      <c r="V210" s="15">
        <f t="shared" si="1067"/>
        <v>4.1174442296640716</v>
      </c>
      <c r="W210" s="15">
        <f t="shared" ref="W210" si="1068">W205/W79</f>
        <v>2.6837381263864399</v>
      </c>
      <c r="X210" s="15">
        <f t="shared" ref="X210:Z210" si="1069">X205/X79</f>
        <v>3.9338711064809946</v>
      </c>
      <c r="Y210" s="15">
        <f t="shared" ref="Y210" si="1070">Y205/Y79</f>
        <v>3.3001446685388474</v>
      </c>
      <c r="Z210" s="15">
        <f t="shared" si="1069"/>
        <v>3.0856725480218361</v>
      </c>
      <c r="AA210" s="96">
        <f t="shared" si="1023"/>
        <v>3.578995747964564E-2</v>
      </c>
      <c r="AB210" s="104"/>
      <c r="AC210" s="15">
        <f t="shared" si="1063"/>
        <v>1.5320411365311905E-3</v>
      </c>
      <c r="AD210" s="97">
        <f t="shared" ref="AD210:AL210" si="1071">AD205/AD79</f>
        <v>7.6942914286278571E-2</v>
      </c>
      <c r="AE210" s="97">
        <f t="shared" si="1071"/>
        <v>6.9609920020386282E-2</v>
      </c>
      <c r="AF210" s="97">
        <f t="shared" si="1071"/>
        <v>6.29757919906173E-2</v>
      </c>
      <c r="AG210" s="97">
        <f t="shared" si="1071"/>
        <v>5.697392520612022E-2</v>
      </c>
      <c r="AH210" s="97">
        <f t="shared" si="1071"/>
        <v>5.1544062421258682E-2</v>
      </c>
      <c r="AI210" s="97">
        <f t="shared" si="1071"/>
        <v>4.6631689167893516E-2</v>
      </c>
      <c r="AJ210" s="97">
        <f t="shared" si="1071"/>
        <v>4.2187486443718614E-2</v>
      </c>
      <c r="AK210" s="97">
        <f t="shared" si="1071"/>
        <v>3.8166835561778141E-2</v>
      </c>
      <c r="AL210" s="97">
        <f t="shared" si="1071"/>
        <v>3.4529370189977371E-2</v>
      </c>
      <c r="AM210" s="109">
        <f t="shared" si="1025"/>
        <v>-0.15652101712570177</v>
      </c>
      <c r="AN210" s="21">
        <f t="shared" si="1026"/>
        <v>0.01</v>
      </c>
      <c r="AO210" s="103">
        <f t="shared" si="1027"/>
        <v>0.13868951451015346</v>
      </c>
    </row>
    <row r="211" spans="2:41" x14ac:dyDescent="0.15">
      <c r="B211" s="10" t="s">
        <v>92</v>
      </c>
      <c r="C211" s="15"/>
      <c r="D211" s="15"/>
      <c r="E211" s="15"/>
      <c r="F211" s="15"/>
      <c r="G211" s="15" t="e">
        <f t="shared" ref="G211" si="1072">G205/G88</f>
        <v>#DIV/0!</v>
      </c>
      <c r="H211" s="15" t="e">
        <f t="shared" ref="H211:I211" si="1073">H205/H88</f>
        <v>#DIV/0!</v>
      </c>
      <c r="I211" s="15" t="e">
        <f t="shared" si="1073"/>
        <v>#DIV/0!</v>
      </c>
      <c r="J211" s="15" t="e">
        <f t="shared" ref="J211:Q211" si="1074">J205/J88</f>
        <v>#DIV/0!</v>
      </c>
      <c r="K211" s="15" t="e">
        <f t="shared" si="1074"/>
        <v>#DIV/0!</v>
      </c>
      <c r="L211" s="15" t="e">
        <f t="shared" si="1074"/>
        <v>#DIV/0!</v>
      </c>
      <c r="M211" s="15" t="e">
        <f t="shared" si="1074"/>
        <v>#DIV/0!</v>
      </c>
      <c r="N211" s="15" t="e">
        <f t="shared" si="1074"/>
        <v>#DIV/0!</v>
      </c>
      <c r="O211" s="15" t="e">
        <f t="shared" si="1074"/>
        <v>#DIV/0!</v>
      </c>
      <c r="P211" s="15" t="e">
        <f t="shared" si="1074"/>
        <v>#DIV/0!</v>
      </c>
      <c r="Q211" s="15" t="e">
        <f t="shared" si="1074"/>
        <v>#DIV/0!</v>
      </c>
      <c r="R211" s="15" t="e">
        <f t="shared" ref="R211:V211" si="1075">R205/R88</f>
        <v>#DIV/0!</v>
      </c>
      <c r="S211" s="15" t="e">
        <f t="shared" si="1075"/>
        <v>#DIV/0!</v>
      </c>
      <c r="T211" s="15" t="e">
        <f t="shared" si="1075"/>
        <v>#DIV/0!</v>
      </c>
      <c r="U211" s="15" t="e">
        <f t="shared" si="1075"/>
        <v>#DIV/0!</v>
      </c>
      <c r="V211" s="15" t="e">
        <f t="shared" si="1075"/>
        <v>#DIV/0!</v>
      </c>
      <c r="W211" s="15" t="e">
        <f t="shared" ref="W211" si="1076">W205/W88</f>
        <v>#DIV/0!</v>
      </c>
      <c r="X211" s="15" t="e">
        <f t="shared" ref="X211:Z211" si="1077">X205/X88</f>
        <v>#DIV/0!</v>
      </c>
      <c r="Y211" s="15" t="e">
        <f t="shared" ref="Y211" si="1078">Y205/Y88</f>
        <v>#DIV/0!</v>
      </c>
      <c r="Z211" s="15" t="e">
        <f t="shared" si="1077"/>
        <v>#DIV/0!</v>
      </c>
      <c r="AA211" s="96" t="e">
        <f t="shared" si="1023"/>
        <v>#DIV/0!</v>
      </c>
      <c r="AB211" s="104"/>
      <c r="AC211" s="97" t="e">
        <f t="shared" ref="AC211:AL211" si="1079">AC205/AC88</f>
        <v>#DIV/0!</v>
      </c>
      <c r="AD211" s="97" t="e">
        <f t="shared" si="1079"/>
        <v>#DIV/0!</v>
      </c>
      <c r="AE211" s="97" t="e">
        <f t="shared" si="1079"/>
        <v>#DIV/0!</v>
      </c>
      <c r="AF211" s="97" t="e">
        <f t="shared" si="1079"/>
        <v>#DIV/0!</v>
      </c>
      <c r="AG211" s="97" t="e">
        <f t="shared" si="1079"/>
        <v>#DIV/0!</v>
      </c>
      <c r="AH211" s="97" t="e">
        <f t="shared" si="1079"/>
        <v>#DIV/0!</v>
      </c>
      <c r="AI211" s="97" t="e">
        <f t="shared" si="1079"/>
        <v>#DIV/0!</v>
      </c>
      <c r="AJ211" s="97" t="e">
        <f t="shared" si="1079"/>
        <v>#DIV/0!</v>
      </c>
      <c r="AK211" s="97" t="e">
        <f t="shared" si="1079"/>
        <v>#DIV/0!</v>
      </c>
      <c r="AL211" s="97" t="e">
        <f t="shared" si="1079"/>
        <v>#DIV/0!</v>
      </c>
      <c r="AM211" s="109" t="e">
        <f t="shared" si="1025"/>
        <v>#DIV/0!</v>
      </c>
      <c r="AN211" s="21">
        <f t="shared" si="1026"/>
        <v>0.01</v>
      </c>
      <c r="AO211" s="103" t="e">
        <f t="shared" si="1027"/>
        <v>#DIV/0!</v>
      </c>
    </row>
    <row r="212" spans="2:41" x14ac:dyDescent="0.15">
      <c r="B212" s="10" t="s">
        <v>93</v>
      </c>
      <c r="C212" s="15"/>
      <c r="D212" s="15"/>
      <c r="E212" s="15"/>
      <c r="F212" s="15"/>
      <c r="G212" s="15" t="e">
        <f t="shared" ref="G212" si="1080">G205/G90</f>
        <v>#DIV/0!</v>
      </c>
      <c r="H212" s="15" t="e">
        <f t="shared" ref="H212:I212" si="1081">H205/H90</f>
        <v>#DIV/0!</v>
      </c>
      <c r="I212" s="15" t="e">
        <f t="shared" si="1081"/>
        <v>#DIV/0!</v>
      </c>
      <c r="J212" s="15" t="e">
        <f t="shared" ref="J212:Q212" si="1082">J205/J90</f>
        <v>#DIV/0!</v>
      </c>
      <c r="K212" s="15" t="e">
        <f t="shared" si="1082"/>
        <v>#DIV/0!</v>
      </c>
      <c r="L212" s="15" t="e">
        <f t="shared" si="1082"/>
        <v>#DIV/0!</v>
      </c>
      <c r="M212" s="15" t="e">
        <f t="shared" si="1082"/>
        <v>#DIV/0!</v>
      </c>
      <c r="N212" s="15" t="e">
        <f t="shared" si="1082"/>
        <v>#DIV/0!</v>
      </c>
      <c r="O212" s="15" t="e">
        <f t="shared" si="1082"/>
        <v>#DIV/0!</v>
      </c>
      <c r="P212" s="15" t="e">
        <f t="shared" si="1082"/>
        <v>#DIV/0!</v>
      </c>
      <c r="Q212" s="15" t="e">
        <f t="shared" si="1082"/>
        <v>#DIV/0!</v>
      </c>
      <c r="R212" s="15" t="e">
        <f t="shared" ref="R212:V212" si="1083">R205/R90</f>
        <v>#DIV/0!</v>
      </c>
      <c r="S212" s="15" t="e">
        <f t="shared" si="1083"/>
        <v>#DIV/0!</v>
      </c>
      <c r="T212" s="15" t="e">
        <f t="shared" si="1083"/>
        <v>#DIV/0!</v>
      </c>
      <c r="U212" s="15" t="e">
        <f t="shared" si="1083"/>
        <v>#DIV/0!</v>
      </c>
      <c r="V212" s="15" t="e">
        <f t="shared" si="1083"/>
        <v>#DIV/0!</v>
      </c>
      <c r="W212" s="15" t="e">
        <f t="shared" ref="W212" si="1084">W205/W90</f>
        <v>#DIV/0!</v>
      </c>
      <c r="X212" s="15" t="e">
        <f t="shared" ref="X212:Z212" si="1085">X205/X90</f>
        <v>#DIV/0!</v>
      </c>
      <c r="Y212" s="15" t="e">
        <f t="shared" ref="Y212" si="1086">Y205/Y90</f>
        <v>#DIV/0!</v>
      </c>
      <c r="Z212" s="15" t="e">
        <f t="shared" si="1085"/>
        <v>#DIV/0!</v>
      </c>
      <c r="AA212" s="96" t="e">
        <f t="shared" si="1023"/>
        <v>#DIV/0!</v>
      </c>
      <c r="AB212" s="104"/>
      <c r="AC212" s="97" t="e">
        <f t="shared" ref="AC212:AL212" si="1087">AC205/AC90</f>
        <v>#DIV/0!</v>
      </c>
      <c r="AD212" s="97" t="e">
        <f t="shared" si="1087"/>
        <v>#DIV/0!</v>
      </c>
      <c r="AE212" s="97" t="e">
        <f t="shared" si="1087"/>
        <v>#DIV/0!</v>
      </c>
      <c r="AF212" s="97" t="e">
        <f t="shared" si="1087"/>
        <v>#DIV/0!</v>
      </c>
      <c r="AG212" s="97" t="e">
        <f t="shared" si="1087"/>
        <v>#DIV/0!</v>
      </c>
      <c r="AH212" s="97" t="e">
        <f t="shared" si="1087"/>
        <v>#DIV/0!</v>
      </c>
      <c r="AI212" s="97" t="e">
        <f t="shared" si="1087"/>
        <v>#DIV/0!</v>
      </c>
      <c r="AJ212" s="97" t="e">
        <f t="shared" si="1087"/>
        <v>#DIV/0!</v>
      </c>
      <c r="AK212" s="97" t="e">
        <f t="shared" si="1087"/>
        <v>#DIV/0!</v>
      </c>
      <c r="AL212" s="97" t="e">
        <f t="shared" si="1087"/>
        <v>#DIV/0!</v>
      </c>
      <c r="AM212" s="109" t="e">
        <f t="shared" si="1025"/>
        <v>#DIV/0!</v>
      </c>
      <c r="AN212" s="21">
        <f t="shared" si="1026"/>
        <v>0.01</v>
      </c>
      <c r="AO212" s="103" t="e">
        <f t="shared" si="1027"/>
        <v>#DIV/0!</v>
      </c>
    </row>
    <row r="213" spans="2:41" x14ac:dyDescent="0.15">
      <c r="B213" s="10" t="s">
        <v>107</v>
      </c>
      <c r="C213" s="15"/>
      <c r="D213" s="15"/>
      <c r="E213" s="15"/>
      <c r="F213" s="15"/>
      <c r="G213" s="148">
        <f t="shared" ref="G213" si="1088">G205/G84</f>
        <v>1.9868593955321945</v>
      </c>
      <c r="H213" s="148" t="e">
        <f t="shared" ref="H213:I213" si="1089">H205/H84</f>
        <v>#DIV/0!</v>
      </c>
      <c r="I213" s="148">
        <f t="shared" si="1089"/>
        <v>4.5042237657217949</v>
      </c>
      <c r="J213" s="148">
        <f t="shared" ref="J213:Q213" si="1090">J205/J84</f>
        <v>4.5709428129829979</v>
      </c>
      <c r="K213" s="148">
        <f t="shared" si="1090"/>
        <v>4.0385782401387083</v>
      </c>
      <c r="L213" s="148">
        <f t="shared" si="1090"/>
        <v>2.7241287928978402</v>
      </c>
      <c r="M213" s="148">
        <f t="shared" si="1090"/>
        <v>4.0237302248126561</v>
      </c>
      <c r="N213" s="148">
        <f t="shared" si="1090"/>
        <v>1.9777213210865743</v>
      </c>
      <c r="O213" s="148">
        <f t="shared" si="1090"/>
        <v>4.0200595829195622</v>
      </c>
      <c r="P213" s="148">
        <f t="shared" si="1090"/>
        <v>4.0424922220402815</v>
      </c>
      <c r="Q213" s="148">
        <f t="shared" si="1090"/>
        <v>3.9936149979622333</v>
      </c>
      <c r="R213" s="148">
        <f t="shared" ref="R213:V213" si="1091">R205/R84</f>
        <v>4.8067878240583957</v>
      </c>
      <c r="S213" s="148">
        <f t="shared" si="1091"/>
        <v>3.6322674418604652</v>
      </c>
      <c r="T213" s="148">
        <f t="shared" si="1091"/>
        <v>4.0215702722429816</v>
      </c>
      <c r="U213" s="148">
        <f t="shared" si="1091"/>
        <v>4.4569202273743374</v>
      </c>
      <c r="V213" s="148">
        <f t="shared" si="1091"/>
        <v>4.1028684470820966</v>
      </c>
      <c r="W213" s="148">
        <f t="shared" ref="W213" si="1092">W205/W84</f>
        <v>2.6753989045010718</v>
      </c>
      <c r="X213" s="148">
        <f t="shared" ref="X213:Z213" si="1093">X205/X84</f>
        <v>3.923521281159144</v>
      </c>
      <c r="Y213" s="148">
        <f t="shared" ref="Y213" si="1094">Y205/Y84</f>
        <v>3.2927391378181023</v>
      </c>
      <c r="Z213" s="148">
        <f t="shared" si="1093"/>
        <v>3.0797237395357193</v>
      </c>
      <c r="AA213" s="96">
        <f t="shared" si="1023"/>
        <v>3.8902427237316628E-2</v>
      </c>
      <c r="AB213" s="104"/>
      <c r="AC213" s="106">
        <f t="shared" ref="AC213:AL213" si="1095">AC205/AC84</f>
        <v>8.4884433062027032E-2</v>
      </c>
      <c r="AD213" s="106">
        <f t="shared" si="1095"/>
        <v>7.6794577528463415E-2</v>
      </c>
      <c r="AE213" s="106">
        <f t="shared" si="1095"/>
        <v>6.9475720400533347E-2</v>
      </c>
      <c r="AF213" s="106">
        <f t="shared" si="1095"/>
        <v>6.2854382178012952E-2</v>
      </c>
      <c r="AG213" s="106">
        <f t="shared" si="1095"/>
        <v>5.686408627652581E-2</v>
      </c>
      <c r="AH213" s="106">
        <f t="shared" si="1095"/>
        <v>5.144469161921518E-2</v>
      </c>
      <c r="AI213" s="106">
        <f t="shared" si="1095"/>
        <v>4.6541788835331714E-2</v>
      </c>
      <c r="AJ213" s="106">
        <f t="shared" si="1095"/>
        <v>4.2106154003720982E-2</v>
      </c>
      <c r="AK213" s="106">
        <f t="shared" si="1095"/>
        <v>3.8093254456931576E-2</v>
      </c>
      <c r="AL213" s="106">
        <f t="shared" si="1095"/>
        <v>3.4462801684340537E-2</v>
      </c>
      <c r="AM213" s="109">
        <f t="shared" ref="AM213" si="1096">((AL213/J213)^(1/($AL$3-$K$1) ))-1</f>
        <v>-0.15510061719174806</v>
      </c>
      <c r="AN213" s="21">
        <f t="shared" ref="AN213:AN216" si="1097">$O$1</f>
        <v>0.01</v>
      </c>
      <c r="AO213" s="103">
        <f t="shared" si="1027"/>
        <v>0.13865523749020239</v>
      </c>
    </row>
    <row r="214" spans="2:41" x14ac:dyDescent="0.15">
      <c r="B214" s="10"/>
      <c r="C214" s="15"/>
      <c r="D214" s="15"/>
      <c r="E214" s="15"/>
      <c r="F214" s="15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04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3"/>
    </row>
    <row r="215" spans="2:41" x14ac:dyDescent="0.15">
      <c r="B215" s="10" t="s">
        <v>140</v>
      </c>
      <c r="C215" s="122"/>
      <c r="D215" s="122"/>
      <c r="E215" s="122"/>
      <c r="F215" s="122"/>
      <c r="G215" s="122">
        <f t="shared" ref="G215" si="1098">G63/G205</f>
        <v>1.1904761904761906E-3</v>
      </c>
      <c r="H215" s="122">
        <f t="shared" ref="H215:I215" si="1099">H63/H205</f>
        <v>8.2720588235294116E-4</v>
      </c>
      <c r="I215" s="122">
        <f t="shared" si="1099"/>
        <v>0</v>
      </c>
      <c r="J215" s="122">
        <f t="shared" ref="J215:Q215" si="1100">J63/J205</f>
        <v>7.3375262054507328E-4</v>
      </c>
      <c r="K215" s="122">
        <f t="shared" si="1100"/>
        <v>6.3861758076634112E-4</v>
      </c>
      <c r="L215" s="122">
        <f t="shared" si="1100"/>
        <v>1.0214504596527069E-3</v>
      </c>
      <c r="M215" s="122">
        <f t="shared" si="1100"/>
        <v>6.2079668908432482E-4</v>
      </c>
      <c r="N215" s="122">
        <f t="shared" si="1100"/>
        <v>1.4999999999999998E-3</v>
      </c>
      <c r="O215" s="122">
        <f t="shared" si="1100"/>
        <v>4.1425818882466284E-3</v>
      </c>
      <c r="P215" s="122">
        <f t="shared" si="1100"/>
        <v>4.4000000000000003E-3</v>
      </c>
      <c r="Q215" s="122">
        <f t="shared" si="1100"/>
        <v>4.6341463414634144E-3</v>
      </c>
      <c r="R215" s="122">
        <f t="shared" ref="R215:V215" si="1101">R63/R205</f>
        <v>3.9138943248532287E-3</v>
      </c>
      <c r="S215" s="122">
        <f t="shared" si="1101"/>
        <v>4.4351073762838467E-3</v>
      </c>
      <c r="T215" s="122">
        <f t="shared" si="1101"/>
        <v>3.8141470180305132E-3</v>
      </c>
      <c r="U215" s="122">
        <f t="shared" si="1101"/>
        <v>3.4464475079533405E-3</v>
      </c>
      <c r="V215" s="122">
        <f t="shared" si="1101"/>
        <v>3.2355478861087143E-3</v>
      </c>
      <c r="W215" s="122">
        <f t="shared" ref="W215" si="1102">W63/W205</f>
        <v>2.9036004645760743E-3</v>
      </c>
      <c r="X215" s="122">
        <f t="shared" ref="X215:Z215" si="1103">X63/X205</f>
        <v>4.3507362784471221E-3</v>
      </c>
      <c r="Y215" s="122">
        <f t="shared" ref="Y215" si="1104">Y63/Y205</f>
        <v>1.0544217687074829E-2</v>
      </c>
      <c r="Z215" s="122">
        <f t="shared" si="1103"/>
        <v>1.1808576755748913E-2</v>
      </c>
      <c r="AA215" s="96">
        <f t="shared" si="1023"/>
        <v>5.4032637682750018E-2</v>
      </c>
      <c r="AB215" s="104"/>
      <c r="AC215" s="122">
        <f t="shared" ref="AC215:AL215" si="1105">AC63/AC205</f>
        <v>0.3876</v>
      </c>
      <c r="AD215" s="122">
        <f t="shared" si="1105"/>
        <v>0.38759999999999994</v>
      </c>
      <c r="AE215" s="122">
        <f t="shared" si="1105"/>
        <v>0.38759999999999994</v>
      </c>
      <c r="AF215" s="122">
        <f t="shared" si="1105"/>
        <v>0.38759999999999994</v>
      </c>
      <c r="AG215" s="122">
        <f t="shared" si="1105"/>
        <v>0.3876</v>
      </c>
      <c r="AH215" s="122">
        <f t="shared" si="1105"/>
        <v>0.38759999999999994</v>
      </c>
      <c r="AI215" s="122">
        <f t="shared" si="1105"/>
        <v>0.38759999999999994</v>
      </c>
      <c r="AJ215" s="122">
        <f t="shared" si="1105"/>
        <v>0.38759999999999994</v>
      </c>
      <c r="AK215" s="122">
        <f t="shared" si="1105"/>
        <v>0.38759999999999994</v>
      </c>
      <c r="AL215" s="122">
        <f t="shared" si="1105"/>
        <v>0.38759999999999994</v>
      </c>
      <c r="AM215" s="109">
        <f t="shared" ref="AM215:AM220" si="1106">((AL215/J215)^(1/($AL$3-$K$1) ))-1</f>
        <v>0.24134023194551224</v>
      </c>
      <c r="AN215" s="21">
        <f t="shared" si="1097"/>
        <v>0.01</v>
      </c>
      <c r="AO215" s="103">
        <f t="shared" si="1027"/>
        <v>2.2911593995337167</v>
      </c>
    </row>
    <row r="216" spans="2:41" x14ac:dyDescent="0.15">
      <c r="B216" s="10" t="s">
        <v>65</v>
      </c>
      <c r="C216" s="122"/>
      <c r="D216" s="122"/>
      <c r="E216" s="122"/>
      <c r="F216" s="122"/>
      <c r="G216" s="103">
        <f t="shared" ref="G216" si="1107">G205*G61</f>
        <v>10584</v>
      </c>
      <c r="H216" s="103">
        <f t="shared" ref="H216:I216" si="1108">H205*H61</f>
        <v>16320</v>
      </c>
      <c r="I216" s="103">
        <f t="shared" si="1108"/>
        <v>23994</v>
      </c>
      <c r="J216" s="103">
        <f t="shared" ref="J216:Q216" si="1109">J205*J61</f>
        <v>29574</v>
      </c>
      <c r="K216" s="103">
        <f t="shared" si="1109"/>
        <v>46585</v>
      </c>
      <c r="L216" s="103">
        <f t="shared" si="1109"/>
        <v>41118</v>
      </c>
      <c r="M216" s="103">
        <f t="shared" si="1109"/>
        <v>86985</v>
      </c>
      <c r="N216" s="103">
        <f t="shared" si="1109"/>
        <v>50600</v>
      </c>
      <c r="O216" s="103">
        <f t="shared" si="1109"/>
        <v>121446</v>
      </c>
      <c r="P216" s="103">
        <f t="shared" si="1109"/>
        <v>148125</v>
      </c>
      <c r="Q216" s="103">
        <f t="shared" si="1109"/>
        <v>176382</v>
      </c>
      <c r="R216" s="103">
        <f t="shared" ref="R216:V216" si="1110">R205*R61</f>
        <v>255500</v>
      </c>
      <c r="S216" s="103">
        <f t="shared" si="1110"/>
        <v>269892</v>
      </c>
      <c r="T216" s="103">
        <f t="shared" si="1110"/>
        <v>369152</v>
      </c>
      <c r="U216" s="103">
        <f t="shared" si="1110"/>
        <v>488474</v>
      </c>
      <c r="V216" s="103">
        <f t="shared" si="1110"/>
        <v>630496</v>
      </c>
      <c r="W216" s="103">
        <f t="shared" ref="W216" si="1111">W205*W61</f>
        <v>471828</v>
      </c>
      <c r="X216" s="103">
        <f t="shared" ref="X216:Z216" si="1112">X205*X61</f>
        <v>823194</v>
      </c>
      <c r="Y216" s="103">
        <f t="shared" ref="Y216" si="1113">Y205*Y61</f>
        <v>814380</v>
      </c>
      <c r="Z216" s="103">
        <f t="shared" si="1112"/>
        <v>891386</v>
      </c>
      <c r="AA216" s="96">
        <f t="shared" si="1023"/>
        <v>0.24000307857655234</v>
      </c>
      <c r="AB216" s="104"/>
      <c r="AC216" s="132">
        <f t="shared" ref="AC216:AL216" si="1114">AC205*AC61</f>
        <v>28254.000000000004</v>
      </c>
      <c r="AD216" s="132">
        <f t="shared" si="1114"/>
        <v>29395.461600000002</v>
      </c>
      <c r="AE216" s="132">
        <f t="shared" si="1114"/>
        <v>30583.038248640005</v>
      </c>
      <c r="AF216" s="132">
        <f t="shared" si="1114"/>
        <v>31818.59299388506</v>
      </c>
      <c r="AG216" s="132">
        <f t="shared" si="1114"/>
        <v>33104.064150838014</v>
      </c>
      <c r="AH216" s="132">
        <f t="shared" si="1114"/>
        <v>34441.468342531873</v>
      </c>
      <c r="AI216" s="132">
        <f t="shared" si="1114"/>
        <v>35832.903663570156</v>
      </c>
      <c r="AJ216" s="132">
        <f t="shared" si="1114"/>
        <v>37280.552971578392</v>
      </c>
      <c r="AK216" s="132">
        <f t="shared" si="1114"/>
        <v>38786.687311630165</v>
      </c>
      <c r="AL216" s="132">
        <f t="shared" si="1114"/>
        <v>40353.669479020027</v>
      </c>
      <c r="AM216" s="109">
        <f t="shared" si="1106"/>
        <v>1.0774414377166863E-2</v>
      </c>
      <c r="AN216" s="21">
        <f t="shared" si="1097"/>
        <v>0.01</v>
      </c>
      <c r="AO216" s="103">
        <f t="shared" si="1027"/>
        <v>194230.7458839344</v>
      </c>
    </row>
    <row r="217" spans="2:41" x14ac:dyDescent="0.15">
      <c r="B217" s="10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48"/>
      <c r="AB217" s="104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06"/>
      <c r="AM217" s="106"/>
      <c r="AN217" s="106"/>
      <c r="AO217" s="103"/>
    </row>
    <row r="218" spans="2:41" x14ac:dyDescent="0.15">
      <c r="B218" s="10" t="s">
        <v>188</v>
      </c>
      <c r="C218" s="129"/>
      <c r="D218" s="129"/>
      <c r="E218" s="129"/>
      <c r="F218" s="129"/>
      <c r="G218" s="129">
        <f t="shared" ref="G218" si="1115">G76/G205</f>
        <v>8.2671957671957674E-2</v>
      </c>
      <c r="H218" s="129">
        <f t="shared" ref="H218:I218" si="1116">H76/H205</f>
        <v>0</v>
      </c>
      <c r="I218" s="129">
        <f t="shared" si="1116"/>
        <v>3.6467450195882302E-2</v>
      </c>
      <c r="J218" s="129">
        <f t="shared" ref="J218:Q218" si="1117">J76/J205</f>
        <v>3.8648813146682892E-2</v>
      </c>
      <c r="K218" s="129">
        <f t="shared" si="1117"/>
        <v>3.4174090372437481E-2</v>
      </c>
      <c r="L218" s="129">
        <f t="shared" si="1117"/>
        <v>5.4769200836616572E-2</v>
      </c>
      <c r="M218" s="129">
        <f t="shared" si="1117"/>
        <v>3.4856584468586541E-2</v>
      </c>
      <c r="N218" s="129">
        <f t="shared" si="1117"/>
        <v>7.9387351778656121E-2</v>
      </c>
      <c r="O218" s="129">
        <f t="shared" si="1117"/>
        <v>4.3418474054312206E-2</v>
      </c>
      <c r="P218" s="129">
        <f t="shared" si="1117"/>
        <v>4.6582278481012658E-2</v>
      </c>
      <c r="Q218" s="129">
        <f t="shared" si="1117"/>
        <v>4.9687609846809762E-2</v>
      </c>
      <c r="R218" s="129">
        <f t="shared" ref="R218:V218" si="1118">R76/R205</f>
        <v>4.187866927592955E-2</v>
      </c>
      <c r="S218" s="129">
        <f t="shared" si="1118"/>
        <v>4.7489366116817103E-2</v>
      </c>
      <c r="T218" s="129">
        <f t="shared" si="1118"/>
        <v>4.1411126040221916E-2</v>
      </c>
      <c r="U218" s="129">
        <f t="shared" si="1118"/>
        <v>3.7995881049963764E-2</v>
      </c>
      <c r="V218" s="129">
        <f t="shared" si="1118"/>
        <v>3.5598957011622592E-2</v>
      </c>
      <c r="W218" s="129">
        <f t="shared" ref="W218" si="1119">W76/W205</f>
        <v>5.7851589986181409E-2</v>
      </c>
      <c r="X218" s="129">
        <f t="shared" ref="X218:Z218" si="1120">X76/X205</f>
        <v>3.8698046875949049E-2</v>
      </c>
      <c r="Y218" s="129">
        <f t="shared" ref="Y218" si="1121">Y76/Y205</f>
        <v>4.6845452982637099E-2</v>
      </c>
      <c r="Z218" s="129">
        <f t="shared" si="1120"/>
        <v>5.1771062143672893E-2</v>
      </c>
      <c r="AA218" s="96">
        <f t="shared" si="1023"/>
        <v>-4.3376593854417833E-2</v>
      </c>
      <c r="AB218" s="104"/>
      <c r="AC218" s="129">
        <f t="shared" ref="AC218:AL218" si="1122">AC76/AC205</f>
        <v>1.8783251928930413</v>
      </c>
      <c r="AD218" s="129">
        <f t="shared" si="1122"/>
        <v>2.0761956668848494</v>
      </c>
      <c r="AE218" s="129">
        <f t="shared" si="1122"/>
        <v>2.2949106275639912</v>
      </c>
      <c r="AF218" s="129">
        <f t="shared" si="1122"/>
        <v>2.5366659185876492</v>
      </c>
      <c r="AG218" s="129">
        <f t="shared" si="1122"/>
        <v>2.8038887027833486</v>
      </c>
      <c r="AH218" s="129">
        <f t="shared" si="1122"/>
        <v>3.0992618302584107</v>
      </c>
      <c r="AI218" s="129">
        <f t="shared" si="1122"/>
        <v>3.4257507735459174</v>
      </c>
      <c r="AJ218" s="129">
        <f t="shared" si="1122"/>
        <v>3.7866334002093467</v>
      </c>
      <c r="AK218" s="129">
        <f t="shared" si="1122"/>
        <v>4.1855328818154049</v>
      </c>
      <c r="AL218" s="129">
        <f t="shared" si="1122"/>
        <v>4.6264540696729295</v>
      </c>
      <c r="AM218" s="109">
        <f t="shared" ref="AM218" si="1123">((AL218/J218)^(1/($AL$3-$K$1) ))-1</f>
        <v>0.17939433581052011</v>
      </c>
      <c r="AN218" s="21">
        <f t="shared" ref="AN218" si="1124">$O$1</f>
        <v>0.01</v>
      </c>
      <c r="AO218" s="103">
        <f t="shared" ref="AO218" si="1125">(AL218*(1+AM218))/($C$1-AN218)</f>
        <v>25.982922498379917</v>
      </c>
    </row>
    <row r="219" spans="2:41" x14ac:dyDescent="0.15">
      <c r="B219" s="10" t="str">
        <f>B207</f>
        <v>P/E (how many years it will take to recover invested amount)</v>
      </c>
      <c r="C219" s="122"/>
      <c r="D219" s="122"/>
      <c r="E219" s="122"/>
      <c r="F219" s="122"/>
      <c r="G219" s="147">
        <f t="shared" ref="G219" si="1126">G207</f>
        <v>12.096</v>
      </c>
      <c r="H219" s="147" t="e">
        <f t="shared" ref="H219:I219" si="1127">H207</f>
        <v>#DIV/0!</v>
      </c>
      <c r="I219" s="147">
        <f t="shared" si="1127"/>
        <v>27.421714285714284</v>
      </c>
      <c r="J219" s="147">
        <f t="shared" ref="J219:Q219" si="1128">J207</f>
        <v>25.8740157480315</v>
      </c>
      <c r="K219" s="147">
        <f t="shared" si="1128"/>
        <v>29.261934673366834</v>
      </c>
      <c r="L219" s="147">
        <f t="shared" si="1128"/>
        <v>18.258436944937834</v>
      </c>
      <c r="M219" s="147">
        <f t="shared" si="1128"/>
        <v>28.688984168865435</v>
      </c>
      <c r="N219" s="147">
        <f t="shared" si="1128"/>
        <v>12.59646502364949</v>
      </c>
      <c r="O219" s="147">
        <f t="shared" si="1128"/>
        <v>23.031670775649534</v>
      </c>
      <c r="P219" s="147">
        <f t="shared" si="1128"/>
        <v>21.467391304347828</v>
      </c>
      <c r="Q219" s="147">
        <f t="shared" si="1128"/>
        <v>20.125741670470106</v>
      </c>
      <c r="R219" s="147">
        <f t="shared" ref="R219:V219" si="1129">R207</f>
        <v>23.878504672897197</v>
      </c>
      <c r="S219" s="147">
        <f t="shared" si="1129"/>
        <v>21.057345712725287</v>
      </c>
      <c r="T219" s="147">
        <f t="shared" si="1129"/>
        <v>24.148099692549224</v>
      </c>
      <c r="U219" s="147">
        <f t="shared" si="1129"/>
        <v>26.318642241379312</v>
      </c>
      <c r="V219" s="147">
        <f t="shared" si="1129"/>
        <v>28.090710625974605</v>
      </c>
      <c r="W219" s="147">
        <f t="shared" ref="W219" si="1130">W207</f>
        <v>17.285609613130127</v>
      </c>
      <c r="X219" s="147">
        <f t="shared" ref="X219:Z219" si="1131">X207</f>
        <v>25.841097438473131</v>
      </c>
      <c r="Y219" s="147">
        <f t="shared" ref="Y219" si="1132">Y207</f>
        <v>21.34678899082569</v>
      </c>
      <c r="Z219" s="147">
        <f t="shared" si="1131"/>
        <v>19.31581000260033</v>
      </c>
      <c r="AA219" s="96">
        <f t="shared" si="1023"/>
        <v>4.5343437737103143E-2</v>
      </c>
      <c r="AB219" s="104"/>
      <c r="AC219" s="122">
        <f t="shared" ref="AC219:AL219" si="1133">AC207</f>
        <v>0.5323891750926133</v>
      </c>
      <c r="AD219" s="122">
        <f t="shared" si="1133"/>
        <v>0.48165017197074339</v>
      </c>
      <c r="AE219" s="122">
        <f t="shared" si="1133"/>
        <v>0.43574681645074909</v>
      </c>
      <c r="AF219" s="122">
        <f t="shared" si="1133"/>
        <v>0.39421825029161683</v>
      </c>
      <c r="AG219" s="122">
        <f t="shared" si="1133"/>
        <v>0.35664753704643326</v>
      </c>
      <c r="AH219" s="122">
        <f t="shared" si="1133"/>
        <v>0.32265747612444279</v>
      </c>
      <c r="AI219" s="122">
        <f t="shared" si="1133"/>
        <v>0.29190681579119149</v>
      </c>
      <c r="AJ219" s="122">
        <f t="shared" si="1133"/>
        <v>0.26408682708622233</v>
      </c>
      <c r="AK219" s="122">
        <f t="shared" si="1133"/>
        <v>0.23891820426130941</v>
      </c>
      <c r="AL219" s="122">
        <f t="shared" si="1133"/>
        <v>0.21614826062040549</v>
      </c>
      <c r="AM219" s="109">
        <f t="shared" ref="AM219" si="1134">((AL219/J219)^(1/($AL$3-$K$1) ))-1</f>
        <v>-0.15210717091263137</v>
      </c>
      <c r="AN219" s="21">
        <f t="shared" ref="AN219:AN221" si="1135">$O$1</f>
        <v>0.01</v>
      </c>
      <c r="AO219" s="147">
        <f>(AO206)/($O$2*100)</f>
        <v>1.6088319063422306E-2</v>
      </c>
    </row>
    <row r="220" spans="2:41" x14ac:dyDescent="0.15">
      <c r="B220" s="10" t="s">
        <v>291</v>
      </c>
      <c r="C220" s="147"/>
      <c r="D220" s="147"/>
      <c r="E220" s="147"/>
      <c r="F220" s="147"/>
      <c r="G220" s="147">
        <f t="shared" ref="G220" si="1136">(G207)/($O$2*100)</f>
        <v>0.80640000000000001</v>
      </c>
      <c r="H220" s="147" t="e">
        <f t="shared" ref="H220:I220" si="1137">(H207)/($O$2*100)</f>
        <v>#DIV/0!</v>
      </c>
      <c r="I220" s="147">
        <f t="shared" si="1137"/>
        <v>1.8281142857142856</v>
      </c>
      <c r="J220" s="147">
        <f t="shared" ref="J220:Q220" si="1138">(J207)/($O$2*100)</f>
        <v>1.7249343832021</v>
      </c>
      <c r="K220" s="147">
        <f t="shared" si="1138"/>
        <v>1.9507956448911223</v>
      </c>
      <c r="L220" s="147">
        <f t="shared" si="1138"/>
        <v>1.2172291296625224</v>
      </c>
      <c r="M220" s="147">
        <f t="shared" si="1138"/>
        <v>1.912598944591029</v>
      </c>
      <c r="N220" s="147">
        <f t="shared" si="1138"/>
        <v>0.83976433490996594</v>
      </c>
      <c r="O220" s="147">
        <f t="shared" si="1138"/>
        <v>1.5354447183766355</v>
      </c>
      <c r="P220" s="147">
        <f t="shared" si="1138"/>
        <v>1.4311594202898552</v>
      </c>
      <c r="Q220" s="147">
        <f t="shared" si="1138"/>
        <v>1.3417161113646736</v>
      </c>
      <c r="R220" s="147">
        <f t="shared" ref="R220:V220" si="1139">(R207)/($O$2*100)</f>
        <v>1.5919003115264798</v>
      </c>
      <c r="S220" s="147">
        <f t="shared" si="1139"/>
        <v>1.4038230475150191</v>
      </c>
      <c r="T220" s="147">
        <f t="shared" si="1139"/>
        <v>1.6098733128366149</v>
      </c>
      <c r="U220" s="147">
        <f t="shared" si="1139"/>
        <v>1.7545761494252874</v>
      </c>
      <c r="V220" s="147">
        <f t="shared" si="1139"/>
        <v>1.8727140417316404</v>
      </c>
      <c r="W220" s="147">
        <f t="shared" ref="W220" si="1140">(W207)/($O$2*100)</f>
        <v>1.1523739742086752</v>
      </c>
      <c r="X220" s="147">
        <f t="shared" ref="X220:Z220" si="1141">(X207)/($O$2*100)</f>
        <v>1.7227398292315421</v>
      </c>
      <c r="Y220" s="147">
        <f t="shared" ref="Y220" si="1142">(Y207)/($O$2*100)</f>
        <v>1.423119266055046</v>
      </c>
      <c r="Z220" s="147">
        <f t="shared" si="1141"/>
        <v>1.2877206668400221</v>
      </c>
      <c r="AA220" s="96">
        <f t="shared" si="1023"/>
        <v>4.5343437737103143E-2</v>
      </c>
      <c r="AB220" s="104"/>
      <c r="AC220" s="147">
        <f t="shared" ref="AC220:AL220" si="1143">(AC207)/($O$2*100)</f>
        <v>3.5492611672840887E-2</v>
      </c>
      <c r="AD220" s="147">
        <f t="shared" si="1143"/>
        <v>3.2110011464716225E-2</v>
      </c>
      <c r="AE220" s="147">
        <f t="shared" si="1143"/>
        <v>2.9049787763383274E-2</v>
      </c>
      <c r="AF220" s="147">
        <f t="shared" si="1143"/>
        <v>2.6281216686107788E-2</v>
      </c>
      <c r="AG220" s="147">
        <f t="shared" si="1143"/>
        <v>2.3776502469762217E-2</v>
      </c>
      <c r="AH220" s="147">
        <f t="shared" si="1143"/>
        <v>2.1510498408296184E-2</v>
      </c>
      <c r="AI220" s="147">
        <f t="shared" si="1143"/>
        <v>1.9460454386079431E-2</v>
      </c>
      <c r="AJ220" s="147">
        <f t="shared" si="1143"/>
        <v>1.7605788472414823E-2</v>
      </c>
      <c r="AK220" s="147">
        <f t="shared" si="1143"/>
        <v>1.5927880284087294E-2</v>
      </c>
      <c r="AL220" s="147">
        <f t="shared" si="1143"/>
        <v>1.4409884041360366E-2</v>
      </c>
      <c r="AM220" s="109">
        <f t="shared" si="1106"/>
        <v>-0.15210717091263137</v>
      </c>
      <c r="AN220" s="21">
        <f t="shared" si="1135"/>
        <v>0.01</v>
      </c>
      <c r="AO220" s="147">
        <f>(AO207)/($O$2*100)</f>
        <v>5.8181130222142691E-2</v>
      </c>
    </row>
    <row r="221" spans="2:41" x14ac:dyDescent="0.15">
      <c r="B221" s="10" t="s">
        <v>292</v>
      </c>
      <c r="C221" s="122"/>
      <c r="D221" s="122"/>
      <c r="E221" s="122"/>
      <c r="F221" s="122"/>
      <c r="G221" s="122">
        <f t="shared" ref="G221" si="1144">G220-1</f>
        <v>-0.19359999999999999</v>
      </c>
      <c r="H221" s="122" t="e">
        <f t="shared" ref="H221:I221" si="1145">H220-1</f>
        <v>#DIV/0!</v>
      </c>
      <c r="I221" s="122">
        <f t="shared" si="1145"/>
        <v>0.82811428571428558</v>
      </c>
      <c r="J221" s="122">
        <f t="shared" ref="J221:Q221" si="1146">J220-1</f>
        <v>0.72493438320210002</v>
      </c>
      <c r="K221" s="122">
        <f t="shared" si="1146"/>
        <v>0.95079564489112234</v>
      </c>
      <c r="L221" s="122">
        <f t="shared" si="1146"/>
        <v>0.21722912966252239</v>
      </c>
      <c r="M221" s="122">
        <f t="shared" si="1146"/>
        <v>0.91259894459102897</v>
      </c>
      <c r="N221" s="122">
        <f t="shared" si="1146"/>
        <v>-0.16023566509003406</v>
      </c>
      <c r="O221" s="122">
        <f t="shared" si="1146"/>
        <v>0.53544471837663554</v>
      </c>
      <c r="P221" s="122">
        <f t="shared" si="1146"/>
        <v>0.43115942028985521</v>
      </c>
      <c r="Q221" s="122">
        <f t="shared" si="1146"/>
        <v>0.34171611136467361</v>
      </c>
      <c r="R221" s="122">
        <f t="shared" ref="R221:V221" si="1147">R220-1</f>
        <v>0.59190031152647982</v>
      </c>
      <c r="S221" s="122">
        <f t="shared" si="1147"/>
        <v>0.40382304751501907</v>
      </c>
      <c r="T221" s="122">
        <f t="shared" si="1147"/>
        <v>0.60987331283661494</v>
      </c>
      <c r="U221" s="122">
        <f t="shared" si="1147"/>
        <v>0.75457614942528739</v>
      </c>
      <c r="V221" s="122">
        <f t="shared" si="1147"/>
        <v>0.87271404173164036</v>
      </c>
      <c r="W221" s="122">
        <f t="shared" ref="W221" si="1148">W220-1</f>
        <v>0.15237397420867516</v>
      </c>
      <c r="X221" s="122">
        <f t="shared" ref="X221:Z221" si="1149">X220-1</f>
        <v>0.72273982923154212</v>
      </c>
      <c r="Y221" s="122">
        <f t="shared" ref="Y221" si="1150">Y220-1</f>
        <v>0.42311926605504602</v>
      </c>
      <c r="Z221" s="122">
        <f t="shared" si="1149"/>
        <v>0.28772066684002207</v>
      </c>
      <c r="AA221" s="96">
        <f t="shared" si="1023"/>
        <v>-2.0824785400597836</v>
      </c>
      <c r="AB221" s="104"/>
      <c r="AC221" s="122">
        <f t="shared" ref="AC221:AL221" si="1151">AC220-1</f>
        <v>-0.9645073883271591</v>
      </c>
      <c r="AD221" s="122">
        <f t="shared" si="1151"/>
        <v>-0.96788998853528374</v>
      </c>
      <c r="AE221" s="122">
        <f t="shared" si="1151"/>
        <v>-0.97095021223661671</v>
      </c>
      <c r="AF221" s="122">
        <f t="shared" si="1151"/>
        <v>-0.97371878331389217</v>
      </c>
      <c r="AG221" s="122">
        <f t="shared" si="1151"/>
        <v>-0.97622349753023774</v>
      </c>
      <c r="AH221" s="122">
        <f t="shared" si="1151"/>
        <v>-0.97848950159170378</v>
      </c>
      <c r="AI221" s="122">
        <f t="shared" si="1151"/>
        <v>-0.98053954561392054</v>
      </c>
      <c r="AJ221" s="122">
        <f t="shared" si="1151"/>
        <v>-0.98239421152758521</v>
      </c>
      <c r="AK221" s="122">
        <f t="shared" si="1151"/>
        <v>-0.98407211971591269</v>
      </c>
      <c r="AL221" s="122">
        <f t="shared" si="1151"/>
        <v>-0.98559011595863966</v>
      </c>
      <c r="AM221" s="109">
        <f t="shared" ref="AM221" si="1152">((AL221/J221)^(1/($AL$3-$K$1) ))-1</f>
        <v>-2.0106479947794114</v>
      </c>
      <c r="AN221" s="21">
        <f t="shared" si="1135"/>
        <v>0.01</v>
      </c>
      <c r="AO221" s="147" t="e">
        <f>(AO208)/($O$2*100)</f>
        <v>#DIV/0!</v>
      </c>
    </row>
    <row r="222" spans="2:41" x14ac:dyDescent="0.15">
      <c r="B222" s="10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48"/>
      <c r="AB222" s="104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06"/>
      <c r="AM222" s="108"/>
      <c r="AN222" s="10"/>
      <c r="AO222" s="103"/>
    </row>
    <row r="223" spans="2:41" x14ac:dyDescent="0.15">
      <c r="B223" s="10" t="s">
        <v>298</v>
      </c>
      <c r="C223" s="122"/>
      <c r="D223" s="122"/>
      <c r="E223" s="122"/>
      <c r="F223" s="122"/>
      <c r="G223" s="122">
        <f t="shared" ref="G223:Z223" si="1153">1/G224</f>
        <v>6.159675663285772E-2</v>
      </c>
      <c r="H223" s="122">
        <f t="shared" si="1153"/>
        <v>4.2800687513272456E-2</v>
      </c>
      <c r="I223" s="122">
        <f t="shared" si="1153"/>
        <v>3.008213696023284E-2</v>
      </c>
      <c r="J223" s="122">
        <f t="shared" si="1153"/>
        <v>2.44062620620757E-2</v>
      </c>
      <c r="K223" s="122">
        <f t="shared" si="1153"/>
        <v>1.7493293769511808E-2</v>
      </c>
      <c r="L223" s="122">
        <f t="shared" si="1153"/>
        <v>2.3783017372032908E-2</v>
      </c>
      <c r="M223" s="122">
        <f t="shared" si="1153"/>
        <v>1.2045304711443463E-2</v>
      </c>
      <c r="N223" s="122">
        <f t="shared" si="1153"/>
        <v>2.116688546110929E-2</v>
      </c>
      <c r="O223" s="122">
        <f t="shared" si="1153"/>
        <v>4.4862377663237411E-2</v>
      </c>
      <c r="P223" s="122">
        <f t="shared" si="1153"/>
        <v>3.7253718411552346E-2</v>
      </c>
      <c r="Q223" s="122">
        <f t="shared" si="1153"/>
        <v>3.1549558275366145E-2</v>
      </c>
      <c r="R223" s="122">
        <f t="shared" si="1153"/>
        <v>2.2782362042289842E-2</v>
      </c>
      <c r="S223" s="122">
        <f t="shared" si="1153"/>
        <v>2.1740031752773312E-2</v>
      </c>
      <c r="T223" s="122">
        <f t="shared" si="1153"/>
        <v>1.6146722612496684E-2</v>
      </c>
      <c r="U223" s="122">
        <f t="shared" si="1153"/>
        <v>1.2345479325143276E-2</v>
      </c>
      <c r="V223" s="122">
        <f t="shared" si="1153"/>
        <v>1.0044682488015624E-2</v>
      </c>
      <c r="W223" s="122">
        <f t="shared" si="1153"/>
        <v>2.7042478521742415E-2</v>
      </c>
      <c r="X223" s="122">
        <f t="shared" si="1153"/>
        <v>1.5584721557710988E-2</v>
      </c>
      <c r="Y223" s="122">
        <f t="shared" si="1153"/>
        <v>1.5839165991306269E-2</v>
      </c>
      <c r="Z223" s="122">
        <f t="shared" si="1153"/>
        <v>1.4470835305916852E-2</v>
      </c>
      <c r="AA223" s="96">
        <f t="shared" si="1023"/>
        <v>-9.1036948519857108E-2</v>
      </c>
      <c r="AB223" s="104"/>
      <c r="AC223" s="122">
        <f t="shared" ref="AC223:AL223" si="1154">1/AC224</f>
        <v>0.4656714801444044</v>
      </c>
      <c r="AD223" s="122">
        <f t="shared" si="1154"/>
        <v>0.45654066680823957</v>
      </c>
      <c r="AE223" s="122">
        <f t="shared" si="1154"/>
        <v>0.44758888902768584</v>
      </c>
      <c r="AF223" s="122">
        <f t="shared" si="1154"/>
        <v>0.43881263630165274</v>
      </c>
      <c r="AG223" s="122">
        <f t="shared" si="1154"/>
        <v>0.43020846696240467</v>
      </c>
      <c r="AH223" s="122">
        <f t="shared" si="1154"/>
        <v>0.42177300682588692</v>
      </c>
      <c r="AI223" s="122">
        <f t="shared" si="1154"/>
        <v>0.41350294786851655</v>
      </c>
      <c r="AJ223" s="122">
        <f t="shared" si="1154"/>
        <v>0.40539504692991823</v>
      </c>
      <c r="AK223" s="122">
        <f t="shared" si="1154"/>
        <v>0.39744612444109634</v>
      </c>
      <c r="AL223" s="122">
        <f t="shared" si="1154"/>
        <v>0.38965306317754539</v>
      </c>
      <c r="AM223" s="109">
        <f t="shared" ref="AM223" si="1155">((AL223/J223)^(1/($AL$3-$K$1) ))-1</f>
        <v>0.10024361271792936</v>
      </c>
      <c r="AN223" s="21">
        <f t="shared" ref="AN223:AN226" si="1156">$O$1</f>
        <v>0.01</v>
      </c>
      <c r="AO223" s="147">
        <f>(AO210)/($O$2*100)</f>
        <v>9.2459676340102305E-3</v>
      </c>
    </row>
    <row r="224" spans="2:41" x14ac:dyDescent="0.15">
      <c r="B224" s="10" t="s">
        <v>305</v>
      </c>
      <c r="C224" s="10"/>
      <c r="D224" s="10"/>
      <c r="E224" s="10"/>
      <c r="F224" s="10"/>
      <c r="G224" s="106">
        <f t="shared" ref="G224:Q224" si="1157">G205/$T$174</f>
        <v>16.234621020071167</v>
      </c>
      <c r="H224" s="106">
        <f t="shared" si="1157"/>
        <v>23.364110674388137</v>
      </c>
      <c r="I224" s="106">
        <f t="shared" si="1157"/>
        <v>33.242319231574292</v>
      </c>
      <c r="J224" s="106">
        <f t="shared" si="1157"/>
        <v>40.973091145893896</v>
      </c>
      <c r="K224" s="106">
        <f t="shared" si="1157"/>
        <v>57.164763433107737</v>
      </c>
      <c r="L224" s="106">
        <f t="shared" si="1157"/>
        <v>42.046809467327179</v>
      </c>
      <c r="M224" s="106">
        <f t="shared" si="1157"/>
        <v>83.019900613221083</v>
      </c>
      <c r="N224" s="106">
        <f t="shared" si="1157"/>
        <v>47.243606143064241</v>
      </c>
      <c r="O224" s="106">
        <f t="shared" si="1157"/>
        <v>22.290392352954857</v>
      </c>
      <c r="P224" s="106">
        <f t="shared" si="1157"/>
        <v>26.842958035831955</v>
      </c>
      <c r="Q224" s="106">
        <f t="shared" si="1157"/>
        <v>31.696164848710374</v>
      </c>
      <c r="R224" s="106">
        <f t="shared" ref="R224:V224" si="1158">R205/$T$174</f>
        <v>43.893604980192414</v>
      </c>
      <c r="S224" s="106">
        <f t="shared" si="1158"/>
        <v>45.99809289020164</v>
      </c>
      <c r="T224" s="106">
        <f t="shared" si="1158"/>
        <v>61.93207278027149</v>
      </c>
      <c r="U224" s="106">
        <f t="shared" si="1158"/>
        <v>81.001310168926508</v>
      </c>
      <c r="V224" s="106">
        <f t="shared" si="1158"/>
        <v>99.555162763293566</v>
      </c>
      <c r="W224" s="106">
        <f t="shared" ref="W224" si="1159">W205/$T$174</f>
        <v>36.978858990162102</v>
      </c>
      <c r="X224" s="106">
        <f t="shared" ref="X224:Z224" si="1160">X205/$T$174</f>
        <v>64.165406888852715</v>
      </c>
      <c r="Y224" s="106">
        <f t="shared" ref="Y224" si="1161">Y205/$T$174</f>
        <v>63.134637300276765</v>
      </c>
      <c r="Z224" s="106">
        <f t="shared" si="1160"/>
        <v>69.104511167445793</v>
      </c>
      <c r="AA224" s="96">
        <f t="shared" si="1023"/>
        <v>0.1001547294707017</v>
      </c>
      <c r="AB224" s="104"/>
      <c r="AC224" s="106">
        <f t="shared" ref="AC224:AL224" si="1162">AC205/$T$174</f>
        <v>2.1474366428665563</v>
      </c>
      <c r="AD224" s="106">
        <f t="shared" si="1162"/>
        <v>2.1903853757238876</v>
      </c>
      <c r="AE224" s="106">
        <f t="shared" si="1162"/>
        <v>2.2341930832383654</v>
      </c>
      <c r="AF224" s="106">
        <f t="shared" si="1162"/>
        <v>2.278876944903133</v>
      </c>
      <c r="AG224" s="106">
        <f t="shared" si="1162"/>
        <v>2.3244544838011953</v>
      </c>
      <c r="AH224" s="106">
        <f t="shared" si="1162"/>
        <v>2.3709435734772195</v>
      </c>
      <c r="AI224" s="106">
        <f t="shared" si="1162"/>
        <v>2.418362444946764</v>
      </c>
      <c r="AJ224" s="106">
        <f t="shared" si="1162"/>
        <v>2.4667296938456991</v>
      </c>
      <c r="AK224" s="106">
        <f t="shared" si="1162"/>
        <v>2.5160642877226129</v>
      </c>
      <c r="AL224" s="106">
        <f t="shared" si="1162"/>
        <v>2.5663855734770653</v>
      </c>
      <c r="AM224" s="109">
        <f t="shared" ref="AM224:AM226" si="1163">((AL224/J224)^(1/($AL$3-$K$1) ))-1</f>
        <v>-9.1110379155301624E-2</v>
      </c>
      <c r="AN224" s="21">
        <f t="shared" si="1156"/>
        <v>0.01</v>
      </c>
      <c r="AO224" s="147">
        <f>(AO210)/($O$2*100)</f>
        <v>9.2459676340102305E-3</v>
      </c>
    </row>
    <row r="225" spans="2:41" x14ac:dyDescent="0.15">
      <c r="B225" s="10" t="s">
        <v>291</v>
      </c>
      <c r="C225" s="10"/>
      <c r="D225" s="10"/>
      <c r="E225" s="10"/>
      <c r="F225" s="10"/>
      <c r="G225" s="147">
        <f t="shared" ref="G225" si="1164">(G224)/($O$2*100)</f>
        <v>1.0823080680047446</v>
      </c>
      <c r="H225" s="147">
        <f t="shared" ref="H225:I225" si="1165">(H224)/($O$2*100)</f>
        <v>1.5576073782925424</v>
      </c>
      <c r="I225" s="147">
        <f t="shared" si="1165"/>
        <v>2.2161546154382861</v>
      </c>
      <c r="J225" s="147">
        <f t="shared" ref="J225:Q225" si="1166">(J224)/($O$2*100)</f>
        <v>2.7315394097262597</v>
      </c>
      <c r="K225" s="147">
        <f t="shared" si="1166"/>
        <v>3.8109842288738491</v>
      </c>
      <c r="L225" s="147">
        <f t="shared" si="1166"/>
        <v>2.8031206311551453</v>
      </c>
      <c r="M225" s="147">
        <f t="shared" si="1166"/>
        <v>5.5346600408814055</v>
      </c>
      <c r="N225" s="147">
        <f t="shared" si="1166"/>
        <v>3.1495737428709494</v>
      </c>
      <c r="O225" s="147">
        <f t="shared" si="1166"/>
        <v>1.4860261568636572</v>
      </c>
      <c r="P225" s="147">
        <f t="shared" si="1166"/>
        <v>1.7895305357221303</v>
      </c>
      <c r="Q225" s="147">
        <f t="shared" si="1166"/>
        <v>2.1130776565806917</v>
      </c>
      <c r="R225" s="147">
        <f t="shared" ref="R225:V225" si="1167">(R224)/($O$2*100)</f>
        <v>2.9262403320128274</v>
      </c>
      <c r="S225" s="147">
        <f t="shared" si="1167"/>
        <v>3.0665395260134427</v>
      </c>
      <c r="T225" s="147">
        <f t="shared" si="1167"/>
        <v>4.1288048520180993</v>
      </c>
      <c r="U225" s="147">
        <f t="shared" si="1167"/>
        <v>5.400087344595101</v>
      </c>
      <c r="V225" s="147">
        <f t="shared" si="1167"/>
        <v>6.637010850886238</v>
      </c>
      <c r="W225" s="147">
        <f t="shared" ref="W225" si="1168">(W224)/($O$2*100)</f>
        <v>2.465257266010807</v>
      </c>
      <c r="X225" s="147">
        <f t="shared" ref="X225:Z225" si="1169">(X224)/($O$2*100)</f>
        <v>4.2776937925901812</v>
      </c>
      <c r="Y225" s="147">
        <f t="shared" ref="Y225" si="1170">(Y224)/($O$2*100)</f>
        <v>4.2089758200184511</v>
      </c>
      <c r="Z225" s="147">
        <f t="shared" si="1169"/>
        <v>4.606967411163053</v>
      </c>
      <c r="AA225" s="96">
        <f t="shared" si="1023"/>
        <v>0.1001547294707017</v>
      </c>
      <c r="AB225" s="104"/>
      <c r="AC225" s="147">
        <f t="shared" ref="AC225:AL225" si="1171">(AC224)/($O$2*100)</f>
        <v>0.14316244285777041</v>
      </c>
      <c r="AD225" s="147">
        <f t="shared" si="1171"/>
        <v>0.14602569171492583</v>
      </c>
      <c r="AE225" s="147">
        <f t="shared" si="1171"/>
        <v>0.14894620554922436</v>
      </c>
      <c r="AF225" s="147">
        <f t="shared" si="1171"/>
        <v>0.15192512966020885</v>
      </c>
      <c r="AG225" s="147">
        <f t="shared" si="1171"/>
        <v>0.15496363225341303</v>
      </c>
      <c r="AH225" s="147">
        <f t="shared" si="1171"/>
        <v>0.15806290489848129</v>
      </c>
      <c r="AI225" s="147">
        <f t="shared" si="1171"/>
        <v>0.16122416299645093</v>
      </c>
      <c r="AJ225" s="147">
        <f t="shared" si="1171"/>
        <v>0.16444864625637995</v>
      </c>
      <c r="AK225" s="147">
        <f t="shared" si="1171"/>
        <v>0.16773761918150754</v>
      </c>
      <c r="AL225" s="147">
        <f t="shared" si="1171"/>
        <v>0.17109237156513768</v>
      </c>
      <c r="AM225" s="109">
        <f t="shared" si="1163"/>
        <v>-9.1110379155301624E-2</v>
      </c>
      <c r="AN225" s="21">
        <f t="shared" si="1156"/>
        <v>0.01</v>
      </c>
      <c r="AO225" s="147" t="e">
        <f>(AO211)/($O$2*100)</f>
        <v>#DIV/0!</v>
      </c>
    </row>
    <row r="226" spans="2:41" x14ac:dyDescent="0.15">
      <c r="B226" s="10" t="s">
        <v>293</v>
      </c>
      <c r="C226" s="10"/>
      <c r="D226" s="10"/>
      <c r="E226" s="10"/>
      <c r="F226" s="10"/>
      <c r="G226" s="122">
        <f t="shared" ref="G226" si="1172">G225-1</f>
        <v>8.230806800474455E-2</v>
      </c>
      <c r="H226" s="122">
        <f t="shared" ref="H226:I226" si="1173">H225-1</f>
        <v>0.55760737829254237</v>
      </c>
      <c r="I226" s="122">
        <f t="shared" si="1173"/>
        <v>1.2161546154382861</v>
      </c>
      <c r="J226" s="122">
        <f t="shared" ref="J226:Q226" si="1174">J225-1</f>
        <v>1.7315394097262597</v>
      </c>
      <c r="K226" s="122">
        <f t="shared" si="1174"/>
        <v>2.8109842288738491</v>
      </c>
      <c r="L226" s="122">
        <f t="shared" si="1174"/>
        <v>1.8031206311551453</v>
      </c>
      <c r="M226" s="122">
        <f t="shared" si="1174"/>
        <v>4.5346600408814055</v>
      </c>
      <c r="N226" s="122">
        <f t="shared" si="1174"/>
        <v>2.1495737428709494</v>
      </c>
      <c r="O226" s="122">
        <f t="shared" si="1174"/>
        <v>0.48602615686365724</v>
      </c>
      <c r="P226" s="122">
        <f t="shared" si="1174"/>
        <v>0.78953053572213028</v>
      </c>
      <c r="Q226" s="122">
        <f t="shared" si="1174"/>
        <v>1.1130776565806917</v>
      </c>
      <c r="R226" s="122">
        <f t="shared" ref="R226:V226" si="1175">R225-1</f>
        <v>1.9262403320128274</v>
      </c>
      <c r="S226" s="122">
        <f t="shared" si="1175"/>
        <v>2.0665395260134427</v>
      </c>
      <c r="T226" s="122">
        <f t="shared" si="1175"/>
        <v>3.1288048520180993</v>
      </c>
      <c r="U226" s="122">
        <f t="shared" si="1175"/>
        <v>4.400087344595101</v>
      </c>
      <c r="V226" s="122">
        <f t="shared" si="1175"/>
        <v>5.637010850886238</v>
      </c>
      <c r="W226" s="122">
        <f t="shared" ref="W226" si="1176">W225-1</f>
        <v>1.465257266010807</v>
      </c>
      <c r="X226" s="122">
        <f t="shared" ref="X226:Z226" si="1177">X225-1</f>
        <v>3.2776937925901812</v>
      </c>
      <c r="Y226" s="122">
        <f t="shared" ref="Y226" si="1178">Y225-1</f>
        <v>3.2089758200184511</v>
      </c>
      <c r="Z226" s="122">
        <f t="shared" si="1177"/>
        <v>3.606967411163053</v>
      </c>
      <c r="AA226" s="96">
        <f t="shared" si="1023"/>
        <v>0.24913928354304637</v>
      </c>
      <c r="AB226" s="104"/>
      <c r="AC226" s="122">
        <f t="shared" ref="AC226:AL226" si="1179">AC225-1</f>
        <v>-0.85683755714222953</v>
      </c>
      <c r="AD226" s="122">
        <f t="shared" si="1179"/>
        <v>-0.85397430828507415</v>
      </c>
      <c r="AE226" s="122">
        <f t="shared" si="1179"/>
        <v>-0.85105379445077567</v>
      </c>
      <c r="AF226" s="122">
        <f t="shared" si="1179"/>
        <v>-0.84807487033979112</v>
      </c>
      <c r="AG226" s="122">
        <f t="shared" si="1179"/>
        <v>-0.84503636774658697</v>
      </c>
      <c r="AH226" s="122">
        <f t="shared" si="1179"/>
        <v>-0.84193709510151871</v>
      </c>
      <c r="AI226" s="122">
        <f t="shared" si="1179"/>
        <v>-0.83877583700354907</v>
      </c>
      <c r="AJ226" s="122">
        <f t="shared" si="1179"/>
        <v>-0.83555135374362011</v>
      </c>
      <c r="AK226" s="122">
        <f t="shared" si="1179"/>
        <v>-0.83226238081849246</v>
      </c>
      <c r="AL226" s="122">
        <f t="shared" si="1179"/>
        <v>-0.82890762843486232</v>
      </c>
      <c r="AM226" s="109">
        <f t="shared" si="1163"/>
        <v>-1.9749179363973921</v>
      </c>
      <c r="AN226" s="21">
        <f t="shared" si="1156"/>
        <v>0.01</v>
      </c>
      <c r="AO226" s="147" t="e">
        <f>(AO212)/($O$2*100)</f>
        <v>#DIV/0!</v>
      </c>
    </row>
    <row r="227" spans="2:41" x14ac:dyDescent="0.15">
      <c r="B227" s="10"/>
      <c r="C227" s="10"/>
      <c r="D227" s="10"/>
      <c r="E227" s="10"/>
      <c r="F227" s="10"/>
      <c r="G227" s="106"/>
      <c r="H227" s="106"/>
      <c r="I227" s="106"/>
      <c r="J227" s="106"/>
      <c r="K227" s="106"/>
      <c r="L227" s="106"/>
      <c r="M227" s="106"/>
      <c r="N227" s="163"/>
      <c r="O227" s="164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48"/>
      <c r="AB227" s="104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8"/>
      <c r="AN227" s="10"/>
      <c r="AO227" s="10"/>
    </row>
    <row r="228" spans="2:41" x14ac:dyDescent="0.15">
      <c r="B228" s="10" t="s">
        <v>298</v>
      </c>
      <c r="C228" s="10"/>
      <c r="D228" s="10"/>
      <c r="E228" s="10"/>
      <c r="F228" s="10"/>
      <c r="G228" s="122">
        <f t="shared" ref="G228:Z228" si="1180">1/G229</f>
        <v>0.12687847401295055</v>
      </c>
      <c r="H228" s="122">
        <f t="shared" si="1180"/>
        <v>8.8161880839881065E-2</v>
      </c>
      <c r="I228" s="122">
        <f t="shared" si="1180"/>
        <v>6.196390591330142E-2</v>
      </c>
      <c r="J228" s="122">
        <f t="shared" si="1180"/>
        <v>5.0272602910791719E-2</v>
      </c>
      <c r="K228" s="122">
        <f t="shared" si="1180"/>
        <v>3.6033105316976184E-2</v>
      </c>
      <c r="L228" s="122">
        <f t="shared" si="1180"/>
        <v>4.8988828577012568E-2</v>
      </c>
      <c r="M228" s="122">
        <f t="shared" si="1180"/>
        <v>2.4811207023743044E-2</v>
      </c>
      <c r="N228" s="122">
        <f t="shared" si="1180"/>
        <v>4.3600057433541187E-2</v>
      </c>
      <c r="O228" s="122">
        <f t="shared" si="1180"/>
        <v>9.2408599570125829E-2</v>
      </c>
      <c r="P228" s="122">
        <f t="shared" si="1180"/>
        <v>7.6736101083032485E-2</v>
      </c>
      <c r="Q228" s="122">
        <f t="shared" si="1180"/>
        <v>6.4986535470047846E-2</v>
      </c>
      <c r="R228" s="122">
        <f t="shared" si="1180"/>
        <v>4.6927654771913213E-2</v>
      </c>
      <c r="S228" s="122">
        <f t="shared" si="1180"/>
        <v>4.4780637886923713E-2</v>
      </c>
      <c r="T228" s="122">
        <f t="shared" si="1180"/>
        <v>3.3259405809220044E-2</v>
      </c>
      <c r="U228" s="122">
        <f t="shared" si="1180"/>
        <v>2.5429513879583938E-2</v>
      </c>
      <c r="V228" s="122">
        <f t="shared" si="1180"/>
        <v>2.06902774706192E-2</v>
      </c>
      <c r="W228" s="122">
        <f t="shared" si="1180"/>
        <v>5.5702744688612436E-2</v>
      </c>
      <c r="X228" s="122">
        <f t="shared" si="1180"/>
        <v>3.2101782581589897E-2</v>
      </c>
      <c r="Y228" s="122">
        <f t="shared" si="1180"/>
        <v>3.2625893317615853E-2</v>
      </c>
      <c r="Z228" s="122">
        <f t="shared" si="1180"/>
        <v>2.9807373012365013E-2</v>
      </c>
      <c r="AA228" s="96">
        <f t="shared" si="1023"/>
        <v>-9.1036948519857108E-2</v>
      </c>
      <c r="AB228" s="104"/>
      <c r="AC228" s="122">
        <f t="shared" ref="AC228:AL228" si="1181">1/AC229</f>
        <v>0.95920126353790602</v>
      </c>
      <c r="AD228" s="122">
        <f t="shared" si="1181"/>
        <v>0.94039339562539814</v>
      </c>
      <c r="AE228" s="122">
        <f t="shared" si="1181"/>
        <v>0.92195430943666479</v>
      </c>
      <c r="AF228" s="122">
        <f t="shared" si="1181"/>
        <v>0.90387677395751442</v>
      </c>
      <c r="AG228" s="122">
        <f t="shared" si="1181"/>
        <v>0.88615369995834747</v>
      </c>
      <c r="AH228" s="122">
        <f t="shared" si="1181"/>
        <v>0.86877813721406616</v>
      </c>
      <c r="AI228" s="122">
        <f t="shared" si="1181"/>
        <v>0.85174327177849629</v>
      </c>
      <c r="AJ228" s="122">
        <f t="shared" si="1181"/>
        <v>0.8350424233122512</v>
      </c>
      <c r="AK228" s="122">
        <f t="shared" si="1181"/>
        <v>0.81866904246299144</v>
      </c>
      <c r="AL228" s="122">
        <f t="shared" si="1181"/>
        <v>0.80261670829705045</v>
      </c>
      <c r="AM228" s="109">
        <f t="shared" ref="AM228" si="1182">((AL228/J228)^(1/($AL$3-$K$1) ))-1</f>
        <v>0.10024361271792936</v>
      </c>
      <c r="AN228" s="21">
        <f t="shared" ref="AN228" si="1183">$O$1</f>
        <v>0.01</v>
      </c>
      <c r="AO228" s="147">
        <f>(AO214)/($O$2*100)</f>
        <v>0</v>
      </c>
    </row>
    <row r="229" spans="2:41" x14ac:dyDescent="0.15">
      <c r="B229" s="10" t="s">
        <v>270</v>
      </c>
      <c r="C229" s="10"/>
      <c r="D229" s="10"/>
      <c r="E229" s="10"/>
      <c r="F229" s="10"/>
      <c r="G229" s="106">
        <f t="shared" ref="G229" si="1184">G205/$U$174</f>
        <v>7.8815575910688329</v>
      </c>
      <c r="H229" s="106">
        <f t="shared" ref="H229:Q229" si="1185">H205/$U$174</f>
        <v>11.342770713072607</v>
      </c>
      <c r="I229" s="106">
        <f t="shared" si="1185"/>
        <v>16.138427448379041</v>
      </c>
      <c r="J229" s="106">
        <f t="shared" si="1185"/>
        <v>19.891550110792771</v>
      </c>
      <c r="K229" s="106">
        <f t="shared" si="1185"/>
        <v>27.75225702040375</v>
      </c>
      <c r="L229" s="106">
        <f t="shared" si="1185"/>
        <v>20.412817147239121</v>
      </c>
      <c r="M229" s="106">
        <f t="shared" si="1185"/>
        <v>40.304367258031888</v>
      </c>
      <c r="N229" s="106">
        <f t="shared" si="1185"/>
        <v>22.935749603639461</v>
      </c>
      <c r="O229" s="106">
        <f t="shared" si="1185"/>
        <v>10.821503676626255</v>
      </c>
      <c r="P229" s="106">
        <f t="shared" si="1185"/>
        <v>13.031675911158786</v>
      </c>
      <c r="Q229" s="106">
        <f t="shared" si="1185"/>
        <v>15.387802915896293</v>
      </c>
      <c r="R229" s="106">
        <f t="shared" ref="R229:V229" si="1186">R205/$U$174</f>
        <v>21.309396449926844</v>
      </c>
      <c r="S229" s="106">
        <f t="shared" si="1186"/>
        <v>22.331079841361696</v>
      </c>
      <c r="T229" s="106">
        <f t="shared" si="1186"/>
        <v>30.066682662225549</v>
      </c>
      <c r="U229" s="106">
        <f t="shared" si="1186"/>
        <v>39.32438522951275</v>
      </c>
      <c r="V229" s="106">
        <f t="shared" si="1186"/>
        <v>48.331879619305703</v>
      </c>
      <c r="W229" s="106">
        <f t="shared" ref="W229" si="1187">W205/$U$174</f>
        <v>17.952436735212341</v>
      </c>
      <c r="X229" s="106">
        <f t="shared" ref="X229:Z229" si="1188">X205/$U$174</f>
        <v>31.150918098033959</v>
      </c>
      <c r="Y229" s="106">
        <f t="shared" ref="Y229" si="1189">Y205/$U$174</f>
        <v>30.650501743045464</v>
      </c>
      <c r="Z229" s="106">
        <f t="shared" si="1188"/>
        <v>33.548746465687174</v>
      </c>
      <c r="AA229" s="96">
        <f t="shared" si="1023"/>
        <v>0.1001547294707017</v>
      </c>
      <c r="AB229" s="104"/>
      <c r="AC229" s="106">
        <f t="shared" ref="AC229:AL229" si="1190">AC205/$U$174</f>
        <v>1.0425340728927028</v>
      </c>
      <c r="AD229" s="106">
        <f t="shared" si="1190"/>
        <v>1.0633847543505568</v>
      </c>
      <c r="AE229" s="106">
        <f t="shared" si="1190"/>
        <v>1.084652449437568</v>
      </c>
      <c r="AF229" s="106">
        <f t="shared" si="1190"/>
        <v>1.1063454984263195</v>
      </c>
      <c r="AG229" s="106">
        <f t="shared" si="1190"/>
        <v>1.1284724083948459</v>
      </c>
      <c r="AH229" s="106">
        <f t="shared" si="1190"/>
        <v>1.1510418565627427</v>
      </c>
      <c r="AI229" s="106">
        <f t="shared" si="1190"/>
        <v>1.1740626936939975</v>
      </c>
      <c r="AJ229" s="106">
        <f t="shared" si="1190"/>
        <v>1.1975439475678775</v>
      </c>
      <c r="AK229" s="106">
        <f t="shared" si="1190"/>
        <v>1.2214948265192351</v>
      </c>
      <c r="AL229" s="106">
        <f t="shared" si="1190"/>
        <v>1.2459247230496198</v>
      </c>
      <c r="AM229" s="109">
        <f t="shared" ref="AM229:AM231" si="1191">((AL229/J229)^(1/($AL$3-$K$1) ))-1</f>
        <v>-9.1110379155301624E-2</v>
      </c>
      <c r="AN229" s="21">
        <f t="shared" ref="AN229:AN231" si="1192">$O$1</f>
        <v>0.01</v>
      </c>
      <c r="AO229" s="147">
        <f>(AO214)/($O$2*100)</f>
        <v>0</v>
      </c>
    </row>
    <row r="230" spans="2:41" x14ac:dyDescent="0.15">
      <c r="B230" s="10" t="s">
        <v>291</v>
      </c>
      <c r="C230" s="10"/>
      <c r="D230" s="10"/>
      <c r="E230" s="10"/>
      <c r="F230" s="10"/>
      <c r="G230" s="147">
        <f t="shared" ref="G230" si="1193">(G229)/($O$2*100)</f>
        <v>0.52543717273792223</v>
      </c>
      <c r="H230" s="147">
        <f t="shared" ref="H230:I230" si="1194">(H229)/($O$2*100)</f>
        <v>0.75618471420484046</v>
      </c>
      <c r="I230" s="147">
        <f t="shared" si="1194"/>
        <v>1.0758951632252693</v>
      </c>
      <c r="J230" s="147">
        <f t="shared" ref="J230:Q230" si="1195">(J229)/($O$2*100)</f>
        <v>1.326103340719518</v>
      </c>
      <c r="K230" s="147">
        <f t="shared" si="1195"/>
        <v>1.8501504680269167</v>
      </c>
      <c r="L230" s="147">
        <f t="shared" si="1195"/>
        <v>1.360854476482608</v>
      </c>
      <c r="M230" s="147">
        <f t="shared" si="1195"/>
        <v>2.686957817202126</v>
      </c>
      <c r="N230" s="147">
        <f t="shared" si="1195"/>
        <v>1.5290499735759642</v>
      </c>
      <c r="O230" s="147">
        <f t="shared" si="1195"/>
        <v>0.72143357844175038</v>
      </c>
      <c r="P230" s="147">
        <f t="shared" si="1195"/>
        <v>0.86877839407725233</v>
      </c>
      <c r="Q230" s="147">
        <f t="shared" si="1195"/>
        <v>1.0258535277264196</v>
      </c>
      <c r="R230" s="147">
        <f t="shared" ref="R230:V230" si="1196">(R229)/($O$2*100)</f>
        <v>1.420626429995123</v>
      </c>
      <c r="S230" s="147">
        <f t="shared" si="1196"/>
        <v>1.4887386560907798</v>
      </c>
      <c r="T230" s="147">
        <f t="shared" si="1196"/>
        <v>2.0044455108150365</v>
      </c>
      <c r="U230" s="147">
        <f t="shared" si="1196"/>
        <v>2.6216256819675166</v>
      </c>
      <c r="V230" s="147">
        <f t="shared" si="1196"/>
        <v>3.2221253079537133</v>
      </c>
      <c r="W230" s="147">
        <f t="shared" ref="W230" si="1197">(W229)/($O$2*100)</f>
        <v>1.1968291156808228</v>
      </c>
      <c r="X230" s="147">
        <f t="shared" ref="X230:Z230" si="1198">(X229)/($O$2*100)</f>
        <v>2.0767278732022638</v>
      </c>
      <c r="Y230" s="147">
        <f t="shared" ref="Y230" si="1199">(Y229)/($O$2*100)</f>
        <v>2.0433667828696978</v>
      </c>
      <c r="Z230" s="147">
        <f t="shared" si="1198"/>
        <v>2.2365830977124781</v>
      </c>
      <c r="AA230" s="96">
        <f t="shared" si="1023"/>
        <v>0.1001547294707017</v>
      </c>
      <c r="AB230" s="104"/>
      <c r="AC230" s="147">
        <f t="shared" ref="AC230:AL230" si="1200">(AC229)/($O$2*100)</f>
        <v>6.9502271526180187E-2</v>
      </c>
      <c r="AD230" s="147">
        <f t="shared" si="1200"/>
        <v>7.0892316956703783E-2</v>
      </c>
      <c r="AE230" s="147">
        <f t="shared" si="1200"/>
        <v>7.2310163295837865E-2</v>
      </c>
      <c r="AF230" s="147">
        <f t="shared" si="1200"/>
        <v>7.3756366561754633E-2</v>
      </c>
      <c r="AG230" s="147">
        <f t="shared" si="1200"/>
        <v>7.523149389298972E-2</v>
      </c>
      <c r="AH230" s="147">
        <f t="shared" si="1200"/>
        <v>7.6736123770849513E-2</v>
      </c>
      <c r="AI230" s="147">
        <f t="shared" si="1200"/>
        <v>7.8270846246266498E-2</v>
      </c>
      <c r="AJ230" s="147">
        <f t="shared" si="1200"/>
        <v>7.9836263171191829E-2</v>
      </c>
      <c r="AK230" s="147">
        <f t="shared" si="1200"/>
        <v>8.1432988434615675E-2</v>
      </c>
      <c r="AL230" s="147">
        <f t="shared" si="1200"/>
        <v>8.3061648203307983E-2</v>
      </c>
      <c r="AM230" s="109">
        <f t="shared" si="1191"/>
        <v>-9.1110379155301624E-2</v>
      </c>
      <c r="AN230" s="21">
        <f t="shared" si="1192"/>
        <v>0.01</v>
      </c>
      <c r="AO230" s="147">
        <f>(AO215)/($O$2*100)</f>
        <v>0.15274395996891446</v>
      </c>
    </row>
    <row r="231" spans="2:41" x14ac:dyDescent="0.15">
      <c r="B231" s="10" t="s">
        <v>293</v>
      </c>
      <c r="C231" s="10"/>
      <c r="D231" s="10"/>
      <c r="E231" s="10"/>
      <c r="F231" s="10"/>
      <c r="G231" s="122">
        <f t="shared" ref="G231" si="1201">G230-1</f>
        <v>-0.47456282726207777</v>
      </c>
      <c r="H231" s="122">
        <f t="shared" ref="H231:I231" si="1202">H230-1</f>
        <v>-0.24381528579515954</v>
      </c>
      <c r="I231" s="122">
        <f t="shared" si="1202"/>
        <v>7.5895163225269346E-2</v>
      </c>
      <c r="J231" s="122">
        <f t="shared" ref="J231:Q231" si="1203">J230-1</f>
        <v>0.32610334071951796</v>
      </c>
      <c r="K231" s="122">
        <f t="shared" si="1203"/>
        <v>0.85015046802691674</v>
      </c>
      <c r="L231" s="122">
        <f t="shared" si="1203"/>
        <v>0.36085447648260804</v>
      </c>
      <c r="M231" s="122">
        <f t="shared" si="1203"/>
        <v>1.686957817202126</v>
      </c>
      <c r="N231" s="122">
        <f t="shared" si="1203"/>
        <v>0.52904997357596417</v>
      </c>
      <c r="O231" s="122">
        <f t="shared" si="1203"/>
        <v>-0.27856642155824962</v>
      </c>
      <c r="P231" s="122">
        <f t="shared" si="1203"/>
        <v>-0.13122160592274767</v>
      </c>
      <c r="Q231" s="122">
        <f t="shared" si="1203"/>
        <v>2.5853527726419578E-2</v>
      </c>
      <c r="R231" s="122">
        <f t="shared" ref="R231:V231" si="1204">R230-1</f>
        <v>0.42062642999512301</v>
      </c>
      <c r="S231" s="122">
        <f t="shared" si="1204"/>
        <v>0.48873865609077982</v>
      </c>
      <c r="T231" s="122">
        <f t="shared" si="1204"/>
        <v>1.0044455108150365</v>
      </c>
      <c r="U231" s="122">
        <f t="shared" si="1204"/>
        <v>1.6216256819675166</v>
      </c>
      <c r="V231" s="122">
        <f t="shared" si="1204"/>
        <v>2.2221253079537133</v>
      </c>
      <c r="W231" s="122">
        <f t="shared" ref="W231" si="1205">W230-1</f>
        <v>0.19682911568082284</v>
      </c>
      <c r="X231" s="122">
        <f t="shared" ref="X231:Z231" si="1206">X230-1</f>
        <v>1.0767278732022638</v>
      </c>
      <c r="Y231" s="122">
        <f t="shared" ref="Y231" si="1207">Y230-1</f>
        <v>1.0433667828696978</v>
      </c>
      <c r="Z231" s="122">
        <f t="shared" si="1206"/>
        <v>1.2365830977124781</v>
      </c>
      <c r="AA231" s="96">
        <f t="shared" si="1023"/>
        <v>-2.0846463244365125</v>
      </c>
      <c r="AB231" s="104"/>
      <c r="AC231" s="122">
        <f t="shared" ref="AC231:AL231" si="1208">AC230-1</f>
        <v>-0.93049772847381984</v>
      </c>
      <c r="AD231" s="122">
        <f t="shared" si="1208"/>
        <v>-0.92910768304329627</v>
      </c>
      <c r="AE231" s="122">
        <f t="shared" si="1208"/>
        <v>-0.92768983670416216</v>
      </c>
      <c r="AF231" s="122">
        <f t="shared" si="1208"/>
        <v>-0.92624363343824534</v>
      </c>
      <c r="AG231" s="122">
        <f t="shared" si="1208"/>
        <v>-0.92476850610701034</v>
      </c>
      <c r="AH231" s="122">
        <f t="shared" si="1208"/>
        <v>-0.92326387622915052</v>
      </c>
      <c r="AI231" s="122">
        <f t="shared" si="1208"/>
        <v>-0.92172915375373354</v>
      </c>
      <c r="AJ231" s="122">
        <f t="shared" si="1208"/>
        <v>-0.92016373682880814</v>
      </c>
      <c r="AK231" s="122">
        <f t="shared" si="1208"/>
        <v>-0.91856701156538434</v>
      </c>
      <c r="AL231" s="122">
        <f t="shared" si="1208"/>
        <v>-0.91693835179669203</v>
      </c>
      <c r="AM231" s="109">
        <f t="shared" si="1191"/>
        <v>-2.0362922197610493</v>
      </c>
      <c r="AN231" s="21">
        <f t="shared" si="1192"/>
        <v>0.01</v>
      </c>
      <c r="AO231" s="147">
        <f>(AO216)/($O$2*100)</f>
        <v>12948.716392262293</v>
      </c>
    </row>
    <row r="232" spans="2:41" x14ac:dyDescent="0.15">
      <c r="B232" s="10"/>
      <c r="C232" s="10"/>
      <c r="D232" s="10"/>
      <c r="E232" s="10"/>
      <c r="F232" s="10"/>
      <c r="G232" s="10"/>
      <c r="H232" s="10"/>
      <c r="I232" s="10"/>
      <c r="J232" s="106"/>
      <c r="K232" s="106"/>
      <c r="L232" s="106"/>
      <c r="M232" s="106"/>
      <c r="N232" s="163"/>
      <c r="O232" s="164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48"/>
      <c r="AB232" s="104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8"/>
      <c r="AN232" s="10"/>
      <c r="AO232" s="10"/>
    </row>
    <row r="233" spans="2:41" x14ac:dyDescent="0.15">
      <c r="B233" s="10" t="s">
        <v>299</v>
      </c>
      <c r="C233" s="10"/>
      <c r="D233" s="10"/>
      <c r="E233" s="10"/>
      <c r="F233" s="10"/>
      <c r="G233" s="122">
        <f t="shared" ref="G233:Z233" si="1209">1/G234</f>
        <v>0.12214889125461219</v>
      </c>
      <c r="H233" s="122">
        <f t="shared" si="1209"/>
        <v>8.4875516349712146E-2</v>
      </c>
      <c r="I233" s="122">
        <f t="shared" si="1209"/>
        <v>5.9654109682485024E-2</v>
      </c>
      <c r="J233" s="122">
        <f t="shared" si="1209"/>
        <v>4.8398617289563316E-2</v>
      </c>
      <c r="K233" s="122">
        <f t="shared" si="1209"/>
        <v>3.4689918027230211E-2</v>
      </c>
      <c r="L233" s="122">
        <f t="shared" si="1209"/>
        <v>4.7162697542638819E-2</v>
      </c>
      <c r="M233" s="122">
        <f t="shared" si="1209"/>
        <v>2.3886332588848116E-2</v>
      </c>
      <c r="N233" s="122">
        <f t="shared" si="1209"/>
        <v>4.1974800812948555E-2</v>
      </c>
      <c r="O233" s="122">
        <f t="shared" si="1209"/>
        <v>8.8963932358850487E-2</v>
      </c>
      <c r="P233" s="122">
        <f t="shared" si="1209"/>
        <v>7.3875649430789447E-2</v>
      </c>
      <c r="Q233" s="122">
        <f t="shared" si="1209"/>
        <v>6.2564066252362341E-2</v>
      </c>
      <c r="R233" s="122">
        <f t="shared" si="1209"/>
        <v>4.5178357039377115E-2</v>
      </c>
      <c r="S233" s="122">
        <f t="shared" si="1209"/>
        <v>4.3111373383980772E-2</v>
      </c>
      <c r="T233" s="122">
        <f t="shared" si="1209"/>
        <v>3.2019612270626496E-2</v>
      </c>
      <c r="U233" s="122">
        <f t="shared" si="1209"/>
        <v>2.448159114222874E-2</v>
      </c>
      <c r="V233" s="122">
        <f t="shared" si="1209"/>
        <v>1.9919016779224939E-2</v>
      </c>
      <c r="W233" s="122">
        <f t="shared" si="1209"/>
        <v>5.362634250202486E-2</v>
      </c>
      <c r="X233" s="122">
        <f t="shared" si="1209"/>
        <v>3.0905141160805491E-2</v>
      </c>
      <c r="Y233" s="122">
        <f t="shared" si="1209"/>
        <v>3.1409714894043136E-2</v>
      </c>
      <c r="Z233" s="122">
        <f t="shared" si="1209"/>
        <v>2.8696259101456439E-2</v>
      </c>
      <c r="AA233" s="96">
        <f t="shared" si="1023"/>
        <v>-9.1036948519857108E-2</v>
      </c>
      <c r="AB233" s="104"/>
      <c r="AC233" s="122">
        <f t="shared" ref="AC233:AL233" si="1210">1/AC234</f>
        <v>31304.683688510668</v>
      </c>
      <c r="AD233" s="122">
        <f t="shared" si="1210"/>
        <v>623.32007595205096</v>
      </c>
      <c r="AE233" s="122">
        <f t="shared" si="1210"/>
        <v>688.98316738260144</v>
      </c>
      <c r="AF233" s="122">
        <f t="shared" si="1210"/>
        <v>761.56347797961519</v>
      </c>
      <c r="AG233" s="122">
        <f t="shared" si="1210"/>
        <v>841.78969595978208</v>
      </c>
      <c r="AH233" s="122">
        <f t="shared" si="1210"/>
        <v>930.46727254301152</v>
      </c>
      <c r="AI233" s="122">
        <f t="shared" si="1210"/>
        <v>1028.4865084817984</v>
      </c>
      <c r="AJ233" s="122">
        <f t="shared" si="1210"/>
        <v>1136.8314924587355</v>
      </c>
      <c r="AK233" s="122">
        <f t="shared" si="1210"/>
        <v>1256.5899810914507</v>
      </c>
      <c r="AL233" s="122">
        <f t="shared" si="1210"/>
        <v>1388.9643197377627</v>
      </c>
      <c r="AM233" s="109">
        <f t="shared" ref="AM233:AM236" si="1211">((AL233/J233)^(1/($AL$3-$K$1) ))-1</f>
        <v>0.42468629331046936</v>
      </c>
      <c r="AN233" s="21">
        <f t="shared" ref="AN233:AN236" si="1212">$O$1</f>
        <v>0.01</v>
      </c>
      <c r="AO233" s="147">
        <f>(AO218)/($O$2*100)</f>
        <v>1.7321948332253279</v>
      </c>
    </row>
    <row r="234" spans="2:41" x14ac:dyDescent="0.15">
      <c r="B234" s="10" t="s">
        <v>296</v>
      </c>
      <c r="C234" s="10"/>
      <c r="D234" s="10"/>
      <c r="E234" s="10"/>
      <c r="F234" s="10"/>
      <c r="G234" s="106">
        <f t="shared" ref="G234" si="1213">G205/$AC$175</f>
        <v>8.1867300613933427</v>
      </c>
      <c r="H234" s="106">
        <f t="shared" ref="H234:V234" si="1214">H205/$AC$175</f>
        <v>11.781960723275075</v>
      </c>
      <c r="I234" s="106">
        <f t="shared" si="1214"/>
        <v>16.763304411424464</v>
      </c>
      <c r="J234" s="106">
        <f t="shared" si="1214"/>
        <v>20.661747297802247</v>
      </c>
      <c r="K234" s="106">
        <f t="shared" si="1214"/>
        <v>28.826819343160157</v>
      </c>
      <c r="L234" s="106">
        <f t="shared" si="1214"/>
        <v>21.203197698688051</v>
      </c>
      <c r="M234" s="106">
        <f t="shared" si="1214"/>
        <v>41.864944996490294</v>
      </c>
      <c r="N234" s="106">
        <f t="shared" si="1214"/>
        <v>23.823817638975335</v>
      </c>
      <c r="O234" s="106">
        <f t="shared" si="1214"/>
        <v>11.240510322389273</v>
      </c>
      <c r="P234" s="106">
        <f t="shared" si="1214"/>
        <v>13.536260022145077</v>
      </c>
      <c r="Q234" s="106">
        <f t="shared" si="1214"/>
        <v>15.983615834148907</v>
      </c>
      <c r="R234" s="106">
        <f t="shared" si="1214"/>
        <v>22.13449238821163</v>
      </c>
      <c r="S234" s="106">
        <f t="shared" si="1214"/>
        <v>23.195735173947806</v>
      </c>
      <c r="T234" s="106">
        <f t="shared" si="1214"/>
        <v>31.230859123093122</v>
      </c>
      <c r="U234" s="106">
        <f t="shared" si="1214"/>
        <v>40.847018242824987</v>
      </c>
      <c r="V234" s="106">
        <f t="shared" si="1214"/>
        <v>50.20328117013166</v>
      </c>
      <c r="W234" s="106">
        <f t="shared" ref="W234" si="1215">W205/$AC$175</f>
        <v>18.64755180650706</v>
      </c>
      <c r="X234" s="106">
        <f t="shared" ref="X234:Z234" si="1216">X205/$AC$175</f>
        <v>32.357075956935596</v>
      </c>
      <c r="Y234" s="106">
        <f t="shared" ref="Y234" si="1217">Y205/$AC$175</f>
        <v>31.837283572085223</v>
      </c>
      <c r="Z234" s="106">
        <f t="shared" si="1216"/>
        <v>34.847747801010286</v>
      </c>
      <c r="AA234" s="96">
        <f t="shared" si="1023"/>
        <v>0.1001547294707017</v>
      </c>
      <c r="AB234" s="104"/>
      <c r="AC234" s="106">
        <f t="shared" ref="AC234:AL234" si="1218">AC210/$U$174</f>
        <v>3.1944101718140547E-5</v>
      </c>
      <c r="AD234" s="106">
        <f t="shared" si="1218"/>
        <v>1.6043121962221625E-3</v>
      </c>
      <c r="AE234" s="106">
        <f t="shared" si="1218"/>
        <v>1.4514142686517721E-3</v>
      </c>
      <c r="AF234" s="106">
        <f t="shared" si="1218"/>
        <v>1.3130881783524381E-3</v>
      </c>
      <c r="AG234" s="106">
        <f t="shared" si="1218"/>
        <v>1.1879451658764147E-3</v>
      </c>
      <c r="AH234" s="106">
        <f t="shared" si="1218"/>
        <v>1.0747288265894105E-3</v>
      </c>
      <c r="AI234" s="106">
        <f t="shared" si="1218"/>
        <v>9.7230249668141114E-4</v>
      </c>
      <c r="AJ234" s="106">
        <f t="shared" si="1218"/>
        <v>8.7963784134551307E-4</v>
      </c>
      <c r="AK234" s="106">
        <f t="shared" si="1218"/>
        <v>7.9580453055293232E-4</v>
      </c>
      <c r="AL234" s="106">
        <f t="shared" si="1218"/>
        <v>7.1996089877153979E-4</v>
      </c>
      <c r="AM234" s="109">
        <f t="shared" si="1211"/>
        <v>-0.29809109226680919</v>
      </c>
      <c r="AN234" s="21">
        <f t="shared" si="1212"/>
        <v>0.01</v>
      </c>
      <c r="AO234" s="147">
        <f>(AO219)/($O$2*100)</f>
        <v>1.0725546042281537E-3</v>
      </c>
    </row>
    <row r="235" spans="2:41" x14ac:dyDescent="0.15">
      <c r="B235" s="10" t="s">
        <v>291</v>
      </c>
      <c r="C235" s="10"/>
      <c r="D235" s="10"/>
      <c r="E235" s="10"/>
      <c r="F235" s="10"/>
      <c r="G235" s="147">
        <f t="shared" ref="G235" si="1219">(G234)/($O$2*100)</f>
        <v>0.54578200409288946</v>
      </c>
      <c r="H235" s="147">
        <f t="shared" ref="H235:Q235" si="1220">(H234)/($O$2*100)</f>
        <v>0.78546404821833837</v>
      </c>
      <c r="I235" s="147">
        <f t="shared" si="1220"/>
        <v>1.1175536274282976</v>
      </c>
      <c r="J235" s="147">
        <f t="shared" si="1220"/>
        <v>1.377449819853483</v>
      </c>
      <c r="K235" s="147">
        <f t="shared" si="1220"/>
        <v>1.9217879562106772</v>
      </c>
      <c r="L235" s="147">
        <f t="shared" si="1220"/>
        <v>1.41354651324587</v>
      </c>
      <c r="M235" s="147">
        <f t="shared" si="1220"/>
        <v>2.7909963330993528</v>
      </c>
      <c r="N235" s="147">
        <f t="shared" si="1220"/>
        <v>1.5882545092650224</v>
      </c>
      <c r="O235" s="147">
        <f t="shared" si="1220"/>
        <v>0.74936735482595151</v>
      </c>
      <c r="P235" s="147">
        <f t="shared" si="1220"/>
        <v>0.90241733480967179</v>
      </c>
      <c r="Q235" s="147">
        <f t="shared" si="1220"/>
        <v>1.0655743889432605</v>
      </c>
      <c r="R235" s="147">
        <f t="shared" ref="R235:V235" si="1221">(R234)/($O$2*100)</f>
        <v>1.4756328258807754</v>
      </c>
      <c r="S235" s="147">
        <f t="shared" si="1221"/>
        <v>1.5463823449298537</v>
      </c>
      <c r="T235" s="147">
        <f t="shared" si="1221"/>
        <v>2.082057274872875</v>
      </c>
      <c r="U235" s="147">
        <f t="shared" si="1221"/>
        <v>2.7231345495216659</v>
      </c>
      <c r="V235" s="147">
        <f t="shared" si="1221"/>
        <v>3.3468854113421105</v>
      </c>
      <c r="W235" s="147">
        <f t="shared" ref="W235" si="1222">(W234)/($O$2*100)</f>
        <v>1.2431701204338039</v>
      </c>
      <c r="X235" s="147">
        <f t="shared" ref="X235:Z235" si="1223">(X234)/($O$2*100)</f>
        <v>2.1571383971290397</v>
      </c>
      <c r="Y235" s="147">
        <f t="shared" ref="Y235" si="1224">(Y234)/($O$2*100)</f>
        <v>2.1224855714723483</v>
      </c>
      <c r="Z235" s="147">
        <f t="shared" si="1223"/>
        <v>2.3231831867340191</v>
      </c>
      <c r="AA235" s="96">
        <f t="shared" si="1023"/>
        <v>0.1001547294707017</v>
      </c>
      <c r="AB235" s="104"/>
      <c r="AC235" s="147">
        <f t="shared" ref="AC235:AL235" si="1225">(AC234)/($O$2*100)</f>
        <v>2.1296067812093699E-6</v>
      </c>
      <c r="AD235" s="147">
        <f t="shared" si="1225"/>
        <v>1.0695414641481084E-4</v>
      </c>
      <c r="AE235" s="147">
        <f t="shared" si="1225"/>
        <v>9.6760951243451469E-5</v>
      </c>
      <c r="AF235" s="147">
        <f t="shared" si="1225"/>
        <v>8.7539211890162537E-5</v>
      </c>
      <c r="AG235" s="147">
        <f t="shared" si="1225"/>
        <v>7.9196344391760978E-5</v>
      </c>
      <c r="AH235" s="147">
        <f t="shared" si="1225"/>
        <v>7.1648588439294025E-5</v>
      </c>
      <c r="AI235" s="147">
        <f t="shared" si="1225"/>
        <v>6.4820166445427407E-5</v>
      </c>
      <c r="AJ235" s="147">
        <f t="shared" si="1225"/>
        <v>5.8642522756367537E-5</v>
      </c>
      <c r="AK235" s="147">
        <f t="shared" si="1225"/>
        <v>5.3053635370195491E-5</v>
      </c>
      <c r="AL235" s="147">
        <f t="shared" si="1225"/>
        <v>4.7997393251435987E-5</v>
      </c>
      <c r="AM235" s="109">
        <f t="shared" si="1211"/>
        <v>-0.29809109226680919</v>
      </c>
      <c r="AN235" s="21">
        <f t="shared" si="1212"/>
        <v>0.01</v>
      </c>
      <c r="AO235" s="147">
        <f>(AO220)/($O$2*100)</f>
        <v>3.8787420148095127E-3</v>
      </c>
    </row>
    <row r="236" spans="2:41" x14ac:dyDescent="0.15">
      <c r="B236" s="10" t="s">
        <v>293</v>
      </c>
      <c r="C236" s="10"/>
      <c r="D236" s="10"/>
      <c r="E236" s="10"/>
      <c r="F236" s="10"/>
      <c r="G236" s="122">
        <f t="shared" ref="G236" si="1226">G235-1</f>
        <v>-0.45421799590711054</v>
      </c>
      <c r="H236" s="122">
        <f t="shared" ref="H236:Q236" si="1227">H235-1</f>
        <v>-0.21453595178166163</v>
      </c>
      <c r="I236" s="122">
        <f t="shared" si="1227"/>
        <v>0.11755362742829756</v>
      </c>
      <c r="J236" s="122">
        <f t="shared" si="1227"/>
        <v>0.37744981985348303</v>
      </c>
      <c r="K236" s="122">
        <f t="shared" si="1227"/>
        <v>0.92178795621067722</v>
      </c>
      <c r="L236" s="122">
        <f t="shared" si="1227"/>
        <v>0.41354651324587</v>
      </c>
      <c r="M236" s="122">
        <f t="shared" si="1227"/>
        <v>1.7909963330993528</v>
      </c>
      <c r="N236" s="122">
        <f t="shared" si="1227"/>
        <v>0.58825450926502243</v>
      </c>
      <c r="O236" s="122">
        <f t="shared" si="1227"/>
        <v>-0.25063264517404849</v>
      </c>
      <c r="P236" s="122">
        <f t="shared" si="1227"/>
        <v>-9.7582665190328211E-2</v>
      </c>
      <c r="Q236" s="122">
        <f t="shared" si="1227"/>
        <v>6.5574388943260509E-2</v>
      </c>
      <c r="R236" s="122">
        <f t="shared" ref="R236:V236" si="1228">R235-1</f>
        <v>0.47563282588077538</v>
      </c>
      <c r="S236" s="122">
        <f t="shared" si="1228"/>
        <v>0.54638234492985371</v>
      </c>
      <c r="T236" s="122">
        <f t="shared" si="1228"/>
        <v>1.082057274872875</v>
      </c>
      <c r="U236" s="122">
        <f t="shared" si="1228"/>
        <v>1.7231345495216659</v>
      </c>
      <c r="V236" s="122">
        <f t="shared" si="1228"/>
        <v>2.3468854113421105</v>
      </c>
      <c r="W236" s="122">
        <f t="shared" ref="W236" si="1229">W235-1</f>
        <v>0.24317012043380393</v>
      </c>
      <c r="X236" s="122">
        <f t="shared" ref="X236:Z236" si="1230">X235-1</f>
        <v>1.1571383971290397</v>
      </c>
      <c r="Y236" s="122">
        <f t="shared" ref="Y236" si="1231">Y235-1</f>
        <v>1.1224855714723483</v>
      </c>
      <c r="Z236" s="122">
        <f t="shared" si="1230"/>
        <v>1.3231831867340191</v>
      </c>
      <c r="AA236" s="96">
        <f t="shared" si="1023"/>
        <v>-2.0902806189037584</v>
      </c>
      <c r="AB236" s="104"/>
      <c r="AC236" s="122">
        <f t="shared" ref="AC236:AL236" si="1232">AC235-1</f>
        <v>-0.99999787039321875</v>
      </c>
      <c r="AD236" s="122">
        <f t="shared" si="1232"/>
        <v>-0.99989304585358518</v>
      </c>
      <c r="AE236" s="122">
        <f t="shared" si="1232"/>
        <v>-0.99990323904875655</v>
      </c>
      <c r="AF236" s="122">
        <f t="shared" si="1232"/>
        <v>-0.9999124607881098</v>
      </c>
      <c r="AG236" s="122">
        <f t="shared" si="1232"/>
        <v>-0.9999208036556082</v>
      </c>
      <c r="AH236" s="122">
        <f t="shared" si="1232"/>
        <v>-0.99992835141156067</v>
      </c>
      <c r="AI236" s="122">
        <f t="shared" si="1232"/>
        <v>-0.99993517983355462</v>
      </c>
      <c r="AJ236" s="122">
        <f t="shared" si="1232"/>
        <v>-0.99994135747724366</v>
      </c>
      <c r="AK236" s="122">
        <f t="shared" si="1232"/>
        <v>-0.99994694636462977</v>
      </c>
      <c r="AL236" s="122">
        <f t="shared" si="1232"/>
        <v>-0.99995200260674855</v>
      </c>
      <c r="AM236" s="109">
        <f t="shared" si="1211"/>
        <v>-2.0341662071650166</v>
      </c>
      <c r="AN236" s="21">
        <f t="shared" si="1212"/>
        <v>0.01</v>
      </c>
      <c r="AO236" s="147" t="e">
        <f>(AO221)/($O$2*100)</f>
        <v>#DIV/0!</v>
      </c>
    </row>
    <row r="237" spans="2:41" x14ac:dyDescent="0.15">
      <c r="B237" s="10"/>
      <c r="C237" s="10"/>
      <c r="D237" s="10"/>
      <c r="E237" s="10"/>
      <c r="F237" s="10"/>
      <c r="G237" s="10"/>
      <c r="H237" s="10"/>
      <c r="I237" s="10"/>
      <c r="J237" s="106"/>
      <c r="K237" s="106"/>
      <c r="L237" s="106"/>
      <c r="M237" s="106"/>
      <c r="N237" s="163"/>
      <c r="O237" s="164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48"/>
      <c r="AB237" s="104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8"/>
      <c r="AN237" s="10"/>
      <c r="AO237" s="10"/>
    </row>
    <row r="238" spans="2:41" x14ac:dyDescent="0.15">
      <c r="B238" s="10" t="s">
        <v>306</v>
      </c>
      <c r="C238" s="10"/>
      <c r="D238" s="10"/>
      <c r="E238" s="10"/>
      <c r="F238" s="10"/>
      <c r="G238" s="10">
        <f>G216/L59</f>
        <v>4.6998223801065722</v>
      </c>
      <c r="H238" s="10">
        <f t="shared" ref="H238:L238" si="1233">H216/M59</f>
        <v>5.3825857519788922</v>
      </c>
      <c r="I238" s="10">
        <f t="shared" si="1233"/>
        <v>5.9731142643764006</v>
      </c>
      <c r="J238" s="10">
        <f t="shared" si="1233"/>
        <v>5.6085719704153236</v>
      </c>
      <c r="K238" s="10">
        <f t="shared" si="1233"/>
        <v>6.7514492753623188</v>
      </c>
      <c r="L238" s="10">
        <f t="shared" si="1233"/>
        <v>4.6916932907348246</v>
      </c>
      <c r="M238" s="10">
        <f>M216/S59</f>
        <v>6.7866895529375046</v>
      </c>
      <c r="N238" s="10">
        <f>N216/T59</f>
        <v>3.3100019624517563</v>
      </c>
      <c r="O238" s="10">
        <f>O216/U59</f>
        <v>6.5434267241379311</v>
      </c>
      <c r="P238" s="10">
        <f>P216/V59</f>
        <v>6.5994653597683222</v>
      </c>
      <c r="Q238" s="10">
        <f t="shared" ref="Q238:W238" si="1234">Q216/Z59</f>
        <v>3.822094131923377</v>
      </c>
      <c r="R238" s="10">
        <f t="shared" si="1234"/>
        <v>1100909.5245952636</v>
      </c>
      <c r="S238" s="10">
        <f t="shared" si="1234"/>
        <v>1799280</v>
      </c>
      <c r="T238" s="10">
        <f t="shared" si="1234"/>
        <v>6.9559187642028864</v>
      </c>
      <c r="U238" s="10">
        <f t="shared" si="1234"/>
        <v>8.0037384445508035</v>
      </c>
      <c r="V238" s="10">
        <f t="shared" si="1234"/>
        <v>8.9833005652127689</v>
      </c>
      <c r="W238" s="10">
        <f t="shared" si="1234"/>
        <v>5.8457395848502589</v>
      </c>
      <c r="X238" s="10">
        <f>X216/AF59</f>
        <v>10.199008434877166</v>
      </c>
      <c r="Y238" s="10">
        <f t="shared" ref="Y238:Z238" si="1235">Y216/AF59</f>
        <v>10.089806885369994</v>
      </c>
      <c r="Z238" s="10">
        <f t="shared" si="1235"/>
        <v>9.6033713567348844</v>
      </c>
      <c r="AA238" s="104"/>
      <c r="AB238" s="104"/>
      <c r="AC238" s="15">
        <f>AC216/AH59</f>
        <v>0.26469151198069513</v>
      </c>
      <c r="AD238" s="15">
        <f t="shared" ref="AD238:AG238" si="1236">AD216/AI59</f>
        <v>0.23946526005627408</v>
      </c>
      <c r="AE238" s="15">
        <f t="shared" si="1236"/>
        <v>0.21664317961960664</v>
      </c>
      <c r="AF238" s="15">
        <f t="shared" si="1236"/>
        <v>0.19599614267499021</v>
      </c>
      <c r="AG238" s="15">
        <f t="shared" si="1236"/>
        <v>0.17731685812092157</v>
      </c>
      <c r="AH238" s="15"/>
      <c r="AI238" s="106"/>
      <c r="AJ238" s="106"/>
      <c r="AK238" s="106"/>
      <c r="AL238" s="106"/>
      <c r="AM238" s="108"/>
      <c r="AN238" s="10"/>
      <c r="AO238" s="10"/>
    </row>
    <row r="239" spans="2:41" x14ac:dyDescent="0.15">
      <c r="B239" s="10"/>
      <c r="C239" s="10"/>
      <c r="D239" s="10"/>
      <c r="E239" s="10"/>
      <c r="F239" s="10"/>
      <c r="G239" s="10"/>
      <c r="H239" s="10"/>
      <c r="I239" s="10"/>
      <c r="J239" s="106"/>
      <c r="K239" s="106"/>
      <c r="L239" s="106"/>
      <c r="M239" s="106"/>
      <c r="N239" s="163"/>
      <c r="O239" s="164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4"/>
      <c r="AB239" s="104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8"/>
      <c r="AN239" s="10"/>
      <c r="AO239" s="10"/>
    </row>
    <row r="240" spans="2:41" x14ac:dyDescent="0.15">
      <c r="B240" s="10"/>
      <c r="C240" s="10"/>
      <c r="D240" s="10"/>
      <c r="E240" s="10"/>
      <c r="F240" s="10"/>
      <c r="G240" s="10"/>
      <c r="H240" s="10"/>
      <c r="I240" s="10"/>
      <c r="J240" s="106"/>
      <c r="K240" s="106"/>
      <c r="L240" s="106"/>
      <c r="M240" s="106"/>
      <c r="N240" s="163"/>
      <c r="O240" s="164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4"/>
      <c r="AB240" s="104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8"/>
      <c r="AN240" s="10"/>
      <c r="AO240" s="10"/>
    </row>
    <row r="241" spans="2:52" x14ac:dyDescent="0.15">
      <c r="B241" s="89" t="s">
        <v>126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83" t="s">
        <v>168</v>
      </c>
      <c r="O241" s="184"/>
      <c r="P241" s="10"/>
      <c r="Q241" s="10"/>
      <c r="R241" s="10"/>
      <c r="S241" s="10"/>
      <c r="T241" s="89" t="s">
        <v>247</v>
      </c>
      <c r="U241" s="158" t="s">
        <v>246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8"/>
      <c r="AN241" s="10"/>
      <c r="AO241" s="10"/>
    </row>
    <row r="242" spans="2:52" x14ac:dyDescent="0.15">
      <c r="B242" s="10" t="s">
        <v>124</v>
      </c>
      <c r="C242" s="10" t="s">
        <v>136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169</v>
      </c>
      <c r="O242" s="12">
        <v>1</v>
      </c>
      <c r="P242" s="10"/>
      <c r="Q242" s="10"/>
      <c r="R242" s="10"/>
      <c r="S242" s="10"/>
      <c r="T242" s="104" t="e">
        <f>(V205-AD192)/V205</f>
        <v>#DIV/0!</v>
      </c>
      <c r="U242" s="104">
        <f>(V205-AC192)/V205</f>
        <v>0.95217660189908393</v>
      </c>
      <c r="V242" s="104"/>
      <c r="W242" s="104"/>
      <c r="X242" s="104"/>
      <c r="Y242" s="104"/>
      <c r="Z242" s="104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8"/>
      <c r="AN242" s="10"/>
      <c r="AO242" s="10"/>
    </row>
    <row r="243" spans="2:52" x14ac:dyDescent="0.15">
      <c r="B243" s="10" t="s">
        <v>166</v>
      </c>
      <c r="C243" s="10" t="s">
        <v>136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38">
        <f>$O$242</f>
        <v>1</v>
      </c>
      <c r="O243" s="10"/>
      <c r="P243" s="104" t="e">
        <f>(T205-(N243*AB183))/T205</f>
        <v>#DIV/0!</v>
      </c>
      <c r="Q243" s="10"/>
      <c r="R243" s="10"/>
      <c r="S243" s="10"/>
      <c r="T243" s="104" t="e">
        <f>(V205-AD183)/V205</f>
        <v>#DIV/0!</v>
      </c>
      <c r="U243" s="104">
        <f>(V205-AC183)/V205</f>
        <v>0.87506933215895533</v>
      </c>
      <c r="V243" s="104"/>
      <c r="W243" s="104"/>
      <c r="X243" s="104"/>
      <c r="Y243" s="104"/>
      <c r="Z243" s="104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8"/>
      <c r="AN243" s="10"/>
      <c r="AO243" s="10"/>
    </row>
    <row r="244" spans="2:52" x14ac:dyDescent="0.15">
      <c r="B244" s="10" t="s">
        <v>167</v>
      </c>
      <c r="C244" s="10" t="s">
        <v>136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38">
        <f>$O$242</f>
        <v>1</v>
      </c>
      <c r="O244" s="10"/>
      <c r="P244" s="104" t="e">
        <f>(T205-(N244*AB176))/T205</f>
        <v>#DIV/0!</v>
      </c>
      <c r="Q244" s="10"/>
      <c r="R244" s="10"/>
      <c r="S244" s="10"/>
      <c r="T244" s="104" t="e">
        <f>(V205-AD176)/V205</f>
        <v>#DIV/0!</v>
      </c>
      <c r="U244" s="104">
        <f>(V205-AC176)/V205</f>
        <v>0.87506933215895533</v>
      </c>
      <c r="V244" s="104"/>
      <c r="W244" s="104"/>
      <c r="X244" s="104"/>
      <c r="Y244" s="104"/>
      <c r="Z244" s="104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8"/>
      <c r="AN244" s="10"/>
      <c r="AO244" s="10"/>
    </row>
    <row r="245" spans="2:52" x14ac:dyDescent="0.15">
      <c r="B245" s="10" t="s">
        <v>170</v>
      </c>
      <c r="C245" s="10" t="s">
        <v>136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38">
        <f>$O$242</f>
        <v>1</v>
      </c>
      <c r="O245" s="10"/>
      <c r="P245" s="104" t="e">
        <f>(T205-(N245*AB189))/T205</f>
        <v>#DIV/0!</v>
      </c>
      <c r="Q245" s="10"/>
      <c r="R245" s="10"/>
      <c r="S245" s="10"/>
      <c r="T245" s="104" t="e">
        <f>(V205-AD189)/V205</f>
        <v>#DIV/0!</v>
      </c>
      <c r="U245" s="104">
        <f>(V205-AC189)/V205</f>
        <v>1</v>
      </c>
      <c r="V245" s="104"/>
      <c r="W245" s="104"/>
      <c r="X245" s="104"/>
      <c r="Y245" s="104"/>
      <c r="Z245" s="104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8"/>
      <c r="AN245" s="10"/>
      <c r="AO245" s="10"/>
    </row>
    <row r="246" spans="2:52" x14ac:dyDescent="0.15">
      <c r="B246" s="10" t="s">
        <v>216</v>
      </c>
      <c r="C246" s="10" t="s">
        <v>136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38">
        <f>$O$242</f>
        <v>1</v>
      </c>
      <c r="O246" s="10"/>
      <c r="P246" s="104" t="e">
        <f>(T205-(N246*AB202))/T205</f>
        <v>#DIV/0!</v>
      </c>
      <c r="Q246" s="10"/>
      <c r="R246" s="10"/>
      <c r="S246" s="10"/>
      <c r="T246" s="104" t="e">
        <f>(V205-AD202)/V205</f>
        <v>#DIV/0!</v>
      </c>
      <c r="U246" s="104">
        <f>(V205-AC202)/V205</f>
        <v>1</v>
      </c>
      <c r="V246" s="104"/>
      <c r="W246" s="104"/>
      <c r="X246" s="104"/>
      <c r="Y246" s="104"/>
      <c r="Z246" s="104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8"/>
      <c r="AN246" s="10"/>
      <c r="AO246" s="10"/>
    </row>
    <row r="247" spans="2:52" x14ac:dyDescent="0.15">
      <c r="B247" s="10" t="s">
        <v>125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V205/AD175</f>
        <v>#DIV/0!</v>
      </c>
      <c r="U247" s="15">
        <f>V205/AC175</f>
        <v>50.20328117013166</v>
      </c>
      <c r="V247" s="15"/>
      <c r="W247" s="15"/>
      <c r="X247" s="15"/>
      <c r="Y247" s="15"/>
      <c r="Z247" s="93" t="s">
        <v>4</v>
      </c>
      <c r="AA247" s="93" t="s">
        <v>5</v>
      </c>
      <c r="AB247" s="93" t="s">
        <v>6</v>
      </c>
      <c r="AC247" s="93" t="s">
        <v>7</v>
      </c>
      <c r="AD247" s="93" t="s">
        <v>8</v>
      </c>
      <c r="AE247" s="93" t="s">
        <v>68</v>
      </c>
      <c r="AF247" s="93" t="s">
        <v>69</v>
      </c>
      <c r="AG247" s="93" t="s">
        <v>70</v>
      </c>
      <c r="AH247" s="93" t="s">
        <v>71</v>
      </c>
      <c r="AI247" s="93" t="s">
        <v>72</v>
      </c>
      <c r="AJ247" s="93" t="s">
        <v>224</v>
      </c>
      <c r="AK247" s="93" t="s">
        <v>225</v>
      </c>
      <c r="AL247" s="93" t="s">
        <v>226</v>
      </c>
      <c r="AM247" s="93" t="s">
        <v>227</v>
      </c>
      <c r="AN247" s="93" t="s">
        <v>228</v>
      </c>
      <c r="AO247" s="93" t="s">
        <v>229</v>
      </c>
      <c r="AP247" s="93" t="s">
        <v>230</v>
      </c>
      <c r="AQ247" s="93" t="s">
        <v>231</v>
      </c>
      <c r="AR247" s="93" t="s">
        <v>232</v>
      </c>
      <c r="AS247" s="93" t="s">
        <v>233</v>
      </c>
      <c r="AT247" s="93" t="s">
        <v>234</v>
      </c>
      <c r="AU247" s="93" t="s">
        <v>235</v>
      </c>
      <c r="AV247" s="93" t="s">
        <v>236</v>
      </c>
      <c r="AW247" s="93" t="s">
        <v>237</v>
      </c>
      <c r="AX247" s="93" t="s">
        <v>238</v>
      </c>
      <c r="AY247" s="93" t="s">
        <v>239</v>
      </c>
      <c r="AZ247" s="93" t="s">
        <v>240</v>
      </c>
    </row>
    <row r="248" spans="2:52" x14ac:dyDescent="0.15">
      <c r="B248" s="10" t="s">
        <v>188</v>
      </c>
      <c r="C248" s="10"/>
      <c r="D248" s="10"/>
      <c r="E248" s="10"/>
      <c r="F248" s="10"/>
      <c r="G248" s="10"/>
      <c r="H248" s="10"/>
      <c r="I248" s="10"/>
      <c r="J248" s="153" t="s">
        <v>248</v>
      </c>
      <c r="K248" s="154"/>
      <c r="L248" s="153" t="s">
        <v>249</v>
      </c>
      <c r="M248" s="154"/>
      <c r="N248" s="10"/>
      <c r="O248" s="153" t="s">
        <v>250</v>
      </c>
      <c r="P248" s="154"/>
      <c r="Q248" s="153" t="s">
        <v>251</v>
      </c>
      <c r="R248" s="153"/>
      <c r="S248" s="154"/>
      <c r="T248" s="122" t="e">
        <f>1/T247</f>
        <v>#DIV/0!</v>
      </c>
      <c r="U248" s="122">
        <f>1/U247</f>
        <v>1.9919016779224939E-2</v>
      </c>
      <c r="V248" s="122"/>
      <c r="W248" s="122"/>
      <c r="X248" s="122"/>
      <c r="Y248" s="122"/>
      <c r="Z248" s="10">
        <f>V205-Z249</f>
        <v>2251.4344220506086</v>
      </c>
      <c r="AA248" s="151">
        <f>Z248-AA249</f>
        <v>2174.8840074088084</v>
      </c>
      <c r="AB248" s="151">
        <f t="shared" ref="AB248:AD248" si="1237">AA248-AB249</f>
        <v>2086.8510305707382</v>
      </c>
      <c r="AC248" s="151">
        <f t="shared" si="1237"/>
        <v>1985.6131072069575</v>
      </c>
      <c r="AD248" s="151">
        <f t="shared" si="1237"/>
        <v>1869.1894953386095</v>
      </c>
      <c r="AE248" s="151">
        <f>AD248-AE249</f>
        <v>1735.3023416900094</v>
      </c>
      <c r="AF248" s="151">
        <f t="shared" ref="AF248:AI248" si="1238">AE248-AF249</f>
        <v>1581.3321149941194</v>
      </c>
      <c r="AG248" s="151">
        <f t="shared" si="1238"/>
        <v>1404.2663542938458</v>
      </c>
      <c r="AH248" s="151">
        <f t="shared" si="1238"/>
        <v>1200.6407294885312</v>
      </c>
      <c r="AI248" s="151">
        <f t="shared" si="1238"/>
        <v>966.47126096241948</v>
      </c>
      <c r="AJ248" s="151">
        <f t="shared" ref="AJ248" si="1239">AI248-AJ249</f>
        <v>697.17637215739103</v>
      </c>
      <c r="AK248" s="151">
        <f t="shared" ref="AK248" si="1240">AJ248-AK249</f>
        <v>387.48725003160831</v>
      </c>
      <c r="AL248" s="151">
        <f t="shared" ref="AL248" si="1241">AK248-AL249</f>
        <v>31.344759586958219</v>
      </c>
      <c r="AM248" s="151">
        <f t="shared" ref="AM248" si="1242">AL248-AM249</f>
        <v>-378.21910442438934</v>
      </c>
      <c r="AN248" s="151">
        <f t="shared" ref="AN248" si="1243">AM248-AN249</f>
        <v>-849.21754803743897</v>
      </c>
      <c r="AO248" s="151">
        <f t="shared" ref="AO248" si="1244">AN248-AO249</f>
        <v>-1390.865758192446</v>
      </c>
      <c r="AP248" s="151">
        <f t="shared" ref="AP248" si="1245">AO248-AP249</f>
        <v>-2013.7611998707041</v>
      </c>
      <c r="AQ248" s="151">
        <f t="shared" ref="AQ248" si="1246">AP248-AQ249</f>
        <v>-2730.0909578007008</v>
      </c>
      <c r="AR248" s="151">
        <f t="shared" ref="AR248" si="1247">AQ248-AR249</f>
        <v>-3553.870179420197</v>
      </c>
      <c r="AS248" s="151">
        <f t="shared" ref="AS248" si="1248">AR248-AS249</f>
        <v>-4501.2162842826174</v>
      </c>
      <c r="AT248" s="151">
        <f t="shared" ref="AT248" si="1249">AS248-AT249</f>
        <v>-5590.6643048744008</v>
      </c>
      <c r="AU248" s="151">
        <f t="shared" ref="AU248" si="1250">AT248-AU249</f>
        <v>-6843.5295285549519</v>
      </c>
      <c r="AV248" s="151">
        <f t="shared" ref="AV248" si="1251">AU248-AV249</f>
        <v>-8284.3245357875858</v>
      </c>
      <c r="AW248" s="151">
        <f t="shared" ref="AW248" si="1252">AV248-AW249</f>
        <v>-9941.2387941051147</v>
      </c>
      <c r="AX248" s="151">
        <f t="shared" ref="AX248" si="1253">AW248-AX249</f>
        <v>-11846.690191170273</v>
      </c>
      <c r="AY248" s="151">
        <f t="shared" ref="AY248" si="1254">AX248-AY249</f>
        <v>-14037.959297795205</v>
      </c>
      <c r="AZ248" s="151">
        <f t="shared" ref="AZ248" si="1255">AY248-AZ249</f>
        <v>-16557.918770413875</v>
      </c>
    </row>
    <row r="249" spans="2:52" x14ac:dyDescent="0.15">
      <c r="B249" s="10" t="s">
        <v>213</v>
      </c>
      <c r="C249" s="10"/>
      <c r="D249" s="10"/>
      <c r="E249" s="10"/>
      <c r="F249" s="10"/>
      <c r="G249" s="10"/>
      <c r="H249" s="10"/>
      <c r="I249" s="10"/>
      <c r="J249" s="155">
        <v>0</v>
      </c>
      <c r="K249" s="154"/>
      <c r="L249" s="155">
        <v>0.05</v>
      </c>
      <c r="M249" s="154"/>
      <c r="N249" s="150">
        <v>0.15</v>
      </c>
      <c r="O249" s="155">
        <v>0.12</v>
      </c>
      <c r="P249" s="154"/>
      <c r="Q249" s="155">
        <v>0.2</v>
      </c>
      <c r="R249" s="155"/>
      <c r="S249" s="162" t="s">
        <v>106</v>
      </c>
      <c r="T249" s="147">
        <f>V205/T174</f>
        <v>99.555162763293566</v>
      </c>
      <c r="U249" s="147" t="s">
        <v>268</v>
      </c>
      <c r="V249" s="147"/>
      <c r="W249" s="147"/>
      <c r="X249" s="147"/>
      <c r="Y249" s="147"/>
      <c r="Z249" s="152">
        <f>AA174*(1+$N$249)</f>
        <v>66.565577949391511</v>
      </c>
      <c r="AA249" s="152">
        <f>Z249*(1+$N$249)</f>
        <v>76.550414641800231</v>
      </c>
      <c r="AB249" s="152">
        <f t="shared" ref="AB249:AI249" si="1256">AA249*(1+$N$249)</f>
        <v>88.032976838070255</v>
      </c>
      <c r="AC249" s="152">
        <f t="shared" si="1256"/>
        <v>101.23792336378078</v>
      </c>
      <c r="AD249" s="152">
        <f t="shared" si="1256"/>
        <v>116.42361186834789</v>
      </c>
      <c r="AE249" s="152">
        <f t="shared" si="1256"/>
        <v>133.88715364860008</v>
      </c>
      <c r="AF249" s="152">
        <f t="shared" si="1256"/>
        <v>153.97022669589006</v>
      </c>
      <c r="AG249" s="152">
        <f t="shared" si="1256"/>
        <v>177.06576070027356</v>
      </c>
      <c r="AH249" s="152">
        <f t="shared" si="1256"/>
        <v>203.62562480531457</v>
      </c>
      <c r="AI249" s="152">
        <f t="shared" si="1256"/>
        <v>234.16946852611173</v>
      </c>
      <c r="AJ249" s="152">
        <f t="shared" ref="AJ249" si="1257">AI249*(1+$N$249)</f>
        <v>269.29488880502845</v>
      </c>
      <c r="AK249" s="152">
        <f t="shared" ref="AK249" si="1258">AJ249*(1+$N$249)</f>
        <v>309.68912212578272</v>
      </c>
      <c r="AL249" s="152">
        <f t="shared" ref="AL249" si="1259">AK249*(1+$N$249)</f>
        <v>356.14249044465009</v>
      </c>
      <c r="AM249" s="152">
        <f t="shared" ref="AM249" si="1260">AL249*(1+$N$249)</f>
        <v>409.56386401134756</v>
      </c>
      <c r="AN249" s="152">
        <f t="shared" ref="AN249" si="1261">AM249*(1+$N$249)</f>
        <v>470.99844361304969</v>
      </c>
      <c r="AO249" s="152">
        <f t="shared" ref="AO249" si="1262">AN249*(1+$N$249)</f>
        <v>541.64821015500706</v>
      </c>
      <c r="AP249" s="152">
        <f t="shared" ref="AP249" si="1263">AO249*(1+$N$249)</f>
        <v>622.89544167825807</v>
      </c>
      <c r="AQ249" s="152">
        <f t="shared" ref="AQ249" si="1264">AP249*(1+$N$249)</f>
        <v>716.32975792999673</v>
      </c>
      <c r="AR249" s="152">
        <f t="shared" ref="AR249" si="1265">AQ249*(1+$N$249)</f>
        <v>823.77922161949618</v>
      </c>
      <c r="AS249" s="152">
        <f t="shared" ref="AS249" si="1266">AR249*(1+$N$249)</f>
        <v>947.34610486242059</v>
      </c>
      <c r="AT249" s="152">
        <f t="shared" ref="AT249" si="1267">AS249*(1+$N$249)</f>
        <v>1089.4480205917837</v>
      </c>
      <c r="AU249" s="152">
        <f t="shared" ref="AU249" si="1268">AT249*(1+$N$249)</f>
        <v>1252.8652236805513</v>
      </c>
      <c r="AV249" s="152">
        <f t="shared" ref="AV249" si="1269">AU249*(1+$N$249)</f>
        <v>1440.7950072326339</v>
      </c>
      <c r="AW249" s="152">
        <f t="shared" ref="AW249" si="1270">AV249*(1+$N$249)</f>
        <v>1656.9142583175289</v>
      </c>
      <c r="AX249" s="152">
        <f t="shared" ref="AX249" si="1271">AW249*(1+$N$249)</f>
        <v>1905.4513970651581</v>
      </c>
      <c r="AY249" s="152">
        <f t="shared" ref="AY249" si="1272">AX249*(1+$N$249)</f>
        <v>2191.2691066249317</v>
      </c>
      <c r="AZ249" s="152">
        <f t="shared" ref="AZ249" si="1273">AY249*(1+$N$249)</f>
        <v>2519.9594726186715</v>
      </c>
    </row>
    <row r="250" spans="2:52" x14ac:dyDescent="0.15">
      <c r="B250" s="10" t="s">
        <v>212</v>
      </c>
      <c r="C250" s="10"/>
      <c r="D250" s="10"/>
      <c r="E250" s="13" t="s">
        <v>208</v>
      </c>
      <c r="F250" s="13"/>
      <c r="G250" s="13"/>
      <c r="H250" s="13"/>
      <c r="I250" s="12"/>
      <c r="J250" s="155">
        <v>0</v>
      </c>
      <c r="K250" s="156">
        <f>U207</f>
        <v>26.318642241379312</v>
      </c>
      <c r="L250" s="155">
        <v>0.05</v>
      </c>
      <c r="M250" s="154"/>
      <c r="N250" s="150">
        <v>0.15</v>
      </c>
      <c r="O250" s="155">
        <v>0.12</v>
      </c>
      <c r="P250" s="154"/>
      <c r="Q250" s="155">
        <v>0.2</v>
      </c>
      <c r="R250" s="155"/>
      <c r="S250" s="162" t="s">
        <v>267</v>
      </c>
      <c r="T250" s="147">
        <f>V205/V76</f>
        <v>28.090710625974605</v>
      </c>
      <c r="U250" s="147" t="s">
        <v>268</v>
      </c>
      <c r="V250" s="147"/>
      <c r="W250" s="147"/>
      <c r="X250" s="147"/>
      <c r="Y250" s="147"/>
      <c r="Z250" s="152">
        <f>U76*(1+$N$250)</f>
        <v>82.409266409266408</v>
      </c>
      <c r="AA250" s="152">
        <f>Z250*(1+$N$250)</f>
        <v>94.770656370656368</v>
      </c>
      <c r="AB250" s="152">
        <f t="shared" ref="AB250:AI250" si="1274">AA250*(1+$N$250)</f>
        <v>108.98625482625482</v>
      </c>
      <c r="AC250" s="152">
        <f t="shared" si="1274"/>
        <v>125.33419305019304</v>
      </c>
      <c r="AD250" s="152">
        <f t="shared" si="1274"/>
        <v>144.13432200772198</v>
      </c>
      <c r="AE250" s="152">
        <f t="shared" si="1274"/>
        <v>165.75447030888026</v>
      </c>
      <c r="AF250" s="152">
        <f t="shared" si="1274"/>
        <v>190.61764085521227</v>
      </c>
      <c r="AG250" s="152">
        <f t="shared" si="1274"/>
        <v>219.21028698349409</v>
      </c>
      <c r="AH250" s="152">
        <f t="shared" si="1274"/>
        <v>252.09183003101819</v>
      </c>
      <c r="AI250" s="152">
        <f t="shared" si="1274"/>
        <v>289.90560453567088</v>
      </c>
      <c r="AJ250" s="152">
        <f t="shared" ref="AJ250" si="1275">AI250*(1+$N$250)</f>
        <v>333.39144521602145</v>
      </c>
      <c r="AK250" s="152">
        <f t="shared" ref="AK250" si="1276">AJ250*(1+$N$250)</f>
        <v>383.40016199842466</v>
      </c>
      <c r="AL250" s="152">
        <f t="shared" ref="AL250" si="1277">AK250*(1+$N$250)</f>
        <v>440.91018629818831</v>
      </c>
      <c r="AM250" s="152">
        <f t="shared" ref="AM250" si="1278">AL250*(1+$N$250)</f>
        <v>507.04671424291649</v>
      </c>
      <c r="AN250" s="152">
        <f t="shared" ref="AN250" si="1279">AM250*(1+$N$250)</f>
        <v>583.10372137935394</v>
      </c>
      <c r="AO250" s="152">
        <f t="shared" ref="AO250" si="1280">AN250*(1+$N$250)</f>
        <v>670.56927958625693</v>
      </c>
      <c r="AP250" s="152">
        <f t="shared" ref="AP250" si="1281">AO250*(1+$N$250)</f>
        <v>771.15467152419535</v>
      </c>
      <c r="AQ250" s="152">
        <f t="shared" ref="AQ250" si="1282">AP250*(1+$N$250)</f>
        <v>886.82787225282459</v>
      </c>
      <c r="AR250" s="152">
        <f t="shared" ref="AR250" si="1283">AQ250*(1+$N$250)</f>
        <v>1019.8520530907482</v>
      </c>
      <c r="AS250" s="152">
        <f t="shared" ref="AS250" si="1284">AR250*(1+$N$250)</f>
        <v>1172.8298610543604</v>
      </c>
      <c r="AT250" s="152">
        <f t="shared" ref="AT250" si="1285">AS250*(1+$N$250)</f>
        <v>1348.7543402125143</v>
      </c>
      <c r="AU250" s="152">
        <f t="shared" ref="AU250" si="1286">AT250*(1+$N$250)</f>
        <v>1551.0674912443912</v>
      </c>
      <c r="AV250" s="152">
        <f t="shared" ref="AV250" si="1287">AU250*(1+$N$250)</f>
        <v>1783.7276149310499</v>
      </c>
      <c r="AW250" s="152">
        <f t="shared" ref="AW250" si="1288">AV250*(1+$N$250)</f>
        <v>2051.286757170707</v>
      </c>
      <c r="AX250" s="152">
        <f t="shared" ref="AX250" si="1289">AW250*(1+$N$250)</f>
        <v>2358.9797707463131</v>
      </c>
      <c r="AY250" s="152">
        <f t="shared" ref="AY250" si="1290">AX250*(1+$N$250)</f>
        <v>2712.82673635826</v>
      </c>
      <c r="AZ250" s="152">
        <f t="shared" ref="AZ250" si="1291">AY250*(1+$N$250)</f>
        <v>3119.7507468119989</v>
      </c>
    </row>
    <row r="251" spans="2:52" x14ac:dyDescent="0.15">
      <c r="B251" s="10"/>
      <c r="C251" s="10"/>
      <c r="D251" s="10"/>
      <c r="E251" s="13" t="s">
        <v>253</v>
      </c>
      <c r="F251" s="13"/>
      <c r="G251" s="13"/>
      <c r="H251" s="13"/>
      <c r="I251" s="12"/>
      <c r="J251" s="155">
        <v>0</v>
      </c>
      <c r="K251" s="156"/>
      <c r="L251" s="155">
        <v>0.05</v>
      </c>
      <c r="M251" s="154"/>
      <c r="N251" s="154"/>
      <c r="O251" s="155">
        <v>0.12</v>
      </c>
      <c r="P251" s="154"/>
      <c r="Q251" s="155">
        <v>0.2</v>
      </c>
      <c r="R251" s="155"/>
      <c r="S251" s="10"/>
      <c r="T251" s="10"/>
      <c r="U251" s="10"/>
      <c r="V251" s="10"/>
      <c r="W251" s="10"/>
      <c r="X251" s="10"/>
      <c r="Y251" s="10"/>
      <c r="Z251" s="10">
        <f>V205-Z250</f>
        <v>2235.5907335907336</v>
      </c>
      <c r="AA251" s="151">
        <f>Z251-AA250</f>
        <v>2140.8200772200771</v>
      </c>
      <c r="AB251" s="151">
        <f t="shared" ref="AB251:AG251" si="1292">AA251-AB250</f>
        <v>2031.8338223938222</v>
      </c>
      <c r="AC251" s="151">
        <f t="shared" si="1292"/>
        <v>1906.4996293436291</v>
      </c>
      <c r="AD251" s="151">
        <f t="shared" si="1292"/>
        <v>1762.3653073359071</v>
      </c>
      <c r="AE251" s="151">
        <f t="shared" si="1292"/>
        <v>1596.6108370270269</v>
      </c>
      <c r="AF251" s="151">
        <f t="shared" si="1292"/>
        <v>1405.9931961718146</v>
      </c>
      <c r="AG251" s="151">
        <f t="shared" si="1292"/>
        <v>1186.7829091883204</v>
      </c>
      <c r="AH251" s="151">
        <f>AG251-AH250</f>
        <v>934.69107915730228</v>
      </c>
      <c r="AI251" s="151">
        <f t="shared" ref="AI251" si="1293">AH251-AI250</f>
        <v>644.78547462163147</v>
      </c>
      <c r="AJ251" s="151">
        <f t="shared" ref="AJ251" si="1294">AI251-AJ250</f>
        <v>311.39402940561001</v>
      </c>
      <c r="AK251" s="151">
        <f t="shared" ref="AK251" si="1295">AJ251-AK250</f>
        <v>-72.006132592814652</v>
      </c>
      <c r="AL251" s="151">
        <f t="shared" ref="AL251" si="1296">AK251-AL250</f>
        <v>-512.9163188910029</v>
      </c>
      <c r="AM251" s="151">
        <f t="shared" ref="AM251" si="1297">AL251-AM250</f>
        <v>-1019.9630331339195</v>
      </c>
      <c r="AN251" s="151">
        <f t="shared" ref="AN251" si="1298">AM251-AN250</f>
        <v>-1603.0667545132733</v>
      </c>
      <c r="AO251" s="151">
        <f t="shared" ref="AO251" si="1299">AN251-AO250</f>
        <v>-2273.6360340995302</v>
      </c>
      <c r="AP251" s="151">
        <f t="shared" ref="AP251" si="1300">AO251-AP250</f>
        <v>-3044.7907056237254</v>
      </c>
      <c r="AQ251" s="151">
        <f t="shared" ref="AQ251" si="1301">AP251-AQ250</f>
        <v>-3931.6185778765503</v>
      </c>
      <c r="AR251" s="151">
        <f t="shared" ref="AR251" si="1302">AQ251-AR250</f>
        <v>-4951.4706309672983</v>
      </c>
      <c r="AS251" s="151">
        <f t="shared" ref="AS251" si="1303">AR251-AS250</f>
        <v>-6124.300492021659</v>
      </c>
      <c r="AT251" s="151">
        <f t="shared" ref="AT251" si="1304">AS251-AT250</f>
        <v>-7473.0548322341729</v>
      </c>
      <c r="AU251" s="151">
        <f t="shared" ref="AU251" si="1305">AT251-AU250</f>
        <v>-9024.1223234785648</v>
      </c>
      <c r="AV251" s="151">
        <f t="shared" ref="AV251" si="1306">AU251-AV250</f>
        <v>-10807.849938409614</v>
      </c>
      <c r="AW251" s="151">
        <f t="shared" ref="AW251" si="1307">AV251-AW250</f>
        <v>-12859.136695580321</v>
      </c>
      <c r="AX251" s="151">
        <f t="shared" ref="AX251" si="1308">AW251-AX250</f>
        <v>-15218.116466326634</v>
      </c>
      <c r="AY251" s="151">
        <f t="shared" ref="AY251" si="1309">AX251-AY250</f>
        <v>-17930.943202684895</v>
      </c>
      <c r="AZ251" s="151">
        <f t="shared" ref="AZ251" si="1310">AY251-AZ250</f>
        <v>-21050.693949496894</v>
      </c>
    </row>
    <row r="252" spans="2:52" x14ac:dyDescent="0.15">
      <c r="B252" s="89" t="s">
        <v>127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2:52" x14ac:dyDescent="0.15">
      <c r="B253" s="10" t="s">
        <v>130</v>
      </c>
      <c r="C253" s="15"/>
      <c r="D253" s="15"/>
      <c r="E253" s="15"/>
      <c r="F253" s="15"/>
      <c r="G253" s="15"/>
      <c r="H253" s="15" t="e">
        <f t="shared" ref="H253:I253" si="1311">H10/H7</f>
        <v>#DIV/0!</v>
      </c>
      <c r="I253" s="15">
        <f t="shared" si="1311"/>
        <v>0</v>
      </c>
      <c r="J253" s="15">
        <f t="shared" ref="J253:U253" si="1312">J10/J7</f>
        <v>0</v>
      </c>
      <c r="K253" s="15">
        <f t="shared" si="1312"/>
        <v>0</v>
      </c>
      <c r="L253" s="15">
        <f t="shared" si="1312"/>
        <v>0</v>
      </c>
      <c r="M253" s="15">
        <f t="shared" si="1312"/>
        <v>0</v>
      </c>
      <c r="N253" s="15">
        <f t="shared" si="1312"/>
        <v>0</v>
      </c>
      <c r="O253" s="15">
        <f t="shared" si="1312"/>
        <v>0</v>
      </c>
      <c r="P253" s="15">
        <f t="shared" si="1312"/>
        <v>0</v>
      </c>
      <c r="Q253" s="15">
        <f t="shared" si="1312"/>
        <v>0</v>
      </c>
      <c r="R253" s="15">
        <f t="shared" ref="R253" si="1313">R10/R7</f>
        <v>0</v>
      </c>
      <c r="S253" s="15">
        <f t="shared" si="1312"/>
        <v>0</v>
      </c>
      <c r="T253" s="15">
        <f t="shared" si="1312"/>
        <v>0</v>
      </c>
      <c r="U253" s="15">
        <f t="shared" si="1312"/>
        <v>0</v>
      </c>
      <c r="V253" s="15">
        <f t="shared" ref="V253:Z253" si="1314">V10/V7</f>
        <v>0</v>
      </c>
      <c r="W253" s="15">
        <f t="shared" ref="W253:X253" si="1315">W10/W7</f>
        <v>0</v>
      </c>
      <c r="X253" s="15">
        <f t="shared" si="1315"/>
        <v>0</v>
      </c>
      <c r="Y253" s="15"/>
      <c r="Z253" s="15">
        <f t="shared" si="1314"/>
        <v>0</v>
      </c>
      <c r="AA253" s="96" t="e">
        <f t="shared" ref="AA253:AA255" si="1316">((V253/G253)^(1/($K$2-$K$1) ))-1</f>
        <v>#DIV/0!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2:52" x14ac:dyDescent="0.15">
      <c r="B254" s="10" t="s">
        <v>131</v>
      </c>
      <c r="C254" s="91"/>
      <c r="D254" s="91"/>
      <c r="E254" s="91"/>
      <c r="F254" s="91"/>
      <c r="G254" s="91"/>
      <c r="H254" s="91" t="e">
        <f t="shared" ref="H254:I254" si="1317">H10/H12</f>
        <v>#DIV/0!</v>
      </c>
      <c r="I254" s="91" t="e">
        <f t="shared" si="1317"/>
        <v>#DIV/0!</v>
      </c>
      <c r="J254" s="91" t="e">
        <f t="shared" ref="J254:U254" si="1318">J10/J12</f>
        <v>#DIV/0!</v>
      </c>
      <c r="K254" s="91" t="e">
        <f t="shared" si="1318"/>
        <v>#DIV/0!</v>
      </c>
      <c r="L254" s="91" t="e">
        <f t="shared" si="1318"/>
        <v>#DIV/0!</v>
      </c>
      <c r="M254" s="91" t="e">
        <f t="shared" si="1318"/>
        <v>#DIV/0!</v>
      </c>
      <c r="N254" s="91" t="e">
        <f t="shared" si="1318"/>
        <v>#DIV/0!</v>
      </c>
      <c r="O254" s="91" t="e">
        <f t="shared" si="1318"/>
        <v>#DIV/0!</v>
      </c>
      <c r="P254" s="91" t="e">
        <f t="shared" si="1318"/>
        <v>#DIV/0!</v>
      </c>
      <c r="Q254" s="91" t="e">
        <f t="shared" si="1318"/>
        <v>#DIV/0!</v>
      </c>
      <c r="R254" s="91" t="e">
        <f t="shared" ref="R254" si="1319">R10/R12</f>
        <v>#DIV/0!</v>
      </c>
      <c r="S254" s="91" t="e">
        <f t="shared" si="1318"/>
        <v>#DIV/0!</v>
      </c>
      <c r="T254" s="91" t="e">
        <f t="shared" si="1318"/>
        <v>#DIV/0!</v>
      </c>
      <c r="U254" s="91" t="e">
        <f t="shared" si="1318"/>
        <v>#DIV/0!</v>
      </c>
      <c r="V254" s="91" t="e">
        <f t="shared" ref="V254:Z254" si="1320">V10/V12</f>
        <v>#DIV/0!</v>
      </c>
      <c r="W254" s="91" t="e">
        <f t="shared" ref="W254:X254" si="1321">W10/W12</f>
        <v>#DIV/0!</v>
      </c>
      <c r="X254" s="91" t="e">
        <f t="shared" si="1321"/>
        <v>#DIV/0!</v>
      </c>
      <c r="Y254" s="91"/>
      <c r="Z254" s="91" t="e">
        <f t="shared" si="1320"/>
        <v>#DIV/0!</v>
      </c>
      <c r="AA254" s="96" t="e">
        <f t="shared" si="1316"/>
        <v>#DIV/0!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2:52" x14ac:dyDescent="0.15">
      <c r="B255" s="10" t="s">
        <v>132</v>
      </c>
      <c r="C255" s="15"/>
      <c r="D255" s="15"/>
      <c r="E255" s="15"/>
      <c r="F255" s="15"/>
      <c r="G255" s="15"/>
      <c r="H255" s="15" t="e">
        <f t="shared" ref="H255:I255" si="1322">H10/(H12+H13)</f>
        <v>#DIV/0!</v>
      </c>
      <c r="I255" s="15" t="e">
        <f t="shared" si="1322"/>
        <v>#DIV/0!</v>
      </c>
      <c r="J255" s="15" t="e">
        <f t="shared" ref="J255:U255" si="1323">J10/(J12+J13)</f>
        <v>#DIV/0!</v>
      </c>
      <c r="K255" s="15" t="e">
        <f t="shared" si="1323"/>
        <v>#DIV/0!</v>
      </c>
      <c r="L255" s="15" t="e">
        <f t="shared" si="1323"/>
        <v>#DIV/0!</v>
      </c>
      <c r="M255" s="15" t="e">
        <f t="shared" si="1323"/>
        <v>#DIV/0!</v>
      </c>
      <c r="N255" s="15" t="e">
        <f t="shared" si="1323"/>
        <v>#DIV/0!</v>
      </c>
      <c r="O255" s="15" t="e">
        <f t="shared" si="1323"/>
        <v>#DIV/0!</v>
      </c>
      <c r="P255" s="15" t="e">
        <f t="shared" si="1323"/>
        <v>#DIV/0!</v>
      </c>
      <c r="Q255" s="15" t="e">
        <f t="shared" si="1323"/>
        <v>#DIV/0!</v>
      </c>
      <c r="R255" s="15" t="e">
        <f t="shared" ref="R255" si="1324">R10/(R12+R13)</f>
        <v>#DIV/0!</v>
      </c>
      <c r="S255" s="15" t="e">
        <f t="shared" si="1323"/>
        <v>#DIV/0!</v>
      </c>
      <c r="T255" s="15" t="e">
        <f t="shared" si="1323"/>
        <v>#DIV/0!</v>
      </c>
      <c r="U255" s="15" t="e">
        <f t="shared" si="1323"/>
        <v>#DIV/0!</v>
      </c>
      <c r="V255" s="15" t="e">
        <f t="shared" ref="V255:Z255" si="1325">V10/(V12+V13)</f>
        <v>#DIV/0!</v>
      </c>
      <c r="W255" s="15" t="e">
        <f t="shared" ref="W255:X255" si="1326">W10/(W12+W13)</f>
        <v>#DIV/0!</v>
      </c>
      <c r="X255" s="15" t="e">
        <f t="shared" si="1326"/>
        <v>#DIV/0!</v>
      </c>
      <c r="Y255" s="15"/>
      <c r="Z255" s="15" t="e">
        <f t="shared" si="1325"/>
        <v>#DIV/0!</v>
      </c>
      <c r="AA255" s="96" t="e">
        <f t="shared" si="1316"/>
        <v>#DIV/0!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2:52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2:41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41" ht="15" customHeight="1" x14ac:dyDescent="0.15">
      <c r="B258" s="10"/>
      <c r="C258" s="140" t="s">
        <v>194</v>
      </c>
      <c r="D258" s="141"/>
      <c r="E258" s="141"/>
      <c r="F258" s="141"/>
      <c r="G258" s="141"/>
      <c r="H258" s="141"/>
      <c r="I258" s="141"/>
      <c r="J258" s="141"/>
      <c r="K258" s="141"/>
      <c r="L258" s="141"/>
      <c r="M258" s="185" t="s">
        <v>307</v>
      </c>
      <c r="N258" s="185"/>
      <c r="O258" s="185"/>
      <c r="P258" s="186"/>
      <c r="Q258" s="10"/>
      <c r="R258" s="10"/>
      <c r="S258" s="13"/>
      <c r="T258" s="134"/>
      <c r="U258" s="134"/>
      <c r="V258" s="134"/>
      <c r="W258" s="134"/>
      <c r="X258" s="134"/>
      <c r="Y258" s="134"/>
      <c r="Z258" s="134"/>
      <c r="AA258" s="135"/>
      <c r="AB258" s="135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41" x14ac:dyDescent="0.15">
      <c r="B259" s="10"/>
      <c r="C259" s="133" t="s">
        <v>157</v>
      </c>
      <c r="D259" s="133" t="s">
        <v>0</v>
      </c>
      <c r="E259" s="133" t="s">
        <v>195</v>
      </c>
      <c r="F259" s="133"/>
      <c r="G259" s="133" t="s">
        <v>196</v>
      </c>
      <c r="H259" s="133" t="s">
        <v>197</v>
      </c>
      <c r="I259" s="133" t="s">
        <v>198</v>
      </c>
      <c r="J259" s="133" t="s">
        <v>199</v>
      </c>
      <c r="K259" s="133" t="s">
        <v>200</v>
      </c>
      <c r="L259" s="10"/>
      <c r="M259" s="133" t="s">
        <v>157</v>
      </c>
      <c r="N259" s="133"/>
      <c r="O259" s="133" t="s">
        <v>0</v>
      </c>
      <c r="P259" s="133" t="s">
        <v>189</v>
      </c>
      <c r="Q259" s="10"/>
      <c r="R259" s="10"/>
      <c r="S259" s="10"/>
      <c r="T259" s="136"/>
      <c r="U259" s="136"/>
      <c r="V259" s="136"/>
      <c r="W259" s="136"/>
      <c r="X259" s="136"/>
      <c r="Y259" s="136"/>
      <c r="Z259" s="136"/>
      <c r="AA259" s="137"/>
      <c r="AB259" s="137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2:41" x14ac:dyDescent="0.15">
      <c r="B260" s="10"/>
      <c r="C260" s="134" t="s">
        <v>158</v>
      </c>
      <c r="D260" s="11">
        <v>1100</v>
      </c>
      <c r="E260" s="142" t="s">
        <v>201</v>
      </c>
      <c r="F260" s="142"/>
      <c r="G260" s="12">
        <v>1</v>
      </c>
      <c r="H260" s="12">
        <v>1</v>
      </c>
      <c r="I260" s="134">
        <f>G260/H260</f>
        <v>1</v>
      </c>
      <c r="J260" s="134">
        <f>I260*D261</f>
        <v>1</v>
      </c>
      <c r="K260" s="143">
        <f>J260+D261</f>
        <v>2</v>
      </c>
      <c r="L260" s="10"/>
      <c r="M260" s="134" t="s">
        <v>158</v>
      </c>
      <c r="N260" s="134"/>
      <c r="O260" s="11">
        <v>37</v>
      </c>
      <c r="P260" s="139">
        <f>O260</f>
        <v>37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2:41" x14ac:dyDescent="0.15">
      <c r="B261" s="10"/>
      <c r="C261" s="134" t="s">
        <v>159</v>
      </c>
      <c r="D261" s="11">
        <v>1</v>
      </c>
      <c r="E261" s="142" t="s">
        <v>202</v>
      </c>
      <c r="F261" s="142"/>
      <c r="G261" s="12">
        <v>0</v>
      </c>
      <c r="H261" s="12">
        <v>1</v>
      </c>
      <c r="I261" s="134">
        <f>G261/H261</f>
        <v>0</v>
      </c>
      <c r="J261" s="134">
        <f>I261*K260</f>
        <v>0</v>
      </c>
      <c r="K261" s="134">
        <f>J261+K260</f>
        <v>2</v>
      </c>
      <c r="L261" s="10"/>
      <c r="M261" s="134" t="s">
        <v>159</v>
      </c>
      <c r="N261" s="134"/>
      <c r="O261" s="11">
        <v>1</v>
      </c>
      <c r="P261" s="139">
        <f>O261</f>
        <v>1</v>
      </c>
      <c r="Q261" s="10"/>
      <c r="R261" s="10"/>
      <c r="S261" s="10"/>
      <c r="T261" s="134"/>
      <c r="U261" s="134"/>
      <c r="V261" s="134"/>
      <c r="W261" s="134"/>
      <c r="X261" s="134"/>
      <c r="Y261" s="134"/>
      <c r="Z261" s="134"/>
      <c r="AA261" s="135"/>
      <c r="AB261" s="135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2:41" x14ac:dyDescent="0.15">
      <c r="B262" s="10"/>
      <c r="C262" s="134" t="s">
        <v>161</v>
      </c>
      <c r="D262" s="135">
        <f>D260*D261</f>
        <v>1100</v>
      </c>
      <c r="E262" s="142" t="s">
        <v>214</v>
      </c>
      <c r="F262" s="142"/>
      <c r="G262" s="12">
        <v>0</v>
      </c>
      <c r="H262" s="12">
        <v>1</v>
      </c>
      <c r="I262" s="134">
        <f>G262/H262</f>
        <v>0</v>
      </c>
      <c r="J262" s="134">
        <f>I262*K261</f>
        <v>0</v>
      </c>
      <c r="K262" s="134">
        <f>J262+K261</f>
        <v>2</v>
      </c>
      <c r="L262" s="10"/>
      <c r="M262" s="134" t="s">
        <v>160</v>
      </c>
      <c r="N262" s="134"/>
      <c r="O262" s="135">
        <f>O260*O261</f>
        <v>37</v>
      </c>
      <c r="P262" s="139">
        <f>O262</f>
        <v>37</v>
      </c>
      <c r="Q262" s="10"/>
      <c r="R262" s="10"/>
      <c r="S262" s="10"/>
      <c r="T262" s="136"/>
      <c r="U262" s="136"/>
      <c r="V262" s="136"/>
      <c r="W262" s="136"/>
      <c r="X262" s="136"/>
      <c r="Y262" s="136"/>
      <c r="Z262" s="136"/>
      <c r="AA262" s="137"/>
      <c r="AB262" s="137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2:41" x14ac:dyDescent="0.15">
      <c r="B263" s="10"/>
      <c r="C263" s="134"/>
      <c r="D263" s="135"/>
      <c r="E263" s="142" t="s">
        <v>254</v>
      </c>
      <c r="F263" s="142"/>
      <c r="G263" s="12">
        <v>0</v>
      </c>
      <c r="H263" s="12">
        <v>1</v>
      </c>
      <c r="I263" s="134">
        <f t="shared" ref="I263:I266" si="1327">G263/H263</f>
        <v>0</v>
      </c>
      <c r="J263" s="134">
        <f t="shared" ref="J263:J265" si="1328">I263*K262</f>
        <v>0</v>
      </c>
      <c r="K263" s="134">
        <f t="shared" ref="K263:K265" si="1329">J263+K262</f>
        <v>2</v>
      </c>
      <c r="L263" s="10"/>
      <c r="M263" s="134" t="s">
        <v>162</v>
      </c>
      <c r="N263" s="134"/>
      <c r="O263" s="11">
        <v>1615</v>
      </c>
      <c r="P263" s="11">
        <v>1700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2:41" x14ac:dyDescent="0.15">
      <c r="B264" s="10"/>
      <c r="C264" s="134"/>
      <c r="D264" s="135"/>
      <c r="E264" s="142" t="s">
        <v>255</v>
      </c>
      <c r="F264" s="142"/>
      <c r="G264" s="12">
        <v>0</v>
      </c>
      <c r="H264" s="12">
        <v>1</v>
      </c>
      <c r="I264" s="134">
        <f t="shared" si="1327"/>
        <v>0</v>
      </c>
      <c r="J264" s="134">
        <f t="shared" si="1328"/>
        <v>0</v>
      </c>
      <c r="K264" s="134">
        <f t="shared" si="1329"/>
        <v>2</v>
      </c>
      <c r="L264" s="10"/>
      <c r="M264" s="134" t="s">
        <v>163</v>
      </c>
      <c r="N264" s="134"/>
      <c r="O264" s="135">
        <f>O263*O261</f>
        <v>1615</v>
      </c>
      <c r="P264" s="135">
        <f>P263*P261</f>
        <v>1700</v>
      </c>
      <c r="Q264" s="10"/>
      <c r="R264" s="10"/>
      <c r="S264" s="10"/>
      <c r="T264" s="134"/>
      <c r="U264" s="134"/>
      <c r="V264" s="134"/>
      <c r="W264" s="134"/>
      <c r="X264" s="134"/>
      <c r="Y264" s="134"/>
      <c r="Z264" s="134"/>
      <c r="AA264" s="135"/>
      <c r="AB264" s="135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2:41" x14ac:dyDescent="0.15">
      <c r="B265" s="10"/>
      <c r="C265" s="134"/>
      <c r="D265" s="135"/>
      <c r="E265" s="142" t="s">
        <v>256</v>
      </c>
      <c r="F265" s="142"/>
      <c r="G265" s="12">
        <v>0</v>
      </c>
      <c r="H265" s="12">
        <v>1</v>
      </c>
      <c r="I265" s="134">
        <f t="shared" si="1327"/>
        <v>0</v>
      </c>
      <c r="J265" s="134">
        <f t="shared" si="1328"/>
        <v>0</v>
      </c>
      <c r="K265" s="134">
        <f t="shared" si="1329"/>
        <v>2</v>
      </c>
      <c r="L265" s="10"/>
      <c r="M265" s="134"/>
      <c r="N265" s="134"/>
      <c r="O265" s="135"/>
      <c r="P265" s="135"/>
      <c r="Q265" s="10"/>
      <c r="R265" s="10"/>
      <c r="S265" s="10"/>
      <c r="T265" s="136"/>
      <c r="U265" s="136"/>
      <c r="V265" s="136"/>
      <c r="W265" s="136"/>
      <c r="X265" s="136"/>
      <c r="Y265" s="136"/>
      <c r="Z265" s="136"/>
      <c r="AA265" s="137"/>
      <c r="AB265" s="137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2:41" x14ac:dyDescent="0.15">
      <c r="B266" s="10"/>
      <c r="C266" s="134"/>
      <c r="D266" s="135"/>
      <c r="E266" s="142" t="s">
        <v>203</v>
      </c>
      <c r="F266" s="142"/>
      <c r="G266" s="12">
        <v>10</v>
      </c>
      <c r="H266" s="12">
        <v>2</v>
      </c>
      <c r="I266" s="134">
        <f t="shared" si="1327"/>
        <v>5</v>
      </c>
      <c r="J266" s="134">
        <f>I266*K265</f>
        <v>10</v>
      </c>
      <c r="K266" s="134">
        <f>J266</f>
        <v>10</v>
      </c>
      <c r="L266" s="10"/>
      <c r="M266" s="134"/>
      <c r="N266" s="134"/>
      <c r="O266" s="135"/>
      <c r="P266" s="135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2:41" x14ac:dyDescent="0.15">
      <c r="B267" s="10"/>
      <c r="C267" s="134"/>
      <c r="D267" s="135"/>
      <c r="E267" s="142" t="s">
        <v>257</v>
      </c>
      <c r="F267" s="142"/>
      <c r="G267" s="12">
        <v>2</v>
      </c>
      <c r="H267" s="12">
        <v>1</v>
      </c>
      <c r="I267" s="134">
        <f>G267/H267</f>
        <v>2</v>
      </c>
      <c r="J267" s="134">
        <f>I267*K266</f>
        <v>20</v>
      </c>
      <c r="K267" s="134">
        <f>J267</f>
        <v>20</v>
      </c>
      <c r="L267" s="10"/>
      <c r="M267" s="136" t="s">
        <v>164</v>
      </c>
      <c r="N267" s="136"/>
      <c r="O267" s="137">
        <f>O264/O262</f>
        <v>43.648648648648646</v>
      </c>
      <c r="P267" s="137">
        <f>P264/P262</f>
        <v>45.945945945945944</v>
      </c>
      <c r="Q267" s="10"/>
      <c r="R267" s="10"/>
      <c r="S267" s="10"/>
      <c r="T267" s="136"/>
      <c r="U267" s="136"/>
      <c r="V267" s="136"/>
      <c r="W267" s="136"/>
      <c r="X267" s="136"/>
      <c r="Y267" s="136"/>
      <c r="Z267" s="136"/>
      <c r="AA267" s="137"/>
      <c r="AB267" s="137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2:41" x14ac:dyDescent="0.15">
      <c r="B268" s="10"/>
      <c r="C268" s="134" t="s">
        <v>162</v>
      </c>
      <c r="D268" s="11">
        <v>1617</v>
      </c>
      <c r="E268" s="142"/>
      <c r="F268" s="142"/>
      <c r="G268" s="134"/>
      <c r="H268" s="134"/>
      <c r="I268" s="136" t="s">
        <v>204</v>
      </c>
      <c r="J268" s="134"/>
      <c r="K268" s="134">
        <f>K267</f>
        <v>20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2:41" x14ac:dyDescent="0.15">
      <c r="B269" s="10"/>
      <c r="C269" s="134" t="s">
        <v>159</v>
      </c>
      <c r="D269" s="11">
        <v>20</v>
      </c>
      <c r="E269" s="142" t="s">
        <v>203</v>
      </c>
      <c r="F269" s="142"/>
      <c r="G269" s="12">
        <v>10</v>
      </c>
      <c r="H269" s="12">
        <v>2</v>
      </c>
      <c r="I269" s="134">
        <f>G269/H269</f>
        <v>5</v>
      </c>
      <c r="J269" s="143">
        <f>I269*D261</f>
        <v>5</v>
      </c>
      <c r="K269" s="143">
        <f>J269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2:41" x14ac:dyDescent="0.15">
      <c r="B270" s="10"/>
      <c r="C270" s="134" t="s">
        <v>161</v>
      </c>
      <c r="D270" s="135">
        <f>D269*D268</f>
        <v>32340</v>
      </c>
      <c r="E270" s="134"/>
      <c r="F270" s="134"/>
      <c r="G270" s="134"/>
      <c r="H270" s="134"/>
      <c r="I270" s="136" t="s">
        <v>204</v>
      </c>
      <c r="J270" s="134"/>
      <c r="K270" s="134">
        <f>K269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2:41" x14ac:dyDescent="0.15">
      <c r="B271" s="10"/>
      <c r="C271" s="134"/>
      <c r="D271" s="135"/>
      <c r="E271" s="142" t="s">
        <v>203</v>
      </c>
      <c r="F271" s="142"/>
      <c r="G271" s="12">
        <v>10</v>
      </c>
      <c r="H271" s="12">
        <v>2</v>
      </c>
      <c r="I271" s="134">
        <f>G271/H271</f>
        <v>5</v>
      </c>
      <c r="J271" s="134">
        <f>I271*K270</f>
        <v>25</v>
      </c>
      <c r="K271" s="134">
        <f>J271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2:41" x14ac:dyDescent="0.15">
      <c r="B272" s="10"/>
      <c r="C272" s="136" t="s">
        <v>164</v>
      </c>
      <c r="D272" s="137">
        <f>D270/D262</f>
        <v>29.4</v>
      </c>
      <c r="E272" s="142"/>
      <c r="F272" s="142"/>
      <c r="G272" s="134"/>
      <c r="H272" s="134"/>
      <c r="I272" s="136" t="s">
        <v>204</v>
      </c>
      <c r="J272" s="134"/>
      <c r="K272" s="134">
        <f>K271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2:39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2:39" x14ac:dyDescent="0.15">
      <c r="B274" s="10"/>
      <c r="C274" s="10"/>
      <c r="D274" s="108"/>
      <c r="E274" s="144"/>
      <c r="F274" s="144"/>
      <c r="G274" s="144"/>
      <c r="H274" s="144"/>
      <c r="I274" s="144"/>
      <c r="J274" s="145"/>
      <c r="K274" s="10"/>
      <c r="L274" s="108"/>
      <c r="M274" s="144"/>
      <c r="N274" s="145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2:39" ht="14" x14ac:dyDescent="0.15">
      <c r="B275" s="10"/>
      <c r="C275" s="10"/>
      <c r="D275" s="176" t="s">
        <v>14</v>
      </c>
      <c r="E275" s="177"/>
      <c r="F275" s="177"/>
      <c r="G275" s="177"/>
      <c r="H275" s="177"/>
      <c r="I275" s="177"/>
      <c r="J275" s="178"/>
      <c r="K275" s="10"/>
      <c r="L275" s="176" t="s">
        <v>209</v>
      </c>
      <c r="M275" s="177"/>
      <c r="N275" s="178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2:39" x14ac:dyDescent="0.15">
      <c r="B276" s="10"/>
      <c r="C276" s="10"/>
      <c r="D276" s="10" t="s">
        <v>15</v>
      </c>
      <c r="E276" s="103"/>
      <c r="F276" s="103"/>
      <c r="G276" s="103">
        <f>D262</f>
        <v>1100</v>
      </c>
      <c r="H276" s="11">
        <f>D262</f>
        <v>1100</v>
      </c>
      <c r="I276" s="10"/>
      <c r="J276" s="10"/>
      <c r="K276" s="10"/>
      <c r="L276" s="10" t="s">
        <v>15</v>
      </c>
      <c r="M276" s="103"/>
      <c r="N276" s="11">
        <f>H276</f>
        <v>1100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2:39" x14ac:dyDescent="0.15">
      <c r="B277" s="10"/>
      <c r="C277" s="10"/>
      <c r="D277" s="10" t="s">
        <v>16</v>
      </c>
      <c r="E277" s="103"/>
      <c r="F277" s="103"/>
      <c r="G277" s="103">
        <f>D270</f>
        <v>32340</v>
      </c>
      <c r="H277" s="11">
        <f>D270</f>
        <v>32340</v>
      </c>
      <c r="I277" s="10"/>
      <c r="J277" s="10"/>
      <c r="K277" s="10"/>
      <c r="L277" s="10" t="s">
        <v>16</v>
      </c>
      <c r="M277" s="10"/>
      <c r="N277" s="11">
        <f>H277</f>
        <v>32340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2:39" x14ac:dyDescent="0.15">
      <c r="B278" s="10"/>
      <c r="C278" s="10"/>
      <c r="D278" s="10" t="s">
        <v>17</v>
      </c>
      <c r="E278" s="10"/>
      <c r="F278" s="10"/>
      <c r="G278" s="12">
        <v>20</v>
      </c>
      <c r="H278" s="12">
        <v>15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2:39" x14ac:dyDescent="0.15">
      <c r="B279" s="10"/>
      <c r="C279" s="10"/>
      <c r="D279" s="13" t="s">
        <v>18</v>
      </c>
      <c r="E279" s="3"/>
      <c r="F279" s="3"/>
      <c r="G279" s="3">
        <f>((G277/G276)^(1/G278))-1</f>
        <v>0.18417903108457812</v>
      </c>
      <c r="H279" s="3">
        <f>((H277/H276)^(1/H278))-1</f>
        <v>0.25282330067043013</v>
      </c>
      <c r="I279" s="10"/>
      <c r="J279" s="10"/>
      <c r="K279" s="10"/>
      <c r="L279" s="13" t="s">
        <v>210</v>
      </c>
      <c r="M279" s="13"/>
      <c r="N279" s="157">
        <f>(N277-N276)/N276</f>
        <v>28.4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2:39" x14ac:dyDescent="0.15">
      <c r="B280" s="10"/>
      <c r="C280" s="10"/>
      <c r="D280" s="13" t="s">
        <v>19</v>
      </c>
      <c r="E280" s="132"/>
      <c r="F280" s="132"/>
      <c r="G280" s="132">
        <f>G278*12</f>
        <v>240</v>
      </c>
      <c r="H280" s="14">
        <f>H278*12</f>
        <v>180</v>
      </c>
      <c r="I280" s="10"/>
      <c r="J280" s="10"/>
      <c r="K280" s="10"/>
      <c r="L280" s="13" t="s">
        <v>211</v>
      </c>
      <c r="M280" s="13"/>
      <c r="N280" s="171">
        <f>N277/N276</f>
        <v>29.4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2:39" x14ac:dyDescent="0.15">
      <c r="B281" s="10"/>
      <c r="C281" s="10"/>
      <c r="D281" s="10" t="s">
        <v>17</v>
      </c>
      <c r="E281" s="15"/>
      <c r="F281" s="15"/>
      <c r="G281" s="15">
        <f>G280/12</f>
        <v>20</v>
      </c>
      <c r="H281" s="15">
        <f>H280/12</f>
        <v>15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2:39" x14ac:dyDescent="0.15">
      <c r="B282" s="10"/>
      <c r="C282" s="10"/>
      <c r="D282" s="13" t="s">
        <v>20</v>
      </c>
      <c r="E282" s="3"/>
      <c r="F282" s="3"/>
      <c r="G282" s="3">
        <f>((G277/G276)^(1/G281))-1</f>
        <v>0.18417903108457812</v>
      </c>
      <c r="H282" s="3">
        <f>((H277/H276)^(1/H281))-1</f>
        <v>0.25282330067043013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2:39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2:39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</sheetData>
  <mergeCells count="8">
    <mergeCell ref="A36:A45"/>
    <mergeCell ref="A128:A136"/>
    <mergeCell ref="D275:J275"/>
    <mergeCell ref="L275:N275"/>
    <mergeCell ref="AN2:AO2"/>
    <mergeCell ref="AN3:AO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51</v>
      </c>
    </row>
    <row r="3" spans="2:14" x14ac:dyDescent="0.15">
      <c r="B3" s="7" t="s">
        <v>0</v>
      </c>
      <c r="C3" s="7" t="s">
        <v>13</v>
      </c>
      <c r="D3" s="7" t="s">
        <v>12</v>
      </c>
      <c r="E3" s="7" t="s">
        <v>35</v>
      </c>
      <c r="F3" s="7" t="s">
        <v>29</v>
      </c>
      <c r="G3" s="7" t="s">
        <v>21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187" t="s">
        <v>14</v>
      </c>
      <c r="K5" s="187"/>
      <c r="M5" s="187" t="s">
        <v>52</v>
      </c>
      <c r="N5" s="187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15</v>
      </c>
      <c r="K6" s="11">
        <v>2.61</v>
      </c>
      <c r="M6" s="19" t="s">
        <v>28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16</v>
      </c>
      <c r="K7" s="11">
        <v>203.28</v>
      </c>
      <c r="M7" s="19" t="s">
        <v>25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17</v>
      </c>
      <c r="K8" s="12">
        <v>20</v>
      </c>
      <c r="M8" s="19" t="s">
        <v>26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18</v>
      </c>
      <c r="K9" s="3">
        <f>((K7/K6)^(1/K8))-1</f>
        <v>0.24329076344312006</v>
      </c>
      <c r="M9" s="19" t="s">
        <v>27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19</v>
      </c>
      <c r="K10" s="14">
        <v>140</v>
      </c>
      <c r="M10" s="24" t="s">
        <v>53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17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20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187" t="s">
        <v>23</v>
      </c>
      <c r="K14" s="187"/>
      <c r="L14" s="187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24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25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26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27</v>
      </c>
      <c r="K18" s="19"/>
      <c r="L18" s="23">
        <v>0</v>
      </c>
    </row>
    <row r="19" spans="1:17" x14ac:dyDescent="0.15">
      <c r="B19" s="8"/>
      <c r="C19" s="1" t="s">
        <v>30</v>
      </c>
      <c r="D19" s="1"/>
      <c r="E19" s="1"/>
      <c r="F19" s="1">
        <v>4</v>
      </c>
      <c r="G19" s="1"/>
      <c r="J19" s="24" t="s">
        <v>28</v>
      </c>
      <c r="K19" s="24"/>
      <c r="L19" s="19">
        <f>FV(L16,L17,L18,-L15)</f>
        <v>404555.77357079065</v>
      </c>
    </row>
    <row r="20" spans="1:17" x14ac:dyDescent="0.15">
      <c r="B20" s="8" t="s">
        <v>22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31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32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33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36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48</v>
      </c>
      <c r="D28" s="18" t="s">
        <v>37</v>
      </c>
      <c r="E28" s="18" t="s">
        <v>38</v>
      </c>
      <c r="F28" s="18" t="s">
        <v>39</v>
      </c>
      <c r="G28" s="18" t="s">
        <v>49</v>
      </c>
      <c r="H28" s="18" t="s">
        <v>12</v>
      </c>
      <c r="I28" s="18" t="s">
        <v>42</v>
      </c>
      <c r="J28" s="18" t="s">
        <v>50</v>
      </c>
      <c r="K28" s="18" t="s">
        <v>41</v>
      </c>
      <c r="L28" s="18" t="s">
        <v>43</v>
      </c>
      <c r="M28" s="18" t="s">
        <v>45</v>
      </c>
      <c r="N28" s="18" t="s">
        <v>44</v>
      </c>
      <c r="O28" s="18" t="s">
        <v>54</v>
      </c>
      <c r="P28" s="18" t="s">
        <v>46</v>
      </c>
      <c r="Q28" s="18" t="s">
        <v>47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40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30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34</v>
      </c>
    </row>
    <row r="3" spans="2:20" x14ac:dyDescent="0.15">
      <c r="B3" s="7" t="s">
        <v>0</v>
      </c>
      <c r="C3" s="7" t="s">
        <v>13</v>
      </c>
      <c r="D3" s="7" t="s">
        <v>12</v>
      </c>
      <c r="E3" s="7" t="s">
        <v>35</v>
      </c>
      <c r="F3" s="7" t="s">
        <v>29</v>
      </c>
      <c r="G3" s="7" t="s">
        <v>21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187" t="s">
        <v>14</v>
      </c>
      <c r="S5" s="187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15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16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17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18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19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17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20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187" t="s">
        <v>23</v>
      </c>
      <c r="S14" s="187"/>
      <c r="T14" s="187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24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25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26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27</v>
      </c>
      <c r="S18" s="19"/>
      <c r="T18" s="23">
        <v>0</v>
      </c>
    </row>
    <row r="19" spans="1:20" x14ac:dyDescent="0.15">
      <c r="B19" s="8"/>
      <c r="C19" s="1" t="s">
        <v>30</v>
      </c>
      <c r="D19" s="1"/>
      <c r="E19" s="1"/>
      <c r="F19" s="1">
        <v>4</v>
      </c>
      <c r="G19" s="1"/>
      <c r="R19" s="24" t="s">
        <v>28</v>
      </c>
      <c r="S19" s="24"/>
      <c r="T19" s="19">
        <f>FV(T16,T17,T18,-T15)</f>
        <v>404555.77357079065</v>
      </c>
    </row>
    <row r="20" spans="1:20" x14ac:dyDescent="0.15">
      <c r="B20" s="8" t="s">
        <v>22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31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32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33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36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48</v>
      </c>
      <c r="D28" s="18" t="s">
        <v>37</v>
      </c>
      <c r="E28" s="18" t="s">
        <v>38</v>
      </c>
      <c r="F28" s="18" t="s">
        <v>39</v>
      </c>
      <c r="G28" s="18" t="s">
        <v>49</v>
      </c>
      <c r="H28" s="18" t="s">
        <v>12</v>
      </c>
      <c r="I28" s="18" t="s">
        <v>42</v>
      </c>
      <c r="J28" s="18" t="s">
        <v>50</v>
      </c>
      <c r="K28" s="18" t="s">
        <v>41</v>
      </c>
      <c r="L28" s="18" t="s">
        <v>43</v>
      </c>
      <c r="M28" s="18" t="s">
        <v>45</v>
      </c>
      <c r="N28" s="18" t="s">
        <v>44</v>
      </c>
      <c r="O28" s="18" t="s">
        <v>46</v>
      </c>
      <c r="P28" s="18" t="s">
        <v>47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40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30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187" t="s">
        <v>14</v>
      </c>
      <c r="C2" s="187"/>
      <c r="E2" s="187" t="s">
        <v>52</v>
      </c>
      <c r="F2" s="187"/>
      <c r="H2" s="191" t="s">
        <v>23</v>
      </c>
      <c r="I2" s="192"/>
    </row>
    <row r="3" spans="2:12" x14ac:dyDescent="0.2">
      <c r="B3" s="10" t="s">
        <v>15</v>
      </c>
      <c r="C3" s="11">
        <v>2.61</v>
      </c>
      <c r="E3" s="19" t="s">
        <v>28</v>
      </c>
      <c r="F3" s="44">
        <v>399</v>
      </c>
      <c r="H3" s="19" t="s">
        <v>24</v>
      </c>
      <c r="I3" s="20">
        <v>100000</v>
      </c>
    </row>
    <row r="4" spans="2:12" x14ac:dyDescent="0.2">
      <c r="B4" s="10" t="s">
        <v>16</v>
      </c>
      <c r="C4" s="11">
        <v>17</v>
      </c>
      <c r="E4" s="19" t="s">
        <v>25</v>
      </c>
      <c r="F4" s="21">
        <v>0.2</v>
      </c>
      <c r="H4" s="19" t="s">
        <v>25</v>
      </c>
      <c r="I4" s="21">
        <v>0.15</v>
      </c>
    </row>
    <row r="5" spans="2:12" x14ac:dyDescent="0.2">
      <c r="B5" s="10" t="s">
        <v>17</v>
      </c>
      <c r="C5" s="12">
        <v>9</v>
      </c>
      <c r="E5" s="19" t="s">
        <v>26</v>
      </c>
      <c r="F5" s="22">
        <v>10</v>
      </c>
      <c r="H5" s="19" t="s">
        <v>26</v>
      </c>
      <c r="I5" s="22">
        <v>10</v>
      </c>
    </row>
    <row r="6" spans="2:12" x14ac:dyDescent="0.2">
      <c r="B6" s="13" t="s">
        <v>18</v>
      </c>
      <c r="C6" s="3">
        <f>((C4/C3)^(1/C5))-1</f>
        <v>0.23146807384688306</v>
      </c>
      <c r="E6" s="19" t="s">
        <v>27</v>
      </c>
      <c r="F6" s="20">
        <v>0</v>
      </c>
      <c r="H6" s="19" t="s">
        <v>27</v>
      </c>
      <c r="I6" s="23">
        <v>0</v>
      </c>
    </row>
    <row r="7" spans="2:12" x14ac:dyDescent="0.2">
      <c r="E7" s="24" t="s">
        <v>53</v>
      </c>
      <c r="F7" s="45">
        <f>PV(F4,F5,F6,-F3)</f>
        <v>64.440727573048449</v>
      </c>
      <c r="H7" s="24" t="s">
        <v>28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188" t="s">
        <v>55</v>
      </c>
      <c r="E10" s="189"/>
      <c r="F10" s="189"/>
      <c r="G10" s="189"/>
      <c r="H10" s="190"/>
      <c r="I10" s="188" t="s">
        <v>59</v>
      </c>
      <c r="J10" s="189"/>
      <c r="K10" s="189"/>
      <c r="L10" s="190"/>
    </row>
    <row r="11" spans="2:12" ht="28" x14ac:dyDescent="0.2">
      <c r="B11" s="78" t="s">
        <v>0</v>
      </c>
      <c r="C11" s="79" t="s">
        <v>58</v>
      </c>
      <c r="D11" s="71" t="s">
        <v>37</v>
      </c>
      <c r="E11" s="72" t="s">
        <v>38</v>
      </c>
      <c r="F11" s="73" t="s">
        <v>39</v>
      </c>
      <c r="G11" s="73" t="s">
        <v>57</v>
      </c>
      <c r="H11" s="74" t="s">
        <v>12</v>
      </c>
      <c r="I11" s="71" t="s">
        <v>37</v>
      </c>
      <c r="J11" s="73" t="s">
        <v>39</v>
      </c>
      <c r="K11" s="73" t="s">
        <v>57</v>
      </c>
      <c r="L11" s="74" t="s">
        <v>12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56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63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61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60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62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53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</vt:lpstr>
      <vt:lpstr>Sheet1</vt:lpstr>
      <vt:lpstr>IOB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a46355-4d07-4939-a6f8-8ba816b56327_Enabled">
    <vt:lpwstr>true</vt:lpwstr>
  </property>
  <property fmtid="{D5CDD505-2E9C-101B-9397-08002B2CF9AE}" pid="3" name="MSIP_Label_82a46355-4d07-4939-a6f8-8ba816b56327_SetDate">
    <vt:lpwstr>2024-07-29T16:41:11Z</vt:lpwstr>
  </property>
  <property fmtid="{D5CDD505-2E9C-101B-9397-08002B2CF9AE}" pid="4" name="MSIP_Label_82a46355-4d07-4939-a6f8-8ba816b56327_Method">
    <vt:lpwstr>Standard</vt:lpwstr>
  </property>
  <property fmtid="{D5CDD505-2E9C-101B-9397-08002B2CF9AE}" pid="5" name="MSIP_Label_82a46355-4d07-4939-a6f8-8ba816b56327_Name">
    <vt:lpwstr>Internal Use Only</vt:lpwstr>
  </property>
  <property fmtid="{D5CDD505-2E9C-101B-9397-08002B2CF9AE}" pid="6" name="MSIP_Label_82a46355-4d07-4939-a6f8-8ba816b56327_SiteId">
    <vt:lpwstr>c9f9d6eb-ac24-4f8d-ba12-8aca79668852</vt:lpwstr>
  </property>
  <property fmtid="{D5CDD505-2E9C-101B-9397-08002B2CF9AE}" pid="7" name="MSIP_Label_82a46355-4d07-4939-a6f8-8ba816b56327_ActionId">
    <vt:lpwstr>2e99f87d-e6d3-400d-a4c8-ad6e066921ae</vt:lpwstr>
  </property>
  <property fmtid="{D5CDD505-2E9C-101B-9397-08002B2CF9AE}" pid="8" name="MSIP_Label_82a46355-4d07-4939-a6f8-8ba816b56327_ContentBits">
    <vt:lpwstr>0</vt:lpwstr>
  </property>
</Properties>
</file>
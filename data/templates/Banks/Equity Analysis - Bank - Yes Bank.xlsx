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62913"/>
</workbook>
</file>

<file path=xl/calcChain.xml><?xml version="1.0" encoding="utf-8"?>
<calcChain xmlns="http://schemas.openxmlformats.org/spreadsheetml/2006/main">
  <c r="W13" i="18" l="1"/>
  <c r="M28" i="20"/>
  <c r="M27" i="20"/>
  <c r="M29" i="20"/>
  <c r="M32" i="20"/>
  <c r="M31" i="20"/>
  <c r="M30" i="20" l="1"/>
  <c r="M33" i="20"/>
  <c r="T68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T58" i="18"/>
  <c r="S58" i="18"/>
  <c r="R58" i="18"/>
  <c r="Q58" i="18"/>
  <c r="P58" i="18"/>
  <c r="O58" i="18"/>
  <c r="N58" i="18"/>
  <c r="M58" i="18"/>
  <c r="L58" i="18"/>
  <c r="K58" i="18"/>
  <c r="J58" i="18"/>
  <c r="I58" i="18"/>
  <c r="H58" i="18"/>
  <c r="G58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G55" i="18"/>
  <c r="G56" i="18" s="1"/>
  <c r="T54" i="18"/>
  <c r="S54" i="18"/>
  <c r="R54" i="18"/>
  <c r="Q54" i="18"/>
  <c r="P54" i="18"/>
  <c r="O54" i="18"/>
  <c r="N54" i="18"/>
  <c r="M54" i="18"/>
  <c r="L54" i="18"/>
  <c r="K54" i="18"/>
  <c r="J54" i="18"/>
  <c r="I54" i="18"/>
  <c r="G53" i="18"/>
  <c r="H54" i="18" s="1"/>
  <c r="T52" i="18"/>
  <c r="S52" i="18"/>
  <c r="R52" i="18"/>
  <c r="Q52" i="18"/>
  <c r="P52" i="18"/>
  <c r="O52" i="18"/>
  <c r="N52" i="18"/>
  <c r="M52" i="18"/>
  <c r="L52" i="18"/>
  <c r="K52" i="18"/>
  <c r="J52" i="18"/>
  <c r="I52" i="18"/>
  <c r="G51" i="18"/>
  <c r="H52" i="18" s="1"/>
  <c r="G49" i="18"/>
  <c r="T48" i="18"/>
  <c r="S48" i="18"/>
  <c r="R48" i="18"/>
  <c r="Q48" i="18"/>
  <c r="P48" i="18"/>
  <c r="O48" i="18"/>
  <c r="N48" i="18"/>
  <c r="M48" i="18"/>
  <c r="L48" i="18"/>
  <c r="K48" i="18"/>
  <c r="J48" i="18"/>
  <c r="I48" i="18"/>
  <c r="H48" i="18"/>
  <c r="G48" i="18"/>
  <c r="T46" i="18"/>
  <c r="S46" i="18"/>
  <c r="R46" i="18"/>
  <c r="Q46" i="18"/>
  <c r="P46" i="18"/>
  <c r="O46" i="18"/>
  <c r="N46" i="18"/>
  <c r="M46" i="18"/>
  <c r="L46" i="18"/>
  <c r="K46" i="18"/>
  <c r="J46" i="18"/>
  <c r="I46" i="18"/>
  <c r="G46" i="18"/>
  <c r="G45" i="18"/>
  <c r="H46" i="18" s="1"/>
  <c r="T44" i="18"/>
  <c r="S44" i="18"/>
  <c r="R44" i="18"/>
  <c r="Q44" i="18"/>
  <c r="P44" i="18"/>
  <c r="O44" i="18"/>
  <c r="N44" i="18"/>
  <c r="M44" i="18"/>
  <c r="L44" i="18"/>
  <c r="K44" i="18"/>
  <c r="J44" i="18"/>
  <c r="I44" i="18"/>
  <c r="G43" i="18"/>
  <c r="H44" i="18" s="1"/>
  <c r="G42" i="18"/>
  <c r="V42" i="18" s="1"/>
  <c r="G41" i="18"/>
  <c r="G40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G38" i="18"/>
  <c r="H39" i="18" s="1"/>
  <c r="T37" i="18"/>
  <c r="S37" i="18"/>
  <c r="R37" i="18"/>
  <c r="Q37" i="18"/>
  <c r="P37" i="18"/>
  <c r="O37" i="18"/>
  <c r="N37" i="18"/>
  <c r="M37" i="18"/>
  <c r="L37" i="18"/>
  <c r="K37" i="18"/>
  <c r="J37" i="18"/>
  <c r="I37" i="18"/>
  <c r="G36" i="18"/>
  <c r="H37" i="18" s="1"/>
  <c r="G33" i="18"/>
  <c r="G32" i="18"/>
  <c r="G31" i="18"/>
  <c r="V31" i="18" s="1"/>
  <c r="T30" i="18"/>
  <c r="S30" i="18"/>
  <c r="R30" i="18"/>
  <c r="Q30" i="18"/>
  <c r="P30" i="18"/>
  <c r="O30" i="18"/>
  <c r="N30" i="18"/>
  <c r="M30" i="18"/>
  <c r="L30" i="18"/>
  <c r="K30" i="18"/>
  <c r="J30" i="18"/>
  <c r="I30" i="18"/>
  <c r="G30" i="18"/>
  <c r="G29" i="18"/>
  <c r="H30" i="18" s="1"/>
  <c r="T28" i="18"/>
  <c r="S28" i="18"/>
  <c r="R28" i="18"/>
  <c r="Q28" i="18"/>
  <c r="P28" i="18"/>
  <c r="O28" i="18"/>
  <c r="N28" i="18"/>
  <c r="M28" i="18"/>
  <c r="L28" i="18"/>
  <c r="K28" i="18"/>
  <c r="J28" i="18"/>
  <c r="I28" i="18"/>
  <c r="G27" i="18"/>
  <c r="H28" i="18" s="1"/>
  <c r="T26" i="18"/>
  <c r="S26" i="18"/>
  <c r="R26" i="18"/>
  <c r="Q26" i="18"/>
  <c r="P26" i="18"/>
  <c r="O26" i="18"/>
  <c r="N26" i="18"/>
  <c r="M26" i="18"/>
  <c r="L26" i="18"/>
  <c r="K26" i="18"/>
  <c r="J26" i="18"/>
  <c r="I26" i="18"/>
  <c r="G25" i="18"/>
  <c r="H26" i="18" s="1"/>
  <c r="G23" i="18"/>
  <c r="G22" i="18"/>
  <c r="G21" i="18"/>
  <c r="G20" i="18"/>
  <c r="V20" i="18" s="1"/>
  <c r="G18" i="18"/>
  <c r="G16" i="18"/>
  <c r="G15" i="18"/>
  <c r="G14" i="18"/>
  <c r="V14" i="18" s="1"/>
  <c r="G13" i="18"/>
  <c r="G12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G10" i="18"/>
  <c r="H11" i="18" s="1"/>
  <c r="G9" i="18"/>
  <c r="V9" i="18" s="1"/>
  <c r="T8" i="18"/>
  <c r="S8" i="18"/>
  <c r="R8" i="18"/>
  <c r="Q8" i="18"/>
  <c r="P8" i="18"/>
  <c r="O8" i="18"/>
  <c r="N8" i="18"/>
  <c r="M8" i="18"/>
  <c r="L8" i="18"/>
  <c r="K8" i="18"/>
  <c r="J8" i="18"/>
  <c r="I8" i="18"/>
  <c r="G7" i="18"/>
  <c r="H8" i="18" s="1"/>
  <c r="G6" i="18"/>
  <c r="G102" i="18"/>
  <c r="V102" i="18" s="1"/>
  <c r="H102" i="18"/>
  <c r="S170" i="18" s="1"/>
  <c r="I102" i="18"/>
  <c r="J102" i="18"/>
  <c r="K102" i="18"/>
  <c r="L102" i="18"/>
  <c r="M102" i="18"/>
  <c r="N102" i="18"/>
  <c r="O102" i="18"/>
  <c r="P102" i="18"/>
  <c r="Q102" i="18"/>
  <c r="R102" i="18"/>
  <c r="S102" i="18"/>
  <c r="T102" i="18"/>
  <c r="U102" i="18"/>
  <c r="U250" i="18"/>
  <c r="U249" i="18"/>
  <c r="U248" i="18"/>
  <c r="V248" i="18" s="1"/>
  <c r="X57" i="18"/>
  <c r="X59" i="18"/>
  <c r="V250" i="18"/>
  <c r="V249" i="18"/>
  <c r="V201" i="18"/>
  <c r="T170" i="18"/>
  <c r="U225" i="18" s="1"/>
  <c r="U224" i="18" s="1"/>
  <c r="V7" i="18"/>
  <c r="V10" i="18"/>
  <c r="V12" i="18"/>
  <c r="V13" i="18"/>
  <c r="V15" i="18"/>
  <c r="V16" i="18"/>
  <c r="V18" i="18"/>
  <c r="V21" i="18"/>
  <c r="V22" i="18"/>
  <c r="V23" i="18"/>
  <c r="V27" i="18"/>
  <c r="V29" i="18"/>
  <c r="V32" i="18"/>
  <c r="V33" i="18"/>
  <c r="V34" i="18"/>
  <c r="V38" i="18"/>
  <c r="V40" i="18"/>
  <c r="V41" i="18"/>
  <c r="V43" i="18"/>
  <c r="V45" i="18"/>
  <c r="V47" i="18"/>
  <c r="V49" i="18"/>
  <c r="V53" i="18"/>
  <c r="V55" i="18"/>
  <c r="V57" i="18"/>
  <c r="V59" i="18"/>
  <c r="V61" i="18"/>
  <c r="V62" i="18"/>
  <c r="V63" i="18"/>
  <c r="V6" i="18"/>
  <c r="U66" i="18"/>
  <c r="U202" i="18" s="1"/>
  <c r="U67" i="18"/>
  <c r="U68" i="18"/>
  <c r="U70" i="18"/>
  <c r="U204" i="18" s="1"/>
  <c r="U71" i="18"/>
  <c r="U205" i="18" s="1"/>
  <c r="U72" i="18"/>
  <c r="S245" i="18" s="1"/>
  <c r="U73" i="18"/>
  <c r="U74" i="18"/>
  <c r="U75" i="18"/>
  <c r="U206" i="18" s="1"/>
  <c r="U76" i="18"/>
  <c r="U78" i="18"/>
  <c r="U79" i="18"/>
  <c r="U80" i="18"/>
  <c r="U209" i="18" s="1"/>
  <c r="U82" i="18"/>
  <c r="U83" i="18"/>
  <c r="U84" i="18" s="1"/>
  <c r="U207" i="18" s="1"/>
  <c r="U85" i="18"/>
  <c r="U86" i="18"/>
  <c r="U88" i="18"/>
  <c r="U90" i="18"/>
  <c r="U92" i="18" s="1"/>
  <c r="U93" i="18"/>
  <c r="U94" i="18"/>
  <c r="U95" i="18"/>
  <c r="U96" i="18"/>
  <c r="U98" i="18"/>
  <c r="U99" i="18"/>
  <c r="U100" i="18"/>
  <c r="U105" i="18"/>
  <c r="U106" i="18"/>
  <c r="U107" i="18"/>
  <c r="U108" i="18"/>
  <c r="U109" i="18"/>
  <c r="U110" i="18"/>
  <c r="U112" i="18"/>
  <c r="U118" i="18" s="1"/>
  <c r="U113" i="18"/>
  <c r="U114" i="18"/>
  <c r="U115" i="18"/>
  <c r="U116" i="18"/>
  <c r="U122" i="18" s="1"/>
  <c r="U119" i="18"/>
  <c r="U120" i="18"/>
  <c r="U121" i="18"/>
  <c r="U124" i="18"/>
  <c r="U125" i="18"/>
  <c r="U126" i="18"/>
  <c r="U127" i="18"/>
  <c r="U128" i="18"/>
  <c r="U129" i="18"/>
  <c r="U130" i="18"/>
  <c r="U131" i="18"/>
  <c r="U132" i="18"/>
  <c r="U134" i="18"/>
  <c r="U135" i="18"/>
  <c r="U136" i="18"/>
  <c r="U137" i="18"/>
  <c r="U139" i="18"/>
  <c r="U140" i="18" s="1"/>
  <c r="U141" i="18" s="1"/>
  <c r="U142" i="18" s="1"/>
  <c r="U145" i="18"/>
  <c r="U146" i="18"/>
  <c r="U147" i="18"/>
  <c r="U149" i="18"/>
  <c r="U150" i="18"/>
  <c r="U151" i="18"/>
  <c r="U154" i="18"/>
  <c r="U155" i="18"/>
  <c r="U156" i="18"/>
  <c r="U157" i="18"/>
  <c r="U159" i="18"/>
  <c r="U160" i="18"/>
  <c r="U162" i="18"/>
  <c r="U163" i="18" s="1"/>
  <c r="U164" i="18"/>
  <c r="U166" i="18"/>
  <c r="U167" i="18"/>
  <c r="U203" i="18"/>
  <c r="U216" i="18" s="1"/>
  <c r="U217" i="18" s="1"/>
  <c r="U208" i="18"/>
  <c r="U211" i="18"/>
  <c r="U212" i="18"/>
  <c r="U214" i="18"/>
  <c r="U215" i="18"/>
  <c r="U8" i="18"/>
  <c r="U11" i="18"/>
  <c r="U26" i="18"/>
  <c r="U28" i="18"/>
  <c r="U30" i="18"/>
  <c r="U37" i="18"/>
  <c r="U39" i="18"/>
  <c r="U44" i="18"/>
  <c r="U46" i="18"/>
  <c r="U48" i="18"/>
  <c r="U52" i="18"/>
  <c r="U54" i="18"/>
  <c r="U56" i="18"/>
  <c r="U58" i="18"/>
  <c r="U60" i="18"/>
  <c r="S244" i="18" l="1"/>
  <c r="U220" i="18"/>
  <c r="U219" i="18" s="1"/>
  <c r="G26" i="18"/>
  <c r="V36" i="18"/>
  <c r="G37" i="18"/>
  <c r="G52" i="18"/>
  <c r="V51" i="18"/>
  <c r="V25" i="18"/>
  <c r="G8" i="18"/>
  <c r="G11" i="18"/>
  <c r="G28" i="18"/>
  <c r="G39" i="18"/>
  <c r="G44" i="18"/>
  <c r="G54" i="18"/>
  <c r="H56" i="18"/>
  <c r="U143" i="18"/>
  <c r="U226" i="18"/>
  <c r="U221" i="18"/>
  <c r="G211" i="18"/>
  <c r="V211" i="18" s="1"/>
  <c r="G212" i="18"/>
  <c r="V212" i="18" s="1"/>
  <c r="G66" i="18"/>
  <c r="G67" i="18"/>
  <c r="V67" i="18" s="1"/>
  <c r="G68" i="18"/>
  <c r="V68" i="18" s="1"/>
  <c r="G70" i="18"/>
  <c r="G71" i="18"/>
  <c r="G72" i="18"/>
  <c r="V72" i="18" s="1"/>
  <c r="G73" i="18"/>
  <c r="V73" i="18" s="1"/>
  <c r="G74" i="18"/>
  <c r="V74" i="18" s="1"/>
  <c r="G75" i="18"/>
  <c r="G206" i="18" s="1"/>
  <c r="V206" i="18" s="1"/>
  <c r="G76" i="18"/>
  <c r="V76" i="18" s="1"/>
  <c r="G78" i="18"/>
  <c r="V78" i="18" s="1"/>
  <c r="G79" i="18"/>
  <c r="V79" i="18" s="1"/>
  <c r="G80" i="18"/>
  <c r="G82" i="18"/>
  <c r="V82" i="18" s="1"/>
  <c r="G83" i="18"/>
  <c r="V83" i="18" s="1"/>
  <c r="G85" i="18"/>
  <c r="V85" i="18" s="1"/>
  <c r="G86" i="18"/>
  <c r="G88" i="18"/>
  <c r="G90" i="18"/>
  <c r="G93" i="18"/>
  <c r="V93" i="18" s="1"/>
  <c r="G94" i="18"/>
  <c r="V94" i="18" s="1"/>
  <c r="G95" i="18"/>
  <c r="V95" i="18" s="1"/>
  <c r="G96" i="18"/>
  <c r="V96" i="18" s="1"/>
  <c r="G98" i="18"/>
  <c r="G99" i="18"/>
  <c r="V99" i="18" s="1"/>
  <c r="G100" i="18"/>
  <c r="V100" i="18" s="1"/>
  <c r="G105" i="18"/>
  <c r="V105" i="18" s="1"/>
  <c r="G106" i="18"/>
  <c r="V106" i="18" s="1"/>
  <c r="G107" i="18"/>
  <c r="V107" i="18" s="1"/>
  <c r="G108" i="18"/>
  <c r="V108" i="18" s="1"/>
  <c r="G109" i="18"/>
  <c r="V109" i="18" s="1"/>
  <c r="G110" i="18"/>
  <c r="V110" i="18" s="1"/>
  <c r="G112" i="18"/>
  <c r="G113" i="18"/>
  <c r="G114" i="18"/>
  <c r="G115" i="18"/>
  <c r="G116" i="18"/>
  <c r="G134" i="18"/>
  <c r="V134" i="18" s="1"/>
  <c r="G135" i="18"/>
  <c r="V135" i="18" s="1"/>
  <c r="G136" i="18"/>
  <c r="V136" i="18" s="1"/>
  <c r="G137" i="18"/>
  <c r="V137" i="18" s="1"/>
  <c r="G145" i="18"/>
  <c r="V145" i="18" s="1"/>
  <c r="G146" i="18"/>
  <c r="V146" i="18" s="1"/>
  <c r="G147" i="18"/>
  <c r="V147" i="18" s="1"/>
  <c r="G149" i="18"/>
  <c r="V149" i="18" s="1"/>
  <c r="G150" i="18"/>
  <c r="V150" i="18" s="1"/>
  <c r="G151" i="18"/>
  <c r="V151" i="18" s="1"/>
  <c r="G154" i="18"/>
  <c r="V154" i="18" s="1"/>
  <c r="G155" i="18"/>
  <c r="V155" i="18" s="1"/>
  <c r="G156" i="18"/>
  <c r="V156" i="18" s="1"/>
  <c r="G157" i="18"/>
  <c r="V157" i="18" s="1"/>
  <c r="G159" i="18"/>
  <c r="V159" i="18" s="1"/>
  <c r="G160" i="18"/>
  <c r="V160" i="18" s="1"/>
  <c r="G162" i="18"/>
  <c r="G166" i="18"/>
  <c r="V166" i="18" s="1"/>
  <c r="G167" i="18"/>
  <c r="V167" i="18" s="1"/>
  <c r="AI232" i="18"/>
  <c r="AJ231" i="18"/>
  <c r="AI231" i="18"/>
  <c r="AI230" i="18"/>
  <c r="AI229" i="18"/>
  <c r="G163" i="18" l="1"/>
  <c r="V163" i="18" s="1"/>
  <c r="V162" i="18"/>
  <c r="G121" i="18"/>
  <c r="V121" i="18" s="1"/>
  <c r="V115" i="18"/>
  <c r="G119" i="18"/>
  <c r="V119" i="18" s="1"/>
  <c r="V113" i="18"/>
  <c r="G164" i="18"/>
  <c r="V164" i="18" s="1"/>
  <c r="V98" i="18"/>
  <c r="G139" i="18"/>
  <c r="V88" i="18"/>
  <c r="G204" i="18"/>
  <c r="V204" i="18" s="1"/>
  <c r="V70" i="18"/>
  <c r="V75" i="18"/>
  <c r="G122" i="18"/>
  <c r="V122" i="18" s="1"/>
  <c r="V116" i="18"/>
  <c r="G120" i="18"/>
  <c r="V120" i="18" s="1"/>
  <c r="V114" i="18"/>
  <c r="G118" i="18"/>
  <c r="V118" i="18" s="1"/>
  <c r="V112" i="18"/>
  <c r="G92" i="18"/>
  <c r="V92" i="18" s="1"/>
  <c r="V90" i="18"/>
  <c r="G208" i="18"/>
  <c r="V208" i="18" s="1"/>
  <c r="V86" i="18"/>
  <c r="G209" i="18"/>
  <c r="V209" i="18" s="1"/>
  <c r="V80" i="18"/>
  <c r="G205" i="18"/>
  <c r="V205" i="18" s="1"/>
  <c r="V71" i="18"/>
  <c r="G202" i="18"/>
  <c r="V202" i="18" s="1"/>
  <c r="V66" i="18"/>
  <c r="U227" i="18"/>
  <c r="U222" i="18"/>
  <c r="G203" i="18"/>
  <c r="G215" i="18" s="1"/>
  <c r="V215" i="18" s="1"/>
  <c r="G84" i="18"/>
  <c r="G214" i="18"/>
  <c r="V214" i="18" s="1"/>
  <c r="K124" i="20"/>
  <c r="D124" i="20"/>
  <c r="I92" i="20"/>
  <c r="I93" i="20" s="1"/>
  <c r="B92" i="20"/>
  <c r="B93" i="20" s="1"/>
  <c r="M91" i="20"/>
  <c r="N91" i="20" s="1"/>
  <c r="J92" i="20" s="1"/>
  <c r="F91" i="20"/>
  <c r="G91" i="20" s="1"/>
  <c r="C92" i="20" s="1"/>
  <c r="K81" i="20"/>
  <c r="K82" i="20" s="1"/>
  <c r="D81" i="20"/>
  <c r="D82" i="20" s="1"/>
  <c r="G80" i="20"/>
  <c r="E69" i="20"/>
  <c r="E70" i="20" s="1"/>
  <c r="H68" i="20"/>
  <c r="L55" i="20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O50" i="20"/>
  <c r="O51" i="20" s="1"/>
  <c r="O52" i="20" s="1"/>
  <c r="O53" i="20" s="1"/>
  <c r="O54" i="20" s="1"/>
  <c r="O55" i="20" s="1"/>
  <c r="O56" i="20" s="1"/>
  <c r="O57" i="20" s="1"/>
  <c r="O58" i="20" s="1"/>
  <c r="O59" i="20" s="1"/>
  <c r="O60" i="20" s="1"/>
  <c r="O61" i="20" s="1"/>
  <c r="O62" i="20" s="1"/>
  <c r="O63" i="20" s="1"/>
  <c r="O64" i="20" s="1"/>
  <c r="I50" i="20"/>
  <c r="I51" i="20" s="1"/>
  <c r="I52" i="20" s="1"/>
  <c r="I53" i="20" s="1"/>
  <c r="I54" i="20" s="1"/>
  <c r="I55" i="20" s="1"/>
  <c r="I56" i="20" s="1"/>
  <c r="I57" i="20" s="1"/>
  <c r="I58" i="20" s="1"/>
  <c r="I59" i="20" s="1"/>
  <c r="I60" i="20" s="1"/>
  <c r="I61" i="20" s="1"/>
  <c r="I62" i="20" s="1"/>
  <c r="I63" i="20" s="1"/>
  <c r="I64" i="20" s="1"/>
  <c r="I65" i="20" s="1"/>
  <c r="I66" i="20" s="1"/>
  <c r="I67" i="20" s="1"/>
  <c r="I68" i="20" s="1"/>
  <c r="I69" i="20" s="1"/>
  <c r="I70" i="20" s="1"/>
  <c r="I71" i="20" s="1"/>
  <c r="I72" i="20" s="1"/>
  <c r="I73" i="20" s="1"/>
  <c r="I74" i="20" s="1"/>
  <c r="I75" i="20" s="1"/>
  <c r="I76" i="20" s="1"/>
  <c r="I77" i="20" s="1"/>
  <c r="I78" i="20" s="1"/>
  <c r="I79" i="20" s="1"/>
  <c r="E50" i="20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B50" i="20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A50" i="20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M49" i="20"/>
  <c r="N49" i="20" s="1"/>
  <c r="F49" i="20"/>
  <c r="G49" i="20" s="1"/>
  <c r="C50" i="20" s="1"/>
  <c r="H41" i="20"/>
  <c r="D41" i="20"/>
  <c r="D42" i="20" s="1"/>
  <c r="L38" i="20"/>
  <c r="L37" i="20"/>
  <c r="H32" i="20"/>
  <c r="L31" i="20"/>
  <c r="L32" i="20" s="1"/>
  <c r="L33" i="20" s="1"/>
  <c r="H31" i="20"/>
  <c r="C31" i="20"/>
  <c r="C32" i="20" s="1"/>
  <c r="L30" i="20"/>
  <c r="P21" i="20"/>
  <c r="L20" i="20"/>
  <c r="H20" i="20"/>
  <c r="P19" i="20"/>
  <c r="Q19" i="20" s="1"/>
  <c r="R19" i="20" s="1"/>
  <c r="R20" i="20" s="1"/>
  <c r="Q21" i="20" s="1"/>
  <c r="R21" i="20" s="1"/>
  <c r="R22" i="20" s="1"/>
  <c r="H19" i="20"/>
  <c r="C19" i="20"/>
  <c r="C20" i="20" s="1"/>
  <c r="P17" i="20"/>
  <c r="L17" i="20"/>
  <c r="L22" i="20" s="1"/>
  <c r="P16" i="20"/>
  <c r="P15" i="20"/>
  <c r="Q15" i="20" s="1"/>
  <c r="R15" i="20" s="1"/>
  <c r="N12" i="20"/>
  <c r="N11" i="20"/>
  <c r="Q10" i="20"/>
  <c r="N10" i="20"/>
  <c r="H10" i="20"/>
  <c r="N9" i="20"/>
  <c r="H9" i="20"/>
  <c r="C9" i="20"/>
  <c r="C10" i="20" s="1"/>
  <c r="N8" i="20"/>
  <c r="N7" i="20"/>
  <c r="N6" i="20"/>
  <c r="Q5" i="20"/>
  <c r="N5" i="20"/>
  <c r="L41" i="20" l="1"/>
  <c r="G207" i="18"/>
  <c r="V207" i="18" s="1"/>
  <c r="V84" i="18"/>
  <c r="G140" i="18"/>
  <c r="V139" i="18"/>
  <c r="G216" i="18"/>
  <c r="V203" i="18"/>
  <c r="H69" i="20"/>
  <c r="F50" i="20"/>
  <c r="G50" i="20" s="1"/>
  <c r="C51" i="20" s="1"/>
  <c r="J50" i="20"/>
  <c r="P49" i="20"/>
  <c r="Q16" i="20"/>
  <c r="R16" i="20" s="1"/>
  <c r="Q17" i="20" s="1"/>
  <c r="R17" i="20" s="1"/>
  <c r="R18" i="20" s="1"/>
  <c r="I94" i="20"/>
  <c r="M93" i="20"/>
  <c r="L40" i="20"/>
  <c r="B94" i="20"/>
  <c r="F93" i="20"/>
  <c r="F92" i="20"/>
  <c r="G92" i="20" s="1"/>
  <c r="C93" i="20" s="1"/>
  <c r="M92" i="20"/>
  <c r="N92" i="20" s="1"/>
  <c r="J93" i="20" s="1"/>
  <c r="G217" i="18" l="1"/>
  <c r="V217" i="18" s="1"/>
  <c r="V216" i="18"/>
  <c r="G141" i="18"/>
  <c r="V140" i="18"/>
  <c r="G143" i="18"/>
  <c r="V143" i="18" s="1"/>
  <c r="B95" i="20"/>
  <c r="F94" i="20"/>
  <c r="I95" i="20"/>
  <c r="M94" i="20"/>
  <c r="M50" i="20"/>
  <c r="N50" i="20" s="1"/>
  <c r="H70" i="20"/>
  <c r="G51" i="20"/>
  <c r="C52" i="20" s="1"/>
  <c r="F51" i="20"/>
  <c r="G93" i="20"/>
  <c r="C94" i="20" s="1"/>
  <c r="N93" i="20"/>
  <c r="J94" i="20" s="1"/>
  <c r="N94" i="20" l="1"/>
  <c r="J95" i="20" s="1"/>
  <c r="G142" i="18"/>
  <c r="V142" i="18" s="1"/>
  <c r="V141" i="18"/>
  <c r="J51" i="20"/>
  <c r="P50" i="20"/>
  <c r="I96" i="20"/>
  <c r="M95" i="20"/>
  <c r="N95" i="20" s="1"/>
  <c r="J96" i="20" s="1"/>
  <c r="B96" i="20"/>
  <c r="F95" i="20"/>
  <c r="H71" i="20"/>
  <c r="F52" i="20"/>
  <c r="G52" i="20" s="1"/>
  <c r="C53" i="20" s="1"/>
  <c r="G94" i="20"/>
  <c r="C95" i="20" s="1"/>
  <c r="H72" i="20" l="1"/>
  <c r="F53" i="20"/>
  <c r="G53" i="20" s="1"/>
  <c r="C54" i="20" s="1"/>
  <c r="B97" i="20"/>
  <c r="F96" i="20"/>
  <c r="I97" i="20"/>
  <c r="M96" i="20"/>
  <c r="N96" i="20" s="1"/>
  <c r="J97" i="20" s="1"/>
  <c r="M51" i="20"/>
  <c r="N51" i="20" s="1"/>
  <c r="G95" i="20"/>
  <c r="C96" i="20" s="1"/>
  <c r="J52" i="20" l="1"/>
  <c r="P51" i="20"/>
  <c r="I98" i="20"/>
  <c r="M97" i="20"/>
  <c r="N97" i="20" s="1"/>
  <c r="J98" i="20" s="1"/>
  <c r="B98" i="20"/>
  <c r="F97" i="20"/>
  <c r="H73" i="20"/>
  <c r="G54" i="20"/>
  <c r="C55" i="20" s="1"/>
  <c r="F54" i="20"/>
  <c r="G96" i="20"/>
  <c r="C97" i="20" s="1"/>
  <c r="H74" i="20" l="1"/>
  <c r="F55" i="20"/>
  <c r="G55" i="20" s="1"/>
  <c r="C56" i="20" s="1"/>
  <c r="B99" i="20"/>
  <c r="F98" i="20"/>
  <c r="I99" i="20"/>
  <c r="M98" i="20"/>
  <c r="N98" i="20" s="1"/>
  <c r="J99" i="20" s="1"/>
  <c r="N52" i="20"/>
  <c r="M52" i="20"/>
  <c r="G97" i="20"/>
  <c r="C98" i="20" s="1"/>
  <c r="G273" i="18"/>
  <c r="G275" i="18" s="1"/>
  <c r="G276" i="18" s="1"/>
  <c r="H248" i="18"/>
  <c r="I248" i="18"/>
  <c r="H249" i="18"/>
  <c r="I249" i="18"/>
  <c r="H250" i="18"/>
  <c r="I250" i="18"/>
  <c r="H211" i="18"/>
  <c r="I211" i="18"/>
  <c r="H212" i="18"/>
  <c r="I212" i="18"/>
  <c r="H66" i="18"/>
  <c r="I66" i="18"/>
  <c r="I202" i="18" s="1"/>
  <c r="H67" i="18"/>
  <c r="I67" i="18"/>
  <c r="H68" i="18"/>
  <c r="I68" i="18"/>
  <c r="H70" i="18"/>
  <c r="H204" i="18" s="1"/>
  <c r="I70" i="18"/>
  <c r="I204" i="18" s="1"/>
  <c r="H71" i="18"/>
  <c r="H205" i="18" s="1"/>
  <c r="I71" i="18"/>
  <c r="I205" i="18" s="1"/>
  <c r="H72" i="18"/>
  <c r="I72" i="18"/>
  <c r="I203" i="18" s="1"/>
  <c r="H73" i="18"/>
  <c r="I73" i="18"/>
  <c r="H74" i="18"/>
  <c r="I74" i="18"/>
  <c r="I75" i="18"/>
  <c r="I206" i="18" s="1"/>
  <c r="H76" i="18"/>
  <c r="I76" i="18"/>
  <c r="H78" i="18"/>
  <c r="I78" i="18"/>
  <c r="H79" i="18"/>
  <c r="I79" i="18"/>
  <c r="H80" i="18"/>
  <c r="I80" i="18"/>
  <c r="I209" i="18" s="1"/>
  <c r="H82" i="18"/>
  <c r="I82" i="18"/>
  <c r="I84" i="18" s="1"/>
  <c r="I207" i="18" s="1"/>
  <c r="H83" i="18"/>
  <c r="H84" i="18" s="1"/>
  <c r="H207" i="18" s="1"/>
  <c r="I83" i="18"/>
  <c r="H85" i="18"/>
  <c r="I85" i="18"/>
  <c r="H86" i="18"/>
  <c r="H208" i="18" s="1"/>
  <c r="I86" i="18"/>
  <c r="I208" i="18" s="1"/>
  <c r="H88" i="18"/>
  <c r="H139" i="18" s="1"/>
  <c r="H140" i="18" s="1"/>
  <c r="I88" i="18"/>
  <c r="H90" i="18"/>
  <c r="I90" i="18"/>
  <c r="I92" i="18" s="1"/>
  <c r="H92" i="18"/>
  <c r="H93" i="18"/>
  <c r="I93" i="18"/>
  <c r="H94" i="18"/>
  <c r="I94" i="18"/>
  <c r="H95" i="18"/>
  <c r="I95" i="18"/>
  <c r="H96" i="18"/>
  <c r="I96" i="18"/>
  <c r="H98" i="18"/>
  <c r="I98" i="18"/>
  <c r="I164" i="18" s="1"/>
  <c r="H99" i="18"/>
  <c r="I99" i="18"/>
  <c r="I100" i="18"/>
  <c r="H105" i="18"/>
  <c r="I105" i="18"/>
  <c r="H106" i="18"/>
  <c r="I106" i="18"/>
  <c r="H107" i="18"/>
  <c r="I107" i="18"/>
  <c r="H108" i="18"/>
  <c r="I108" i="18"/>
  <c r="H109" i="18"/>
  <c r="I109" i="18"/>
  <c r="H110" i="18"/>
  <c r="I110" i="18"/>
  <c r="H112" i="18"/>
  <c r="H118" i="18" s="1"/>
  <c r="I112" i="18"/>
  <c r="I118" i="18" s="1"/>
  <c r="H113" i="18"/>
  <c r="I113" i="18"/>
  <c r="H114" i="18"/>
  <c r="H120" i="18" s="1"/>
  <c r="I114" i="18"/>
  <c r="I120" i="18" s="1"/>
  <c r="H115" i="18"/>
  <c r="I115" i="18"/>
  <c r="H116" i="18"/>
  <c r="H122" i="18" s="1"/>
  <c r="I116" i="18"/>
  <c r="I122" i="18" s="1"/>
  <c r="H119" i="18"/>
  <c r="I119" i="18"/>
  <c r="H121" i="18"/>
  <c r="I121" i="18"/>
  <c r="H134" i="18"/>
  <c r="I134" i="18"/>
  <c r="H135" i="18"/>
  <c r="I135" i="18"/>
  <c r="H136" i="18"/>
  <c r="I136" i="18"/>
  <c r="H137" i="18"/>
  <c r="I137" i="18"/>
  <c r="I139" i="18"/>
  <c r="I140" i="18" s="1"/>
  <c r="I141" i="18" s="1"/>
  <c r="I142" i="18" s="1"/>
  <c r="H145" i="18"/>
  <c r="I145" i="18"/>
  <c r="H146" i="18"/>
  <c r="I146" i="18"/>
  <c r="H147" i="18"/>
  <c r="I147" i="18"/>
  <c r="H149" i="18"/>
  <c r="I149" i="18"/>
  <c r="H150" i="18"/>
  <c r="I150" i="18"/>
  <c r="H151" i="18"/>
  <c r="I151" i="18"/>
  <c r="H154" i="18"/>
  <c r="I154" i="18"/>
  <c r="H155" i="18"/>
  <c r="I155" i="18"/>
  <c r="H156" i="18"/>
  <c r="I156" i="18"/>
  <c r="H157" i="18"/>
  <c r="I157" i="18"/>
  <c r="H159" i="18"/>
  <c r="I159" i="18"/>
  <c r="H160" i="18"/>
  <c r="I160" i="18"/>
  <c r="H162" i="18"/>
  <c r="H163" i="18" s="1"/>
  <c r="I162" i="18"/>
  <c r="I163" i="18"/>
  <c r="H164" i="18"/>
  <c r="H166" i="18"/>
  <c r="I166" i="18"/>
  <c r="H167" i="18"/>
  <c r="I167" i="18"/>
  <c r="I143" i="18" l="1"/>
  <c r="H141" i="18"/>
  <c r="H142" i="18" s="1"/>
  <c r="H143" i="18"/>
  <c r="I125" i="18"/>
  <c r="I126" i="18"/>
  <c r="I127" i="18"/>
  <c r="I128" i="18"/>
  <c r="I131" i="18"/>
  <c r="I129" i="18"/>
  <c r="I124" i="18"/>
  <c r="I132" i="18"/>
  <c r="I215" i="18"/>
  <c r="I216" i="18"/>
  <c r="I217" i="18" s="1"/>
  <c r="I214" i="18"/>
  <c r="H214" i="18"/>
  <c r="H203" i="18"/>
  <c r="H209" i="18"/>
  <c r="H202" i="18"/>
  <c r="G98" i="20"/>
  <c r="C99" i="20" s="1"/>
  <c r="J53" i="20"/>
  <c r="P52" i="20"/>
  <c r="I100" i="20"/>
  <c r="M99" i="20"/>
  <c r="N99" i="20" s="1"/>
  <c r="J100" i="20" s="1"/>
  <c r="B100" i="20"/>
  <c r="F99" i="20"/>
  <c r="G99" i="20" s="1"/>
  <c r="C100" i="20" s="1"/>
  <c r="F56" i="20"/>
  <c r="G56" i="20" s="1"/>
  <c r="H100" i="18"/>
  <c r="H75" i="18"/>
  <c r="T129" i="18"/>
  <c r="S129" i="18"/>
  <c r="R129" i="18"/>
  <c r="Q129" i="18"/>
  <c r="P129" i="18"/>
  <c r="O129" i="18"/>
  <c r="N129" i="18"/>
  <c r="M129" i="18"/>
  <c r="L129" i="18"/>
  <c r="K129" i="18"/>
  <c r="J129" i="18"/>
  <c r="AI47" i="18"/>
  <c r="W47" i="18"/>
  <c r="T130" i="18"/>
  <c r="S130" i="18"/>
  <c r="R130" i="18"/>
  <c r="Q130" i="18"/>
  <c r="P130" i="18"/>
  <c r="O130" i="18"/>
  <c r="N130" i="18"/>
  <c r="M130" i="18"/>
  <c r="L130" i="18"/>
  <c r="K130" i="18"/>
  <c r="X47" i="18" l="1"/>
  <c r="Y47" i="18" s="1"/>
  <c r="Z47" i="18" s="1"/>
  <c r="AA47" i="18" s="1"/>
  <c r="AB47" i="18" s="1"/>
  <c r="AC47" i="18" s="1"/>
  <c r="AD47" i="18" s="1"/>
  <c r="AE47" i="18" s="1"/>
  <c r="AF47" i="18" s="1"/>
  <c r="AG47" i="18" s="1"/>
  <c r="AH47" i="18" s="1"/>
  <c r="G129" i="18"/>
  <c r="V129" i="18" s="1"/>
  <c r="G125" i="18"/>
  <c r="V125" i="18" s="1"/>
  <c r="G127" i="18"/>
  <c r="V127" i="18" s="1"/>
  <c r="G131" i="18"/>
  <c r="V131" i="18" s="1"/>
  <c r="G126" i="18"/>
  <c r="V126" i="18" s="1"/>
  <c r="G128" i="18"/>
  <c r="V128" i="18" s="1"/>
  <c r="G124" i="18"/>
  <c r="V124" i="18" s="1"/>
  <c r="G132" i="18"/>
  <c r="V132" i="18" s="1"/>
  <c r="H129" i="18"/>
  <c r="H125" i="18"/>
  <c r="H126" i="18"/>
  <c r="H127" i="18"/>
  <c r="H128" i="18"/>
  <c r="H131" i="18"/>
  <c r="H124" i="18"/>
  <c r="H132" i="18"/>
  <c r="H215" i="18"/>
  <c r="H216" i="18"/>
  <c r="H206" i="18"/>
  <c r="H56" i="20"/>
  <c r="H75" i="20" s="1"/>
  <c r="C57" i="20"/>
  <c r="B101" i="20"/>
  <c r="F100" i="20"/>
  <c r="G100" i="20" s="1"/>
  <c r="C101" i="20" s="1"/>
  <c r="I101" i="20"/>
  <c r="M100" i="20"/>
  <c r="N100" i="20" s="1"/>
  <c r="J101" i="20" s="1"/>
  <c r="M53" i="20"/>
  <c r="N53" i="20" s="1"/>
  <c r="T126" i="18"/>
  <c r="S126" i="18"/>
  <c r="R126" i="18"/>
  <c r="Q126" i="18"/>
  <c r="P126" i="18"/>
  <c r="O126" i="18"/>
  <c r="N126" i="18"/>
  <c r="M126" i="18"/>
  <c r="L126" i="18"/>
  <c r="K126" i="18"/>
  <c r="W49" i="18"/>
  <c r="X49" i="18" s="1"/>
  <c r="J126" i="18"/>
  <c r="J130" i="18" l="1"/>
  <c r="H217" i="18"/>
  <c r="J54" i="20"/>
  <c r="P53" i="20"/>
  <c r="H76" i="20"/>
  <c r="F57" i="20"/>
  <c r="G57" i="20" s="1"/>
  <c r="C58" i="20" s="1"/>
  <c r="I102" i="20"/>
  <c r="M101" i="20"/>
  <c r="N101" i="20" s="1"/>
  <c r="J102" i="20" s="1"/>
  <c r="B102" i="20"/>
  <c r="F101" i="20"/>
  <c r="G101" i="20" s="1"/>
  <c r="C102" i="20" s="1"/>
  <c r="T132" i="18"/>
  <c r="T131" i="18"/>
  <c r="T128" i="18"/>
  <c r="T127" i="18"/>
  <c r="S132" i="18"/>
  <c r="S131" i="18"/>
  <c r="S128" i="18"/>
  <c r="S127" i="18"/>
  <c r="R132" i="18"/>
  <c r="R131" i="18"/>
  <c r="R128" i="18"/>
  <c r="R127" i="18"/>
  <c r="Q132" i="18"/>
  <c r="Q131" i="18"/>
  <c r="Q128" i="18"/>
  <c r="Q127" i="18"/>
  <c r="P132" i="18"/>
  <c r="P131" i="18"/>
  <c r="P128" i="18"/>
  <c r="P127" i="18"/>
  <c r="O132" i="18"/>
  <c r="O131" i="18"/>
  <c r="O128" i="18"/>
  <c r="O127" i="18"/>
  <c r="N132" i="18"/>
  <c r="N131" i="18"/>
  <c r="N128" i="18"/>
  <c r="N127" i="18"/>
  <c r="M132" i="18"/>
  <c r="M131" i="18"/>
  <c r="M128" i="18"/>
  <c r="M127" i="18"/>
  <c r="L132" i="18"/>
  <c r="L131" i="18"/>
  <c r="L128" i="18"/>
  <c r="L127" i="18"/>
  <c r="K132" i="18"/>
  <c r="K131" i="18"/>
  <c r="K128" i="18"/>
  <c r="K127" i="18"/>
  <c r="J132" i="18"/>
  <c r="J128" i="18"/>
  <c r="J131" i="18"/>
  <c r="J127" i="18"/>
  <c r="T125" i="18"/>
  <c r="S125" i="18"/>
  <c r="R125" i="18"/>
  <c r="Q125" i="18"/>
  <c r="P125" i="18"/>
  <c r="O125" i="18"/>
  <c r="N125" i="18"/>
  <c r="M125" i="18"/>
  <c r="L125" i="18"/>
  <c r="K125" i="18"/>
  <c r="J125" i="18"/>
  <c r="T124" i="18"/>
  <c r="S124" i="18"/>
  <c r="R124" i="18"/>
  <c r="Q124" i="18"/>
  <c r="P124" i="18"/>
  <c r="O124" i="18"/>
  <c r="N124" i="18"/>
  <c r="M124" i="18"/>
  <c r="L124" i="18"/>
  <c r="K124" i="18"/>
  <c r="J124" i="18"/>
  <c r="AI49" i="18"/>
  <c r="AI45" i="18"/>
  <c r="AI43" i="18"/>
  <c r="AI42" i="18"/>
  <c r="AI41" i="18"/>
  <c r="AI40" i="18"/>
  <c r="AI38" i="18"/>
  <c r="AI36" i="18"/>
  <c r="W40" i="18"/>
  <c r="Y49" i="18"/>
  <c r="Z49" i="18" s="1"/>
  <c r="AA49" i="18" s="1"/>
  <c r="AB49" i="18" s="1"/>
  <c r="AC49" i="18" s="1"/>
  <c r="AD49" i="18" s="1"/>
  <c r="AE49" i="18" s="1"/>
  <c r="AF49" i="18" s="1"/>
  <c r="AG49" i="18" s="1"/>
  <c r="W45" i="18"/>
  <c r="X45" i="18" l="1"/>
  <c r="Y45" i="18" s="1"/>
  <c r="Z45" i="18" s="1"/>
  <c r="AA45" i="18" s="1"/>
  <c r="AB45" i="18" s="1"/>
  <c r="AC45" i="18" s="1"/>
  <c r="AD45" i="18" s="1"/>
  <c r="AE45" i="18" s="1"/>
  <c r="AF45" i="18" s="1"/>
  <c r="AG45" i="18" s="1"/>
  <c r="AH45" i="18" s="1"/>
  <c r="X40" i="18"/>
  <c r="Y40" i="18" s="1"/>
  <c r="Z40" i="18" s="1"/>
  <c r="AA40" i="18" s="1"/>
  <c r="AB40" i="18" s="1"/>
  <c r="AC40" i="18" s="1"/>
  <c r="AD40" i="18" s="1"/>
  <c r="AE40" i="18" s="1"/>
  <c r="AF40" i="18" s="1"/>
  <c r="AG40" i="18" s="1"/>
  <c r="AH40" i="18" s="1"/>
  <c r="G130" i="18"/>
  <c r="V130" i="18" s="1"/>
  <c r="I130" i="18"/>
  <c r="B103" i="20"/>
  <c r="F102" i="20"/>
  <c r="G102" i="20" s="1"/>
  <c r="C103" i="20" s="1"/>
  <c r="I103" i="20"/>
  <c r="M102" i="20"/>
  <c r="N102" i="20" s="1"/>
  <c r="J103" i="20" s="1"/>
  <c r="H77" i="20"/>
  <c r="F58" i="20"/>
  <c r="G58" i="20" s="1"/>
  <c r="C59" i="20" s="1"/>
  <c r="M54" i="20"/>
  <c r="N54" i="20" s="1"/>
  <c r="AH49" i="18"/>
  <c r="W43" i="18"/>
  <c r="W42" i="18"/>
  <c r="W41" i="18"/>
  <c r="W38" i="18"/>
  <c r="X38" i="18" s="1"/>
  <c r="W36" i="18"/>
  <c r="X36" i="18" s="1"/>
  <c r="X42" i="18" l="1"/>
  <c r="Y42" i="18" s="1"/>
  <c r="Z42" i="18" s="1"/>
  <c r="AA42" i="18" s="1"/>
  <c r="AB42" i="18" s="1"/>
  <c r="AC42" i="18" s="1"/>
  <c r="AD42" i="18" s="1"/>
  <c r="AE42" i="18" s="1"/>
  <c r="AF42" i="18" s="1"/>
  <c r="AG42" i="18" s="1"/>
  <c r="AH42" i="18" s="1"/>
  <c r="X41" i="18"/>
  <c r="Y41" i="18" s="1"/>
  <c r="Z41" i="18" s="1"/>
  <c r="AA41" i="18" s="1"/>
  <c r="AB41" i="18" s="1"/>
  <c r="AC41" i="18" s="1"/>
  <c r="AD41" i="18" s="1"/>
  <c r="AE41" i="18" s="1"/>
  <c r="AF41" i="18" s="1"/>
  <c r="AG41" i="18" s="1"/>
  <c r="AH41" i="18" s="1"/>
  <c r="X43" i="18"/>
  <c r="Y43" i="18" s="1"/>
  <c r="Z43" i="18" s="1"/>
  <c r="AA43" i="18" s="1"/>
  <c r="AB43" i="18" s="1"/>
  <c r="AC43" i="18" s="1"/>
  <c r="AD43" i="18" s="1"/>
  <c r="AE43" i="18" s="1"/>
  <c r="AF43" i="18" s="1"/>
  <c r="AG43" i="18" s="1"/>
  <c r="AH43" i="18" s="1"/>
  <c r="H130" i="18"/>
  <c r="H78" i="20"/>
  <c r="F59" i="20"/>
  <c r="G59" i="20" s="1"/>
  <c r="C60" i="20" s="1"/>
  <c r="J55" i="20"/>
  <c r="P54" i="20"/>
  <c r="I104" i="20"/>
  <c r="M103" i="20"/>
  <c r="N103" i="20" s="1"/>
  <c r="J104" i="20" s="1"/>
  <c r="B104" i="20"/>
  <c r="F103" i="20"/>
  <c r="G103" i="20" s="1"/>
  <c r="C104" i="20" s="1"/>
  <c r="Y38" i="18"/>
  <c r="X127" i="18"/>
  <c r="Y36" i="18"/>
  <c r="X126" i="18"/>
  <c r="B215" i="18"/>
  <c r="AI227" i="18"/>
  <c r="AI224" i="18"/>
  <c r="AI226" i="18"/>
  <c r="AI225" i="18"/>
  <c r="AI222" i="18"/>
  <c r="AI221" i="18"/>
  <c r="AI220" i="18"/>
  <c r="AI219" i="18"/>
  <c r="AI214" i="18"/>
  <c r="AI217" i="18"/>
  <c r="AI216" i="18"/>
  <c r="AI215" i="18"/>
  <c r="AI212" i="18"/>
  <c r="AI211" i="18"/>
  <c r="AI208" i="18"/>
  <c r="AI207" i="18"/>
  <c r="AI210" i="18"/>
  <c r="AI209" i="18"/>
  <c r="AI206" i="18"/>
  <c r="AI205" i="18"/>
  <c r="AI204" i="18"/>
  <c r="AI203" i="18"/>
  <c r="AI202" i="18"/>
  <c r="AI201" i="18"/>
  <c r="AJ224" i="18"/>
  <c r="X128" i="18" l="1"/>
  <c r="B105" i="20"/>
  <c r="F104" i="20"/>
  <c r="G104" i="20" s="1"/>
  <c r="C105" i="20" s="1"/>
  <c r="I105" i="20"/>
  <c r="M104" i="20"/>
  <c r="N104" i="20" s="1"/>
  <c r="J105" i="20" s="1"/>
  <c r="M55" i="20"/>
  <c r="N55" i="20"/>
  <c r="H79" i="20"/>
  <c r="F60" i="20"/>
  <c r="G60" i="20" s="1"/>
  <c r="C61" i="20" s="1"/>
  <c r="Z38" i="18"/>
  <c r="Y127" i="18"/>
  <c r="Z36" i="18"/>
  <c r="Y126" i="18"/>
  <c r="Y128" i="18"/>
  <c r="AJ225" i="18"/>
  <c r="T212" i="18"/>
  <c r="S212" i="18"/>
  <c r="R212" i="18"/>
  <c r="Q212" i="18"/>
  <c r="P212" i="18"/>
  <c r="O212" i="18"/>
  <c r="N212" i="18"/>
  <c r="M212" i="18"/>
  <c r="L212" i="18"/>
  <c r="K212" i="18"/>
  <c r="J212" i="18"/>
  <c r="H80" i="20" l="1"/>
  <c r="F61" i="20"/>
  <c r="G61" i="20" s="1"/>
  <c r="C62" i="20" s="1"/>
  <c r="J56" i="20"/>
  <c r="P55" i="20"/>
  <c r="I106" i="20"/>
  <c r="M105" i="20"/>
  <c r="N105" i="20" s="1"/>
  <c r="J106" i="20" s="1"/>
  <c r="B106" i="20"/>
  <c r="F105" i="20"/>
  <c r="G105" i="20" s="1"/>
  <c r="C106" i="20" s="1"/>
  <c r="AA38" i="18"/>
  <c r="Z127" i="18"/>
  <c r="AA36" i="18"/>
  <c r="Z128" i="18"/>
  <c r="Z126" i="18"/>
  <c r="B107" i="20" l="1"/>
  <c r="F106" i="20"/>
  <c r="G106" i="20" s="1"/>
  <c r="C107" i="20" s="1"/>
  <c r="I107" i="20"/>
  <c r="M106" i="20"/>
  <c r="N106" i="20" s="1"/>
  <c r="J107" i="20" s="1"/>
  <c r="M56" i="20"/>
  <c r="N56" i="20"/>
  <c r="H81" i="20"/>
  <c r="F62" i="20"/>
  <c r="G62" i="20" s="1"/>
  <c r="C63" i="20" s="1"/>
  <c r="AB38" i="18"/>
  <c r="AA127" i="18"/>
  <c r="AB36" i="18"/>
  <c r="AA128" i="18"/>
  <c r="AA126" i="18"/>
  <c r="H82" i="20" l="1"/>
  <c r="F63" i="20"/>
  <c r="G63" i="20" s="1"/>
  <c r="C64" i="20" s="1"/>
  <c r="J57" i="20"/>
  <c r="P56" i="20"/>
  <c r="I108" i="20"/>
  <c r="M107" i="20"/>
  <c r="N107" i="20" s="1"/>
  <c r="J108" i="20" s="1"/>
  <c r="B108" i="20"/>
  <c r="F107" i="20"/>
  <c r="G107" i="20" s="1"/>
  <c r="C108" i="20" s="1"/>
  <c r="AC38" i="18"/>
  <c r="AB127" i="18"/>
  <c r="AC36" i="18"/>
  <c r="AB126" i="18"/>
  <c r="AB128" i="18"/>
  <c r="G220" i="18"/>
  <c r="V220" i="18" s="1"/>
  <c r="C1" i="18"/>
  <c r="AJ47" i="18" s="1"/>
  <c r="T225" i="18" l="1"/>
  <c r="G225" i="18"/>
  <c r="V225" i="18" s="1"/>
  <c r="G219" i="18"/>
  <c r="V219" i="18" s="1"/>
  <c r="G221" i="18"/>
  <c r="X225" i="18"/>
  <c r="X226" i="18" s="1"/>
  <c r="X227" i="18" s="1"/>
  <c r="H225" i="18"/>
  <c r="I225" i="18"/>
  <c r="X220" i="18"/>
  <c r="X221" i="18" s="1"/>
  <c r="X222" i="18" s="1"/>
  <c r="H220" i="18"/>
  <c r="I220" i="18"/>
  <c r="B109" i="20"/>
  <c r="F108" i="20"/>
  <c r="G108" i="20" s="1"/>
  <c r="C109" i="20" s="1"/>
  <c r="I109" i="20"/>
  <c r="M108" i="20"/>
  <c r="N108" i="20" s="1"/>
  <c r="J109" i="20" s="1"/>
  <c r="M57" i="20"/>
  <c r="N57" i="20"/>
  <c r="H83" i="20"/>
  <c r="F64" i="20"/>
  <c r="G64" i="20" s="1"/>
  <c r="C65" i="20" s="1"/>
  <c r="AD38" i="18"/>
  <c r="AC127" i="18"/>
  <c r="AD36" i="18"/>
  <c r="AC126" i="18"/>
  <c r="AC128" i="18"/>
  <c r="AJ45" i="18"/>
  <c r="AJ40" i="18"/>
  <c r="AJ49" i="18"/>
  <c r="AJ41" i="18"/>
  <c r="AJ42" i="18"/>
  <c r="AJ43" i="18"/>
  <c r="N225" i="18"/>
  <c r="N226" i="18" s="1"/>
  <c r="N227" i="18" s="1"/>
  <c r="S225" i="18"/>
  <c r="S224" i="18" s="1"/>
  <c r="R225" i="18"/>
  <c r="M225" i="18"/>
  <c r="L225" i="18"/>
  <c r="Q225" i="18"/>
  <c r="K225" i="18"/>
  <c r="P225" i="18"/>
  <c r="J225" i="18"/>
  <c r="O225" i="18"/>
  <c r="P220" i="18"/>
  <c r="S220" i="18"/>
  <c r="S219" i="18" s="1"/>
  <c r="O220" i="18"/>
  <c r="K220" i="18"/>
  <c r="R220" i="18"/>
  <c r="N220" i="18"/>
  <c r="J220" i="18"/>
  <c r="Q220" i="18"/>
  <c r="M220" i="18"/>
  <c r="T220" i="18"/>
  <c r="L220" i="18"/>
  <c r="AI71" i="18"/>
  <c r="AI70" i="18"/>
  <c r="AI68" i="18"/>
  <c r="J71" i="18"/>
  <c r="J205" i="18" s="1"/>
  <c r="K71" i="18"/>
  <c r="K205" i="18" s="1"/>
  <c r="L71" i="18"/>
  <c r="L205" i="18" s="1"/>
  <c r="M71" i="18"/>
  <c r="M205" i="18" s="1"/>
  <c r="N71" i="18"/>
  <c r="N205" i="18" s="1"/>
  <c r="O71" i="18"/>
  <c r="O205" i="18" s="1"/>
  <c r="P71" i="18"/>
  <c r="P205" i="18" s="1"/>
  <c r="Q71" i="18"/>
  <c r="Q205" i="18" s="1"/>
  <c r="R71" i="18"/>
  <c r="R205" i="18" s="1"/>
  <c r="S71" i="18"/>
  <c r="T71" i="18"/>
  <c r="J70" i="18"/>
  <c r="J204" i="18" s="1"/>
  <c r="K70" i="18"/>
  <c r="K204" i="18" s="1"/>
  <c r="L70" i="18"/>
  <c r="L204" i="18" s="1"/>
  <c r="M70" i="18"/>
  <c r="M204" i="18" s="1"/>
  <c r="N70" i="18"/>
  <c r="N204" i="18" s="1"/>
  <c r="O70" i="18"/>
  <c r="O204" i="18" s="1"/>
  <c r="P70" i="18"/>
  <c r="P204" i="18" s="1"/>
  <c r="Q70" i="18"/>
  <c r="Q204" i="18" s="1"/>
  <c r="R70" i="18"/>
  <c r="R204" i="18" s="1"/>
  <c r="S70" i="18"/>
  <c r="S204" i="18" s="1"/>
  <c r="T70" i="18"/>
  <c r="G222" i="18" l="1"/>
  <c r="V222" i="18" s="1"/>
  <c r="V221" i="18"/>
  <c r="X224" i="18"/>
  <c r="G224" i="18"/>
  <c r="V224" i="18" s="1"/>
  <c r="G226" i="18"/>
  <c r="T219" i="18"/>
  <c r="X219" i="18"/>
  <c r="T205" i="18"/>
  <c r="T204" i="18"/>
  <c r="H219" i="18"/>
  <c r="H221" i="18"/>
  <c r="I224" i="18"/>
  <c r="I226" i="18"/>
  <c r="I227" i="18" s="1"/>
  <c r="I219" i="18"/>
  <c r="I221" i="18"/>
  <c r="I222" i="18" s="1"/>
  <c r="H224" i="18"/>
  <c r="H226" i="18"/>
  <c r="H84" i="20"/>
  <c r="F65" i="20"/>
  <c r="G65" i="20" s="1"/>
  <c r="C66" i="20" s="1"/>
  <c r="I110" i="20"/>
  <c r="M109" i="20"/>
  <c r="N109" i="20" s="1"/>
  <c r="J110" i="20" s="1"/>
  <c r="B110" i="20"/>
  <c r="F109" i="20"/>
  <c r="G109" i="20" s="1"/>
  <c r="C110" i="20" s="1"/>
  <c r="J58" i="20"/>
  <c r="P57" i="20"/>
  <c r="AE38" i="18"/>
  <c r="AD127" i="18"/>
  <c r="AE36" i="18"/>
  <c r="AD128" i="18"/>
  <c r="AD126" i="18"/>
  <c r="N224" i="18"/>
  <c r="S226" i="18"/>
  <c r="S227" i="18" s="1"/>
  <c r="M221" i="18"/>
  <c r="M222" i="18" s="1"/>
  <c r="M219" i="18"/>
  <c r="R221" i="18"/>
  <c r="R222" i="18" s="1"/>
  <c r="R219" i="18"/>
  <c r="P221" i="18"/>
  <c r="P222" i="18" s="1"/>
  <c r="P219" i="18"/>
  <c r="O226" i="18"/>
  <c r="O227" i="18" s="1"/>
  <c r="O224" i="18"/>
  <c r="Q226" i="18"/>
  <c r="Q227" i="18" s="1"/>
  <c r="Q224" i="18"/>
  <c r="Q221" i="18"/>
  <c r="Q222" i="18" s="1"/>
  <c r="Q219" i="18"/>
  <c r="K221" i="18"/>
  <c r="K222" i="18" s="1"/>
  <c r="K219" i="18"/>
  <c r="J226" i="18"/>
  <c r="J227" i="18" s="1"/>
  <c r="J224" i="18"/>
  <c r="L226" i="18"/>
  <c r="L227" i="18" s="1"/>
  <c r="L224" i="18"/>
  <c r="L221" i="18"/>
  <c r="L222" i="18" s="1"/>
  <c r="L219" i="18"/>
  <c r="J221" i="18"/>
  <c r="J222" i="18" s="1"/>
  <c r="J219" i="18"/>
  <c r="O221" i="18"/>
  <c r="O222" i="18" s="1"/>
  <c r="O219" i="18"/>
  <c r="P226" i="18"/>
  <c r="P227" i="18" s="1"/>
  <c r="P224" i="18"/>
  <c r="M226" i="18"/>
  <c r="M227" i="18" s="1"/>
  <c r="M224" i="18"/>
  <c r="T221" i="18"/>
  <c r="T222" i="18" s="1"/>
  <c r="N221" i="18"/>
  <c r="N222" i="18" s="1"/>
  <c r="N219" i="18"/>
  <c r="K226" i="18"/>
  <c r="K227" i="18" s="1"/>
  <c r="K224" i="18"/>
  <c r="R226" i="18"/>
  <c r="R227" i="18" s="1"/>
  <c r="R224" i="18"/>
  <c r="T226" i="18"/>
  <c r="T227" i="18" s="1"/>
  <c r="T224" i="18"/>
  <c r="S221" i="18"/>
  <c r="S205" i="18"/>
  <c r="G227" i="18" l="1"/>
  <c r="V227" i="18" s="1"/>
  <c r="V226" i="18"/>
  <c r="H222" i="18"/>
  <c r="H227" i="18"/>
  <c r="M58" i="20"/>
  <c r="N58" i="20" s="1"/>
  <c r="B111" i="20"/>
  <c r="F110" i="20"/>
  <c r="G110" i="20" s="1"/>
  <c r="C111" i="20" s="1"/>
  <c r="I111" i="20"/>
  <c r="M110" i="20"/>
  <c r="N110" i="20" s="1"/>
  <c r="J111" i="20" s="1"/>
  <c r="F66" i="20"/>
  <c r="G66" i="20"/>
  <c r="AF38" i="18"/>
  <c r="AE127" i="18"/>
  <c r="AF36" i="18"/>
  <c r="AE128" i="18"/>
  <c r="AE126" i="18"/>
  <c r="S222" i="18"/>
  <c r="J147" i="18"/>
  <c r="K147" i="18"/>
  <c r="L147" i="18"/>
  <c r="M147" i="18"/>
  <c r="N147" i="18"/>
  <c r="O147" i="18"/>
  <c r="P147" i="18"/>
  <c r="Q147" i="18"/>
  <c r="R147" i="18"/>
  <c r="S147" i="18"/>
  <c r="T147" i="18"/>
  <c r="T146" i="18"/>
  <c r="J59" i="20" l="1"/>
  <c r="P58" i="20"/>
  <c r="C67" i="20"/>
  <c r="H66" i="20"/>
  <c r="H85" i="20" s="1"/>
  <c r="I112" i="20"/>
  <c r="M111" i="20"/>
  <c r="N111" i="20" s="1"/>
  <c r="J112" i="20" s="1"/>
  <c r="B112" i="20"/>
  <c r="F111" i="20"/>
  <c r="G111" i="20" s="1"/>
  <c r="C112" i="20" s="1"/>
  <c r="AG38" i="18"/>
  <c r="AF127" i="18"/>
  <c r="AG36" i="18"/>
  <c r="AF126" i="18"/>
  <c r="AF128" i="18"/>
  <c r="I261" i="18"/>
  <c r="I258" i="18"/>
  <c r="I259" i="18"/>
  <c r="I260" i="18"/>
  <c r="B113" i="20" l="1"/>
  <c r="F112" i="20"/>
  <c r="G112" i="20" s="1"/>
  <c r="C113" i="20" s="1"/>
  <c r="I113" i="20"/>
  <c r="M112" i="20"/>
  <c r="N112" i="20" s="1"/>
  <c r="J113" i="20" s="1"/>
  <c r="H86" i="20"/>
  <c r="F67" i="20"/>
  <c r="G67" i="20" s="1"/>
  <c r="C68" i="20" s="1"/>
  <c r="M59" i="20"/>
  <c r="N59" i="20" s="1"/>
  <c r="AH38" i="18"/>
  <c r="AG127" i="18"/>
  <c r="AH127" i="18" s="1"/>
  <c r="AJ38" i="18"/>
  <c r="AG126" i="18"/>
  <c r="AH126" i="18" s="1"/>
  <c r="AG128" i="18"/>
  <c r="AH128" i="18" s="1"/>
  <c r="AH36" i="18"/>
  <c r="AJ36" i="18"/>
  <c r="T250" i="18"/>
  <c r="T249" i="18"/>
  <c r="T248" i="18"/>
  <c r="T211" i="18"/>
  <c r="T66" i="18"/>
  <c r="T67" i="18"/>
  <c r="T72" i="18"/>
  <c r="T73" i="18"/>
  <c r="T74" i="18"/>
  <c r="T75" i="18"/>
  <c r="T76" i="18"/>
  <c r="T78" i="18"/>
  <c r="T79" i="18"/>
  <c r="T80" i="18"/>
  <c r="T82" i="18"/>
  <c r="T83" i="18"/>
  <c r="T85" i="18"/>
  <c r="T86" i="18"/>
  <c r="T88" i="18"/>
  <c r="T90" i="18"/>
  <c r="T93" i="18"/>
  <c r="T94" i="18"/>
  <c r="T95" i="18"/>
  <c r="T96" i="18"/>
  <c r="T98" i="18"/>
  <c r="T99" i="18"/>
  <c r="T100" i="18"/>
  <c r="T105" i="18"/>
  <c r="T106" i="18"/>
  <c r="T107" i="18"/>
  <c r="T108" i="18"/>
  <c r="T109" i="18"/>
  <c r="T112" i="18"/>
  <c r="T113" i="18"/>
  <c r="T114" i="18"/>
  <c r="T115" i="18"/>
  <c r="T116" i="18"/>
  <c r="T134" i="18"/>
  <c r="T135" i="18"/>
  <c r="T136" i="18"/>
  <c r="T137" i="18"/>
  <c r="T145" i="18"/>
  <c r="T149" i="18"/>
  <c r="T150" i="18"/>
  <c r="T151" i="18"/>
  <c r="T154" i="18"/>
  <c r="T155" i="18"/>
  <c r="T156" i="18"/>
  <c r="T157" i="18"/>
  <c r="T159" i="18"/>
  <c r="T160" i="18"/>
  <c r="T162" i="18"/>
  <c r="T166" i="18"/>
  <c r="T167" i="18"/>
  <c r="T92" i="18" l="1"/>
  <c r="T139" i="18"/>
  <c r="T214" i="18"/>
  <c r="T110" i="18"/>
  <c r="T164" i="18"/>
  <c r="T122" i="18"/>
  <c r="T120" i="18"/>
  <c r="T119" i="18"/>
  <c r="T202" i="18"/>
  <c r="T118" i="18"/>
  <c r="T163" i="18"/>
  <c r="T208" i="18"/>
  <c r="T121" i="18"/>
  <c r="T209" i="18"/>
  <c r="T206" i="18"/>
  <c r="J60" i="20"/>
  <c r="P59" i="20"/>
  <c r="H87" i="20"/>
  <c r="F68" i="20"/>
  <c r="G68" i="20" s="1"/>
  <c r="C69" i="20" s="1"/>
  <c r="I114" i="20"/>
  <c r="M113" i="20"/>
  <c r="N113" i="20" s="1"/>
  <c r="J114" i="20" s="1"/>
  <c r="B114" i="20"/>
  <c r="F113" i="20"/>
  <c r="G113" i="20" s="1"/>
  <c r="C114" i="20" s="1"/>
  <c r="T203" i="18"/>
  <c r="T84" i="18"/>
  <c r="K68" i="18"/>
  <c r="K110" i="18" s="1"/>
  <c r="L68" i="18"/>
  <c r="L110" i="18" s="1"/>
  <c r="M68" i="18"/>
  <c r="M110" i="18" s="1"/>
  <c r="N68" i="18"/>
  <c r="N110" i="18" s="1"/>
  <c r="O68" i="18"/>
  <c r="O110" i="18" s="1"/>
  <c r="P68" i="18"/>
  <c r="P110" i="18" s="1"/>
  <c r="Q68" i="18"/>
  <c r="Q110" i="18" s="1"/>
  <c r="R68" i="18"/>
  <c r="R110" i="18" s="1"/>
  <c r="S68" i="18"/>
  <c r="S110" i="18" s="1"/>
  <c r="J68" i="18"/>
  <c r="J110" i="18" s="1"/>
  <c r="T140" i="18" l="1"/>
  <c r="T207" i="18"/>
  <c r="F69" i="20"/>
  <c r="G69" i="20" s="1"/>
  <c r="C70" i="20" s="1"/>
  <c r="H88" i="20"/>
  <c r="B115" i="20"/>
  <c r="F114" i="20"/>
  <c r="G114" i="20" s="1"/>
  <c r="C115" i="20" s="1"/>
  <c r="I115" i="20"/>
  <c r="M114" i="20"/>
  <c r="N114" i="20" s="1"/>
  <c r="J115" i="20" s="1"/>
  <c r="M60" i="20"/>
  <c r="N60" i="20" s="1"/>
  <c r="T216" i="18"/>
  <c r="T215" i="18"/>
  <c r="K245" i="18"/>
  <c r="T143" i="18" l="1"/>
  <c r="T141" i="18"/>
  <c r="T142" i="18" s="1"/>
  <c r="T217" i="18"/>
  <c r="F70" i="20"/>
  <c r="G70" i="20" s="1"/>
  <c r="C71" i="20" s="1"/>
  <c r="J61" i="20"/>
  <c r="P60" i="20"/>
  <c r="I116" i="20"/>
  <c r="M115" i="20"/>
  <c r="N115" i="20" s="1"/>
  <c r="J116" i="20" s="1"/>
  <c r="B116" i="20"/>
  <c r="F115" i="20"/>
  <c r="G115" i="20" s="1"/>
  <c r="C116" i="20" s="1"/>
  <c r="N241" i="18"/>
  <c r="N240" i="18"/>
  <c r="N239" i="18"/>
  <c r="N238" i="18"/>
  <c r="F71" i="20" l="1"/>
  <c r="G71" i="20"/>
  <c r="C72" i="20" s="1"/>
  <c r="B117" i="20"/>
  <c r="F116" i="20"/>
  <c r="G116" i="20" s="1"/>
  <c r="C117" i="20" s="1"/>
  <c r="I117" i="20"/>
  <c r="M116" i="20"/>
  <c r="N116" i="20" s="1"/>
  <c r="J117" i="20" s="1"/>
  <c r="M61" i="20"/>
  <c r="N61" i="20"/>
  <c r="AI53" i="18"/>
  <c r="W53" i="18"/>
  <c r="X53" i="18" s="1"/>
  <c r="J62" i="20" l="1"/>
  <c r="P61" i="20"/>
  <c r="F72" i="20"/>
  <c r="G72" i="20" s="1"/>
  <c r="C73" i="20" s="1"/>
  <c r="I118" i="20"/>
  <c r="M117" i="20"/>
  <c r="N117" i="20" s="1"/>
  <c r="J118" i="20" s="1"/>
  <c r="B118" i="20"/>
  <c r="F117" i="20"/>
  <c r="G117" i="20" s="1"/>
  <c r="C118" i="20" s="1"/>
  <c r="F73" i="20" l="1"/>
  <c r="G73" i="20"/>
  <c r="C74" i="20" s="1"/>
  <c r="B119" i="20"/>
  <c r="F118" i="20"/>
  <c r="G118" i="20" s="1"/>
  <c r="C119" i="20" s="1"/>
  <c r="I119" i="20"/>
  <c r="M118" i="20"/>
  <c r="N118" i="20" s="1"/>
  <c r="J119" i="20" s="1"/>
  <c r="M62" i="20"/>
  <c r="N62" i="20" s="1"/>
  <c r="Y53" i="18"/>
  <c r="X245" i="18"/>
  <c r="X246" i="18" s="1"/>
  <c r="J63" i="20" l="1"/>
  <c r="P62" i="20"/>
  <c r="F74" i="20"/>
  <c r="G74" i="20" s="1"/>
  <c r="C75" i="20" s="1"/>
  <c r="I120" i="20"/>
  <c r="M119" i="20"/>
  <c r="N119" i="20" s="1"/>
  <c r="J120" i="20" s="1"/>
  <c r="B120" i="20"/>
  <c r="F119" i="20"/>
  <c r="G119" i="20" s="1"/>
  <c r="C120" i="20" s="1"/>
  <c r="Z53" i="18"/>
  <c r="W259" i="18"/>
  <c r="W260" i="18" s="1"/>
  <c r="D257" i="18"/>
  <c r="I257" i="18"/>
  <c r="O134" i="18"/>
  <c r="M134" i="18"/>
  <c r="K134" i="18"/>
  <c r="J134" i="18"/>
  <c r="L134" i="18"/>
  <c r="N134" i="18"/>
  <c r="P134" i="18"/>
  <c r="Q134" i="18"/>
  <c r="R134" i="18"/>
  <c r="S134" i="18"/>
  <c r="K167" i="18"/>
  <c r="L167" i="18"/>
  <c r="M167" i="18"/>
  <c r="N167" i="18"/>
  <c r="O167" i="18"/>
  <c r="P167" i="18"/>
  <c r="Q167" i="18"/>
  <c r="R167" i="18"/>
  <c r="S167" i="18"/>
  <c r="K166" i="18"/>
  <c r="L166" i="18"/>
  <c r="M166" i="18"/>
  <c r="N166" i="18"/>
  <c r="O166" i="18"/>
  <c r="P166" i="18"/>
  <c r="Q166" i="18"/>
  <c r="R166" i="18"/>
  <c r="S166" i="18"/>
  <c r="H275" i="18"/>
  <c r="H276" i="18" s="1"/>
  <c r="AI73" i="18"/>
  <c r="K73" i="18"/>
  <c r="L73" i="18"/>
  <c r="M73" i="18"/>
  <c r="N73" i="18"/>
  <c r="O73" i="18"/>
  <c r="P73" i="18"/>
  <c r="Q73" i="18"/>
  <c r="R73" i="18"/>
  <c r="S73" i="18"/>
  <c r="J73" i="18"/>
  <c r="I266" i="18"/>
  <c r="D265" i="18"/>
  <c r="I264" i="18"/>
  <c r="J264" i="18" s="1"/>
  <c r="K264" i="18" s="1"/>
  <c r="K265" i="18" s="1"/>
  <c r="I262" i="18"/>
  <c r="I256" i="18"/>
  <c r="I255" i="18"/>
  <c r="J255" i="18" s="1"/>
  <c r="K255" i="18" s="1"/>
  <c r="H272" i="18" l="1"/>
  <c r="N272" i="18" s="1"/>
  <c r="G272" i="18"/>
  <c r="H271" i="18"/>
  <c r="N271" i="18" s="1"/>
  <c r="N274" i="18" s="1"/>
  <c r="G271" i="18"/>
  <c r="F75" i="20"/>
  <c r="G75" i="20" s="1"/>
  <c r="C76" i="20" s="1"/>
  <c r="B121" i="20"/>
  <c r="F121" i="20" s="1"/>
  <c r="F120" i="20"/>
  <c r="G120" i="20" s="1"/>
  <c r="C121" i="20" s="1"/>
  <c r="I121" i="20"/>
  <c r="M121" i="20" s="1"/>
  <c r="M120" i="20"/>
  <c r="N120" i="20" s="1"/>
  <c r="J121" i="20" s="1"/>
  <c r="M63" i="20"/>
  <c r="N63" i="20" s="1"/>
  <c r="AA53" i="18"/>
  <c r="D267" i="18"/>
  <c r="J256" i="18"/>
  <c r="K256" i="18" s="1"/>
  <c r="J266" i="18"/>
  <c r="K266" i="18" s="1"/>
  <c r="K267" i="18" s="1"/>
  <c r="K109" i="18"/>
  <c r="L109" i="18"/>
  <c r="M109" i="18"/>
  <c r="N109" i="18"/>
  <c r="O109" i="18"/>
  <c r="P109" i="18"/>
  <c r="Q109" i="18"/>
  <c r="R109" i="18"/>
  <c r="S109" i="18"/>
  <c r="J109" i="18"/>
  <c r="J167" i="18"/>
  <c r="J166" i="18"/>
  <c r="AI14" i="18"/>
  <c r="W14" i="18"/>
  <c r="X14" i="18" s="1"/>
  <c r="W256" i="18"/>
  <c r="W255" i="18"/>
  <c r="P256" i="18"/>
  <c r="P259" i="18" s="1"/>
  <c r="P255" i="18"/>
  <c r="K116" i="18"/>
  <c r="K122" i="18" s="1"/>
  <c r="L116" i="18"/>
  <c r="L122" i="18" s="1"/>
  <c r="M116" i="18"/>
  <c r="M122" i="18" s="1"/>
  <c r="N116" i="18"/>
  <c r="N122" i="18" s="1"/>
  <c r="O116" i="18"/>
  <c r="O122" i="18" s="1"/>
  <c r="P116" i="18"/>
  <c r="P122" i="18" s="1"/>
  <c r="Q116" i="18"/>
  <c r="Q122" i="18" s="1"/>
  <c r="R116" i="18"/>
  <c r="R122" i="18" s="1"/>
  <c r="S116" i="18"/>
  <c r="S122" i="18" s="1"/>
  <c r="J116" i="18"/>
  <c r="J122" i="18" s="1"/>
  <c r="K113" i="18"/>
  <c r="K119" i="18" s="1"/>
  <c r="L113" i="18"/>
  <c r="L119" i="18" s="1"/>
  <c r="M113" i="18"/>
  <c r="M119" i="18" s="1"/>
  <c r="N113" i="18"/>
  <c r="N119" i="18" s="1"/>
  <c r="O113" i="18"/>
  <c r="O119" i="18" s="1"/>
  <c r="P113" i="18"/>
  <c r="P119" i="18" s="1"/>
  <c r="Q113" i="18"/>
  <c r="Q119" i="18" s="1"/>
  <c r="R113" i="18"/>
  <c r="R119" i="18" s="1"/>
  <c r="S113" i="18"/>
  <c r="S119" i="18" s="1"/>
  <c r="J113" i="18"/>
  <c r="J119" i="18" s="1"/>
  <c r="K114" i="18"/>
  <c r="K120" i="18" s="1"/>
  <c r="L114" i="18"/>
  <c r="L120" i="18" s="1"/>
  <c r="M114" i="18"/>
  <c r="M120" i="18" s="1"/>
  <c r="N114" i="18"/>
  <c r="N120" i="18" s="1"/>
  <c r="O114" i="18"/>
  <c r="O120" i="18" s="1"/>
  <c r="P114" i="18"/>
  <c r="P120" i="18" s="1"/>
  <c r="Q114" i="18"/>
  <c r="Q120" i="18" s="1"/>
  <c r="R114" i="18"/>
  <c r="R120" i="18" s="1"/>
  <c r="S114" i="18"/>
  <c r="S120" i="18" s="1"/>
  <c r="J114" i="18"/>
  <c r="J120" i="18" s="1"/>
  <c r="K162" i="18"/>
  <c r="K163" i="18" s="1"/>
  <c r="L162" i="18"/>
  <c r="L163" i="18" s="1"/>
  <c r="M162" i="18"/>
  <c r="M163" i="18" s="1"/>
  <c r="N162" i="18"/>
  <c r="N163" i="18" s="1"/>
  <c r="O162" i="18"/>
  <c r="O163" i="18" s="1"/>
  <c r="P162" i="18"/>
  <c r="P163" i="18" s="1"/>
  <c r="Q162" i="18"/>
  <c r="Q163" i="18" s="1"/>
  <c r="R162" i="18"/>
  <c r="R163" i="18" s="1"/>
  <c r="S162" i="18"/>
  <c r="S163" i="18" s="1"/>
  <c r="J162" i="18"/>
  <c r="J163" i="18" s="1"/>
  <c r="N275" i="18" l="1"/>
  <c r="H274" i="18"/>
  <c r="H277" i="18"/>
  <c r="G277" i="18"/>
  <c r="G274" i="18"/>
  <c r="J64" i="20"/>
  <c r="P63" i="20"/>
  <c r="F76" i="20"/>
  <c r="G76" i="20" s="1"/>
  <c r="C77" i="20" s="1"/>
  <c r="N121" i="20"/>
  <c r="N124" i="20" s="1"/>
  <c r="N89" i="20" s="1"/>
  <c r="G121" i="20"/>
  <c r="G124" i="20" s="1"/>
  <c r="G89" i="20" s="1"/>
  <c r="AB53" i="18"/>
  <c r="Y14" i="18"/>
  <c r="Z14" i="18" s="1"/>
  <c r="AA14" i="18" s="1"/>
  <c r="AB14" i="18" s="1"/>
  <c r="AC14" i="18" s="1"/>
  <c r="AD14" i="18" s="1"/>
  <c r="AE14" i="18" s="1"/>
  <c r="AF14" i="18" s="1"/>
  <c r="AG14" i="18" s="1"/>
  <c r="J257" i="18"/>
  <c r="K257" i="18" s="1"/>
  <c r="S108" i="18"/>
  <c r="S107" i="18"/>
  <c r="K108" i="18"/>
  <c r="L108" i="18"/>
  <c r="M108" i="18"/>
  <c r="N108" i="18"/>
  <c r="O108" i="18"/>
  <c r="P108" i="18"/>
  <c r="Q108" i="18"/>
  <c r="R108" i="18"/>
  <c r="J108" i="18"/>
  <c r="J107" i="18"/>
  <c r="K160" i="18"/>
  <c r="L160" i="18"/>
  <c r="M160" i="18"/>
  <c r="N160" i="18"/>
  <c r="O160" i="18"/>
  <c r="P160" i="18"/>
  <c r="Q160" i="18"/>
  <c r="R160" i="18"/>
  <c r="S160" i="18"/>
  <c r="J160" i="18"/>
  <c r="K159" i="18"/>
  <c r="L159" i="18"/>
  <c r="M159" i="18"/>
  <c r="N159" i="18"/>
  <c r="O159" i="18"/>
  <c r="P159" i="18"/>
  <c r="Q159" i="18"/>
  <c r="R159" i="18"/>
  <c r="S159" i="18"/>
  <c r="J159" i="18"/>
  <c r="K156" i="18"/>
  <c r="L156" i="18"/>
  <c r="M156" i="18"/>
  <c r="N156" i="18"/>
  <c r="O156" i="18"/>
  <c r="P156" i="18"/>
  <c r="Q156" i="18"/>
  <c r="R156" i="18"/>
  <c r="S156" i="18"/>
  <c r="J156" i="18"/>
  <c r="K157" i="18"/>
  <c r="L157" i="18"/>
  <c r="M157" i="18"/>
  <c r="N157" i="18"/>
  <c r="O157" i="18"/>
  <c r="P157" i="18"/>
  <c r="Q157" i="18"/>
  <c r="R157" i="18"/>
  <c r="S157" i="18"/>
  <c r="J157" i="18"/>
  <c r="K155" i="18"/>
  <c r="L155" i="18"/>
  <c r="M155" i="18"/>
  <c r="N155" i="18"/>
  <c r="O155" i="18"/>
  <c r="P155" i="18"/>
  <c r="Q155" i="18"/>
  <c r="R155" i="18"/>
  <c r="S155" i="18"/>
  <c r="J155" i="18"/>
  <c r="K154" i="18"/>
  <c r="L154" i="18"/>
  <c r="M154" i="18"/>
  <c r="N154" i="18"/>
  <c r="O154" i="18"/>
  <c r="P154" i="18"/>
  <c r="Q154" i="18"/>
  <c r="R154" i="18"/>
  <c r="S154" i="18"/>
  <c r="J154" i="18"/>
  <c r="K151" i="18"/>
  <c r="L151" i="18"/>
  <c r="M151" i="18"/>
  <c r="N151" i="18"/>
  <c r="O151" i="18"/>
  <c r="P151" i="18"/>
  <c r="Q151" i="18"/>
  <c r="R151" i="18"/>
  <c r="S151" i="18"/>
  <c r="J151" i="18"/>
  <c r="K150" i="18"/>
  <c r="L150" i="18"/>
  <c r="M150" i="18"/>
  <c r="N150" i="18"/>
  <c r="O150" i="18"/>
  <c r="P150" i="18"/>
  <c r="Q150" i="18"/>
  <c r="R150" i="18"/>
  <c r="S150" i="18"/>
  <c r="J150" i="18"/>
  <c r="K149" i="18"/>
  <c r="L149" i="18"/>
  <c r="M149" i="18"/>
  <c r="N149" i="18"/>
  <c r="O149" i="18"/>
  <c r="P149" i="18"/>
  <c r="Q149" i="18"/>
  <c r="R149" i="18"/>
  <c r="S149" i="18"/>
  <c r="J149" i="18"/>
  <c r="B151" i="18"/>
  <c r="B150" i="18"/>
  <c r="AI32" i="18"/>
  <c r="W32" i="18"/>
  <c r="X32" i="18" s="1"/>
  <c r="J137" i="18"/>
  <c r="K137" i="18"/>
  <c r="L137" i="18"/>
  <c r="M137" i="18"/>
  <c r="N137" i="18"/>
  <c r="O137" i="18"/>
  <c r="P137" i="18"/>
  <c r="Q137" i="18"/>
  <c r="R137" i="18"/>
  <c r="S137" i="18"/>
  <c r="V260" i="18"/>
  <c r="O259" i="18"/>
  <c r="V257" i="18"/>
  <c r="W257" i="18" s="1"/>
  <c r="W262" i="18" s="1"/>
  <c r="O257" i="18"/>
  <c r="P257" i="18" s="1"/>
  <c r="P262" i="18" s="1"/>
  <c r="K146" i="18"/>
  <c r="L146" i="18"/>
  <c r="M146" i="18"/>
  <c r="N146" i="18"/>
  <c r="O146" i="18"/>
  <c r="P146" i="18"/>
  <c r="Q146" i="18"/>
  <c r="R146" i="18"/>
  <c r="S146" i="18"/>
  <c r="J146" i="18"/>
  <c r="K145" i="18"/>
  <c r="L145" i="18"/>
  <c r="M145" i="18"/>
  <c r="N145" i="18"/>
  <c r="O145" i="18"/>
  <c r="P145" i="18"/>
  <c r="Q145" i="18"/>
  <c r="R145" i="18"/>
  <c r="S145" i="18"/>
  <c r="J145" i="18"/>
  <c r="F77" i="20" l="1"/>
  <c r="G77" i="20"/>
  <c r="C78" i="20" s="1"/>
  <c r="M64" i="20"/>
  <c r="N64" i="20" s="1"/>
  <c r="J258" i="18"/>
  <c r="K258" i="18" s="1"/>
  <c r="J259" i="18" s="1"/>
  <c r="K259" i="18" s="1"/>
  <c r="J260" i="18" s="1"/>
  <c r="K260" i="18" s="1"/>
  <c r="J261" i="18" s="1"/>
  <c r="K261" i="18" s="1"/>
  <c r="J262" i="18" s="1"/>
  <c r="K262" i="18" s="1"/>
  <c r="K263" i="18" s="1"/>
  <c r="AC53" i="18"/>
  <c r="AH14" i="18"/>
  <c r="AJ14" i="18"/>
  <c r="Y32" i="18"/>
  <c r="Z32" i="18" s="1"/>
  <c r="AA32" i="18" s="1"/>
  <c r="AB32" i="18" s="1"/>
  <c r="AC32" i="18" s="1"/>
  <c r="AD32" i="18" s="1"/>
  <c r="AE32" i="18" s="1"/>
  <c r="AF32" i="18" s="1"/>
  <c r="AG32" i="18" s="1"/>
  <c r="AH32" i="18" s="1"/>
  <c r="O262" i="18"/>
  <c r="V262" i="18"/>
  <c r="W9" i="18"/>
  <c r="X9" i="18" s="1"/>
  <c r="W10" i="18"/>
  <c r="X10" i="18" s="1"/>
  <c r="W12" i="18"/>
  <c r="X12" i="18" s="1"/>
  <c r="X13" i="18"/>
  <c r="W15" i="18"/>
  <c r="X15" i="18" s="1"/>
  <c r="W16" i="18"/>
  <c r="X16" i="18" s="1"/>
  <c r="W18" i="18"/>
  <c r="X18" i="18" s="1"/>
  <c r="W20" i="18"/>
  <c r="X20" i="18" s="1"/>
  <c r="W21" i="18"/>
  <c r="X21" i="18" s="1"/>
  <c r="W22" i="18"/>
  <c r="X22" i="18" s="1"/>
  <c r="W23" i="18"/>
  <c r="X23" i="18" s="1"/>
  <c r="W25" i="18"/>
  <c r="W27" i="18"/>
  <c r="X27" i="18" s="1"/>
  <c r="W29" i="18"/>
  <c r="X29" i="18" s="1"/>
  <c r="W31" i="18"/>
  <c r="X31" i="18" s="1"/>
  <c r="W33" i="18"/>
  <c r="X33" i="18" s="1"/>
  <c r="W34" i="18"/>
  <c r="X34" i="18" s="1"/>
  <c r="W51" i="18"/>
  <c r="X51" i="18" s="1"/>
  <c r="W55" i="18"/>
  <c r="W7" i="18"/>
  <c r="X7" i="18" s="1"/>
  <c r="W6" i="18"/>
  <c r="X6" i="18" s="1"/>
  <c r="AI9" i="18"/>
  <c r="AI10" i="18"/>
  <c r="AI11" i="18"/>
  <c r="AI12" i="18"/>
  <c r="AI13" i="18"/>
  <c r="AI15" i="18"/>
  <c r="AI16" i="18"/>
  <c r="AI18" i="18"/>
  <c r="AI20" i="18"/>
  <c r="AI21" i="18"/>
  <c r="AI22" i="18"/>
  <c r="AI23" i="18"/>
  <c r="AI25" i="18"/>
  <c r="AI27" i="18"/>
  <c r="AI29" i="18"/>
  <c r="AI31" i="18"/>
  <c r="AI33" i="18"/>
  <c r="AI34" i="18"/>
  <c r="AI51" i="18"/>
  <c r="AI55" i="18"/>
  <c r="AI57" i="18"/>
  <c r="AI59" i="18"/>
  <c r="AI66" i="18"/>
  <c r="AI67" i="18"/>
  <c r="AI72" i="18"/>
  <c r="AI74" i="18"/>
  <c r="AI75" i="18"/>
  <c r="AI76" i="18"/>
  <c r="AI78" i="18"/>
  <c r="AI79" i="18"/>
  <c r="AI80" i="18"/>
  <c r="AI82" i="18"/>
  <c r="AI83" i="18"/>
  <c r="AI84" i="18"/>
  <c r="AI85" i="18"/>
  <c r="AI87" i="18"/>
  <c r="AI88" i="18"/>
  <c r="AI90" i="18"/>
  <c r="AI92" i="18"/>
  <c r="AI93" i="18"/>
  <c r="AI94" i="18"/>
  <c r="AI95" i="18"/>
  <c r="AI96" i="18"/>
  <c r="AI98" i="18"/>
  <c r="AI99" i="18"/>
  <c r="AI100" i="18"/>
  <c r="AI7" i="18"/>
  <c r="AI6" i="18"/>
  <c r="X55" i="18" l="1"/>
  <c r="X130" i="18" s="1"/>
  <c r="X25" i="18"/>
  <c r="X129" i="18" s="1"/>
  <c r="J65" i="20"/>
  <c r="P64" i="20"/>
  <c r="F78" i="20"/>
  <c r="G78" i="20" s="1"/>
  <c r="X131" i="18"/>
  <c r="AD53" i="18"/>
  <c r="AJ32" i="18"/>
  <c r="K112" i="18"/>
  <c r="K118" i="18" s="1"/>
  <c r="L112" i="18"/>
  <c r="L118" i="18" s="1"/>
  <c r="M112" i="18"/>
  <c r="M118" i="18" s="1"/>
  <c r="N112" i="18"/>
  <c r="N118" i="18" s="1"/>
  <c r="O112" i="18"/>
  <c r="O118" i="18" s="1"/>
  <c r="P112" i="18"/>
  <c r="P118" i="18" s="1"/>
  <c r="Q112" i="18"/>
  <c r="Q118" i="18" s="1"/>
  <c r="R112" i="18"/>
  <c r="R118" i="18" s="1"/>
  <c r="S112" i="18"/>
  <c r="S118" i="18" s="1"/>
  <c r="K115" i="18"/>
  <c r="K121" i="18" s="1"/>
  <c r="L115" i="18"/>
  <c r="L121" i="18" s="1"/>
  <c r="M115" i="18"/>
  <c r="M121" i="18" s="1"/>
  <c r="N115" i="18"/>
  <c r="N121" i="18" s="1"/>
  <c r="O115" i="18"/>
  <c r="O121" i="18" s="1"/>
  <c r="P115" i="18"/>
  <c r="P121" i="18" s="1"/>
  <c r="Q115" i="18"/>
  <c r="Q121" i="18" s="1"/>
  <c r="R115" i="18"/>
  <c r="R121" i="18" s="1"/>
  <c r="S115" i="18"/>
  <c r="S121" i="18" s="1"/>
  <c r="J115" i="18"/>
  <c r="J121" i="18" s="1"/>
  <c r="J112" i="18"/>
  <c r="J118" i="18" s="1"/>
  <c r="X68" i="18" l="1"/>
  <c r="X110" i="18" s="1"/>
  <c r="X132" i="18"/>
  <c r="X124" i="18"/>
  <c r="X125" i="18"/>
  <c r="G81" i="20"/>
  <c r="G82" i="20" s="1"/>
  <c r="C79" i="20"/>
  <c r="M65" i="20"/>
  <c r="N65" i="20"/>
  <c r="J66" i="20" s="1"/>
  <c r="AE53" i="18"/>
  <c r="Y31" i="18"/>
  <c r="X147" i="18"/>
  <c r="Y29" i="18"/>
  <c r="K136" i="18"/>
  <c r="L136" i="18"/>
  <c r="M136" i="18"/>
  <c r="N136" i="18"/>
  <c r="O136" i="18"/>
  <c r="P136" i="18"/>
  <c r="Q136" i="18"/>
  <c r="R136" i="18"/>
  <c r="S136" i="18"/>
  <c r="J136" i="18"/>
  <c r="K135" i="18"/>
  <c r="L135" i="18"/>
  <c r="M135" i="18"/>
  <c r="N135" i="18"/>
  <c r="O135" i="18"/>
  <c r="P135" i="18"/>
  <c r="Q135" i="18"/>
  <c r="R135" i="18"/>
  <c r="S135" i="18"/>
  <c r="J135" i="18"/>
  <c r="M66" i="20" l="1"/>
  <c r="N66" i="20"/>
  <c r="J67" i="20" s="1"/>
  <c r="F79" i="20"/>
  <c r="G79" i="20" s="1"/>
  <c r="AF53" i="18"/>
  <c r="Z31" i="18"/>
  <c r="Z29" i="18"/>
  <c r="AJ87" i="18"/>
  <c r="M67" i="20" l="1"/>
  <c r="N67" i="20"/>
  <c r="J68" i="20" s="1"/>
  <c r="AG53" i="18"/>
  <c r="AA31" i="18"/>
  <c r="AA29" i="18"/>
  <c r="J211" i="18"/>
  <c r="K211" i="18"/>
  <c r="L211" i="18"/>
  <c r="M211" i="18"/>
  <c r="N211" i="18"/>
  <c r="O211" i="18"/>
  <c r="P211" i="18"/>
  <c r="Q211" i="18"/>
  <c r="R211" i="18"/>
  <c r="S211" i="18"/>
  <c r="J88" i="18"/>
  <c r="J139" i="18" s="1"/>
  <c r="J140" i="18" s="1"/>
  <c r="J143" i="18" s="1"/>
  <c r="K88" i="18"/>
  <c r="K139" i="18" s="1"/>
  <c r="K140" i="18" s="1"/>
  <c r="K143" i="18" s="1"/>
  <c r="L88" i="18"/>
  <c r="L139" i="18" s="1"/>
  <c r="L140" i="18" s="1"/>
  <c r="L143" i="18" s="1"/>
  <c r="M88" i="18"/>
  <c r="M139" i="18" s="1"/>
  <c r="M140" i="18" s="1"/>
  <c r="M143" i="18" s="1"/>
  <c r="N88" i="18"/>
  <c r="N139" i="18" s="1"/>
  <c r="N140" i="18" s="1"/>
  <c r="N143" i="18" s="1"/>
  <c r="O88" i="18"/>
  <c r="O139" i="18" s="1"/>
  <c r="O140" i="18" s="1"/>
  <c r="O143" i="18" s="1"/>
  <c r="P88" i="18"/>
  <c r="P139" i="18" s="1"/>
  <c r="P140" i="18" s="1"/>
  <c r="P143" i="18" s="1"/>
  <c r="Q88" i="18"/>
  <c r="Q139" i="18" s="1"/>
  <c r="Q140" i="18" s="1"/>
  <c r="Q143" i="18" s="1"/>
  <c r="R88" i="18"/>
  <c r="R139" i="18" s="1"/>
  <c r="R140" i="18" s="1"/>
  <c r="R143" i="18" s="1"/>
  <c r="S88" i="18"/>
  <c r="S139" i="18" s="1"/>
  <c r="M68" i="20" l="1"/>
  <c r="N68" i="20" s="1"/>
  <c r="J69" i="20" s="1"/>
  <c r="AH53" i="18"/>
  <c r="AJ53" i="18"/>
  <c r="AB31" i="18"/>
  <c r="X88" i="18"/>
  <c r="AB29" i="18"/>
  <c r="Q141" i="18"/>
  <c r="Q142" i="18" s="1"/>
  <c r="M141" i="18"/>
  <c r="M142" i="18" s="1"/>
  <c r="O141" i="18"/>
  <c r="O142" i="18" s="1"/>
  <c r="K141" i="18"/>
  <c r="K142" i="18" s="1"/>
  <c r="P141" i="18"/>
  <c r="P142" i="18" s="1"/>
  <c r="L141" i="18"/>
  <c r="L142" i="18" s="1"/>
  <c r="R141" i="18"/>
  <c r="R142" i="18" s="1"/>
  <c r="N141" i="18"/>
  <c r="N142" i="18" s="1"/>
  <c r="J141" i="18"/>
  <c r="J142" i="18" s="1"/>
  <c r="S140" i="18"/>
  <c r="S143" i="18" s="1"/>
  <c r="Y59" i="18"/>
  <c r="M69" i="20" l="1"/>
  <c r="N69" i="20"/>
  <c r="J70" i="20" s="1"/>
  <c r="AC31" i="18"/>
  <c r="Z59" i="18"/>
  <c r="AC29" i="18"/>
  <c r="S141" i="18"/>
  <c r="Y88" i="18"/>
  <c r="J98" i="18"/>
  <c r="J164" i="18" s="1"/>
  <c r="K98" i="18"/>
  <c r="K164" i="18" s="1"/>
  <c r="L98" i="18"/>
  <c r="L164" i="18" s="1"/>
  <c r="M98" i="18"/>
  <c r="M164" i="18" s="1"/>
  <c r="N98" i="18"/>
  <c r="N164" i="18" s="1"/>
  <c r="O98" i="18"/>
  <c r="O164" i="18" s="1"/>
  <c r="P98" i="18"/>
  <c r="P164" i="18" s="1"/>
  <c r="Q98" i="18"/>
  <c r="Q164" i="18" s="1"/>
  <c r="R98" i="18"/>
  <c r="R164" i="18" s="1"/>
  <c r="J99" i="18"/>
  <c r="K99" i="18"/>
  <c r="L99" i="18"/>
  <c r="M99" i="18"/>
  <c r="N99" i="18"/>
  <c r="O99" i="18"/>
  <c r="P99" i="18"/>
  <c r="Q99" i="18"/>
  <c r="R99" i="18"/>
  <c r="J100" i="18"/>
  <c r="K100" i="18"/>
  <c r="L100" i="18"/>
  <c r="M100" i="18"/>
  <c r="N100" i="18"/>
  <c r="O100" i="18"/>
  <c r="P100" i="18"/>
  <c r="Q100" i="18"/>
  <c r="R100" i="18"/>
  <c r="S100" i="18"/>
  <c r="S99" i="18"/>
  <c r="S98" i="18"/>
  <c r="S164" i="18" s="1"/>
  <c r="K107" i="18"/>
  <c r="L107" i="18"/>
  <c r="M107" i="18"/>
  <c r="N107" i="18"/>
  <c r="O107" i="18"/>
  <c r="P107" i="18"/>
  <c r="Q107" i="18"/>
  <c r="R107" i="18"/>
  <c r="J106" i="18"/>
  <c r="K106" i="18"/>
  <c r="L106" i="18"/>
  <c r="M106" i="18"/>
  <c r="N106" i="18"/>
  <c r="O106" i="18"/>
  <c r="P106" i="18"/>
  <c r="Q106" i="18"/>
  <c r="R106" i="18"/>
  <c r="J105" i="18"/>
  <c r="K105" i="18"/>
  <c r="L105" i="18"/>
  <c r="M105" i="18"/>
  <c r="N105" i="18"/>
  <c r="O105" i="18"/>
  <c r="P105" i="18"/>
  <c r="Q105" i="18"/>
  <c r="R105" i="18"/>
  <c r="S106" i="18"/>
  <c r="M70" i="20" l="1"/>
  <c r="N70" i="20"/>
  <c r="J71" i="20" s="1"/>
  <c r="AD31" i="18"/>
  <c r="AA59" i="18"/>
  <c r="Z88" i="18"/>
  <c r="AD29" i="18"/>
  <c r="S105" i="18"/>
  <c r="K250" i="18"/>
  <c r="L250" i="18"/>
  <c r="M250" i="18"/>
  <c r="N250" i="18"/>
  <c r="O250" i="18"/>
  <c r="P250" i="18"/>
  <c r="Q250" i="18"/>
  <c r="R250" i="18"/>
  <c r="S250" i="18"/>
  <c r="J250" i="18"/>
  <c r="K249" i="18"/>
  <c r="L249" i="18"/>
  <c r="M249" i="18"/>
  <c r="N249" i="18"/>
  <c r="O249" i="18"/>
  <c r="P249" i="18"/>
  <c r="Q249" i="18"/>
  <c r="R249" i="18"/>
  <c r="S249" i="18"/>
  <c r="J249" i="18"/>
  <c r="K248" i="18"/>
  <c r="L248" i="18"/>
  <c r="M248" i="18"/>
  <c r="N248" i="18"/>
  <c r="O248" i="18"/>
  <c r="P248" i="18"/>
  <c r="Q248" i="18"/>
  <c r="R248" i="18"/>
  <c r="S248" i="18"/>
  <c r="J248" i="18"/>
  <c r="K67" i="18"/>
  <c r="L67" i="18"/>
  <c r="M67" i="18"/>
  <c r="N67" i="18"/>
  <c r="O67" i="18"/>
  <c r="P67" i="18"/>
  <c r="Q67" i="18"/>
  <c r="R67" i="18"/>
  <c r="S67" i="18"/>
  <c r="J67" i="18"/>
  <c r="J72" i="18"/>
  <c r="K66" i="18"/>
  <c r="K202" i="18" s="1"/>
  <c r="L66" i="18"/>
  <c r="L202" i="18" s="1"/>
  <c r="M66" i="18"/>
  <c r="M202" i="18" s="1"/>
  <c r="N66" i="18"/>
  <c r="N202" i="18" s="1"/>
  <c r="O66" i="18"/>
  <c r="O202" i="18" s="1"/>
  <c r="P66" i="18"/>
  <c r="P202" i="18" s="1"/>
  <c r="Q66" i="18"/>
  <c r="Q202" i="18" s="1"/>
  <c r="R66" i="18"/>
  <c r="R202" i="18" s="1"/>
  <c r="S66" i="18"/>
  <c r="S202" i="18" s="1"/>
  <c r="J66" i="18"/>
  <c r="J202" i="18" s="1"/>
  <c r="X113" i="18"/>
  <c r="X119" i="18" s="1"/>
  <c r="J214" i="18" l="1"/>
  <c r="M71" i="20"/>
  <c r="N71" i="20" s="1"/>
  <c r="J72" i="20" s="1"/>
  <c r="AE31" i="18"/>
  <c r="AB59" i="18"/>
  <c r="AA88" i="18"/>
  <c r="AE29" i="18"/>
  <c r="Y51" i="18"/>
  <c r="M72" i="20" l="1"/>
  <c r="N72" i="20" s="1"/>
  <c r="J73" i="20" s="1"/>
  <c r="Y113" i="18"/>
  <c r="Y119" i="18" s="1"/>
  <c r="AF31" i="18"/>
  <c r="AC59" i="18"/>
  <c r="AB88" i="18"/>
  <c r="AF29" i="18"/>
  <c r="Z51" i="18"/>
  <c r="L95" i="18"/>
  <c r="M95" i="18"/>
  <c r="N95" i="18"/>
  <c r="O95" i="18"/>
  <c r="P95" i="18"/>
  <c r="Q95" i="18"/>
  <c r="R95" i="18"/>
  <c r="S95" i="18"/>
  <c r="L96" i="18"/>
  <c r="M96" i="18"/>
  <c r="N96" i="18"/>
  <c r="O96" i="18"/>
  <c r="P96" i="18"/>
  <c r="Q96" i="18"/>
  <c r="R96" i="18"/>
  <c r="S96" i="18"/>
  <c r="L90" i="18"/>
  <c r="L92" i="18" s="1"/>
  <c r="M90" i="18"/>
  <c r="M92" i="18" s="1"/>
  <c r="N90" i="18"/>
  <c r="N92" i="18" s="1"/>
  <c r="O90" i="18"/>
  <c r="O92" i="18" s="1"/>
  <c r="P90" i="18"/>
  <c r="P92" i="18" s="1"/>
  <c r="Q90" i="18"/>
  <c r="Q92" i="18" s="1"/>
  <c r="R90" i="18"/>
  <c r="R92" i="18" s="1"/>
  <c r="S90" i="18"/>
  <c r="S92" i="18" s="1"/>
  <c r="L93" i="18"/>
  <c r="M93" i="18"/>
  <c r="N93" i="18"/>
  <c r="O93" i="18"/>
  <c r="P93" i="18"/>
  <c r="Q93" i="18"/>
  <c r="R93" i="18"/>
  <c r="S93" i="18"/>
  <c r="L94" i="18"/>
  <c r="M94" i="18"/>
  <c r="N94" i="18"/>
  <c r="O94" i="18"/>
  <c r="P94" i="18"/>
  <c r="Q94" i="18"/>
  <c r="R94" i="18"/>
  <c r="S94" i="18"/>
  <c r="J93" i="18"/>
  <c r="J94" i="18"/>
  <c r="J95" i="18"/>
  <c r="J96" i="18"/>
  <c r="K96" i="18"/>
  <c r="K95" i="18"/>
  <c r="Y22" i="18"/>
  <c r="Z22" i="18" s="1"/>
  <c r="AA22" i="18" s="1"/>
  <c r="AB22" i="18" s="1"/>
  <c r="AC22" i="18" s="1"/>
  <c r="AD22" i="18" s="1"/>
  <c r="AE22" i="18" s="1"/>
  <c r="AF22" i="18" s="1"/>
  <c r="AG22" i="18" s="1"/>
  <c r="J90" i="18"/>
  <c r="J92" i="18" s="1"/>
  <c r="K90" i="18"/>
  <c r="K92" i="18" s="1"/>
  <c r="K94" i="18"/>
  <c r="K93" i="18"/>
  <c r="M73" i="20" l="1"/>
  <c r="N73" i="20" s="1"/>
  <c r="J74" i="20" s="1"/>
  <c r="Z113" i="18"/>
  <c r="Z119" i="18" s="1"/>
  <c r="AG31" i="18"/>
  <c r="AH31" i="18" s="1"/>
  <c r="AD59" i="18"/>
  <c r="AC88" i="18"/>
  <c r="Y23" i="18"/>
  <c r="X116" i="18"/>
  <c r="X122" i="18" s="1"/>
  <c r="AG29" i="18"/>
  <c r="AH22" i="18"/>
  <c r="AJ22" i="18"/>
  <c r="AA51" i="18"/>
  <c r="Y21" i="18"/>
  <c r="M74" i="20" l="1"/>
  <c r="N74" i="20" s="1"/>
  <c r="J75" i="20" s="1"/>
  <c r="AJ31" i="18"/>
  <c r="AA113" i="18"/>
  <c r="AA119" i="18" s="1"/>
  <c r="AD88" i="18"/>
  <c r="AE59" i="18"/>
  <c r="Z23" i="18"/>
  <c r="Y116" i="18"/>
  <c r="Y122" i="18" s="1"/>
  <c r="AJ29" i="18"/>
  <c r="AH29" i="18"/>
  <c r="Y20" i="18"/>
  <c r="X90" i="18"/>
  <c r="Z21" i="18"/>
  <c r="Y9" i="18"/>
  <c r="Z9" i="18" s="1"/>
  <c r="AA9" i="18" s="1"/>
  <c r="AB9" i="18" s="1"/>
  <c r="AC9" i="18" s="1"/>
  <c r="AD9" i="18" s="1"/>
  <c r="AE9" i="18" s="1"/>
  <c r="AF9" i="18" s="1"/>
  <c r="AG9" i="18" s="1"/>
  <c r="AJ9" i="18" s="1"/>
  <c r="X109" i="18"/>
  <c r="Y33" i="18"/>
  <c r="Z33" i="18" s="1"/>
  <c r="AA33" i="18" s="1"/>
  <c r="AB33" i="18" s="1"/>
  <c r="AC33" i="18" s="1"/>
  <c r="AD33" i="18" s="1"/>
  <c r="AE33" i="18" s="1"/>
  <c r="AF33" i="18" s="1"/>
  <c r="AG33" i="18" s="1"/>
  <c r="AJ33" i="18" s="1"/>
  <c r="Y34" i="18"/>
  <c r="Z34" i="18" s="1"/>
  <c r="AA34" i="18" s="1"/>
  <c r="AB34" i="18" s="1"/>
  <c r="AC34" i="18" s="1"/>
  <c r="AD34" i="18" s="1"/>
  <c r="AE34" i="18" s="1"/>
  <c r="AF34" i="18" s="1"/>
  <c r="AG34" i="18" s="1"/>
  <c r="AJ34" i="18" s="1"/>
  <c r="AB51" i="18"/>
  <c r="R86" i="18"/>
  <c r="R208" i="18" s="1"/>
  <c r="R85" i="18"/>
  <c r="R83" i="18"/>
  <c r="R82" i="18"/>
  <c r="R80" i="18"/>
  <c r="R209" i="18" s="1"/>
  <c r="R79" i="18"/>
  <c r="R78" i="18"/>
  <c r="R76" i="18"/>
  <c r="R75" i="18"/>
  <c r="R206" i="18" s="1"/>
  <c r="R74" i="18"/>
  <c r="R72" i="18"/>
  <c r="R214" i="18" s="1"/>
  <c r="M75" i="20" l="1"/>
  <c r="N75" i="20" s="1"/>
  <c r="J76" i="20" s="1"/>
  <c r="AB113" i="18"/>
  <c r="AB119" i="18" s="1"/>
  <c r="AE88" i="18"/>
  <c r="AF59" i="18"/>
  <c r="Y90" i="18"/>
  <c r="X156" i="18"/>
  <c r="X166" i="18"/>
  <c r="X157" i="18"/>
  <c r="X167" i="18"/>
  <c r="AA23" i="18"/>
  <c r="Z116" i="18"/>
  <c r="Z122" i="18" s="1"/>
  <c r="X150" i="18"/>
  <c r="X151" i="18"/>
  <c r="X149" i="18"/>
  <c r="X137" i="18"/>
  <c r="S142" i="18"/>
  <c r="X112" i="18"/>
  <c r="X118" i="18" s="1"/>
  <c r="X146" i="18"/>
  <c r="X145" i="18"/>
  <c r="Y18" i="18"/>
  <c r="R203" i="18"/>
  <c r="Z20" i="18"/>
  <c r="Y27" i="18"/>
  <c r="AC51" i="18"/>
  <c r="Y25" i="18"/>
  <c r="Y129" i="18" s="1"/>
  <c r="X105" i="18"/>
  <c r="AA21" i="18"/>
  <c r="AH33" i="18"/>
  <c r="AH34" i="18"/>
  <c r="AH9" i="18"/>
  <c r="R84" i="18"/>
  <c r="R207" i="18" s="1"/>
  <c r="J80" i="18"/>
  <c r="J209" i="18" s="1"/>
  <c r="K80" i="18"/>
  <c r="K209" i="18" s="1"/>
  <c r="L80" i="18"/>
  <c r="L209" i="18" s="1"/>
  <c r="M80" i="18"/>
  <c r="M209" i="18" s="1"/>
  <c r="N80" i="18"/>
  <c r="N209" i="18" s="1"/>
  <c r="O80" i="18"/>
  <c r="O209" i="18" s="1"/>
  <c r="P80" i="18"/>
  <c r="P209" i="18" s="1"/>
  <c r="Q80" i="18"/>
  <c r="Q209" i="18" s="1"/>
  <c r="S80" i="18"/>
  <c r="M76" i="20" l="1"/>
  <c r="N76" i="20" s="1"/>
  <c r="J77" i="20" s="1"/>
  <c r="Y124" i="18"/>
  <c r="Y125" i="18"/>
  <c r="R216" i="18"/>
  <c r="R217" i="18" s="1"/>
  <c r="R215" i="18"/>
  <c r="AC113" i="18"/>
  <c r="AC119" i="18" s="1"/>
  <c r="Y109" i="18"/>
  <c r="Y147" i="18"/>
  <c r="AG59" i="18"/>
  <c r="AF88" i="18"/>
  <c r="Y157" i="18"/>
  <c r="Y167" i="18"/>
  <c r="Y156" i="18"/>
  <c r="Y166" i="18"/>
  <c r="AB23" i="18"/>
  <c r="AA116" i="18"/>
  <c r="AA122" i="18" s="1"/>
  <c r="Y149" i="18"/>
  <c r="Y151" i="18"/>
  <c r="Y150" i="18"/>
  <c r="Y137" i="18"/>
  <c r="Y112" i="18"/>
  <c r="Y118" i="18" s="1"/>
  <c r="Y146" i="18"/>
  <c r="Y145" i="18"/>
  <c r="Z18" i="18"/>
  <c r="AA20" i="18"/>
  <c r="Z90" i="18"/>
  <c r="Z27" i="18"/>
  <c r="Z25" i="18"/>
  <c r="Y105" i="18"/>
  <c r="AD51" i="18"/>
  <c r="AB21" i="18"/>
  <c r="S209" i="18"/>
  <c r="J79" i="18"/>
  <c r="K79" i="18"/>
  <c r="L79" i="18"/>
  <c r="M79" i="18"/>
  <c r="N79" i="18"/>
  <c r="O79" i="18"/>
  <c r="P79" i="18"/>
  <c r="Q79" i="18"/>
  <c r="S79" i="18"/>
  <c r="J78" i="18"/>
  <c r="K78" i="18"/>
  <c r="L78" i="18"/>
  <c r="M78" i="18"/>
  <c r="N78" i="18"/>
  <c r="O78" i="18"/>
  <c r="P78" i="18"/>
  <c r="Q78" i="18"/>
  <c r="S78" i="18"/>
  <c r="M77" i="20" l="1"/>
  <c r="N77" i="20" s="1"/>
  <c r="J78" i="20" s="1"/>
  <c r="Z125" i="18"/>
  <c r="Z129" i="18"/>
  <c r="Z147" i="18"/>
  <c r="Z124" i="18"/>
  <c r="AD113" i="18"/>
  <c r="AD119" i="18" s="1"/>
  <c r="AJ59" i="18"/>
  <c r="AG88" i="18"/>
  <c r="AH59" i="18"/>
  <c r="Z156" i="18"/>
  <c r="Z166" i="18"/>
  <c r="Z157" i="18"/>
  <c r="Z167" i="18"/>
  <c r="Z109" i="18"/>
  <c r="AC23" i="18"/>
  <c r="AB116" i="18"/>
  <c r="AB122" i="18" s="1"/>
  <c r="Z151" i="18"/>
  <c r="Z150" i="18"/>
  <c r="Z149" i="18"/>
  <c r="Z137" i="18"/>
  <c r="Z112" i="18"/>
  <c r="Z118" i="18" s="1"/>
  <c r="Z146" i="18"/>
  <c r="Z145" i="18"/>
  <c r="AA18" i="18"/>
  <c r="AB20" i="18"/>
  <c r="AA90" i="18"/>
  <c r="AA27" i="18"/>
  <c r="AA25" i="18"/>
  <c r="AA129" i="18" s="1"/>
  <c r="Z105" i="18"/>
  <c r="AE51" i="18"/>
  <c r="AC21" i="18"/>
  <c r="M78" i="20" l="1"/>
  <c r="N78" i="20" s="1"/>
  <c r="AA124" i="18"/>
  <c r="AA125" i="18"/>
  <c r="AE113" i="18"/>
  <c r="AE119" i="18" s="1"/>
  <c r="AA109" i="18"/>
  <c r="AA147" i="18"/>
  <c r="X188" i="18"/>
  <c r="T237" i="18" s="1"/>
  <c r="AJ88" i="18"/>
  <c r="Y188" i="18" s="1"/>
  <c r="S237" i="18" s="1"/>
  <c r="AH88" i="18"/>
  <c r="AA157" i="18"/>
  <c r="AA167" i="18"/>
  <c r="AA156" i="18"/>
  <c r="AA166" i="18"/>
  <c r="AD23" i="18"/>
  <c r="AC116" i="18"/>
  <c r="AC122" i="18" s="1"/>
  <c r="AA137" i="18"/>
  <c r="AA151" i="18"/>
  <c r="AA150" i="18"/>
  <c r="AA149" i="18"/>
  <c r="AA112" i="18"/>
  <c r="AA118" i="18" s="1"/>
  <c r="AA146" i="18"/>
  <c r="AA145" i="18"/>
  <c r="AB18" i="18"/>
  <c r="AC20" i="18"/>
  <c r="AB90" i="18"/>
  <c r="AB27" i="18"/>
  <c r="AB25" i="18"/>
  <c r="AA105" i="18"/>
  <c r="AF51" i="18"/>
  <c r="AD21" i="18"/>
  <c r="K72" i="18"/>
  <c r="L72" i="18"/>
  <c r="M72" i="18"/>
  <c r="M214" i="18" s="1"/>
  <c r="N72" i="18"/>
  <c r="N214" i="18" s="1"/>
  <c r="O72" i="18"/>
  <c r="O214" i="18" s="1"/>
  <c r="P72" i="18"/>
  <c r="P214" i="18" s="1"/>
  <c r="Q72" i="18"/>
  <c r="S72" i="18"/>
  <c r="S214" i="18" s="1"/>
  <c r="J86" i="18"/>
  <c r="K86" i="18"/>
  <c r="K208" i="18" s="1"/>
  <c r="L86" i="18"/>
  <c r="L208" i="18" s="1"/>
  <c r="M86" i="18"/>
  <c r="M208" i="18" s="1"/>
  <c r="N86" i="18"/>
  <c r="N208" i="18" s="1"/>
  <c r="O86" i="18"/>
  <c r="O208" i="18" s="1"/>
  <c r="P86" i="18"/>
  <c r="P208" i="18" s="1"/>
  <c r="Q86" i="18"/>
  <c r="S86" i="18"/>
  <c r="J85" i="18"/>
  <c r="K85" i="18"/>
  <c r="L85" i="18"/>
  <c r="M85" i="18"/>
  <c r="N85" i="18"/>
  <c r="O85" i="18"/>
  <c r="P85" i="18"/>
  <c r="Q85" i="18"/>
  <c r="S85" i="18"/>
  <c r="J83" i="18"/>
  <c r="K83" i="18"/>
  <c r="L83" i="18"/>
  <c r="M83" i="18"/>
  <c r="N83" i="18"/>
  <c r="O83" i="18"/>
  <c r="P83" i="18"/>
  <c r="Q83" i="18"/>
  <c r="S83" i="18"/>
  <c r="J82" i="18"/>
  <c r="K82" i="18"/>
  <c r="L82" i="18"/>
  <c r="M82" i="18"/>
  <c r="N82" i="18"/>
  <c r="O82" i="18"/>
  <c r="P82" i="18"/>
  <c r="Q82" i="18"/>
  <c r="S82" i="18"/>
  <c r="J76" i="18"/>
  <c r="K76" i="18"/>
  <c r="L76" i="18"/>
  <c r="M76" i="18"/>
  <c r="N76" i="18"/>
  <c r="O76" i="18"/>
  <c r="P76" i="18"/>
  <c r="Q76" i="18"/>
  <c r="S76" i="18"/>
  <c r="J75" i="18"/>
  <c r="K75" i="18"/>
  <c r="K206" i="18" s="1"/>
  <c r="L75" i="18"/>
  <c r="L206" i="18" s="1"/>
  <c r="M75" i="18"/>
  <c r="M206" i="18" s="1"/>
  <c r="N75" i="18"/>
  <c r="N206" i="18" s="1"/>
  <c r="O75" i="18"/>
  <c r="O206" i="18" s="1"/>
  <c r="P75" i="18"/>
  <c r="P206" i="18" s="1"/>
  <c r="Q75" i="18"/>
  <c r="S75" i="18"/>
  <c r="J74" i="18"/>
  <c r="K74" i="18"/>
  <c r="L74" i="18"/>
  <c r="M74" i="18"/>
  <c r="N74" i="18"/>
  <c r="O74" i="18"/>
  <c r="P74" i="18"/>
  <c r="Q74" i="18"/>
  <c r="S74" i="18"/>
  <c r="X154" i="18"/>
  <c r="X162" i="18"/>
  <c r="X163" i="18" s="1"/>
  <c r="X114" i="18"/>
  <c r="X120" i="18" s="1"/>
  <c r="Q214" i="18" l="1"/>
  <c r="U170" i="18"/>
  <c r="L214" i="18"/>
  <c r="V170" i="18"/>
  <c r="X244" i="18" s="1"/>
  <c r="X243" i="18" s="1"/>
  <c r="K214" i="18"/>
  <c r="N81" i="20"/>
  <c r="N82" i="20" s="1"/>
  <c r="J79" i="20"/>
  <c r="AB125" i="18"/>
  <c r="AB129" i="18"/>
  <c r="AB147" i="18"/>
  <c r="AB124" i="18"/>
  <c r="X211" i="18"/>
  <c r="AF113" i="18"/>
  <c r="AF119" i="18" s="1"/>
  <c r="X134" i="18"/>
  <c r="W188" i="18"/>
  <c r="AB156" i="18"/>
  <c r="AB166" i="18"/>
  <c r="AB109" i="18"/>
  <c r="AB157" i="18"/>
  <c r="AB167" i="18"/>
  <c r="AE23" i="18"/>
  <c r="AD116" i="18"/>
  <c r="AD122" i="18" s="1"/>
  <c r="X107" i="18"/>
  <c r="X108" i="18"/>
  <c r="X160" i="18"/>
  <c r="X159" i="18"/>
  <c r="X115" i="18"/>
  <c r="X121" i="18" s="1"/>
  <c r="X155" i="18"/>
  <c r="K203" i="18"/>
  <c r="AB137" i="18"/>
  <c r="AB150" i="18"/>
  <c r="AB149" i="18"/>
  <c r="AB151" i="18"/>
  <c r="X136" i="18"/>
  <c r="AB112" i="18"/>
  <c r="AB118" i="18" s="1"/>
  <c r="AB146" i="18"/>
  <c r="AB145" i="18"/>
  <c r="X135" i="18"/>
  <c r="AC18" i="18"/>
  <c r="S203" i="18"/>
  <c r="N203" i="18"/>
  <c r="M203" i="18"/>
  <c r="P203" i="18"/>
  <c r="L203" i="18"/>
  <c r="AD20" i="18"/>
  <c r="AC90" i="18"/>
  <c r="K84" i="18"/>
  <c r="K207" i="18" s="1"/>
  <c r="AC27" i="18"/>
  <c r="Y12" i="18"/>
  <c r="Y15" i="18"/>
  <c r="Y154" i="18" s="1"/>
  <c r="Y13" i="18"/>
  <c r="Y10" i="18"/>
  <c r="Y16" i="18"/>
  <c r="Y162" i="18" s="1"/>
  <c r="Y163" i="18" s="1"/>
  <c r="Y6" i="18"/>
  <c r="Y7" i="18"/>
  <c r="AC25" i="18"/>
  <c r="AC129" i="18" s="1"/>
  <c r="AB105" i="18"/>
  <c r="Y55" i="18"/>
  <c r="Y130" i="18" s="1"/>
  <c r="X106" i="18"/>
  <c r="AG51" i="18"/>
  <c r="O84" i="18"/>
  <c r="O207" i="18" s="1"/>
  <c r="N84" i="18"/>
  <c r="N207" i="18" s="1"/>
  <c r="M84" i="18"/>
  <c r="M207" i="18" s="1"/>
  <c r="AE21" i="18"/>
  <c r="Y201" i="18"/>
  <c r="L84" i="18"/>
  <c r="L207" i="18" s="1"/>
  <c r="J206" i="18"/>
  <c r="J203" i="18"/>
  <c r="J208" i="18"/>
  <c r="J84" i="18"/>
  <c r="Q206" i="18"/>
  <c r="Q203" i="18"/>
  <c r="Q208" i="18"/>
  <c r="S206" i="18"/>
  <c r="O203" i="18"/>
  <c r="Q84" i="18"/>
  <c r="P84" i="18"/>
  <c r="P207" i="18" s="1"/>
  <c r="S208" i="18"/>
  <c r="S84" i="18"/>
  <c r="C6" i="12"/>
  <c r="M79" i="20" l="1"/>
  <c r="N79" i="20" s="1"/>
  <c r="J80" i="20" s="1"/>
  <c r="Y132" i="18"/>
  <c r="Y131" i="18"/>
  <c r="AC124" i="18"/>
  <c r="AC125" i="18"/>
  <c r="Y211" i="18"/>
  <c r="Y220" i="18"/>
  <c r="Y225" i="18"/>
  <c r="J216" i="18"/>
  <c r="J217" i="18" s="1"/>
  <c r="J215" i="18"/>
  <c r="P216" i="18"/>
  <c r="P217" i="18" s="1"/>
  <c r="P215" i="18"/>
  <c r="N216" i="18"/>
  <c r="N217" i="18" s="1"/>
  <c r="N215" i="18"/>
  <c r="Q216" i="18"/>
  <c r="Q217" i="18" s="1"/>
  <c r="Q215" i="18"/>
  <c r="K216" i="18"/>
  <c r="K217" i="18" s="1"/>
  <c r="K215" i="18"/>
  <c r="L216" i="18"/>
  <c r="L217" i="18" s="1"/>
  <c r="L215" i="18"/>
  <c r="M216" i="18"/>
  <c r="M217" i="18" s="1"/>
  <c r="M215" i="18"/>
  <c r="S216" i="18"/>
  <c r="S217" i="18" s="1"/>
  <c r="S215" i="18"/>
  <c r="O216" i="18"/>
  <c r="O217" i="18" s="1"/>
  <c r="O215" i="18"/>
  <c r="AC109" i="18"/>
  <c r="AC147" i="18"/>
  <c r="Y114" i="18"/>
  <c r="Y120" i="18" s="1"/>
  <c r="Y68" i="18"/>
  <c r="Y110" i="18" s="1"/>
  <c r="Y245" i="18"/>
  <c r="Z245" i="18" s="1"/>
  <c r="AA245" i="18" s="1"/>
  <c r="AB245" i="18" s="1"/>
  <c r="AC245" i="18" s="1"/>
  <c r="AD245" i="18" s="1"/>
  <c r="AE245" i="18" s="1"/>
  <c r="AF245" i="18" s="1"/>
  <c r="AG245" i="18" s="1"/>
  <c r="AH245" i="18" s="1"/>
  <c r="AI245" i="18" s="1"/>
  <c r="AJ245" i="18" s="1"/>
  <c r="AK245" i="18" s="1"/>
  <c r="AL245" i="18" s="1"/>
  <c r="AM245" i="18" s="1"/>
  <c r="AN245" i="18" s="1"/>
  <c r="AO245" i="18" s="1"/>
  <c r="AP245" i="18" s="1"/>
  <c r="AQ245" i="18" s="1"/>
  <c r="AR245" i="18" s="1"/>
  <c r="AS245" i="18" s="1"/>
  <c r="AT245" i="18" s="1"/>
  <c r="AU245" i="18" s="1"/>
  <c r="AV245" i="18" s="1"/>
  <c r="AW245" i="18" s="1"/>
  <c r="AX245" i="18" s="1"/>
  <c r="Y134" i="18"/>
  <c r="AC156" i="18"/>
  <c r="AC166" i="18"/>
  <c r="AC157" i="18"/>
  <c r="AC167" i="18"/>
  <c r="AJ51" i="18"/>
  <c r="AG113" i="18"/>
  <c r="AF23" i="18"/>
  <c r="AE116" i="18"/>
  <c r="AE122" i="18" s="1"/>
  <c r="Y160" i="18"/>
  <c r="Y159" i="18"/>
  <c r="Y115" i="18"/>
  <c r="Y121" i="18" s="1"/>
  <c r="Y155" i="18"/>
  <c r="Y108" i="18"/>
  <c r="AC149" i="18"/>
  <c r="AC150" i="18"/>
  <c r="AC151" i="18"/>
  <c r="AC137" i="18"/>
  <c r="AC112" i="18"/>
  <c r="AC118" i="18" s="1"/>
  <c r="AC146" i="18"/>
  <c r="AC145" i="18"/>
  <c r="Y135" i="18"/>
  <c r="Y136" i="18"/>
  <c r="AD18" i="18"/>
  <c r="AE20" i="18"/>
  <c r="AD90" i="18"/>
  <c r="AD27" i="18"/>
  <c r="Z15" i="18"/>
  <c r="Z154" i="18" s="1"/>
  <c r="Z13" i="18"/>
  <c r="Z12" i="18"/>
  <c r="Z16" i="18"/>
  <c r="Z162" i="18" s="1"/>
  <c r="Z163" i="18" s="1"/>
  <c r="Z10" i="18"/>
  <c r="Z7" i="18"/>
  <c r="Z6" i="18"/>
  <c r="AH51" i="18"/>
  <c r="AD25" i="18"/>
  <c r="AD129" i="18" s="1"/>
  <c r="AC105" i="18"/>
  <c r="Z55" i="18"/>
  <c r="Z130" i="18" s="1"/>
  <c r="Y107" i="18"/>
  <c r="Y106" i="18"/>
  <c r="AF21" i="18"/>
  <c r="Z201" i="18"/>
  <c r="J207" i="18"/>
  <c r="Q207" i="18"/>
  <c r="S207" i="18"/>
  <c r="M80" i="20" l="1"/>
  <c r="N80" i="20" s="1"/>
  <c r="Z131" i="18"/>
  <c r="Z132" i="18"/>
  <c r="AD124" i="18"/>
  <c r="AD125" i="18"/>
  <c r="Y226" i="18"/>
  <c r="Y227" i="18" s="1"/>
  <c r="Y224" i="18"/>
  <c r="Y221" i="18"/>
  <c r="Y222" i="18" s="1"/>
  <c r="Y219" i="18"/>
  <c r="Z211" i="18"/>
  <c r="Z225" i="18"/>
  <c r="Z220" i="18"/>
  <c r="AD109" i="18"/>
  <c r="AD147" i="18"/>
  <c r="Z114" i="18"/>
  <c r="Z120" i="18" s="1"/>
  <c r="Z68" i="18"/>
  <c r="Z110" i="18" s="1"/>
  <c r="Y246" i="18"/>
  <c r="Z246" i="18" s="1"/>
  <c r="AA246" i="18" s="1"/>
  <c r="AB246" i="18" s="1"/>
  <c r="AC246" i="18" s="1"/>
  <c r="AD246" i="18" s="1"/>
  <c r="AE246" i="18" s="1"/>
  <c r="AF246" i="18" s="1"/>
  <c r="AG246" i="18" s="1"/>
  <c r="AH246" i="18" s="1"/>
  <c r="AI246" i="18" s="1"/>
  <c r="AJ246" i="18" s="1"/>
  <c r="AK246" i="18" s="1"/>
  <c r="AL246" i="18" s="1"/>
  <c r="AM246" i="18" s="1"/>
  <c r="AN246" i="18" s="1"/>
  <c r="AO246" i="18" s="1"/>
  <c r="AP246" i="18" s="1"/>
  <c r="AQ246" i="18" s="1"/>
  <c r="AR246" i="18" s="1"/>
  <c r="AS246" i="18" s="1"/>
  <c r="AT246" i="18" s="1"/>
  <c r="AU246" i="18" s="1"/>
  <c r="AV246" i="18" s="1"/>
  <c r="AW246" i="18" s="1"/>
  <c r="AX246" i="18" s="1"/>
  <c r="AH113" i="18"/>
  <c r="AG119" i="18"/>
  <c r="AH119" i="18" s="1"/>
  <c r="Y244" i="18"/>
  <c r="Z244" i="18" s="1"/>
  <c r="AA244" i="18" s="1"/>
  <c r="AB244" i="18" s="1"/>
  <c r="AC244" i="18" s="1"/>
  <c r="AD244" i="18" s="1"/>
  <c r="AE244" i="18" s="1"/>
  <c r="AF244" i="18" s="1"/>
  <c r="AG244" i="18" s="1"/>
  <c r="AH244" i="18" s="1"/>
  <c r="Z134" i="18"/>
  <c r="AD156" i="18"/>
  <c r="AD166" i="18"/>
  <c r="AD157" i="18"/>
  <c r="AD167" i="18"/>
  <c r="AG23" i="18"/>
  <c r="AF116" i="18"/>
  <c r="AF122" i="18" s="1"/>
  <c r="Z115" i="18"/>
  <c r="Z121" i="18" s="1"/>
  <c r="Z155" i="18"/>
  <c r="Z160" i="18"/>
  <c r="Z159" i="18"/>
  <c r="Z108" i="18"/>
  <c r="AD151" i="18"/>
  <c r="AD150" i="18"/>
  <c r="AD149" i="18"/>
  <c r="AD137" i="18"/>
  <c r="AD112" i="18"/>
  <c r="AD118" i="18" s="1"/>
  <c r="AD146" i="18"/>
  <c r="AD145" i="18"/>
  <c r="Z135" i="18"/>
  <c r="Z136" i="18"/>
  <c r="AE18" i="18"/>
  <c r="AF20" i="18"/>
  <c r="AE90" i="18"/>
  <c r="AE27" i="18"/>
  <c r="AA13" i="18"/>
  <c r="AA12" i="18"/>
  <c r="AA15" i="18"/>
  <c r="AA154" i="18" s="1"/>
  <c r="AA10" i="18"/>
  <c r="AA16" i="18"/>
  <c r="AA162" i="18" s="1"/>
  <c r="AA163" i="18" s="1"/>
  <c r="AA6" i="18"/>
  <c r="AA7" i="18"/>
  <c r="AA55" i="18"/>
  <c r="AA130" i="18" s="1"/>
  <c r="Z107" i="18"/>
  <c r="Z106" i="18"/>
  <c r="AE25" i="18"/>
  <c r="AE129" i="18" s="1"/>
  <c r="AD105" i="18"/>
  <c r="AG21" i="18"/>
  <c r="AJ21" i="18" s="1"/>
  <c r="AA201" i="18"/>
  <c r="AA132" i="18" l="1"/>
  <c r="AA131" i="18"/>
  <c r="AE124" i="18"/>
  <c r="AE125" i="18"/>
  <c r="Z221" i="18"/>
  <c r="Z222" i="18" s="1"/>
  <c r="Z219" i="18"/>
  <c r="Z226" i="18"/>
  <c r="Z227" i="18" s="1"/>
  <c r="Z224" i="18"/>
  <c r="AA211" i="18"/>
  <c r="AA220" i="18"/>
  <c r="AA225" i="18"/>
  <c r="AE109" i="18"/>
  <c r="AE147" i="18"/>
  <c r="AA114" i="18"/>
  <c r="AA120" i="18" s="1"/>
  <c r="AA68" i="18"/>
  <c r="AA110" i="18" s="1"/>
  <c r="Y243" i="18"/>
  <c r="Z243" i="18" s="1"/>
  <c r="AA243" i="18" s="1"/>
  <c r="AB243" i="18" s="1"/>
  <c r="AC243" i="18" s="1"/>
  <c r="AD243" i="18" s="1"/>
  <c r="AE243" i="18" s="1"/>
  <c r="AF243" i="18" s="1"/>
  <c r="AG243" i="18" s="1"/>
  <c r="AH243" i="18" s="1"/>
  <c r="AI244" i="18"/>
  <c r="AJ244" i="18" s="1"/>
  <c r="AK244" i="18" s="1"/>
  <c r="AL244" i="18" s="1"/>
  <c r="AM244" i="18" s="1"/>
  <c r="AN244" i="18" s="1"/>
  <c r="AO244" i="18" s="1"/>
  <c r="AP244" i="18" s="1"/>
  <c r="AQ244" i="18" s="1"/>
  <c r="AR244" i="18" s="1"/>
  <c r="AS244" i="18" s="1"/>
  <c r="AT244" i="18" s="1"/>
  <c r="AU244" i="18" s="1"/>
  <c r="AV244" i="18" s="1"/>
  <c r="AW244" i="18" s="1"/>
  <c r="AX244" i="18" s="1"/>
  <c r="AA134" i="18"/>
  <c r="AE156" i="18"/>
  <c r="AE166" i="18"/>
  <c r="AE157" i="18"/>
  <c r="AE167" i="18"/>
  <c r="AJ23" i="18"/>
  <c r="AG116" i="18"/>
  <c r="AH23" i="18"/>
  <c r="AA108" i="18"/>
  <c r="AA159" i="18"/>
  <c r="AA160" i="18"/>
  <c r="AA115" i="18"/>
  <c r="AA121" i="18" s="1"/>
  <c r="AA155" i="18"/>
  <c r="AE151" i="18"/>
  <c r="AE150" i="18"/>
  <c r="AE149" i="18"/>
  <c r="AE137" i="18"/>
  <c r="AE112" i="18"/>
  <c r="AE118" i="18" s="1"/>
  <c r="AE146" i="18"/>
  <c r="AE145" i="18"/>
  <c r="AA136" i="18"/>
  <c r="AA135" i="18"/>
  <c r="AF18" i="18"/>
  <c r="AG20" i="18"/>
  <c r="AF90" i="18"/>
  <c r="AF27" i="18"/>
  <c r="AB12" i="18"/>
  <c r="AB15" i="18"/>
  <c r="AB154" i="18" s="1"/>
  <c r="AB13" i="18"/>
  <c r="AB16" i="18"/>
  <c r="AB162" i="18" s="1"/>
  <c r="AB163" i="18" s="1"/>
  <c r="AB10" i="18"/>
  <c r="AB7" i="18"/>
  <c r="AB6" i="18"/>
  <c r="AF25" i="18"/>
  <c r="AE105" i="18"/>
  <c r="AB55" i="18"/>
  <c r="AB130" i="18" s="1"/>
  <c r="AA106" i="18"/>
  <c r="AA107" i="18"/>
  <c r="AH21" i="18"/>
  <c r="AB201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F125" i="18" l="1"/>
  <c r="AF129" i="18"/>
  <c r="AB132" i="18"/>
  <c r="AB131" i="18"/>
  <c r="AF147" i="18"/>
  <c r="AF124" i="18"/>
  <c r="AA226" i="18"/>
  <c r="AA227" i="18" s="1"/>
  <c r="AA224" i="18"/>
  <c r="AA221" i="18"/>
  <c r="AA222" i="18" s="1"/>
  <c r="AA219" i="18"/>
  <c r="AB211" i="18"/>
  <c r="AB225" i="18"/>
  <c r="AB220" i="18"/>
  <c r="AB114" i="18"/>
  <c r="AB120" i="18" s="1"/>
  <c r="AB68" i="18"/>
  <c r="AB110" i="18" s="1"/>
  <c r="AI243" i="18"/>
  <c r="AJ243" i="18" s="1"/>
  <c r="AK243" i="18" s="1"/>
  <c r="AL243" i="18" s="1"/>
  <c r="AM243" i="18" s="1"/>
  <c r="AN243" i="18" s="1"/>
  <c r="AO243" i="18" s="1"/>
  <c r="AP243" i="18" s="1"/>
  <c r="AQ243" i="18" s="1"/>
  <c r="AR243" i="18" s="1"/>
  <c r="AS243" i="18" s="1"/>
  <c r="AT243" i="18" s="1"/>
  <c r="AU243" i="18" s="1"/>
  <c r="AV243" i="18" s="1"/>
  <c r="AW243" i="18" s="1"/>
  <c r="AX243" i="18" s="1"/>
  <c r="AH116" i="18"/>
  <c r="AG122" i="18"/>
  <c r="AH122" i="18" s="1"/>
  <c r="AB134" i="18"/>
  <c r="AF156" i="18"/>
  <c r="AF166" i="18"/>
  <c r="AF157" i="18"/>
  <c r="AF167" i="18"/>
  <c r="AJ20" i="18"/>
  <c r="AF109" i="18"/>
  <c r="AB160" i="18"/>
  <c r="AB159" i="18"/>
  <c r="AB115" i="18"/>
  <c r="AB121" i="18" s="1"/>
  <c r="AB155" i="18"/>
  <c r="AB108" i="18"/>
  <c r="AF150" i="18"/>
  <c r="AF149" i="18"/>
  <c r="AF151" i="18"/>
  <c r="AF137" i="18"/>
  <c r="AF112" i="18"/>
  <c r="AF118" i="18" s="1"/>
  <c r="AF146" i="18"/>
  <c r="AF145" i="18"/>
  <c r="AB136" i="18"/>
  <c r="AB135" i="18"/>
  <c r="AG18" i="18"/>
  <c r="AH20" i="18"/>
  <c r="AG90" i="18"/>
  <c r="AG27" i="18"/>
  <c r="AG167" i="18" s="1"/>
  <c r="AH167" i="18" s="1"/>
  <c r="AC15" i="18"/>
  <c r="AC154" i="18" s="1"/>
  <c r="AC13" i="18"/>
  <c r="AC12" i="18"/>
  <c r="AC10" i="18"/>
  <c r="AC16" i="18"/>
  <c r="AC162" i="18" s="1"/>
  <c r="AC163" i="18" s="1"/>
  <c r="AC6" i="18"/>
  <c r="AC7" i="18"/>
  <c r="AC55" i="18"/>
  <c r="AC130" i="18" s="1"/>
  <c r="AB107" i="18"/>
  <c r="AB106" i="18"/>
  <c r="AG25" i="18"/>
  <c r="AG129" i="18" s="1"/>
  <c r="AH129" i="18" s="1"/>
  <c r="AF105" i="18"/>
  <c r="AC201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AC132" i="18" l="1"/>
  <c r="AC131" i="18"/>
  <c r="AG124" i="18"/>
  <c r="AH124" i="18" s="1"/>
  <c r="AG125" i="18"/>
  <c r="AH125" i="18" s="1"/>
  <c r="AB221" i="18"/>
  <c r="AB222" i="18" s="1"/>
  <c r="AB219" i="18"/>
  <c r="AB226" i="18"/>
  <c r="AB227" i="18" s="1"/>
  <c r="AB224" i="18"/>
  <c r="AC211" i="18"/>
  <c r="AC225" i="18"/>
  <c r="AC220" i="18"/>
  <c r="AG109" i="18"/>
  <c r="AH109" i="18" s="1"/>
  <c r="AG147" i="18"/>
  <c r="AH147" i="18" s="1"/>
  <c r="AC114" i="18"/>
  <c r="AC120" i="18" s="1"/>
  <c r="AC68" i="18"/>
  <c r="AC110" i="18" s="1"/>
  <c r="AC134" i="18"/>
  <c r="AG156" i="18"/>
  <c r="AH156" i="18" s="1"/>
  <c r="AG166" i="18"/>
  <c r="AH166" i="18" s="1"/>
  <c r="AC115" i="18"/>
  <c r="AC121" i="18" s="1"/>
  <c r="AC155" i="18"/>
  <c r="AC160" i="18"/>
  <c r="AC159" i="18"/>
  <c r="AJ27" i="18"/>
  <c r="AG157" i="18"/>
  <c r="AH157" i="18" s="1"/>
  <c r="AC108" i="18"/>
  <c r="AG149" i="18"/>
  <c r="AH149" i="18" s="1"/>
  <c r="AG151" i="18"/>
  <c r="AH151" i="18" s="1"/>
  <c r="AG150" i="18"/>
  <c r="AH150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G137" i="18"/>
  <c r="AH137" i="18" s="1"/>
  <c r="AG112" i="18"/>
  <c r="AG146" i="18"/>
  <c r="AH146" i="18" s="1"/>
  <c r="AG145" i="18"/>
  <c r="AH145" i="18" s="1"/>
  <c r="AC136" i="18"/>
  <c r="AC135" i="18"/>
  <c r="AJ25" i="18"/>
  <c r="AJ18" i="18"/>
  <c r="AH18" i="18"/>
  <c r="X190" i="18"/>
  <c r="AJ90" i="18"/>
  <c r="AH90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AH27" i="18"/>
  <c r="AD12" i="18"/>
  <c r="AD15" i="18"/>
  <c r="AD154" i="18" s="1"/>
  <c r="AD13" i="18"/>
  <c r="AD10" i="18"/>
  <c r="AD16" i="18"/>
  <c r="AD162" i="18" s="1"/>
  <c r="AD163" i="18" s="1"/>
  <c r="AD7" i="18"/>
  <c r="AD6" i="18"/>
  <c r="AH25" i="18"/>
  <c r="AG105" i="18"/>
  <c r="AH105" i="18" s="1"/>
  <c r="AD55" i="18"/>
  <c r="AD130" i="18" s="1"/>
  <c r="AC107" i="18"/>
  <c r="AC106" i="18"/>
  <c r="O31" i="9"/>
  <c r="O32" i="9" s="1"/>
  <c r="AD201" i="18"/>
  <c r="P31" i="11"/>
  <c r="N32" i="11"/>
  <c r="T19" i="9"/>
  <c r="D22" i="9"/>
  <c r="AD131" i="18" l="1"/>
  <c r="AD132" i="18"/>
  <c r="AC221" i="18"/>
  <c r="AC222" i="18" s="1"/>
  <c r="AC219" i="18"/>
  <c r="AC226" i="18"/>
  <c r="AC227" i="18" s="1"/>
  <c r="AC224" i="18"/>
  <c r="AD211" i="18"/>
  <c r="AD220" i="18"/>
  <c r="AD225" i="18"/>
  <c r="AD114" i="18"/>
  <c r="AD120" i="18" s="1"/>
  <c r="AD68" i="18"/>
  <c r="AD110" i="18" s="1"/>
  <c r="AH112" i="18"/>
  <c r="AG118" i="18"/>
  <c r="AH118" i="18" s="1"/>
  <c r="AD134" i="18"/>
  <c r="AD160" i="18"/>
  <c r="AD159" i="18"/>
  <c r="AD115" i="18"/>
  <c r="AD121" i="18" s="1"/>
  <c r="AD155" i="18"/>
  <c r="AD108" i="18"/>
  <c r="AD135" i="18"/>
  <c r="AD136" i="18"/>
  <c r="Y190" i="18"/>
  <c r="W190" i="18" s="1"/>
  <c r="AE13" i="18"/>
  <c r="AE12" i="18"/>
  <c r="AE15" i="18"/>
  <c r="AE154" i="18" s="1"/>
  <c r="AE10" i="18"/>
  <c r="AE16" i="18"/>
  <c r="AE162" i="18" s="1"/>
  <c r="AE163" i="18" s="1"/>
  <c r="AE6" i="18"/>
  <c r="AE7" i="18"/>
  <c r="AE55" i="18"/>
  <c r="AE130" i="18" s="1"/>
  <c r="AD107" i="18"/>
  <c r="AD106" i="18"/>
  <c r="AE201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E132" i="18" l="1"/>
  <c r="AE131" i="18"/>
  <c r="AD226" i="18"/>
  <c r="AD227" i="18" s="1"/>
  <c r="AD224" i="18"/>
  <c r="AD221" i="18"/>
  <c r="AD222" i="18" s="1"/>
  <c r="AD219" i="18"/>
  <c r="AE211" i="18"/>
  <c r="AE225" i="18"/>
  <c r="AE220" i="18"/>
  <c r="AE114" i="18"/>
  <c r="AE120" i="18" s="1"/>
  <c r="AE68" i="18"/>
  <c r="AE110" i="18" s="1"/>
  <c r="AE134" i="18"/>
  <c r="AE115" i="18"/>
  <c r="AE121" i="18" s="1"/>
  <c r="AE155" i="18"/>
  <c r="AE159" i="18"/>
  <c r="AE160" i="18"/>
  <c r="AE108" i="18"/>
  <c r="AE135" i="18"/>
  <c r="AE136" i="18"/>
  <c r="AF12" i="18"/>
  <c r="AF15" i="18"/>
  <c r="AF154" i="18" s="1"/>
  <c r="AF13" i="18"/>
  <c r="AF10" i="18"/>
  <c r="AF16" i="18"/>
  <c r="AF162" i="18" s="1"/>
  <c r="AF163" i="18" s="1"/>
  <c r="AF7" i="18"/>
  <c r="AF6" i="18"/>
  <c r="AF55" i="18"/>
  <c r="AF130" i="18" s="1"/>
  <c r="AE106" i="18"/>
  <c r="AE107" i="18"/>
  <c r="AF201" i="18"/>
  <c r="N34" i="11"/>
  <c r="O33" i="11"/>
  <c r="AF132" i="18" l="1"/>
  <c r="AF131" i="18"/>
  <c r="AE221" i="18"/>
  <c r="AE222" i="18" s="1"/>
  <c r="AE219" i="18"/>
  <c r="AE226" i="18"/>
  <c r="AE227" i="18" s="1"/>
  <c r="AE224" i="18"/>
  <c r="AF211" i="18"/>
  <c r="AF225" i="18"/>
  <c r="AF220" i="18"/>
  <c r="AF114" i="18"/>
  <c r="AF120" i="18" s="1"/>
  <c r="AF68" i="18"/>
  <c r="AF110" i="18" s="1"/>
  <c r="AF134" i="18"/>
  <c r="AF108" i="18"/>
  <c r="AF159" i="18"/>
  <c r="AF160" i="18"/>
  <c r="AF115" i="18"/>
  <c r="AF121" i="18" s="1"/>
  <c r="AF155" i="18"/>
  <c r="AF135" i="18"/>
  <c r="AF136" i="18"/>
  <c r="AG15" i="18"/>
  <c r="AG13" i="18"/>
  <c r="AJ13" i="18" s="1"/>
  <c r="AG12" i="18"/>
  <c r="AG155" i="18" s="1"/>
  <c r="AH155" i="18" s="1"/>
  <c r="AG10" i="18"/>
  <c r="AG16" i="18"/>
  <c r="AG6" i="18"/>
  <c r="AJ6" i="18" s="1"/>
  <c r="AG7" i="18"/>
  <c r="AJ7" i="18" s="1"/>
  <c r="AG55" i="18"/>
  <c r="AG130" i="18" s="1"/>
  <c r="AH130" i="18" s="1"/>
  <c r="AF107" i="18"/>
  <c r="AF106" i="18"/>
  <c r="AG201" i="18"/>
  <c r="N35" i="11"/>
  <c r="O34" i="11"/>
  <c r="AG132" i="18" l="1"/>
  <c r="AH132" i="18" s="1"/>
  <c r="AG131" i="18"/>
  <c r="AH131" i="18" s="1"/>
  <c r="AF221" i="18"/>
  <c r="AF222" i="18" s="1"/>
  <c r="AF219" i="18"/>
  <c r="AF226" i="18"/>
  <c r="AF227" i="18" s="1"/>
  <c r="AF224" i="18"/>
  <c r="AG211" i="18"/>
  <c r="AH211" i="18" s="1"/>
  <c r="AJ211" i="18" s="1"/>
  <c r="AJ227" i="18" s="1"/>
  <c r="AG225" i="18"/>
  <c r="AG224" i="18" s="1"/>
  <c r="AH224" i="18" s="1"/>
  <c r="AG220" i="18"/>
  <c r="AG219" i="18" s="1"/>
  <c r="AH219" i="18" s="1"/>
  <c r="AG114" i="18"/>
  <c r="AG120" i="18" s="1"/>
  <c r="AH120" i="18" s="1"/>
  <c r="AG68" i="18"/>
  <c r="AG134" i="18"/>
  <c r="AH134" i="18" s="1"/>
  <c r="AJ16" i="18"/>
  <c r="AG162" i="18"/>
  <c r="AG160" i="18"/>
  <c r="AH160" i="18" s="1"/>
  <c r="AG159" i="18"/>
  <c r="AH159" i="18" s="1"/>
  <c r="AJ15" i="18"/>
  <c r="AG154" i="18"/>
  <c r="AH154" i="18" s="1"/>
  <c r="AG108" i="18"/>
  <c r="AH108" i="18" s="1"/>
  <c r="AJ10" i="18"/>
  <c r="AJ12" i="18"/>
  <c r="AG115" i="18"/>
  <c r="AJ55" i="18"/>
  <c r="AG135" i="18"/>
  <c r="AH135" i="18" s="1"/>
  <c r="AG136" i="18"/>
  <c r="AH136" i="18" s="1"/>
  <c r="AH15" i="18"/>
  <c r="AH13" i="18"/>
  <c r="X184" i="18"/>
  <c r="AH12" i="18"/>
  <c r="AH10" i="18"/>
  <c r="AH16" i="18"/>
  <c r="AH7" i="18"/>
  <c r="AH6" i="18"/>
  <c r="AG107" i="18"/>
  <c r="AH107" i="18" s="1"/>
  <c r="AG106" i="18"/>
  <c r="AH106" i="18" s="1"/>
  <c r="AH55" i="18"/>
  <c r="AH201" i="18"/>
  <c r="AJ201" i="18" s="1"/>
  <c r="N36" i="11"/>
  <c r="O35" i="11"/>
  <c r="AG221" i="18" l="1"/>
  <c r="AH220" i="18"/>
  <c r="AH225" i="18"/>
  <c r="AG226" i="18"/>
  <c r="AH68" i="18"/>
  <c r="AJ68" i="18"/>
  <c r="AH114" i="18"/>
  <c r="AG110" i="18"/>
  <c r="AH110" i="18" s="1"/>
  <c r="AH115" i="18"/>
  <c r="AG121" i="18"/>
  <c r="AH121" i="18" s="1"/>
  <c r="AH162" i="18"/>
  <c r="AG163" i="18"/>
  <c r="AH163" i="18" s="1"/>
  <c r="Y184" i="18"/>
  <c r="Y185" i="18" s="1"/>
  <c r="S240" i="18" s="1"/>
  <c r="X185" i="18"/>
  <c r="T240" i="18" s="1"/>
  <c r="N37" i="11"/>
  <c r="O36" i="11"/>
  <c r="AH221" i="18" l="1"/>
  <c r="AG222" i="18"/>
  <c r="AH222" i="18" s="1"/>
  <c r="AG227" i="18"/>
  <c r="AH227" i="18" s="1"/>
  <c r="AH226" i="18"/>
  <c r="W184" i="18"/>
  <c r="W185" i="18"/>
  <c r="N38" i="11"/>
  <c r="O37" i="11"/>
  <c r="P240" i="18" l="1"/>
  <c r="N39" i="11"/>
  <c r="O38" i="11"/>
  <c r="N40" i="11" l="1"/>
  <c r="O39" i="11"/>
  <c r="N41" i="11" l="1"/>
  <c r="O40" i="11"/>
  <c r="N42" i="11" l="1"/>
  <c r="O41" i="11"/>
  <c r="X212" i="18"/>
  <c r="X93" i="18"/>
  <c r="X74" i="18"/>
  <c r="X79" i="18"/>
  <c r="X100" i="18"/>
  <c r="X102" i="18"/>
  <c r="X95" i="18"/>
  <c r="X92" i="18"/>
  <c r="X78" i="18"/>
  <c r="X73" i="18"/>
  <c r="X67" i="18"/>
  <c r="X85" i="18"/>
  <c r="X99" i="18"/>
  <c r="X83" i="18"/>
  <c r="X76" i="18"/>
  <c r="X94" i="18"/>
  <c r="X96" i="18"/>
  <c r="X80" i="18"/>
  <c r="X209" i="18" s="1"/>
  <c r="X66" i="18"/>
  <c r="X202" i="18" s="1"/>
  <c r="X71" i="18"/>
  <c r="X205" i="18" s="1"/>
  <c r="X86" i="18"/>
  <c r="X208" i="18" s="1"/>
  <c r="X98" i="18"/>
  <c r="X164" i="18" s="1"/>
  <c r="X70" i="18"/>
  <c r="X204" i="18" s="1"/>
  <c r="X82" i="18"/>
  <c r="X139" i="18"/>
  <c r="X140" i="18" s="1"/>
  <c r="X72" i="18"/>
  <c r="X214" i="18" s="1"/>
  <c r="X75" i="18"/>
  <c r="X206" i="18" s="1"/>
  <c r="X230" i="18" s="1"/>
  <c r="Y57" i="18"/>
  <c r="X231" i="18" l="1"/>
  <c r="X232" i="18" s="1"/>
  <c r="X229" i="18"/>
  <c r="X84" i="18"/>
  <c r="X207" i="18" s="1"/>
  <c r="Y76" i="18"/>
  <c r="Y99" i="18"/>
  <c r="Y83" i="18"/>
  <c r="Y95" i="18"/>
  <c r="Y79" i="18"/>
  <c r="Y78" i="18"/>
  <c r="Y212" i="18"/>
  <c r="Y94" i="18"/>
  <c r="Y74" i="18"/>
  <c r="Y98" i="18"/>
  <c r="Y164" i="18" s="1"/>
  <c r="Y86" i="18"/>
  <c r="Y208" i="18" s="1"/>
  <c r="Y70" i="18"/>
  <c r="Y204" i="18" s="1"/>
  <c r="Y139" i="18"/>
  <c r="Y140" i="18" s="1"/>
  <c r="Y92" i="18"/>
  <c r="Y73" i="18"/>
  <c r="Y102" i="18"/>
  <c r="Y85" i="18"/>
  <c r="Y100" i="18"/>
  <c r="Y93" i="18"/>
  <c r="Y96" i="18"/>
  <c r="Y67" i="18"/>
  <c r="Y75" i="18"/>
  <c r="Y206" i="18" s="1"/>
  <c r="Y230" i="18" s="1"/>
  <c r="Y66" i="18"/>
  <c r="Y202" i="18" s="1"/>
  <c r="Y80" i="18"/>
  <c r="Y209" i="18" s="1"/>
  <c r="Y71" i="18"/>
  <c r="Y205" i="18" s="1"/>
  <c r="Y72" i="18"/>
  <c r="Y214" i="18" s="1"/>
  <c r="Z57" i="18"/>
  <c r="Y82" i="18"/>
  <c r="X141" i="18"/>
  <c r="X142" i="18" s="1"/>
  <c r="X143" i="18"/>
  <c r="X203" i="18"/>
  <c r="Y231" i="18" l="1"/>
  <c r="Y232" i="18" s="1"/>
  <c r="Y229" i="18"/>
  <c r="Y84" i="18"/>
  <c r="Y207" i="18" s="1"/>
  <c r="X216" i="18"/>
  <c r="X217" i="18" s="1"/>
  <c r="X215" i="18"/>
  <c r="Z93" i="18"/>
  <c r="Z70" i="18"/>
  <c r="Z204" i="18" s="1"/>
  <c r="Z94" i="18"/>
  <c r="Z95" i="18"/>
  <c r="Z99" i="18"/>
  <c r="Z79" i="18"/>
  <c r="Z76" i="18"/>
  <c r="Z102" i="18"/>
  <c r="Z85" i="18"/>
  <c r="Z83" i="18"/>
  <c r="Z66" i="18"/>
  <c r="Z202" i="18" s="1"/>
  <c r="Z75" i="18"/>
  <c r="Z206" i="18" s="1"/>
  <c r="Z230" i="18" s="1"/>
  <c r="Z71" i="18"/>
  <c r="Z205" i="18" s="1"/>
  <c r="Z74" i="18"/>
  <c r="Z73" i="18"/>
  <c r="Z92" i="18"/>
  <c r="Z96" i="18"/>
  <c r="Z67" i="18"/>
  <c r="Z80" i="18"/>
  <c r="Z209" i="18" s="1"/>
  <c r="Z100" i="18"/>
  <c r="Z78" i="18"/>
  <c r="Z212" i="18"/>
  <c r="Z98" i="18"/>
  <c r="Z164" i="18" s="1"/>
  <c r="Z86" i="18"/>
  <c r="Z208" i="18" s="1"/>
  <c r="Z82" i="18"/>
  <c r="Z139" i="18"/>
  <c r="Z140" i="18" s="1"/>
  <c r="Z72" i="18"/>
  <c r="Z214" i="18" s="1"/>
  <c r="AA57" i="18"/>
  <c r="Y203" i="18"/>
  <c r="Y143" i="18"/>
  <c r="Y141" i="18"/>
  <c r="Y142" i="18" s="1"/>
  <c r="Z231" i="18" l="1"/>
  <c r="Z232" i="18" s="1"/>
  <c r="Z229" i="18"/>
  <c r="Y216" i="18"/>
  <c r="Y217" i="18" s="1"/>
  <c r="Y215" i="18"/>
  <c r="AA93" i="18"/>
  <c r="AA212" i="18"/>
  <c r="AA67" i="18"/>
  <c r="AA94" i="18"/>
  <c r="AA79" i="18"/>
  <c r="AA74" i="18"/>
  <c r="AA78" i="18"/>
  <c r="AA92" i="18"/>
  <c r="AA98" i="18"/>
  <c r="AA164" i="18" s="1"/>
  <c r="AA70" i="18"/>
  <c r="AA204" i="18" s="1"/>
  <c r="AA71" i="18"/>
  <c r="AA205" i="18" s="1"/>
  <c r="AA86" i="18"/>
  <c r="AA208" i="18" s="1"/>
  <c r="AA102" i="18"/>
  <c r="AA73" i="18"/>
  <c r="AA96" i="18"/>
  <c r="AA100" i="18"/>
  <c r="AA99" i="18"/>
  <c r="AA76" i="18"/>
  <c r="AA95" i="18"/>
  <c r="AA85" i="18"/>
  <c r="AA83" i="18"/>
  <c r="AA80" i="18"/>
  <c r="AA209" i="18" s="1"/>
  <c r="AA66" i="18"/>
  <c r="AA202" i="18" s="1"/>
  <c r="AA139" i="18"/>
  <c r="AA140" i="18" s="1"/>
  <c r="AA72" i="18"/>
  <c r="AA214" i="18" s="1"/>
  <c r="AA75" i="18"/>
  <c r="AA206" i="18" s="1"/>
  <c r="AA230" i="18" s="1"/>
  <c r="AB57" i="18"/>
  <c r="AA82" i="18"/>
  <c r="Z203" i="18"/>
  <c r="Z141" i="18"/>
  <c r="Z142" i="18" s="1"/>
  <c r="Z143" i="18"/>
  <c r="Z84" i="18"/>
  <c r="Z207" i="18" s="1"/>
  <c r="AA231" i="18" l="1"/>
  <c r="AA232" i="18" s="1"/>
  <c r="AA229" i="18"/>
  <c r="Z216" i="18"/>
  <c r="Z217" i="18" s="1"/>
  <c r="Z215" i="18"/>
  <c r="AA203" i="18"/>
  <c r="AA84" i="18"/>
  <c r="AA207" i="18" s="1"/>
  <c r="AA143" i="18"/>
  <c r="AA141" i="18"/>
  <c r="AA142" i="18" s="1"/>
  <c r="AB73" i="18"/>
  <c r="AB94" i="18"/>
  <c r="AB83" i="18"/>
  <c r="AB93" i="18"/>
  <c r="AB92" i="18"/>
  <c r="AB78" i="18"/>
  <c r="AB67" i="18"/>
  <c r="AB76" i="18"/>
  <c r="AB75" i="18"/>
  <c r="AB206" i="18" s="1"/>
  <c r="AB230" i="18" s="1"/>
  <c r="AB66" i="18"/>
  <c r="AB202" i="18" s="1"/>
  <c r="AB98" i="18"/>
  <c r="AB164" i="18" s="1"/>
  <c r="AB212" i="18"/>
  <c r="AB96" i="18"/>
  <c r="AB74" i="18"/>
  <c r="AB102" i="18"/>
  <c r="AB95" i="18"/>
  <c r="AB79" i="18"/>
  <c r="AB85" i="18"/>
  <c r="AB99" i="18"/>
  <c r="AB100" i="18"/>
  <c r="AB70" i="18"/>
  <c r="AB204" i="18" s="1"/>
  <c r="AB71" i="18"/>
  <c r="AB205" i="18" s="1"/>
  <c r="AB86" i="18"/>
  <c r="AB208" i="18" s="1"/>
  <c r="AB80" i="18"/>
  <c r="AB209" i="18" s="1"/>
  <c r="AB82" i="18"/>
  <c r="AB72" i="18"/>
  <c r="AB214" i="18" s="1"/>
  <c r="AB139" i="18"/>
  <c r="AB140" i="18" s="1"/>
  <c r="AC57" i="18"/>
  <c r="AB231" i="18" l="1"/>
  <c r="AB232" i="18" s="1"/>
  <c r="AB229" i="18"/>
  <c r="AB84" i="18"/>
  <c r="AB207" i="18" s="1"/>
  <c r="AA216" i="18"/>
  <c r="AA217" i="18" s="1"/>
  <c r="AA215" i="18"/>
  <c r="AC73" i="18"/>
  <c r="AC76" i="18"/>
  <c r="AC78" i="18"/>
  <c r="AC67" i="18"/>
  <c r="AC80" i="18"/>
  <c r="AC209" i="18" s="1"/>
  <c r="AC92" i="18"/>
  <c r="AC85" i="18"/>
  <c r="AC93" i="18"/>
  <c r="AC83" i="18"/>
  <c r="AC71" i="18"/>
  <c r="AC205" i="18" s="1"/>
  <c r="AC66" i="18"/>
  <c r="AC202" i="18" s="1"/>
  <c r="AC75" i="18"/>
  <c r="AC206" i="18" s="1"/>
  <c r="AC230" i="18" s="1"/>
  <c r="AC95" i="18"/>
  <c r="AC94" i="18"/>
  <c r="AC74" i="18"/>
  <c r="AC100" i="18"/>
  <c r="AC86" i="18"/>
  <c r="AC208" i="18" s="1"/>
  <c r="AC102" i="18"/>
  <c r="AC212" i="18"/>
  <c r="AC99" i="18"/>
  <c r="AC96" i="18"/>
  <c r="AC79" i="18"/>
  <c r="AC98" i="18"/>
  <c r="AC164" i="18" s="1"/>
  <c r="AC70" i="18"/>
  <c r="AC204" i="18" s="1"/>
  <c r="AD57" i="18"/>
  <c r="AC139" i="18"/>
  <c r="AC140" i="18" s="1"/>
  <c r="AC82" i="18"/>
  <c r="AC72" i="18"/>
  <c r="AC214" i="18" s="1"/>
  <c r="AB141" i="18"/>
  <c r="AB142" i="18" s="1"/>
  <c r="AB143" i="18"/>
  <c r="AB203" i="18"/>
  <c r="AC231" i="18" l="1"/>
  <c r="AC232" i="18" s="1"/>
  <c r="AC229" i="18"/>
  <c r="AB216" i="18"/>
  <c r="AB217" i="18" s="1"/>
  <c r="AB215" i="18"/>
  <c r="AC84" i="18"/>
  <c r="AC207" i="18" s="1"/>
  <c r="AD92" i="18"/>
  <c r="AD79" i="18"/>
  <c r="AD212" i="18"/>
  <c r="AD78" i="18"/>
  <c r="AD80" i="18"/>
  <c r="AD209" i="18" s="1"/>
  <c r="AD95" i="18"/>
  <c r="AD67" i="18"/>
  <c r="AD83" i="18"/>
  <c r="AD100" i="18"/>
  <c r="AD98" i="18"/>
  <c r="AD164" i="18" s="1"/>
  <c r="AD66" i="18"/>
  <c r="AD202" i="18" s="1"/>
  <c r="AD99" i="18"/>
  <c r="AD74" i="18"/>
  <c r="AD76" i="18"/>
  <c r="AD96" i="18"/>
  <c r="AD86" i="18"/>
  <c r="AD208" i="18" s="1"/>
  <c r="AD73" i="18"/>
  <c r="AD102" i="18"/>
  <c r="AD94" i="18"/>
  <c r="AD93" i="18"/>
  <c r="AD85" i="18"/>
  <c r="AD70" i="18"/>
  <c r="AD204" i="18" s="1"/>
  <c r="AD71" i="18"/>
  <c r="AD205" i="18" s="1"/>
  <c r="AD75" i="18"/>
  <c r="AD206" i="18" s="1"/>
  <c r="AD230" i="18" s="1"/>
  <c r="AD139" i="18"/>
  <c r="AD140" i="18" s="1"/>
  <c r="AD72" i="18"/>
  <c r="AD214" i="18" s="1"/>
  <c r="AD82" i="18"/>
  <c r="AE57" i="18"/>
  <c r="AC203" i="18"/>
  <c r="AC141" i="18"/>
  <c r="AC142" i="18" s="1"/>
  <c r="AC143" i="18"/>
  <c r="AD231" i="18" l="1"/>
  <c r="AD232" i="18" s="1"/>
  <c r="AD229" i="18"/>
  <c r="AC216" i="18"/>
  <c r="AC217" i="18" s="1"/>
  <c r="AC215" i="18"/>
  <c r="AD84" i="18"/>
  <c r="AD207" i="18" s="1"/>
  <c r="AD143" i="18"/>
  <c r="AD141" i="18"/>
  <c r="AD142" i="18" s="1"/>
  <c r="AE92" i="18"/>
  <c r="AE94" i="18"/>
  <c r="AE76" i="18"/>
  <c r="AE96" i="18"/>
  <c r="AE66" i="18"/>
  <c r="AE202" i="18" s="1"/>
  <c r="AE74" i="18"/>
  <c r="AE83" i="18"/>
  <c r="AE100" i="18"/>
  <c r="AE95" i="18"/>
  <c r="AE70" i="18"/>
  <c r="AE204" i="18" s="1"/>
  <c r="AE80" i="18"/>
  <c r="AE209" i="18" s="1"/>
  <c r="AE85" i="18"/>
  <c r="AE79" i="18"/>
  <c r="AE212" i="18"/>
  <c r="AE99" i="18"/>
  <c r="AE102" i="18"/>
  <c r="AE93" i="18"/>
  <c r="AE67" i="18"/>
  <c r="AE73" i="18"/>
  <c r="AE78" i="18"/>
  <c r="AE71" i="18"/>
  <c r="AE205" i="18" s="1"/>
  <c r="AE86" i="18"/>
  <c r="AE208" i="18" s="1"/>
  <c r="AE98" i="18"/>
  <c r="AE164" i="18" s="1"/>
  <c r="AE75" i="18"/>
  <c r="AE206" i="18" s="1"/>
  <c r="AE230" i="18" s="1"/>
  <c r="AE139" i="18"/>
  <c r="AE140" i="18" s="1"/>
  <c r="AE82" i="18"/>
  <c r="AE72" i="18"/>
  <c r="AE214" i="18" s="1"/>
  <c r="AF57" i="18"/>
  <c r="AD203" i="18"/>
  <c r="AE231" i="18" l="1"/>
  <c r="AE232" i="18" s="1"/>
  <c r="AE229" i="18"/>
  <c r="AD216" i="18"/>
  <c r="AD217" i="18" s="1"/>
  <c r="AD215" i="18"/>
  <c r="AE203" i="18"/>
  <c r="AE84" i="18"/>
  <c r="AE207" i="18" s="1"/>
  <c r="AE141" i="18"/>
  <c r="AE142" i="18" s="1"/>
  <c r="AE143" i="18"/>
  <c r="AF79" i="18"/>
  <c r="AF92" i="18"/>
  <c r="AF83" i="18"/>
  <c r="AF73" i="18"/>
  <c r="AF98" i="18"/>
  <c r="AF164" i="18" s="1"/>
  <c r="AF100" i="18"/>
  <c r="AF93" i="18"/>
  <c r="AF99" i="18"/>
  <c r="AF76" i="18"/>
  <c r="AF66" i="18"/>
  <c r="AF202" i="18" s="1"/>
  <c r="AF86" i="18"/>
  <c r="AF208" i="18" s="1"/>
  <c r="AF96" i="18"/>
  <c r="AF71" i="18"/>
  <c r="AF205" i="18" s="1"/>
  <c r="AF102" i="18"/>
  <c r="AF94" i="18"/>
  <c r="AF95" i="18"/>
  <c r="AF85" i="18"/>
  <c r="AF78" i="18"/>
  <c r="AF67" i="18"/>
  <c r="AF212" i="18"/>
  <c r="AF74" i="18"/>
  <c r="AF70" i="18"/>
  <c r="AF204" i="18" s="1"/>
  <c r="AF80" i="18"/>
  <c r="AF209" i="18" s="1"/>
  <c r="AF75" i="18"/>
  <c r="AF206" i="18" s="1"/>
  <c r="AF230" i="18" s="1"/>
  <c r="AF139" i="18"/>
  <c r="AF140" i="18" s="1"/>
  <c r="AF72" i="18"/>
  <c r="AF214" i="18" s="1"/>
  <c r="AG57" i="18"/>
  <c r="AF82" i="18"/>
  <c r="AF231" i="18" l="1"/>
  <c r="AF232" i="18" s="1"/>
  <c r="AF229" i="18"/>
  <c r="AE216" i="18"/>
  <c r="AE217" i="18" s="1"/>
  <c r="AE215" i="18"/>
  <c r="AF84" i="18"/>
  <c r="AF207" i="18" s="1"/>
  <c r="AF203" i="18"/>
  <c r="AG212" i="18"/>
  <c r="AG99" i="18"/>
  <c r="AG100" i="18"/>
  <c r="AG67" i="18"/>
  <c r="AH57" i="18"/>
  <c r="AG73" i="18"/>
  <c r="AJ57" i="18"/>
  <c r="AG102" i="18"/>
  <c r="AG98" i="18"/>
  <c r="AG70" i="18"/>
  <c r="AG66" i="18"/>
  <c r="AG71" i="18"/>
  <c r="AG75" i="18"/>
  <c r="AG85" i="18"/>
  <c r="AG72" i="18"/>
  <c r="AG214" i="18" s="1"/>
  <c r="AG86" i="18"/>
  <c r="AG93" i="18"/>
  <c r="AG95" i="18"/>
  <c r="AG80" i="18"/>
  <c r="AG82" i="18"/>
  <c r="AG78" i="18"/>
  <c r="AG83" i="18"/>
  <c r="AG94" i="18"/>
  <c r="AG92" i="18"/>
  <c r="AG76" i="18"/>
  <c r="AG96" i="18"/>
  <c r="AG139" i="18"/>
  <c r="AG74" i="18"/>
  <c r="AG79" i="18"/>
  <c r="AF143" i="18"/>
  <c r="AF141" i="18"/>
  <c r="AF142" i="18" s="1"/>
  <c r="AF216" i="18" l="1"/>
  <c r="AF217" i="18" s="1"/>
  <c r="AF215" i="18"/>
  <c r="AG140" i="18"/>
  <c r="AH139" i="18"/>
  <c r="AH94" i="18"/>
  <c r="X194" i="18"/>
  <c r="AJ94" i="18"/>
  <c r="Y194" i="18" s="1"/>
  <c r="AJ80" i="18"/>
  <c r="Y179" i="18" s="1"/>
  <c r="S238" i="18" s="1"/>
  <c r="AG209" i="18"/>
  <c r="AH80" i="18"/>
  <c r="X179" i="18"/>
  <c r="T238" i="18" s="1"/>
  <c r="AH72" i="18"/>
  <c r="AJ72" i="18"/>
  <c r="Y171" i="18" s="1"/>
  <c r="S242" i="18" s="1"/>
  <c r="X171" i="18"/>
  <c r="T242" i="18" s="1"/>
  <c r="AG203" i="18"/>
  <c r="AG215" i="18" s="1"/>
  <c r="AH215" i="18" s="1"/>
  <c r="AJ66" i="18"/>
  <c r="AH66" i="18"/>
  <c r="AG202" i="18"/>
  <c r="AH100" i="18"/>
  <c r="AJ100" i="18"/>
  <c r="X198" i="18"/>
  <c r="T241" i="18" s="1"/>
  <c r="AJ96" i="18"/>
  <c r="Y198" i="18" s="1"/>
  <c r="S241" i="18" s="1"/>
  <c r="AH96" i="18"/>
  <c r="AJ83" i="18"/>
  <c r="AH83" i="18"/>
  <c r="AJ95" i="18"/>
  <c r="Y195" i="18" s="1"/>
  <c r="AH95" i="18"/>
  <c r="X195" i="18"/>
  <c r="AH85" i="18"/>
  <c r="X181" i="18"/>
  <c r="AJ85" i="18"/>
  <c r="Y181" i="18" s="1"/>
  <c r="AH70" i="18"/>
  <c r="AJ70" i="18"/>
  <c r="AG204" i="18"/>
  <c r="AH73" i="18"/>
  <c r="AJ73" i="18"/>
  <c r="AJ99" i="18"/>
  <c r="AH99" i="18"/>
  <c r="AH79" i="18"/>
  <c r="AJ79" i="18"/>
  <c r="Y178" i="18" s="1"/>
  <c r="X178" i="18"/>
  <c r="AH76" i="18"/>
  <c r="X174" i="18"/>
  <c r="AJ76" i="18"/>
  <c r="Y174" i="18" s="1"/>
  <c r="X177" i="18"/>
  <c r="AH78" i="18"/>
  <c r="AJ78" i="18"/>
  <c r="Y177" i="18" s="1"/>
  <c r="AH93" i="18"/>
  <c r="X193" i="18"/>
  <c r="AJ93" i="18"/>
  <c r="Y193" i="18" s="1"/>
  <c r="AH75" i="18"/>
  <c r="AJ75" i="18"/>
  <c r="Y173" i="18" s="1"/>
  <c r="AG206" i="18"/>
  <c r="AG230" i="18" s="1"/>
  <c r="X173" i="18"/>
  <c r="AJ98" i="18"/>
  <c r="AH98" i="18"/>
  <c r="AG164" i="18"/>
  <c r="AH164" i="18" s="1"/>
  <c r="AH212" i="18"/>
  <c r="AJ212" i="18" s="1"/>
  <c r="X172" i="18"/>
  <c r="T239" i="18" s="1"/>
  <c r="AJ74" i="18"/>
  <c r="Y172" i="18" s="1"/>
  <c r="S239" i="18" s="1"/>
  <c r="AH74" i="18"/>
  <c r="AH92" i="18"/>
  <c r="X192" i="18"/>
  <c r="AJ92" i="18"/>
  <c r="Y192" i="18" s="1"/>
  <c r="AH82" i="18"/>
  <c r="AJ82" i="18"/>
  <c r="Y175" i="18" s="1"/>
  <c r="X175" i="18"/>
  <c r="AG84" i="18"/>
  <c r="AH86" i="18"/>
  <c r="AG208" i="18"/>
  <c r="X182" i="18"/>
  <c r="AJ86" i="18"/>
  <c r="Y182" i="18" s="1"/>
  <c r="AH71" i="18"/>
  <c r="AJ71" i="18"/>
  <c r="AG205" i="18"/>
  <c r="AH67" i="18"/>
  <c r="AJ67" i="18"/>
  <c r="G230" i="18" l="1"/>
  <c r="G231" i="18" s="1"/>
  <c r="G232" i="18" s="1"/>
  <c r="U230" i="18"/>
  <c r="G229" i="18"/>
  <c r="AG231" i="18"/>
  <c r="AG232" i="18" s="1"/>
  <c r="AG229" i="18"/>
  <c r="I230" i="18"/>
  <c r="K230" i="18"/>
  <c r="M230" i="18"/>
  <c r="O230" i="18"/>
  <c r="Q230" i="18"/>
  <c r="S230" i="18"/>
  <c r="H230" i="18"/>
  <c r="J230" i="18"/>
  <c r="L230" i="18"/>
  <c r="N230" i="18"/>
  <c r="P230" i="18"/>
  <c r="R230" i="18"/>
  <c r="T230" i="18"/>
  <c r="W175" i="18"/>
  <c r="Y196" i="18"/>
  <c r="AH214" i="18"/>
  <c r="AJ214" i="18" s="1"/>
  <c r="W192" i="18"/>
  <c r="W177" i="18"/>
  <c r="W173" i="18"/>
  <c r="W181" i="18"/>
  <c r="AJ84" i="18"/>
  <c r="AG207" i="18"/>
  <c r="AH84" i="18"/>
  <c r="AH206" i="18"/>
  <c r="AJ206" i="18" s="1"/>
  <c r="X196" i="18"/>
  <c r="W193" i="18"/>
  <c r="W178" i="18"/>
  <c r="W198" i="18"/>
  <c r="AJ226" i="18"/>
  <c r="W194" i="18"/>
  <c r="AH205" i="18"/>
  <c r="AJ205" i="18" s="1"/>
  <c r="W182" i="18"/>
  <c r="W172" i="18"/>
  <c r="W195" i="18"/>
  <c r="AH209" i="18"/>
  <c r="AJ209" i="18" s="1"/>
  <c r="AH208" i="18"/>
  <c r="AJ208" i="18" s="1"/>
  <c r="AJ222" i="18" s="1"/>
  <c r="W174" i="18"/>
  <c r="AG216" i="18"/>
  <c r="AH203" i="18"/>
  <c r="AJ203" i="18" s="1"/>
  <c r="AJ216" i="18" s="1"/>
  <c r="AJ232" i="18" s="1"/>
  <c r="AH204" i="18"/>
  <c r="AJ204" i="18" s="1"/>
  <c r="AJ217" i="18" s="1"/>
  <c r="AH202" i="18"/>
  <c r="AJ202" i="18" s="1"/>
  <c r="AJ215" i="18" s="1"/>
  <c r="W171" i="18"/>
  <c r="S243" i="18" s="1"/>
  <c r="T243" i="18"/>
  <c r="W179" i="18"/>
  <c r="AG143" i="18"/>
  <c r="AH140" i="18"/>
  <c r="AG141" i="18"/>
  <c r="U229" i="18" l="1"/>
  <c r="V229" i="18" s="1"/>
  <c r="V230" i="18"/>
  <c r="U231" i="18"/>
  <c r="AJ230" i="18"/>
  <c r="AJ229" i="18"/>
  <c r="T231" i="18"/>
  <c r="T229" i="18"/>
  <c r="P231" i="18"/>
  <c r="P232" i="18" s="1"/>
  <c r="P229" i="18"/>
  <c r="L231" i="18"/>
  <c r="L232" i="18" s="1"/>
  <c r="L229" i="18"/>
  <c r="H231" i="18"/>
  <c r="H232" i="18" s="1"/>
  <c r="H229" i="18"/>
  <c r="Q231" i="18"/>
  <c r="Q232" i="18" s="1"/>
  <c r="Q229" i="18"/>
  <c r="M231" i="18"/>
  <c r="M232" i="18" s="1"/>
  <c r="M229" i="18"/>
  <c r="I231" i="18"/>
  <c r="I232" i="18" s="1"/>
  <c r="I229" i="18"/>
  <c r="R229" i="18"/>
  <c r="R231" i="18"/>
  <c r="R232" i="18" s="1"/>
  <c r="N229" i="18"/>
  <c r="N231" i="18"/>
  <c r="N232" i="18" s="1"/>
  <c r="J229" i="18"/>
  <c r="AH229" i="18" s="1"/>
  <c r="J231" i="18"/>
  <c r="AH230" i="18"/>
  <c r="S231" i="18"/>
  <c r="S232" i="18" s="1"/>
  <c r="S229" i="18"/>
  <c r="O231" i="18"/>
  <c r="O232" i="18" s="1"/>
  <c r="O229" i="18"/>
  <c r="K231" i="18"/>
  <c r="K232" i="18" s="1"/>
  <c r="K229" i="18"/>
  <c r="AJ220" i="18"/>
  <c r="AJ219" i="18"/>
  <c r="AH216" i="18"/>
  <c r="AG217" i="18"/>
  <c r="AH217" i="18" s="1"/>
  <c r="W196" i="18"/>
  <c r="AH141" i="18"/>
  <c r="AG142" i="18"/>
  <c r="AH142" i="18" s="1"/>
  <c r="P238" i="18"/>
  <c r="P239" i="18"/>
  <c r="P241" i="18"/>
  <c r="AH207" i="18"/>
  <c r="AJ207" i="18" s="1"/>
  <c r="AJ221" i="18" s="1"/>
  <c r="U232" i="18" l="1"/>
  <c r="V232" i="18" s="1"/>
  <c r="V231" i="18"/>
  <c r="J232" i="18"/>
  <c r="AH232" i="18" s="1"/>
  <c r="AH231" i="18"/>
  <c r="T232" i="18"/>
</calcChain>
</file>

<file path=xl/comments1.xml><?xml version="1.0" encoding="utf-8"?>
<comments xmlns="http://schemas.openxmlformats.org/spreadsheetml/2006/main">
  <authors>
    <author>Author</author>
  </authors>
  <commentList>
    <comment ref="B16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T17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B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<sst xmlns="http://schemas.openxmlformats.org/spreadsheetml/2006/main" count="782" uniqueCount="510">
  <si>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</si>
  <si>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</si>
  <si>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</si>
  <si>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</si>
  <si>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</si>
  <si>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</si>
  <si>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</si>
  <si>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</si>
  <si>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</si>
  <si>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</si>
  <si>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</si>
  <si>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</si>
  <si>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</si>
  <si>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</si>
  <si>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</si>
  <si>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</si>
  <si>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</si>
  <si>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</si>
  <si>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</si>
  <si>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</si>
  <si>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</si>
  <si>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</si>
  <si>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</si>
  <si>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</si>
  <si>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</si>
  <si>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</si>
  <si>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</si>
  <si>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</si>
  <si>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</si>
  <si>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</si>
  <si>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</si>
  <si>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</si>
  <si>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</si>
  <si>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</si>
  <si>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</si>
  <si>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</si>
  <si>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</si>
  <si>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</si>
  <si>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</si>
  <si>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</si>
  <si>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</si>
  <si>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</si>
  <si>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</si>
  <si>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</si>
  <si>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</si>
  <si>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</si>
  <si>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</si>
  <si>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</si>
  <si>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</si>
  <si>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</si>
  <si>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</si>
  <si>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</si>
  <si>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</si>
  <si>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</si>
  <si>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</si>
  <si>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</si>
  <si>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</si>
  <si>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</si>
  <si>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</si>
  <si>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</si>
  <si>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</si>
  <si>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</si>
  <si>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</si>
  <si>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</si>
  <si>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</si>
  <si>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</si>
  <si>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</si>
  <si>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</si>
  <si>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</si>
  <si>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</si>
  <si>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</si>
  <si>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</si>
  <si>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</si>
  <si>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</si>
  <si>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</si>
  <si>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</si>
  <si>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</si>
  <si>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</si>
  <si>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</si>
  <si>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</si>
  <si>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</si>
  <si>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</si>
  <si>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</si>
  <si>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</si>
  <si>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</si>
  <si>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</si>
  <si>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</si>
  <si>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</si>
  <si>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</si>
  <si>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</si>
  <si>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</si>
  <si>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</si>
  <si>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</si>
  <si>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</si>
  <si>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</si>
  <si>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</si>
  <si>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</si>
  <si>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</si>
  <si>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</si>
  <si>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</si>
  <si>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</si>
  <si>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</si>
  <si>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</si>
  <si>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</si>
  <si>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</si>
  <si>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</si>
  <si>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</si>
  <si>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</si>
  <si>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</si>
  <si>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</si>
  <si>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</si>
  <si>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</si>
  <si>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</si>
  <si>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</si>
  <si>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</si>
  <si>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</si>
  <si>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</si>
  <si>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</si>
  <si>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</si>
  <si>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</si>
  <si>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</si>
  <si>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</si>
  <si>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</si>
  <si>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</si>
  <si>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</si>
  <si>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</si>
  <si>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</si>
  <si>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</si>
  <si>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</si>
  <si>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</si>
  <si>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</si>
  <si>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</si>
  <si>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</si>
  <si>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</si>
  <si>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</si>
  <si>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</si>
  <si>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</si>
  <si>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</si>
  <si>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</si>
  <si>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</si>
  <si>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</si>
  <si>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</si>
  <si>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</si>
  <si>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</si>
  <si>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</si>
  <si>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</si>
  <si>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</si>
  <si>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</si>
  <si>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</si>
  <si>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</si>
  <si>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</si>
  <si>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</si>
  <si>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</si>
  <si>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</si>
  <si>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</si>
  <si>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</si>
  <si>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</si>
  <si>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</si>
  <si>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</si>
  <si>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</si>
  <si>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</si>
  <si>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</si>
  <si>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</si>
  <si>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</si>
  <si>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</si>
  <si>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</si>
  <si>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</si>
  <si>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</si>
  <si>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</si>
  <si>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</si>
  <si>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</si>
  <si>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</si>
  <si>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</si>
  <si>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</si>
  <si>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</si>
  <si>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</si>
  <si>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</si>
  <si>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</si>
  <si>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</si>
  <si>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</si>
  <si>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</si>
  <si>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</si>
  <si>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</si>
  <si>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</si>
  <si>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</si>
  <si>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</si>
  <si>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</si>
  <si>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</si>
  <si>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</si>
  <si>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</si>
  <si>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</si>
  <si>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</si>
  <si>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</si>
  <si>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</si>
  <si>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</si>
  <si>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</si>
  <si>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</si>
  <si>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</si>
  <si>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</si>
  <si>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</si>
  <si>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</si>
  <si>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</si>
  <si>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</si>
  <si>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</si>
  <si>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</si>
  <si>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</si>
  <si>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</si>
  <si>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</si>
  <si>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</si>
  <si>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</si>
  <si>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</si>
  <si>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</si>
  <si>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</si>
  <si>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</si>
  <si>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</si>
  <si>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</si>
  <si>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</si>
  <si>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</si>
  <si>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</si>
  <si>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</si>
  <si>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</si>
  <si>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</si>
  <si>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</si>
  <si>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</si>
  <si>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</si>
  <si>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</si>
  <si>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</si>
  <si>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</si>
  <si>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</si>
  <si>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</si>
  <si>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</si>
  <si>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</si>
  <si>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</si>
  <si>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</si>
  <si>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</si>
  <si>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</si>
  <si>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</si>
  <si>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</si>
  <si>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</si>
  <si>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</si>
  <si>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</si>
  <si>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</si>
  <si>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</si>
  <si>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</si>
  <si>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</si>
  <si>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</si>
  <si>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</si>
  <si>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</si>
  <si>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</si>
  <si>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</si>
  <si>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</si>
  <si>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</si>
  <si>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</si>
  <si>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</si>
  <si>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</si>
  <si>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</si>
  <si>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</si>
  <si>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</si>
  <si>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</si>
  <si>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</si>
  <si>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</si>
  <si>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</si>
  <si>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</si>
  <si>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</si>
  <si>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</si>
  <si>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</si>
  <si>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</si>
  <si>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</si>
  <si>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</si>
  <si>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</si>
  <si>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</si>
  <si>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</si>
  <si>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</si>
  <si>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</si>
  <si>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</si>
  <si>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</si>
  <si>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</si>
  <si>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</si>
  <si>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</si>
  <si>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</si>
  <si>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</si>
  <si>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</si>
  <si>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</si>
  <si>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</si>
  <si>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</si>
  <si>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</si>
  <si>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</si>
  <si>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</si>
  <si>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</si>
  <si>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</si>
  <si>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</si>
  <si>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</si>
  <si>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</si>
  <si>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</si>
  <si>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</si>
  <si>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</si>
  <si>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</si>
  <si>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</si>
  <si>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</si>
  <si>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</si>
  <si>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</si>
  <si>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</si>
  <si>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</si>
  <si>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</si>
  <si>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</si>
  <si>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</si>
  <si>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</si>
  <si>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</si>
  <si>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</si>
  <si>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</si>
  <si>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</si>
  <si>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</si>
  <si>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</si>
  <si>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</si>
  <si>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</si>
  <si>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</si>
  <si>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</si>
  <si>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</si>
  <si>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</si>
  <si>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</si>
  <si>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</si>
  <si>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</si>
  <si>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</si>
  <si>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</si>
  <si>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</si>
  <si>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</si>
  <si>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</si>
  <si>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</si>
  <si>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</si>
  <si>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</si>
  <si>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</si>
  <si>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</si>
  <si>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</si>
  <si>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</si>
  <si>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</si>
  <si>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</si>
  <si>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</si>
  <si>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</si>
  <si>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</si>
  <si>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</si>
  <si>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</si>
  <si>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</si>
  <si>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</si>
  <si>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</si>
  <si>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</si>
  <si>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</si>
  <si>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</si>
  <si>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</si>
  <si>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</si>
  <si>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</si>
  <si>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</si>
  <si>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</si>
  <si>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</si>
  <si>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</si>
  <si>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</si>
  <si>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</si>
  <si>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</si>
  <si>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</si>
  <si>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</si>
  <si>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</si>
  <si>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</si>
  <si>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</si>
  <si>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</si>
  <si>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</si>
  <si>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</si>
  <si>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</si>
  <si>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</si>
  <si>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</si>
  <si>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</si>
  <si>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</si>
  <si>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</si>
  <si>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</si>
  <si>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</si>
  <si>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</si>
  <si>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</si>
  <si>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</si>
  <si>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</si>
  <si>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</si>
  <si>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</si>
  <si>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</si>
  <si>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</si>
  <si>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</si>
  <si>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</si>
  <si>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</si>
  <si>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</si>
  <si>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</si>
  <si>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</si>
  <si>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</si>
  <si>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</si>
  <si>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</si>
  <si>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</si>
  <si>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</si>
  <si>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</si>
  <si>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</si>
  <si>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</si>
  <si>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</si>
  <si>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</si>
  <si>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</si>
  <si>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</si>
  <si>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</si>
  <si>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</si>
  <si>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</si>
  <si>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</si>
  <si>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</si>
  <si>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</si>
  <si>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</si>
  <si>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</si>
  <si>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</si>
  <si>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</si>
  <si>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</si>
  <si>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</si>
  <si>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</si>
  <si>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</si>
  <si>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</si>
  <si>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t>Earnings Yield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</si>
  <si>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</si>
  <si>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</si>
  <si>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</si>
  <si>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</si>
  <si>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</si>
  <si>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</si>
  <si>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</si>
  <si>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</si>
  <si>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</si>
  <si>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</si>
  <si>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</si>
  <si>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</si>
  <si>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</si>
  <si>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</si>
  <si>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</si>
  <si>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</si>
  <si>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</si>
  <si>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</si>
  <si>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</si>
  <si>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</si>
  <si>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</si>
  <si>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</si>
  <si>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</si>
  <si>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</si>
  <si>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</si>
  <si>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</si>
  <si>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</si>
  <si>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</si>
  <si>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</si>
  <si>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</si>
  <si>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</si>
  <si>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</si>
  <si>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</si>
  <si>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</si>
  <si>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</si>
  <si>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</si>
  <si>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</si>
  <si>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</si>
  <si>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</si>
  <si>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</si>
  <si>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</si>
  <si>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</si>
  <si>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</si>
  <si>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</si>
  <si>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</si>
  <si>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</si>
  <si>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</si>
  <si>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</si>
  <si>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</si>
  <si>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</si>
  <si>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</si>
  <si>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</si>
  <si>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</si>
  <si>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</si>
  <si>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</si>
  <si>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</si>
  <si>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</si>
  <si>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</si>
  <si>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</si>
  <si>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</si>
  <si>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</si>
  <si>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</si>
  <si>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</si>
  <si>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</si>
  <si>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</si>
  <si>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</si>
  <si>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</si>
  <si>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</si>
  <si>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</si>
  <si>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</si>
  <si>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</si>
  <si>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</si>
  <si>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</si>
  <si>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</si>
  <si>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</si>
  <si>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</si>
  <si>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</si>
  <si>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</si>
  <si>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</si>
  <si>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</si>
  <si>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</si>
  <si>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</si>
  <si>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</si>
  <si>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</si>
  <si>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</si>
  <si>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</si>
  <si>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</si>
  <si>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</si>
  <si>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</si>
  <si>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</si>
  <si>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Avg 14 yrs</t>
  </si>
  <si>
    <t>Avg10 yrs</t>
  </si>
  <si>
    <t>Dummy</t>
  </si>
  <si>
    <t>10x2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</si>
  <si>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14 years</t>
    </r>
    <r>
      <rPr>
        <sz val="10"/>
        <color theme="1"/>
        <rFont val="Cambria"/>
        <family val="1"/>
        <scheme val="maj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</si>
</sst>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[$₹-861]#,##0.00;[Red][$₹-861]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rgb="FFFF0000"/>
      <name val="Cambria"/>
      <family val="1"/>
      <scheme val="major"/>
    </font>
  </fonts>
  <fills count="1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1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5" fillId="5" borderId="1" xfId="0" applyFont="1" applyFill="1" applyBorder="1" applyAlignment="1">
      <alignment horizontal="right"/>
    </xf>
    <xf numFmtId="0" fontId="18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0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9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0" fontId="21" fillId="16" borderId="1" xfId="0" applyFont="1" applyFill="1" applyBorder="1" applyAlignment="1">
      <alignment horizontal="center"/>
    </xf>
    <xf numFmtId="2" fontId="7" fillId="5" borderId="1" xfId="2" applyNumberFormat="1" applyFont="1" applyFill="1" applyBorder="1"/>
    <xf numFmtId="172" fontId="7" fillId="5" borderId="1" xfId="2" applyNumberFormat="1" applyFont="1" applyFill="1" applyBorder="1"/>
    <xf numFmtId="0" fontId="0" fillId="2" borderId="1" xfId="0" applyFill="1" applyBorder="1"/>
    <xf numFmtId="0" fontId="6" fillId="2" borderId="1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41-41F5-9EAE-48960F2FB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960896"/>
        <c:axId val="78966784"/>
      </c:lineChart>
      <c:catAx>
        <c:axId val="78960896"/>
        <c:scaling>
          <c:orientation val="minMax"/>
        </c:scaling>
        <c:delete val="0"/>
        <c:axPos val="b"/>
        <c:majorTickMark val="out"/>
        <c:minorTickMark val="none"/>
        <c:tickLblPos val="nextTo"/>
        <c:crossAx val="78966784"/>
        <c:crosses val="autoZero"/>
        <c:auto val="1"/>
        <c:lblAlgn val="ctr"/>
        <c:lblOffset val="100"/>
        <c:noMultiLvlLbl val="0"/>
      </c:catAx>
      <c:valAx>
        <c:axId val="78966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8960896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722" l="0.70000000000000062" r="0.70000000000000062" t="0.750000000000007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C38" sqref="C38"/>
    </sheetView>
  </sheetViews>
  <sheetFormatPr defaultRowHeight="12.75" x14ac:dyDescent="0.2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 x14ac:dyDescent="0.2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 x14ac:dyDescent="0.2">
      <c r="B4" s="88"/>
      <c r="C4" s="10"/>
      <c r="D4" s="10"/>
      <c r="E4" s="10"/>
      <c r="F4" s="10"/>
    </row>
    <row r="5" spans="2:6" x14ac:dyDescent="0.2">
      <c r="B5" s="88"/>
      <c r="C5" s="93" t="s">
        <v>105</v>
      </c>
      <c r="D5" s="10"/>
      <c r="E5" s="10"/>
      <c r="F5" s="10"/>
    </row>
    <row r="6" spans="2:6" x14ac:dyDescent="0.2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 x14ac:dyDescent="0.2">
      <c r="B7" s="88"/>
      <c r="C7" s="10"/>
      <c r="D7" s="10" t="s">
        <v>108</v>
      </c>
      <c r="E7" s="10"/>
      <c r="F7" s="10"/>
    </row>
    <row r="8" spans="2:6" x14ac:dyDescent="0.2">
      <c r="B8" s="88"/>
      <c r="C8" s="10"/>
      <c r="D8" s="10" t="s">
        <v>114</v>
      </c>
      <c r="E8" s="10"/>
      <c r="F8" s="10"/>
    </row>
    <row r="9" spans="2:6" x14ac:dyDescent="0.2">
      <c r="B9" s="88"/>
      <c r="C9" s="10"/>
      <c r="D9" s="10"/>
      <c r="E9" s="10"/>
      <c r="F9" s="10"/>
    </row>
    <row r="10" spans="2:6" x14ac:dyDescent="0.2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 x14ac:dyDescent="0.2">
      <c r="B11" s="88"/>
      <c r="C11" s="10"/>
      <c r="D11" s="10" t="s">
        <v>110</v>
      </c>
      <c r="E11" s="10"/>
      <c r="F11" s="10"/>
    </row>
    <row r="12" spans="2:6" x14ac:dyDescent="0.2">
      <c r="B12" s="88"/>
      <c r="C12" s="10"/>
      <c r="D12" s="10"/>
      <c r="E12" s="10"/>
      <c r="F12" s="10"/>
    </row>
    <row r="13" spans="2:6" x14ac:dyDescent="0.2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 x14ac:dyDescent="0.2">
      <c r="B14" s="88"/>
      <c r="C14" s="10"/>
      <c r="D14" s="10" t="s">
        <v>115</v>
      </c>
      <c r="E14" s="10" t="s">
        <v>118</v>
      </c>
      <c r="F14" s="10"/>
    </row>
    <row r="15" spans="2:6" x14ac:dyDescent="0.2">
      <c r="B15" s="88"/>
      <c r="C15" s="10"/>
      <c r="D15" s="10"/>
      <c r="E15" s="10" t="s">
        <v>119</v>
      </c>
      <c r="F15" s="10"/>
    </row>
    <row r="16" spans="2:6" x14ac:dyDescent="0.2">
      <c r="B16" s="88"/>
      <c r="C16" s="10"/>
      <c r="D16" s="10"/>
      <c r="E16" s="10"/>
      <c r="F16" s="10"/>
    </row>
    <row r="17" spans="2:6" x14ac:dyDescent="0.2">
      <c r="B17" s="88">
        <v>4</v>
      </c>
      <c r="C17" s="10" t="s">
        <v>120</v>
      </c>
      <c r="D17" s="10" t="s">
        <v>121</v>
      </c>
      <c r="E17" s="10"/>
      <c r="F17" s="10"/>
    </row>
    <row r="18" spans="2:6" x14ac:dyDescent="0.2">
      <c r="B18" s="88"/>
      <c r="C18" s="10"/>
      <c r="D18" s="10" t="s">
        <v>122</v>
      </c>
      <c r="E18" s="10"/>
      <c r="F18" s="10"/>
    </row>
    <row r="19" spans="2:6" x14ac:dyDescent="0.2">
      <c r="B19" s="88"/>
      <c r="C19" s="10"/>
      <c r="D19" s="10" t="s">
        <v>123</v>
      </c>
      <c r="E19" s="10"/>
      <c r="F19" s="10"/>
    </row>
    <row r="20" spans="2:6" x14ac:dyDescent="0.2">
      <c r="B20" s="88"/>
      <c r="C20" s="10"/>
      <c r="D20" s="10" t="s">
        <v>124</v>
      </c>
      <c r="E20" s="10"/>
      <c r="F20" s="10"/>
    </row>
    <row r="21" spans="2:6" x14ac:dyDescent="0.2">
      <c r="B21" s="88"/>
      <c r="C21" s="10"/>
      <c r="D21" s="10"/>
      <c r="E21" s="10"/>
      <c r="F21" s="10"/>
    </row>
    <row r="22" spans="2:6" x14ac:dyDescent="0.2">
      <c r="B22" s="88">
        <v>5</v>
      </c>
      <c r="C22" s="10" t="s">
        <v>125</v>
      </c>
      <c r="D22" s="10" t="s">
        <v>126</v>
      </c>
      <c r="E22" s="10"/>
      <c r="F22" s="10"/>
    </row>
    <row r="23" spans="2:6" x14ac:dyDescent="0.2">
      <c r="B23" s="88"/>
      <c r="C23" s="10"/>
      <c r="D23" s="10" t="s">
        <v>127</v>
      </c>
      <c r="E23" s="10"/>
      <c r="F23" s="10"/>
    </row>
    <row r="24" spans="2:6" ht="25.5" x14ac:dyDescent="0.2">
      <c r="B24" s="88"/>
      <c r="C24" s="10"/>
      <c r="D24" s="10" t="s">
        <v>128</v>
      </c>
      <c r="E24" s="91" t="s">
        <v>129</v>
      </c>
      <c r="F24" s="10"/>
    </row>
    <row r="25" spans="2:6" x14ac:dyDescent="0.2">
      <c r="B25" s="88"/>
      <c r="C25" s="10"/>
      <c r="D25" s="10"/>
      <c r="E25" s="10"/>
      <c r="F25" s="10"/>
    </row>
    <row r="26" spans="2:6" x14ac:dyDescent="0.2">
      <c r="B26" s="88"/>
      <c r="C26" s="10"/>
      <c r="D26" s="10"/>
      <c r="E26" s="10"/>
      <c r="F26" s="10"/>
    </row>
    <row r="27" spans="2:6" x14ac:dyDescent="0.2">
      <c r="B27" s="88"/>
      <c r="C27" s="93" t="s">
        <v>67</v>
      </c>
      <c r="D27" s="10"/>
      <c r="E27" s="10"/>
      <c r="F27" s="10"/>
    </row>
    <row r="28" spans="2:6" x14ac:dyDescent="0.2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 x14ac:dyDescent="0.2">
      <c r="B29" s="88"/>
      <c r="C29" s="10"/>
      <c r="D29" s="10" t="s">
        <v>71</v>
      </c>
      <c r="E29" s="10" t="s">
        <v>73</v>
      </c>
      <c r="F29" s="10"/>
    </row>
    <row r="30" spans="2:6" x14ac:dyDescent="0.2">
      <c r="B30" s="88"/>
      <c r="C30" s="10"/>
      <c r="D30" s="10"/>
      <c r="E30" s="10"/>
      <c r="F30" s="10"/>
    </row>
    <row r="31" spans="2:6" x14ac:dyDescent="0.2">
      <c r="B31" s="88">
        <v>2</v>
      </c>
      <c r="C31" s="10" t="s">
        <v>77</v>
      </c>
      <c r="D31" s="10" t="s">
        <v>78</v>
      </c>
      <c r="E31" s="10"/>
      <c r="F31" s="10"/>
    </row>
    <row r="32" spans="2:6" x14ac:dyDescent="0.2">
      <c r="B32" s="88"/>
      <c r="C32" s="10"/>
      <c r="D32" s="10" t="s">
        <v>13</v>
      </c>
      <c r="E32" s="10"/>
      <c r="F32" s="10"/>
    </row>
    <row r="33" spans="2:6" x14ac:dyDescent="0.2">
      <c r="B33" s="88"/>
      <c r="C33" s="10"/>
      <c r="D33" s="10" t="s">
        <v>79</v>
      </c>
      <c r="E33" s="10"/>
      <c r="F33" s="10"/>
    </row>
    <row r="34" spans="2:6" x14ac:dyDescent="0.2">
      <c r="B34" s="88"/>
      <c r="C34" s="10"/>
      <c r="D34" s="10"/>
      <c r="E34" s="10"/>
      <c r="F34" s="10"/>
    </row>
    <row r="35" spans="2:6" x14ac:dyDescent="0.2">
      <c r="B35" s="88">
        <v>3</v>
      </c>
      <c r="C35" s="10" t="s">
        <v>80</v>
      </c>
      <c r="D35" s="10" t="s">
        <v>13</v>
      </c>
      <c r="E35" s="10"/>
      <c r="F35" s="10"/>
    </row>
    <row r="36" spans="2:6" x14ac:dyDescent="0.2">
      <c r="B36" s="88"/>
      <c r="C36" s="10"/>
      <c r="D36" s="10" t="s">
        <v>81</v>
      </c>
      <c r="E36" s="10"/>
      <c r="F36" s="10"/>
    </row>
    <row r="37" spans="2:6" x14ac:dyDescent="0.2">
      <c r="B37" s="88"/>
      <c r="C37" s="10"/>
      <c r="D37" s="10" t="s">
        <v>82</v>
      </c>
      <c r="E37" s="10"/>
      <c r="F37" s="10"/>
    </row>
    <row r="38" spans="2:6" x14ac:dyDescent="0.2">
      <c r="B38" s="88"/>
      <c r="C38" s="10"/>
      <c r="D38" s="10" t="s">
        <v>83</v>
      </c>
      <c r="E38" s="10"/>
      <c r="F38" s="10"/>
    </row>
    <row r="39" spans="2:6" x14ac:dyDescent="0.2">
      <c r="B39" s="88"/>
      <c r="C39" s="10"/>
      <c r="D39" s="10"/>
      <c r="E39" s="10"/>
      <c r="F39" s="10"/>
    </row>
    <row r="40" spans="2:6" x14ac:dyDescent="0.2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 x14ac:dyDescent="0.2">
      <c r="B41" s="88"/>
      <c r="C41" s="10"/>
      <c r="D41" s="10" t="s">
        <v>85</v>
      </c>
      <c r="E41" s="10"/>
      <c r="F41" s="10"/>
    </row>
    <row r="42" spans="2:6" x14ac:dyDescent="0.2">
      <c r="B42" s="88"/>
      <c r="C42" s="10"/>
      <c r="D42" s="10" t="s">
        <v>89</v>
      </c>
      <c r="E42" s="10" t="s">
        <v>90</v>
      </c>
      <c r="F42" s="10" t="s">
        <v>87</v>
      </c>
    </row>
    <row r="43" spans="2:6" x14ac:dyDescent="0.2">
      <c r="B43" s="88"/>
      <c r="C43" s="10"/>
      <c r="D43" s="10"/>
      <c r="E43" s="91" t="s">
        <v>104</v>
      </c>
      <c r="F43" s="10"/>
    </row>
    <row r="44" spans="2:6" x14ac:dyDescent="0.2">
      <c r="B44" s="88"/>
      <c r="C44" s="10"/>
      <c r="D44" s="10"/>
      <c r="E44" s="10"/>
      <c r="F44" s="10"/>
    </row>
    <row r="45" spans="2:6" x14ac:dyDescent="0.2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 x14ac:dyDescent="0.2">
      <c r="B46" s="88"/>
      <c r="C46" s="10" t="s">
        <v>92</v>
      </c>
      <c r="D46" s="10" t="s">
        <v>94</v>
      </c>
      <c r="E46" s="10"/>
      <c r="F46" s="10"/>
    </row>
    <row r="47" spans="2:6" x14ac:dyDescent="0.2">
      <c r="B47" s="88"/>
      <c r="C47" s="10"/>
      <c r="D47" s="10" t="s">
        <v>95</v>
      </c>
      <c r="E47" s="10"/>
      <c r="F47" s="10"/>
    </row>
    <row r="48" spans="2:6" x14ac:dyDescent="0.2">
      <c r="B48" s="88"/>
      <c r="C48" s="10"/>
      <c r="D48" s="10"/>
      <c r="E48" s="10"/>
      <c r="F48" s="10"/>
    </row>
    <row r="49" spans="2:6" x14ac:dyDescent="0.2">
      <c r="B49" s="88">
        <v>6</v>
      </c>
      <c r="C49" s="10" t="s">
        <v>98</v>
      </c>
      <c r="D49" s="10" t="s">
        <v>99</v>
      </c>
      <c r="E49" s="10"/>
      <c r="F49" s="10"/>
    </row>
    <row r="50" spans="2:6" x14ac:dyDescent="0.2">
      <c r="B50" s="88"/>
      <c r="C50" s="10"/>
      <c r="D50" s="10" t="s">
        <v>100</v>
      </c>
      <c r="E50" s="10"/>
      <c r="F50" s="10"/>
    </row>
    <row r="51" spans="2:6" x14ac:dyDescent="0.2">
      <c r="B51" s="88"/>
      <c r="C51" s="10"/>
      <c r="D51" s="10"/>
      <c r="E51" s="10"/>
      <c r="F51" s="10"/>
    </row>
    <row r="52" spans="2:6" x14ac:dyDescent="0.2">
      <c r="B52" s="88">
        <v>7</v>
      </c>
      <c r="C52" s="10" t="s">
        <v>101</v>
      </c>
      <c r="D52" s="10" t="s">
        <v>103</v>
      </c>
      <c r="E52" s="10"/>
      <c r="F52" s="10"/>
    </row>
    <row r="53" spans="2:6" ht="25.5" x14ac:dyDescent="0.2">
      <c r="B53" s="88"/>
      <c r="C53" s="10"/>
      <c r="D53" s="91" t="s">
        <v>102</v>
      </c>
      <c r="E53" s="10"/>
      <c r="F53" s="10"/>
    </row>
    <row r="54" spans="2:6" x14ac:dyDescent="0.2">
      <c r="B54" s="88"/>
      <c r="C54" s="10"/>
      <c r="D54" s="10"/>
      <c r="E54" s="10"/>
      <c r="F54" s="10"/>
    </row>
    <row r="55" spans="2:6" x14ac:dyDescent="0.2">
      <c r="B55" s="88"/>
      <c r="C55" s="10"/>
      <c r="D55" s="10"/>
      <c r="E55" s="10"/>
      <c r="F55" s="10"/>
    </row>
    <row r="56" spans="2:6" x14ac:dyDescent="0.2">
      <c r="B56" s="88"/>
      <c r="C56" s="93" t="s">
        <v>130</v>
      </c>
      <c r="D56" s="10"/>
      <c r="E56" s="10"/>
      <c r="F56" s="10"/>
    </row>
    <row r="57" spans="2:6" x14ac:dyDescent="0.2">
      <c r="B57" s="88">
        <v>1</v>
      </c>
      <c r="C57" s="10" t="s">
        <v>131</v>
      </c>
      <c r="D57" s="10" t="s">
        <v>132</v>
      </c>
      <c r="E57" s="10"/>
      <c r="F57" s="10"/>
    </row>
    <row r="58" spans="2:6" x14ac:dyDescent="0.2">
      <c r="B58" s="88"/>
      <c r="C58" s="10"/>
      <c r="D58" s="10" t="s">
        <v>133</v>
      </c>
      <c r="E58" s="10"/>
      <c r="F58" s="10"/>
    </row>
    <row r="59" spans="2:6" x14ac:dyDescent="0.2">
      <c r="B59" s="88"/>
      <c r="C59" s="10"/>
      <c r="D59" s="10" t="s">
        <v>134</v>
      </c>
      <c r="E59" s="10"/>
      <c r="F59" s="10"/>
    </row>
    <row r="60" spans="2:6" x14ac:dyDescent="0.2">
      <c r="B60" s="88"/>
      <c r="C60" s="10"/>
      <c r="D60" s="10"/>
      <c r="E60" s="10"/>
      <c r="F60" s="10"/>
    </row>
    <row r="61" spans="2:6" x14ac:dyDescent="0.2">
      <c r="B61" s="88">
        <v>2</v>
      </c>
      <c r="C61" s="10" t="s">
        <v>135</v>
      </c>
      <c r="D61" s="10" t="s">
        <v>136</v>
      </c>
      <c r="E61" s="10"/>
      <c r="F61" s="10"/>
    </row>
    <row r="62" spans="2:6" x14ac:dyDescent="0.2">
      <c r="B62" s="88"/>
      <c r="C62" s="10"/>
      <c r="D62" s="10"/>
      <c r="E62" s="10"/>
      <c r="F62" s="10"/>
    </row>
    <row r="63" spans="2:6" x14ac:dyDescent="0.2">
      <c r="B63" s="88">
        <v>3</v>
      </c>
      <c r="C63" s="10" t="s">
        <v>137</v>
      </c>
      <c r="D63" s="10" t="s">
        <v>138</v>
      </c>
      <c r="E63" s="10"/>
      <c r="F63" s="10"/>
    </row>
    <row r="64" spans="2:6" x14ac:dyDescent="0.2">
      <c r="B64" s="88"/>
      <c r="C64" s="10"/>
      <c r="D64" s="10"/>
      <c r="E64" s="10"/>
      <c r="F64" s="10"/>
    </row>
    <row r="65" spans="2:6" ht="25.5" x14ac:dyDescent="0.2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 x14ac:dyDescent="0.2">
      <c r="B66" s="88"/>
      <c r="C66" s="10"/>
      <c r="D66" s="10" t="s">
        <v>141</v>
      </c>
      <c r="E66" s="10" t="s">
        <v>147</v>
      </c>
      <c r="F66" s="10"/>
    </row>
    <row r="67" spans="2:6" x14ac:dyDescent="0.2">
      <c r="B67" s="88"/>
      <c r="C67" s="10"/>
      <c r="D67" s="10" t="s">
        <v>142</v>
      </c>
      <c r="E67" s="10"/>
      <c r="F67" s="10"/>
    </row>
    <row r="68" spans="2:6" x14ac:dyDescent="0.2">
      <c r="B68" s="88"/>
      <c r="C68" s="10"/>
      <c r="D68" s="10" t="s">
        <v>143</v>
      </c>
      <c r="E68" s="10"/>
      <c r="F68" s="10"/>
    </row>
    <row r="69" spans="2:6" x14ac:dyDescent="0.2">
      <c r="B69" s="88"/>
      <c r="C69" s="10"/>
      <c r="D69" s="10" t="s">
        <v>144</v>
      </c>
      <c r="E69" s="10"/>
      <c r="F69" s="10"/>
    </row>
    <row r="70" spans="2:6" x14ac:dyDescent="0.2">
      <c r="B70" s="88"/>
      <c r="C70" s="10"/>
      <c r="D70" s="10"/>
      <c r="E70" s="10"/>
      <c r="F70" s="10"/>
    </row>
    <row r="71" spans="2:6" x14ac:dyDescent="0.2">
      <c r="B71" s="88">
        <v>5</v>
      </c>
      <c r="C71" s="10" t="s">
        <v>148</v>
      </c>
      <c r="D71" s="10" t="s">
        <v>149</v>
      </c>
      <c r="E71" s="10"/>
      <c r="F71" s="10"/>
    </row>
    <row r="72" spans="2:6" x14ac:dyDescent="0.2">
      <c r="B72" s="88"/>
      <c r="C72" s="10"/>
      <c r="D72" s="10" t="s">
        <v>150</v>
      </c>
      <c r="E72" s="10"/>
      <c r="F72" s="10"/>
    </row>
    <row r="73" spans="2:6" x14ac:dyDescent="0.2">
      <c r="B73" s="88"/>
      <c r="C73" s="10"/>
      <c r="D73" s="10" t="s">
        <v>151</v>
      </c>
      <c r="E73" s="10" t="s">
        <v>152</v>
      </c>
      <c r="F73" s="10" t="s">
        <v>153</v>
      </c>
    </row>
    <row r="74" spans="2:6" x14ac:dyDescent="0.2">
      <c r="B74" s="88"/>
      <c r="C74" s="10"/>
      <c r="D74" s="10" t="s">
        <v>154</v>
      </c>
      <c r="E74" s="10"/>
      <c r="F74" s="10"/>
    </row>
    <row r="75" spans="2:6" x14ac:dyDescent="0.2">
      <c r="B75" s="88"/>
      <c r="C75" s="10"/>
      <c r="D75" s="10"/>
      <c r="E75" s="10"/>
      <c r="F75" s="10"/>
    </row>
    <row r="76" spans="2:6" x14ac:dyDescent="0.2">
      <c r="B76" s="88">
        <v>6</v>
      </c>
      <c r="C76" s="10" t="s">
        <v>155</v>
      </c>
      <c r="D76" s="10" t="s">
        <v>156</v>
      </c>
      <c r="E76" s="10"/>
      <c r="F76" s="10"/>
    </row>
    <row r="77" spans="2:6" x14ac:dyDescent="0.2">
      <c r="B77" s="88"/>
      <c r="C77" s="10"/>
      <c r="D77" s="10" t="s">
        <v>157</v>
      </c>
      <c r="E77" s="10"/>
      <c r="F77" s="10"/>
    </row>
    <row r="78" spans="2:6" x14ac:dyDescent="0.2">
      <c r="B78" s="88"/>
      <c r="C78" s="10"/>
      <c r="D78" s="10"/>
      <c r="E78" s="10"/>
      <c r="F78" s="10"/>
    </row>
    <row r="79" spans="2:6" x14ac:dyDescent="0.2">
      <c r="B79" s="88">
        <v>7</v>
      </c>
      <c r="C79" s="10" t="s">
        <v>158</v>
      </c>
      <c r="D79" s="10" t="s">
        <v>159</v>
      </c>
      <c r="E79" s="10"/>
      <c r="F79" s="10"/>
    </row>
    <row r="80" spans="2:6" x14ac:dyDescent="0.2">
      <c r="B80" s="88"/>
      <c r="C80" s="10"/>
      <c r="D80" s="10" t="s">
        <v>160</v>
      </c>
      <c r="E80" s="10"/>
      <c r="F80" s="10"/>
    </row>
    <row r="81" spans="2:6" x14ac:dyDescent="0.2">
      <c r="B81" s="88"/>
      <c r="C81" s="10"/>
      <c r="D81" s="10"/>
      <c r="E81" s="10"/>
      <c r="F81" s="10"/>
    </row>
    <row r="82" spans="2:6" x14ac:dyDescent="0.2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 x14ac:dyDescent="0.2">
      <c r="B83" s="88"/>
      <c r="C83" s="10"/>
      <c r="D83" s="10" t="s">
        <v>163</v>
      </c>
      <c r="E83" s="10" t="s">
        <v>165</v>
      </c>
      <c r="F83" s="10"/>
    </row>
    <row r="84" spans="2:6" x14ac:dyDescent="0.2">
      <c r="B84" s="88"/>
      <c r="C84" s="10"/>
      <c r="D84" s="10"/>
      <c r="E84" s="10"/>
      <c r="F84" s="10"/>
    </row>
    <row r="85" spans="2:6" x14ac:dyDescent="0.2">
      <c r="B85" s="88">
        <v>9</v>
      </c>
      <c r="C85" s="10" t="s">
        <v>166</v>
      </c>
      <c r="D85" s="10" t="s">
        <v>167</v>
      </c>
      <c r="E85" s="13"/>
      <c r="F85" s="10"/>
    </row>
    <row r="86" spans="2:6" x14ac:dyDescent="0.2">
      <c r="B86" s="88"/>
      <c r="C86" s="10"/>
      <c r="D86" s="10" t="s">
        <v>168</v>
      </c>
      <c r="E86" s="10"/>
      <c r="F86" s="10"/>
    </row>
    <row r="87" spans="2:6" x14ac:dyDescent="0.2">
      <c r="B87" s="88"/>
      <c r="C87" s="10"/>
      <c r="D87" s="10" t="s">
        <v>169</v>
      </c>
      <c r="E87" s="10"/>
      <c r="F87" s="10"/>
    </row>
    <row r="88" spans="2:6" ht="25.5" x14ac:dyDescent="0.2">
      <c r="B88" s="88"/>
      <c r="C88" s="10"/>
      <c r="D88" s="94" t="s">
        <v>189</v>
      </c>
      <c r="E88" s="13" t="s">
        <v>190</v>
      </c>
      <c r="F88" s="10"/>
    </row>
    <row r="89" spans="2:6" x14ac:dyDescent="0.2">
      <c r="B89" s="88"/>
      <c r="C89" s="10"/>
      <c r="D89" s="10" t="s">
        <v>170</v>
      </c>
      <c r="E89" s="10"/>
      <c r="F89" s="10"/>
    </row>
    <row r="90" spans="2:6" x14ac:dyDescent="0.2">
      <c r="B90" s="88"/>
      <c r="C90" s="10"/>
      <c r="D90" s="10"/>
      <c r="E90" s="10"/>
      <c r="F90" s="10"/>
    </row>
    <row r="91" spans="2:6" x14ac:dyDescent="0.2">
      <c r="B91" s="88">
        <v>10</v>
      </c>
      <c r="C91" s="10" t="s">
        <v>89</v>
      </c>
      <c r="D91" s="10" t="s">
        <v>171</v>
      </c>
      <c r="E91" s="10"/>
      <c r="F91" s="10"/>
    </row>
    <row r="92" spans="2:6" x14ac:dyDescent="0.2">
      <c r="B92" s="88"/>
      <c r="C92" s="10"/>
      <c r="D92" s="10"/>
      <c r="E92" s="10"/>
      <c r="F92" s="10"/>
    </row>
    <row r="93" spans="2:6" x14ac:dyDescent="0.2">
      <c r="B93" s="88">
        <v>11</v>
      </c>
      <c r="C93" s="10" t="s">
        <v>172</v>
      </c>
      <c r="D93" s="10" t="s">
        <v>173</v>
      </c>
      <c r="E93" s="10"/>
      <c r="F93" s="10"/>
    </row>
    <row r="94" spans="2:6" x14ac:dyDescent="0.2">
      <c r="B94" s="88"/>
      <c r="C94" s="10"/>
      <c r="D94" s="10"/>
      <c r="E94" s="10"/>
      <c r="F94" s="10"/>
    </row>
    <row r="95" spans="2:6" x14ac:dyDescent="0.2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 x14ac:dyDescent="0.2">
      <c r="B96" s="88"/>
      <c r="C96" s="10"/>
      <c r="D96" s="10" t="s">
        <v>183</v>
      </c>
      <c r="E96" s="10" t="s">
        <v>186</v>
      </c>
      <c r="F96" s="10"/>
    </row>
    <row r="97" spans="2:6" x14ac:dyDescent="0.2">
      <c r="B97" s="88"/>
      <c r="C97" s="10"/>
      <c r="D97" s="10"/>
      <c r="E97" s="10" t="s">
        <v>184</v>
      </c>
      <c r="F97" s="10"/>
    </row>
    <row r="98" spans="2:6" x14ac:dyDescent="0.2">
      <c r="B98" s="88"/>
      <c r="C98" s="10"/>
      <c r="D98" s="10"/>
      <c r="E98" s="10"/>
      <c r="F98" s="10"/>
    </row>
    <row r="99" spans="2:6" x14ac:dyDescent="0.2">
      <c r="B99" s="88">
        <v>13</v>
      </c>
      <c r="C99" s="10" t="s">
        <v>175</v>
      </c>
      <c r="D99" s="10" t="s">
        <v>176</v>
      </c>
      <c r="E99" s="10"/>
      <c r="F99" s="10"/>
    </row>
    <row r="100" spans="2:6" x14ac:dyDescent="0.2">
      <c r="B100" s="88"/>
      <c r="C100" s="10"/>
      <c r="D100" s="10" t="s">
        <v>177</v>
      </c>
      <c r="E100" s="10"/>
      <c r="F100" s="10"/>
    </row>
    <row r="101" spans="2:6" x14ac:dyDescent="0.2">
      <c r="B101" s="88"/>
      <c r="C101" s="10"/>
      <c r="D101" s="10" t="s">
        <v>178</v>
      </c>
      <c r="E101" s="10"/>
      <c r="F101" s="10"/>
    </row>
    <row r="102" spans="2:6" x14ac:dyDescent="0.2">
      <c r="B102" s="88"/>
      <c r="C102" s="10"/>
      <c r="D102" s="10"/>
      <c r="E102" s="10"/>
      <c r="F102" s="10"/>
    </row>
    <row r="103" spans="2:6" x14ac:dyDescent="0.2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 x14ac:dyDescent="0.2">
      <c r="B104" s="88"/>
      <c r="C104" s="10"/>
      <c r="D104" s="10" t="s">
        <v>181</v>
      </c>
      <c r="E104" s="10"/>
      <c r="F104" s="10"/>
    </row>
    <row r="105" spans="2:6" x14ac:dyDescent="0.2">
      <c r="B105" s="88"/>
      <c r="C105" s="10"/>
      <c r="D105" s="10"/>
      <c r="E105" s="10"/>
      <c r="F105" s="10"/>
    </row>
    <row r="106" spans="2:6" x14ac:dyDescent="0.2">
      <c r="B106" s="88"/>
      <c r="C106" s="10"/>
      <c r="D106" s="10"/>
      <c r="E106" s="10"/>
      <c r="F106" s="10"/>
    </row>
    <row r="107" spans="2:6" x14ac:dyDescent="0.2">
      <c r="B107" s="88"/>
      <c r="C107" s="10"/>
      <c r="D107" s="10"/>
      <c r="E107" s="10"/>
      <c r="F107" s="10"/>
    </row>
    <row r="108" spans="2:6" x14ac:dyDescent="0.2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25"/>
  <sheetViews>
    <sheetView topLeftCell="E1" zoomScale="80" zoomScaleNormal="80" workbookViewId="0">
      <selection activeCell="L28" sqref="L28"/>
    </sheetView>
  </sheetViews>
  <sheetFormatPr defaultRowHeight="15" x14ac:dyDescent="0.2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 x14ac:dyDescent="0.3"/>
    <row r="3" spans="2:23" x14ac:dyDescent="0.25">
      <c r="B3" s="275" t="s">
        <v>439</v>
      </c>
      <c r="C3" s="275"/>
      <c r="D3" s="275"/>
      <c r="G3" s="275" t="s">
        <v>440</v>
      </c>
      <c r="H3" s="275"/>
      <c r="I3" s="275"/>
      <c r="P3" s="276" t="s">
        <v>441</v>
      </c>
      <c r="Q3" s="277"/>
      <c r="R3" s="277"/>
      <c r="S3" s="278"/>
      <c r="T3" s="276" t="s">
        <v>442</v>
      </c>
      <c r="U3" s="277"/>
      <c r="V3" s="277"/>
      <c r="W3" s="278"/>
    </row>
    <row r="4" spans="2:23" x14ac:dyDescent="0.25">
      <c r="B4" s="184" t="s">
        <v>443</v>
      </c>
      <c r="C4" s="279">
        <v>9500000</v>
      </c>
      <c r="D4" s="279"/>
      <c r="G4" s="184" t="s">
        <v>444</v>
      </c>
      <c r="H4" s="280">
        <v>200000</v>
      </c>
      <c r="I4" s="280"/>
      <c r="K4" s="185" t="s">
        <v>445</v>
      </c>
      <c r="L4" s="185" t="s">
        <v>78</v>
      </c>
      <c r="M4" s="185" t="s">
        <v>393</v>
      </c>
      <c r="N4" s="185" t="s">
        <v>446</v>
      </c>
      <c r="O4" s="185" t="s">
        <v>447</v>
      </c>
      <c r="P4" s="186" t="s">
        <v>448</v>
      </c>
      <c r="Q4" s="187" t="s">
        <v>287</v>
      </c>
      <c r="R4" s="187" t="s">
        <v>447</v>
      </c>
      <c r="S4" s="188" t="s">
        <v>449</v>
      </c>
      <c r="T4" s="186" t="s">
        <v>448</v>
      </c>
      <c r="U4" s="187" t="s">
        <v>287</v>
      </c>
      <c r="V4" s="187" t="s">
        <v>447</v>
      </c>
      <c r="W4" s="188" t="s">
        <v>449</v>
      </c>
    </row>
    <row r="5" spans="2:23" x14ac:dyDescent="0.25">
      <c r="B5" s="184" t="s">
        <v>450</v>
      </c>
      <c r="C5" s="281">
        <v>0.08</v>
      </c>
      <c r="D5" s="282"/>
      <c r="G5" s="184" t="s">
        <v>450</v>
      </c>
      <c r="H5" s="283">
        <v>0.12</v>
      </c>
      <c r="I5" s="283"/>
      <c r="K5" s="184" t="s">
        <v>451</v>
      </c>
      <c r="L5" s="184">
        <v>200</v>
      </c>
      <c r="M5" s="184">
        <v>560</v>
      </c>
      <c r="N5" s="189">
        <f t="shared" ref="N5:N12" si="0">(M5-L5)/L5</f>
        <v>1.8</v>
      </c>
      <c r="O5" s="190">
        <v>1</v>
      </c>
      <c r="P5" s="191">
        <v>17500</v>
      </c>
      <c r="Q5" s="192">
        <f>P5/L5</f>
        <v>87.5</v>
      </c>
      <c r="R5" s="193">
        <v>1</v>
      </c>
      <c r="S5" s="194"/>
      <c r="T5" s="191">
        <v>14000</v>
      </c>
      <c r="U5" s="195">
        <v>50</v>
      </c>
      <c r="V5" s="196">
        <v>1</v>
      </c>
      <c r="W5" s="194"/>
    </row>
    <row r="6" spans="2:23" x14ac:dyDescent="0.25">
      <c r="B6" s="184" t="s">
        <v>452</v>
      </c>
      <c r="C6" s="280">
        <v>30</v>
      </c>
      <c r="D6" s="280"/>
      <c r="G6" s="184" t="s">
        <v>452</v>
      </c>
      <c r="H6" s="280">
        <v>10</v>
      </c>
      <c r="I6" s="280"/>
      <c r="K6" s="184" t="s">
        <v>453</v>
      </c>
      <c r="L6" s="184">
        <v>450</v>
      </c>
      <c r="M6" s="184">
        <v>900</v>
      </c>
      <c r="N6" s="189">
        <f t="shared" si="0"/>
        <v>1</v>
      </c>
      <c r="O6" s="190">
        <v>5</v>
      </c>
      <c r="P6" s="191"/>
      <c r="Q6" s="197"/>
      <c r="R6" s="197"/>
      <c r="S6" s="198"/>
      <c r="T6" s="191">
        <v>18000</v>
      </c>
      <c r="U6" s="199">
        <v>400</v>
      </c>
      <c r="V6" s="199">
        <v>2</v>
      </c>
      <c r="W6" s="198" t="s">
        <v>454</v>
      </c>
    </row>
    <row r="7" spans="2:23" x14ac:dyDescent="0.25">
      <c r="B7" s="184"/>
      <c r="C7" s="284"/>
      <c r="D7" s="284"/>
      <c r="G7" s="184"/>
      <c r="H7" s="284"/>
      <c r="I7" s="284"/>
      <c r="K7" s="184" t="s">
        <v>455</v>
      </c>
      <c r="L7" s="184">
        <v>32</v>
      </c>
      <c r="M7" s="184">
        <v>70</v>
      </c>
      <c r="N7" s="189">
        <f t="shared" si="0"/>
        <v>1.1875</v>
      </c>
      <c r="O7" s="190">
        <v>3</v>
      </c>
      <c r="P7" s="200"/>
      <c r="Q7" s="201"/>
      <c r="R7" s="201"/>
      <c r="S7" s="198"/>
      <c r="T7" s="200"/>
      <c r="U7" s="197"/>
      <c r="V7" s="197"/>
      <c r="W7" s="198"/>
    </row>
    <row r="8" spans="2:23" x14ac:dyDescent="0.25">
      <c r="B8" s="184"/>
      <c r="C8" s="284"/>
      <c r="D8" s="284"/>
      <c r="G8" s="184"/>
      <c r="H8" s="284"/>
      <c r="I8" s="284"/>
      <c r="K8" s="184" t="s">
        <v>456</v>
      </c>
      <c r="L8" s="184">
        <v>260</v>
      </c>
      <c r="M8" s="184">
        <v>400</v>
      </c>
      <c r="N8" s="189">
        <f t="shared" si="0"/>
        <v>0.53846153846153844</v>
      </c>
      <c r="O8" s="190">
        <v>6</v>
      </c>
      <c r="P8" s="200"/>
      <c r="Q8" s="197"/>
      <c r="R8" s="197"/>
      <c r="S8" s="198"/>
      <c r="T8" s="200"/>
      <c r="U8" s="197"/>
      <c r="V8" s="197"/>
      <c r="W8" s="198"/>
    </row>
    <row r="9" spans="2:23" x14ac:dyDescent="0.25">
      <c r="B9" s="202" t="s">
        <v>444</v>
      </c>
      <c r="C9" s="285">
        <f>C4*(1/(1+C5)^C6)</f>
        <v>944084.6592231117</v>
      </c>
      <c r="D9" s="285"/>
      <c r="G9" s="202" t="s">
        <v>457</v>
      </c>
      <c r="H9" s="285">
        <f>H4*((1+H5)^H6)</f>
        <v>621169.64166884217</v>
      </c>
      <c r="I9" s="285"/>
      <c r="K9" s="184" t="s">
        <v>458</v>
      </c>
      <c r="L9" s="184">
        <v>300</v>
      </c>
      <c r="M9" s="184">
        <v>500</v>
      </c>
      <c r="N9" s="189">
        <f t="shared" si="0"/>
        <v>0.66666666666666663</v>
      </c>
      <c r="O9" s="190">
        <v>7</v>
      </c>
      <c r="P9" s="200"/>
      <c r="Q9" s="197"/>
      <c r="R9" s="197"/>
      <c r="S9" s="198"/>
      <c r="T9" s="200"/>
      <c r="U9" s="197"/>
      <c r="V9" s="197"/>
      <c r="W9" s="198"/>
    </row>
    <row r="10" spans="2:23" x14ac:dyDescent="0.25">
      <c r="B10" s="202" t="s">
        <v>459</v>
      </c>
      <c r="C10" s="285">
        <f>C4-C9</f>
        <v>8555915.3407768887</v>
      </c>
      <c r="D10" s="285"/>
      <c r="G10" s="202" t="s">
        <v>459</v>
      </c>
      <c r="H10" s="286">
        <f>H9-H4</f>
        <v>421169.64166884217</v>
      </c>
      <c r="I10" s="286"/>
      <c r="K10" s="184" t="s">
        <v>460</v>
      </c>
      <c r="L10" s="184">
        <v>112</v>
      </c>
      <c r="M10" s="184">
        <v>272</v>
      </c>
      <c r="N10" s="189">
        <f t="shared" si="0"/>
        <v>1.4285714285714286</v>
      </c>
      <c r="O10" s="190">
        <v>2</v>
      </c>
      <c r="P10" s="200">
        <v>7000</v>
      </c>
      <c r="Q10" s="203">
        <f>P10/L10</f>
        <v>62.5</v>
      </c>
      <c r="R10" s="203">
        <v>1</v>
      </c>
      <c r="S10" s="198"/>
      <c r="T10" s="200"/>
      <c r="U10" s="197"/>
      <c r="V10" s="197"/>
      <c r="W10" s="198"/>
    </row>
    <row r="11" spans="2:23" x14ac:dyDescent="0.25">
      <c r="K11" s="184" t="s">
        <v>461</v>
      </c>
      <c r="L11" s="184">
        <v>700</v>
      </c>
      <c r="M11" s="184">
        <v>1500</v>
      </c>
      <c r="N11" s="189">
        <f t="shared" si="0"/>
        <v>1.1428571428571428</v>
      </c>
      <c r="O11" s="190">
        <v>4</v>
      </c>
      <c r="P11" s="204">
        <v>7000</v>
      </c>
      <c r="Q11" s="195">
        <v>200</v>
      </c>
      <c r="R11" s="196">
        <v>2</v>
      </c>
      <c r="S11" s="194"/>
      <c r="T11" s="204"/>
      <c r="U11" s="195"/>
      <c r="V11" s="196"/>
      <c r="W11" s="194"/>
    </row>
    <row r="12" spans="2:23" ht="15.75" thickBot="1" x14ac:dyDescent="0.3">
      <c r="K12" s="184" t="s">
        <v>462</v>
      </c>
      <c r="L12" s="184">
        <v>488</v>
      </c>
      <c r="M12" s="184">
        <v>900</v>
      </c>
      <c r="N12" s="189">
        <f t="shared" si="0"/>
        <v>0.84426229508196726</v>
      </c>
      <c r="O12" s="190"/>
      <c r="P12" s="205"/>
      <c r="Q12" s="206"/>
      <c r="R12" s="206"/>
      <c r="S12" s="207"/>
      <c r="T12" s="205"/>
      <c r="U12" s="206"/>
      <c r="V12" s="206"/>
      <c r="W12" s="207"/>
    </row>
    <row r="13" spans="2:23" x14ac:dyDescent="0.25">
      <c r="K13" s="208" t="s">
        <v>322</v>
      </c>
    </row>
    <row r="14" spans="2:23" x14ac:dyDescent="0.25">
      <c r="B14" s="275" t="s">
        <v>463</v>
      </c>
      <c r="C14" s="275"/>
      <c r="D14" s="275"/>
      <c r="G14" s="275" t="s">
        <v>464</v>
      </c>
      <c r="H14" s="275"/>
      <c r="I14" s="275"/>
      <c r="K14" s="183" t="s">
        <v>284</v>
      </c>
      <c r="L14" s="183" t="s">
        <v>0</v>
      </c>
      <c r="M14" s="183" t="s">
        <v>323</v>
      </c>
      <c r="N14" s="183" t="s">
        <v>324</v>
      </c>
      <c r="O14" s="183" t="s">
        <v>325</v>
      </c>
      <c r="P14" s="183" t="s">
        <v>326</v>
      </c>
      <c r="Q14" s="183" t="s">
        <v>327</v>
      </c>
      <c r="R14" s="183" t="s">
        <v>328</v>
      </c>
    </row>
    <row r="15" spans="2:23" x14ac:dyDescent="0.25">
      <c r="B15" s="184" t="s">
        <v>465</v>
      </c>
      <c r="C15" s="280">
        <v>24000</v>
      </c>
      <c r="D15" s="280"/>
      <c r="G15" s="184" t="s">
        <v>465</v>
      </c>
      <c r="H15" s="280">
        <v>200000</v>
      </c>
      <c r="I15" s="280"/>
      <c r="K15" s="184" t="s">
        <v>286</v>
      </c>
      <c r="L15" s="209">
        <v>50</v>
      </c>
      <c r="M15" s="210" t="s">
        <v>329</v>
      </c>
      <c r="N15" s="211">
        <v>4</v>
      </c>
      <c r="O15" s="211">
        <v>1</v>
      </c>
      <c r="P15" s="184">
        <f>N15/O15</f>
        <v>4</v>
      </c>
      <c r="Q15" s="184">
        <f>P15*L16</f>
        <v>4</v>
      </c>
      <c r="R15" s="212">
        <f>Q15+L16</f>
        <v>5</v>
      </c>
    </row>
    <row r="16" spans="2:23" x14ac:dyDescent="0.25">
      <c r="B16" s="184" t="s">
        <v>450</v>
      </c>
      <c r="C16" s="281">
        <v>0.1</v>
      </c>
      <c r="D16" s="282"/>
      <c r="G16" s="184" t="s">
        <v>450</v>
      </c>
      <c r="H16" s="281">
        <v>0.12</v>
      </c>
      <c r="I16" s="282"/>
      <c r="K16" s="184" t="s">
        <v>287</v>
      </c>
      <c r="L16" s="209">
        <v>1</v>
      </c>
      <c r="M16" s="210" t="s">
        <v>330</v>
      </c>
      <c r="N16" s="211">
        <v>1</v>
      </c>
      <c r="O16" s="211">
        <v>1</v>
      </c>
      <c r="P16" s="184">
        <f>N16/O16</f>
        <v>1</v>
      </c>
      <c r="Q16" s="184">
        <f>P16*R15</f>
        <v>5</v>
      </c>
      <c r="R16" s="184">
        <f>Q16+R15</f>
        <v>10</v>
      </c>
    </row>
    <row r="17" spans="2:18" x14ac:dyDescent="0.25">
      <c r="B17" s="184" t="s">
        <v>452</v>
      </c>
      <c r="C17" s="280">
        <v>20</v>
      </c>
      <c r="D17" s="280"/>
      <c r="G17" s="184" t="s">
        <v>452</v>
      </c>
      <c r="H17" s="280">
        <v>10</v>
      </c>
      <c r="I17" s="280"/>
      <c r="K17" s="184" t="s">
        <v>289</v>
      </c>
      <c r="L17" s="213">
        <f>L15*L16</f>
        <v>50</v>
      </c>
      <c r="M17" s="210" t="s">
        <v>331</v>
      </c>
      <c r="N17" s="211">
        <v>0</v>
      </c>
      <c r="O17" s="211">
        <v>2</v>
      </c>
      <c r="P17" s="184">
        <f>N17/O17</f>
        <v>0</v>
      </c>
      <c r="Q17" s="184">
        <f>P17*R16</f>
        <v>0</v>
      </c>
      <c r="R17" s="184">
        <f>Q17</f>
        <v>0</v>
      </c>
    </row>
    <row r="18" spans="2:18" x14ac:dyDescent="0.25">
      <c r="B18" s="184"/>
      <c r="C18" s="284"/>
      <c r="D18" s="284"/>
      <c r="G18" s="184"/>
      <c r="H18" s="284"/>
      <c r="I18" s="284"/>
      <c r="K18" s="184" t="s">
        <v>290</v>
      </c>
      <c r="L18" s="209">
        <v>95</v>
      </c>
      <c r="M18" s="210"/>
      <c r="N18" s="184"/>
      <c r="O18" s="184"/>
      <c r="P18" s="202" t="s">
        <v>332</v>
      </c>
      <c r="Q18" s="184"/>
      <c r="R18" s="184">
        <f>R17</f>
        <v>0</v>
      </c>
    </row>
    <row r="19" spans="2:18" x14ac:dyDescent="0.25">
      <c r="B19" s="202" t="s">
        <v>466</v>
      </c>
      <c r="C19" s="287">
        <f>( ( 1-  (1/ ( (1+C16)^C17) ) ) / C16)</f>
        <v>8.5135637197585652</v>
      </c>
      <c r="D19" s="288"/>
      <c r="G19" s="202" t="s">
        <v>467</v>
      </c>
      <c r="H19" s="287">
        <f>( ((1+H16)^H17) -1 ) / H16</f>
        <v>17.548735069535095</v>
      </c>
      <c r="I19" s="288"/>
      <c r="K19" s="184" t="s">
        <v>287</v>
      </c>
      <c r="L19" s="209">
        <v>10</v>
      </c>
      <c r="M19" s="210" t="s">
        <v>331</v>
      </c>
      <c r="N19" s="211">
        <v>10</v>
      </c>
      <c r="O19" s="211">
        <v>2</v>
      </c>
      <c r="P19" s="184">
        <f>N19/O19</f>
        <v>5</v>
      </c>
      <c r="Q19" s="212">
        <f>P19*L16</f>
        <v>5</v>
      </c>
      <c r="R19" s="212">
        <f>Q19</f>
        <v>5</v>
      </c>
    </row>
    <row r="20" spans="2:18" x14ac:dyDescent="0.25">
      <c r="B20" s="202" t="s">
        <v>468</v>
      </c>
      <c r="C20" s="289">
        <f>C19 * C15</f>
        <v>204325.52927420556</v>
      </c>
      <c r="D20" s="290"/>
      <c r="G20" s="202" t="s">
        <v>469</v>
      </c>
      <c r="H20" s="287">
        <f>H19 * H15</f>
        <v>3509747.013907019</v>
      </c>
      <c r="I20" s="288"/>
      <c r="K20" s="184" t="s">
        <v>289</v>
      </c>
      <c r="L20" s="213">
        <f>L19*L18</f>
        <v>950</v>
      </c>
      <c r="M20" s="184"/>
      <c r="N20" s="184"/>
      <c r="O20" s="184"/>
      <c r="P20" s="202" t="s">
        <v>332</v>
      </c>
      <c r="Q20" s="184"/>
      <c r="R20" s="184">
        <f>R19</f>
        <v>5</v>
      </c>
    </row>
    <row r="21" spans="2:18" x14ac:dyDescent="0.25">
      <c r="B21" s="202"/>
      <c r="C21" s="291"/>
      <c r="D21" s="292"/>
      <c r="G21" s="202"/>
      <c r="H21" s="291"/>
      <c r="I21" s="292"/>
      <c r="K21" s="184"/>
      <c r="L21" s="213"/>
      <c r="M21" s="210" t="s">
        <v>331</v>
      </c>
      <c r="N21" s="211">
        <v>10</v>
      </c>
      <c r="O21" s="211">
        <v>2</v>
      </c>
      <c r="P21" s="184">
        <f>N21/O21</f>
        <v>5</v>
      </c>
      <c r="Q21" s="184">
        <f>P21*R20</f>
        <v>25</v>
      </c>
      <c r="R21" s="184">
        <f>Q21</f>
        <v>25</v>
      </c>
    </row>
    <row r="22" spans="2:18" x14ac:dyDescent="0.25">
      <c r="B22" s="202"/>
      <c r="C22" s="285"/>
      <c r="D22" s="285"/>
      <c r="G22" s="202"/>
      <c r="H22" s="285"/>
      <c r="I22" s="285"/>
      <c r="K22" s="202" t="s">
        <v>292</v>
      </c>
      <c r="L22" s="214">
        <f>L20/L17</f>
        <v>19</v>
      </c>
      <c r="M22" s="210"/>
      <c r="N22" s="184"/>
      <c r="O22" s="184"/>
      <c r="P22" s="202" t="s">
        <v>332</v>
      </c>
      <c r="Q22" s="184"/>
      <c r="R22" s="184">
        <f>R21</f>
        <v>25</v>
      </c>
    </row>
    <row r="26" spans="2:18" x14ac:dyDescent="0.25">
      <c r="B26" s="275" t="s">
        <v>470</v>
      </c>
      <c r="C26" s="275"/>
      <c r="D26" s="275"/>
      <c r="G26" s="275" t="s">
        <v>471</v>
      </c>
      <c r="H26" s="275"/>
      <c r="I26" s="275"/>
      <c r="K26" s="275" t="s">
        <v>15</v>
      </c>
      <c r="L26" s="275"/>
      <c r="M26" s="274"/>
    </row>
    <row r="27" spans="2:18" x14ac:dyDescent="0.25">
      <c r="B27" s="184" t="s">
        <v>465</v>
      </c>
      <c r="C27" s="280">
        <v>100</v>
      </c>
      <c r="D27" s="280"/>
      <c r="G27" s="184" t="s">
        <v>465</v>
      </c>
      <c r="H27" s="280">
        <v>200000</v>
      </c>
      <c r="I27" s="280"/>
      <c r="K27" s="10" t="s">
        <v>16</v>
      </c>
      <c r="L27" s="11">
        <v>70</v>
      </c>
      <c r="M27" s="109">
        <f>L27*10000</f>
        <v>700000</v>
      </c>
    </row>
    <row r="28" spans="2:18" x14ac:dyDescent="0.25">
      <c r="B28" s="184" t="s">
        <v>450</v>
      </c>
      <c r="C28" s="281">
        <v>0.05</v>
      </c>
      <c r="D28" s="282"/>
      <c r="G28" s="184" t="s">
        <v>450</v>
      </c>
      <c r="H28" s="281">
        <v>0.12</v>
      </c>
      <c r="I28" s="282"/>
      <c r="K28" s="10" t="s">
        <v>17</v>
      </c>
      <c r="L28" s="11">
        <v>1500</v>
      </c>
      <c r="M28" s="109">
        <f>L28*10000</f>
        <v>15000000</v>
      </c>
      <c r="R28">
        <v>416</v>
      </c>
    </row>
    <row r="29" spans="2:18" x14ac:dyDescent="0.25">
      <c r="B29" s="184" t="s">
        <v>452</v>
      </c>
      <c r="C29" s="280">
        <v>3</v>
      </c>
      <c r="D29" s="280"/>
      <c r="G29" s="184" t="s">
        <v>452</v>
      </c>
      <c r="H29" s="280">
        <v>11</v>
      </c>
      <c r="I29" s="280"/>
      <c r="K29" s="10" t="s">
        <v>18</v>
      </c>
      <c r="L29" s="12">
        <v>14</v>
      </c>
      <c r="M29" s="10">
        <f>L29</f>
        <v>14</v>
      </c>
    </row>
    <row r="30" spans="2:18" ht="15.75" thickBot="1" x14ac:dyDescent="0.3">
      <c r="B30" s="184"/>
      <c r="C30" s="284"/>
      <c r="D30" s="284"/>
      <c r="G30" s="184"/>
      <c r="H30" s="284"/>
      <c r="I30" s="284"/>
      <c r="K30" s="13" t="s">
        <v>19</v>
      </c>
      <c r="L30" s="3">
        <f>((L28/L27)^(1/L29))-1</f>
        <v>0.24471792618235599</v>
      </c>
      <c r="M30" s="3">
        <f>((M28/M27)^(1/M29))-1</f>
        <v>0.24471792618235599</v>
      </c>
    </row>
    <row r="31" spans="2:18" x14ac:dyDescent="0.25">
      <c r="B31" s="202" t="s">
        <v>466</v>
      </c>
      <c r="C31" s="287">
        <f>( ( ( 1-  (1/ ( (1+C28)^C29) ) ) / C28) ) * (1+C28)</f>
        <v>2.859410430839004</v>
      </c>
      <c r="D31" s="288"/>
      <c r="G31" s="202" t="s">
        <v>467</v>
      </c>
      <c r="H31" s="287">
        <f>(( ((1+H28)^H29) -1 ) / H28 ) * ( 1+H28)</f>
        <v>23.133133271224832</v>
      </c>
      <c r="I31" s="288"/>
      <c r="K31" s="13" t="s">
        <v>20</v>
      </c>
      <c r="L31" s="14">
        <f>L29*12</f>
        <v>168</v>
      </c>
      <c r="M31" s="14">
        <f>M29*12</f>
        <v>168</v>
      </c>
      <c r="P31" s="216" t="s">
        <v>472</v>
      </c>
      <c r="Q31" s="217" t="s">
        <v>473</v>
      </c>
    </row>
    <row r="32" spans="2:18" x14ac:dyDescent="0.25">
      <c r="B32" s="202" t="s">
        <v>474</v>
      </c>
      <c r="C32" s="287">
        <f>C31 * C27</f>
        <v>285.94104308390041</v>
      </c>
      <c r="D32" s="288"/>
      <c r="G32" s="202" t="s">
        <v>475</v>
      </c>
      <c r="H32" s="287">
        <f>H31 * H27</f>
        <v>4626626.6542449668</v>
      </c>
      <c r="I32" s="288"/>
      <c r="K32" s="10" t="s">
        <v>18</v>
      </c>
      <c r="L32" s="15">
        <f>L31/12</f>
        <v>14</v>
      </c>
      <c r="M32" s="15">
        <f>M31/12</f>
        <v>14</v>
      </c>
      <c r="P32" s="218">
        <v>0.05</v>
      </c>
      <c r="Q32" s="219">
        <v>14</v>
      </c>
    </row>
    <row r="33" spans="2:17" x14ac:dyDescent="0.25">
      <c r="B33" s="202"/>
      <c r="C33" s="291"/>
      <c r="D33" s="292"/>
      <c r="G33" s="202"/>
      <c r="H33" s="291"/>
      <c r="I33" s="292"/>
      <c r="K33" s="13" t="s">
        <v>21</v>
      </c>
      <c r="L33" s="3">
        <f>((L28/L27)^(1/L32))-1</f>
        <v>0.24471792618235599</v>
      </c>
      <c r="M33" s="3">
        <f>((M28/M27)^(1/M32))-1</f>
        <v>0.24471792618235599</v>
      </c>
      <c r="P33" s="218">
        <v>0.08</v>
      </c>
      <c r="Q33" s="219">
        <v>9</v>
      </c>
    </row>
    <row r="34" spans="2:17" x14ac:dyDescent="0.25">
      <c r="B34" s="202"/>
      <c r="C34" s="285"/>
      <c r="D34" s="285"/>
      <c r="G34" s="202"/>
      <c r="H34" s="285"/>
      <c r="I34" s="285"/>
      <c r="P34" s="218">
        <v>0.1</v>
      </c>
      <c r="Q34" s="219">
        <v>10</v>
      </c>
    </row>
    <row r="35" spans="2:17" x14ac:dyDescent="0.25">
      <c r="P35" s="218">
        <v>0.15</v>
      </c>
      <c r="Q35" s="219">
        <v>5</v>
      </c>
    </row>
    <row r="36" spans="2:17" x14ac:dyDescent="0.25">
      <c r="B36" s="275" t="s">
        <v>24</v>
      </c>
      <c r="C36" s="275"/>
      <c r="D36" s="275"/>
      <c r="E36" s="220"/>
      <c r="G36" s="275" t="s">
        <v>53</v>
      </c>
      <c r="H36" s="275"/>
      <c r="K36" s="275" t="s">
        <v>337</v>
      </c>
      <c r="L36" s="275"/>
      <c r="P36" s="218">
        <v>0.2</v>
      </c>
      <c r="Q36" s="219">
        <v>4</v>
      </c>
    </row>
    <row r="37" spans="2:17" x14ac:dyDescent="0.25">
      <c r="B37" s="19" t="s">
        <v>25</v>
      </c>
      <c r="C37" s="19"/>
      <c r="D37" s="221">
        <v>1000000</v>
      </c>
      <c r="E37" s="220"/>
      <c r="G37" s="19" t="s">
        <v>29</v>
      </c>
      <c r="H37" s="44">
        <v>342</v>
      </c>
      <c r="K37" s="10" t="s">
        <v>16</v>
      </c>
      <c r="L37" s="11">
        <f>L27</f>
        <v>70</v>
      </c>
      <c r="M37" s="215"/>
      <c r="P37" s="218">
        <v>0.25</v>
      </c>
      <c r="Q37" s="219">
        <v>3</v>
      </c>
    </row>
    <row r="38" spans="2:17" x14ac:dyDescent="0.25">
      <c r="B38" s="19" t="s">
        <v>26</v>
      </c>
      <c r="C38" s="19"/>
      <c r="D38" s="21">
        <v>0.66</v>
      </c>
      <c r="E38" s="220"/>
      <c r="G38" s="19" t="s">
        <v>26</v>
      </c>
      <c r="H38" s="21">
        <v>0.12</v>
      </c>
      <c r="K38" s="10" t="s">
        <v>17</v>
      </c>
      <c r="L38" s="11">
        <f>L28</f>
        <v>1500</v>
      </c>
      <c r="M38" s="215"/>
      <c r="P38" s="218">
        <v>0.3</v>
      </c>
      <c r="Q38" s="219">
        <v>2.5</v>
      </c>
    </row>
    <row r="39" spans="2:17" x14ac:dyDescent="0.25">
      <c r="B39" s="19" t="s">
        <v>27</v>
      </c>
      <c r="C39" s="19"/>
      <c r="D39" s="222">
        <v>6</v>
      </c>
      <c r="E39" s="220"/>
      <c r="G39" s="19" t="s">
        <v>27</v>
      </c>
      <c r="H39" s="22">
        <v>10</v>
      </c>
      <c r="K39" s="10" t="s">
        <v>476</v>
      </c>
      <c r="L39" s="10"/>
      <c r="M39" s="215"/>
      <c r="P39" s="223">
        <v>0.4</v>
      </c>
      <c r="Q39" s="224">
        <v>2</v>
      </c>
    </row>
    <row r="40" spans="2:17" x14ac:dyDescent="0.25">
      <c r="B40" s="19" t="s">
        <v>28</v>
      </c>
      <c r="C40" s="19"/>
      <c r="D40" s="23">
        <v>500000</v>
      </c>
      <c r="E40" s="220"/>
      <c r="G40" s="19" t="s">
        <v>28</v>
      </c>
      <c r="H40" s="20">
        <v>0</v>
      </c>
      <c r="K40" s="10" t="s">
        <v>338</v>
      </c>
      <c r="L40" s="189">
        <f>(L38-L37)/L37</f>
        <v>20.428571428571427</v>
      </c>
      <c r="P40" s="223">
        <v>0.5</v>
      </c>
      <c r="Q40" s="224">
        <v>1</v>
      </c>
    </row>
    <row r="41" spans="2:17" x14ac:dyDescent="0.25">
      <c r="B41" s="24" t="s">
        <v>29</v>
      </c>
      <c r="C41" s="24"/>
      <c r="D41" s="45">
        <f>FV(D38,D39,-D40,-D37)</f>
        <v>36018262.604416013</v>
      </c>
      <c r="E41" s="220"/>
      <c r="G41" s="24" t="s">
        <v>54</v>
      </c>
      <c r="H41" s="45">
        <f>PV(H38,H39,H40,-H37)</f>
        <v>110.11484691401803</v>
      </c>
      <c r="K41" s="10" t="s">
        <v>339</v>
      </c>
      <c r="L41" s="225">
        <f>L38/L37</f>
        <v>21.428571428571427</v>
      </c>
      <c r="P41" s="223">
        <v>0.75</v>
      </c>
      <c r="Q41" s="224">
        <v>1.3</v>
      </c>
    </row>
    <row r="42" spans="2:17" ht="15.75" thickBot="1" x14ac:dyDescent="0.3">
      <c r="B42" s="226" t="s">
        <v>477</v>
      </c>
      <c r="D42" s="227">
        <f>D41/10000000</f>
        <v>3.6018262604416011</v>
      </c>
      <c r="P42" s="228">
        <v>1</v>
      </c>
      <c r="Q42" s="229">
        <v>1</v>
      </c>
    </row>
    <row r="43" spans="2:17" ht="15.75" thickBot="1" x14ac:dyDescent="0.3">
      <c r="C43" s="295" t="s">
        <v>457</v>
      </c>
      <c r="D43" s="295"/>
      <c r="E43" s="295"/>
      <c r="F43" s="295"/>
      <c r="J43" s="295" t="s">
        <v>457</v>
      </c>
      <c r="K43" s="295"/>
      <c r="L43" s="295"/>
      <c r="M43" s="295"/>
    </row>
    <row r="44" spans="2:17" ht="15.75" thickBot="1" x14ac:dyDescent="0.3">
      <c r="B44" s="230"/>
      <c r="C44" s="293" t="s">
        <v>478</v>
      </c>
      <c r="D44" s="294"/>
      <c r="E44" s="231" t="s">
        <v>479</v>
      </c>
      <c r="F44" s="231"/>
      <c r="G44" s="232"/>
      <c r="I44" s="230"/>
      <c r="J44" s="293" t="s">
        <v>480</v>
      </c>
      <c r="K44" s="294"/>
      <c r="L44" s="231" t="s">
        <v>481</v>
      </c>
      <c r="M44" s="231"/>
      <c r="N44" s="232"/>
    </row>
    <row r="45" spans="2:17" ht="15.75" thickBot="1" x14ac:dyDescent="0.3">
      <c r="B45" s="200"/>
      <c r="C45" s="197"/>
      <c r="D45" s="197"/>
      <c r="E45" s="197"/>
      <c r="F45" s="197"/>
      <c r="G45" s="198"/>
      <c r="I45" s="200"/>
      <c r="J45" s="197"/>
      <c r="K45" s="197"/>
      <c r="L45" s="197"/>
      <c r="M45" s="197"/>
      <c r="N45" s="198"/>
    </row>
    <row r="46" spans="2:17" ht="15.75" thickBot="1" x14ac:dyDescent="0.3">
      <c r="B46" s="296" t="s">
        <v>482</v>
      </c>
      <c r="C46" s="297"/>
      <c r="D46" s="297"/>
      <c r="E46" s="297"/>
      <c r="F46" s="297"/>
      <c r="G46" s="298"/>
      <c r="I46" s="296" t="s">
        <v>482</v>
      </c>
      <c r="J46" s="297"/>
      <c r="K46" s="297"/>
      <c r="L46" s="297"/>
      <c r="M46" s="297"/>
      <c r="N46" s="298"/>
    </row>
    <row r="47" spans="2:17" x14ac:dyDescent="0.25">
      <c r="B47" s="200"/>
      <c r="C47" s="197"/>
      <c r="D47" s="233">
        <v>1100000</v>
      </c>
      <c r="E47" s="197"/>
      <c r="F47" s="197"/>
      <c r="G47" s="198"/>
      <c r="I47" s="200"/>
      <c r="J47" s="197"/>
      <c r="K47" s="197"/>
      <c r="L47" s="197"/>
      <c r="M47" s="197"/>
      <c r="N47" s="198"/>
    </row>
    <row r="48" spans="2:17" ht="30" x14ac:dyDescent="0.25">
      <c r="B48" s="234" t="s">
        <v>14</v>
      </c>
      <c r="C48" s="235" t="s">
        <v>483</v>
      </c>
      <c r="D48" s="235" t="s">
        <v>484</v>
      </c>
      <c r="E48" s="235" t="s">
        <v>485</v>
      </c>
      <c r="F48" s="235" t="s">
        <v>486</v>
      </c>
      <c r="G48" s="236" t="s">
        <v>487</v>
      </c>
      <c r="I48" s="234" t="s">
        <v>14</v>
      </c>
      <c r="J48" s="235" t="s">
        <v>483</v>
      </c>
      <c r="K48" s="235" t="s">
        <v>488</v>
      </c>
      <c r="L48" s="235" t="s">
        <v>485</v>
      </c>
      <c r="M48" s="235" t="s">
        <v>486</v>
      </c>
      <c r="N48" s="236" t="s">
        <v>487</v>
      </c>
      <c r="O48" s="237" t="s">
        <v>489</v>
      </c>
      <c r="P48" s="238" t="s">
        <v>4</v>
      </c>
    </row>
    <row r="49" spans="1:16" x14ac:dyDescent="0.25">
      <c r="A49">
        <v>2013</v>
      </c>
      <c r="B49" s="239">
        <v>0</v>
      </c>
      <c r="C49" s="240">
        <v>0</v>
      </c>
      <c r="D49" s="241">
        <v>1000000</v>
      </c>
      <c r="E49" s="242">
        <v>0.5</v>
      </c>
      <c r="F49" s="243">
        <f xml:space="preserve"> (C49) * E49</f>
        <v>0</v>
      </c>
      <c r="G49" s="244">
        <f>C49+D49+F49</f>
        <v>1000000</v>
      </c>
      <c r="H49" s="215"/>
      <c r="I49" s="239">
        <v>0</v>
      </c>
      <c r="J49" s="240">
        <v>1</v>
      </c>
      <c r="K49" s="241">
        <v>0</v>
      </c>
      <c r="L49" s="242">
        <v>3</v>
      </c>
      <c r="M49" s="240">
        <f xml:space="preserve"> (J49+K49) * L49</f>
        <v>3</v>
      </c>
      <c r="N49" s="245">
        <f>J49+K49+M49</f>
        <v>4</v>
      </c>
      <c r="O49">
        <v>2015</v>
      </c>
      <c r="P49" s="246">
        <f t="shared" ref="P49:P64" si="1">N49/10000000</f>
        <v>3.9999999999999998E-7</v>
      </c>
    </row>
    <row r="50" spans="1:16" x14ac:dyDescent="0.25">
      <c r="A50">
        <f>A49+1</f>
        <v>2014</v>
      </c>
      <c r="B50" s="239">
        <f>B49+1</f>
        <v>1</v>
      </c>
      <c r="C50" s="240">
        <f t="shared" ref="C50:C79" si="2">G49</f>
        <v>1000000</v>
      </c>
      <c r="D50" s="241">
        <v>1500000</v>
      </c>
      <c r="E50" s="242">
        <f>E49</f>
        <v>0.5</v>
      </c>
      <c r="F50" s="243">
        <f t="shared" ref="F50:F79" si="3" xml:space="preserve"> (C50) * E50</f>
        <v>500000</v>
      </c>
      <c r="G50" s="244">
        <f t="shared" ref="G50:G80" si="4">C50+D50+F50</f>
        <v>3000000</v>
      </c>
      <c r="H50" s="215"/>
      <c r="I50" s="239">
        <f>I49+1</f>
        <v>1</v>
      </c>
      <c r="J50" s="240">
        <f>N49</f>
        <v>4</v>
      </c>
      <c r="K50" s="241">
        <v>0</v>
      </c>
      <c r="L50" s="242">
        <v>2</v>
      </c>
      <c r="M50" s="240">
        <f t="shared" ref="M50:M80" si="5" xml:space="preserve"> (J50+K50) * L50</f>
        <v>8</v>
      </c>
      <c r="N50" s="245">
        <f t="shared" ref="N50:N80" si="6">J50+K50+M50</f>
        <v>12</v>
      </c>
      <c r="O50">
        <f t="shared" ref="O50:O64" si="7">O49+1</f>
        <v>2016</v>
      </c>
      <c r="P50" s="246">
        <f t="shared" si="1"/>
        <v>1.1999999999999999E-6</v>
      </c>
    </row>
    <row r="51" spans="1:16" x14ac:dyDescent="0.25">
      <c r="A51">
        <f t="shared" ref="A51:B66" si="8">A50+1</f>
        <v>2015</v>
      </c>
      <c r="B51" s="239">
        <f t="shared" si="8"/>
        <v>2</v>
      </c>
      <c r="C51" s="240">
        <f t="shared" si="2"/>
        <v>3000000</v>
      </c>
      <c r="D51" s="241">
        <v>2000000</v>
      </c>
      <c r="E51" s="242">
        <f>E50</f>
        <v>0.5</v>
      </c>
      <c r="F51" s="243">
        <f t="shared" si="3"/>
        <v>1500000</v>
      </c>
      <c r="G51" s="244">
        <f t="shared" si="4"/>
        <v>6500000</v>
      </c>
      <c r="H51" s="215"/>
      <c r="I51" s="239">
        <f t="shared" ref="I51:I79" si="9">I50+1</f>
        <v>2</v>
      </c>
      <c r="J51" s="240">
        <f t="shared" ref="J51:J80" si="10">N50</f>
        <v>12</v>
      </c>
      <c r="K51" s="241">
        <v>0</v>
      </c>
      <c r="L51" s="242">
        <v>0.8</v>
      </c>
      <c r="M51" s="240">
        <f t="shared" si="5"/>
        <v>9.6000000000000014</v>
      </c>
      <c r="N51" s="245">
        <f t="shared" si="6"/>
        <v>21.6</v>
      </c>
      <c r="O51">
        <f t="shared" si="7"/>
        <v>2017</v>
      </c>
      <c r="P51" s="246">
        <f t="shared" si="1"/>
        <v>2.1600000000000001E-6</v>
      </c>
    </row>
    <row r="52" spans="1:16" x14ac:dyDescent="0.25">
      <c r="A52">
        <f t="shared" si="8"/>
        <v>2016</v>
      </c>
      <c r="B52" s="239">
        <f t="shared" si="8"/>
        <v>3</v>
      </c>
      <c r="C52" s="240">
        <f t="shared" si="2"/>
        <v>6500000</v>
      </c>
      <c r="D52" s="241">
        <v>2500000</v>
      </c>
      <c r="E52" s="242">
        <f t="shared" ref="E52:E70" si="11">E51</f>
        <v>0.5</v>
      </c>
      <c r="F52" s="243">
        <f t="shared" si="3"/>
        <v>3250000</v>
      </c>
      <c r="G52" s="244">
        <f t="shared" si="4"/>
        <v>12250000</v>
      </c>
      <c r="H52" s="215"/>
      <c r="I52" s="239">
        <f t="shared" si="9"/>
        <v>3</v>
      </c>
      <c r="J52" s="240">
        <f t="shared" si="10"/>
        <v>21.6</v>
      </c>
      <c r="K52" s="241">
        <v>0</v>
      </c>
      <c r="L52" s="247">
        <v>0.4</v>
      </c>
      <c r="M52" s="240">
        <f t="shared" si="5"/>
        <v>8.64</v>
      </c>
      <c r="N52" s="245">
        <f t="shared" si="6"/>
        <v>30.240000000000002</v>
      </c>
      <c r="O52">
        <f t="shared" si="7"/>
        <v>2018</v>
      </c>
      <c r="P52" s="246">
        <f t="shared" si="1"/>
        <v>3.0240000000000002E-6</v>
      </c>
    </row>
    <row r="53" spans="1:16" x14ac:dyDescent="0.25">
      <c r="A53">
        <f t="shared" si="8"/>
        <v>2017</v>
      </c>
      <c r="B53" s="239">
        <f t="shared" si="8"/>
        <v>4</v>
      </c>
      <c r="C53" s="240">
        <f t="shared" si="2"/>
        <v>12250000</v>
      </c>
      <c r="D53" s="241">
        <v>3000000</v>
      </c>
      <c r="E53" s="242">
        <f t="shared" si="11"/>
        <v>0.5</v>
      </c>
      <c r="F53" s="243">
        <f t="shared" si="3"/>
        <v>6125000</v>
      </c>
      <c r="G53" s="244">
        <f t="shared" si="4"/>
        <v>21375000</v>
      </c>
      <c r="H53" s="215"/>
      <c r="I53" s="239">
        <f t="shared" si="9"/>
        <v>4</v>
      </c>
      <c r="J53" s="240">
        <f t="shared" si="10"/>
        <v>30.240000000000002</v>
      </c>
      <c r="K53" s="241">
        <v>0</v>
      </c>
      <c r="L53" s="247">
        <v>0.3</v>
      </c>
      <c r="M53" s="240">
        <f t="shared" si="5"/>
        <v>9.072000000000001</v>
      </c>
      <c r="N53" s="245">
        <f t="shared" si="6"/>
        <v>39.312000000000005</v>
      </c>
      <c r="O53">
        <f t="shared" si="7"/>
        <v>2019</v>
      </c>
      <c r="P53" s="246">
        <f t="shared" si="1"/>
        <v>3.9312000000000006E-6</v>
      </c>
    </row>
    <row r="54" spans="1:16" x14ac:dyDescent="0.25">
      <c r="A54">
        <f t="shared" si="8"/>
        <v>2018</v>
      </c>
      <c r="B54" s="239">
        <f t="shared" si="8"/>
        <v>5</v>
      </c>
      <c r="C54" s="240">
        <f t="shared" si="2"/>
        <v>21375000</v>
      </c>
      <c r="D54" s="241">
        <v>3500000</v>
      </c>
      <c r="E54" s="242">
        <f t="shared" si="11"/>
        <v>0.5</v>
      </c>
      <c r="F54" s="243">
        <f t="shared" si="3"/>
        <v>10687500</v>
      </c>
      <c r="G54" s="244">
        <f t="shared" si="4"/>
        <v>35562500</v>
      </c>
      <c r="H54" s="215"/>
      <c r="I54" s="239">
        <f t="shared" si="9"/>
        <v>5</v>
      </c>
      <c r="J54" s="240">
        <f t="shared" si="10"/>
        <v>39.312000000000005</v>
      </c>
      <c r="K54" s="241">
        <v>0</v>
      </c>
      <c r="L54" s="242">
        <v>0.2</v>
      </c>
      <c r="M54" s="240">
        <f t="shared" si="5"/>
        <v>7.8624000000000009</v>
      </c>
      <c r="N54" s="245">
        <f t="shared" si="6"/>
        <v>47.174400000000006</v>
      </c>
      <c r="O54">
        <f t="shared" si="7"/>
        <v>2020</v>
      </c>
      <c r="P54" s="246">
        <f t="shared" si="1"/>
        <v>4.7174400000000002E-6</v>
      </c>
    </row>
    <row r="55" spans="1:16" x14ac:dyDescent="0.25">
      <c r="A55">
        <f t="shared" si="8"/>
        <v>2019</v>
      </c>
      <c r="B55" s="239">
        <f t="shared" si="8"/>
        <v>6</v>
      </c>
      <c r="C55" s="240">
        <f t="shared" si="2"/>
        <v>35562500</v>
      </c>
      <c r="D55" s="241">
        <v>4000000</v>
      </c>
      <c r="E55" s="242">
        <f t="shared" si="11"/>
        <v>0.5</v>
      </c>
      <c r="F55" s="243">
        <f t="shared" si="3"/>
        <v>17781250</v>
      </c>
      <c r="G55" s="244">
        <f t="shared" si="4"/>
        <v>57343750</v>
      </c>
      <c r="H55" s="215"/>
      <c r="I55" s="239">
        <f t="shared" si="9"/>
        <v>6</v>
      </c>
      <c r="J55" s="240">
        <f t="shared" si="10"/>
        <v>47.174400000000006</v>
      </c>
      <c r="K55" s="241">
        <v>0</v>
      </c>
      <c r="L55" s="242">
        <f t="shared" ref="L55:L67" si="12">L54</f>
        <v>0.2</v>
      </c>
      <c r="M55" s="240">
        <f t="shared" si="5"/>
        <v>9.4348800000000015</v>
      </c>
      <c r="N55" s="245">
        <f t="shared" si="6"/>
        <v>56.609280000000005</v>
      </c>
      <c r="O55">
        <f t="shared" si="7"/>
        <v>2021</v>
      </c>
      <c r="P55" s="246">
        <f t="shared" si="1"/>
        <v>5.6609280000000002E-6</v>
      </c>
    </row>
    <row r="56" spans="1:16" x14ac:dyDescent="0.25">
      <c r="A56">
        <f t="shared" si="8"/>
        <v>2020</v>
      </c>
      <c r="B56" s="239">
        <f t="shared" si="8"/>
        <v>7</v>
      </c>
      <c r="C56" s="240">
        <f t="shared" si="2"/>
        <v>57343750</v>
      </c>
      <c r="D56" s="241">
        <v>5000000</v>
      </c>
      <c r="E56" s="242">
        <f t="shared" si="11"/>
        <v>0.5</v>
      </c>
      <c r="F56" s="243">
        <f t="shared" si="3"/>
        <v>28671875</v>
      </c>
      <c r="G56" s="244">
        <f t="shared" si="4"/>
        <v>91015625</v>
      </c>
      <c r="H56" s="215">
        <f>G56/10000000</f>
        <v>9.1015625</v>
      </c>
      <c r="I56" s="239">
        <f t="shared" si="9"/>
        <v>7</v>
      </c>
      <c r="J56" s="240">
        <f t="shared" si="10"/>
        <v>56.609280000000005</v>
      </c>
      <c r="K56" s="241">
        <v>0</v>
      </c>
      <c r="L56" s="242">
        <f t="shared" si="12"/>
        <v>0.2</v>
      </c>
      <c r="M56" s="240">
        <f t="shared" si="5"/>
        <v>11.321856000000002</v>
      </c>
      <c r="N56" s="245">
        <f t="shared" si="6"/>
        <v>67.931136000000009</v>
      </c>
      <c r="O56">
        <f t="shared" si="7"/>
        <v>2022</v>
      </c>
      <c r="P56" s="246">
        <f t="shared" si="1"/>
        <v>6.7931136000000013E-6</v>
      </c>
    </row>
    <row r="57" spans="1:16" x14ac:dyDescent="0.25">
      <c r="A57">
        <f t="shared" si="8"/>
        <v>2021</v>
      </c>
      <c r="B57" s="239">
        <f t="shared" si="8"/>
        <v>8</v>
      </c>
      <c r="C57" s="240">
        <f t="shared" si="2"/>
        <v>91015625</v>
      </c>
      <c r="D57" s="241">
        <v>0</v>
      </c>
      <c r="E57" s="242">
        <f t="shared" si="11"/>
        <v>0.5</v>
      </c>
      <c r="F57" s="243">
        <f t="shared" si="3"/>
        <v>45507812.5</v>
      </c>
      <c r="G57" s="244">
        <f t="shared" si="4"/>
        <v>136523437.5</v>
      </c>
      <c r="H57" s="215"/>
      <c r="I57" s="239">
        <f t="shared" si="9"/>
        <v>8</v>
      </c>
      <c r="J57" s="240">
        <f t="shared" si="10"/>
        <v>67.931136000000009</v>
      </c>
      <c r="K57" s="241">
        <v>0</v>
      </c>
      <c r="L57" s="242">
        <f t="shared" si="12"/>
        <v>0.2</v>
      </c>
      <c r="M57" s="240">
        <f t="shared" si="5"/>
        <v>13.586227200000003</v>
      </c>
      <c r="N57" s="245">
        <f t="shared" si="6"/>
        <v>81.517363200000005</v>
      </c>
      <c r="O57">
        <f t="shared" si="7"/>
        <v>2023</v>
      </c>
      <c r="P57" s="246">
        <f t="shared" si="1"/>
        <v>8.1517363199999998E-6</v>
      </c>
    </row>
    <row r="58" spans="1:16" x14ac:dyDescent="0.25">
      <c r="A58">
        <f t="shared" si="8"/>
        <v>2022</v>
      </c>
      <c r="B58" s="239">
        <f t="shared" si="8"/>
        <v>9</v>
      </c>
      <c r="C58" s="240">
        <f t="shared" si="2"/>
        <v>136523437.5</v>
      </c>
      <c r="D58" s="241">
        <v>0</v>
      </c>
      <c r="E58" s="242">
        <f t="shared" si="11"/>
        <v>0.5</v>
      </c>
      <c r="F58" s="243">
        <f t="shared" si="3"/>
        <v>68261718.75</v>
      </c>
      <c r="G58" s="244">
        <f t="shared" si="4"/>
        <v>204785156.25</v>
      </c>
      <c r="H58" s="215"/>
      <c r="I58" s="239">
        <f t="shared" si="9"/>
        <v>9</v>
      </c>
      <c r="J58" s="240">
        <f t="shared" si="10"/>
        <v>81.517363200000005</v>
      </c>
      <c r="K58" s="241">
        <v>0</v>
      </c>
      <c r="L58" s="242">
        <f t="shared" si="12"/>
        <v>0.2</v>
      </c>
      <c r="M58" s="240">
        <f t="shared" si="5"/>
        <v>16.303472640000003</v>
      </c>
      <c r="N58" s="245">
        <f t="shared" si="6"/>
        <v>97.820835840000001</v>
      </c>
      <c r="O58">
        <f t="shared" si="7"/>
        <v>2024</v>
      </c>
      <c r="P58" s="246">
        <f t="shared" si="1"/>
        <v>9.7820835840000005E-6</v>
      </c>
    </row>
    <row r="59" spans="1:16" x14ac:dyDescent="0.25">
      <c r="A59">
        <f t="shared" si="8"/>
        <v>2023</v>
      </c>
      <c r="B59" s="239">
        <f t="shared" si="8"/>
        <v>10</v>
      </c>
      <c r="C59" s="240">
        <f t="shared" si="2"/>
        <v>204785156.25</v>
      </c>
      <c r="D59" s="241">
        <v>0</v>
      </c>
      <c r="E59" s="242">
        <f t="shared" si="11"/>
        <v>0.5</v>
      </c>
      <c r="F59" s="243">
        <f t="shared" si="3"/>
        <v>102392578.125</v>
      </c>
      <c r="G59" s="244">
        <f t="shared" si="4"/>
        <v>307177734.375</v>
      </c>
      <c r="H59" s="215"/>
      <c r="I59" s="239">
        <f t="shared" si="9"/>
        <v>10</v>
      </c>
      <c r="J59" s="240">
        <f t="shared" si="10"/>
        <v>97.820835840000001</v>
      </c>
      <c r="K59" s="241">
        <v>0</v>
      </c>
      <c r="L59" s="242">
        <f t="shared" si="12"/>
        <v>0.2</v>
      </c>
      <c r="M59" s="240">
        <f t="shared" si="5"/>
        <v>19.564167168000001</v>
      </c>
      <c r="N59" s="245">
        <f t="shared" si="6"/>
        <v>117.385003008</v>
      </c>
      <c r="O59">
        <f t="shared" si="7"/>
        <v>2025</v>
      </c>
      <c r="P59" s="246">
        <f t="shared" si="1"/>
        <v>1.17385003008E-5</v>
      </c>
    </row>
    <row r="60" spans="1:16" x14ac:dyDescent="0.25">
      <c r="A60">
        <f t="shared" si="8"/>
        <v>2024</v>
      </c>
      <c r="B60" s="239">
        <f t="shared" si="8"/>
        <v>11</v>
      </c>
      <c r="C60" s="240">
        <f t="shared" si="2"/>
        <v>307177734.375</v>
      </c>
      <c r="D60" s="241">
        <v>0</v>
      </c>
      <c r="E60" s="242">
        <f t="shared" si="11"/>
        <v>0.5</v>
      </c>
      <c r="F60" s="243">
        <f t="shared" si="3"/>
        <v>153588867.1875</v>
      </c>
      <c r="G60" s="244">
        <f t="shared" si="4"/>
        <v>460766601.5625</v>
      </c>
      <c r="H60" s="215"/>
      <c r="I60" s="239">
        <f t="shared" si="9"/>
        <v>11</v>
      </c>
      <c r="J60" s="240">
        <f t="shared" si="10"/>
        <v>117.385003008</v>
      </c>
      <c r="K60" s="241">
        <v>0</v>
      </c>
      <c r="L60" s="242">
        <f t="shared" si="12"/>
        <v>0.2</v>
      </c>
      <c r="M60" s="240">
        <f t="shared" si="5"/>
        <v>23.4770006016</v>
      </c>
      <c r="N60" s="245">
        <f t="shared" si="6"/>
        <v>140.86200360960001</v>
      </c>
      <c r="O60">
        <f t="shared" si="7"/>
        <v>2026</v>
      </c>
      <c r="P60" s="246">
        <f t="shared" si="1"/>
        <v>1.4086200360960001E-5</v>
      </c>
    </row>
    <row r="61" spans="1:16" x14ac:dyDescent="0.25">
      <c r="A61">
        <f t="shared" si="8"/>
        <v>2025</v>
      </c>
      <c r="B61" s="239">
        <f t="shared" si="8"/>
        <v>12</v>
      </c>
      <c r="C61" s="240">
        <f t="shared" si="2"/>
        <v>460766601.5625</v>
      </c>
      <c r="D61" s="241">
        <v>0</v>
      </c>
      <c r="E61" s="242">
        <f t="shared" si="11"/>
        <v>0.5</v>
      </c>
      <c r="F61" s="243">
        <f t="shared" si="3"/>
        <v>230383300.78125</v>
      </c>
      <c r="G61" s="244">
        <f t="shared" si="4"/>
        <v>691149902.34375</v>
      </c>
      <c r="H61" s="215"/>
      <c r="I61" s="239">
        <f t="shared" si="9"/>
        <v>12</v>
      </c>
      <c r="J61" s="240">
        <f t="shared" si="10"/>
        <v>140.86200360960001</v>
      </c>
      <c r="K61" s="241">
        <v>0</v>
      </c>
      <c r="L61" s="242">
        <f t="shared" si="12"/>
        <v>0.2</v>
      </c>
      <c r="M61" s="240">
        <f t="shared" si="5"/>
        <v>28.172400721920003</v>
      </c>
      <c r="N61" s="245">
        <f t="shared" si="6"/>
        <v>169.03440433152002</v>
      </c>
      <c r="O61">
        <f t="shared" si="7"/>
        <v>2027</v>
      </c>
      <c r="P61" s="246">
        <f t="shared" si="1"/>
        <v>1.6903440433152003E-5</v>
      </c>
    </row>
    <row r="62" spans="1:16" x14ac:dyDescent="0.25">
      <c r="A62">
        <f t="shared" si="8"/>
        <v>2026</v>
      </c>
      <c r="B62" s="239">
        <f t="shared" si="8"/>
        <v>13</v>
      </c>
      <c r="C62" s="240">
        <f t="shared" si="2"/>
        <v>691149902.34375</v>
      </c>
      <c r="D62" s="241">
        <v>0</v>
      </c>
      <c r="E62" s="242">
        <f t="shared" si="11"/>
        <v>0.5</v>
      </c>
      <c r="F62" s="243">
        <f t="shared" si="3"/>
        <v>345574951.171875</v>
      </c>
      <c r="G62" s="244">
        <f t="shared" si="4"/>
        <v>1036724853.515625</v>
      </c>
      <c r="H62" s="215"/>
      <c r="I62" s="239">
        <f t="shared" si="9"/>
        <v>13</v>
      </c>
      <c r="J62" s="240">
        <f t="shared" si="10"/>
        <v>169.03440433152002</v>
      </c>
      <c r="K62" s="241">
        <v>0</v>
      </c>
      <c r="L62" s="242">
        <f t="shared" si="12"/>
        <v>0.2</v>
      </c>
      <c r="M62" s="240">
        <f t="shared" si="5"/>
        <v>33.806880866304006</v>
      </c>
      <c r="N62" s="245">
        <f t="shared" si="6"/>
        <v>202.84128519782402</v>
      </c>
      <c r="O62">
        <f t="shared" si="7"/>
        <v>2028</v>
      </c>
      <c r="P62" s="246">
        <f t="shared" si="1"/>
        <v>2.0284128519782403E-5</v>
      </c>
    </row>
    <row r="63" spans="1:16" x14ac:dyDescent="0.25">
      <c r="A63">
        <f t="shared" si="8"/>
        <v>2027</v>
      </c>
      <c r="B63" s="239">
        <f t="shared" si="8"/>
        <v>14</v>
      </c>
      <c r="C63" s="240">
        <f t="shared" si="2"/>
        <v>1036724853.515625</v>
      </c>
      <c r="D63" s="241">
        <v>0</v>
      </c>
      <c r="E63" s="242">
        <f t="shared" si="11"/>
        <v>0.5</v>
      </c>
      <c r="F63" s="243">
        <f t="shared" si="3"/>
        <v>518362426.7578125</v>
      </c>
      <c r="G63" s="244">
        <f t="shared" si="4"/>
        <v>1555087280.2734375</v>
      </c>
      <c r="H63" s="215"/>
      <c r="I63" s="239">
        <f t="shared" si="9"/>
        <v>14</v>
      </c>
      <c r="J63" s="240">
        <f t="shared" si="10"/>
        <v>202.84128519782402</v>
      </c>
      <c r="K63" s="241">
        <v>0</v>
      </c>
      <c r="L63" s="242">
        <f t="shared" si="12"/>
        <v>0.2</v>
      </c>
      <c r="M63" s="240">
        <f t="shared" si="5"/>
        <v>40.568257039564806</v>
      </c>
      <c r="N63" s="245">
        <f t="shared" si="6"/>
        <v>243.40954223738882</v>
      </c>
      <c r="O63">
        <f t="shared" si="7"/>
        <v>2029</v>
      </c>
      <c r="P63" s="246">
        <f t="shared" si="1"/>
        <v>2.4340954223738881E-5</v>
      </c>
    </row>
    <row r="64" spans="1:16" x14ac:dyDescent="0.25">
      <c r="A64">
        <f t="shared" si="8"/>
        <v>2028</v>
      </c>
      <c r="B64" s="239">
        <f t="shared" si="8"/>
        <v>15</v>
      </c>
      <c r="C64" s="240">
        <f t="shared" si="2"/>
        <v>1555087280.2734375</v>
      </c>
      <c r="D64" s="241">
        <v>0</v>
      </c>
      <c r="E64" s="242">
        <f t="shared" si="11"/>
        <v>0.5</v>
      </c>
      <c r="F64" s="243">
        <f t="shared" si="3"/>
        <v>777543640.13671875</v>
      </c>
      <c r="G64" s="244">
        <f t="shared" si="4"/>
        <v>2332630920.4101563</v>
      </c>
      <c r="H64" s="215"/>
      <c r="I64" s="239">
        <f t="shared" si="9"/>
        <v>15</v>
      </c>
      <c r="J64" s="240">
        <f t="shared" si="10"/>
        <v>243.40954223738882</v>
      </c>
      <c r="K64" s="241">
        <v>0</v>
      </c>
      <c r="L64" s="242">
        <f t="shared" si="12"/>
        <v>0.2</v>
      </c>
      <c r="M64" s="240">
        <f t="shared" si="5"/>
        <v>48.681908447477767</v>
      </c>
      <c r="N64" s="245">
        <f t="shared" si="6"/>
        <v>292.09145068486657</v>
      </c>
      <c r="O64">
        <f t="shared" si="7"/>
        <v>2030</v>
      </c>
      <c r="P64" s="246">
        <f t="shared" si="1"/>
        <v>2.9209145068486657E-5</v>
      </c>
    </row>
    <row r="65" spans="1:14" x14ac:dyDescent="0.25">
      <c r="A65">
        <f t="shared" si="8"/>
        <v>2029</v>
      </c>
      <c r="B65" s="239">
        <f t="shared" si="8"/>
        <v>16</v>
      </c>
      <c r="C65" s="240">
        <f t="shared" si="2"/>
        <v>2332630920.4101563</v>
      </c>
      <c r="D65" s="241">
        <v>0</v>
      </c>
      <c r="E65" s="242">
        <f t="shared" si="11"/>
        <v>0.5</v>
      </c>
      <c r="F65" s="243">
        <f t="shared" si="3"/>
        <v>1166315460.2050781</v>
      </c>
      <c r="G65" s="244">
        <f t="shared" si="4"/>
        <v>3498946380.6152344</v>
      </c>
      <c r="H65" s="215"/>
      <c r="I65" s="239">
        <f t="shared" si="9"/>
        <v>16</v>
      </c>
      <c r="J65" s="240">
        <f t="shared" si="10"/>
        <v>292.09145068486657</v>
      </c>
      <c r="K65" s="241">
        <v>0</v>
      </c>
      <c r="L65" s="242">
        <f t="shared" si="12"/>
        <v>0.2</v>
      </c>
      <c r="M65" s="240">
        <f t="shared" si="5"/>
        <v>58.418290136973319</v>
      </c>
      <c r="N65" s="245">
        <f t="shared" si="6"/>
        <v>350.5097408218399</v>
      </c>
    </row>
    <row r="66" spans="1:14" x14ac:dyDescent="0.25">
      <c r="A66" s="248">
        <f t="shared" si="8"/>
        <v>2030</v>
      </c>
      <c r="B66" s="239">
        <f t="shared" si="8"/>
        <v>17</v>
      </c>
      <c r="C66" s="240">
        <f t="shared" si="2"/>
        <v>3498946380.6152344</v>
      </c>
      <c r="D66" s="241">
        <v>0</v>
      </c>
      <c r="E66" s="242">
        <f t="shared" si="11"/>
        <v>0.5</v>
      </c>
      <c r="F66" s="243">
        <f t="shared" si="3"/>
        <v>1749473190.3076172</v>
      </c>
      <c r="G66" s="249">
        <f t="shared" si="4"/>
        <v>5248419570.9228516</v>
      </c>
      <c r="H66" s="215">
        <f>G66/10000000</f>
        <v>524.84195709228516</v>
      </c>
      <c r="I66" s="239">
        <f t="shared" si="9"/>
        <v>17</v>
      </c>
      <c r="J66" s="240">
        <f t="shared" si="10"/>
        <v>350.5097408218399</v>
      </c>
      <c r="K66" s="241">
        <v>0</v>
      </c>
      <c r="L66" s="242">
        <f t="shared" si="12"/>
        <v>0.2</v>
      </c>
      <c r="M66" s="240">
        <f t="shared" si="5"/>
        <v>70.101948164367982</v>
      </c>
      <c r="N66" s="245">
        <f t="shared" si="6"/>
        <v>420.61168898620787</v>
      </c>
    </row>
    <row r="67" spans="1:14" x14ac:dyDescent="0.25">
      <c r="A67">
        <f t="shared" ref="A67:B79" si="13">A66+1</f>
        <v>2031</v>
      </c>
      <c r="B67" s="239">
        <f t="shared" si="13"/>
        <v>18</v>
      </c>
      <c r="C67" s="240">
        <f t="shared" si="2"/>
        <v>5248419570.9228516</v>
      </c>
      <c r="D67" s="241">
        <v>0</v>
      </c>
      <c r="E67" s="242">
        <v>0</v>
      </c>
      <c r="F67" s="243">
        <f t="shared" si="3"/>
        <v>0</v>
      </c>
      <c r="G67" s="244">
        <f t="shared" si="4"/>
        <v>5248419570.9228516</v>
      </c>
      <c r="H67" s="250"/>
      <c r="I67" s="239">
        <f t="shared" si="9"/>
        <v>18</v>
      </c>
      <c r="J67" s="240">
        <f t="shared" si="10"/>
        <v>420.61168898620787</v>
      </c>
      <c r="K67" s="241">
        <v>0</v>
      </c>
      <c r="L67" s="242">
        <f t="shared" si="12"/>
        <v>0.2</v>
      </c>
      <c r="M67" s="240">
        <f t="shared" si="5"/>
        <v>84.122337797241585</v>
      </c>
      <c r="N67" s="245">
        <f t="shared" si="6"/>
        <v>504.73402678344945</v>
      </c>
    </row>
    <row r="68" spans="1:14" x14ac:dyDescent="0.25">
      <c r="B68" s="239">
        <f t="shared" si="13"/>
        <v>19</v>
      </c>
      <c r="C68" s="240">
        <f t="shared" si="2"/>
        <v>5248419570.9228516</v>
      </c>
      <c r="D68" s="241">
        <v>0</v>
      </c>
      <c r="E68" s="242">
        <v>0</v>
      </c>
      <c r="F68" s="243">
        <f t="shared" si="3"/>
        <v>0</v>
      </c>
      <c r="G68" s="244">
        <f t="shared" si="4"/>
        <v>5248419570.9228516</v>
      </c>
      <c r="H68" s="251" t="e">
        <f>H49/C49</f>
        <v>#DIV/0!</v>
      </c>
      <c r="I68" s="239">
        <f t="shared" si="9"/>
        <v>19</v>
      </c>
      <c r="J68" s="240">
        <f t="shared" si="10"/>
        <v>504.73402678344945</v>
      </c>
      <c r="K68" s="241"/>
      <c r="L68" s="242"/>
      <c r="M68" s="240">
        <f t="shared" si="5"/>
        <v>0</v>
      </c>
      <c r="N68" s="245">
        <f t="shared" si="6"/>
        <v>504.73402678344945</v>
      </c>
    </row>
    <row r="69" spans="1:14" x14ac:dyDescent="0.25">
      <c r="B69" s="239">
        <f t="shared" si="13"/>
        <v>20</v>
      </c>
      <c r="C69" s="240">
        <f t="shared" si="2"/>
        <v>5248419570.9228516</v>
      </c>
      <c r="D69" s="241">
        <v>0</v>
      </c>
      <c r="E69" s="242">
        <f t="shared" si="11"/>
        <v>0</v>
      </c>
      <c r="F69" s="243">
        <f t="shared" si="3"/>
        <v>0</v>
      </c>
      <c r="G69" s="244">
        <f t="shared" si="4"/>
        <v>5248419570.9228516</v>
      </c>
      <c r="H69" s="251">
        <f t="shared" ref="H69:H88" si="14">H50/C50</f>
        <v>0</v>
      </c>
      <c r="I69" s="239">
        <f t="shared" si="9"/>
        <v>20</v>
      </c>
      <c r="J69" s="240">
        <f t="shared" si="10"/>
        <v>504.73402678344945</v>
      </c>
      <c r="K69" s="241"/>
      <c r="L69" s="242"/>
      <c r="M69" s="240">
        <f t="shared" si="5"/>
        <v>0</v>
      </c>
      <c r="N69" s="245">
        <f t="shared" si="6"/>
        <v>504.73402678344945</v>
      </c>
    </row>
    <row r="70" spans="1:14" x14ac:dyDescent="0.25">
      <c r="B70" s="239">
        <f t="shared" si="13"/>
        <v>21</v>
      </c>
      <c r="C70" s="240">
        <f t="shared" si="2"/>
        <v>5248419570.9228516</v>
      </c>
      <c r="D70" s="241"/>
      <c r="E70" s="242">
        <f t="shared" si="11"/>
        <v>0</v>
      </c>
      <c r="F70" s="243">
        <f t="shared" si="3"/>
        <v>0</v>
      </c>
      <c r="G70" s="244">
        <f t="shared" si="4"/>
        <v>5248419570.9228516</v>
      </c>
      <c r="H70" s="251">
        <f t="shared" si="14"/>
        <v>0</v>
      </c>
      <c r="I70" s="239">
        <f t="shared" si="9"/>
        <v>21</v>
      </c>
      <c r="J70" s="240">
        <f t="shared" si="10"/>
        <v>504.73402678344945</v>
      </c>
      <c r="K70" s="241"/>
      <c r="L70" s="242"/>
      <c r="M70" s="240">
        <f t="shared" si="5"/>
        <v>0</v>
      </c>
      <c r="N70" s="245">
        <f t="shared" si="6"/>
        <v>504.73402678344945</v>
      </c>
    </row>
    <row r="71" spans="1:14" x14ac:dyDescent="0.25">
      <c r="B71" s="239">
        <f t="shared" si="13"/>
        <v>22</v>
      </c>
      <c r="C71" s="240">
        <f t="shared" si="2"/>
        <v>5248419570.9228516</v>
      </c>
      <c r="D71" s="241"/>
      <c r="E71" s="242"/>
      <c r="F71" s="243">
        <f t="shared" si="3"/>
        <v>0</v>
      </c>
      <c r="G71" s="244">
        <f t="shared" si="4"/>
        <v>5248419570.9228516</v>
      </c>
      <c r="H71" s="251">
        <f t="shared" si="14"/>
        <v>0</v>
      </c>
      <c r="I71" s="239">
        <f t="shared" si="9"/>
        <v>22</v>
      </c>
      <c r="J71" s="240">
        <f t="shared" si="10"/>
        <v>504.73402678344945</v>
      </c>
      <c r="K71" s="241"/>
      <c r="L71" s="242"/>
      <c r="M71" s="240">
        <f t="shared" si="5"/>
        <v>0</v>
      </c>
      <c r="N71" s="245">
        <f t="shared" si="6"/>
        <v>504.73402678344945</v>
      </c>
    </row>
    <row r="72" spans="1:14" x14ac:dyDescent="0.25">
      <c r="B72" s="239">
        <f t="shared" si="13"/>
        <v>23</v>
      </c>
      <c r="C72" s="240">
        <f t="shared" si="2"/>
        <v>5248419570.9228516</v>
      </c>
      <c r="D72" s="241"/>
      <c r="E72" s="242"/>
      <c r="F72" s="243">
        <f t="shared" si="3"/>
        <v>0</v>
      </c>
      <c r="G72" s="244">
        <f t="shared" si="4"/>
        <v>5248419570.9228516</v>
      </c>
      <c r="H72" s="251">
        <f t="shared" si="14"/>
        <v>0</v>
      </c>
      <c r="I72" s="239">
        <f t="shared" si="9"/>
        <v>23</v>
      </c>
      <c r="J72" s="240">
        <f t="shared" si="10"/>
        <v>504.73402678344945</v>
      </c>
      <c r="K72" s="241"/>
      <c r="L72" s="242"/>
      <c r="M72" s="240">
        <f t="shared" si="5"/>
        <v>0</v>
      </c>
      <c r="N72" s="245">
        <f t="shared" si="6"/>
        <v>504.73402678344945</v>
      </c>
    </row>
    <row r="73" spans="1:14" x14ac:dyDescent="0.25">
      <c r="B73" s="239">
        <f t="shared" si="13"/>
        <v>24</v>
      </c>
      <c r="C73" s="240">
        <f t="shared" si="2"/>
        <v>5248419570.9228516</v>
      </c>
      <c r="D73" s="241"/>
      <c r="E73" s="242"/>
      <c r="F73" s="243">
        <f t="shared" si="3"/>
        <v>0</v>
      </c>
      <c r="G73" s="244">
        <f t="shared" si="4"/>
        <v>5248419570.9228516</v>
      </c>
      <c r="H73" s="251">
        <f t="shared" si="14"/>
        <v>0</v>
      </c>
      <c r="I73" s="239">
        <f t="shared" si="9"/>
        <v>24</v>
      </c>
      <c r="J73" s="240">
        <f t="shared" si="10"/>
        <v>504.73402678344945</v>
      </c>
      <c r="K73" s="241"/>
      <c r="L73" s="242"/>
      <c r="M73" s="240">
        <f t="shared" si="5"/>
        <v>0</v>
      </c>
      <c r="N73" s="245">
        <f t="shared" si="6"/>
        <v>504.73402678344945</v>
      </c>
    </row>
    <row r="74" spans="1:14" x14ac:dyDescent="0.25">
      <c r="B74" s="239">
        <f t="shared" si="13"/>
        <v>25</v>
      </c>
      <c r="C74" s="240">
        <f t="shared" si="2"/>
        <v>5248419570.9228516</v>
      </c>
      <c r="D74" s="241"/>
      <c r="E74" s="242"/>
      <c r="F74" s="243">
        <f t="shared" si="3"/>
        <v>0</v>
      </c>
      <c r="G74" s="244">
        <f t="shared" si="4"/>
        <v>5248419570.9228516</v>
      </c>
      <c r="H74" s="251">
        <f t="shared" si="14"/>
        <v>0</v>
      </c>
      <c r="I74" s="239">
        <f t="shared" si="9"/>
        <v>25</v>
      </c>
      <c r="J74" s="240">
        <f t="shared" si="10"/>
        <v>504.73402678344945</v>
      </c>
      <c r="K74" s="241"/>
      <c r="L74" s="242"/>
      <c r="M74" s="240">
        <f t="shared" si="5"/>
        <v>0</v>
      </c>
      <c r="N74" s="245">
        <f t="shared" si="6"/>
        <v>504.73402678344945</v>
      </c>
    </row>
    <row r="75" spans="1:14" x14ac:dyDescent="0.25">
      <c r="B75" s="239">
        <f t="shared" si="13"/>
        <v>26</v>
      </c>
      <c r="C75" s="240">
        <f t="shared" si="2"/>
        <v>5248419570.9228516</v>
      </c>
      <c r="D75" s="241"/>
      <c r="E75" s="242"/>
      <c r="F75" s="243">
        <f t="shared" si="3"/>
        <v>0</v>
      </c>
      <c r="G75" s="244">
        <f t="shared" si="4"/>
        <v>5248419570.9228516</v>
      </c>
      <c r="H75" s="251">
        <f t="shared" si="14"/>
        <v>1.5871934604904632E-7</v>
      </c>
      <c r="I75" s="239">
        <f t="shared" si="9"/>
        <v>26</v>
      </c>
      <c r="J75" s="240">
        <f t="shared" si="10"/>
        <v>504.73402678344945</v>
      </c>
      <c r="K75" s="241"/>
      <c r="L75" s="242"/>
      <c r="M75" s="240">
        <f t="shared" si="5"/>
        <v>0</v>
      </c>
      <c r="N75" s="245">
        <f t="shared" si="6"/>
        <v>504.73402678344945</v>
      </c>
    </row>
    <row r="76" spans="1:14" x14ac:dyDescent="0.25">
      <c r="B76" s="239">
        <f t="shared" si="13"/>
        <v>27</v>
      </c>
      <c r="C76" s="240">
        <f t="shared" si="2"/>
        <v>5248419570.9228516</v>
      </c>
      <c r="D76" s="241"/>
      <c r="E76" s="242"/>
      <c r="F76" s="243">
        <f t="shared" si="3"/>
        <v>0</v>
      </c>
      <c r="G76" s="244">
        <f t="shared" si="4"/>
        <v>5248419570.9228516</v>
      </c>
      <c r="H76" s="251">
        <f t="shared" si="14"/>
        <v>0</v>
      </c>
      <c r="I76" s="239">
        <f t="shared" si="9"/>
        <v>27</v>
      </c>
      <c r="J76" s="240">
        <f t="shared" si="10"/>
        <v>504.73402678344945</v>
      </c>
      <c r="K76" s="241"/>
      <c r="L76" s="242"/>
      <c r="M76" s="240">
        <f t="shared" si="5"/>
        <v>0</v>
      </c>
      <c r="N76" s="245">
        <f t="shared" si="6"/>
        <v>504.73402678344945</v>
      </c>
    </row>
    <row r="77" spans="1:14" x14ac:dyDescent="0.25">
      <c r="B77" s="239">
        <f t="shared" si="13"/>
        <v>28</v>
      </c>
      <c r="C77" s="240">
        <f t="shared" si="2"/>
        <v>5248419570.9228516</v>
      </c>
      <c r="D77" s="241"/>
      <c r="E77" s="242"/>
      <c r="F77" s="243">
        <f t="shared" si="3"/>
        <v>0</v>
      </c>
      <c r="G77" s="244">
        <f t="shared" si="4"/>
        <v>5248419570.9228516</v>
      </c>
      <c r="H77" s="251">
        <f t="shared" si="14"/>
        <v>0</v>
      </c>
      <c r="I77" s="239">
        <f t="shared" si="9"/>
        <v>28</v>
      </c>
      <c r="J77" s="240">
        <f t="shared" si="10"/>
        <v>504.73402678344945</v>
      </c>
      <c r="K77" s="241"/>
      <c r="L77" s="242"/>
      <c r="M77" s="240">
        <f t="shared" si="5"/>
        <v>0</v>
      </c>
      <c r="N77" s="245">
        <f t="shared" si="6"/>
        <v>504.73402678344945</v>
      </c>
    </row>
    <row r="78" spans="1:14" x14ac:dyDescent="0.25">
      <c r="B78" s="239">
        <f t="shared" si="13"/>
        <v>29</v>
      </c>
      <c r="C78" s="240">
        <f t="shared" si="2"/>
        <v>5248419570.9228516</v>
      </c>
      <c r="D78" s="241"/>
      <c r="E78" s="242"/>
      <c r="F78" s="243">
        <f t="shared" si="3"/>
        <v>0</v>
      </c>
      <c r="G78" s="244">
        <f t="shared" si="4"/>
        <v>5248419570.9228516</v>
      </c>
      <c r="H78" s="251">
        <f t="shared" si="14"/>
        <v>0</v>
      </c>
      <c r="I78" s="239">
        <f t="shared" si="9"/>
        <v>29</v>
      </c>
      <c r="J78" s="240">
        <f t="shared" si="10"/>
        <v>504.73402678344945</v>
      </c>
      <c r="K78" s="241"/>
      <c r="L78" s="242"/>
      <c r="M78" s="240">
        <f t="shared" si="5"/>
        <v>0</v>
      </c>
      <c r="N78" s="245">
        <f t="shared" si="6"/>
        <v>504.73402678344945</v>
      </c>
    </row>
    <row r="79" spans="1:14" x14ac:dyDescent="0.25">
      <c r="B79" s="239">
        <f t="shared" si="13"/>
        <v>30</v>
      </c>
      <c r="C79" s="240">
        <f t="shared" si="2"/>
        <v>5248419570.9228516</v>
      </c>
      <c r="D79" s="241"/>
      <c r="E79" s="242"/>
      <c r="F79" s="243">
        <f t="shared" si="3"/>
        <v>0</v>
      </c>
      <c r="G79" s="244">
        <f t="shared" si="4"/>
        <v>5248419570.9228516</v>
      </c>
      <c r="H79" s="251">
        <f t="shared" si="14"/>
        <v>0</v>
      </c>
      <c r="I79" s="239">
        <f t="shared" si="9"/>
        <v>30</v>
      </c>
      <c r="J79" s="240">
        <f t="shared" si="10"/>
        <v>504.73402678344945</v>
      </c>
      <c r="K79" s="241"/>
      <c r="L79" s="242"/>
      <c r="M79" s="240">
        <f t="shared" si="5"/>
        <v>0</v>
      </c>
      <c r="N79" s="245">
        <f t="shared" si="6"/>
        <v>504.73402678344945</v>
      </c>
    </row>
    <row r="80" spans="1:14" ht="15.75" thickBot="1" x14ac:dyDescent="0.3">
      <c r="B80" s="239"/>
      <c r="C80" s="252"/>
      <c r="D80" s="241"/>
      <c r="E80" s="242"/>
      <c r="F80" s="252"/>
      <c r="G80" s="244">
        <f t="shared" si="4"/>
        <v>0</v>
      </c>
      <c r="H80" s="251">
        <f t="shared" si="14"/>
        <v>0</v>
      </c>
      <c r="I80" s="239"/>
      <c r="J80" s="240">
        <f t="shared" si="10"/>
        <v>504.73402678344945</v>
      </c>
      <c r="K80" s="241"/>
      <c r="L80" s="242"/>
      <c r="M80" s="240">
        <f t="shared" si="5"/>
        <v>0</v>
      </c>
      <c r="N80" s="245">
        <f t="shared" si="6"/>
        <v>504.73402678344945</v>
      </c>
    </row>
    <row r="81" spans="2:14" ht="15.75" thickBot="1" x14ac:dyDescent="0.3">
      <c r="B81" s="299" t="s">
        <v>490</v>
      </c>
      <c r="C81" s="300"/>
      <c r="D81" s="253">
        <f>SUM(D48:D80)</f>
        <v>22500000</v>
      </c>
      <c r="E81" s="254"/>
      <c r="F81" s="254"/>
      <c r="G81" s="255">
        <f>G78</f>
        <v>5248419570.9228516</v>
      </c>
      <c r="H81" s="251">
        <f t="shared" si="14"/>
        <v>0</v>
      </c>
      <c r="I81" s="299" t="s">
        <v>490</v>
      </c>
      <c r="J81" s="300"/>
      <c r="K81" s="256">
        <f>SUM(K48:K80)</f>
        <v>0</v>
      </c>
      <c r="L81" s="254"/>
      <c r="M81" s="253"/>
      <c r="N81" s="257">
        <f>N78</f>
        <v>504.73402678344945</v>
      </c>
    </row>
    <row r="82" spans="2:14" ht="15.75" thickBot="1" x14ac:dyDescent="0.3">
      <c r="B82" s="258"/>
      <c r="C82" s="259" t="s">
        <v>491</v>
      </c>
      <c r="D82" s="260">
        <f>D81/10000000</f>
        <v>2.25</v>
      </c>
      <c r="E82" s="259"/>
      <c r="F82" s="259"/>
      <c r="G82" s="261">
        <f>G81/10000000</f>
        <v>524.84195709228516</v>
      </c>
      <c r="H82" s="251">
        <f t="shared" si="14"/>
        <v>0</v>
      </c>
      <c r="I82" s="258"/>
      <c r="J82" s="259" t="s">
        <v>491</v>
      </c>
      <c r="K82" s="260">
        <f>K81/10000000</f>
        <v>0</v>
      </c>
      <c r="L82" s="259"/>
      <c r="M82" s="259"/>
      <c r="N82" s="261">
        <f>N81/10000000</f>
        <v>5.0473402678344942E-5</v>
      </c>
    </row>
    <row r="83" spans="2:14" x14ac:dyDescent="0.25">
      <c r="G83" s="262"/>
      <c r="H83" s="251">
        <f t="shared" si="14"/>
        <v>0</v>
      </c>
    </row>
    <row r="84" spans="2:14" ht="15.75" thickBot="1" x14ac:dyDescent="0.3">
      <c r="C84" s="295" t="s">
        <v>492</v>
      </c>
      <c r="D84" s="295"/>
      <c r="E84" s="295"/>
      <c r="F84" s="295"/>
      <c r="H84" s="251">
        <f t="shared" si="14"/>
        <v>0</v>
      </c>
      <c r="J84" s="295" t="s">
        <v>492</v>
      </c>
      <c r="K84" s="295"/>
      <c r="L84" s="295"/>
      <c r="M84" s="295"/>
    </row>
    <row r="85" spans="2:14" ht="15.75" thickBot="1" x14ac:dyDescent="0.3">
      <c r="H85" s="251">
        <f t="shared" si="14"/>
        <v>1.4999999999999999E-7</v>
      </c>
    </row>
    <row r="86" spans="2:14" ht="15.75" thickBot="1" x14ac:dyDescent="0.3">
      <c r="B86" s="230"/>
      <c r="C86" s="293" t="s">
        <v>478</v>
      </c>
      <c r="D86" s="294"/>
      <c r="E86" s="231" t="s">
        <v>479</v>
      </c>
      <c r="F86" s="231"/>
      <c r="G86" s="232"/>
      <c r="H86" s="251">
        <f t="shared" si="14"/>
        <v>0</v>
      </c>
      <c r="I86" s="230"/>
      <c r="J86" s="293" t="s">
        <v>493</v>
      </c>
      <c r="K86" s="294"/>
      <c r="L86" s="231" t="s">
        <v>494</v>
      </c>
      <c r="M86" s="231"/>
      <c r="N86" s="232"/>
    </row>
    <row r="87" spans="2:14" ht="15.75" thickBot="1" x14ac:dyDescent="0.3">
      <c r="B87" s="200"/>
      <c r="C87" s="197"/>
      <c r="D87" s="197"/>
      <c r="E87" s="197"/>
      <c r="F87" s="197"/>
      <c r="G87" s="198"/>
      <c r="H87" s="251" t="e">
        <f t="shared" si="14"/>
        <v>#DIV/0!</v>
      </c>
      <c r="I87" s="200"/>
      <c r="J87" s="197"/>
      <c r="K87" s="197"/>
      <c r="L87" s="197"/>
      <c r="M87" s="197"/>
      <c r="N87" s="198"/>
    </row>
    <row r="88" spans="2:14" ht="15.75" thickBot="1" x14ac:dyDescent="0.3">
      <c r="B88" s="296" t="s">
        <v>495</v>
      </c>
      <c r="C88" s="297"/>
      <c r="D88" s="297"/>
      <c r="E88" s="297"/>
      <c r="F88" s="297"/>
      <c r="G88" s="298"/>
      <c r="H88" s="251">
        <f t="shared" si="14"/>
        <v>0</v>
      </c>
      <c r="I88" s="296" t="s">
        <v>495</v>
      </c>
      <c r="J88" s="297"/>
      <c r="K88" s="297"/>
      <c r="L88" s="297"/>
      <c r="M88" s="297"/>
      <c r="N88" s="298"/>
    </row>
    <row r="89" spans="2:14" x14ac:dyDescent="0.25">
      <c r="B89" s="263"/>
      <c r="C89" s="264"/>
      <c r="D89" s="264"/>
      <c r="E89" s="264"/>
      <c r="F89" s="264"/>
      <c r="G89" s="265">
        <f>G124</f>
        <v>1413.1902480939689</v>
      </c>
      <c r="I89" s="263"/>
      <c r="J89" s="264"/>
      <c r="K89" s="264"/>
      <c r="L89" s="264"/>
      <c r="M89" s="264"/>
      <c r="N89" s="265">
        <f>N124</f>
        <v>285.94104308390024</v>
      </c>
    </row>
    <row r="90" spans="2:14" ht="30" x14ac:dyDescent="0.25">
      <c r="B90" s="234" t="s">
        <v>14</v>
      </c>
      <c r="C90" s="235" t="s">
        <v>483</v>
      </c>
      <c r="D90" s="235" t="s">
        <v>496</v>
      </c>
      <c r="E90" s="235" t="s">
        <v>485</v>
      </c>
      <c r="F90" s="235" t="s">
        <v>497</v>
      </c>
      <c r="G90" s="236" t="s">
        <v>498</v>
      </c>
      <c r="I90" s="234" t="s">
        <v>14</v>
      </c>
      <c r="J90" s="235" t="s">
        <v>499</v>
      </c>
      <c r="K90" s="235" t="s">
        <v>500</v>
      </c>
      <c r="L90" s="235" t="s">
        <v>485</v>
      </c>
      <c r="M90" s="235" t="s">
        <v>497</v>
      </c>
      <c r="N90" s="236" t="s">
        <v>498</v>
      </c>
    </row>
    <row r="91" spans="2:14" x14ac:dyDescent="0.25">
      <c r="B91" s="239">
        <v>0</v>
      </c>
      <c r="C91" s="252">
        <v>0</v>
      </c>
      <c r="D91" s="252">
        <v>100</v>
      </c>
      <c r="E91" s="266">
        <v>0.06</v>
      </c>
      <c r="F91" s="252">
        <f>((1/(1+E91) ) ^ (B91 + 1) ) * D91</f>
        <v>94.339622641509422</v>
      </c>
      <c r="G91" s="267">
        <f>F91+C91</f>
        <v>94.339622641509422</v>
      </c>
      <c r="I91" s="239">
        <v>0</v>
      </c>
      <c r="J91" s="252">
        <v>0</v>
      </c>
      <c r="K91" s="252">
        <v>100</v>
      </c>
      <c r="L91" s="266">
        <v>0</v>
      </c>
      <c r="M91" s="252">
        <f t="shared" ref="M91:M92" si="15">((1/(1+L91) ) ^ (I91) ) * K91</f>
        <v>100</v>
      </c>
      <c r="N91" s="267">
        <f>M91+J91</f>
        <v>100</v>
      </c>
    </row>
    <row r="92" spans="2:14" x14ac:dyDescent="0.25">
      <c r="B92" s="239">
        <f>B91+1</f>
        <v>1</v>
      </c>
      <c r="C92" s="252">
        <f>G91</f>
        <v>94.339622641509422</v>
      </c>
      <c r="D92" s="252">
        <v>200</v>
      </c>
      <c r="E92" s="266">
        <v>0.06</v>
      </c>
      <c r="F92" s="252">
        <f>((1/(1+E92) ) ^ (B92 + 1) ) * D92</f>
        <v>177.99928800284795</v>
      </c>
      <c r="G92" s="267">
        <f>F92+C92</f>
        <v>272.33891064435738</v>
      </c>
      <c r="I92" s="239">
        <f>I91+1</f>
        <v>1</v>
      </c>
      <c r="J92" s="252">
        <f>N91</f>
        <v>100</v>
      </c>
      <c r="K92" s="252">
        <v>100</v>
      </c>
      <c r="L92" s="266">
        <v>0.05</v>
      </c>
      <c r="M92" s="252">
        <f t="shared" si="15"/>
        <v>95.238095238095227</v>
      </c>
      <c r="N92" s="267">
        <f>M92+J92</f>
        <v>195.23809523809524</v>
      </c>
    </row>
    <row r="93" spans="2:14" x14ac:dyDescent="0.25">
      <c r="B93" s="239">
        <f t="shared" ref="B93:B121" si="16">B92+1</f>
        <v>2</v>
      </c>
      <c r="C93" s="252">
        <f t="shared" ref="C93:C121" si="17">G92</f>
        <v>272.33891064435738</v>
      </c>
      <c r="D93" s="252">
        <v>200</v>
      </c>
      <c r="E93" s="266">
        <v>0.06</v>
      </c>
      <c r="F93" s="252">
        <f t="shared" ref="F93:F121" si="18">((1/(1+E93) ) ^ (B93 + 1) ) * D93</f>
        <v>167.9238566064603</v>
      </c>
      <c r="G93" s="267">
        <f t="shared" ref="G93:G121" si="19">F93+C93</f>
        <v>440.26276725081766</v>
      </c>
      <c r="I93" s="239">
        <f t="shared" ref="I93:I121" si="20">I92+1</f>
        <v>2</v>
      </c>
      <c r="J93" s="252">
        <f t="shared" ref="J93:J121" si="21">N92</f>
        <v>195.23809523809524</v>
      </c>
      <c r="K93" s="252">
        <v>100</v>
      </c>
      <c r="L93" s="266">
        <v>0.05</v>
      </c>
      <c r="M93" s="252">
        <f>((1/(1+L93) ) ^ (I93) ) * K93</f>
        <v>90.702947845804985</v>
      </c>
      <c r="N93" s="267">
        <f t="shared" ref="N93:N121" si="22">M93+J93</f>
        <v>285.94104308390024</v>
      </c>
    </row>
    <row r="94" spans="2:14" x14ac:dyDescent="0.25">
      <c r="B94" s="239">
        <f t="shared" si="16"/>
        <v>3</v>
      </c>
      <c r="C94" s="252">
        <f t="shared" si="17"/>
        <v>440.26276725081766</v>
      </c>
      <c r="D94" s="252">
        <v>200</v>
      </c>
      <c r="E94" s="266">
        <v>0.06</v>
      </c>
      <c r="F94" s="252">
        <f t="shared" si="18"/>
        <v>158.41873264760403</v>
      </c>
      <c r="G94" s="267">
        <f t="shared" si="19"/>
        <v>598.68149989842163</v>
      </c>
      <c r="I94" s="239">
        <f t="shared" si="20"/>
        <v>3</v>
      </c>
      <c r="J94" s="252">
        <f t="shared" si="21"/>
        <v>285.94104308390024</v>
      </c>
      <c r="K94" s="252"/>
      <c r="L94" s="266">
        <v>0.05</v>
      </c>
      <c r="M94" s="252">
        <f t="shared" ref="M94:M121" si="23">((1/(1+L94) ) ^ (I94) ) * K94</f>
        <v>0</v>
      </c>
      <c r="N94" s="267">
        <f t="shared" si="22"/>
        <v>285.94104308390024</v>
      </c>
    </row>
    <row r="95" spans="2:14" x14ac:dyDescent="0.25">
      <c r="B95" s="239">
        <f t="shared" si="16"/>
        <v>4</v>
      </c>
      <c r="C95" s="252">
        <f t="shared" si="17"/>
        <v>598.68149989842163</v>
      </c>
      <c r="D95" s="252">
        <v>200</v>
      </c>
      <c r="E95" s="266">
        <v>0.06</v>
      </c>
      <c r="F95" s="252">
        <f t="shared" si="18"/>
        <v>149.45163457321135</v>
      </c>
      <c r="G95" s="267">
        <f t="shared" si="19"/>
        <v>748.13313447163296</v>
      </c>
      <c r="I95" s="239">
        <f t="shared" si="20"/>
        <v>4</v>
      </c>
      <c r="J95" s="252">
        <f t="shared" si="21"/>
        <v>285.94104308390024</v>
      </c>
      <c r="K95" s="252"/>
      <c r="L95" s="266">
        <v>0.05</v>
      </c>
      <c r="M95" s="252">
        <f t="shared" si="23"/>
        <v>0</v>
      </c>
      <c r="N95" s="267">
        <f t="shared" si="22"/>
        <v>285.94104308390024</v>
      </c>
    </row>
    <row r="96" spans="2:14" x14ac:dyDescent="0.25">
      <c r="B96" s="239">
        <f t="shared" si="16"/>
        <v>5</v>
      </c>
      <c r="C96" s="252">
        <f t="shared" si="17"/>
        <v>748.13313447163296</v>
      </c>
      <c r="D96" s="252">
        <v>0</v>
      </c>
      <c r="E96" s="266">
        <v>0.06</v>
      </c>
      <c r="F96" s="252">
        <f t="shared" si="18"/>
        <v>0</v>
      </c>
      <c r="G96" s="267">
        <f t="shared" si="19"/>
        <v>748.13313447163296</v>
      </c>
      <c r="I96" s="239">
        <f t="shared" si="20"/>
        <v>5</v>
      </c>
      <c r="J96" s="252">
        <f t="shared" si="21"/>
        <v>285.94104308390024</v>
      </c>
      <c r="K96" s="252"/>
      <c r="L96" s="266">
        <v>0.05</v>
      </c>
      <c r="M96" s="252">
        <f t="shared" si="23"/>
        <v>0</v>
      </c>
      <c r="N96" s="267">
        <f t="shared" si="22"/>
        <v>285.94104308390024</v>
      </c>
    </row>
    <row r="97" spans="2:14" x14ac:dyDescent="0.25">
      <c r="B97" s="239">
        <f t="shared" si="16"/>
        <v>6</v>
      </c>
      <c r="C97" s="252">
        <f t="shared" si="17"/>
        <v>748.13313447163296</v>
      </c>
      <c r="D97" s="252">
        <v>1000</v>
      </c>
      <c r="E97" s="266">
        <v>0.06</v>
      </c>
      <c r="F97" s="252">
        <f t="shared" si="18"/>
        <v>665.05711362233581</v>
      </c>
      <c r="G97" s="267">
        <f t="shared" si="19"/>
        <v>1413.1902480939689</v>
      </c>
      <c r="I97" s="239">
        <f t="shared" si="20"/>
        <v>6</v>
      </c>
      <c r="J97" s="252">
        <f t="shared" si="21"/>
        <v>285.94104308390024</v>
      </c>
      <c r="K97" s="252"/>
      <c r="L97" s="266">
        <v>0.05</v>
      </c>
      <c r="M97" s="252">
        <f t="shared" si="23"/>
        <v>0</v>
      </c>
      <c r="N97" s="267">
        <f t="shared" si="22"/>
        <v>285.94104308390024</v>
      </c>
    </row>
    <row r="98" spans="2:14" x14ac:dyDescent="0.25">
      <c r="B98" s="239">
        <f t="shared" si="16"/>
        <v>7</v>
      </c>
      <c r="C98" s="252">
        <f t="shared" si="17"/>
        <v>1413.1902480939689</v>
      </c>
      <c r="D98" s="252"/>
      <c r="E98" s="266">
        <v>0.05</v>
      </c>
      <c r="F98" s="252">
        <f t="shared" si="18"/>
        <v>0</v>
      </c>
      <c r="G98" s="267">
        <f t="shared" si="19"/>
        <v>1413.1902480939689</v>
      </c>
      <c r="I98" s="239">
        <f t="shared" si="20"/>
        <v>7</v>
      </c>
      <c r="J98" s="252">
        <f t="shared" si="21"/>
        <v>285.94104308390024</v>
      </c>
      <c r="K98" s="252"/>
      <c r="L98" s="266">
        <v>0.05</v>
      </c>
      <c r="M98" s="252">
        <f t="shared" si="23"/>
        <v>0</v>
      </c>
      <c r="N98" s="267">
        <f t="shared" si="22"/>
        <v>285.94104308390024</v>
      </c>
    </row>
    <row r="99" spans="2:14" x14ac:dyDescent="0.25">
      <c r="B99" s="239">
        <f t="shared" si="16"/>
        <v>8</v>
      </c>
      <c r="C99" s="252">
        <f t="shared" si="17"/>
        <v>1413.1902480939689</v>
      </c>
      <c r="D99" s="252"/>
      <c r="E99" s="266">
        <v>0.05</v>
      </c>
      <c r="F99" s="252">
        <f t="shared" si="18"/>
        <v>0</v>
      </c>
      <c r="G99" s="267">
        <f t="shared" si="19"/>
        <v>1413.1902480939689</v>
      </c>
      <c r="I99" s="239">
        <f t="shared" si="20"/>
        <v>8</v>
      </c>
      <c r="J99" s="252">
        <f t="shared" si="21"/>
        <v>285.94104308390024</v>
      </c>
      <c r="K99" s="252"/>
      <c r="L99" s="266">
        <v>0.05</v>
      </c>
      <c r="M99" s="252">
        <f t="shared" si="23"/>
        <v>0</v>
      </c>
      <c r="N99" s="267">
        <f t="shared" si="22"/>
        <v>285.94104308390024</v>
      </c>
    </row>
    <row r="100" spans="2:14" x14ac:dyDescent="0.25">
      <c r="B100" s="239">
        <f t="shared" si="16"/>
        <v>9</v>
      </c>
      <c r="C100" s="252">
        <f t="shared" si="17"/>
        <v>1413.1902480939689</v>
      </c>
      <c r="D100" s="252"/>
      <c r="E100" s="266">
        <v>0.05</v>
      </c>
      <c r="F100" s="252">
        <f t="shared" si="18"/>
        <v>0</v>
      </c>
      <c r="G100" s="267">
        <f t="shared" si="19"/>
        <v>1413.1902480939689</v>
      </c>
      <c r="I100" s="239">
        <f t="shared" si="20"/>
        <v>9</v>
      </c>
      <c r="J100" s="252">
        <f t="shared" si="21"/>
        <v>285.94104308390024</v>
      </c>
      <c r="K100" s="252"/>
      <c r="L100" s="266">
        <v>0.05</v>
      </c>
      <c r="M100" s="252">
        <f t="shared" si="23"/>
        <v>0</v>
      </c>
      <c r="N100" s="267">
        <f t="shared" si="22"/>
        <v>285.94104308390024</v>
      </c>
    </row>
    <row r="101" spans="2:14" x14ac:dyDescent="0.25">
      <c r="B101" s="239">
        <f t="shared" si="16"/>
        <v>10</v>
      </c>
      <c r="C101" s="252">
        <f t="shared" si="17"/>
        <v>1413.1902480939689</v>
      </c>
      <c r="D101" s="252"/>
      <c r="E101" s="266">
        <v>0.05</v>
      </c>
      <c r="F101" s="252">
        <f t="shared" si="18"/>
        <v>0</v>
      </c>
      <c r="G101" s="267">
        <f t="shared" si="19"/>
        <v>1413.1902480939689</v>
      </c>
      <c r="I101" s="239">
        <f t="shared" si="20"/>
        <v>10</v>
      </c>
      <c r="J101" s="252">
        <f t="shared" si="21"/>
        <v>285.94104308390024</v>
      </c>
      <c r="K101" s="252"/>
      <c r="L101" s="266">
        <v>0.05</v>
      </c>
      <c r="M101" s="252">
        <f t="shared" si="23"/>
        <v>0</v>
      </c>
      <c r="N101" s="267">
        <f t="shared" si="22"/>
        <v>285.94104308390024</v>
      </c>
    </row>
    <row r="102" spans="2:14" x14ac:dyDescent="0.25">
      <c r="B102" s="239">
        <f t="shared" si="16"/>
        <v>11</v>
      </c>
      <c r="C102" s="252">
        <f t="shared" si="17"/>
        <v>1413.1902480939689</v>
      </c>
      <c r="D102" s="252"/>
      <c r="E102" s="266">
        <v>0.05</v>
      </c>
      <c r="F102" s="252">
        <f t="shared" si="18"/>
        <v>0</v>
      </c>
      <c r="G102" s="267">
        <f t="shared" si="19"/>
        <v>1413.1902480939689</v>
      </c>
      <c r="I102" s="239">
        <f t="shared" si="20"/>
        <v>11</v>
      </c>
      <c r="J102" s="252">
        <f t="shared" si="21"/>
        <v>285.94104308390024</v>
      </c>
      <c r="K102" s="252"/>
      <c r="L102" s="266">
        <v>0.05</v>
      </c>
      <c r="M102" s="252">
        <f t="shared" si="23"/>
        <v>0</v>
      </c>
      <c r="N102" s="267">
        <f t="shared" si="22"/>
        <v>285.94104308390024</v>
      </c>
    </row>
    <row r="103" spans="2:14" x14ac:dyDescent="0.25">
      <c r="B103" s="239">
        <f t="shared" si="16"/>
        <v>12</v>
      </c>
      <c r="C103" s="252">
        <f t="shared" si="17"/>
        <v>1413.1902480939689</v>
      </c>
      <c r="D103" s="252"/>
      <c r="E103" s="266">
        <v>0.05</v>
      </c>
      <c r="F103" s="252">
        <f t="shared" si="18"/>
        <v>0</v>
      </c>
      <c r="G103" s="267">
        <f t="shared" si="19"/>
        <v>1413.1902480939689</v>
      </c>
      <c r="I103" s="239">
        <f t="shared" si="20"/>
        <v>12</v>
      </c>
      <c r="J103" s="252">
        <f t="shared" si="21"/>
        <v>285.94104308390024</v>
      </c>
      <c r="K103" s="252"/>
      <c r="L103" s="266">
        <v>0.05</v>
      </c>
      <c r="M103" s="252">
        <f t="shared" si="23"/>
        <v>0</v>
      </c>
      <c r="N103" s="267">
        <f t="shared" si="22"/>
        <v>285.94104308390024</v>
      </c>
    </row>
    <row r="104" spans="2:14" x14ac:dyDescent="0.25">
      <c r="B104" s="239">
        <f t="shared" si="16"/>
        <v>13</v>
      </c>
      <c r="C104" s="252">
        <f t="shared" si="17"/>
        <v>1413.1902480939689</v>
      </c>
      <c r="D104" s="252"/>
      <c r="E104" s="266">
        <v>0.05</v>
      </c>
      <c r="F104" s="252">
        <f t="shared" si="18"/>
        <v>0</v>
      </c>
      <c r="G104" s="267">
        <f t="shared" si="19"/>
        <v>1413.1902480939689</v>
      </c>
      <c r="I104" s="239">
        <f t="shared" si="20"/>
        <v>13</v>
      </c>
      <c r="J104" s="252">
        <f t="shared" si="21"/>
        <v>285.94104308390024</v>
      </c>
      <c r="K104" s="252"/>
      <c r="L104" s="266">
        <v>0.05</v>
      </c>
      <c r="M104" s="252">
        <f t="shared" si="23"/>
        <v>0</v>
      </c>
      <c r="N104" s="267">
        <f t="shared" si="22"/>
        <v>285.94104308390024</v>
      </c>
    </row>
    <row r="105" spans="2:14" x14ac:dyDescent="0.25">
      <c r="B105" s="239">
        <f t="shared" si="16"/>
        <v>14</v>
      </c>
      <c r="C105" s="252">
        <f t="shared" si="17"/>
        <v>1413.1902480939689</v>
      </c>
      <c r="D105" s="252"/>
      <c r="E105" s="266">
        <v>0.05</v>
      </c>
      <c r="F105" s="252">
        <f t="shared" si="18"/>
        <v>0</v>
      </c>
      <c r="G105" s="267">
        <f t="shared" si="19"/>
        <v>1413.1902480939689</v>
      </c>
      <c r="I105" s="239">
        <f t="shared" si="20"/>
        <v>14</v>
      </c>
      <c r="J105" s="252">
        <f t="shared" si="21"/>
        <v>285.94104308390024</v>
      </c>
      <c r="K105" s="252"/>
      <c r="L105" s="266">
        <v>0.05</v>
      </c>
      <c r="M105" s="252">
        <f t="shared" si="23"/>
        <v>0</v>
      </c>
      <c r="N105" s="267">
        <f t="shared" si="22"/>
        <v>285.94104308390024</v>
      </c>
    </row>
    <row r="106" spans="2:14" x14ac:dyDescent="0.25">
      <c r="B106" s="239">
        <f t="shared" si="16"/>
        <v>15</v>
      </c>
      <c r="C106" s="252">
        <f t="shared" si="17"/>
        <v>1413.1902480939689</v>
      </c>
      <c r="D106" s="252"/>
      <c r="E106" s="266">
        <v>0.05</v>
      </c>
      <c r="F106" s="252">
        <f t="shared" si="18"/>
        <v>0</v>
      </c>
      <c r="G106" s="267">
        <f t="shared" si="19"/>
        <v>1413.1902480939689</v>
      </c>
      <c r="I106" s="239">
        <f t="shared" si="20"/>
        <v>15</v>
      </c>
      <c r="J106" s="252">
        <f t="shared" si="21"/>
        <v>285.94104308390024</v>
      </c>
      <c r="K106" s="252"/>
      <c r="L106" s="266">
        <v>0.05</v>
      </c>
      <c r="M106" s="252">
        <f t="shared" si="23"/>
        <v>0</v>
      </c>
      <c r="N106" s="267">
        <f t="shared" si="22"/>
        <v>285.94104308390024</v>
      </c>
    </row>
    <row r="107" spans="2:14" x14ac:dyDescent="0.25">
      <c r="B107" s="239">
        <f t="shared" si="16"/>
        <v>16</v>
      </c>
      <c r="C107" s="252">
        <f t="shared" si="17"/>
        <v>1413.1902480939689</v>
      </c>
      <c r="D107" s="252"/>
      <c r="E107" s="266">
        <v>0.05</v>
      </c>
      <c r="F107" s="252">
        <f t="shared" si="18"/>
        <v>0</v>
      </c>
      <c r="G107" s="267">
        <f t="shared" si="19"/>
        <v>1413.1902480939689</v>
      </c>
      <c r="I107" s="239">
        <f t="shared" si="20"/>
        <v>16</v>
      </c>
      <c r="J107" s="252">
        <f t="shared" si="21"/>
        <v>285.94104308390024</v>
      </c>
      <c r="K107" s="252"/>
      <c r="L107" s="266">
        <v>0.05</v>
      </c>
      <c r="M107" s="252">
        <f t="shared" si="23"/>
        <v>0</v>
      </c>
      <c r="N107" s="267">
        <f t="shared" si="22"/>
        <v>285.94104308390024</v>
      </c>
    </row>
    <row r="108" spans="2:14" x14ac:dyDescent="0.25">
      <c r="B108" s="239">
        <f t="shared" si="16"/>
        <v>17</v>
      </c>
      <c r="C108" s="252">
        <f t="shared" si="17"/>
        <v>1413.1902480939689</v>
      </c>
      <c r="D108" s="252"/>
      <c r="E108" s="266">
        <v>0.05</v>
      </c>
      <c r="F108" s="252">
        <f t="shared" si="18"/>
        <v>0</v>
      </c>
      <c r="G108" s="267">
        <f t="shared" si="19"/>
        <v>1413.1902480939689</v>
      </c>
      <c r="I108" s="239">
        <f t="shared" si="20"/>
        <v>17</v>
      </c>
      <c r="J108" s="252">
        <f t="shared" si="21"/>
        <v>285.94104308390024</v>
      </c>
      <c r="K108" s="252"/>
      <c r="L108" s="266">
        <v>0.05</v>
      </c>
      <c r="M108" s="252">
        <f t="shared" si="23"/>
        <v>0</v>
      </c>
      <c r="N108" s="267">
        <f t="shared" si="22"/>
        <v>285.94104308390024</v>
      </c>
    </row>
    <row r="109" spans="2:14" x14ac:dyDescent="0.25">
      <c r="B109" s="239">
        <f t="shared" si="16"/>
        <v>18</v>
      </c>
      <c r="C109" s="252">
        <f t="shared" si="17"/>
        <v>1413.1902480939689</v>
      </c>
      <c r="D109" s="252"/>
      <c r="E109" s="266">
        <v>0.05</v>
      </c>
      <c r="F109" s="252">
        <f t="shared" si="18"/>
        <v>0</v>
      </c>
      <c r="G109" s="267">
        <f t="shared" si="19"/>
        <v>1413.1902480939689</v>
      </c>
      <c r="I109" s="239">
        <f t="shared" si="20"/>
        <v>18</v>
      </c>
      <c r="J109" s="252">
        <f t="shared" si="21"/>
        <v>285.94104308390024</v>
      </c>
      <c r="K109" s="252"/>
      <c r="L109" s="266">
        <v>0.05</v>
      </c>
      <c r="M109" s="252">
        <f t="shared" si="23"/>
        <v>0</v>
      </c>
      <c r="N109" s="267">
        <f t="shared" si="22"/>
        <v>285.94104308390024</v>
      </c>
    </row>
    <row r="110" spans="2:14" x14ac:dyDescent="0.25">
      <c r="B110" s="239">
        <f t="shared" si="16"/>
        <v>19</v>
      </c>
      <c r="C110" s="252">
        <f t="shared" si="17"/>
        <v>1413.1902480939689</v>
      </c>
      <c r="D110" s="252"/>
      <c r="E110" s="266">
        <v>0.05</v>
      </c>
      <c r="F110" s="252">
        <f t="shared" si="18"/>
        <v>0</v>
      </c>
      <c r="G110" s="267">
        <f t="shared" si="19"/>
        <v>1413.1902480939689</v>
      </c>
      <c r="I110" s="239">
        <f t="shared" si="20"/>
        <v>19</v>
      </c>
      <c r="J110" s="252">
        <f t="shared" si="21"/>
        <v>285.94104308390024</v>
      </c>
      <c r="K110" s="252"/>
      <c r="L110" s="266">
        <v>0.05</v>
      </c>
      <c r="M110" s="252">
        <f t="shared" si="23"/>
        <v>0</v>
      </c>
      <c r="N110" s="267">
        <f t="shared" si="22"/>
        <v>285.94104308390024</v>
      </c>
    </row>
    <row r="111" spans="2:14" x14ac:dyDescent="0.25">
      <c r="B111" s="239">
        <f t="shared" si="16"/>
        <v>20</v>
      </c>
      <c r="C111" s="252">
        <f t="shared" si="17"/>
        <v>1413.1902480939689</v>
      </c>
      <c r="D111" s="252"/>
      <c r="E111" s="266">
        <v>0.05</v>
      </c>
      <c r="F111" s="252">
        <f t="shared" si="18"/>
        <v>0</v>
      </c>
      <c r="G111" s="267">
        <f t="shared" si="19"/>
        <v>1413.1902480939689</v>
      </c>
      <c r="I111" s="239">
        <f t="shared" si="20"/>
        <v>20</v>
      </c>
      <c r="J111" s="252">
        <f t="shared" si="21"/>
        <v>285.94104308390024</v>
      </c>
      <c r="K111" s="252"/>
      <c r="L111" s="266">
        <v>0.05</v>
      </c>
      <c r="M111" s="252">
        <f t="shared" si="23"/>
        <v>0</v>
      </c>
      <c r="N111" s="267">
        <f t="shared" si="22"/>
        <v>285.94104308390024</v>
      </c>
    </row>
    <row r="112" spans="2:14" x14ac:dyDescent="0.25">
      <c r="B112" s="239">
        <f t="shared" si="16"/>
        <v>21</v>
      </c>
      <c r="C112" s="252">
        <f t="shared" si="17"/>
        <v>1413.1902480939689</v>
      </c>
      <c r="D112" s="252"/>
      <c r="E112" s="266">
        <v>0.05</v>
      </c>
      <c r="F112" s="252">
        <f t="shared" si="18"/>
        <v>0</v>
      </c>
      <c r="G112" s="267">
        <f t="shared" si="19"/>
        <v>1413.1902480939689</v>
      </c>
      <c r="I112" s="239">
        <f t="shared" si="20"/>
        <v>21</v>
      </c>
      <c r="J112" s="252">
        <f t="shared" si="21"/>
        <v>285.94104308390024</v>
      </c>
      <c r="K112" s="252"/>
      <c r="L112" s="266">
        <v>0.05</v>
      </c>
      <c r="M112" s="252">
        <f t="shared" si="23"/>
        <v>0</v>
      </c>
      <c r="N112" s="267">
        <f t="shared" si="22"/>
        <v>285.94104308390024</v>
      </c>
    </row>
    <row r="113" spans="2:14" x14ac:dyDescent="0.25">
      <c r="B113" s="239">
        <f t="shared" si="16"/>
        <v>22</v>
      </c>
      <c r="C113" s="252">
        <f t="shared" si="17"/>
        <v>1413.1902480939689</v>
      </c>
      <c r="D113" s="252"/>
      <c r="E113" s="266">
        <v>0.05</v>
      </c>
      <c r="F113" s="252">
        <f t="shared" si="18"/>
        <v>0</v>
      </c>
      <c r="G113" s="267">
        <f t="shared" si="19"/>
        <v>1413.1902480939689</v>
      </c>
      <c r="I113" s="239">
        <f t="shared" si="20"/>
        <v>22</v>
      </c>
      <c r="J113" s="252">
        <f t="shared" si="21"/>
        <v>285.94104308390024</v>
      </c>
      <c r="K113" s="252"/>
      <c r="L113" s="266">
        <v>0.05</v>
      </c>
      <c r="M113" s="252">
        <f t="shared" si="23"/>
        <v>0</v>
      </c>
      <c r="N113" s="267">
        <f t="shared" si="22"/>
        <v>285.94104308390024</v>
      </c>
    </row>
    <row r="114" spans="2:14" x14ac:dyDescent="0.25">
      <c r="B114" s="239">
        <f t="shared" si="16"/>
        <v>23</v>
      </c>
      <c r="C114" s="252">
        <f t="shared" si="17"/>
        <v>1413.1902480939689</v>
      </c>
      <c r="D114" s="252"/>
      <c r="E114" s="266">
        <v>0.05</v>
      </c>
      <c r="F114" s="252">
        <f t="shared" si="18"/>
        <v>0</v>
      </c>
      <c r="G114" s="267">
        <f t="shared" si="19"/>
        <v>1413.1902480939689</v>
      </c>
      <c r="I114" s="239">
        <f t="shared" si="20"/>
        <v>23</v>
      </c>
      <c r="J114" s="252">
        <f t="shared" si="21"/>
        <v>285.94104308390024</v>
      </c>
      <c r="K114" s="252"/>
      <c r="L114" s="266">
        <v>0.05</v>
      </c>
      <c r="M114" s="252">
        <f t="shared" si="23"/>
        <v>0</v>
      </c>
      <c r="N114" s="267">
        <f t="shared" si="22"/>
        <v>285.94104308390024</v>
      </c>
    </row>
    <row r="115" spans="2:14" x14ac:dyDescent="0.25">
      <c r="B115" s="239">
        <f t="shared" si="16"/>
        <v>24</v>
      </c>
      <c r="C115" s="252">
        <f t="shared" si="17"/>
        <v>1413.1902480939689</v>
      </c>
      <c r="D115" s="252"/>
      <c r="E115" s="266">
        <v>0.05</v>
      </c>
      <c r="F115" s="252">
        <f t="shared" si="18"/>
        <v>0</v>
      </c>
      <c r="G115" s="267">
        <f t="shared" si="19"/>
        <v>1413.1902480939689</v>
      </c>
      <c r="I115" s="239">
        <f t="shared" si="20"/>
        <v>24</v>
      </c>
      <c r="J115" s="252">
        <f t="shared" si="21"/>
        <v>285.94104308390024</v>
      </c>
      <c r="K115" s="252"/>
      <c r="L115" s="266">
        <v>0.05</v>
      </c>
      <c r="M115" s="252">
        <f t="shared" si="23"/>
        <v>0</v>
      </c>
      <c r="N115" s="267">
        <f t="shared" si="22"/>
        <v>285.94104308390024</v>
      </c>
    </row>
    <row r="116" spans="2:14" x14ac:dyDescent="0.25">
      <c r="B116" s="239">
        <f t="shared" si="16"/>
        <v>25</v>
      </c>
      <c r="C116" s="252">
        <f t="shared" si="17"/>
        <v>1413.1902480939689</v>
      </c>
      <c r="D116" s="252"/>
      <c r="E116" s="266">
        <v>0.05</v>
      </c>
      <c r="F116" s="252">
        <f t="shared" si="18"/>
        <v>0</v>
      </c>
      <c r="G116" s="267">
        <f t="shared" si="19"/>
        <v>1413.1902480939689</v>
      </c>
      <c r="I116" s="239">
        <f t="shared" si="20"/>
        <v>25</v>
      </c>
      <c r="J116" s="252">
        <f t="shared" si="21"/>
        <v>285.94104308390024</v>
      </c>
      <c r="K116" s="252"/>
      <c r="L116" s="266">
        <v>0.05</v>
      </c>
      <c r="M116" s="252">
        <f t="shared" si="23"/>
        <v>0</v>
      </c>
      <c r="N116" s="267">
        <f t="shared" si="22"/>
        <v>285.94104308390024</v>
      </c>
    </row>
    <row r="117" spans="2:14" x14ac:dyDescent="0.25">
      <c r="B117" s="239">
        <f t="shared" si="16"/>
        <v>26</v>
      </c>
      <c r="C117" s="252">
        <f t="shared" si="17"/>
        <v>1413.1902480939689</v>
      </c>
      <c r="D117" s="252"/>
      <c r="E117" s="266">
        <v>0.05</v>
      </c>
      <c r="F117" s="252">
        <f t="shared" si="18"/>
        <v>0</v>
      </c>
      <c r="G117" s="267">
        <f t="shared" si="19"/>
        <v>1413.1902480939689</v>
      </c>
      <c r="I117" s="239">
        <f t="shared" si="20"/>
        <v>26</v>
      </c>
      <c r="J117" s="252">
        <f t="shared" si="21"/>
        <v>285.94104308390024</v>
      </c>
      <c r="K117" s="252"/>
      <c r="L117" s="266">
        <v>0.05</v>
      </c>
      <c r="M117" s="252">
        <f t="shared" si="23"/>
        <v>0</v>
      </c>
      <c r="N117" s="267">
        <f t="shared" si="22"/>
        <v>285.94104308390024</v>
      </c>
    </row>
    <row r="118" spans="2:14" x14ac:dyDescent="0.25">
      <c r="B118" s="239">
        <f t="shared" si="16"/>
        <v>27</v>
      </c>
      <c r="C118" s="252">
        <f t="shared" si="17"/>
        <v>1413.1902480939689</v>
      </c>
      <c r="D118" s="252"/>
      <c r="E118" s="266">
        <v>0.05</v>
      </c>
      <c r="F118" s="252">
        <f t="shared" si="18"/>
        <v>0</v>
      </c>
      <c r="G118" s="267">
        <f t="shared" si="19"/>
        <v>1413.1902480939689</v>
      </c>
      <c r="I118" s="239">
        <f t="shared" si="20"/>
        <v>27</v>
      </c>
      <c r="J118" s="252">
        <f t="shared" si="21"/>
        <v>285.94104308390024</v>
      </c>
      <c r="K118" s="252"/>
      <c r="L118" s="266">
        <v>0.05</v>
      </c>
      <c r="M118" s="252">
        <f t="shared" si="23"/>
        <v>0</v>
      </c>
      <c r="N118" s="267">
        <f t="shared" si="22"/>
        <v>285.94104308390024</v>
      </c>
    </row>
    <row r="119" spans="2:14" x14ac:dyDescent="0.25">
      <c r="B119" s="239">
        <f t="shared" si="16"/>
        <v>28</v>
      </c>
      <c r="C119" s="252">
        <f t="shared" si="17"/>
        <v>1413.1902480939689</v>
      </c>
      <c r="D119" s="252"/>
      <c r="E119" s="266">
        <v>0.05</v>
      </c>
      <c r="F119" s="252">
        <f t="shared" si="18"/>
        <v>0</v>
      </c>
      <c r="G119" s="267">
        <f t="shared" si="19"/>
        <v>1413.1902480939689</v>
      </c>
      <c r="I119" s="239">
        <f t="shared" si="20"/>
        <v>28</v>
      </c>
      <c r="J119" s="252">
        <f t="shared" si="21"/>
        <v>285.94104308390024</v>
      </c>
      <c r="K119" s="252"/>
      <c r="L119" s="266">
        <v>0.05</v>
      </c>
      <c r="M119" s="252">
        <f t="shared" si="23"/>
        <v>0</v>
      </c>
      <c r="N119" s="267">
        <f t="shared" si="22"/>
        <v>285.94104308390024</v>
      </c>
    </row>
    <row r="120" spans="2:14" x14ac:dyDescent="0.25">
      <c r="B120" s="239">
        <f t="shared" si="16"/>
        <v>29</v>
      </c>
      <c r="C120" s="252">
        <f t="shared" si="17"/>
        <v>1413.1902480939689</v>
      </c>
      <c r="D120" s="252"/>
      <c r="E120" s="266">
        <v>0.05</v>
      </c>
      <c r="F120" s="252">
        <f t="shared" si="18"/>
        <v>0</v>
      </c>
      <c r="G120" s="267">
        <f t="shared" si="19"/>
        <v>1413.1902480939689</v>
      </c>
      <c r="I120" s="239">
        <f t="shared" si="20"/>
        <v>29</v>
      </c>
      <c r="J120" s="252">
        <f t="shared" si="21"/>
        <v>285.94104308390024</v>
      </c>
      <c r="K120" s="252"/>
      <c r="L120" s="266">
        <v>0.05</v>
      </c>
      <c r="M120" s="252">
        <f t="shared" si="23"/>
        <v>0</v>
      </c>
      <c r="N120" s="267">
        <f t="shared" si="22"/>
        <v>285.94104308390024</v>
      </c>
    </row>
    <row r="121" spans="2:14" x14ac:dyDescent="0.25">
      <c r="B121" s="239">
        <f t="shared" si="16"/>
        <v>30</v>
      </c>
      <c r="C121" s="252">
        <f t="shared" si="17"/>
        <v>1413.1902480939689</v>
      </c>
      <c r="D121" s="252"/>
      <c r="E121" s="266">
        <v>0.05</v>
      </c>
      <c r="F121" s="252">
        <f t="shared" si="18"/>
        <v>0</v>
      </c>
      <c r="G121" s="267">
        <f t="shared" si="19"/>
        <v>1413.1902480939689</v>
      </c>
      <c r="I121" s="239">
        <f t="shared" si="20"/>
        <v>30</v>
      </c>
      <c r="J121" s="252">
        <f t="shared" si="21"/>
        <v>285.94104308390024</v>
      </c>
      <c r="K121" s="252"/>
      <c r="L121" s="266">
        <v>0.05</v>
      </c>
      <c r="M121" s="252">
        <f t="shared" si="23"/>
        <v>0</v>
      </c>
      <c r="N121" s="267">
        <f t="shared" si="22"/>
        <v>285.94104308390024</v>
      </c>
    </row>
    <row r="122" spans="2:14" x14ac:dyDescent="0.25">
      <c r="B122" s="200"/>
      <c r="C122" s="197"/>
      <c r="D122" s="197"/>
      <c r="E122" s="197"/>
      <c r="F122" s="197"/>
      <c r="G122" s="198"/>
      <c r="I122" s="200"/>
      <c r="J122" s="197"/>
      <c r="K122" s="197"/>
      <c r="L122" s="197"/>
      <c r="M122" s="197"/>
      <c r="N122" s="198"/>
    </row>
    <row r="123" spans="2:14" ht="15.75" thickBot="1" x14ac:dyDescent="0.3">
      <c r="B123" s="200"/>
      <c r="C123" s="197"/>
      <c r="D123" s="197"/>
      <c r="E123" s="197"/>
      <c r="F123" s="197"/>
      <c r="G123" s="198"/>
      <c r="I123" s="200"/>
      <c r="J123" s="197"/>
      <c r="K123" s="197"/>
      <c r="L123" s="197"/>
      <c r="M123" s="197"/>
      <c r="N123" s="198"/>
    </row>
    <row r="124" spans="2:14" ht="15.75" thickBot="1" x14ac:dyDescent="0.3">
      <c r="B124" s="299" t="s">
        <v>501</v>
      </c>
      <c r="C124" s="300"/>
      <c r="D124" s="256">
        <f>SUM(D91:D123)</f>
        <v>1900</v>
      </c>
      <c r="E124" s="254"/>
      <c r="F124" s="254"/>
      <c r="G124" s="268">
        <f>G121</f>
        <v>1413.1902480939689</v>
      </c>
      <c r="I124" s="299" t="s">
        <v>501</v>
      </c>
      <c r="J124" s="300"/>
      <c r="K124" s="256">
        <f>SUM(K91:K123)</f>
        <v>300</v>
      </c>
      <c r="L124" s="254"/>
      <c r="M124" s="254"/>
      <c r="N124" s="268">
        <f>N121</f>
        <v>285.94104308390024</v>
      </c>
    </row>
    <row r="125" spans="2:14" ht="15.75" thickBot="1" x14ac:dyDescent="0.3">
      <c r="B125" s="205"/>
      <c r="C125" s="206"/>
      <c r="D125" s="206"/>
      <c r="E125" s="206"/>
      <c r="F125" s="206"/>
      <c r="G125" s="207"/>
      <c r="I125" s="205"/>
      <c r="J125" s="206"/>
      <c r="K125" s="206"/>
      <c r="L125" s="206"/>
      <c r="M125" s="206"/>
      <c r="N125" s="207"/>
    </row>
  </sheetData>
  <mergeCells count="74">
    <mergeCell ref="C86:D86"/>
    <mergeCell ref="J86:K86"/>
    <mergeCell ref="B88:G88"/>
    <mergeCell ref="I88:N88"/>
    <mergeCell ref="B124:C124"/>
    <mergeCell ref="I124:J124"/>
    <mergeCell ref="B46:G46"/>
    <mergeCell ref="I46:N46"/>
    <mergeCell ref="B81:C81"/>
    <mergeCell ref="I81:J81"/>
    <mergeCell ref="C84:F84"/>
    <mergeCell ref="J84:M8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C30:D30"/>
    <mergeCell ref="H30:I30"/>
    <mergeCell ref="C31:D31"/>
    <mergeCell ref="H31:I31"/>
    <mergeCell ref="C44:D44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20:D20"/>
    <mergeCell ref="H20:I20"/>
    <mergeCell ref="C21:D21"/>
    <mergeCell ref="H21:I21"/>
    <mergeCell ref="C22:D22"/>
    <mergeCell ref="H22:I22"/>
    <mergeCell ref="C17:D17"/>
    <mergeCell ref="H17:I17"/>
    <mergeCell ref="C18:D18"/>
    <mergeCell ref="H18:I18"/>
    <mergeCell ref="C19:D19"/>
    <mergeCell ref="H19:I19"/>
    <mergeCell ref="B14:D14"/>
    <mergeCell ref="G14:I14"/>
    <mergeCell ref="C15:D15"/>
    <mergeCell ref="H15:I15"/>
    <mergeCell ref="C16:D16"/>
    <mergeCell ref="H16:I16"/>
    <mergeCell ref="C8:D8"/>
    <mergeCell ref="H8:I8"/>
    <mergeCell ref="C9:D9"/>
    <mergeCell ref="H9:I9"/>
    <mergeCell ref="C10:D10"/>
    <mergeCell ref="H10:I10"/>
    <mergeCell ref="C5:D5"/>
    <mergeCell ref="H5:I5"/>
    <mergeCell ref="C6:D6"/>
    <mergeCell ref="H6:I6"/>
    <mergeCell ref="C7:D7"/>
    <mergeCell ref="H7:I7"/>
    <mergeCell ref="B3:D3"/>
    <mergeCell ref="G3:I3"/>
    <mergeCell ref="P3:S3"/>
    <mergeCell ref="T3:W3"/>
    <mergeCell ref="C4:D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X279"/>
  <sheetViews>
    <sheetView tabSelected="1" zoomScale="80" zoomScaleNormal="80" workbookViewId="0">
      <pane xSplit="2" ySplit="3" topLeftCell="K187" activePane="bottomRight" state="frozen"/>
      <selection pane="topRight" activeCell="C1" sqref="C1"/>
      <selection pane="bottomLeft" activeCell="A5" sqref="A5"/>
      <selection pane="bottomRight" activeCell="V210" sqref="V210"/>
    </sheetView>
  </sheetViews>
  <sheetFormatPr defaultRowHeight="12.75" x14ac:dyDescent="0.2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7" width="9.85546875" style="89" bestFit="1" customWidth="1"/>
    <col min="8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1" width="10.7109375" style="89" customWidth="1"/>
    <col min="22" max="22" width="9.85546875" style="89" customWidth="1"/>
    <col min="23" max="23" width="14.28515625" style="89" customWidth="1"/>
    <col min="24" max="24" width="12.85546875" style="89" customWidth="1"/>
    <col min="25" max="25" width="12.5703125" style="89" customWidth="1"/>
    <col min="26" max="32" width="8" style="89" bestFit="1" customWidth="1"/>
    <col min="33" max="33" width="11.28515625" style="89" bestFit="1" customWidth="1"/>
    <col min="34" max="34" width="9.28515625" style="89" bestFit="1" customWidth="1"/>
    <col min="35" max="35" width="9" style="89" customWidth="1"/>
    <col min="36" max="36" width="10.7109375" style="89" customWidth="1"/>
    <col min="37" max="16384" width="9.140625" style="89"/>
  </cols>
  <sheetData>
    <row r="1" spans="2:36" x14ac:dyDescent="0.2">
      <c r="B1" s="106" t="s">
        <v>199</v>
      </c>
      <c r="C1" s="107">
        <f>S2</f>
        <v>0.22</v>
      </c>
      <c r="I1" s="89" t="s">
        <v>210</v>
      </c>
      <c r="K1" s="108">
        <v>2004</v>
      </c>
      <c r="M1" s="89" t="s">
        <v>272</v>
      </c>
      <c r="O1" s="140">
        <v>0.05</v>
      </c>
      <c r="Q1" s="89" t="s">
        <v>343</v>
      </c>
      <c r="S1" s="140">
        <v>0.05</v>
      </c>
    </row>
    <row r="2" spans="2:36" x14ac:dyDescent="0.2">
      <c r="B2" s="130" t="s">
        <v>262</v>
      </c>
      <c r="C2" s="103"/>
      <c r="I2" s="89" t="s">
        <v>211</v>
      </c>
      <c r="K2" s="108">
        <v>2018</v>
      </c>
      <c r="M2" s="89" t="s">
        <v>273</v>
      </c>
      <c r="O2" s="140">
        <v>0.15</v>
      </c>
      <c r="Q2" s="89" t="s">
        <v>409</v>
      </c>
      <c r="S2" s="140">
        <v>0.22</v>
      </c>
      <c r="X2" s="98" t="s">
        <v>5</v>
      </c>
      <c r="Y2" s="98" t="s">
        <v>6</v>
      </c>
      <c r="Z2" s="98" t="s">
        <v>7</v>
      </c>
      <c r="AA2" s="98" t="s">
        <v>8</v>
      </c>
      <c r="AB2" s="98" t="s">
        <v>9</v>
      </c>
      <c r="AC2" s="98" t="s">
        <v>192</v>
      </c>
      <c r="AD2" s="98" t="s">
        <v>193</v>
      </c>
      <c r="AE2" s="98" t="s">
        <v>194</v>
      </c>
      <c r="AF2" s="98" t="s">
        <v>195</v>
      </c>
      <c r="AG2" s="98" t="s">
        <v>196</v>
      </c>
      <c r="AI2" s="305" t="s">
        <v>241</v>
      </c>
      <c r="AJ2" s="306"/>
    </row>
    <row r="3" spans="2:36" x14ac:dyDescent="0.2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9" t="s">
        <v>1</v>
      </c>
      <c r="W3" s="99" t="s">
        <v>212</v>
      </c>
      <c r="X3" s="98">
        <v>2018</v>
      </c>
      <c r="Y3" s="98">
        <v>2019</v>
      </c>
      <c r="Z3" s="98">
        <v>2020</v>
      </c>
      <c r="AA3" s="98">
        <v>2021</v>
      </c>
      <c r="AB3" s="98">
        <v>2022</v>
      </c>
      <c r="AC3" s="98">
        <v>2023</v>
      </c>
      <c r="AD3" s="98">
        <v>2024</v>
      </c>
      <c r="AE3" s="98">
        <v>2025</v>
      </c>
      <c r="AF3" s="98">
        <v>2026</v>
      </c>
      <c r="AG3" s="98">
        <v>2027</v>
      </c>
      <c r="AH3" s="114" t="s">
        <v>1</v>
      </c>
      <c r="AI3" s="307" t="s">
        <v>242</v>
      </c>
      <c r="AJ3" s="308"/>
    </row>
    <row r="4" spans="2:36" x14ac:dyDescent="0.2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15"/>
      <c r="AI4" s="10"/>
      <c r="AJ4" s="10"/>
    </row>
    <row r="5" spans="2:36" ht="15.75" x14ac:dyDescent="0.25">
      <c r="B5" s="93" t="s">
        <v>200</v>
      </c>
      <c r="C5" s="10"/>
      <c r="D5" s="10"/>
      <c r="E5" s="124"/>
      <c r="F5" s="124"/>
      <c r="G5" s="271" t="s">
        <v>507</v>
      </c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0"/>
      <c r="W5" s="10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15"/>
      <c r="AI5" s="10"/>
      <c r="AJ5" s="131"/>
    </row>
    <row r="6" spans="2:36" x14ac:dyDescent="0.2">
      <c r="B6" s="10" t="s">
        <v>10</v>
      </c>
      <c r="C6" s="119"/>
      <c r="D6" s="119"/>
      <c r="E6" s="125"/>
      <c r="F6" s="125"/>
      <c r="G6" s="181">
        <f>H6</f>
        <v>17</v>
      </c>
      <c r="H6" s="181">
        <v>17</v>
      </c>
      <c r="I6" s="181">
        <v>303</v>
      </c>
      <c r="J6" s="181">
        <v>507</v>
      </c>
      <c r="K6" s="181">
        <v>1023</v>
      </c>
      <c r="L6" s="181">
        <v>1327</v>
      </c>
      <c r="M6" s="181">
        <v>2749</v>
      </c>
      <c r="N6" s="181">
        <v>3446</v>
      </c>
      <c r="O6" s="181">
        <v>4323</v>
      </c>
      <c r="P6" s="181">
        <v>5449</v>
      </c>
      <c r="Q6" s="181">
        <v>6761</v>
      </c>
      <c r="R6" s="181">
        <v>11247</v>
      </c>
      <c r="S6" s="181">
        <v>13341</v>
      </c>
      <c r="T6" s="181">
        <v>21583</v>
      </c>
      <c r="U6" s="181">
        <v>25291</v>
      </c>
      <c r="V6" s="101">
        <f>((U6/G6)^(1/($K$2-$K$1) ))-1</f>
        <v>0.6850328148383269</v>
      </c>
      <c r="W6" s="21">
        <f>$O$2</f>
        <v>0.15</v>
      </c>
      <c r="X6" s="131">
        <f>U6*(1+$W6)</f>
        <v>29084.649999999998</v>
      </c>
      <c r="Y6" s="131">
        <f>X6*(1+$W6)</f>
        <v>33447.347499999996</v>
      </c>
      <c r="Z6" s="131">
        <f t="shared" ref="Z6:AG6" si="0">Y6*(1+$W6)</f>
        <v>38464.449624999994</v>
      </c>
      <c r="AA6" s="131">
        <f t="shared" si="0"/>
        <v>44234.117068749991</v>
      </c>
      <c r="AB6" s="131">
        <f t="shared" si="0"/>
        <v>50869.234629062485</v>
      </c>
      <c r="AC6" s="131">
        <f t="shared" si="0"/>
        <v>58499.619823421854</v>
      </c>
      <c r="AD6" s="131">
        <f t="shared" si="0"/>
        <v>67274.562796935134</v>
      </c>
      <c r="AE6" s="131">
        <f t="shared" si="0"/>
        <v>77365.7472164754</v>
      </c>
      <c r="AF6" s="131">
        <f t="shared" si="0"/>
        <v>88970.6092989467</v>
      </c>
      <c r="AG6" s="131">
        <f t="shared" si="0"/>
        <v>102316.20069378869</v>
      </c>
      <c r="AH6" s="116">
        <f>((AG6/J6)^(1/($AG$3-$K$1) ))-1</f>
        <v>0.25954772575341578</v>
      </c>
      <c r="AI6" s="21">
        <f>$O$1</f>
        <v>0.05</v>
      </c>
      <c r="AJ6" s="124">
        <f t="shared" ref="AJ6:AJ59" si="1">(AG6*(1+AI6))/($C$1-AI6)</f>
        <v>631953.00428516546</v>
      </c>
    </row>
    <row r="7" spans="2:36" x14ac:dyDescent="0.2">
      <c r="B7" s="10" t="s">
        <v>198</v>
      </c>
      <c r="C7" s="119"/>
      <c r="D7" s="119"/>
      <c r="E7" s="125"/>
      <c r="F7" s="125"/>
      <c r="G7" s="181">
        <f>H7</f>
        <v>217</v>
      </c>
      <c r="H7" s="181">
        <v>217</v>
      </c>
      <c r="I7" s="181">
        <v>572</v>
      </c>
      <c r="J7" s="181">
        <v>787</v>
      </c>
      <c r="K7" s="181">
        <v>1319</v>
      </c>
      <c r="L7" s="181">
        <v>1624</v>
      </c>
      <c r="M7" s="181">
        <v>3089</v>
      </c>
      <c r="N7" s="181">
        <v>3794</v>
      </c>
      <c r="O7" s="181">
        <v>4676</v>
      </c>
      <c r="P7" s="181">
        <v>5807</v>
      </c>
      <c r="Q7" s="181">
        <v>7115</v>
      </c>
      <c r="R7" s="181">
        <v>11665</v>
      </c>
      <c r="S7" s="181">
        <v>13762</v>
      </c>
      <c r="T7" s="181">
        <v>22039</v>
      </c>
      <c r="U7" s="181">
        <v>25752</v>
      </c>
      <c r="V7" s="101">
        <f t="shared" ref="V7:V70" si="2">((U7/G7)^(1/($K$2-$K$1) ))-1</f>
        <v>0.4065913585747476</v>
      </c>
      <c r="W7" s="21">
        <f>$O$2</f>
        <v>0.15</v>
      </c>
      <c r="X7" s="131">
        <f>U7*(1+$W7)</f>
        <v>29614.799999999999</v>
      </c>
      <c r="Y7" s="131">
        <f t="shared" ref="Y7:AG7" si="3">X7*(1+$W7)</f>
        <v>34057.019999999997</v>
      </c>
      <c r="Z7" s="131">
        <f t="shared" si="3"/>
        <v>39165.572999999997</v>
      </c>
      <c r="AA7" s="131">
        <f t="shared" si="3"/>
        <v>45040.40894999999</v>
      </c>
      <c r="AB7" s="131">
        <f t="shared" si="3"/>
        <v>51796.470292499987</v>
      </c>
      <c r="AC7" s="131">
        <f t="shared" si="3"/>
        <v>59565.940836374983</v>
      </c>
      <c r="AD7" s="131">
        <f t="shared" si="3"/>
        <v>68500.831961831223</v>
      </c>
      <c r="AE7" s="131">
        <f t="shared" si="3"/>
        <v>78775.956756105894</v>
      </c>
      <c r="AF7" s="131">
        <f t="shared" si="3"/>
        <v>90592.350269521776</v>
      </c>
      <c r="AG7" s="131">
        <f t="shared" si="3"/>
        <v>104181.20280995003</v>
      </c>
      <c r="AH7" s="116">
        <f>((AG7/J7)^(1/($AG$3-$K$1) ))-1</f>
        <v>0.23666710893285847</v>
      </c>
      <c r="AI7" s="21">
        <f>$O$1</f>
        <v>0.05</v>
      </c>
      <c r="AJ7" s="124">
        <f t="shared" si="1"/>
        <v>643472.13500263263</v>
      </c>
    </row>
    <row r="8" spans="2:36" x14ac:dyDescent="0.2">
      <c r="B8" s="10"/>
      <c r="C8" s="119"/>
      <c r="D8" s="119"/>
      <c r="E8" s="125"/>
      <c r="F8" s="269"/>
      <c r="G8" s="128" t="e">
        <f t="shared" ref="G8:T8" si="4">(G7-F7)/F7</f>
        <v>#DIV/0!</v>
      </c>
      <c r="H8" s="128">
        <f t="shared" si="4"/>
        <v>0</v>
      </c>
      <c r="I8" s="128">
        <f t="shared" si="4"/>
        <v>1.6359447004608294</v>
      </c>
      <c r="J8" s="128">
        <f t="shared" si="4"/>
        <v>0.37587412587412589</v>
      </c>
      <c r="K8" s="128">
        <f t="shared" si="4"/>
        <v>0.67598475222363408</v>
      </c>
      <c r="L8" s="128">
        <f t="shared" si="4"/>
        <v>0.23123578468536771</v>
      </c>
      <c r="M8" s="128">
        <f t="shared" si="4"/>
        <v>0.90209359605911332</v>
      </c>
      <c r="N8" s="128">
        <f t="shared" si="4"/>
        <v>0.22822920038847525</v>
      </c>
      <c r="O8" s="128">
        <f t="shared" si="4"/>
        <v>0.23247232472324722</v>
      </c>
      <c r="P8" s="128">
        <f t="shared" si="4"/>
        <v>0.24187339606501282</v>
      </c>
      <c r="Q8" s="128">
        <f t="shared" si="4"/>
        <v>0.22524539349061479</v>
      </c>
      <c r="R8" s="128">
        <f t="shared" si="4"/>
        <v>0.63949402670414612</v>
      </c>
      <c r="S8" s="128">
        <f t="shared" si="4"/>
        <v>0.17976853836262324</v>
      </c>
      <c r="T8" s="128">
        <f t="shared" si="4"/>
        <v>0.60143874436855105</v>
      </c>
      <c r="U8" s="128">
        <f t="shared" ref="U8" si="5">(U7-T7)/T7</f>
        <v>0.16847406869640183</v>
      </c>
      <c r="V8" s="10"/>
      <c r="W8" s="10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15"/>
      <c r="AI8" s="115"/>
      <c r="AJ8" s="124"/>
    </row>
    <row r="9" spans="2:36" x14ac:dyDescent="0.2">
      <c r="B9" s="10" t="s">
        <v>221</v>
      </c>
      <c r="C9" s="119"/>
      <c r="D9" s="119"/>
      <c r="E9" s="125"/>
      <c r="F9" s="125"/>
      <c r="G9" s="181">
        <f>H9</f>
        <v>0</v>
      </c>
      <c r="H9" s="181">
        <v>0</v>
      </c>
      <c r="I9" s="181">
        <v>0</v>
      </c>
      <c r="J9" s="181">
        <v>0</v>
      </c>
      <c r="K9" s="181">
        <v>0</v>
      </c>
      <c r="L9" s="181">
        <v>0</v>
      </c>
      <c r="M9" s="181">
        <v>0</v>
      </c>
      <c r="N9" s="181">
        <v>0</v>
      </c>
      <c r="O9" s="181">
        <v>0</v>
      </c>
      <c r="P9" s="181">
        <v>0</v>
      </c>
      <c r="Q9" s="181">
        <v>0</v>
      </c>
      <c r="R9" s="181">
        <v>0</v>
      </c>
      <c r="S9" s="181">
        <v>0</v>
      </c>
      <c r="T9" s="181"/>
      <c r="U9" s="181"/>
      <c r="V9" s="101" t="e">
        <f t="shared" si="2"/>
        <v>#DIV/0!</v>
      </c>
      <c r="W9" s="21">
        <f t="shared" ref="W9:W55" si="6">$O$2</f>
        <v>0.15</v>
      </c>
      <c r="X9" s="131">
        <f t="shared" ref="X9:X59" si="7">U9*(1+$W9)</f>
        <v>0</v>
      </c>
      <c r="Y9" s="131">
        <f t="shared" ref="Y9" si="8">X9*(1+$W9)</f>
        <v>0</v>
      </c>
      <c r="Z9" s="131">
        <f t="shared" ref="Z9" si="9">Y9*(1+$W9)</f>
        <v>0</v>
      </c>
      <c r="AA9" s="131">
        <f t="shared" ref="AA9" si="10">Z9*(1+$W9)</f>
        <v>0</v>
      </c>
      <c r="AB9" s="131">
        <f t="shared" ref="AB9" si="11">AA9*(1+$W9)</f>
        <v>0</v>
      </c>
      <c r="AC9" s="131">
        <f t="shared" ref="AC9" si="12">AB9*(1+$W9)</f>
        <v>0</v>
      </c>
      <c r="AD9" s="131">
        <f t="shared" ref="AD9" si="13">AC9*(1+$W9)</f>
        <v>0</v>
      </c>
      <c r="AE9" s="131">
        <f t="shared" ref="AE9" si="14">AD9*(1+$W9)</f>
        <v>0</v>
      </c>
      <c r="AF9" s="131">
        <f t="shared" ref="AF9" si="15">AE9*(1+$W9)</f>
        <v>0</v>
      </c>
      <c r="AG9" s="131">
        <f t="shared" ref="AG9" si="16">AF9*(1+$W9)</f>
        <v>0</v>
      </c>
      <c r="AH9" s="116" t="e">
        <f>((AG9/J9)^(1/($AG$3-$K$1) ))-1</f>
        <v>#DIV/0!</v>
      </c>
      <c r="AI9" s="21">
        <f t="shared" ref="AI9:AI99" si="17">$O$1</f>
        <v>0.05</v>
      </c>
      <c r="AJ9" s="124">
        <f t="shared" si="1"/>
        <v>0</v>
      </c>
    </row>
    <row r="10" spans="2:36" x14ac:dyDescent="0.2">
      <c r="B10" s="10" t="s">
        <v>3</v>
      </c>
      <c r="C10" s="119"/>
      <c r="D10" s="119"/>
      <c r="E10" s="125"/>
      <c r="F10" s="125"/>
      <c r="G10" s="181">
        <f>H10</f>
        <v>1032</v>
      </c>
      <c r="H10" s="181">
        <v>1032</v>
      </c>
      <c r="I10" s="181">
        <v>3375</v>
      </c>
      <c r="J10" s="181">
        <v>9087</v>
      </c>
      <c r="K10" s="181">
        <v>14259</v>
      </c>
      <c r="L10" s="181">
        <v>18358</v>
      </c>
      <c r="M10" s="181">
        <v>31547</v>
      </c>
      <c r="N10" s="181">
        <v>52629</v>
      </c>
      <c r="O10" s="181">
        <v>63308</v>
      </c>
      <c r="P10" s="181">
        <v>87877</v>
      </c>
      <c r="Q10" s="181">
        <v>95499</v>
      </c>
      <c r="R10" s="181">
        <v>117379</v>
      </c>
      <c r="S10" s="181">
        <v>143363</v>
      </c>
      <c r="T10" s="181">
        <v>181464.11</v>
      </c>
      <c r="U10" s="181">
        <v>275582</v>
      </c>
      <c r="V10" s="101">
        <f t="shared" si="2"/>
        <v>0.49048122833502261</v>
      </c>
      <c r="W10" s="21">
        <f t="shared" si="6"/>
        <v>0.15</v>
      </c>
      <c r="X10" s="131">
        <f t="shared" si="7"/>
        <v>316919.3</v>
      </c>
      <c r="Y10" s="131">
        <f t="shared" ref="Y10:AG10" si="18">X10*(1+$W10)</f>
        <v>364457.19499999995</v>
      </c>
      <c r="Z10" s="131">
        <f t="shared" si="18"/>
        <v>419125.7742499999</v>
      </c>
      <c r="AA10" s="131">
        <f t="shared" si="18"/>
        <v>481994.64038749982</v>
      </c>
      <c r="AB10" s="131">
        <f t="shared" si="18"/>
        <v>554293.83644562471</v>
      </c>
      <c r="AC10" s="131">
        <f t="shared" si="18"/>
        <v>637437.91191246838</v>
      </c>
      <c r="AD10" s="131">
        <f t="shared" si="18"/>
        <v>733053.59869933862</v>
      </c>
      <c r="AE10" s="131">
        <f t="shared" si="18"/>
        <v>843011.63850423938</v>
      </c>
      <c r="AF10" s="131">
        <f t="shared" si="18"/>
        <v>969463.3842798752</v>
      </c>
      <c r="AG10" s="131">
        <f t="shared" si="18"/>
        <v>1114882.8919218564</v>
      </c>
      <c r="AH10" s="116">
        <f t="shared" ref="AH10:AH57" si="19">((AG10/J10)^(1/($AG$3-$K$1) ))-1</f>
        <v>0.2325875324984279</v>
      </c>
      <c r="AI10" s="21">
        <f t="shared" si="17"/>
        <v>0.05</v>
      </c>
      <c r="AJ10" s="124">
        <f t="shared" si="1"/>
        <v>6886041.3912820555</v>
      </c>
    </row>
    <row r="11" spans="2:36" x14ac:dyDescent="0.2">
      <c r="B11" s="10"/>
      <c r="C11" s="119"/>
      <c r="D11" s="119"/>
      <c r="E11" s="125"/>
      <c r="F11" s="269"/>
      <c r="G11" s="128" t="e">
        <f t="shared" ref="G11:T11" si="20">(G10-F10)/F10</f>
        <v>#DIV/0!</v>
      </c>
      <c r="H11" s="128">
        <f t="shared" si="20"/>
        <v>0</v>
      </c>
      <c r="I11" s="128">
        <f t="shared" si="20"/>
        <v>2.2703488372093021</v>
      </c>
      <c r="J11" s="128">
        <f t="shared" si="20"/>
        <v>1.6924444444444444</v>
      </c>
      <c r="K11" s="128">
        <f t="shared" si="20"/>
        <v>0.56916474083856061</v>
      </c>
      <c r="L11" s="128">
        <f t="shared" si="20"/>
        <v>0.28746756434532578</v>
      </c>
      <c r="M11" s="128">
        <f t="shared" si="20"/>
        <v>0.7184333805425428</v>
      </c>
      <c r="N11" s="128">
        <f t="shared" si="20"/>
        <v>0.66827273591783687</v>
      </c>
      <c r="O11" s="128">
        <f t="shared" si="20"/>
        <v>0.20291094263618917</v>
      </c>
      <c r="P11" s="128">
        <f t="shared" si="20"/>
        <v>0.38808681367283754</v>
      </c>
      <c r="Q11" s="128">
        <f t="shared" si="20"/>
        <v>8.6734868054212141E-2</v>
      </c>
      <c r="R11" s="128">
        <f t="shared" si="20"/>
        <v>0.22911234672614372</v>
      </c>
      <c r="S11" s="128">
        <f t="shared" si="20"/>
        <v>0.22136838787176583</v>
      </c>
      <c r="T11" s="128">
        <f t="shared" si="20"/>
        <v>0.26576669015017812</v>
      </c>
      <c r="U11" s="128">
        <f t="shared" ref="U11" si="21">(U10-T10)/T10</f>
        <v>0.51865842782906224</v>
      </c>
      <c r="V11" s="10"/>
      <c r="W11" s="10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02"/>
      <c r="AI11" s="21">
        <f t="shared" si="17"/>
        <v>0.05</v>
      </c>
      <c r="AJ11" s="131"/>
    </row>
    <row r="12" spans="2:36" x14ac:dyDescent="0.2">
      <c r="B12" s="10" t="s">
        <v>2</v>
      </c>
      <c r="C12" s="119"/>
      <c r="D12" s="119"/>
      <c r="E12" s="125"/>
      <c r="F12" s="125"/>
      <c r="G12" s="181">
        <f>H12</f>
        <v>0</v>
      </c>
      <c r="H12" s="181">
        <v>0</v>
      </c>
      <c r="I12" s="181">
        <v>0</v>
      </c>
      <c r="J12" s="181">
        <v>0</v>
      </c>
      <c r="K12" s="181">
        <v>0</v>
      </c>
      <c r="L12" s="181">
        <v>0</v>
      </c>
      <c r="M12" s="181">
        <v>0</v>
      </c>
      <c r="N12" s="181">
        <v>0</v>
      </c>
      <c r="O12" s="181">
        <v>0</v>
      </c>
      <c r="P12" s="181">
        <v>0</v>
      </c>
      <c r="Q12" s="181">
        <v>0</v>
      </c>
      <c r="R12" s="181">
        <v>0</v>
      </c>
      <c r="S12" s="181">
        <v>0</v>
      </c>
      <c r="T12" s="181" t="s">
        <v>57</v>
      </c>
      <c r="U12" s="181">
        <v>0</v>
      </c>
      <c r="V12" s="101" t="e">
        <f t="shared" si="2"/>
        <v>#DIV/0!</v>
      </c>
      <c r="W12" s="21">
        <f t="shared" si="6"/>
        <v>0.15</v>
      </c>
      <c r="X12" s="131">
        <f t="shared" si="7"/>
        <v>0</v>
      </c>
      <c r="Y12" s="131">
        <f t="shared" ref="Y12:AG12" si="22">X12*(1+$W12)</f>
        <v>0</v>
      </c>
      <c r="Z12" s="131">
        <f t="shared" si="22"/>
        <v>0</v>
      </c>
      <c r="AA12" s="131">
        <f t="shared" si="22"/>
        <v>0</v>
      </c>
      <c r="AB12" s="131">
        <f t="shared" si="22"/>
        <v>0</v>
      </c>
      <c r="AC12" s="131">
        <f t="shared" si="22"/>
        <v>0</v>
      </c>
      <c r="AD12" s="131">
        <f t="shared" si="22"/>
        <v>0</v>
      </c>
      <c r="AE12" s="131">
        <f t="shared" si="22"/>
        <v>0</v>
      </c>
      <c r="AF12" s="131">
        <f t="shared" si="22"/>
        <v>0</v>
      </c>
      <c r="AG12" s="131">
        <f t="shared" si="22"/>
        <v>0</v>
      </c>
      <c r="AH12" s="116" t="e">
        <f t="shared" si="19"/>
        <v>#DIV/0!</v>
      </c>
      <c r="AI12" s="21">
        <f t="shared" si="17"/>
        <v>0.05</v>
      </c>
      <c r="AJ12" s="124">
        <f t="shared" si="1"/>
        <v>0</v>
      </c>
    </row>
    <row r="13" spans="2:36" x14ac:dyDescent="0.2">
      <c r="B13" s="10" t="s">
        <v>191</v>
      </c>
      <c r="C13" s="119"/>
      <c r="D13" s="119"/>
      <c r="E13" s="125"/>
      <c r="F13" s="125"/>
      <c r="G13" s="181">
        <f>H13</f>
        <v>395</v>
      </c>
      <c r="H13" s="181">
        <v>395</v>
      </c>
      <c r="I13" s="181">
        <v>1350</v>
      </c>
      <c r="J13" s="181">
        <v>3073</v>
      </c>
      <c r="K13" s="181">
        <v>5093</v>
      </c>
      <c r="L13" s="181">
        <v>7117</v>
      </c>
      <c r="M13" s="181">
        <v>10209</v>
      </c>
      <c r="N13" s="181">
        <v>18828</v>
      </c>
      <c r="O13" s="181">
        <v>27757</v>
      </c>
      <c r="P13" s="181">
        <v>42975</v>
      </c>
      <c r="Q13" s="181">
        <v>40932</v>
      </c>
      <c r="R13" s="181">
        <v>46570</v>
      </c>
      <c r="S13" s="181">
        <v>48788</v>
      </c>
      <c r="T13" s="181">
        <v>49981.8</v>
      </c>
      <c r="U13" s="181">
        <v>68293</v>
      </c>
      <c r="V13" s="101">
        <f t="shared" si="2"/>
        <v>0.44491188704947571</v>
      </c>
      <c r="W13" s="21">
        <f t="shared" si="6"/>
        <v>0.15</v>
      </c>
      <c r="X13" s="131">
        <f t="shared" si="7"/>
        <v>78536.95</v>
      </c>
      <c r="Y13" s="131">
        <f t="shared" ref="Y13:AG13" si="23">X13*(1+$W13)</f>
        <v>90317.492499999993</v>
      </c>
      <c r="Z13" s="131">
        <f t="shared" si="23"/>
        <v>103865.11637499998</v>
      </c>
      <c r="AA13" s="131">
        <f t="shared" si="23"/>
        <v>119444.88383124997</v>
      </c>
      <c r="AB13" s="131">
        <f t="shared" si="23"/>
        <v>137361.61640593747</v>
      </c>
      <c r="AC13" s="131">
        <f t="shared" si="23"/>
        <v>157965.85886682809</v>
      </c>
      <c r="AD13" s="131">
        <f t="shared" si="23"/>
        <v>181660.73769685227</v>
      </c>
      <c r="AE13" s="131">
        <f t="shared" si="23"/>
        <v>208909.84835138009</v>
      </c>
      <c r="AF13" s="131">
        <f t="shared" si="23"/>
        <v>240246.32560408709</v>
      </c>
      <c r="AG13" s="131">
        <f t="shared" si="23"/>
        <v>276283.27444470016</v>
      </c>
      <c r="AH13" s="116">
        <f t="shared" si="19"/>
        <v>0.21603893331625867</v>
      </c>
      <c r="AI13" s="21">
        <f t="shared" si="17"/>
        <v>0.05</v>
      </c>
      <c r="AJ13" s="124">
        <f t="shared" si="1"/>
        <v>1706455.5186290306</v>
      </c>
    </row>
    <row r="14" spans="2:36" x14ac:dyDescent="0.2">
      <c r="B14" s="10" t="s">
        <v>318</v>
      </c>
      <c r="C14" s="119"/>
      <c r="D14" s="119"/>
      <c r="E14" s="125"/>
      <c r="F14" s="125"/>
      <c r="G14" s="181">
        <f>H14</f>
        <v>0</v>
      </c>
      <c r="H14" s="181">
        <v>0</v>
      </c>
      <c r="I14" s="181">
        <v>0</v>
      </c>
      <c r="J14" s="181">
        <v>0</v>
      </c>
      <c r="K14" s="181">
        <v>0</v>
      </c>
      <c r="L14" s="181">
        <v>0</v>
      </c>
      <c r="M14" s="181">
        <v>0</v>
      </c>
      <c r="N14" s="181">
        <v>0</v>
      </c>
      <c r="O14" s="181">
        <v>0</v>
      </c>
      <c r="P14" s="181">
        <v>0</v>
      </c>
      <c r="Q14" s="181">
        <v>0</v>
      </c>
      <c r="R14" s="181">
        <v>0</v>
      </c>
      <c r="S14" s="181">
        <v>0</v>
      </c>
      <c r="T14" s="181" t="s">
        <v>57</v>
      </c>
      <c r="U14" s="181">
        <v>0</v>
      </c>
      <c r="V14" s="101" t="e">
        <f t="shared" si="2"/>
        <v>#DIV/0!</v>
      </c>
      <c r="W14" s="21">
        <f t="shared" si="6"/>
        <v>0.15</v>
      </c>
      <c r="X14" s="131">
        <f t="shared" si="7"/>
        <v>0</v>
      </c>
      <c r="Y14" s="131">
        <f t="shared" ref="Y14" si="24">X14*(1+$W14)</f>
        <v>0</v>
      </c>
      <c r="Z14" s="131">
        <f t="shared" ref="Z14" si="25">Y14*(1+$W14)</f>
        <v>0</v>
      </c>
      <c r="AA14" s="131">
        <f t="shared" ref="AA14" si="26">Z14*(1+$W14)</f>
        <v>0</v>
      </c>
      <c r="AB14" s="131">
        <f t="shared" ref="AB14" si="27">AA14*(1+$W14)</f>
        <v>0</v>
      </c>
      <c r="AC14" s="131">
        <f t="shared" ref="AC14" si="28">AB14*(1+$W14)</f>
        <v>0</v>
      </c>
      <c r="AD14" s="131">
        <f t="shared" ref="AD14" si="29">AC14*(1+$W14)</f>
        <v>0</v>
      </c>
      <c r="AE14" s="131">
        <f t="shared" ref="AE14" si="30">AD14*(1+$W14)</f>
        <v>0</v>
      </c>
      <c r="AF14" s="131">
        <f t="shared" ref="AF14" si="31">AE14*(1+$W14)</f>
        <v>0</v>
      </c>
      <c r="AG14" s="131">
        <f t="shared" ref="AG14" si="32">AF14*(1+$W14)</f>
        <v>0</v>
      </c>
      <c r="AH14" s="116" t="e">
        <f t="shared" ref="AH14" si="33">((AG14/J14)^(1/($AG$3-$K$1) ))-1</f>
        <v>#DIV/0!</v>
      </c>
      <c r="AI14" s="21">
        <f t="shared" si="17"/>
        <v>0.05</v>
      </c>
      <c r="AJ14" s="124">
        <f t="shared" ref="AJ14" si="34">(AG14*(1+AI14))/($C$1-AI14)</f>
        <v>0</v>
      </c>
    </row>
    <row r="15" spans="2:36" x14ac:dyDescent="0.2">
      <c r="B15" s="10" t="s">
        <v>11</v>
      </c>
      <c r="C15" s="119"/>
      <c r="D15" s="119"/>
      <c r="E15" s="125"/>
      <c r="F15" s="125"/>
      <c r="G15" s="181">
        <f>H15</f>
        <v>0</v>
      </c>
      <c r="H15" s="181">
        <v>0</v>
      </c>
      <c r="I15" s="181">
        <v>0</v>
      </c>
      <c r="J15" s="181">
        <v>0</v>
      </c>
      <c r="K15" s="181">
        <v>0</v>
      </c>
      <c r="L15" s="181">
        <v>0</v>
      </c>
      <c r="M15" s="181">
        <v>0</v>
      </c>
      <c r="N15" s="181">
        <v>0</v>
      </c>
      <c r="O15" s="181">
        <v>0</v>
      </c>
      <c r="P15" s="181">
        <v>0</v>
      </c>
      <c r="Q15" s="181">
        <v>0</v>
      </c>
      <c r="R15" s="181">
        <v>0</v>
      </c>
      <c r="S15" s="181">
        <v>0</v>
      </c>
      <c r="T15" s="181" t="s">
        <v>57</v>
      </c>
      <c r="U15" s="181">
        <v>0</v>
      </c>
      <c r="V15" s="101" t="e">
        <f t="shared" si="2"/>
        <v>#DIV/0!</v>
      </c>
      <c r="W15" s="21">
        <f t="shared" si="6"/>
        <v>0.15</v>
      </c>
      <c r="X15" s="131">
        <f t="shared" si="7"/>
        <v>0</v>
      </c>
      <c r="Y15" s="131">
        <f t="shared" ref="Y15:AG15" si="35">X15*(1+$W15)</f>
        <v>0</v>
      </c>
      <c r="Z15" s="131">
        <f t="shared" si="35"/>
        <v>0</v>
      </c>
      <c r="AA15" s="131">
        <f t="shared" si="35"/>
        <v>0</v>
      </c>
      <c r="AB15" s="131">
        <f t="shared" si="35"/>
        <v>0</v>
      </c>
      <c r="AC15" s="131">
        <f t="shared" si="35"/>
        <v>0</v>
      </c>
      <c r="AD15" s="131">
        <f t="shared" si="35"/>
        <v>0</v>
      </c>
      <c r="AE15" s="131">
        <f t="shared" si="35"/>
        <v>0</v>
      </c>
      <c r="AF15" s="131">
        <f t="shared" si="35"/>
        <v>0</v>
      </c>
      <c r="AG15" s="131">
        <f t="shared" si="35"/>
        <v>0</v>
      </c>
      <c r="AH15" s="116" t="e">
        <f t="shared" si="19"/>
        <v>#DIV/0!</v>
      </c>
      <c r="AI15" s="21">
        <f t="shared" si="17"/>
        <v>0.05</v>
      </c>
      <c r="AJ15" s="124">
        <f t="shared" si="1"/>
        <v>0</v>
      </c>
    </row>
    <row r="16" spans="2:36" x14ac:dyDescent="0.2">
      <c r="B16" s="10" t="s">
        <v>12</v>
      </c>
      <c r="C16" s="119"/>
      <c r="D16" s="119"/>
      <c r="E16" s="125"/>
      <c r="F16" s="125"/>
      <c r="G16" s="181">
        <f>H16</f>
        <v>0</v>
      </c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>
        <v>0</v>
      </c>
      <c r="N16" s="181">
        <v>0</v>
      </c>
      <c r="O16" s="181">
        <v>0</v>
      </c>
      <c r="P16" s="181">
        <v>0</v>
      </c>
      <c r="Q16" s="181">
        <v>0</v>
      </c>
      <c r="R16" s="181">
        <v>0</v>
      </c>
      <c r="S16" s="181">
        <v>0</v>
      </c>
      <c r="T16" s="181" t="s">
        <v>57</v>
      </c>
      <c r="U16" s="181">
        <v>0</v>
      </c>
      <c r="V16" s="101" t="e">
        <f t="shared" si="2"/>
        <v>#DIV/0!</v>
      </c>
      <c r="W16" s="21">
        <f t="shared" si="6"/>
        <v>0.15</v>
      </c>
      <c r="X16" s="131">
        <f t="shared" si="7"/>
        <v>0</v>
      </c>
      <c r="Y16" s="131">
        <f t="shared" ref="Y16:AG16" si="36">X16*(1+$W16)</f>
        <v>0</v>
      </c>
      <c r="Z16" s="131">
        <f t="shared" si="36"/>
        <v>0</v>
      </c>
      <c r="AA16" s="131">
        <f t="shared" si="36"/>
        <v>0</v>
      </c>
      <c r="AB16" s="131">
        <f t="shared" si="36"/>
        <v>0</v>
      </c>
      <c r="AC16" s="131">
        <f t="shared" si="36"/>
        <v>0</v>
      </c>
      <c r="AD16" s="131">
        <f t="shared" si="36"/>
        <v>0</v>
      </c>
      <c r="AE16" s="131">
        <f t="shared" si="36"/>
        <v>0</v>
      </c>
      <c r="AF16" s="131">
        <f t="shared" si="36"/>
        <v>0</v>
      </c>
      <c r="AG16" s="131">
        <f t="shared" si="36"/>
        <v>0</v>
      </c>
      <c r="AH16" s="116" t="e">
        <f t="shared" si="19"/>
        <v>#DIV/0!</v>
      </c>
      <c r="AI16" s="21">
        <f t="shared" si="17"/>
        <v>0.05</v>
      </c>
      <c r="AJ16" s="124">
        <f t="shared" si="1"/>
        <v>0</v>
      </c>
    </row>
    <row r="17" spans="2:36" x14ac:dyDescent="0.2">
      <c r="B17" s="10"/>
      <c r="C17" s="119"/>
      <c r="D17" s="119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81"/>
      <c r="U17" s="181"/>
      <c r="V17" s="10"/>
      <c r="W17" s="10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17"/>
      <c r="AI17" s="115"/>
      <c r="AJ17" s="131"/>
    </row>
    <row r="18" spans="2:36" x14ac:dyDescent="0.2">
      <c r="B18" s="10" t="s">
        <v>229</v>
      </c>
      <c r="C18" s="119"/>
      <c r="D18" s="119"/>
      <c r="E18" s="125"/>
      <c r="F18" s="125"/>
      <c r="G18" s="181">
        <f>H18</f>
        <v>16</v>
      </c>
      <c r="H18" s="181">
        <v>16</v>
      </c>
      <c r="I18" s="181">
        <v>29</v>
      </c>
      <c r="J18" s="181">
        <v>69</v>
      </c>
      <c r="K18" s="181">
        <v>97</v>
      </c>
      <c r="L18" s="181">
        <v>130</v>
      </c>
      <c r="M18" s="181">
        <v>114</v>
      </c>
      <c r="N18" s="181">
        <v>129</v>
      </c>
      <c r="O18" s="181">
        <v>169</v>
      </c>
      <c r="P18" s="181">
        <v>218</v>
      </c>
      <c r="Q18" s="181">
        <v>277</v>
      </c>
      <c r="R18" s="181">
        <v>296</v>
      </c>
      <c r="S18" s="181">
        <v>414</v>
      </c>
      <c r="T18" s="181">
        <v>611</v>
      </c>
      <c r="U18" s="181">
        <v>765</v>
      </c>
      <c r="V18" s="101">
        <f t="shared" si="2"/>
        <v>0.31815732271131281</v>
      </c>
      <c r="W18" s="21">
        <f t="shared" si="6"/>
        <v>0.15</v>
      </c>
      <c r="X18" s="131">
        <f t="shared" si="7"/>
        <v>879.74999999999989</v>
      </c>
      <c r="Y18" s="131">
        <f t="shared" ref="Y18:Y34" si="37">X18*(1+$W18)</f>
        <v>1011.7124999999997</v>
      </c>
      <c r="Z18" s="131">
        <f t="shared" ref="Z18:Z34" si="38">Y18*(1+$W18)</f>
        <v>1163.4693749999997</v>
      </c>
      <c r="AA18" s="131">
        <f t="shared" ref="AA18:AA34" si="39">Z18*(1+$W18)</f>
        <v>1337.9897812499996</v>
      </c>
      <c r="AB18" s="131">
        <f t="shared" ref="AB18:AB51" si="40">AA18*(1+$W18)</f>
        <v>1538.6882484374994</v>
      </c>
      <c r="AC18" s="131">
        <f t="shared" ref="AC18:AC51" si="41">AB18*(1+$W18)</f>
        <v>1769.4914857031242</v>
      </c>
      <c r="AD18" s="131">
        <f t="shared" ref="AD18:AD51" si="42">AC18*(1+$W18)</f>
        <v>2034.9152085585927</v>
      </c>
      <c r="AE18" s="131">
        <f t="shared" ref="AE18:AE51" si="43">AD18*(1+$W18)</f>
        <v>2340.1524898423813</v>
      </c>
      <c r="AF18" s="131">
        <f t="shared" ref="AF18:AF51" si="44">AE18*(1+$W18)</f>
        <v>2691.1753633187382</v>
      </c>
      <c r="AG18" s="131">
        <f t="shared" ref="AG18:AG51" si="45">AF18*(1+$W18)</f>
        <v>3094.8516678165488</v>
      </c>
      <c r="AH18" s="116">
        <f t="shared" si="19"/>
        <v>0.17982335532029592</v>
      </c>
      <c r="AI18" s="21">
        <f t="shared" si="17"/>
        <v>0.05</v>
      </c>
      <c r="AJ18" s="124">
        <f t="shared" si="1"/>
        <v>19115.260301219863</v>
      </c>
    </row>
    <row r="19" spans="2:36" x14ac:dyDescent="0.2">
      <c r="B19" s="10"/>
      <c r="C19" s="119"/>
      <c r="D19" s="119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81"/>
      <c r="U19" s="181"/>
      <c r="V19" s="10"/>
      <c r="W19" s="10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17"/>
      <c r="AI19" s="115"/>
      <c r="AJ19" s="131"/>
    </row>
    <row r="20" spans="2:36" x14ac:dyDescent="0.2">
      <c r="B20" s="10" t="s">
        <v>234</v>
      </c>
      <c r="C20" s="119"/>
      <c r="D20" s="119"/>
      <c r="E20" s="125"/>
      <c r="F20" s="125"/>
      <c r="G20" s="125">
        <f>H20</f>
        <v>-55</v>
      </c>
      <c r="H20" s="125">
        <v>-55</v>
      </c>
      <c r="I20" s="125">
        <v>-166</v>
      </c>
      <c r="J20" s="125">
        <v>1801</v>
      </c>
      <c r="K20" s="125">
        <v>-196</v>
      </c>
      <c r="L20" s="125">
        <v>-365</v>
      </c>
      <c r="M20" s="125">
        <v>960</v>
      </c>
      <c r="N20" s="125">
        <v>3050</v>
      </c>
      <c r="O20" s="125">
        <v>3588</v>
      </c>
      <c r="P20" s="125">
        <v>540</v>
      </c>
      <c r="Q20" s="125">
        <v>4448</v>
      </c>
      <c r="R20" s="181">
        <v>-1449</v>
      </c>
      <c r="S20" s="181">
        <v>-363</v>
      </c>
      <c r="T20" s="181">
        <v>4378</v>
      </c>
      <c r="U20" s="181">
        <v>-21877</v>
      </c>
      <c r="V20" s="101">
        <f t="shared" si="2"/>
        <v>0.5335131538032829</v>
      </c>
      <c r="W20" s="21">
        <f t="shared" si="6"/>
        <v>0.15</v>
      </c>
      <c r="X20" s="131">
        <f t="shared" si="7"/>
        <v>-25158.55</v>
      </c>
      <c r="Y20" s="131">
        <f t="shared" ref="Y20:Y22" si="46">X20*(1+$W20)</f>
        <v>-28932.332499999997</v>
      </c>
      <c r="Z20" s="131">
        <f t="shared" ref="Z20:Z22" si="47">Y20*(1+$W20)</f>
        <v>-33272.182374999997</v>
      </c>
      <c r="AA20" s="131">
        <f t="shared" ref="AA20:AA22" si="48">Z20*(1+$W20)</f>
        <v>-38263.009731249993</v>
      </c>
      <c r="AB20" s="131">
        <f t="shared" ref="AB20:AB22" si="49">AA20*(1+$W20)</f>
        <v>-44002.461190937487</v>
      </c>
      <c r="AC20" s="131">
        <f t="shared" ref="AC20:AC22" si="50">AB20*(1+$W20)</f>
        <v>-50602.830369578107</v>
      </c>
      <c r="AD20" s="131">
        <f t="shared" ref="AD20:AD22" si="51">AC20*(1+$W20)</f>
        <v>-58193.254925014815</v>
      </c>
      <c r="AE20" s="131">
        <f t="shared" ref="AE20:AE22" si="52">AD20*(1+$W20)</f>
        <v>-66922.243163767038</v>
      </c>
      <c r="AF20" s="131">
        <f t="shared" ref="AF20:AF22" si="53">AE20*(1+$W20)</f>
        <v>-76960.579638332085</v>
      </c>
      <c r="AG20" s="131">
        <f t="shared" ref="AG20:AG22" si="54">AF20*(1+$W20)</f>
        <v>-88504.66658408189</v>
      </c>
      <c r="AH20" s="116">
        <f t="shared" ref="AH20:AH22" si="55">((AG20/J20)^(1/($AG$3-$K$1) ))-1</f>
        <v>-2.1845173086589433</v>
      </c>
      <c r="AI20" s="21">
        <f t="shared" si="17"/>
        <v>0.05</v>
      </c>
      <c r="AJ20" s="124">
        <f t="shared" si="1"/>
        <v>-546646.47007815295</v>
      </c>
    </row>
    <row r="21" spans="2:36" x14ac:dyDescent="0.2">
      <c r="B21" s="10" t="s">
        <v>235</v>
      </c>
      <c r="C21" s="119"/>
      <c r="D21" s="119"/>
      <c r="E21" s="125"/>
      <c r="F21" s="125"/>
      <c r="G21" s="125">
        <f>H21</f>
        <v>-108</v>
      </c>
      <c r="H21" s="125">
        <v>-108</v>
      </c>
      <c r="I21" s="125">
        <v>-70</v>
      </c>
      <c r="J21" s="125">
        <v>-1222</v>
      </c>
      <c r="K21" s="125">
        <v>-49</v>
      </c>
      <c r="L21" s="125">
        <v>-60</v>
      </c>
      <c r="M21" s="125">
        <v>-2006</v>
      </c>
      <c r="N21" s="125">
        <v>-3423</v>
      </c>
      <c r="O21" s="125">
        <v>-4863</v>
      </c>
      <c r="P21" s="125">
        <v>-6741</v>
      </c>
      <c r="Q21" s="125">
        <v>-2798</v>
      </c>
      <c r="R21" s="181">
        <v>-4459</v>
      </c>
      <c r="S21" s="181">
        <v>-4035</v>
      </c>
      <c r="T21" s="181">
        <v>-4473</v>
      </c>
      <c r="U21" s="181">
        <v>-8691</v>
      </c>
      <c r="V21" s="101">
        <f t="shared" si="2"/>
        <v>0.36809914357926443</v>
      </c>
      <c r="W21" s="21">
        <f t="shared" si="6"/>
        <v>0.15</v>
      </c>
      <c r="X21" s="131">
        <f t="shared" si="7"/>
        <v>-9994.65</v>
      </c>
      <c r="Y21" s="131">
        <f t="shared" si="46"/>
        <v>-11493.847499999998</v>
      </c>
      <c r="Z21" s="131">
        <f t="shared" si="47"/>
        <v>-13217.924624999996</v>
      </c>
      <c r="AA21" s="131">
        <f t="shared" si="48"/>
        <v>-15200.613318749995</v>
      </c>
      <c r="AB21" s="131">
        <f t="shared" si="49"/>
        <v>-17480.705316562493</v>
      </c>
      <c r="AC21" s="131">
        <f t="shared" si="50"/>
        <v>-20102.811114046865</v>
      </c>
      <c r="AD21" s="131">
        <f t="shared" si="51"/>
        <v>-23118.232781153893</v>
      </c>
      <c r="AE21" s="131">
        <f t="shared" si="52"/>
        <v>-26585.967698326975</v>
      </c>
      <c r="AF21" s="131">
        <f t="shared" si="53"/>
        <v>-30573.862853076018</v>
      </c>
      <c r="AG21" s="131">
        <f t="shared" si="54"/>
        <v>-35159.942281037416</v>
      </c>
      <c r="AH21" s="116">
        <f t="shared" si="55"/>
        <v>0.15726756261385311</v>
      </c>
      <c r="AI21" s="21">
        <f t="shared" si="17"/>
        <v>0.05</v>
      </c>
      <c r="AJ21" s="124">
        <f t="shared" si="1"/>
        <v>-217164.34938287819</v>
      </c>
    </row>
    <row r="22" spans="2:36" x14ac:dyDescent="0.2">
      <c r="B22" s="10" t="s">
        <v>236</v>
      </c>
      <c r="C22" s="119"/>
      <c r="D22" s="119"/>
      <c r="E22" s="125"/>
      <c r="F22" s="125"/>
      <c r="G22" s="125">
        <f>H22</f>
        <v>217</v>
      </c>
      <c r="H22" s="125">
        <v>217</v>
      </c>
      <c r="I22" s="125">
        <v>398</v>
      </c>
      <c r="J22" s="125">
        <v>498</v>
      </c>
      <c r="K22" s="125">
        <v>580</v>
      </c>
      <c r="L22" s="125">
        <v>720</v>
      </c>
      <c r="M22" s="125">
        <v>1796</v>
      </c>
      <c r="N22" s="125">
        <v>1195</v>
      </c>
      <c r="O22" s="125">
        <v>1364</v>
      </c>
      <c r="P22" s="125">
        <v>6681</v>
      </c>
      <c r="Q22" s="125">
        <v>175</v>
      </c>
      <c r="R22" s="181">
        <v>7573</v>
      </c>
      <c r="S22" s="181">
        <v>5059</v>
      </c>
      <c r="T22" s="181">
        <v>11429</v>
      </c>
      <c r="U22" s="181">
        <v>35747</v>
      </c>
      <c r="V22" s="101">
        <f t="shared" si="2"/>
        <v>0.43993012926902919</v>
      </c>
      <c r="W22" s="21">
        <f t="shared" si="6"/>
        <v>0.15</v>
      </c>
      <c r="X22" s="131">
        <f t="shared" si="7"/>
        <v>41109.049999999996</v>
      </c>
      <c r="Y22" s="131">
        <f t="shared" si="46"/>
        <v>47275.407499999994</v>
      </c>
      <c r="Z22" s="131">
        <f t="shared" si="47"/>
        <v>54366.718624999987</v>
      </c>
      <c r="AA22" s="131">
        <f t="shared" si="48"/>
        <v>62521.726418749982</v>
      </c>
      <c r="AB22" s="131">
        <f t="shared" si="49"/>
        <v>71899.985381562481</v>
      </c>
      <c r="AC22" s="131">
        <f t="shared" si="50"/>
        <v>82684.983188796847</v>
      </c>
      <c r="AD22" s="131">
        <f t="shared" si="51"/>
        <v>95087.730667116368</v>
      </c>
      <c r="AE22" s="131">
        <f t="shared" si="52"/>
        <v>109350.89026718382</v>
      </c>
      <c r="AF22" s="131">
        <f t="shared" si="53"/>
        <v>125753.52380726137</v>
      </c>
      <c r="AG22" s="131">
        <f t="shared" si="54"/>
        <v>144616.55237835058</v>
      </c>
      <c r="AH22" s="116">
        <f t="shared" si="55"/>
        <v>0.27963604105909079</v>
      </c>
      <c r="AI22" s="21">
        <f t="shared" si="17"/>
        <v>0.05</v>
      </c>
      <c r="AJ22" s="124">
        <f t="shared" si="1"/>
        <v>893219.88233687135</v>
      </c>
    </row>
    <row r="23" spans="2:36" x14ac:dyDescent="0.2">
      <c r="B23" s="10" t="s">
        <v>245</v>
      </c>
      <c r="C23" s="119"/>
      <c r="D23" s="119"/>
      <c r="E23" s="125"/>
      <c r="F23" s="125"/>
      <c r="G23" s="125">
        <f>H23</f>
        <v>53</v>
      </c>
      <c r="H23" s="125">
        <v>53</v>
      </c>
      <c r="I23" s="125">
        <v>216</v>
      </c>
      <c r="J23" s="125">
        <v>1292</v>
      </c>
      <c r="K23" s="125">
        <v>1627</v>
      </c>
      <c r="L23" s="125">
        <v>1922</v>
      </c>
      <c r="M23" s="125">
        <v>2673</v>
      </c>
      <c r="N23" s="125">
        <v>3495</v>
      </c>
      <c r="O23" s="125">
        <v>3585</v>
      </c>
      <c r="P23" s="125">
        <v>4065</v>
      </c>
      <c r="Q23" s="125">
        <v>5891</v>
      </c>
      <c r="R23" s="181">
        <v>7557</v>
      </c>
      <c r="S23" s="181">
        <v>8218</v>
      </c>
      <c r="T23" s="181">
        <v>11331</v>
      </c>
      <c r="U23" s="181">
        <v>5184</v>
      </c>
      <c r="V23" s="101">
        <f t="shared" si="2"/>
        <v>0.38730084774127604</v>
      </c>
      <c r="W23" s="21">
        <f t="shared" si="6"/>
        <v>0.15</v>
      </c>
      <c r="X23" s="131">
        <f t="shared" si="7"/>
        <v>5961.5999999999995</v>
      </c>
      <c r="Y23" s="131">
        <f t="shared" ref="Y23" si="56">X23*(1+$W23)</f>
        <v>6855.8399999999992</v>
      </c>
      <c r="Z23" s="131">
        <f t="shared" ref="Z23" si="57">Y23*(1+$W23)</f>
        <v>7884.2159999999985</v>
      </c>
      <c r="AA23" s="131">
        <f t="shared" ref="AA23" si="58">Z23*(1+$W23)</f>
        <v>9066.8483999999971</v>
      </c>
      <c r="AB23" s="131">
        <f t="shared" ref="AB23" si="59">AA23*(1+$W23)</f>
        <v>10426.875659999996</v>
      </c>
      <c r="AC23" s="131">
        <f t="shared" ref="AC23" si="60">AB23*(1+$W23)</f>
        <v>11990.907008999995</v>
      </c>
      <c r="AD23" s="131">
        <f t="shared" ref="AD23" si="61">AC23*(1+$W23)</f>
        <v>13789.543060349994</v>
      </c>
      <c r="AE23" s="131">
        <f t="shared" ref="AE23" si="62">AD23*(1+$W23)</f>
        <v>15857.974519402491</v>
      </c>
      <c r="AF23" s="131">
        <f t="shared" ref="AF23" si="63">AE23*(1+$W23)</f>
        <v>18236.670697312864</v>
      </c>
      <c r="AG23" s="131">
        <f t="shared" ref="AG23" si="64">AF23*(1+$W23)</f>
        <v>20972.171301909792</v>
      </c>
      <c r="AH23" s="116">
        <f t="shared" ref="AH23" si="65">((AG23/J23)^(1/($AG$3-$K$1) ))-1</f>
        <v>0.1288214563186123</v>
      </c>
      <c r="AI23" s="21">
        <f t="shared" si="17"/>
        <v>0.05</v>
      </c>
      <c r="AJ23" s="124">
        <f t="shared" si="1"/>
        <v>129533.99921767815</v>
      </c>
    </row>
    <row r="24" spans="2:36" x14ac:dyDescent="0.2">
      <c r="B24" s="10"/>
      <c r="C24" s="119"/>
      <c r="D24" s="119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81"/>
      <c r="U24" s="181"/>
      <c r="V24" s="10"/>
      <c r="W24" s="10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02"/>
      <c r="AI24" s="115"/>
      <c r="AJ24" s="131"/>
    </row>
    <row r="25" spans="2:36" x14ac:dyDescent="0.2">
      <c r="B25" s="10" t="s">
        <v>68</v>
      </c>
      <c r="C25" s="119"/>
      <c r="D25" s="119"/>
      <c r="E25" s="125"/>
      <c r="F25" s="125"/>
      <c r="G25" s="121">
        <f>H25</f>
        <v>48</v>
      </c>
      <c r="H25" s="272">
        <v>48</v>
      </c>
      <c r="I25" s="272">
        <v>289</v>
      </c>
      <c r="J25" s="121">
        <v>788</v>
      </c>
      <c r="K25" s="121">
        <v>1671</v>
      </c>
      <c r="L25" s="273">
        <v>2438</v>
      </c>
      <c r="M25" s="273">
        <v>2945</v>
      </c>
      <c r="N25" s="273">
        <v>4665</v>
      </c>
      <c r="O25" s="273">
        <v>7164</v>
      </c>
      <c r="P25" s="273">
        <v>9551</v>
      </c>
      <c r="Q25" s="273">
        <v>11702</v>
      </c>
      <c r="R25" s="181">
        <v>13619</v>
      </c>
      <c r="S25" s="181">
        <v>16262</v>
      </c>
      <c r="T25" s="181">
        <v>20642</v>
      </c>
      <c r="U25" s="181">
        <v>25561</v>
      </c>
      <c r="V25" s="101">
        <f t="shared" si="2"/>
        <v>0.56580735520233305</v>
      </c>
      <c r="W25" s="21">
        <f t="shared" si="6"/>
        <v>0.15</v>
      </c>
      <c r="X25" s="131">
        <f t="shared" si="7"/>
        <v>29395.149999999998</v>
      </c>
      <c r="Y25" s="131">
        <f t="shared" si="37"/>
        <v>33804.422499999993</v>
      </c>
      <c r="Z25" s="131">
        <f t="shared" si="38"/>
        <v>38875.08587499999</v>
      </c>
      <c r="AA25" s="131">
        <f t="shared" si="39"/>
        <v>44706.348756249987</v>
      </c>
      <c r="AB25" s="131">
        <f t="shared" si="40"/>
        <v>51412.301069687484</v>
      </c>
      <c r="AC25" s="131">
        <f t="shared" si="41"/>
        <v>59124.146230140599</v>
      </c>
      <c r="AD25" s="131">
        <f t="shared" si="42"/>
        <v>67992.768164661684</v>
      </c>
      <c r="AE25" s="131">
        <f t="shared" si="43"/>
        <v>78191.683389360929</v>
      </c>
      <c r="AF25" s="131">
        <f t="shared" si="44"/>
        <v>89920.435897765055</v>
      </c>
      <c r="AG25" s="131">
        <f t="shared" si="45"/>
        <v>103408.5012824298</v>
      </c>
      <c r="AH25" s="116">
        <f t="shared" si="19"/>
        <v>0.23619864155995418</v>
      </c>
      <c r="AI25" s="21">
        <f t="shared" si="17"/>
        <v>0.05</v>
      </c>
      <c r="AJ25" s="124">
        <f t="shared" si="1"/>
        <v>638699.5667444194</v>
      </c>
    </row>
    <row r="26" spans="2:36" s="106" customFormat="1" x14ac:dyDescent="0.2">
      <c r="B26" s="13"/>
      <c r="C26" s="126"/>
      <c r="D26" s="126"/>
      <c r="E26" s="127"/>
      <c r="F26" s="269"/>
      <c r="G26" s="128" t="e">
        <f t="shared" ref="G26:T26" si="66">(G25-F25)/F25</f>
        <v>#DIV/0!</v>
      </c>
      <c r="H26" s="128">
        <f t="shared" si="66"/>
        <v>0</v>
      </c>
      <c r="I26" s="128">
        <f t="shared" si="66"/>
        <v>5.020833333333333</v>
      </c>
      <c r="J26" s="128">
        <f t="shared" si="66"/>
        <v>1.726643598615917</v>
      </c>
      <c r="K26" s="128">
        <f t="shared" si="66"/>
        <v>1.1205583756345177</v>
      </c>
      <c r="L26" s="128">
        <f t="shared" si="66"/>
        <v>0.4590065828845003</v>
      </c>
      <c r="M26" s="128">
        <f t="shared" si="66"/>
        <v>0.20795734208367514</v>
      </c>
      <c r="N26" s="128">
        <f t="shared" si="66"/>
        <v>0.58404074702886244</v>
      </c>
      <c r="O26" s="128">
        <f t="shared" si="66"/>
        <v>0.53569131832797423</v>
      </c>
      <c r="P26" s="128">
        <f t="shared" si="66"/>
        <v>0.3331937465103294</v>
      </c>
      <c r="Q26" s="128">
        <f t="shared" si="66"/>
        <v>0.22521201968380275</v>
      </c>
      <c r="R26" s="128">
        <f t="shared" si="66"/>
        <v>0.16381815074346265</v>
      </c>
      <c r="S26" s="128">
        <f t="shared" si="66"/>
        <v>0.19406711212276967</v>
      </c>
      <c r="T26" s="128">
        <f t="shared" si="66"/>
        <v>0.26933956462919689</v>
      </c>
      <c r="U26" s="128">
        <f t="shared" ref="U26" si="67">(U25-T25)/T25</f>
        <v>0.23830055227206667</v>
      </c>
      <c r="V26" s="10"/>
      <c r="W26" s="10"/>
      <c r="X26" s="131"/>
      <c r="Y26" s="132"/>
      <c r="Z26" s="132"/>
      <c r="AA26" s="132"/>
      <c r="AB26" s="132"/>
      <c r="AC26" s="132"/>
      <c r="AD26" s="132"/>
      <c r="AE26" s="132"/>
      <c r="AF26" s="132"/>
      <c r="AG26" s="132"/>
      <c r="AH26" s="102"/>
      <c r="AI26" s="115"/>
      <c r="AJ26" s="131"/>
    </row>
    <row r="27" spans="2:36" x14ac:dyDescent="0.2">
      <c r="B27" s="10" t="s">
        <v>219</v>
      </c>
      <c r="C27" s="119"/>
      <c r="D27" s="119"/>
      <c r="E27" s="125"/>
      <c r="F27" s="125"/>
      <c r="G27" s="121">
        <f>H27</f>
        <v>11.85</v>
      </c>
      <c r="H27" s="272">
        <v>11.85</v>
      </c>
      <c r="I27" s="272">
        <v>105</v>
      </c>
      <c r="J27" s="121">
        <v>416</v>
      </c>
      <c r="K27" s="121">
        <v>974</v>
      </c>
      <c r="L27" s="273">
        <v>1492</v>
      </c>
      <c r="M27" s="273">
        <v>2467</v>
      </c>
      <c r="N27" s="273">
        <v>3937</v>
      </c>
      <c r="O27" s="273">
        <v>6187</v>
      </c>
      <c r="P27" s="273">
        <v>8250</v>
      </c>
      <c r="Q27" s="273">
        <v>10091</v>
      </c>
      <c r="R27" s="181">
        <v>11622</v>
      </c>
      <c r="S27" s="181">
        <v>13733</v>
      </c>
      <c r="T27" s="181">
        <v>17302</v>
      </c>
      <c r="U27" s="181">
        <v>21328</v>
      </c>
      <c r="V27" s="101">
        <f t="shared" si="2"/>
        <v>0.70811283417125326</v>
      </c>
      <c r="W27" s="21">
        <f t="shared" si="6"/>
        <v>0.15</v>
      </c>
      <c r="X27" s="131">
        <f t="shared" si="7"/>
        <v>24527.199999999997</v>
      </c>
      <c r="Y27" s="131">
        <f t="shared" si="37"/>
        <v>28206.279999999995</v>
      </c>
      <c r="Z27" s="131">
        <f t="shared" si="38"/>
        <v>32437.221999999991</v>
      </c>
      <c r="AA27" s="131">
        <f t="shared" si="39"/>
        <v>37302.805299999985</v>
      </c>
      <c r="AB27" s="131">
        <f t="shared" si="40"/>
        <v>42898.226094999976</v>
      </c>
      <c r="AC27" s="131">
        <f t="shared" si="41"/>
        <v>49332.960009249968</v>
      </c>
      <c r="AD27" s="131">
        <f t="shared" si="42"/>
        <v>56732.90401063746</v>
      </c>
      <c r="AE27" s="131">
        <f t="shared" si="43"/>
        <v>65242.839612233074</v>
      </c>
      <c r="AF27" s="131">
        <f t="shared" si="44"/>
        <v>75029.265554068028</v>
      </c>
      <c r="AG27" s="131">
        <f t="shared" si="45"/>
        <v>86283.655387178223</v>
      </c>
      <c r="AH27" s="116">
        <f t="shared" si="19"/>
        <v>0.26104900973408762</v>
      </c>
      <c r="AI27" s="21">
        <f t="shared" si="17"/>
        <v>0.05</v>
      </c>
      <c r="AJ27" s="124">
        <f t="shared" si="1"/>
        <v>532928.4597443362</v>
      </c>
    </row>
    <row r="28" spans="2:36" s="106" customFormat="1" x14ac:dyDescent="0.2">
      <c r="B28" s="13"/>
      <c r="C28" s="126"/>
      <c r="D28" s="126"/>
      <c r="E28" s="127"/>
      <c r="F28" s="269"/>
      <c r="G28" s="128" t="e">
        <f t="shared" ref="G28:T28" si="68">(G27-F27)/F27</f>
        <v>#DIV/0!</v>
      </c>
      <c r="H28" s="128">
        <f t="shared" si="68"/>
        <v>0</v>
      </c>
      <c r="I28" s="128">
        <f t="shared" si="68"/>
        <v>7.8607594936708871</v>
      </c>
      <c r="J28" s="128">
        <f t="shared" si="68"/>
        <v>2.961904761904762</v>
      </c>
      <c r="K28" s="128">
        <f t="shared" si="68"/>
        <v>1.3413461538461537</v>
      </c>
      <c r="L28" s="128">
        <f t="shared" si="68"/>
        <v>0.53182751540041073</v>
      </c>
      <c r="M28" s="128">
        <f t="shared" si="68"/>
        <v>0.65348525469168905</v>
      </c>
      <c r="N28" s="128">
        <f t="shared" si="68"/>
        <v>0.5958654235914066</v>
      </c>
      <c r="O28" s="128">
        <f t="shared" si="68"/>
        <v>0.57150114300228605</v>
      </c>
      <c r="P28" s="128">
        <f t="shared" si="68"/>
        <v>0.33344108614837564</v>
      </c>
      <c r="Q28" s="128">
        <f t="shared" si="68"/>
        <v>0.22315151515151516</v>
      </c>
      <c r="R28" s="128">
        <f t="shared" si="68"/>
        <v>0.15171935387969479</v>
      </c>
      <c r="S28" s="128">
        <f t="shared" si="68"/>
        <v>0.18163827224229909</v>
      </c>
      <c r="T28" s="128">
        <f t="shared" si="68"/>
        <v>0.25988494866380252</v>
      </c>
      <c r="U28" s="128">
        <f t="shared" ref="U28" si="69">(U27-T27)/T27</f>
        <v>0.23268986244364814</v>
      </c>
      <c r="V28" s="10"/>
      <c r="W28" s="10"/>
      <c r="X28" s="131"/>
      <c r="Y28" s="132"/>
      <c r="Z28" s="132"/>
      <c r="AA28" s="132"/>
      <c r="AB28" s="132"/>
      <c r="AC28" s="132"/>
      <c r="AD28" s="132"/>
      <c r="AE28" s="132"/>
      <c r="AF28" s="132"/>
      <c r="AG28" s="132"/>
      <c r="AH28" s="102"/>
      <c r="AI28" s="115"/>
      <c r="AJ28" s="131"/>
    </row>
    <row r="29" spans="2:36" s="106" customFormat="1" x14ac:dyDescent="0.2">
      <c r="B29" s="10" t="s">
        <v>269</v>
      </c>
      <c r="C29" s="126"/>
      <c r="D29" s="126"/>
      <c r="E29" s="127"/>
      <c r="F29" s="125"/>
      <c r="G29" s="125">
        <f>H29</f>
        <v>12</v>
      </c>
      <c r="H29" s="125">
        <v>12</v>
      </c>
      <c r="I29" s="125">
        <v>105</v>
      </c>
      <c r="J29" s="125">
        <v>416</v>
      </c>
      <c r="K29" s="125">
        <v>974</v>
      </c>
      <c r="L29" s="125">
        <v>1492</v>
      </c>
      <c r="M29" s="125">
        <v>1581</v>
      </c>
      <c r="N29" s="125">
        <v>2794</v>
      </c>
      <c r="O29" s="125">
        <v>4691</v>
      </c>
      <c r="P29" s="125">
        <v>6075</v>
      </c>
      <c r="Q29" s="125">
        <v>7265</v>
      </c>
      <c r="R29" s="181">
        <v>8083</v>
      </c>
      <c r="S29" s="181">
        <v>8965</v>
      </c>
      <c r="T29" s="181">
        <v>10626.53</v>
      </c>
      <c r="U29" s="181">
        <v>12529</v>
      </c>
      <c r="V29" s="101">
        <f t="shared" si="2"/>
        <v>0.64294846220859792</v>
      </c>
      <c r="W29" s="21">
        <f t="shared" si="6"/>
        <v>0.15</v>
      </c>
      <c r="X29" s="131">
        <f t="shared" si="7"/>
        <v>14408.349999999999</v>
      </c>
      <c r="Y29" s="131">
        <f t="shared" ref="Y29" si="70">X29*(1+$W29)</f>
        <v>16569.602499999997</v>
      </c>
      <c r="Z29" s="131">
        <f t="shared" ref="Z29" si="71">Y29*(1+$W29)</f>
        <v>19055.042874999996</v>
      </c>
      <c r="AA29" s="131">
        <f t="shared" ref="AA29" si="72">Z29*(1+$W29)</f>
        <v>21913.299306249992</v>
      </c>
      <c r="AB29" s="131">
        <f t="shared" ref="AB29" si="73">AA29*(1+$W29)</f>
        <v>25200.294202187488</v>
      </c>
      <c r="AC29" s="131">
        <f t="shared" ref="AC29" si="74">AB29*(1+$W29)</f>
        <v>28980.33833251561</v>
      </c>
      <c r="AD29" s="131">
        <f t="shared" ref="AD29" si="75">AC29*(1+$W29)</f>
        <v>33327.389082392947</v>
      </c>
      <c r="AE29" s="131">
        <f t="shared" ref="AE29" si="76">AD29*(1+$W29)</f>
        <v>38326.497444751883</v>
      </c>
      <c r="AF29" s="131">
        <f t="shared" ref="AF29" si="77">AE29*(1+$W29)</f>
        <v>44075.472061464665</v>
      </c>
      <c r="AG29" s="131">
        <f t="shared" ref="AG29" si="78">AF29*(1+$W29)</f>
        <v>50686.79287068436</v>
      </c>
      <c r="AH29" s="116">
        <f t="shared" ref="AH29" si="79">((AG29/J29)^(1/($AG$3-$K$1) ))-1</f>
        <v>0.2322165029637302</v>
      </c>
      <c r="AI29" s="21">
        <f t="shared" si="17"/>
        <v>0.05</v>
      </c>
      <c r="AJ29" s="124">
        <f t="shared" ref="AJ29" si="80">(AG29*(1+AI29))/($C$1-AI29)</f>
        <v>313065.48537775641</v>
      </c>
    </row>
    <row r="30" spans="2:36" s="106" customFormat="1" x14ac:dyDescent="0.2">
      <c r="B30" s="13"/>
      <c r="C30" s="126"/>
      <c r="D30" s="126"/>
      <c r="E30" s="127"/>
      <c r="F30" s="269"/>
      <c r="G30" s="128" t="e">
        <f t="shared" ref="G30:T30" si="81">(G29-F29)/F29</f>
        <v>#DIV/0!</v>
      </c>
      <c r="H30" s="128">
        <f t="shared" si="81"/>
        <v>0</v>
      </c>
      <c r="I30" s="128">
        <f t="shared" si="81"/>
        <v>7.75</v>
      </c>
      <c r="J30" s="128">
        <f t="shared" si="81"/>
        <v>2.961904761904762</v>
      </c>
      <c r="K30" s="128">
        <f t="shared" si="81"/>
        <v>1.3413461538461537</v>
      </c>
      <c r="L30" s="128">
        <f t="shared" si="81"/>
        <v>0.53182751540041073</v>
      </c>
      <c r="M30" s="128">
        <f t="shared" si="81"/>
        <v>5.9651474530831097E-2</v>
      </c>
      <c r="N30" s="128">
        <f t="shared" si="81"/>
        <v>0.76723592662871598</v>
      </c>
      <c r="O30" s="128">
        <f t="shared" si="81"/>
        <v>0.67895490336435216</v>
      </c>
      <c r="P30" s="128">
        <f t="shared" si="81"/>
        <v>0.29503304199531016</v>
      </c>
      <c r="Q30" s="128">
        <f t="shared" si="81"/>
        <v>0.19588477366255144</v>
      </c>
      <c r="R30" s="128">
        <f t="shared" si="81"/>
        <v>0.11259463179628355</v>
      </c>
      <c r="S30" s="128">
        <f t="shared" si="81"/>
        <v>0.10911790176914513</v>
      </c>
      <c r="T30" s="128">
        <f t="shared" si="81"/>
        <v>0.18533519241494709</v>
      </c>
      <c r="U30" s="128">
        <f t="shared" ref="U30" si="82">(U29-T29)/T29</f>
        <v>0.17903021964837057</v>
      </c>
      <c r="V30" s="10"/>
      <c r="W30" s="10"/>
      <c r="X30" s="131"/>
      <c r="Y30" s="132"/>
      <c r="Z30" s="132"/>
      <c r="AA30" s="132"/>
      <c r="AB30" s="132"/>
      <c r="AC30" s="132"/>
      <c r="AD30" s="132"/>
      <c r="AE30" s="132"/>
      <c r="AF30" s="132"/>
      <c r="AG30" s="132"/>
      <c r="AH30" s="138"/>
      <c r="AI30" s="115"/>
      <c r="AJ30" s="131"/>
    </row>
    <row r="31" spans="2:36" x14ac:dyDescent="0.2">
      <c r="B31" s="10" t="s">
        <v>277</v>
      </c>
      <c r="C31" s="119"/>
      <c r="D31" s="119"/>
      <c r="E31" s="125"/>
      <c r="F31" s="125"/>
      <c r="G31" s="181">
        <f>H31</f>
        <v>0</v>
      </c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>
        <v>0</v>
      </c>
      <c r="U31" s="181">
        <v>0</v>
      </c>
      <c r="V31" s="101" t="e">
        <f t="shared" si="2"/>
        <v>#DIV/0!</v>
      </c>
      <c r="W31" s="21">
        <f t="shared" si="6"/>
        <v>0.15</v>
      </c>
      <c r="X31" s="131">
        <f t="shared" si="7"/>
        <v>0</v>
      </c>
      <c r="Y31" s="131">
        <f>X31*(1+$W31)</f>
        <v>0</v>
      </c>
      <c r="Z31" s="131">
        <f t="shared" ref="Z31:AG32" si="83">Y31*(1+$W31)</f>
        <v>0</v>
      </c>
      <c r="AA31" s="131">
        <f t="shared" si="83"/>
        <v>0</v>
      </c>
      <c r="AB31" s="131">
        <f t="shared" si="83"/>
        <v>0</v>
      </c>
      <c r="AC31" s="131">
        <f t="shared" si="83"/>
        <v>0</v>
      </c>
      <c r="AD31" s="131">
        <f t="shared" si="83"/>
        <v>0</v>
      </c>
      <c r="AE31" s="131">
        <f t="shared" si="83"/>
        <v>0</v>
      </c>
      <c r="AF31" s="131">
        <f t="shared" si="83"/>
        <v>0</v>
      </c>
      <c r="AG31" s="131">
        <f t="shared" si="83"/>
        <v>0</v>
      </c>
      <c r="AH31" s="116" t="e">
        <f t="shared" ref="AH31" si="84">((AG31/J31)^(1/($AG$3-$K$1) ))-1</f>
        <v>#DIV/0!</v>
      </c>
      <c r="AI31" s="21">
        <f t="shared" si="17"/>
        <v>0.05</v>
      </c>
      <c r="AJ31" s="124">
        <f t="shared" si="1"/>
        <v>0</v>
      </c>
    </row>
    <row r="32" spans="2:36" x14ac:dyDescent="0.2">
      <c r="B32" s="10" t="s">
        <v>276</v>
      </c>
      <c r="C32" s="119"/>
      <c r="D32" s="119"/>
      <c r="E32" s="125"/>
      <c r="F32" s="125"/>
      <c r="G32" s="181">
        <f>H32</f>
        <v>0</v>
      </c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01" t="e">
        <f t="shared" si="2"/>
        <v>#DIV/0!</v>
      </c>
      <c r="W32" s="21">
        <f t="shared" si="6"/>
        <v>0.15</v>
      </c>
      <c r="X32" s="131">
        <f t="shared" si="7"/>
        <v>0</v>
      </c>
      <c r="Y32" s="131">
        <f>X32*(1+$W32)</f>
        <v>0</v>
      </c>
      <c r="Z32" s="131">
        <f t="shared" si="83"/>
        <v>0</v>
      </c>
      <c r="AA32" s="131">
        <f t="shared" si="83"/>
        <v>0</v>
      </c>
      <c r="AB32" s="131">
        <f t="shared" si="83"/>
        <v>0</v>
      </c>
      <c r="AC32" s="131">
        <f t="shared" si="83"/>
        <v>0</v>
      </c>
      <c r="AD32" s="131">
        <f t="shared" si="83"/>
        <v>0</v>
      </c>
      <c r="AE32" s="131">
        <f t="shared" si="83"/>
        <v>0</v>
      </c>
      <c r="AF32" s="131">
        <f t="shared" si="83"/>
        <v>0</v>
      </c>
      <c r="AG32" s="131">
        <f t="shared" si="83"/>
        <v>0</v>
      </c>
      <c r="AH32" s="116" t="e">
        <f t="shared" ref="AH32" si="85">((AG32/J32)^(1/($AG$3-$K$1) ))-1</f>
        <v>#DIV/0!</v>
      </c>
      <c r="AI32" s="21">
        <f t="shared" si="17"/>
        <v>0.05</v>
      </c>
      <c r="AJ32" s="124">
        <f t="shared" si="1"/>
        <v>0</v>
      </c>
    </row>
    <row r="33" spans="1:36" x14ac:dyDescent="0.2">
      <c r="B33" s="10" t="s">
        <v>502</v>
      </c>
      <c r="C33" s="119"/>
      <c r="D33" s="119"/>
      <c r="E33" s="125"/>
      <c r="F33" s="125"/>
      <c r="G33" s="125">
        <f>H33</f>
        <v>12</v>
      </c>
      <c r="H33" s="125">
        <v>12</v>
      </c>
      <c r="I33" s="125">
        <v>105</v>
      </c>
      <c r="J33" s="125">
        <v>416</v>
      </c>
      <c r="K33" s="125">
        <v>974</v>
      </c>
      <c r="L33" s="273">
        <v>1492</v>
      </c>
      <c r="M33" s="125">
        <v>1581</v>
      </c>
      <c r="N33" s="125">
        <v>2794</v>
      </c>
      <c r="O33" s="125">
        <v>4691</v>
      </c>
      <c r="P33" s="125">
        <v>6075</v>
      </c>
      <c r="Q33" s="125">
        <v>7265</v>
      </c>
      <c r="R33" s="181">
        <v>8083</v>
      </c>
      <c r="S33" s="181">
        <v>8965</v>
      </c>
      <c r="T33" s="181">
        <v>10626</v>
      </c>
      <c r="U33" s="181">
        <v>12529</v>
      </c>
      <c r="V33" s="101">
        <f t="shared" si="2"/>
        <v>0.64294846220859792</v>
      </c>
      <c r="W33" s="21">
        <f t="shared" si="6"/>
        <v>0.15</v>
      </c>
      <c r="X33" s="131">
        <f t="shared" si="7"/>
        <v>14408.349999999999</v>
      </c>
      <c r="Y33" s="131">
        <f t="shared" si="37"/>
        <v>16569.602499999997</v>
      </c>
      <c r="Z33" s="131">
        <f t="shared" si="38"/>
        <v>19055.042874999996</v>
      </c>
      <c r="AA33" s="131">
        <f t="shared" si="39"/>
        <v>21913.299306249992</v>
      </c>
      <c r="AB33" s="131">
        <f t="shared" si="40"/>
        <v>25200.294202187488</v>
      </c>
      <c r="AC33" s="131">
        <f t="shared" si="41"/>
        <v>28980.33833251561</v>
      </c>
      <c r="AD33" s="131">
        <f t="shared" si="42"/>
        <v>33327.389082392947</v>
      </c>
      <c r="AE33" s="131">
        <f t="shared" si="43"/>
        <v>38326.497444751883</v>
      </c>
      <c r="AF33" s="131">
        <f t="shared" si="44"/>
        <v>44075.472061464665</v>
      </c>
      <c r="AG33" s="131">
        <f t="shared" si="45"/>
        <v>50686.79287068436</v>
      </c>
      <c r="AH33" s="116">
        <f t="shared" si="19"/>
        <v>0.2322165029637302</v>
      </c>
      <c r="AI33" s="21">
        <f t="shared" si="17"/>
        <v>0.05</v>
      </c>
      <c r="AJ33" s="124">
        <f t="shared" si="1"/>
        <v>313065.48537775641</v>
      </c>
    </row>
    <row r="34" spans="1:36" x14ac:dyDescent="0.2">
      <c r="B34" s="10" t="s">
        <v>503</v>
      </c>
      <c r="C34" s="119"/>
      <c r="D34" s="119"/>
      <c r="E34" s="125"/>
      <c r="F34" s="125"/>
      <c r="G34" s="272">
        <v>21</v>
      </c>
      <c r="H34" s="272">
        <v>21</v>
      </c>
      <c r="I34" s="272">
        <v>50</v>
      </c>
      <c r="J34" s="272">
        <v>118</v>
      </c>
      <c r="K34" s="121">
        <v>202</v>
      </c>
      <c r="L34" s="121">
        <v>218</v>
      </c>
      <c r="M34" s="273">
        <v>257</v>
      </c>
      <c r="N34" s="273">
        <v>362</v>
      </c>
      <c r="O34" s="273">
        <v>475</v>
      </c>
      <c r="P34" s="273">
        <v>655</v>
      </c>
      <c r="Q34" s="273">
        <v>786</v>
      </c>
      <c r="R34" s="181">
        <v>986</v>
      </c>
      <c r="S34" s="181">
        <v>1319</v>
      </c>
      <c r="T34" s="181">
        <v>1840.24</v>
      </c>
      <c r="U34" s="181">
        <v>2234</v>
      </c>
      <c r="V34" s="101">
        <f t="shared" si="2"/>
        <v>0.39564830028683073</v>
      </c>
      <c r="W34" s="21">
        <f t="shared" si="6"/>
        <v>0.15</v>
      </c>
      <c r="X34" s="131">
        <f t="shared" si="7"/>
        <v>2569.1</v>
      </c>
      <c r="Y34" s="131">
        <f t="shared" si="37"/>
        <v>2954.4649999999997</v>
      </c>
      <c r="Z34" s="131">
        <f t="shared" si="38"/>
        <v>3397.6347499999993</v>
      </c>
      <c r="AA34" s="131">
        <f t="shared" si="39"/>
        <v>3907.2799624999989</v>
      </c>
      <c r="AB34" s="131">
        <f t="shared" si="40"/>
        <v>4493.3719568749984</v>
      </c>
      <c r="AC34" s="131">
        <f t="shared" si="41"/>
        <v>5167.3777504062482</v>
      </c>
      <c r="AD34" s="131">
        <f t="shared" si="42"/>
        <v>5942.4844129671847</v>
      </c>
      <c r="AE34" s="131">
        <f t="shared" si="43"/>
        <v>6833.8570749122619</v>
      </c>
      <c r="AF34" s="131">
        <f t="shared" si="44"/>
        <v>7858.9356361491009</v>
      </c>
      <c r="AG34" s="131">
        <f t="shared" si="45"/>
        <v>9037.7759815714653</v>
      </c>
      <c r="AH34" s="116">
        <f t="shared" si="19"/>
        <v>0.20759373337833242</v>
      </c>
      <c r="AI34" s="21">
        <f t="shared" si="17"/>
        <v>0.05</v>
      </c>
      <c r="AJ34" s="124">
        <f t="shared" si="1"/>
        <v>55821.557533235529</v>
      </c>
    </row>
    <row r="35" spans="1:36" x14ac:dyDescent="0.2">
      <c r="B35" s="10"/>
      <c r="C35" s="119"/>
      <c r="D35" s="119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0"/>
      <c r="W35" s="125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17"/>
      <c r="AI35" s="115"/>
      <c r="AJ35" s="131"/>
    </row>
    <row r="36" spans="1:36" x14ac:dyDescent="0.2">
      <c r="A36" s="301" t="s">
        <v>422</v>
      </c>
      <c r="B36" s="178" t="s">
        <v>416</v>
      </c>
      <c r="C36" s="119"/>
      <c r="D36" s="119"/>
      <c r="E36" s="125"/>
      <c r="F36" s="181"/>
      <c r="G36" s="121">
        <f>H36</f>
        <v>663</v>
      </c>
      <c r="H36" s="125">
        <v>663</v>
      </c>
      <c r="I36" s="125">
        <v>2910</v>
      </c>
      <c r="J36" s="125">
        <v>8220</v>
      </c>
      <c r="K36" s="125">
        <v>13273</v>
      </c>
      <c r="L36" s="125">
        <v>16169</v>
      </c>
      <c r="M36" s="125">
        <v>26798</v>
      </c>
      <c r="N36" s="125">
        <v>45938</v>
      </c>
      <c r="O36" s="125">
        <v>49151</v>
      </c>
      <c r="P36" s="125">
        <v>66955</v>
      </c>
      <c r="Q36" s="125">
        <v>74192</v>
      </c>
      <c r="R36" s="181">
        <v>91158</v>
      </c>
      <c r="S36" s="181">
        <v>111704</v>
      </c>
      <c r="T36" s="181">
        <v>142857</v>
      </c>
      <c r="U36" s="181">
        <v>200648</v>
      </c>
      <c r="V36" s="101">
        <f t="shared" si="2"/>
        <v>0.50386435181343359</v>
      </c>
      <c r="W36" s="21">
        <f t="shared" si="6"/>
        <v>0.15</v>
      </c>
      <c r="X36" s="131">
        <f t="shared" si="7"/>
        <v>230745.19999999998</v>
      </c>
      <c r="Y36" s="131">
        <f t="shared" ref="Y36:Y49" si="86">X36*(1+$W36)</f>
        <v>265356.98</v>
      </c>
      <c r="Z36" s="131">
        <f t="shared" ref="Z36:Z49" si="87">Y36*(1+$W36)</f>
        <v>305160.52699999994</v>
      </c>
      <c r="AA36" s="131">
        <f t="shared" ref="AA36:AA49" si="88">Z36*(1+$W36)</f>
        <v>350934.60604999989</v>
      </c>
      <c r="AB36" s="131">
        <f t="shared" ref="AB36:AB49" si="89">AA36*(1+$W36)</f>
        <v>403574.79695749981</v>
      </c>
      <c r="AC36" s="131">
        <f t="shared" ref="AC36:AC49" si="90">AB36*(1+$W36)</f>
        <v>464111.01650112477</v>
      </c>
      <c r="AD36" s="131">
        <f t="shared" ref="AD36:AD49" si="91">AC36*(1+$W36)</f>
        <v>533727.66897629341</v>
      </c>
      <c r="AE36" s="131">
        <f t="shared" ref="AE36:AE49" si="92">AD36*(1+$W36)</f>
        <v>613786.8193227374</v>
      </c>
      <c r="AF36" s="131">
        <f t="shared" ref="AF36:AF49" si="93">AE36*(1+$W36)</f>
        <v>705854.84222114796</v>
      </c>
      <c r="AG36" s="131">
        <f t="shared" ref="AG36:AG49" si="94">AF36*(1+$W36)</f>
        <v>811733.06855432014</v>
      </c>
      <c r="AH36" s="116">
        <f t="shared" ref="AH36:AH49" si="95">((AG36/J36)^(1/($AG$3-$K$1) ))-1</f>
        <v>0.22100991964519712</v>
      </c>
      <c r="AI36" s="21">
        <f t="shared" si="17"/>
        <v>0.05</v>
      </c>
      <c r="AJ36" s="124">
        <f t="shared" ref="AJ36:AJ49" si="96">(AG36*(1+AI36))/($C$1-AI36)</f>
        <v>5013645.4234237429</v>
      </c>
    </row>
    <row r="37" spans="1:36" x14ac:dyDescent="0.2">
      <c r="A37" s="301"/>
      <c r="B37" s="178"/>
      <c r="C37" s="119"/>
      <c r="D37" s="119"/>
      <c r="E37" s="125"/>
      <c r="F37" s="128"/>
      <c r="G37" s="128" t="e">
        <f t="shared" ref="G37:T37" si="97">(G36-F36)/F36</f>
        <v>#DIV/0!</v>
      </c>
      <c r="H37" s="128">
        <f t="shared" si="97"/>
        <v>0</v>
      </c>
      <c r="I37" s="128">
        <f t="shared" si="97"/>
        <v>3.3891402714932126</v>
      </c>
      <c r="J37" s="128">
        <f t="shared" si="97"/>
        <v>1.8247422680412371</v>
      </c>
      <c r="K37" s="128">
        <f t="shared" si="97"/>
        <v>0.61472019464720196</v>
      </c>
      <c r="L37" s="128">
        <f t="shared" si="97"/>
        <v>0.2181872975212838</v>
      </c>
      <c r="M37" s="128">
        <f t="shared" si="97"/>
        <v>0.65736903952006931</v>
      </c>
      <c r="N37" s="128">
        <f t="shared" si="97"/>
        <v>0.71423240540338828</v>
      </c>
      <c r="O37" s="128">
        <f t="shared" si="97"/>
        <v>6.9942095868344295E-2</v>
      </c>
      <c r="P37" s="128">
        <f t="shared" si="97"/>
        <v>0.36223067689365424</v>
      </c>
      <c r="Q37" s="128">
        <f t="shared" si="97"/>
        <v>0.10808752146964379</v>
      </c>
      <c r="R37" s="128">
        <f t="shared" si="97"/>
        <v>0.22867694630148802</v>
      </c>
      <c r="S37" s="128">
        <f t="shared" si="97"/>
        <v>0.22538888523223413</v>
      </c>
      <c r="T37" s="128">
        <f t="shared" si="97"/>
        <v>0.27888884910119605</v>
      </c>
      <c r="U37" s="128">
        <f t="shared" ref="U37" si="98">(U36-T36)/T36</f>
        <v>0.40453740453740455</v>
      </c>
      <c r="V37" s="10"/>
      <c r="W37" s="10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24"/>
    </row>
    <row r="38" spans="1:36" x14ac:dyDescent="0.2">
      <c r="A38" s="301"/>
      <c r="B38" s="178" t="s">
        <v>417</v>
      </c>
      <c r="C38" s="119"/>
      <c r="D38" s="119"/>
      <c r="E38" s="125"/>
      <c r="F38" s="181"/>
      <c r="G38" s="121">
        <f>H38</f>
        <v>4749</v>
      </c>
      <c r="H38" s="125">
        <v>4749</v>
      </c>
      <c r="I38" s="125">
        <v>6690</v>
      </c>
      <c r="J38" s="125">
        <v>14156</v>
      </c>
      <c r="K38" s="125">
        <v>20922</v>
      </c>
      <c r="L38" s="125">
        <v>21314</v>
      </c>
      <c r="M38" s="125">
        <v>4749</v>
      </c>
      <c r="N38" s="125">
        <v>6690</v>
      </c>
      <c r="O38" s="125">
        <v>14156</v>
      </c>
      <c r="P38" s="125">
        <v>20922</v>
      </c>
      <c r="Q38" s="125">
        <v>21314</v>
      </c>
      <c r="R38" s="181">
        <v>26220</v>
      </c>
      <c r="S38" s="181">
        <v>31658</v>
      </c>
      <c r="T38" s="181">
        <v>38606</v>
      </c>
      <c r="U38" s="181">
        <v>74893</v>
      </c>
      <c r="V38" s="101">
        <f t="shared" si="2"/>
        <v>0.21775503164741505</v>
      </c>
      <c r="W38" s="21">
        <f t="shared" si="6"/>
        <v>0.15</v>
      </c>
      <c r="X38" s="131">
        <f t="shared" si="7"/>
        <v>86126.95</v>
      </c>
      <c r="Y38" s="131">
        <f t="shared" si="86"/>
        <v>99045.992499999993</v>
      </c>
      <c r="Z38" s="131">
        <f t="shared" si="87"/>
        <v>113902.89137499998</v>
      </c>
      <c r="AA38" s="131">
        <f t="shared" si="88"/>
        <v>130988.32508124996</v>
      </c>
      <c r="AB38" s="131">
        <f t="shared" si="89"/>
        <v>150636.57384343745</v>
      </c>
      <c r="AC38" s="131">
        <f t="shared" si="90"/>
        <v>173232.05991995306</v>
      </c>
      <c r="AD38" s="131">
        <f t="shared" si="91"/>
        <v>199216.86890794599</v>
      </c>
      <c r="AE38" s="131">
        <f t="shared" si="92"/>
        <v>229099.39924413787</v>
      </c>
      <c r="AF38" s="131">
        <f t="shared" si="93"/>
        <v>263464.30913075851</v>
      </c>
      <c r="AG38" s="131">
        <f t="shared" si="94"/>
        <v>302983.95550037228</v>
      </c>
      <c r="AH38" s="116">
        <f t="shared" si="95"/>
        <v>0.14247555485450314</v>
      </c>
      <c r="AI38" s="21">
        <f t="shared" si="17"/>
        <v>0.05</v>
      </c>
      <c r="AJ38" s="124">
        <f t="shared" si="96"/>
        <v>1871371.4898552408</v>
      </c>
    </row>
    <row r="39" spans="1:36" x14ac:dyDescent="0.2">
      <c r="A39" s="301"/>
      <c r="B39" s="178"/>
      <c r="C39" s="119"/>
      <c r="D39" s="119"/>
      <c r="E39" s="125"/>
      <c r="F39" s="128"/>
      <c r="G39" s="128" t="e">
        <f t="shared" ref="G39:T39" si="99">(G38-F38)/F38</f>
        <v>#DIV/0!</v>
      </c>
      <c r="H39" s="128">
        <f t="shared" si="99"/>
        <v>0</v>
      </c>
      <c r="I39" s="128">
        <f t="shared" si="99"/>
        <v>0.40871762476310802</v>
      </c>
      <c r="J39" s="128">
        <f t="shared" si="99"/>
        <v>1.1159940209267563</v>
      </c>
      <c r="K39" s="128">
        <f t="shared" si="99"/>
        <v>0.47795987567109355</v>
      </c>
      <c r="L39" s="128">
        <f t="shared" si="99"/>
        <v>1.8736258483892553E-2</v>
      </c>
      <c r="M39" s="128">
        <f t="shared" si="99"/>
        <v>-0.77718870226142445</v>
      </c>
      <c r="N39" s="128">
        <f t="shared" si="99"/>
        <v>0.40871762476310802</v>
      </c>
      <c r="O39" s="128">
        <f t="shared" si="99"/>
        <v>1.1159940209267563</v>
      </c>
      <c r="P39" s="128">
        <f t="shared" si="99"/>
        <v>0.47795987567109355</v>
      </c>
      <c r="Q39" s="128">
        <f t="shared" si="99"/>
        <v>1.8736258483892553E-2</v>
      </c>
      <c r="R39" s="128">
        <f t="shared" si="99"/>
        <v>0.23017734822182603</v>
      </c>
      <c r="S39" s="128">
        <f t="shared" si="99"/>
        <v>0.20739893211289093</v>
      </c>
      <c r="T39" s="128">
        <f t="shared" si="99"/>
        <v>0.21947059195148147</v>
      </c>
      <c r="U39" s="128">
        <f t="shared" ref="U39" si="100">(U38-T38)/T38</f>
        <v>0.93993161684712223</v>
      </c>
      <c r="V39" s="10"/>
      <c r="W39" s="10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24"/>
    </row>
    <row r="40" spans="1:36" x14ac:dyDescent="0.2">
      <c r="A40" s="301"/>
      <c r="B40" s="178" t="s">
        <v>421</v>
      </c>
      <c r="C40" s="119"/>
      <c r="D40" s="119"/>
      <c r="E40" s="125"/>
      <c r="F40" s="181"/>
      <c r="G40" s="121">
        <f>H40</f>
        <v>1745</v>
      </c>
      <c r="H40" s="125">
        <v>1745</v>
      </c>
      <c r="I40" s="125">
        <v>2583</v>
      </c>
      <c r="J40" s="125">
        <v>5677</v>
      </c>
      <c r="K40" s="125">
        <v>5418</v>
      </c>
      <c r="L40" s="125">
        <v>6387</v>
      </c>
      <c r="M40" s="125">
        <v>1745</v>
      </c>
      <c r="N40" s="125">
        <v>2583</v>
      </c>
      <c r="O40" s="125">
        <v>5677</v>
      </c>
      <c r="P40" s="125">
        <v>5418</v>
      </c>
      <c r="Q40" s="125">
        <v>6387</v>
      </c>
      <c r="R40" s="181">
        <v>7098</v>
      </c>
      <c r="S40" s="181">
        <v>8117</v>
      </c>
      <c r="T40" s="181">
        <v>11555.94</v>
      </c>
      <c r="U40" s="181">
        <v>11114</v>
      </c>
      <c r="V40" s="101">
        <f t="shared" si="2"/>
        <v>0.14138963870454435</v>
      </c>
      <c r="W40" s="21">
        <f t="shared" si="6"/>
        <v>0.15</v>
      </c>
      <c r="X40" s="131">
        <f t="shared" si="7"/>
        <v>12781.099999999999</v>
      </c>
      <c r="Y40" s="131">
        <f t="shared" si="86"/>
        <v>14698.264999999998</v>
      </c>
      <c r="Z40" s="131">
        <f t="shared" si="87"/>
        <v>16903.004749999996</v>
      </c>
      <c r="AA40" s="131">
        <f t="shared" si="88"/>
        <v>19438.455462499995</v>
      </c>
      <c r="AB40" s="131">
        <f t="shared" si="89"/>
        <v>22354.223781874993</v>
      </c>
      <c r="AC40" s="131">
        <f t="shared" si="90"/>
        <v>25707.357349156238</v>
      </c>
      <c r="AD40" s="131">
        <f t="shared" si="91"/>
        <v>29563.460951529672</v>
      </c>
      <c r="AE40" s="131">
        <f t="shared" si="92"/>
        <v>33997.980094259117</v>
      </c>
      <c r="AF40" s="131">
        <f t="shared" si="93"/>
        <v>39097.677108397984</v>
      </c>
      <c r="AG40" s="131">
        <f t="shared" si="94"/>
        <v>44962.328674657678</v>
      </c>
      <c r="AH40" s="116">
        <f t="shared" si="95"/>
        <v>9.4145839083971561E-2</v>
      </c>
      <c r="AI40" s="21">
        <f t="shared" si="17"/>
        <v>0.05</v>
      </c>
      <c r="AJ40" s="124">
        <f t="shared" si="96"/>
        <v>277708.50063759158</v>
      </c>
    </row>
    <row r="41" spans="1:36" x14ac:dyDescent="0.2">
      <c r="A41" s="301"/>
      <c r="B41" s="178" t="s">
        <v>418</v>
      </c>
      <c r="C41" s="119"/>
      <c r="D41" s="119"/>
      <c r="E41" s="125"/>
      <c r="F41" s="181"/>
      <c r="G41" s="181">
        <f>H41</f>
        <v>41</v>
      </c>
      <c r="H41" s="181">
        <v>41</v>
      </c>
      <c r="I41" s="181">
        <v>88</v>
      </c>
      <c r="J41" s="181">
        <v>390</v>
      </c>
      <c r="K41" s="181">
        <v>959</v>
      </c>
      <c r="L41" s="181">
        <v>1277</v>
      </c>
      <c r="M41" s="181">
        <v>1995</v>
      </c>
      <c r="N41" s="181">
        <v>3076</v>
      </c>
      <c r="O41" s="181">
        <v>2332</v>
      </c>
      <c r="P41" s="181">
        <v>3339</v>
      </c>
      <c r="Q41" s="181">
        <v>4541</v>
      </c>
      <c r="R41" s="181">
        <v>5240</v>
      </c>
      <c r="S41" s="181">
        <v>5776</v>
      </c>
      <c r="T41" s="181">
        <v>6952</v>
      </c>
      <c r="U41" s="181">
        <v>11425</v>
      </c>
      <c r="V41" s="101">
        <f t="shared" si="2"/>
        <v>0.49502352008681272</v>
      </c>
      <c r="W41" s="21">
        <f t="shared" si="6"/>
        <v>0.15</v>
      </c>
      <c r="X41" s="131">
        <f t="shared" si="7"/>
        <v>13138.749999999998</v>
      </c>
      <c r="Y41" s="131">
        <f t="shared" si="86"/>
        <v>15109.562499999996</v>
      </c>
      <c r="Z41" s="131">
        <f t="shared" si="87"/>
        <v>17375.996874999993</v>
      </c>
      <c r="AA41" s="131">
        <f t="shared" si="88"/>
        <v>19982.396406249991</v>
      </c>
      <c r="AB41" s="131">
        <f t="shared" si="89"/>
        <v>22979.755867187487</v>
      </c>
      <c r="AC41" s="131">
        <f t="shared" si="90"/>
        <v>26426.719247265606</v>
      </c>
      <c r="AD41" s="131">
        <f t="shared" si="91"/>
        <v>30390.727134355446</v>
      </c>
      <c r="AE41" s="131">
        <f t="shared" si="92"/>
        <v>34949.336204508763</v>
      </c>
      <c r="AF41" s="131">
        <f t="shared" si="93"/>
        <v>40191.736635185072</v>
      </c>
      <c r="AG41" s="131">
        <f t="shared" si="94"/>
        <v>46220.497130462827</v>
      </c>
      <c r="AH41" s="116">
        <f t="shared" si="95"/>
        <v>0.23073319172447837</v>
      </c>
      <c r="AI41" s="21">
        <f t="shared" si="17"/>
        <v>0.05</v>
      </c>
      <c r="AJ41" s="124">
        <f t="shared" si="96"/>
        <v>285479.54109991749</v>
      </c>
    </row>
    <row r="42" spans="1:36" x14ac:dyDescent="0.2">
      <c r="A42" s="301"/>
      <c r="B42" s="178" t="s">
        <v>420</v>
      </c>
      <c r="C42" s="119"/>
      <c r="D42" s="119"/>
      <c r="E42" s="125"/>
      <c r="F42" s="181"/>
      <c r="G42" s="181">
        <f>H42</f>
        <v>12</v>
      </c>
      <c r="H42" s="181">
        <v>12</v>
      </c>
      <c r="I42" s="181">
        <v>128</v>
      </c>
      <c r="J42" s="181">
        <v>904</v>
      </c>
      <c r="K42" s="181">
        <v>668</v>
      </c>
      <c r="L42" s="181">
        <v>645</v>
      </c>
      <c r="M42" s="181">
        <v>677</v>
      </c>
      <c r="N42" s="181">
        <v>420</v>
      </c>
      <c r="O42" s="181">
        <v>1253</v>
      </c>
      <c r="P42" s="181">
        <v>727</v>
      </c>
      <c r="Q42" s="181">
        <v>1350</v>
      </c>
      <c r="R42" s="181">
        <v>2316</v>
      </c>
      <c r="S42" s="181">
        <v>2442</v>
      </c>
      <c r="T42" s="181">
        <v>12602.59</v>
      </c>
      <c r="U42" s="181">
        <v>13328</v>
      </c>
      <c r="V42" s="101">
        <f t="shared" si="2"/>
        <v>0.65021942732784677</v>
      </c>
      <c r="W42" s="21">
        <f t="shared" si="6"/>
        <v>0.15</v>
      </c>
      <c r="X42" s="131">
        <f t="shared" si="7"/>
        <v>15327.199999999999</v>
      </c>
      <c r="Y42" s="131">
        <f t="shared" si="86"/>
        <v>17626.28</v>
      </c>
      <c r="Z42" s="131">
        <f t="shared" si="87"/>
        <v>20270.221999999998</v>
      </c>
      <c r="AA42" s="131">
        <f t="shared" si="88"/>
        <v>23310.755299999997</v>
      </c>
      <c r="AB42" s="131">
        <f t="shared" si="89"/>
        <v>26807.368594999996</v>
      </c>
      <c r="AC42" s="131">
        <f t="shared" si="90"/>
        <v>30828.473884249994</v>
      </c>
      <c r="AD42" s="131">
        <f t="shared" si="91"/>
        <v>35452.744966887491</v>
      </c>
      <c r="AE42" s="131">
        <f t="shared" si="92"/>
        <v>40770.656711920608</v>
      </c>
      <c r="AF42" s="131">
        <f t="shared" si="93"/>
        <v>46886.255218708699</v>
      </c>
      <c r="AG42" s="131">
        <f t="shared" si="94"/>
        <v>53919.193501515001</v>
      </c>
      <c r="AH42" s="116">
        <f t="shared" si="95"/>
        <v>0.19453508810839804</v>
      </c>
      <c r="AI42" s="21">
        <f t="shared" si="17"/>
        <v>0.05</v>
      </c>
      <c r="AJ42" s="124">
        <f t="shared" si="96"/>
        <v>333030.31280347507</v>
      </c>
    </row>
    <row r="43" spans="1:36" x14ac:dyDescent="0.2">
      <c r="A43" s="301"/>
      <c r="B43" s="178" t="s">
        <v>419</v>
      </c>
      <c r="C43" s="119"/>
      <c r="D43" s="119"/>
      <c r="E43" s="125"/>
      <c r="F43" s="181"/>
      <c r="G43" s="121">
        <f>H43</f>
        <v>22193</v>
      </c>
      <c r="H43" s="125">
        <v>22193</v>
      </c>
      <c r="I43" s="125">
        <v>34363</v>
      </c>
      <c r="J43" s="125">
        <v>37988</v>
      </c>
      <c r="K43" s="125">
        <v>46999</v>
      </c>
      <c r="L43" s="125">
        <v>55632</v>
      </c>
      <c r="M43" s="125">
        <v>22193</v>
      </c>
      <c r="N43" s="125">
        <v>34363</v>
      </c>
      <c r="O43" s="125">
        <v>37988</v>
      </c>
      <c r="P43" s="125">
        <v>46999</v>
      </c>
      <c r="Q43" s="125">
        <v>55632</v>
      </c>
      <c r="R43" s="181">
        <v>75549</v>
      </c>
      <c r="S43" s="181">
        <v>98209</v>
      </c>
      <c r="T43" s="181">
        <v>132262.68</v>
      </c>
      <c r="U43" s="181">
        <v>203518</v>
      </c>
      <c r="V43" s="101">
        <f t="shared" si="2"/>
        <v>0.1714989811049592</v>
      </c>
      <c r="W43" s="21">
        <f t="shared" si="6"/>
        <v>0.15</v>
      </c>
      <c r="X43" s="131">
        <f t="shared" si="7"/>
        <v>234045.69999999998</v>
      </c>
      <c r="Y43" s="131">
        <f t="shared" si="86"/>
        <v>269152.55499999993</v>
      </c>
      <c r="Z43" s="131">
        <f t="shared" si="87"/>
        <v>309525.43824999989</v>
      </c>
      <c r="AA43" s="131">
        <f t="shared" si="88"/>
        <v>355954.25398749986</v>
      </c>
      <c r="AB43" s="131">
        <f t="shared" si="89"/>
        <v>409347.3920856248</v>
      </c>
      <c r="AC43" s="131">
        <f t="shared" si="90"/>
        <v>470749.50089846848</v>
      </c>
      <c r="AD43" s="131">
        <f t="shared" si="91"/>
        <v>541361.92603323876</v>
      </c>
      <c r="AE43" s="131">
        <f t="shared" si="92"/>
        <v>622566.21493822453</v>
      </c>
      <c r="AF43" s="131">
        <f t="shared" si="93"/>
        <v>715951.14717895817</v>
      </c>
      <c r="AG43" s="131">
        <f t="shared" si="94"/>
        <v>823343.81925580185</v>
      </c>
      <c r="AH43" s="116">
        <f t="shared" si="95"/>
        <v>0.14309972890092659</v>
      </c>
      <c r="AI43" s="21">
        <f t="shared" si="17"/>
        <v>0.05</v>
      </c>
      <c r="AJ43" s="124">
        <f t="shared" si="96"/>
        <v>5085358.8836387768</v>
      </c>
    </row>
    <row r="44" spans="1:36" x14ac:dyDescent="0.2">
      <c r="A44" s="301"/>
      <c r="B44" s="178"/>
      <c r="C44" s="119"/>
      <c r="D44" s="119"/>
      <c r="E44" s="125"/>
      <c r="F44" s="128"/>
      <c r="G44" s="128" t="e">
        <f t="shared" ref="G44:T44" si="101">(G43-F43)/F43</f>
        <v>#DIV/0!</v>
      </c>
      <c r="H44" s="128">
        <f t="shared" si="101"/>
        <v>0</v>
      </c>
      <c r="I44" s="128">
        <f t="shared" si="101"/>
        <v>0.54837110800702926</v>
      </c>
      <c r="J44" s="128">
        <f t="shared" si="101"/>
        <v>0.10549137153333528</v>
      </c>
      <c r="K44" s="128">
        <f t="shared" si="101"/>
        <v>0.23720648625881857</v>
      </c>
      <c r="L44" s="128">
        <f t="shared" si="101"/>
        <v>0.18368475925019681</v>
      </c>
      <c r="M44" s="128">
        <f t="shared" si="101"/>
        <v>-0.60107492090882941</v>
      </c>
      <c r="N44" s="128">
        <f t="shared" si="101"/>
        <v>0.54837110800702926</v>
      </c>
      <c r="O44" s="128">
        <f t="shared" si="101"/>
        <v>0.10549137153333528</v>
      </c>
      <c r="P44" s="128">
        <f t="shared" si="101"/>
        <v>0.23720648625881857</v>
      </c>
      <c r="Q44" s="128">
        <f t="shared" si="101"/>
        <v>0.18368475925019681</v>
      </c>
      <c r="R44" s="128">
        <f t="shared" si="101"/>
        <v>0.35801337359792923</v>
      </c>
      <c r="S44" s="128">
        <f t="shared" si="101"/>
        <v>0.29993778871990362</v>
      </c>
      <c r="T44" s="128">
        <f t="shared" si="101"/>
        <v>0.34674703947703361</v>
      </c>
      <c r="U44" s="128">
        <f t="shared" ref="U44" si="102">(U43-T43)/T43</f>
        <v>0.53874093584070737</v>
      </c>
      <c r="V44" s="10"/>
      <c r="W44" s="10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24"/>
    </row>
    <row r="45" spans="1:36" x14ac:dyDescent="0.2">
      <c r="A45" s="301"/>
      <c r="B45" s="178" t="s">
        <v>191</v>
      </c>
      <c r="C45" s="119"/>
      <c r="D45" s="119"/>
      <c r="E45" s="125"/>
      <c r="F45" s="181"/>
      <c r="G45" s="181">
        <f>H45</f>
        <v>395</v>
      </c>
      <c r="H45" s="181">
        <v>395</v>
      </c>
      <c r="I45" s="181">
        <v>1350</v>
      </c>
      <c r="J45" s="181">
        <v>3073</v>
      </c>
      <c r="K45" s="181">
        <v>5093</v>
      </c>
      <c r="L45" s="181">
        <v>7117</v>
      </c>
      <c r="M45" s="181">
        <v>10209</v>
      </c>
      <c r="N45" s="181">
        <v>18828</v>
      </c>
      <c r="O45" s="181">
        <v>27757</v>
      </c>
      <c r="P45" s="181">
        <v>42975</v>
      </c>
      <c r="Q45" s="181">
        <v>40932</v>
      </c>
      <c r="R45" s="181">
        <v>46750</v>
      </c>
      <c r="S45" s="181">
        <v>48788</v>
      </c>
      <c r="T45" s="181">
        <v>49981</v>
      </c>
      <c r="U45" s="181">
        <v>68293</v>
      </c>
      <c r="V45" s="101">
        <f t="shared" si="2"/>
        <v>0.44491188704947571</v>
      </c>
      <c r="W45" s="21">
        <f t="shared" si="6"/>
        <v>0.15</v>
      </c>
      <c r="X45" s="131">
        <f t="shared" si="7"/>
        <v>78536.95</v>
      </c>
      <c r="Y45" s="131">
        <f t="shared" si="86"/>
        <v>90317.492499999993</v>
      </c>
      <c r="Z45" s="131">
        <f t="shared" si="87"/>
        <v>103865.11637499998</v>
      </c>
      <c r="AA45" s="131">
        <f t="shared" si="88"/>
        <v>119444.88383124997</v>
      </c>
      <c r="AB45" s="131">
        <f t="shared" si="89"/>
        <v>137361.61640593747</v>
      </c>
      <c r="AC45" s="131">
        <f t="shared" si="90"/>
        <v>157965.85886682809</v>
      </c>
      <c r="AD45" s="131">
        <f t="shared" si="91"/>
        <v>181660.73769685227</v>
      </c>
      <c r="AE45" s="131">
        <f t="shared" si="92"/>
        <v>208909.84835138009</v>
      </c>
      <c r="AF45" s="131">
        <f t="shared" si="93"/>
        <v>240246.32560408709</v>
      </c>
      <c r="AG45" s="131">
        <f t="shared" si="94"/>
        <v>276283.27444470016</v>
      </c>
      <c r="AH45" s="116">
        <f t="shared" si="95"/>
        <v>0.21603893331625867</v>
      </c>
      <c r="AI45" s="21">
        <f t="shared" si="17"/>
        <v>0.05</v>
      </c>
      <c r="AJ45" s="124">
        <f t="shared" si="96"/>
        <v>1706455.5186290306</v>
      </c>
    </row>
    <row r="46" spans="1:36" x14ac:dyDescent="0.2">
      <c r="A46" s="179"/>
      <c r="B46" s="178"/>
      <c r="C46" s="119"/>
      <c r="D46" s="119"/>
      <c r="E46" s="125"/>
      <c r="F46" s="128"/>
      <c r="G46" s="128" t="e">
        <f t="shared" ref="G46:T46" si="103">(G45-F45)/F45</f>
        <v>#DIV/0!</v>
      </c>
      <c r="H46" s="128">
        <f t="shared" si="103"/>
        <v>0</v>
      </c>
      <c r="I46" s="128">
        <f t="shared" si="103"/>
        <v>2.4177215189873418</v>
      </c>
      <c r="J46" s="128">
        <f t="shared" si="103"/>
        <v>1.2762962962962963</v>
      </c>
      <c r="K46" s="128">
        <f t="shared" si="103"/>
        <v>0.65733810608525867</v>
      </c>
      <c r="L46" s="128">
        <f t="shared" si="103"/>
        <v>0.39740820734341253</v>
      </c>
      <c r="M46" s="128">
        <f t="shared" si="103"/>
        <v>0.43445271884220882</v>
      </c>
      <c r="N46" s="128">
        <f t="shared" si="103"/>
        <v>0.84425506905671466</v>
      </c>
      <c r="O46" s="128">
        <f t="shared" si="103"/>
        <v>0.47424049288294029</v>
      </c>
      <c r="P46" s="128">
        <f t="shared" si="103"/>
        <v>0.54825809705659834</v>
      </c>
      <c r="Q46" s="128">
        <f t="shared" si="103"/>
        <v>-4.7539267015706807E-2</v>
      </c>
      <c r="R46" s="128">
        <f t="shared" si="103"/>
        <v>0.1421381803967556</v>
      </c>
      <c r="S46" s="128">
        <f t="shared" si="103"/>
        <v>4.3593582887700537E-2</v>
      </c>
      <c r="T46" s="128">
        <f t="shared" si="103"/>
        <v>2.4452734278921046E-2</v>
      </c>
      <c r="U46" s="128">
        <f t="shared" ref="U46" si="104">(U45-T45)/T45</f>
        <v>0.36637922410515994</v>
      </c>
      <c r="V46" s="10"/>
      <c r="W46" s="10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24"/>
    </row>
    <row r="47" spans="1:36" x14ac:dyDescent="0.2">
      <c r="A47" s="179"/>
      <c r="B47" s="178" t="s">
        <v>432</v>
      </c>
      <c r="C47" s="119"/>
      <c r="D47" s="119"/>
      <c r="E47" s="125"/>
      <c r="F47" s="181"/>
      <c r="G47" s="125">
        <v>18</v>
      </c>
      <c r="H47" s="125">
        <v>18</v>
      </c>
      <c r="I47" s="125">
        <v>100</v>
      </c>
      <c r="J47" s="125">
        <v>200</v>
      </c>
      <c r="K47" s="125">
        <v>360</v>
      </c>
      <c r="L47" s="125">
        <v>435</v>
      </c>
      <c r="M47" s="125">
        <v>575</v>
      </c>
      <c r="N47" s="125">
        <v>623</v>
      </c>
      <c r="O47" s="125">
        <v>857</v>
      </c>
      <c r="P47" s="125">
        <v>1257</v>
      </c>
      <c r="Q47" s="125">
        <v>1721</v>
      </c>
      <c r="R47" s="181">
        <v>2047</v>
      </c>
      <c r="S47" s="181">
        <v>2729</v>
      </c>
      <c r="T47" s="181">
        <v>4217.8</v>
      </c>
      <c r="U47" s="181">
        <v>5293</v>
      </c>
      <c r="V47" s="101">
        <f t="shared" si="2"/>
        <v>0.50077775875736141</v>
      </c>
      <c r="W47" s="21">
        <f t="shared" si="6"/>
        <v>0.15</v>
      </c>
      <c r="X47" s="131">
        <f t="shared" si="7"/>
        <v>6086.95</v>
      </c>
      <c r="Y47" s="131">
        <f t="shared" ref="Y47" si="105">X47*(1+$W47)</f>
        <v>6999.9924999999994</v>
      </c>
      <c r="Z47" s="131">
        <f t="shared" ref="Z47" si="106">Y47*(1+$W47)</f>
        <v>8049.9913749999987</v>
      </c>
      <c r="AA47" s="131">
        <f t="shared" ref="AA47" si="107">Z47*(1+$W47)</f>
        <v>9257.4900812499982</v>
      </c>
      <c r="AB47" s="131">
        <f t="shared" ref="AB47" si="108">AA47*(1+$W47)</f>
        <v>10646.113593437498</v>
      </c>
      <c r="AC47" s="131">
        <f t="shared" ref="AC47" si="109">AB47*(1+$W47)</f>
        <v>12243.030632453121</v>
      </c>
      <c r="AD47" s="131">
        <f t="shared" ref="AD47" si="110">AC47*(1+$W47)</f>
        <v>14079.485227321089</v>
      </c>
      <c r="AE47" s="131">
        <f t="shared" ref="AE47" si="111">AD47*(1+$W47)</f>
        <v>16191.408011419251</v>
      </c>
      <c r="AF47" s="131">
        <f t="shared" ref="AF47" si="112">AE47*(1+$W47)</f>
        <v>18620.119213132137</v>
      </c>
      <c r="AG47" s="131">
        <f t="shared" ref="AG47" si="113">AF47*(1+$W47)</f>
        <v>21413.137095101956</v>
      </c>
      <c r="AH47" s="116">
        <f t="shared" ref="AH47" si="114">((AG47/J47)^(1/($AG$3-$K$1) ))-1</f>
        <v>0.22530911806000309</v>
      </c>
      <c r="AI47" s="21">
        <f t="shared" si="17"/>
        <v>0.05</v>
      </c>
      <c r="AJ47" s="124">
        <f t="shared" si="96"/>
        <v>132257.61146974741</v>
      </c>
    </row>
    <row r="48" spans="1:36" x14ac:dyDescent="0.2">
      <c r="A48" s="179"/>
      <c r="B48" s="178"/>
      <c r="C48" s="119"/>
      <c r="D48" s="119"/>
      <c r="E48" s="125"/>
      <c r="F48" s="128"/>
      <c r="G48" s="128" t="e">
        <f t="shared" ref="G48:T48" si="115">(G47-F47)/F47</f>
        <v>#DIV/0!</v>
      </c>
      <c r="H48" s="128">
        <f t="shared" si="115"/>
        <v>0</v>
      </c>
      <c r="I48" s="128">
        <f t="shared" si="115"/>
        <v>4.5555555555555554</v>
      </c>
      <c r="J48" s="128">
        <f t="shared" si="115"/>
        <v>1</v>
      </c>
      <c r="K48" s="128">
        <f t="shared" si="115"/>
        <v>0.8</v>
      </c>
      <c r="L48" s="128">
        <f t="shared" si="115"/>
        <v>0.20833333333333334</v>
      </c>
      <c r="M48" s="128">
        <f t="shared" si="115"/>
        <v>0.32183908045977011</v>
      </c>
      <c r="N48" s="128">
        <f t="shared" si="115"/>
        <v>8.3478260869565224E-2</v>
      </c>
      <c r="O48" s="128">
        <f t="shared" si="115"/>
        <v>0.3756019261637239</v>
      </c>
      <c r="P48" s="128">
        <f t="shared" si="115"/>
        <v>0.46674445740956827</v>
      </c>
      <c r="Q48" s="128">
        <f t="shared" si="115"/>
        <v>0.36913285600636436</v>
      </c>
      <c r="R48" s="128">
        <f t="shared" si="115"/>
        <v>0.18942475305055201</v>
      </c>
      <c r="S48" s="128">
        <f t="shared" si="115"/>
        <v>0.33317049340498289</v>
      </c>
      <c r="T48" s="128">
        <f t="shared" si="115"/>
        <v>0.54554781971418109</v>
      </c>
      <c r="U48" s="128">
        <f t="shared" ref="U48" si="116">(U47-T47)/T47</f>
        <v>0.25491962634548809</v>
      </c>
      <c r="V48" s="10"/>
      <c r="W48" s="10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24"/>
    </row>
    <row r="49" spans="1:36" x14ac:dyDescent="0.2">
      <c r="A49" s="179"/>
      <c r="B49" s="178" t="s">
        <v>423</v>
      </c>
      <c r="C49" s="119"/>
      <c r="D49" s="119"/>
      <c r="E49" s="125"/>
      <c r="F49" s="181"/>
      <c r="G49" s="181">
        <f>H49</f>
        <v>0</v>
      </c>
      <c r="H49" s="181">
        <v>0</v>
      </c>
      <c r="I49" s="181">
        <v>0</v>
      </c>
      <c r="J49" s="181">
        <v>0</v>
      </c>
      <c r="K49" s="181">
        <v>0</v>
      </c>
      <c r="L49" s="181">
        <v>0</v>
      </c>
      <c r="M49" s="181">
        <v>0</v>
      </c>
      <c r="N49" s="181">
        <v>0</v>
      </c>
      <c r="O49" s="181">
        <v>0</v>
      </c>
      <c r="P49" s="181">
        <v>0</v>
      </c>
      <c r="Q49" s="181">
        <v>0</v>
      </c>
      <c r="R49" s="181">
        <v>0</v>
      </c>
      <c r="S49" s="181">
        <v>0</v>
      </c>
      <c r="T49" s="181">
        <v>0</v>
      </c>
      <c r="U49" s="181">
        <v>0</v>
      </c>
      <c r="V49" s="101" t="e">
        <f t="shared" si="2"/>
        <v>#DIV/0!</v>
      </c>
      <c r="W49" s="21">
        <f t="shared" si="6"/>
        <v>0.15</v>
      </c>
      <c r="X49" s="131">
        <f t="shared" si="7"/>
        <v>0</v>
      </c>
      <c r="Y49" s="131">
        <f t="shared" si="86"/>
        <v>0</v>
      </c>
      <c r="Z49" s="131">
        <f t="shared" si="87"/>
        <v>0</v>
      </c>
      <c r="AA49" s="131">
        <f t="shared" si="88"/>
        <v>0</v>
      </c>
      <c r="AB49" s="131">
        <f t="shared" si="89"/>
        <v>0</v>
      </c>
      <c r="AC49" s="131">
        <f t="shared" si="90"/>
        <v>0</v>
      </c>
      <c r="AD49" s="131">
        <f t="shared" si="91"/>
        <v>0</v>
      </c>
      <c r="AE49" s="131">
        <f t="shared" si="92"/>
        <v>0</v>
      </c>
      <c r="AF49" s="131">
        <f t="shared" si="93"/>
        <v>0</v>
      </c>
      <c r="AG49" s="131">
        <f t="shared" si="94"/>
        <v>0</v>
      </c>
      <c r="AH49" s="116" t="e">
        <f t="shared" si="95"/>
        <v>#DIV/0!</v>
      </c>
      <c r="AI49" s="21">
        <f t="shared" si="17"/>
        <v>0.05</v>
      </c>
      <c r="AJ49" s="124">
        <f t="shared" si="96"/>
        <v>0</v>
      </c>
    </row>
    <row r="50" spans="1:36" x14ac:dyDescent="0.2">
      <c r="B50" s="10"/>
      <c r="C50" s="119"/>
      <c r="D50" s="119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0"/>
      <c r="W50" s="10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17"/>
      <c r="AI50" s="115"/>
      <c r="AJ50" s="131"/>
    </row>
    <row r="51" spans="1:36" x14ac:dyDescent="0.2">
      <c r="B51" s="10" t="s">
        <v>230</v>
      </c>
      <c r="C51" s="119"/>
      <c r="D51" s="119"/>
      <c r="E51" s="125"/>
      <c r="F51" s="125"/>
      <c r="G51" s="181">
        <f>H51</f>
        <v>0</v>
      </c>
      <c r="H51" s="181">
        <v>0</v>
      </c>
      <c r="I51" s="181">
        <v>0</v>
      </c>
      <c r="J51" s="181">
        <v>0</v>
      </c>
      <c r="K51" s="181">
        <v>0</v>
      </c>
      <c r="L51" s="181">
        <v>0</v>
      </c>
      <c r="M51" s="181">
        <v>0</v>
      </c>
      <c r="N51" s="181">
        <v>0</v>
      </c>
      <c r="O51" s="181">
        <v>0</v>
      </c>
      <c r="P51" s="181">
        <v>0</v>
      </c>
      <c r="Q51" s="181">
        <v>0</v>
      </c>
      <c r="R51" s="181">
        <v>0</v>
      </c>
      <c r="S51" s="181">
        <v>0</v>
      </c>
      <c r="T51" s="181" t="s">
        <v>57</v>
      </c>
      <c r="U51" s="181"/>
      <c r="V51" s="101" t="e">
        <f t="shared" si="2"/>
        <v>#DIV/0!</v>
      </c>
      <c r="W51" s="21">
        <f t="shared" si="6"/>
        <v>0.15</v>
      </c>
      <c r="X51" s="131">
        <f t="shared" si="7"/>
        <v>0</v>
      </c>
      <c r="Y51" s="131">
        <f t="shared" ref="Y51" si="117">X51*(1+$W51)</f>
        <v>0</v>
      </c>
      <c r="Z51" s="131">
        <f t="shared" ref="Z51" si="118">Y51*(1+$W51)</f>
        <v>0</v>
      </c>
      <c r="AA51" s="131">
        <f t="shared" ref="AA51" si="119">Z51*(1+$W51)</f>
        <v>0</v>
      </c>
      <c r="AB51" s="131">
        <f t="shared" si="40"/>
        <v>0</v>
      </c>
      <c r="AC51" s="131">
        <f t="shared" si="41"/>
        <v>0</v>
      </c>
      <c r="AD51" s="131">
        <f t="shared" si="42"/>
        <v>0</v>
      </c>
      <c r="AE51" s="131">
        <f t="shared" si="43"/>
        <v>0</v>
      </c>
      <c r="AF51" s="131">
        <f t="shared" si="44"/>
        <v>0</v>
      </c>
      <c r="AG51" s="131">
        <f t="shared" si="45"/>
        <v>0</v>
      </c>
      <c r="AH51" s="116" t="e">
        <f t="shared" si="19"/>
        <v>#DIV/0!</v>
      </c>
      <c r="AI51" s="21">
        <f t="shared" si="17"/>
        <v>0.05</v>
      </c>
      <c r="AJ51" s="124">
        <f t="shared" si="1"/>
        <v>0</v>
      </c>
    </row>
    <row r="52" spans="1:36" s="106" customFormat="1" x14ac:dyDescent="0.2">
      <c r="B52" s="13"/>
      <c r="C52" s="126"/>
      <c r="D52" s="126"/>
      <c r="E52" s="127"/>
      <c r="F52" s="269"/>
      <c r="G52" s="128" t="e">
        <f t="shared" ref="G52:T52" si="120">(G51-F51)/F51</f>
        <v>#DIV/0!</v>
      </c>
      <c r="H52" s="128" t="e">
        <f t="shared" si="120"/>
        <v>#DIV/0!</v>
      </c>
      <c r="I52" s="128" t="e">
        <f t="shared" si="120"/>
        <v>#DIV/0!</v>
      </c>
      <c r="J52" s="128" t="e">
        <f t="shared" si="120"/>
        <v>#DIV/0!</v>
      </c>
      <c r="K52" s="128" t="e">
        <f t="shared" si="120"/>
        <v>#DIV/0!</v>
      </c>
      <c r="L52" s="128" t="e">
        <f t="shared" si="120"/>
        <v>#DIV/0!</v>
      </c>
      <c r="M52" s="128" t="e">
        <f t="shared" si="120"/>
        <v>#DIV/0!</v>
      </c>
      <c r="N52" s="128" t="e">
        <f t="shared" si="120"/>
        <v>#DIV/0!</v>
      </c>
      <c r="O52" s="128" t="e">
        <f t="shared" si="120"/>
        <v>#DIV/0!</v>
      </c>
      <c r="P52" s="128" t="e">
        <f t="shared" si="120"/>
        <v>#DIV/0!</v>
      </c>
      <c r="Q52" s="128" t="e">
        <f t="shared" si="120"/>
        <v>#DIV/0!</v>
      </c>
      <c r="R52" s="128" t="e">
        <f t="shared" si="120"/>
        <v>#DIV/0!</v>
      </c>
      <c r="S52" s="128" t="e">
        <f t="shared" si="120"/>
        <v>#DIV/0!</v>
      </c>
      <c r="T52" s="128" t="e">
        <f t="shared" si="120"/>
        <v>#VALUE!</v>
      </c>
      <c r="U52" s="128" t="e">
        <f t="shared" ref="U52" si="121">(U51-T51)/T51</f>
        <v>#VALUE!</v>
      </c>
      <c r="V52" s="10"/>
      <c r="W52" s="10"/>
      <c r="X52" s="131"/>
      <c r="Y52" s="132"/>
      <c r="Z52" s="132"/>
      <c r="AA52" s="132"/>
      <c r="AB52" s="132"/>
      <c r="AC52" s="132"/>
      <c r="AD52" s="132"/>
      <c r="AE52" s="132"/>
      <c r="AF52" s="132"/>
      <c r="AG52" s="132"/>
      <c r="AH52" s="117"/>
      <c r="AI52" s="115"/>
      <c r="AJ52" s="133"/>
    </row>
    <row r="53" spans="1:36" s="106" customFormat="1" x14ac:dyDescent="0.2">
      <c r="B53" s="10" t="s">
        <v>345</v>
      </c>
      <c r="C53" s="126"/>
      <c r="D53" s="126"/>
      <c r="E53" s="127"/>
      <c r="F53" s="125"/>
      <c r="G53" s="181">
        <f>H53</f>
        <v>0</v>
      </c>
      <c r="H53" s="181">
        <v>0</v>
      </c>
      <c r="I53" s="181">
        <v>0</v>
      </c>
      <c r="J53" s="181">
        <v>0</v>
      </c>
      <c r="K53" s="181">
        <v>0</v>
      </c>
      <c r="L53" s="181">
        <v>0</v>
      </c>
      <c r="M53" s="181">
        <v>0</v>
      </c>
      <c r="N53" s="181">
        <v>0</v>
      </c>
      <c r="O53" s="181">
        <v>0</v>
      </c>
      <c r="P53" s="181">
        <v>0</v>
      </c>
      <c r="Q53" s="181">
        <v>0</v>
      </c>
      <c r="R53" s="181">
        <v>0</v>
      </c>
      <c r="S53" s="181">
        <v>0</v>
      </c>
      <c r="T53" s="181" t="s">
        <v>57</v>
      </c>
      <c r="U53" s="181"/>
      <c r="V53" s="101" t="e">
        <f t="shared" si="2"/>
        <v>#DIV/0!</v>
      </c>
      <c r="W53" s="21">
        <f t="shared" si="6"/>
        <v>0.15</v>
      </c>
      <c r="X53" s="131">
        <f t="shared" si="7"/>
        <v>0</v>
      </c>
      <c r="Y53" s="131">
        <f t="shared" ref="Y53" si="122">X53*(1+$W53)</f>
        <v>0</v>
      </c>
      <c r="Z53" s="131">
        <f t="shared" ref="Z53" si="123">Y53*(1+$W53)</f>
        <v>0</v>
      </c>
      <c r="AA53" s="131">
        <f t="shared" ref="AA53" si="124">Z53*(1+$W53)</f>
        <v>0</v>
      </c>
      <c r="AB53" s="131">
        <f t="shared" ref="AB53" si="125">AA53*(1+$W53)</f>
        <v>0</v>
      </c>
      <c r="AC53" s="131">
        <f t="shared" ref="AC53" si="126">AB53*(1+$W53)</f>
        <v>0</v>
      </c>
      <c r="AD53" s="131">
        <f t="shared" ref="AD53" si="127">AC53*(1+$W53)</f>
        <v>0</v>
      </c>
      <c r="AE53" s="131">
        <f t="shared" ref="AE53" si="128">AD53*(1+$W53)</f>
        <v>0</v>
      </c>
      <c r="AF53" s="131">
        <f t="shared" ref="AF53" si="129">AE53*(1+$W53)</f>
        <v>0</v>
      </c>
      <c r="AG53" s="131">
        <f t="shared" ref="AG53" si="130">AF53*(1+$W53)</f>
        <v>0</v>
      </c>
      <c r="AH53" s="116" t="e">
        <f t="shared" ref="AH53" si="131">((AG53/J53)^(1/($AG$3-$K$1) ))-1</f>
        <v>#DIV/0!</v>
      </c>
      <c r="AI53" s="21">
        <f t="shared" si="17"/>
        <v>0.05</v>
      </c>
      <c r="AJ53" s="124">
        <f t="shared" ref="AJ53" si="132">(AG53*(1+AI53))/($C$1-AI53)</f>
        <v>0</v>
      </c>
    </row>
    <row r="54" spans="1:36" s="106" customFormat="1" x14ac:dyDescent="0.2">
      <c r="B54" s="13"/>
      <c r="C54" s="126"/>
      <c r="D54" s="126"/>
      <c r="E54" s="127"/>
      <c r="F54" s="269"/>
      <c r="G54" s="128" t="e">
        <f t="shared" ref="G54:T54" si="133">(G53-F53)/F53</f>
        <v>#DIV/0!</v>
      </c>
      <c r="H54" s="128" t="e">
        <f t="shared" si="133"/>
        <v>#DIV/0!</v>
      </c>
      <c r="I54" s="128" t="e">
        <f t="shared" si="133"/>
        <v>#DIV/0!</v>
      </c>
      <c r="J54" s="128" t="e">
        <f t="shared" si="133"/>
        <v>#DIV/0!</v>
      </c>
      <c r="K54" s="128" t="e">
        <f t="shared" si="133"/>
        <v>#DIV/0!</v>
      </c>
      <c r="L54" s="128" t="e">
        <f t="shared" si="133"/>
        <v>#DIV/0!</v>
      </c>
      <c r="M54" s="128" t="e">
        <f t="shared" si="133"/>
        <v>#DIV/0!</v>
      </c>
      <c r="N54" s="128" t="e">
        <f t="shared" si="133"/>
        <v>#DIV/0!</v>
      </c>
      <c r="O54" s="128" t="e">
        <f t="shared" si="133"/>
        <v>#DIV/0!</v>
      </c>
      <c r="P54" s="128" t="e">
        <f t="shared" si="133"/>
        <v>#DIV/0!</v>
      </c>
      <c r="Q54" s="128" t="e">
        <f t="shared" si="133"/>
        <v>#DIV/0!</v>
      </c>
      <c r="R54" s="128" t="e">
        <f t="shared" si="133"/>
        <v>#DIV/0!</v>
      </c>
      <c r="S54" s="128" t="e">
        <f t="shared" si="133"/>
        <v>#DIV/0!</v>
      </c>
      <c r="T54" s="128" t="e">
        <f t="shared" si="133"/>
        <v>#VALUE!</v>
      </c>
      <c r="U54" s="128" t="e">
        <f t="shared" ref="U54" si="134">(U53-T53)/T53</f>
        <v>#VALUE!</v>
      </c>
      <c r="V54" s="10"/>
      <c r="W54" s="10"/>
      <c r="X54" s="131"/>
      <c r="Y54" s="132"/>
      <c r="Z54" s="132"/>
      <c r="AA54" s="132"/>
      <c r="AB54" s="132"/>
      <c r="AC54" s="132"/>
      <c r="AD54" s="132"/>
      <c r="AE54" s="132"/>
      <c r="AF54" s="132"/>
      <c r="AG54" s="132"/>
      <c r="AH54" s="117"/>
      <c r="AI54" s="115"/>
      <c r="AJ54" s="133"/>
    </row>
    <row r="55" spans="1:36" x14ac:dyDescent="0.2">
      <c r="B55" s="10" t="s">
        <v>346</v>
      </c>
      <c r="C55" s="119"/>
      <c r="D55" s="119"/>
      <c r="E55" s="125"/>
      <c r="F55" s="125"/>
      <c r="G55" s="272">
        <f>H55</f>
        <v>-4</v>
      </c>
      <c r="H55" s="272">
        <v>-4</v>
      </c>
      <c r="I55" s="272">
        <v>55</v>
      </c>
      <c r="J55" s="121">
        <v>94</v>
      </c>
      <c r="K55" s="121">
        <v>200</v>
      </c>
      <c r="L55" s="273">
        <v>304</v>
      </c>
      <c r="M55" s="273">
        <v>478</v>
      </c>
      <c r="N55" s="273">
        <v>727</v>
      </c>
      <c r="O55" s="273">
        <v>977</v>
      </c>
      <c r="P55" s="273">
        <v>1300</v>
      </c>
      <c r="Q55" s="273">
        <v>1611</v>
      </c>
      <c r="R55" s="181">
        <v>1997</v>
      </c>
      <c r="S55" s="181">
        <v>2529</v>
      </c>
      <c r="T55" s="181">
        <v>3339.89</v>
      </c>
      <c r="U55" s="181">
        <v>4233</v>
      </c>
      <c r="V55" s="101" t="e">
        <f t="shared" si="2"/>
        <v>#NUM!</v>
      </c>
      <c r="W55" s="21">
        <f t="shared" si="6"/>
        <v>0.15</v>
      </c>
      <c r="X55" s="131">
        <f t="shared" si="7"/>
        <v>4867.95</v>
      </c>
      <c r="Y55" s="131">
        <f t="shared" ref="Y55:AG55" si="135">X55*(1+$W55)</f>
        <v>5598.142499999999</v>
      </c>
      <c r="Z55" s="131">
        <f t="shared" si="135"/>
        <v>6437.8638749999982</v>
      </c>
      <c r="AA55" s="131">
        <f t="shared" si="135"/>
        <v>7403.5434562499977</v>
      </c>
      <c r="AB55" s="131">
        <f t="shared" si="135"/>
        <v>8514.0749746874972</v>
      </c>
      <c r="AC55" s="131">
        <f t="shared" si="135"/>
        <v>9791.1862208906205</v>
      </c>
      <c r="AD55" s="131">
        <f t="shared" si="135"/>
        <v>11259.864154024213</v>
      </c>
      <c r="AE55" s="131">
        <f t="shared" si="135"/>
        <v>12948.843777127844</v>
      </c>
      <c r="AF55" s="131">
        <f t="shared" si="135"/>
        <v>14891.17034369702</v>
      </c>
      <c r="AG55" s="131">
        <f t="shared" si="135"/>
        <v>17124.845895251572</v>
      </c>
      <c r="AH55" s="116">
        <f t="shared" si="19"/>
        <v>0.25395674925845912</v>
      </c>
      <c r="AI55" s="21">
        <f t="shared" si="17"/>
        <v>0.05</v>
      </c>
      <c r="AJ55" s="124">
        <f t="shared" si="1"/>
        <v>105771.10700008324</v>
      </c>
    </row>
    <row r="56" spans="1:36" s="106" customFormat="1" x14ac:dyDescent="0.2">
      <c r="B56" s="13"/>
      <c r="C56" s="126"/>
      <c r="D56" s="126"/>
      <c r="E56" s="127"/>
      <c r="F56" s="269"/>
      <c r="G56" s="128" t="e">
        <f t="shared" ref="G56:T56" si="136">(G55-F55)/F55</f>
        <v>#DIV/0!</v>
      </c>
      <c r="H56" s="128">
        <f t="shared" si="136"/>
        <v>0</v>
      </c>
      <c r="I56" s="128">
        <f t="shared" si="136"/>
        <v>-14.75</v>
      </c>
      <c r="J56" s="128">
        <f t="shared" si="136"/>
        <v>0.70909090909090911</v>
      </c>
      <c r="K56" s="128">
        <f t="shared" si="136"/>
        <v>1.1276595744680851</v>
      </c>
      <c r="L56" s="128">
        <f t="shared" si="136"/>
        <v>0.52</v>
      </c>
      <c r="M56" s="128">
        <f t="shared" si="136"/>
        <v>0.57236842105263153</v>
      </c>
      <c r="N56" s="128">
        <f t="shared" si="136"/>
        <v>0.52092050209205021</v>
      </c>
      <c r="O56" s="128">
        <f t="shared" si="136"/>
        <v>0.34387895460797802</v>
      </c>
      <c r="P56" s="128">
        <f t="shared" si="136"/>
        <v>0.330603889457523</v>
      </c>
      <c r="Q56" s="128">
        <f t="shared" si="136"/>
        <v>0.23923076923076922</v>
      </c>
      <c r="R56" s="128">
        <f t="shared" si="136"/>
        <v>0.23960273122284295</v>
      </c>
      <c r="S56" s="128">
        <f t="shared" si="136"/>
        <v>0.26639959939909863</v>
      </c>
      <c r="T56" s="128">
        <f t="shared" si="136"/>
        <v>0.32063661526294973</v>
      </c>
      <c r="U56" s="128">
        <f t="shared" ref="U56" si="137">(U55-T55)/T55</f>
        <v>0.26740701041052256</v>
      </c>
      <c r="V56" s="10"/>
      <c r="W56" s="10"/>
      <c r="X56" s="131"/>
      <c r="Y56" s="132"/>
      <c r="Z56" s="132"/>
      <c r="AA56" s="132"/>
      <c r="AB56" s="132"/>
      <c r="AC56" s="132"/>
      <c r="AD56" s="132"/>
      <c r="AE56" s="132"/>
      <c r="AF56" s="132"/>
      <c r="AG56" s="132"/>
      <c r="AH56" s="117"/>
      <c r="AI56" s="115"/>
      <c r="AJ56" s="133"/>
    </row>
    <row r="57" spans="1:36" x14ac:dyDescent="0.2">
      <c r="B57" s="10" t="s">
        <v>197</v>
      </c>
      <c r="C57" s="120"/>
      <c r="D57" s="120"/>
      <c r="E57" s="123"/>
      <c r="F57" s="125"/>
      <c r="G57" s="272">
        <v>20</v>
      </c>
      <c r="H57" s="272">
        <v>20</v>
      </c>
      <c r="I57" s="272">
        <v>27</v>
      </c>
      <c r="J57" s="121">
        <v>28</v>
      </c>
      <c r="K57" s="121">
        <v>29.7</v>
      </c>
      <c r="L57" s="273">
        <v>29.69</v>
      </c>
      <c r="M57" s="273">
        <v>33.96</v>
      </c>
      <c r="N57" s="273">
        <v>34.700000000000003</v>
      </c>
      <c r="O57" s="273">
        <v>35.29</v>
      </c>
      <c r="P57" s="273">
        <v>35.86</v>
      </c>
      <c r="Q57" s="273">
        <v>36.06</v>
      </c>
      <c r="R57" s="123">
        <v>41.77</v>
      </c>
      <c r="S57" s="181">
        <v>42.05</v>
      </c>
      <c r="T57" s="123">
        <v>45.64</v>
      </c>
      <c r="U57" s="123">
        <v>230.29</v>
      </c>
      <c r="V57" s="101">
        <f t="shared" si="2"/>
        <v>0.19070237613403718</v>
      </c>
      <c r="W57" s="21">
        <v>0.02</v>
      </c>
      <c r="X57" s="131">
        <f t="shared" si="7"/>
        <v>234.89580000000001</v>
      </c>
      <c r="Y57" s="131">
        <f>X57*(1+$W57)</f>
        <v>239.593716</v>
      </c>
      <c r="Z57" s="131">
        <f t="shared" ref="Z57:AG57" si="138">Y57*(1+$W57)</f>
        <v>244.38559032000001</v>
      </c>
      <c r="AA57" s="131">
        <f t="shared" si="138"/>
        <v>249.27330212640001</v>
      </c>
      <c r="AB57" s="131">
        <f t="shared" si="138"/>
        <v>254.25876816892801</v>
      </c>
      <c r="AC57" s="131">
        <f t="shared" si="138"/>
        <v>259.34394353230658</v>
      </c>
      <c r="AD57" s="131">
        <f t="shared" si="138"/>
        <v>264.53082240295271</v>
      </c>
      <c r="AE57" s="131">
        <f t="shared" si="138"/>
        <v>269.82143885101175</v>
      </c>
      <c r="AF57" s="131">
        <f t="shared" si="138"/>
        <v>275.21786762803197</v>
      </c>
      <c r="AG57" s="131">
        <f t="shared" si="138"/>
        <v>280.72222498059261</v>
      </c>
      <c r="AH57" s="116">
        <f t="shared" si="19"/>
        <v>0.10541894371235094</v>
      </c>
      <c r="AI57" s="21">
        <f t="shared" si="17"/>
        <v>0.05</v>
      </c>
      <c r="AJ57" s="124">
        <f t="shared" si="1"/>
        <v>1733.8725660566017</v>
      </c>
    </row>
    <row r="58" spans="1:36" x14ac:dyDescent="0.2">
      <c r="B58" s="10"/>
      <c r="C58" s="120"/>
      <c r="D58" s="120"/>
      <c r="E58" s="121"/>
      <c r="F58" s="269"/>
      <c r="G58" s="128" t="e">
        <f t="shared" ref="G58:T58" si="139">(G57-F57)/F57</f>
        <v>#DIV/0!</v>
      </c>
      <c r="H58" s="128">
        <f t="shared" si="139"/>
        <v>0</v>
      </c>
      <c r="I58" s="128">
        <f t="shared" si="139"/>
        <v>0.35</v>
      </c>
      <c r="J58" s="128">
        <f t="shared" si="139"/>
        <v>3.7037037037037035E-2</v>
      </c>
      <c r="K58" s="128">
        <f t="shared" si="139"/>
        <v>6.0714285714285686E-2</v>
      </c>
      <c r="L58" s="128">
        <f t="shared" si="139"/>
        <v>-3.3670033670026971E-4</v>
      </c>
      <c r="M58" s="128">
        <f t="shared" si="139"/>
        <v>0.14381946783428762</v>
      </c>
      <c r="N58" s="128">
        <f t="shared" si="139"/>
        <v>2.1790341578327502E-2</v>
      </c>
      <c r="O58" s="128">
        <f t="shared" si="139"/>
        <v>1.7002881844380296E-2</v>
      </c>
      <c r="P58" s="128">
        <f t="shared" si="139"/>
        <v>1.6151884386511769E-2</v>
      </c>
      <c r="Q58" s="128">
        <f t="shared" si="139"/>
        <v>5.5772448410486017E-3</v>
      </c>
      <c r="R58" s="128">
        <f t="shared" si="139"/>
        <v>0.15834719911259015</v>
      </c>
      <c r="S58" s="128">
        <f t="shared" si="139"/>
        <v>6.7033756284413217E-3</v>
      </c>
      <c r="T58" s="128">
        <f t="shared" si="139"/>
        <v>8.5374554102259304E-2</v>
      </c>
      <c r="U58" s="128">
        <f t="shared" ref="U58" si="140">(U57-T57)/T57</f>
        <v>4.0457931638913225</v>
      </c>
      <c r="V58" s="10"/>
      <c r="W58" s="10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17"/>
      <c r="AI58" s="115"/>
      <c r="AJ58" s="124"/>
    </row>
    <row r="59" spans="1:36" x14ac:dyDescent="0.2">
      <c r="B59" s="10" t="s">
        <v>233</v>
      </c>
      <c r="C59" s="123"/>
      <c r="D59" s="123"/>
      <c r="E59" s="123"/>
      <c r="F59" s="125"/>
      <c r="G59" s="125">
        <v>0.1</v>
      </c>
      <c r="H59" s="125">
        <v>0</v>
      </c>
      <c r="I59" s="125">
        <v>0</v>
      </c>
      <c r="J59" s="125">
        <v>0</v>
      </c>
      <c r="K59" s="125">
        <v>0</v>
      </c>
      <c r="L59" s="125">
        <v>0</v>
      </c>
      <c r="M59" s="125">
        <v>1.5</v>
      </c>
      <c r="N59" s="125">
        <v>2.5</v>
      </c>
      <c r="O59" s="125">
        <v>4</v>
      </c>
      <c r="P59" s="125">
        <v>6</v>
      </c>
      <c r="Q59" s="125">
        <v>8</v>
      </c>
      <c r="R59" s="181">
        <v>9</v>
      </c>
      <c r="S59" s="181">
        <v>10</v>
      </c>
      <c r="T59" s="181">
        <v>12</v>
      </c>
      <c r="U59" s="123">
        <v>2.7</v>
      </c>
      <c r="V59" s="101">
        <f t="shared" si="2"/>
        <v>0.26543624318165371</v>
      </c>
      <c r="W59" s="21">
        <v>0.02</v>
      </c>
      <c r="X59" s="131">
        <f t="shared" si="7"/>
        <v>2.7540000000000004</v>
      </c>
      <c r="Y59" s="131">
        <f t="shared" ref="Y59" si="141">X59*(1+$W59)</f>
        <v>2.8090800000000007</v>
      </c>
      <c r="Z59" s="131">
        <f t="shared" ref="Z59" si="142">Y59*(1+$W59)</f>
        <v>2.8652616000000006</v>
      </c>
      <c r="AA59" s="131">
        <f t="shared" ref="AA59" si="143">Z59*(1+$W59)</f>
        <v>2.9225668320000007</v>
      </c>
      <c r="AB59" s="131">
        <f t="shared" ref="AB59" si="144">AA59*(1+$W59)</f>
        <v>2.9810181686400008</v>
      </c>
      <c r="AC59" s="131">
        <f t="shared" ref="AC59" si="145">AB59*(1+$W59)</f>
        <v>3.0406385320128009</v>
      </c>
      <c r="AD59" s="131">
        <f t="shared" ref="AD59" si="146">AC59*(1+$W59)</f>
        <v>3.1014513026530568</v>
      </c>
      <c r="AE59" s="131">
        <f t="shared" ref="AE59" si="147">AD59*(1+$W59)</f>
        <v>3.1634803287061182</v>
      </c>
      <c r="AF59" s="131">
        <f t="shared" ref="AF59" si="148">AE59*(1+$W59)</f>
        <v>3.2267499352802407</v>
      </c>
      <c r="AG59" s="131">
        <f t="shared" ref="AG59" si="149">AF59*(1+$W59)</f>
        <v>3.2912849339858457</v>
      </c>
      <c r="AH59" s="116" t="e">
        <f t="shared" ref="AH59" si="150">((AG59/J59)^(1/($AG$3-$K$1) ))-1</f>
        <v>#DIV/0!</v>
      </c>
      <c r="AI59" s="21">
        <f t="shared" si="17"/>
        <v>0.05</v>
      </c>
      <c r="AJ59" s="124">
        <f t="shared" si="1"/>
        <v>20.32852459226552</v>
      </c>
    </row>
    <row r="60" spans="1:36" x14ac:dyDescent="0.2">
      <c r="B60" s="10"/>
      <c r="C60" s="123"/>
      <c r="D60" s="123"/>
      <c r="E60" s="123"/>
      <c r="F60" s="128"/>
      <c r="G60" s="128" t="e">
        <f t="shared" ref="G60:T60" si="151">(G59-F59)/F59</f>
        <v>#DIV/0!</v>
      </c>
      <c r="H60" s="128">
        <f t="shared" si="151"/>
        <v>-1</v>
      </c>
      <c r="I60" s="128" t="e">
        <f t="shared" si="151"/>
        <v>#DIV/0!</v>
      </c>
      <c r="J60" s="128" t="e">
        <f t="shared" si="151"/>
        <v>#DIV/0!</v>
      </c>
      <c r="K60" s="128" t="e">
        <f t="shared" si="151"/>
        <v>#DIV/0!</v>
      </c>
      <c r="L60" s="128" t="e">
        <f t="shared" si="151"/>
        <v>#DIV/0!</v>
      </c>
      <c r="M60" s="128" t="e">
        <f t="shared" si="151"/>
        <v>#DIV/0!</v>
      </c>
      <c r="N60" s="128">
        <f t="shared" si="151"/>
        <v>0.66666666666666663</v>
      </c>
      <c r="O60" s="128">
        <f t="shared" si="151"/>
        <v>0.6</v>
      </c>
      <c r="P60" s="128">
        <f t="shared" si="151"/>
        <v>0.5</v>
      </c>
      <c r="Q60" s="128">
        <f t="shared" si="151"/>
        <v>0.33333333333333331</v>
      </c>
      <c r="R60" s="128">
        <f t="shared" si="151"/>
        <v>0.125</v>
      </c>
      <c r="S60" s="128">
        <f t="shared" si="151"/>
        <v>0.1111111111111111</v>
      </c>
      <c r="T60" s="128">
        <f t="shared" si="151"/>
        <v>0.2</v>
      </c>
      <c r="U60" s="128">
        <f t="shared" ref="U60" si="152">(U59-T59)/T59</f>
        <v>-0.77500000000000002</v>
      </c>
      <c r="V60" s="10"/>
      <c r="W60" s="10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17"/>
      <c r="AI60" s="115"/>
      <c r="AJ60" s="124"/>
    </row>
    <row r="61" spans="1:36" x14ac:dyDescent="0.2">
      <c r="B61" s="10" t="s">
        <v>371</v>
      </c>
      <c r="C61" s="10"/>
      <c r="D61" s="10"/>
      <c r="E61" s="109"/>
      <c r="F61" s="125"/>
      <c r="G61" s="125">
        <v>0</v>
      </c>
      <c r="H61" s="125">
        <v>0</v>
      </c>
      <c r="I61" s="125">
        <v>0</v>
      </c>
      <c r="J61" s="125">
        <v>0</v>
      </c>
      <c r="K61" s="125">
        <v>0</v>
      </c>
      <c r="L61" s="125">
        <v>0</v>
      </c>
      <c r="M61" s="125">
        <v>0</v>
      </c>
      <c r="N61" s="125">
        <v>0</v>
      </c>
      <c r="O61" s="125">
        <v>0</v>
      </c>
      <c r="P61" s="125">
        <v>0</v>
      </c>
      <c r="Q61" s="125">
        <v>0</v>
      </c>
      <c r="R61" s="125">
        <v>0</v>
      </c>
      <c r="S61" s="125">
        <v>0</v>
      </c>
      <c r="T61" s="125">
        <v>0</v>
      </c>
      <c r="U61" s="125" t="s">
        <v>508</v>
      </c>
      <c r="V61" s="101" t="e">
        <f t="shared" si="2"/>
        <v>#VALUE!</v>
      </c>
      <c r="W61" s="110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17"/>
      <c r="AI61" s="115"/>
      <c r="AJ61" s="131"/>
    </row>
    <row r="62" spans="1:36" x14ac:dyDescent="0.2">
      <c r="B62" s="10" t="s">
        <v>369</v>
      </c>
      <c r="C62" s="10"/>
      <c r="D62" s="10"/>
      <c r="E62" s="109"/>
      <c r="F62" s="125"/>
      <c r="G62" s="125">
        <v>0</v>
      </c>
      <c r="H62" s="125">
        <v>0</v>
      </c>
      <c r="I62" s="125">
        <v>0</v>
      </c>
      <c r="J62" s="125">
        <v>0</v>
      </c>
      <c r="K62" s="125">
        <v>0</v>
      </c>
      <c r="L62" s="125">
        <v>0</v>
      </c>
      <c r="M62" s="125">
        <v>0</v>
      </c>
      <c r="N62" s="125">
        <v>0</v>
      </c>
      <c r="O62" s="125">
        <v>0</v>
      </c>
      <c r="P62" s="125">
        <v>0</v>
      </c>
      <c r="Q62" s="125">
        <v>0</v>
      </c>
      <c r="R62" s="125">
        <v>0</v>
      </c>
      <c r="S62" s="125">
        <v>0</v>
      </c>
      <c r="T62" s="125">
        <v>0</v>
      </c>
      <c r="U62" s="125">
        <v>0</v>
      </c>
      <c r="V62" s="101" t="e">
        <f t="shared" si="2"/>
        <v>#DIV/0!</v>
      </c>
      <c r="W62" s="110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17"/>
      <c r="AI62" s="115"/>
      <c r="AJ62" s="131"/>
    </row>
    <row r="63" spans="1:36" x14ac:dyDescent="0.2">
      <c r="B63" s="10" t="s">
        <v>370</v>
      </c>
      <c r="C63" s="10"/>
      <c r="D63" s="10"/>
      <c r="E63" s="109"/>
      <c r="F63" s="125"/>
      <c r="G63" s="125">
        <v>0</v>
      </c>
      <c r="H63" s="125">
        <v>0</v>
      </c>
      <c r="I63" s="125">
        <v>0</v>
      </c>
      <c r="J63" s="125">
        <v>0</v>
      </c>
      <c r="K63" s="125">
        <v>0</v>
      </c>
      <c r="L63" s="125">
        <v>0</v>
      </c>
      <c r="M63" s="125">
        <v>0</v>
      </c>
      <c r="N63" s="125">
        <v>0</v>
      </c>
      <c r="O63" s="125">
        <v>0</v>
      </c>
      <c r="P63" s="125">
        <v>0</v>
      </c>
      <c r="Q63" s="125">
        <v>0</v>
      </c>
      <c r="R63" s="125">
        <v>0</v>
      </c>
      <c r="S63" s="125">
        <v>0</v>
      </c>
      <c r="T63" s="125">
        <v>0</v>
      </c>
      <c r="U63" s="125">
        <v>0</v>
      </c>
      <c r="V63" s="101" t="e">
        <f t="shared" si="2"/>
        <v>#DIV/0!</v>
      </c>
      <c r="W63" s="110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17"/>
      <c r="AI63" s="115"/>
      <c r="AJ63" s="131"/>
    </row>
    <row r="64" spans="1:36" x14ac:dyDescent="0.2">
      <c r="B64" s="10"/>
      <c r="C64" s="10"/>
      <c r="D64" s="10"/>
      <c r="E64" s="109"/>
      <c r="F64" s="109"/>
      <c r="G64" s="109"/>
      <c r="H64" s="109"/>
      <c r="I64" s="109"/>
      <c r="J64" s="109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17"/>
      <c r="AI64" s="115"/>
      <c r="AJ64" s="131"/>
    </row>
    <row r="65" spans="2:36" x14ac:dyDescent="0.2">
      <c r="B65" s="93" t="s">
        <v>201</v>
      </c>
      <c r="C65" s="10"/>
      <c r="D65" s="10"/>
      <c r="E65" s="109"/>
      <c r="F65" s="109"/>
      <c r="G65" s="109"/>
      <c r="H65" s="109"/>
      <c r="I65" s="109"/>
      <c r="J65" s="109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17"/>
      <c r="AI65" s="115"/>
      <c r="AJ65" s="131"/>
    </row>
    <row r="66" spans="2:36" x14ac:dyDescent="0.2">
      <c r="B66" s="10" t="s">
        <v>253</v>
      </c>
      <c r="C66" s="112"/>
      <c r="D66" s="112"/>
      <c r="E66" s="112"/>
      <c r="F66" s="112"/>
      <c r="G66" s="112">
        <f t="shared" ref="G66" si="153">G25/G57</f>
        <v>2.4</v>
      </c>
      <c r="H66" s="112">
        <f t="shared" ref="H66:I66" si="154">H25/H57</f>
        <v>2.4</v>
      </c>
      <c r="I66" s="112">
        <f t="shared" si="154"/>
        <v>10.703703703703704</v>
      </c>
      <c r="J66" s="112">
        <f t="shared" ref="J66:S66" si="155">J25/J57</f>
        <v>28.142857142857142</v>
      </c>
      <c r="K66" s="112">
        <f t="shared" si="155"/>
        <v>56.262626262626263</v>
      </c>
      <c r="L66" s="112">
        <f t="shared" si="155"/>
        <v>82.115190299764222</v>
      </c>
      <c r="M66" s="112">
        <f t="shared" si="155"/>
        <v>86.719670200235569</v>
      </c>
      <c r="N66" s="112">
        <f t="shared" si="155"/>
        <v>134.43804034582132</v>
      </c>
      <c r="O66" s="112">
        <f t="shared" si="155"/>
        <v>203.0036837631057</v>
      </c>
      <c r="P66" s="112">
        <f t="shared" si="155"/>
        <v>266.34132738427218</v>
      </c>
      <c r="Q66" s="112">
        <f t="shared" si="155"/>
        <v>324.51469772601217</v>
      </c>
      <c r="R66" s="112">
        <f t="shared" si="155"/>
        <v>326.04740244194397</v>
      </c>
      <c r="S66" s="112">
        <f t="shared" si="155"/>
        <v>386.730083234245</v>
      </c>
      <c r="T66" s="112">
        <f t="shared" ref="T66:U66" si="156">T25/T57</f>
        <v>452.27870289219982</v>
      </c>
      <c r="U66" s="112">
        <f t="shared" si="156"/>
        <v>110.99483260237093</v>
      </c>
      <c r="V66" s="101">
        <f t="shared" si="2"/>
        <v>0.31502832831003813</v>
      </c>
      <c r="W66" s="110"/>
      <c r="X66" s="135">
        <f t="shared" ref="X66:AG66" si="157">X25/X57</f>
        <v>125.14123283600642</v>
      </c>
      <c r="Y66" s="135">
        <f t="shared" si="157"/>
        <v>141.09060564843861</v>
      </c>
      <c r="Z66" s="135">
        <f t="shared" si="157"/>
        <v>159.07274166245526</v>
      </c>
      <c r="AA66" s="135">
        <f t="shared" si="157"/>
        <v>179.34671854100347</v>
      </c>
      <c r="AB66" s="135">
        <f t="shared" si="157"/>
        <v>202.20463364917057</v>
      </c>
      <c r="AC66" s="135">
        <f t="shared" si="157"/>
        <v>227.97581244759425</v>
      </c>
      <c r="AD66" s="135">
        <f t="shared" si="157"/>
        <v>257.03155324973858</v>
      </c>
      <c r="AE66" s="135">
        <f t="shared" si="157"/>
        <v>289.79047670313662</v>
      </c>
      <c r="AF66" s="135">
        <f t="shared" si="157"/>
        <v>326.72455706726186</v>
      </c>
      <c r="AG66" s="135">
        <f t="shared" si="157"/>
        <v>368.36592218367758</v>
      </c>
      <c r="AH66" s="116">
        <f t="shared" ref="AH66" si="158">((AG66/J66)^(1/($AG$3-$K$1) ))-1</f>
        <v>0.11830781315218197</v>
      </c>
      <c r="AI66" s="21">
        <f t="shared" si="17"/>
        <v>0.05</v>
      </c>
      <c r="AJ66" s="124">
        <f t="shared" ref="AJ66:AJ67" si="159">(AG66*(1+AI66))/($C$1-AI66)</f>
        <v>2275.2012840756556</v>
      </c>
    </row>
    <row r="67" spans="2:36" x14ac:dyDescent="0.2">
      <c r="B67" s="10" t="s">
        <v>254</v>
      </c>
      <c r="C67" s="112"/>
      <c r="D67" s="112"/>
      <c r="E67" s="112"/>
      <c r="F67" s="112"/>
      <c r="G67" s="112">
        <f t="shared" ref="G67" si="160">G27/G57</f>
        <v>0.59250000000000003</v>
      </c>
      <c r="H67" s="112">
        <f t="shared" ref="H67:I67" si="161">H27/H57</f>
        <v>0.59250000000000003</v>
      </c>
      <c r="I67" s="112">
        <f t="shared" si="161"/>
        <v>3.8888888888888888</v>
      </c>
      <c r="J67" s="112">
        <f t="shared" ref="J67:S67" si="162">J27/J57</f>
        <v>14.857142857142858</v>
      </c>
      <c r="K67" s="112">
        <f t="shared" si="162"/>
        <v>32.794612794612796</v>
      </c>
      <c r="L67" s="112">
        <f t="shared" si="162"/>
        <v>50.2526103065005</v>
      </c>
      <c r="M67" s="112">
        <f t="shared" si="162"/>
        <v>72.644287396937571</v>
      </c>
      <c r="N67" s="112">
        <f t="shared" si="162"/>
        <v>113.45821325648414</v>
      </c>
      <c r="O67" s="112">
        <f t="shared" si="162"/>
        <v>175.31878719183905</v>
      </c>
      <c r="P67" s="112">
        <f t="shared" si="162"/>
        <v>230.06134969325154</v>
      </c>
      <c r="Q67" s="112">
        <f t="shared" si="162"/>
        <v>279.83915696062115</v>
      </c>
      <c r="R67" s="112">
        <f t="shared" si="162"/>
        <v>278.23796983480963</v>
      </c>
      <c r="S67" s="112">
        <f t="shared" si="162"/>
        <v>326.58739595719385</v>
      </c>
      <c r="T67" s="112">
        <f t="shared" ref="T67:U67" si="163">T27/T57</f>
        <v>379.09728308501315</v>
      </c>
      <c r="U67" s="112">
        <f t="shared" si="163"/>
        <v>92.613661036084935</v>
      </c>
      <c r="V67" s="101">
        <f t="shared" si="2"/>
        <v>0.43454222348756888</v>
      </c>
      <c r="W67" s="110"/>
      <c r="X67" s="135">
        <f t="shared" ref="X67:AG67" si="164">X27/X57</f>
        <v>104.41736293284085</v>
      </c>
      <c r="Y67" s="135">
        <f t="shared" si="164"/>
        <v>117.72545820859507</v>
      </c>
      <c r="Z67" s="135">
        <f t="shared" si="164"/>
        <v>132.72968327439639</v>
      </c>
      <c r="AA67" s="135">
        <f t="shared" si="164"/>
        <v>149.64621153485865</v>
      </c>
      <c r="AB67" s="135">
        <f t="shared" si="164"/>
        <v>168.71876790694844</v>
      </c>
      <c r="AC67" s="135">
        <f t="shared" si="164"/>
        <v>190.22214028724576</v>
      </c>
      <c r="AD67" s="135">
        <f t="shared" si="164"/>
        <v>214.46613855914964</v>
      </c>
      <c r="AE67" s="135">
        <f t="shared" si="164"/>
        <v>241.80005817943339</v>
      </c>
      <c r="AF67" s="135">
        <f t="shared" si="164"/>
        <v>272.61771265328275</v>
      </c>
      <c r="AG67" s="135">
        <f t="shared" si="164"/>
        <v>307.3631074032109</v>
      </c>
      <c r="AH67" s="116">
        <f t="shared" ref="AH67" si="165">((AG67/J67)^(1/($AG$3-$K$1) ))-1</f>
        <v>0.14078831099011291</v>
      </c>
      <c r="AI67" s="21">
        <f t="shared" si="17"/>
        <v>0.05</v>
      </c>
      <c r="AJ67" s="124">
        <f t="shared" si="159"/>
        <v>1898.4191927845382</v>
      </c>
    </row>
    <row r="68" spans="2:36" x14ac:dyDescent="0.2">
      <c r="B68" s="10" t="s">
        <v>372</v>
      </c>
      <c r="C68" s="112"/>
      <c r="D68" s="112"/>
      <c r="E68" s="112"/>
      <c r="F68" s="112"/>
      <c r="G68" s="112">
        <f t="shared" ref="G68" si="166">G53-G55</f>
        <v>4</v>
      </c>
      <c r="H68" s="112">
        <f t="shared" ref="H68:I68" si="167">H53-H55</f>
        <v>4</v>
      </c>
      <c r="I68" s="112">
        <f t="shared" si="167"/>
        <v>-55</v>
      </c>
      <c r="J68" s="112">
        <f>J53-J55</f>
        <v>-94</v>
      </c>
      <c r="K68" s="112">
        <f t="shared" ref="K68:T68" si="168">K53-K55</f>
        <v>-200</v>
      </c>
      <c r="L68" s="112">
        <f t="shared" si="168"/>
        <v>-304</v>
      </c>
      <c r="M68" s="112">
        <f t="shared" si="168"/>
        <v>-478</v>
      </c>
      <c r="N68" s="112">
        <f t="shared" si="168"/>
        <v>-727</v>
      </c>
      <c r="O68" s="112">
        <f t="shared" si="168"/>
        <v>-977</v>
      </c>
      <c r="P68" s="112">
        <f t="shared" si="168"/>
        <v>-1300</v>
      </c>
      <c r="Q68" s="112">
        <f t="shared" si="168"/>
        <v>-1611</v>
      </c>
      <c r="R68" s="112">
        <f t="shared" si="168"/>
        <v>-1997</v>
      </c>
      <c r="S68" s="112">
        <f t="shared" si="168"/>
        <v>-2529</v>
      </c>
      <c r="T68" s="112" t="e">
        <f t="shared" si="168"/>
        <v>#VALUE!</v>
      </c>
      <c r="U68" s="112">
        <f t="shared" ref="U68" si="169">U53-U55</f>
        <v>-4233</v>
      </c>
      <c r="V68" s="101" t="e">
        <f t="shared" si="2"/>
        <v>#NUM!</v>
      </c>
      <c r="W68" s="110"/>
      <c r="X68" s="112">
        <f t="shared" ref="X68:AG68" si="170">X53-X55</f>
        <v>-4867.95</v>
      </c>
      <c r="Y68" s="112">
        <f t="shared" si="170"/>
        <v>-5598.142499999999</v>
      </c>
      <c r="Z68" s="112">
        <f t="shared" si="170"/>
        <v>-6437.8638749999982</v>
      </c>
      <c r="AA68" s="112">
        <f t="shared" si="170"/>
        <v>-7403.5434562499977</v>
      </c>
      <c r="AB68" s="112">
        <f t="shared" si="170"/>
        <v>-8514.0749746874972</v>
      </c>
      <c r="AC68" s="112">
        <f t="shared" si="170"/>
        <v>-9791.1862208906205</v>
      </c>
      <c r="AD68" s="112">
        <f t="shared" si="170"/>
        <v>-11259.864154024213</v>
      </c>
      <c r="AE68" s="112">
        <f t="shared" si="170"/>
        <v>-12948.843777127844</v>
      </c>
      <c r="AF68" s="112">
        <f t="shared" si="170"/>
        <v>-14891.17034369702</v>
      </c>
      <c r="AG68" s="112">
        <f t="shared" si="170"/>
        <v>-17124.845895251572</v>
      </c>
      <c r="AH68" s="116">
        <f t="shared" ref="AH68" si="171">((AG68/J68)^(1/($AG$3-$K$1) ))-1</f>
        <v>0.25395674925845912</v>
      </c>
      <c r="AI68" s="21">
        <f t="shared" si="17"/>
        <v>0.05</v>
      </c>
      <c r="AJ68" s="124">
        <f t="shared" ref="AJ68" si="172">(AG68*(1+AI68))/($C$1-AI68)</f>
        <v>-105771.10700008324</v>
      </c>
    </row>
    <row r="69" spans="2:36" x14ac:dyDescent="0.2">
      <c r="B69" s="10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0"/>
      <c r="W69" s="10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02"/>
      <c r="AI69" s="115"/>
      <c r="AJ69" s="124"/>
    </row>
    <row r="70" spans="2:36" x14ac:dyDescent="0.2">
      <c r="B70" s="10" t="s">
        <v>405</v>
      </c>
      <c r="C70" s="112"/>
      <c r="D70" s="112"/>
      <c r="E70" s="112"/>
      <c r="F70" s="15"/>
      <c r="G70" s="15">
        <f t="shared" ref="G70" si="173">G51/G57</f>
        <v>0</v>
      </c>
      <c r="H70" s="15">
        <f t="shared" ref="H70:I70" si="174">H51/H57</f>
        <v>0</v>
      </c>
      <c r="I70" s="15">
        <f t="shared" si="174"/>
        <v>0</v>
      </c>
      <c r="J70" s="15">
        <f t="shared" ref="J70:S70" si="175">J51/J57</f>
        <v>0</v>
      </c>
      <c r="K70" s="15">
        <f t="shared" si="175"/>
        <v>0</v>
      </c>
      <c r="L70" s="15">
        <f t="shared" si="175"/>
        <v>0</v>
      </c>
      <c r="M70" s="15">
        <f t="shared" si="175"/>
        <v>0</v>
      </c>
      <c r="N70" s="15">
        <f t="shared" si="175"/>
        <v>0</v>
      </c>
      <c r="O70" s="15">
        <f t="shared" si="175"/>
        <v>0</v>
      </c>
      <c r="P70" s="15">
        <f t="shared" si="175"/>
        <v>0</v>
      </c>
      <c r="Q70" s="15">
        <f t="shared" si="175"/>
        <v>0</v>
      </c>
      <c r="R70" s="15">
        <f t="shared" si="175"/>
        <v>0</v>
      </c>
      <c r="S70" s="15">
        <f t="shared" si="175"/>
        <v>0</v>
      </c>
      <c r="T70" s="15" t="e">
        <f>T51/T57</f>
        <v>#VALUE!</v>
      </c>
      <c r="U70" s="15">
        <f>U51/U57</f>
        <v>0</v>
      </c>
      <c r="V70" s="101" t="e">
        <f t="shared" si="2"/>
        <v>#DIV/0!</v>
      </c>
      <c r="W70" s="110"/>
      <c r="X70" s="96">
        <f>X51/X57</f>
        <v>0</v>
      </c>
      <c r="Y70" s="96">
        <f t="shared" ref="Y70:AG70" si="176">Y51/Y57</f>
        <v>0</v>
      </c>
      <c r="Z70" s="96">
        <f t="shared" si="176"/>
        <v>0</v>
      </c>
      <c r="AA70" s="96">
        <f t="shared" si="176"/>
        <v>0</v>
      </c>
      <c r="AB70" s="96">
        <f t="shared" si="176"/>
        <v>0</v>
      </c>
      <c r="AC70" s="96">
        <f t="shared" si="176"/>
        <v>0</v>
      </c>
      <c r="AD70" s="96">
        <f t="shared" si="176"/>
        <v>0</v>
      </c>
      <c r="AE70" s="96">
        <f t="shared" si="176"/>
        <v>0</v>
      </c>
      <c r="AF70" s="96">
        <f t="shared" si="176"/>
        <v>0</v>
      </c>
      <c r="AG70" s="96">
        <f t="shared" si="176"/>
        <v>0</v>
      </c>
      <c r="AH70" s="116" t="e">
        <f t="shared" ref="AH70:AH71" si="177">((AG70/J70)^(1/($AG$3-$K$1) ))-1</f>
        <v>#DIV/0!</v>
      </c>
      <c r="AI70" s="21">
        <f t="shared" si="17"/>
        <v>0.05</v>
      </c>
      <c r="AJ70" s="124">
        <f t="shared" ref="AJ70:AJ71" si="178">(AG70*(1+AI70))/($C$1-AI70)</f>
        <v>0</v>
      </c>
    </row>
    <row r="71" spans="2:36" x14ac:dyDescent="0.2">
      <c r="B71" s="10" t="s">
        <v>406</v>
      </c>
      <c r="C71" s="112"/>
      <c r="D71" s="112"/>
      <c r="E71" s="112"/>
      <c r="F71" s="15"/>
      <c r="G71" s="15">
        <f t="shared" ref="G71" si="179">G53/G57</f>
        <v>0</v>
      </c>
      <c r="H71" s="15">
        <f t="shared" ref="H71:I71" si="180">H53/H57</f>
        <v>0</v>
      </c>
      <c r="I71" s="15">
        <f t="shared" si="180"/>
        <v>0</v>
      </c>
      <c r="J71" s="15">
        <f t="shared" ref="J71:S71" si="181">J53/J57</f>
        <v>0</v>
      </c>
      <c r="K71" s="15">
        <f t="shared" si="181"/>
        <v>0</v>
      </c>
      <c r="L71" s="15">
        <f t="shared" si="181"/>
        <v>0</v>
      </c>
      <c r="M71" s="15">
        <f t="shared" si="181"/>
        <v>0</v>
      </c>
      <c r="N71" s="15">
        <f t="shared" si="181"/>
        <v>0</v>
      </c>
      <c r="O71" s="15">
        <f t="shared" si="181"/>
        <v>0</v>
      </c>
      <c r="P71" s="15">
        <f t="shared" si="181"/>
        <v>0</v>
      </c>
      <c r="Q71" s="15">
        <f t="shared" si="181"/>
        <v>0</v>
      </c>
      <c r="R71" s="15">
        <f t="shared" si="181"/>
        <v>0</v>
      </c>
      <c r="S71" s="15">
        <f t="shared" si="181"/>
        <v>0</v>
      </c>
      <c r="T71" s="15" t="e">
        <f>T53/T57</f>
        <v>#VALUE!</v>
      </c>
      <c r="U71" s="15">
        <f>U53/U57</f>
        <v>0</v>
      </c>
      <c r="V71" s="101" t="e">
        <f t="shared" ref="V71:V134" si="182">((U71/G71)^(1/($K$2-$K$1) ))-1</f>
        <v>#DIV/0!</v>
      </c>
      <c r="W71" s="110"/>
      <c r="X71" s="96">
        <f>X53/X57</f>
        <v>0</v>
      </c>
      <c r="Y71" s="96">
        <f t="shared" ref="Y71:AG71" si="183">Y53/Y57</f>
        <v>0</v>
      </c>
      <c r="Z71" s="96">
        <f t="shared" si="183"/>
        <v>0</v>
      </c>
      <c r="AA71" s="96">
        <f t="shared" si="183"/>
        <v>0</v>
      </c>
      <c r="AB71" s="96">
        <f t="shared" si="183"/>
        <v>0</v>
      </c>
      <c r="AC71" s="96">
        <f t="shared" si="183"/>
        <v>0</v>
      </c>
      <c r="AD71" s="96">
        <f t="shared" si="183"/>
        <v>0</v>
      </c>
      <c r="AE71" s="96">
        <f t="shared" si="183"/>
        <v>0</v>
      </c>
      <c r="AF71" s="96">
        <f t="shared" si="183"/>
        <v>0</v>
      </c>
      <c r="AG71" s="96">
        <f t="shared" si="183"/>
        <v>0</v>
      </c>
      <c r="AH71" s="116" t="e">
        <f t="shared" si="177"/>
        <v>#DIV/0!</v>
      </c>
      <c r="AI71" s="21">
        <f t="shared" si="17"/>
        <v>0.05</v>
      </c>
      <c r="AJ71" s="124">
        <f t="shared" si="178"/>
        <v>0</v>
      </c>
    </row>
    <row r="72" spans="2:36" x14ac:dyDescent="0.2">
      <c r="B72" s="10" t="s">
        <v>215</v>
      </c>
      <c r="C72" s="15"/>
      <c r="D72" s="15"/>
      <c r="E72" s="15"/>
      <c r="F72" s="112"/>
      <c r="G72" s="112">
        <f t="shared" ref="G72" si="184">G55/G57</f>
        <v>-0.2</v>
      </c>
      <c r="H72" s="112">
        <f t="shared" ref="H72:I72" si="185">H55/H57</f>
        <v>-0.2</v>
      </c>
      <c r="I72" s="112">
        <f t="shared" si="185"/>
        <v>2.0370370370370372</v>
      </c>
      <c r="J72" s="112">
        <f t="shared" ref="J72:S72" si="186">J55/J57</f>
        <v>3.3571428571428572</v>
      </c>
      <c r="K72" s="112">
        <f t="shared" si="186"/>
        <v>6.7340067340067344</v>
      </c>
      <c r="L72" s="112">
        <f t="shared" si="186"/>
        <v>10.239137756820478</v>
      </c>
      <c r="M72" s="112">
        <f t="shared" si="186"/>
        <v>14.075382803297996</v>
      </c>
      <c r="N72" s="112">
        <f t="shared" si="186"/>
        <v>20.95100864553314</v>
      </c>
      <c r="O72" s="112">
        <f t="shared" si="186"/>
        <v>27.684896571266648</v>
      </c>
      <c r="P72" s="112">
        <f t="shared" si="186"/>
        <v>36.252091466815394</v>
      </c>
      <c r="Q72" s="112">
        <f t="shared" si="186"/>
        <v>44.675540765391013</v>
      </c>
      <c r="R72" s="112">
        <f t="shared" si="186"/>
        <v>47.809432607134305</v>
      </c>
      <c r="S72" s="112">
        <f t="shared" si="186"/>
        <v>60.142687277051131</v>
      </c>
      <c r="T72" s="112">
        <f t="shared" ref="T72:U72" si="187">T55/T57</f>
        <v>73.179009640666081</v>
      </c>
      <c r="U72" s="112">
        <f t="shared" si="187"/>
        <v>18.381171566285989</v>
      </c>
      <c r="V72" s="101" t="e">
        <f t="shared" si="182"/>
        <v>#NUM!</v>
      </c>
      <c r="W72" s="110"/>
      <c r="X72" s="135">
        <f t="shared" ref="X72:AG72" si="188">X55/X57</f>
        <v>20.723869903165571</v>
      </c>
      <c r="Y72" s="135">
        <f t="shared" si="188"/>
        <v>23.365147439843536</v>
      </c>
      <c r="Z72" s="135">
        <f t="shared" si="188"/>
        <v>26.343058388058886</v>
      </c>
      <c r="AA72" s="135">
        <f t="shared" si="188"/>
        <v>29.700507006144818</v>
      </c>
      <c r="AB72" s="135">
        <f t="shared" si="188"/>
        <v>33.485865742222096</v>
      </c>
      <c r="AC72" s="135">
        <f t="shared" si="188"/>
        <v>37.753672160348437</v>
      </c>
      <c r="AD72" s="135">
        <f t="shared" si="188"/>
        <v>42.565414690588923</v>
      </c>
      <c r="AE72" s="135">
        <f t="shared" si="188"/>
        <v>47.990418523703198</v>
      </c>
      <c r="AF72" s="135">
        <f t="shared" si="188"/>
        <v>54.106844413979097</v>
      </c>
      <c r="AG72" s="135">
        <f t="shared" si="188"/>
        <v>61.002814780466622</v>
      </c>
      <c r="AH72" s="116">
        <f t="shared" ref="AH72:AH86" si="189">((AG72/J72)^(1/($AG$3-$K$1) ))-1</f>
        <v>0.13437240820866592</v>
      </c>
      <c r="AI72" s="21">
        <f t="shared" si="17"/>
        <v>0.05</v>
      </c>
      <c r="AJ72" s="124">
        <f t="shared" ref="AJ72:AJ100" si="190">(AG72*(1+AI72))/($C$1-AI72)</f>
        <v>376.78209129111741</v>
      </c>
    </row>
    <row r="73" spans="2:36" x14ac:dyDescent="0.2">
      <c r="B73" s="10" t="s">
        <v>333</v>
      </c>
      <c r="C73" s="112"/>
      <c r="D73" s="112"/>
      <c r="E73" s="112"/>
      <c r="F73" s="112"/>
      <c r="G73" s="112">
        <f t="shared" ref="G73" si="191">G20/G57</f>
        <v>-2.75</v>
      </c>
      <c r="H73" s="112">
        <f t="shared" ref="H73:I73" si="192">H20/H57</f>
        <v>-2.75</v>
      </c>
      <c r="I73" s="112">
        <f t="shared" si="192"/>
        <v>-6.1481481481481479</v>
      </c>
      <c r="J73" s="112">
        <f>J20/J57</f>
        <v>64.321428571428569</v>
      </c>
      <c r="K73" s="112">
        <f t="shared" ref="K73:S73" si="193">K20/K57</f>
        <v>-6.5993265993265995</v>
      </c>
      <c r="L73" s="112">
        <f t="shared" si="193"/>
        <v>-12.293701583024587</v>
      </c>
      <c r="M73" s="112">
        <f t="shared" si="193"/>
        <v>28.268551236749115</v>
      </c>
      <c r="N73" s="112">
        <f t="shared" si="193"/>
        <v>87.896253602305464</v>
      </c>
      <c r="O73" s="112">
        <f t="shared" si="193"/>
        <v>101.67186171720034</v>
      </c>
      <c r="P73" s="112">
        <f t="shared" si="193"/>
        <v>15.05856107083101</v>
      </c>
      <c r="Q73" s="112">
        <f t="shared" si="193"/>
        <v>123.34997226844148</v>
      </c>
      <c r="R73" s="112">
        <f t="shared" si="193"/>
        <v>-34.689968877184583</v>
      </c>
      <c r="S73" s="112">
        <f t="shared" si="193"/>
        <v>-8.6325802615933416</v>
      </c>
      <c r="T73" s="112">
        <f t="shared" ref="T73:U73" si="194">T20/T57</f>
        <v>95.92462751971955</v>
      </c>
      <c r="U73" s="112">
        <f t="shared" si="194"/>
        <v>-94.997611706978162</v>
      </c>
      <c r="V73" s="101">
        <f t="shared" si="182"/>
        <v>0.28790635220052296</v>
      </c>
      <c r="W73" s="110"/>
      <c r="X73" s="112">
        <f t="shared" ref="X73:AG73" si="195">X20/X57</f>
        <v>-107.10515045394595</v>
      </c>
      <c r="Y73" s="112">
        <f t="shared" si="195"/>
        <v>-120.75580688435083</v>
      </c>
      <c r="Z73" s="112">
        <f t="shared" si="195"/>
        <v>-136.1462528598073</v>
      </c>
      <c r="AA73" s="112">
        <f t="shared" si="195"/>
        <v>-153.49822626350823</v>
      </c>
      <c r="AB73" s="112">
        <f t="shared" si="195"/>
        <v>-173.06172568924944</v>
      </c>
      <c r="AC73" s="112">
        <f t="shared" si="195"/>
        <v>-195.11861229670279</v>
      </c>
      <c r="AD73" s="112">
        <f t="shared" si="195"/>
        <v>-219.98667072667467</v>
      </c>
      <c r="AE73" s="112">
        <f t="shared" si="195"/>
        <v>-248.02418758399597</v>
      </c>
      <c r="AF73" s="112">
        <f t="shared" si="195"/>
        <v>-279.63511345254449</v>
      </c>
      <c r="AG73" s="112">
        <f t="shared" si="195"/>
        <v>-315.27488281414321</v>
      </c>
      <c r="AH73" s="116">
        <f t="shared" ref="AH73" si="196">((AG73/J73)^(1/($AG$3-$K$1) ))-1</f>
        <v>-2.0715551017073714</v>
      </c>
      <c r="AI73" s="21">
        <f t="shared" si="17"/>
        <v>0.05</v>
      </c>
      <c r="AJ73" s="124">
        <f t="shared" si="190"/>
        <v>-1947.2860409108848</v>
      </c>
    </row>
    <row r="74" spans="2:36" x14ac:dyDescent="0.2">
      <c r="B74" s="10" t="s">
        <v>203</v>
      </c>
      <c r="C74" s="15"/>
      <c r="D74" s="15"/>
      <c r="E74" s="15"/>
      <c r="F74" s="112"/>
      <c r="G74" s="112">
        <f t="shared" ref="G74" si="197">G7/G57</f>
        <v>10.85</v>
      </c>
      <c r="H74" s="112">
        <f t="shared" ref="H74:I74" si="198">H7/H57</f>
        <v>10.85</v>
      </c>
      <c r="I74" s="112">
        <f t="shared" si="198"/>
        <v>21.185185185185187</v>
      </c>
      <c r="J74" s="112">
        <f t="shared" ref="J74:S74" si="199">J7/J57</f>
        <v>28.107142857142858</v>
      </c>
      <c r="K74" s="112">
        <f t="shared" si="199"/>
        <v>44.410774410774415</v>
      </c>
      <c r="L74" s="112">
        <f t="shared" si="199"/>
        <v>54.698551700909398</v>
      </c>
      <c r="M74" s="112">
        <f t="shared" si="199"/>
        <v>90.959952885747938</v>
      </c>
      <c r="N74" s="112">
        <f t="shared" si="199"/>
        <v>109.3371757925072</v>
      </c>
      <c r="O74" s="112">
        <f t="shared" si="199"/>
        <v>132.5021252479456</v>
      </c>
      <c r="P74" s="112">
        <f t="shared" si="199"/>
        <v>161.93530395984385</v>
      </c>
      <c r="Q74" s="112">
        <f t="shared" si="199"/>
        <v>197.3100388241819</v>
      </c>
      <c r="R74" s="112">
        <f t="shared" si="199"/>
        <v>279.26741680632028</v>
      </c>
      <c r="S74" s="112">
        <f t="shared" si="199"/>
        <v>327.27705112960763</v>
      </c>
      <c r="T74" s="112">
        <f t="shared" ref="T74:U74" si="200">T7/T57</f>
        <v>482.88781770376863</v>
      </c>
      <c r="U74" s="112">
        <f t="shared" si="200"/>
        <v>111.82422163359243</v>
      </c>
      <c r="V74" s="101">
        <f t="shared" si="182"/>
        <v>0.18131229664767856</v>
      </c>
      <c r="W74" s="110"/>
      <c r="X74" s="135">
        <f t="shared" ref="X74:AG74" si="201">X7/X57</f>
        <v>126.07632831238361</v>
      </c>
      <c r="Y74" s="135">
        <f t="shared" si="201"/>
        <v>142.14487996004033</v>
      </c>
      <c r="Z74" s="135">
        <f t="shared" si="201"/>
        <v>160.26138426867294</v>
      </c>
      <c r="AA74" s="135">
        <f t="shared" si="201"/>
        <v>180.68685481271945</v>
      </c>
      <c r="AB74" s="135">
        <f t="shared" si="201"/>
        <v>203.71557160257584</v>
      </c>
      <c r="AC74" s="135">
        <f t="shared" si="201"/>
        <v>229.67932092447276</v>
      </c>
      <c r="AD74" s="135">
        <f t="shared" si="201"/>
        <v>258.95217555210161</v>
      </c>
      <c r="AE74" s="135">
        <f t="shared" si="201"/>
        <v>291.95588420089882</v>
      </c>
      <c r="AF74" s="135">
        <f t="shared" si="201"/>
        <v>329.1659478735624</v>
      </c>
      <c r="AG74" s="135">
        <f t="shared" si="201"/>
        <v>371.11847064176152</v>
      </c>
      <c r="AH74" s="116">
        <f t="shared" si="189"/>
        <v>0.1187316048517626</v>
      </c>
      <c r="AI74" s="21">
        <f t="shared" si="17"/>
        <v>0.05</v>
      </c>
      <c r="AJ74" s="124">
        <f t="shared" si="190"/>
        <v>2292.2023186697038</v>
      </c>
    </row>
    <row r="75" spans="2:36" x14ac:dyDescent="0.2">
      <c r="B75" s="10" t="s">
        <v>204</v>
      </c>
      <c r="C75" s="109"/>
      <c r="D75" s="109"/>
      <c r="E75" s="109"/>
      <c r="F75" s="122"/>
      <c r="G75" s="122">
        <f t="shared" ref="G75" si="202">G6/G57</f>
        <v>0.85</v>
      </c>
      <c r="H75" s="122">
        <f t="shared" ref="H75:I75" si="203">H6/H57</f>
        <v>0.85</v>
      </c>
      <c r="I75" s="122">
        <f t="shared" si="203"/>
        <v>11.222222222222221</v>
      </c>
      <c r="J75" s="122">
        <f t="shared" ref="J75:S75" si="204">J6/J57</f>
        <v>18.107142857142858</v>
      </c>
      <c r="K75" s="122">
        <f t="shared" si="204"/>
        <v>34.444444444444443</v>
      </c>
      <c r="L75" s="122">
        <f t="shared" si="204"/>
        <v>44.695183563489387</v>
      </c>
      <c r="M75" s="122">
        <f t="shared" si="204"/>
        <v>80.948174322732626</v>
      </c>
      <c r="N75" s="122">
        <f t="shared" si="204"/>
        <v>99.308357348703169</v>
      </c>
      <c r="O75" s="122">
        <f t="shared" si="204"/>
        <v>122.49929158401814</v>
      </c>
      <c r="P75" s="122">
        <f t="shared" si="204"/>
        <v>151.952035694367</v>
      </c>
      <c r="Q75" s="122">
        <f t="shared" si="204"/>
        <v>187.49306711037158</v>
      </c>
      <c r="R75" s="122">
        <f t="shared" si="204"/>
        <v>269.26023461814697</v>
      </c>
      <c r="S75" s="122">
        <f t="shared" si="204"/>
        <v>317.26516052318669</v>
      </c>
      <c r="T75" s="122">
        <f t="shared" ref="T75:U75" si="205">T6/T57</f>
        <v>472.89658194566169</v>
      </c>
      <c r="U75" s="122">
        <f t="shared" si="205"/>
        <v>109.82239784619394</v>
      </c>
      <c r="V75" s="101">
        <f t="shared" si="182"/>
        <v>0.41515869004081241</v>
      </c>
      <c r="W75" s="110"/>
      <c r="X75" s="134">
        <f t="shared" ref="X75:AG75" si="206">X6/X57</f>
        <v>123.81937012070883</v>
      </c>
      <c r="Y75" s="134">
        <f t="shared" si="206"/>
        <v>139.60027023413249</v>
      </c>
      <c r="Z75" s="134">
        <f t="shared" si="206"/>
        <v>157.39246153848271</v>
      </c>
      <c r="AA75" s="134">
        <f t="shared" si="206"/>
        <v>177.45228506789715</v>
      </c>
      <c r="AB75" s="134">
        <f t="shared" si="206"/>
        <v>200.06875277262913</v>
      </c>
      <c r="AC75" s="134">
        <f t="shared" si="206"/>
        <v>225.56771145933675</v>
      </c>
      <c r="AD75" s="134">
        <f t="shared" si="206"/>
        <v>254.31653742964437</v>
      </c>
      <c r="AE75" s="134">
        <f t="shared" si="206"/>
        <v>286.72942945499119</v>
      </c>
      <c r="AF75" s="134">
        <f t="shared" si="206"/>
        <v>323.27337634631363</v>
      </c>
      <c r="AG75" s="134">
        <f t="shared" si="206"/>
        <v>364.47488509633394</v>
      </c>
      <c r="AH75" s="116">
        <f t="shared" si="189"/>
        <v>0.13943019786095845</v>
      </c>
      <c r="AI75" s="21">
        <f t="shared" si="17"/>
        <v>0.05</v>
      </c>
      <c r="AJ75" s="124">
        <f t="shared" si="190"/>
        <v>2251.1684079479451</v>
      </c>
    </row>
    <row r="76" spans="2:36" x14ac:dyDescent="0.2">
      <c r="B76" s="10" t="s">
        <v>205</v>
      </c>
      <c r="C76" s="109"/>
      <c r="D76" s="109"/>
      <c r="E76" s="109"/>
      <c r="F76" s="122"/>
      <c r="G76" s="122">
        <f t="shared" ref="G76" si="207">G10/G57</f>
        <v>51.6</v>
      </c>
      <c r="H76" s="122">
        <f t="shared" ref="H76:I76" si="208">H10/H57</f>
        <v>51.6</v>
      </c>
      <c r="I76" s="122">
        <f t="shared" si="208"/>
        <v>125</v>
      </c>
      <c r="J76" s="122">
        <f t="shared" ref="J76:S76" si="209">J10/J57</f>
        <v>324.53571428571428</v>
      </c>
      <c r="K76" s="122">
        <f t="shared" si="209"/>
        <v>480.1010101010101</v>
      </c>
      <c r="L76" s="122">
        <f t="shared" si="209"/>
        <v>618.32266756483659</v>
      </c>
      <c r="M76" s="122">
        <f t="shared" si="209"/>
        <v>928.94581861012955</v>
      </c>
      <c r="N76" s="122">
        <f t="shared" si="209"/>
        <v>1516.685878962536</v>
      </c>
      <c r="O76" s="122">
        <f t="shared" si="209"/>
        <v>1793.9359591952395</v>
      </c>
      <c r="P76" s="122">
        <f t="shared" si="209"/>
        <v>2450.5577244841047</v>
      </c>
      <c r="Q76" s="122">
        <f t="shared" si="209"/>
        <v>2648.3361064891847</v>
      </c>
      <c r="R76" s="122">
        <f t="shared" si="209"/>
        <v>2810.1268853243951</v>
      </c>
      <c r="S76" s="122">
        <f t="shared" si="209"/>
        <v>3409.3460166468494</v>
      </c>
      <c r="T76" s="122">
        <f t="shared" ref="T76:U76" si="210">T10/T57</f>
        <v>3975.9883873794915</v>
      </c>
      <c r="U76" s="122">
        <f t="shared" si="210"/>
        <v>1196.6737591732165</v>
      </c>
      <c r="V76" s="101">
        <f t="shared" si="182"/>
        <v>0.25176640125159166</v>
      </c>
      <c r="W76" s="110"/>
      <c r="X76" s="134">
        <f t="shared" ref="X76:AG76" si="211">X10/X57</f>
        <v>1349.1910029894104</v>
      </c>
      <c r="Y76" s="134">
        <f t="shared" si="211"/>
        <v>1521.1467190566882</v>
      </c>
      <c r="Z76" s="134">
        <f t="shared" si="211"/>
        <v>1715.0183597207758</v>
      </c>
      <c r="AA76" s="134">
        <f t="shared" si="211"/>
        <v>1933.5991310577372</v>
      </c>
      <c r="AB76" s="134">
        <f t="shared" si="211"/>
        <v>2180.0382359964678</v>
      </c>
      <c r="AC76" s="134">
        <f t="shared" si="211"/>
        <v>2457.8862464666058</v>
      </c>
      <c r="AD76" s="134">
        <f t="shared" si="211"/>
        <v>2771.1462582711733</v>
      </c>
      <c r="AE76" s="134">
        <f t="shared" si="211"/>
        <v>3124.3315656978912</v>
      </c>
      <c r="AF76" s="134">
        <f t="shared" si="211"/>
        <v>3522.5306868162497</v>
      </c>
      <c r="AG76" s="134">
        <f t="shared" si="211"/>
        <v>3971.4806763124384</v>
      </c>
      <c r="AH76" s="116">
        <f t="shared" si="189"/>
        <v>0.11504107968242705</v>
      </c>
      <c r="AI76" s="21">
        <f t="shared" si="17"/>
        <v>0.05</v>
      </c>
      <c r="AJ76" s="124">
        <f t="shared" si="190"/>
        <v>24529.733588988594</v>
      </c>
    </row>
    <row r="77" spans="2:36" x14ac:dyDescent="0.2">
      <c r="B77" s="10"/>
      <c r="C77" s="109"/>
      <c r="D77" s="109"/>
      <c r="E77" s="109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0"/>
      <c r="W77" s="10"/>
      <c r="X77" s="134"/>
      <c r="Y77" s="134"/>
      <c r="Z77" s="134"/>
      <c r="AA77" s="134"/>
      <c r="AB77" s="134"/>
      <c r="AC77" s="134"/>
      <c r="AD77" s="134"/>
      <c r="AE77" s="134"/>
      <c r="AF77" s="134"/>
      <c r="AG77" s="134"/>
      <c r="AH77" s="117"/>
      <c r="AI77" s="115"/>
      <c r="AJ77" s="124"/>
    </row>
    <row r="78" spans="2:36" x14ac:dyDescent="0.2">
      <c r="B78" s="10" t="s">
        <v>222</v>
      </c>
      <c r="C78" s="109"/>
      <c r="D78" s="109"/>
      <c r="E78" s="109"/>
      <c r="F78" s="122"/>
      <c r="G78" s="122">
        <f t="shared" ref="G78" si="212">(G7-G10)/G57</f>
        <v>-40.75</v>
      </c>
      <c r="H78" s="122">
        <f t="shared" ref="H78:I78" si="213">(H7-H10)/H57</f>
        <v>-40.75</v>
      </c>
      <c r="I78" s="122">
        <f t="shared" si="213"/>
        <v>-103.81481481481481</v>
      </c>
      <c r="J78" s="122">
        <f t="shared" ref="J78:S78" si="214">(J7-J10)/J57</f>
        <v>-296.42857142857144</v>
      </c>
      <c r="K78" s="122">
        <f t="shared" si="214"/>
        <v>-435.69023569023568</v>
      </c>
      <c r="L78" s="122">
        <f t="shared" si="214"/>
        <v>-563.62411586392727</v>
      </c>
      <c r="M78" s="122">
        <f t="shared" si="214"/>
        <v>-837.9858657243816</v>
      </c>
      <c r="N78" s="122">
        <f t="shared" si="214"/>
        <v>-1407.3487031700288</v>
      </c>
      <c r="O78" s="122">
        <f t="shared" si="214"/>
        <v>-1661.4338339472938</v>
      </c>
      <c r="P78" s="122">
        <f t="shared" si="214"/>
        <v>-2288.6224205242611</v>
      </c>
      <c r="Q78" s="122">
        <f t="shared" si="214"/>
        <v>-2451.0260676650028</v>
      </c>
      <c r="R78" s="122">
        <f t="shared" si="214"/>
        <v>-2530.8594685180751</v>
      </c>
      <c r="S78" s="122">
        <f t="shared" si="214"/>
        <v>-3082.0689655172414</v>
      </c>
      <c r="T78" s="122">
        <f t="shared" ref="T78:U78" si="215">(T7-T10)/T57</f>
        <v>-3493.1005696757229</v>
      </c>
      <c r="U78" s="122">
        <f t="shared" si="215"/>
        <v>-1084.849537539624</v>
      </c>
      <c r="V78" s="101">
        <f t="shared" si="182"/>
        <v>0.26416275963726776</v>
      </c>
      <c r="W78" s="110"/>
      <c r="X78" s="134">
        <f t="shared" ref="X78:AG78" si="216">(X7-X10)/X57</f>
        <v>-1223.1146746770269</v>
      </c>
      <c r="Y78" s="134">
        <f t="shared" si="216"/>
        <v>-1379.0018390966477</v>
      </c>
      <c r="Z78" s="134">
        <f t="shared" si="216"/>
        <v>-1554.756975452103</v>
      </c>
      <c r="AA78" s="134">
        <f t="shared" si="216"/>
        <v>-1752.9122762450174</v>
      </c>
      <c r="AB78" s="134">
        <f t="shared" si="216"/>
        <v>-1976.322664393892</v>
      </c>
      <c r="AC78" s="134">
        <f t="shared" si="216"/>
        <v>-2228.2069255421329</v>
      </c>
      <c r="AD78" s="134">
        <f t="shared" si="216"/>
        <v>-2512.1940827190715</v>
      </c>
      <c r="AE78" s="134">
        <f t="shared" si="216"/>
        <v>-2832.3756814969925</v>
      </c>
      <c r="AF78" s="134">
        <f t="shared" si="216"/>
        <v>-3193.3647389426874</v>
      </c>
      <c r="AG78" s="134">
        <f t="shared" si="216"/>
        <v>-3600.3622056706772</v>
      </c>
      <c r="AH78" s="116">
        <f t="shared" si="189"/>
        <v>0.11467680037565908</v>
      </c>
      <c r="AI78" s="21">
        <f t="shared" si="17"/>
        <v>0.05</v>
      </c>
      <c r="AJ78" s="124">
        <f t="shared" si="190"/>
        <v>-22237.53127031889</v>
      </c>
    </row>
    <row r="79" spans="2:36" x14ac:dyDescent="0.2">
      <c r="B79" s="10" t="s">
        <v>223</v>
      </c>
      <c r="C79" s="109"/>
      <c r="D79" s="109"/>
      <c r="E79" s="109"/>
      <c r="F79" s="122"/>
      <c r="G79" s="122">
        <f t="shared" ref="G79" si="217">(G7-G10-G9)/G57</f>
        <v>-40.75</v>
      </c>
      <c r="H79" s="122">
        <f t="shared" ref="H79:I79" si="218">(H7-H10-H9)/H57</f>
        <v>-40.75</v>
      </c>
      <c r="I79" s="122">
        <f t="shared" si="218"/>
        <v>-103.81481481481481</v>
      </c>
      <c r="J79" s="122">
        <f t="shared" ref="J79:S79" si="219">(J7-J10-J9)/J57</f>
        <v>-296.42857142857144</v>
      </c>
      <c r="K79" s="122">
        <f t="shared" si="219"/>
        <v>-435.69023569023568</v>
      </c>
      <c r="L79" s="122">
        <f t="shared" si="219"/>
        <v>-563.62411586392727</v>
      </c>
      <c r="M79" s="122">
        <f t="shared" si="219"/>
        <v>-837.9858657243816</v>
      </c>
      <c r="N79" s="122">
        <f t="shared" si="219"/>
        <v>-1407.3487031700288</v>
      </c>
      <c r="O79" s="122">
        <f t="shared" si="219"/>
        <v>-1661.4338339472938</v>
      </c>
      <c r="P79" s="122">
        <f t="shared" si="219"/>
        <v>-2288.6224205242611</v>
      </c>
      <c r="Q79" s="122">
        <f t="shared" si="219"/>
        <v>-2451.0260676650028</v>
      </c>
      <c r="R79" s="122">
        <f t="shared" si="219"/>
        <v>-2530.8594685180751</v>
      </c>
      <c r="S79" s="122">
        <f t="shared" si="219"/>
        <v>-3082.0689655172414</v>
      </c>
      <c r="T79" s="122">
        <f t="shared" ref="T79:U79" si="220">(T7-T10-T9)/T57</f>
        <v>-3493.1005696757229</v>
      </c>
      <c r="U79" s="122">
        <f t="shared" si="220"/>
        <v>-1084.849537539624</v>
      </c>
      <c r="V79" s="101">
        <f t="shared" si="182"/>
        <v>0.26416275963726776</v>
      </c>
      <c r="W79" s="110"/>
      <c r="X79" s="134">
        <f t="shared" ref="X79:AG79" si="221">(X7-X10-X9)/X57</f>
        <v>-1223.1146746770269</v>
      </c>
      <c r="Y79" s="134">
        <f t="shared" si="221"/>
        <v>-1379.0018390966477</v>
      </c>
      <c r="Z79" s="134">
        <f t="shared" si="221"/>
        <v>-1554.756975452103</v>
      </c>
      <c r="AA79" s="134">
        <f t="shared" si="221"/>
        <v>-1752.9122762450174</v>
      </c>
      <c r="AB79" s="134">
        <f t="shared" si="221"/>
        <v>-1976.322664393892</v>
      </c>
      <c r="AC79" s="134">
        <f t="shared" si="221"/>
        <v>-2228.2069255421329</v>
      </c>
      <c r="AD79" s="134">
        <f t="shared" si="221"/>
        <v>-2512.1940827190715</v>
      </c>
      <c r="AE79" s="134">
        <f t="shared" si="221"/>
        <v>-2832.3756814969925</v>
      </c>
      <c r="AF79" s="134">
        <f t="shared" si="221"/>
        <v>-3193.3647389426874</v>
      </c>
      <c r="AG79" s="134">
        <f t="shared" si="221"/>
        <v>-3600.3622056706772</v>
      </c>
      <c r="AH79" s="116">
        <f t="shared" si="189"/>
        <v>0.11467680037565908</v>
      </c>
      <c r="AI79" s="21">
        <f t="shared" si="17"/>
        <v>0.05</v>
      </c>
      <c r="AJ79" s="124">
        <f t="shared" si="190"/>
        <v>-22237.53127031889</v>
      </c>
    </row>
    <row r="80" spans="2:36" x14ac:dyDescent="0.2">
      <c r="B80" s="10" t="s">
        <v>228</v>
      </c>
      <c r="C80" s="109"/>
      <c r="D80" s="109"/>
      <c r="E80" s="109"/>
      <c r="F80" s="122"/>
      <c r="G80" s="122">
        <f t="shared" ref="G80" si="222">(G7+G15-G10-G9)/G57</f>
        <v>-40.75</v>
      </c>
      <c r="H80" s="122">
        <f t="shared" ref="H80:I80" si="223">(H7+H15-H10-H9)/H57</f>
        <v>-40.75</v>
      </c>
      <c r="I80" s="122">
        <f t="shared" si="223"/>
        <v>-103.81481481481481</v>
      </c>
      <c r="J80" s="122">
        <f t="shared" ref="J80:S80" si="224">(J7+J15-J10-J9)/J57</f>
        <v>-296.42857142857144</v>
      </c>
      <c r="K80" s="122">
        <f t="shared" si="224"/>
        <v>-435.69023569023568</v>
      </c>
      <c r="L80" s="122">
        <f t="shared" si="224"/>
        <v>-563.62411586392727</v>
      </c>
      <c r="M80" s="122">
        <f t="shared" si="224"/>
        <v>-837.9858657243816</v>
      </c>
      <c r="N80" s="122">
        <f t="shared" si="224"/>
        <v>-1407.3487031700288</v>
      </c>
      <c r="O80" s="122">
        <f t="shared" si="224"/>
        <v>-1661.4338339472938</v>
      </c>
      <c r="P80" s="122">
        <f t="shared" si="224"/>
        <v>-2288.6224205242611</v>
      </c>
      <c r="Q80" s="122">
        <f t="shared" si="224"/>
        <v>-2451.0260676650028</v>
      </c>
      <c r="R80" s="122">
        <f t="shared" si="224"/>
        <v>-2530.8594685180751</v>
      </c>
      <c r="S80" s="122">
        <f t="shared" si="224"/>
        <v>-3082.0689655172414</v>
      </c>
      <c r="T80" s="122" t="e">
        <f t="shared" ref="T80:U80" si="225">(T7+T15-T10-T9)/T57</f>
        <v>#VALUE!</v>
      </c>
      <c r="U80" s="122">
        <f t="shared" si="225"/>
        <v>-1084.849537539624</v>
      </c>
      <c r="V80" s="101">
        <f t="shared" si="182"/>
        <v>0.26416275963726776</v>
      </c>
      <c r="W80" s="110"/>
      <c r="X80" s="134">
        <f t="shared" ref="X80:AG80" si="226">(X7+X15-X10-X9)/X57</f>
        <v>-1223.1146746770269</v>
      </c>
      <c r="Y80" s="134">
        <f t="shared" si="226"/>
        <v>-1379.0018390966477</v>
      </c>
      <c r="Z80" s="134">
        <f t="shared" si="226"/>
        <v>-1554.756975452103</v>
      </c>
      <c r="AA80" s="134">
        <f t="shared" si="226"/>
        <v>-1752.9122762450174</v>
      </c>
      <c r="AB80" s="134">
        <f t="shared" si="226"/>
        <v>-1976.322664393892</v>
      </c>
      <c r="AC80" s="134">
        <f t="shared" si="226"/>
        <v>-2228.2069255421329</v>
      </c>
      <c r="AD80" s="134">
        <f t="shared" si="226"/>
        <v>-2512.1940827190715</v>
      </c>
      <c r="AE80" s="134">
        <f t="shared" si="226"/>
        <v>-2832.3756814969925</v>
      </c>
      <c r="AF80" s="134">
        <f t="shared" si="226"/>
        <v>-3193.3647389426874</v>
      </c>
      <c r="AG80" s="134">
        <f t="shared" si="226"/>
        <v>-3600.3622056706772</v>
      </c>
      <c r="AH80" s="116">
        <f t="shared" si="189"/>
        <v>0.11467680037565908</v>
      </c>
      <c r="AI80" s="21">
        <f t="shared" si="17"/>
        <v>0.05</v>
      </c>
      <c r="AJ80" s="124">
        <f t="shared" si="190"/>
        <v>-22237.53127031889</v>
      </c>
    </row>
    <row r="81" spans="2:36" x14ac:dyDescent="0.2">
      <c r="B81" s="10"/>
      <c r="C81" s="109"/>
      <c r="D81" s="109"/>
      <c r="E81" s="109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0"/>
      <c r="W81" s="10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17"/>
      <c r="AI81" s="115"/>
      <c r="AJ81" s="131"/>
    </row>
    <row r="82" spans="2:36" x14ac:dyDescent="0.2">
      <c r="B82" s="10" t="s">
        <v>206</v>
      </c>
      <c r="C82" s="109"/>
      <c r="D82" s="109"/>
      <c r="E82" s="109"/>
      <c r="F82" s="122"/>
      <c r="G82" s="122">
        <f t="shared" ref="G82" si="227">G12/G57</f>
        <v>0</v>
      </c>
      <c r="H82" s="122">
        <f t="shared" ref="H82:I82" si="228">H12/H57</f>
        <v>0</v>
      </c>
      <c r="I82" s="122">
        <f t="shared" si="228"/>
        <v>0</v>
      </c>
      <c r="J82" s="122">
        <f t="shared" ref="J82:S82" si="229">J12/J57</f>
        <v>0</v>
      </c>
      <c r="K82" s="122">
        <f t="shared" si="229"/>
        <v>0</v>
      </c>
      <c r="L82" s="122">
        <f t="shared" si="229"/>
        <v>0</v>
      </c>
      <c r="M82" s="122">
        <f t="shared" si="229"/>
        <v>0</v>
      </c>
      <c r="N82" s="122">
        <f t="shared" si="229"/>
        <v>0</v>
      </c>
      <c r="O82" s="122">
        <f t="shared" si="229"/>
        <v>0</v>
      </c>
      <c r="P82" s="122">
        <f t="shared" si="229"/>
        <v>0</v>
      </c>
      <c r="Q82" s="122">
        <f t="shared" si="229"/>
        <v>0</v>
      </c>
      <c r="R82" s="122">
        <f t="shared" si="229"/>
        <v>0</v>
      </c>
      <c r="S82" s="122">
        <f t="shared" si="229"/>
        <v>0</v>
      </c>
      <c r="T82" s="122" t="e">
        <f t="shared" ref="T82:U82" si="230">T12/T57</f>
        <v>#VALUE!</v>
      </c>
      <c r="U82" s="122">
        <f t="shared" si="230"/>
        <v>0</v>
      </c>
      <c r="V82" s="101" t="e">
        <f t="shared" si="182"/>
        <v>#DIV/0!</v>
      </c>
      <c r="W82" s="110"/>
      <c r="X82" s="134">
        <f t="shared" ref="X82:AG82" si="231">X12/X57</f>
        <v>0</v>
      </c>
      <c r="Y82" s="134">
        <f t="shared" si="231"/>
        <v>0</v>
      </c>
      <c r="Z82" s="134">
        <f t="shared" si="231"/>
        <v>0</v>
      </c>
      <c r="AA82" s="134">
        <f t="shared" si="231"/>
        <v>0</v>
      </c>
      <c r="AB82" s="134">
        <f t="shared" si="231"/>
        <v>0</v>
      </c>
      <c r="AC82" s="134">
        <f t="shared" si="231"/>
        <v>0</v>
      </c>
      <c r="AD82" s="134">
        <f t="shared" si="231"/>
        <v>0</v>
      </c>
      <c r="AE82" s="134">
        <f t="shared" si="231"/>
        <v>0</v>
      </c>
      <c r="AF82" s="134">
        <f t="shared" si="231"/>
        <v>0</v>
      </c>
      <c r="AG82" s="134">
        <f t="shared" si="231"/>
        <v>0</v>
      </c>
      <c r="AH82" s="116" t="e">
        <f t="shared" si="189"/>
        <v>#DIV/0!</v>
      </c>
      <c r="AI82" s="21">
        <f t="shared" si="17"/>
        <v>0.05</v>
      </c>
      <c r="AJ82" s="124">
        <f t="shared" si="190"/>
        <v>0</v>
      </c>
    </row>
    <row r="83" spans="2:36" x14ac:dyDescent="0.2">
      <c r="B83" s="10" t="s">
        <v>213</v>
      </c>
      <c r="C83" s="109"/>
      <c r="D83" s="109"/>
      <c r="E83" s="109"/>
      <c r="F83" s="122"/>
      <c r="G83" s="122">
        <f t="shared" ref="G83" si="232">G13/G57</f>
        <v>19.75</v>
      </c>
      <c r="H83" s="122">
        <f t="shared" ref="H83:I83" si="233">H13/H57</f>
        <v>19.75</v>
      </c>
      <c r="I83" s="122">
        <f t="shared" si="233"/>
        <v>50</v>
      </c>
      <c r="J83" s="122">
        <f t="shared" ref="J83:S83" si="234">J13/J57</f>
        <v>109.75</v>
      </c>
      <c r="K83" s="122">
        <f t="shared" si="234"/>
        <v>171.4814814814815</v>
      </c>
      <c r="L83" s="122">
        <f t="shared" si="234"/>
        <v>239.71034018187942</v>
      </c>
      <c r="M83" s="122">
        <f t="shared" si="234"/>
        <v>300.61837455830386</v>
      </c>
      <c r="N83" s="122">
        <f t="shared" si="234"/>
        <v>542.59365994236305</v>
      </c>
      <c r="O83" s="122">
        <f t="shared" si="234"/>
        <v>786.5400963445735</v>
      </c>
      <c r="P83" s="122">
        <f t="shared" si="234"/>
        <v>1198.4104852203011</v>
      </c>
      <c r="Q83" s="122">
        <f t="shared" si="234"/>
        <v>1135.108153078203</v>
      </c>
      <c r="R83" s="122">
        <f t="shared" si="234"/>
        <v>1114.9150107732821</v>
      </c>
      <c r="S83" s="122">
        <f t="shared" si="234"/>
        <v>1160.2378121284187</v>
      </c>
      <c r="T83" s="122">
        <f t="shared" ref="T83:U83" si="235">T13/T57</f>
        <v>1095.1314636283962</v>
      </c>
      <c r="U83" s="122">
        <f t="shared" si="235"/>
        <v>296.55217334664991</v>
      </c>
      <c r="V83" s="101">
        <f t="shared" si="182"/>
        <v>0.2134954259021502</v>
      </c>
      <c r="W83" s="110"/>
      <c r="X83" s="134">
        <f t="shared" ref="X83:AG83" si="236">X13/X57</f>
        <v>334.34803857710523</v>
      </c>
      <c r="Y83" s="134">
        <f t="shared" si="236"/>
        <v>376.96102388595199</v>
      </c>
      <c r="Z83" s="134">
        <f t="shared" si="236"/>
        <v>425.00507594984776</v>
      </c>
      <c r="AA83" s="134">
        <f t="shared" si="236"/>
        <v>479.17238955129892</v>
      </c>
      <c r="AB83" s="134">
        <f t="shared" si="236"/>
        <v>540.24338037646442</v>
      </c>
      <c r="AC83" s="134">
        <f t="shared" si="236"/>
        <v>609.09792885581771</v>
      </c>
      <c r="AD83" s="134">
        <f t="shared" si="236"/>
        <v>686.72805704332382</v>
      </c>
      <c r="AE83" s="134">
        <f t="shared" si="236"/>
        <v>774.25222117629642</v>
      </c>
      <c r="AF83" s="134">
        <f t="shared" si="236"/>
        <v>872.93142583602048</v>
      </c>
      <c r="AG83" s="134">
        <f t="shared" si="236"/>
        <v>984.18739187394465</v>
      </c>
      <c r="AH83" s="116">
        <f t="shared" si="189"/>
        <v>0.10007064763374718</v>
      </c>
      <c r="AI83" s="21">
        <f t="shared" si="17"/>
        <v>0.05</v>
      </c>
      <c r="AJ83" s="124">
        <f t="shared" si="190"/>
        <v>6078.8044792214232</v>
      </c>
    </row>
    <row r="84" spans="2:36" x14ac:dyDescent="0.2">
      <c r="B84" s="10" t="s">
        <v>214</v>
      </c>
      <c r="C84" s="109"/>
      <c r="D84" s="109"/>
      <c r="E84" s="109"/>
      <c r="F84" s="122"/>
      <c r="G84" s="122">
        <f t="shared" ref="G84" si="237">(G82+G83)</f>
        <v>19.75</v>
      </c>
      <c r="H84" s="122">
        <f t="shared" ref="H84:I84" si="238">(H82+H83)</f>
        <v>19.75</v>
      </c>
      <c r="I84" s="122">
        <f t="shared" si="238"/>
        <v>50</v>
      </c>
      <c r="J84" s="122">
        <f t="shared" ref="J84:S84" si="239">(J82+J83)</f>
        <v>109.75</v>
      </c>
      <c r="K84" s="122">
        <f t="shared" si="239"/>
        <v>171.4814814814815</v>
      </c>
      <c r="L84" s="122">
        <f t="shared" si="239"/>
        <v>239.71034018187942</v>
      </c>
      <c r="M84" s="122">
        <f t="shared" si="239"/>
        <v>300.61837455830386</v>
      </c>
      <c r="N84" s="122">
        <f t="shared" si="239"/>
        <v>542.59365994236305</v>
      </c>
      <c r="O84" s="122">
        <f t="shared" si="239"/>
        <v>786.5400963445735</v>
      </c>
      <c r="P84" s="122">
        <f t="shared" si="239"/>
        <v>1198.4104852203011</v>
      </c>
      <c r="Q84" s="122">
        <f t="shared" si="239"/>
        <v>1135.108153078203</v>
      </c>
      <c r="R84" s="122">
        <f t="shared" ref="R84" si="240">(R82+R83)</f>
        <v>1114.9150107732821</v>
      </c>
      <c r="S84" s="122">
        <f t="shared" si="239"/>
        <v>1160.2378121284187</v>
      </c>
      <c r="T84" s="122" t="e">
        <f t="shared" ref="T84:U84" si="241">(T82+T83)</f>
        <v>#VALUE!</v>
      </c>
      <c r="U84" s="122">
        <f t="shared" si="241"/>
        <v>296.55217334664991</v>
      </c>
      <c r="V84" s="101">
        <f t="shared" si="182"/>
        <v>0.2134954259021502</v>
      </c>
      <c r="W84" s="110"/>
      <c r="X84" s="134">
        <f t="shared" ref="X84:AG84" si="242">(X82+X83)</f>
        <v>334.34803857710523</v>
      </c>
      <c r="Y84" s="134">
        <f t="shared" si="242"/>
        <v>376.96102388595199</v>
      </c>
      <c r="Z84" s="134">
        <f t="shared" si="242"/>
        <v>425.00507594984776</v>
      </c>
      <c r="AA84" s="134">
        <f t="shared" si="242"/>
        <v>479.17238955129892</v>
      </c>
      <c r="AB84" s="134">
        <f t="shared" si="242"/>
        <v>540.24338037646442</v>
      </c>
      <c r="AC84" s="134">
        <f t="shared" si="242"/>
        <v>609.09792885581771</v>
      </c>
      <c r="AD84" s="134">
        <f t="shared" si="242"/>
        <v>686.72805704332382</v>
      </c>
      <c r="AE84" s="134">
        <f t="shared" si="242"/>
        <v>774.25222117629642</v>
      </c>
      <c r="AF84" s="134">
        <f t="shared" si="242"/>
        <v>872.93142583602048</v>
      </c>
      <c r="AG84" s="134">
        <f t="shared" si="242"/>
        <v>984.18739187394465</v>
      </c>
      <c r="AH84" s="116">
        <f t="shared" si="189"/>
        <v>0.10007064763374718</v>
      </c>
      <c r="AI84" s="21">
        <f t="shared" si="17"/>
        <v>0.05</v>
      </c>
      <c r="AJ84" s="124">
        <f t="shared" si="190"/>
        <v>6078.8044792214232</v>
      </c>
    </row>
    <row r="85" spans="2:36" x14ac:dyDescent="0.2">
      <c r="B85" s="10" t="s">
        <v>207</v>
      </c>
      <c r="C85" s="109"/>
      <c r="D85" s="109"/>
      <c r="E85" s="109"/>
      <c r="F85" s="122"/>
      <c r="G85" s="122">
        <f t="shared" ref="G85" si="243">G15/G57</f>
        <v>0</v>
      </c>
      <c r="H85" s="122">
        <f t="shared" ref="H85:I85" si="244">H15/H57</f>
        <v>0</v>
      </c>
      <c r="I85" s="122">
        <f t="shared" si="244"/>
        <v>0</v>
      </c>
      <c r="J85" s="122">
        <f t="shared" ref="J85:S85" si="245">J15/J57</f>
        <v>0</v>
      </c>
      <c r="K85" s="122">
        <f t="shared" si="245"/>
        <v>0</v>
      </c>
      <c r="L85" s="122">
        <f t="shared" si="245"/>
        <v>0</v>
      </c>
      <c r="M85" s="122">
        <f t="shared" si="245"/>
        <v>0</v>
      </c>
      <c r="N85" s="122">
        <f t="shared" si="245"/>
        <v>0</v>
      </c>
      <c r="O85" s="122">
        <f t="shared" si="245"/>
        <v>0</v>
      </c>
      <c r="P85" s="122">
        <f t="shared" si="245"/>
        <v>0</v>
      </c>
      <c r="Q85" s="122">
        <f t="shared" si="245"/>
        <v>0</v>
      </c>
      <c r="R85" s="122">
        <f t="shared" si="245"/>
        <v>0</v>
      </c>
      <c r="S85" s="122">
        <f t="shared" si="245"/>
        <v>0</v>
      </c>
      <c r="T85" s="122" t="e">
        <f t="shared" ref="T85:U85" si="246">T15/T57</f>
        <v>#VALUE!</v>
      </c>
      <c r="U85" s="122">
        <f t="shared" si="246"/>
        <v>0</v>
      </c>
      <c r="V85" s="101" t="e">
        <f t="shared" si="182"/>
        <v>#DIV/0!</v>
      </c>
      <c r="W85" s="110"/>
      <c r="X85" s="134">
        <f t="shared" ref="X85:AG85" si="247">X15/X57</f>
        <v>0</v>
      </c>
      <c r="Y85" s="134">
        <f t="shared" si="247"/>
        <v>0</v>
      </c>
      <c r="Z85" s="134">
        <f t="shared" si="247"/>
        <v>0</v>
      </c>
      <c r="AA85" s="134">
        <f t="shared" si="247"/>
        <v>0</v>
      </c>
      <c r="AB85" s="134">
        <f t="shared" si="247"/>
        <v>0</v>
      </c>
      <c r="AC85" s="134">
        <f t="shared" si="247"/>
        <v>0</v>
      </c>
      <c r="AD85" s="134">
        <f t="shared" si="247"/>
        <v>0</v>
      </c>
      <c r="AE85" s="134">
        <f t="shared" si="247"/>
        <v>0</v>
      </c>
      <c r="AF85" s="134">
        <f t="shared" si="247"/>
        <v>0</v>
      </c>
      <c r="AG85" s="134">
        <f t="shared" si="247"/>
        <v>0</v>
      </c>
      <c r="AH85" s="116" t="e">
        <f t="shared" si="189"/>
        <v>#DIV/0!</v>
      </c>
      <c r="AI85" s="21">
        <f t="shared" si="17"/>
        <v>0.05</v>
      </c>
      <c r="AJ85" s="124">
        <f t="shared" si="190"/>
        <v>0</v>
      </c>
    </row>
    <row r="86" spans="2:36" x14ac:dyDescent="0.2">
      <c r="B86" s="10" t="s">
        <v>208</v>
      </c>
      <c r="C86" s="109"/>
      <c r="D86" s="109"/>
      <c r="E86" s="109"/>
      <c r="F86" s="122"/>
      <c r="G86" s="122">
        <f t="shared" ref="G86" si="248">G16/G57</f>
        <v>0</v>
      </c>
      <c r="H86" s="122">
        <f t="shared" ref="H86:I86" si="249">H16/H57</f>
        <v>0</v>
      </c>
      <c r="I86" s="122">
        <f t="shared" si="249"/>
        <v>0</v>
      </c>
      <c r="J86" s="122">
        <f t="shared" ref="J86:S86" si="250">J16/J57</f>
        <v>0</v>
      </c>
      <c r="K86" s="122">
        <f t="shared" si="250"/>
        <v>0</v>
      </c>
      <c r="L86" s="122">
        <f t="shared" si="250"/>
        <v>0</v>
      </c>
      <c r="M86" s="122">
        <f t="shared" si="250"/>
        <v>0</v>
      </c>
      <c r="N86" s="122">
        <f t="shared" si="250"/>
        <v>0</v>
      </c>
      <c r="O86" s="122">
        <f t="shared" si="250"/>
        <v>0</v>
      </c>
      <c r="P86" s="122">
        <f t="shared" si="250"/>
        <v>0</v>
      </c>
      <c r="Q86" s="122">
        <f t="shared" si="250"/>
        <v>0</v>
      </c>
      <c r="R86" s="122">
        <f t="shared" si="250"/>
        <v>0</v>
      </c>
      <c r="S86" s="122">
        <f t="shared" si="250"/>
        <v>0</v>
      </c>
      <c r="T86" s="122" t="e">
        <f t="shared" ref="T86:U86" si="251">T16/T57</f>
        <v>#VALUE!</v>
      </c>
      <c r="U86" s="122">
        <f t="shared" si="251"/>
        <v>0</v>
      </c>
      <c r="V86" s="101" t="e">
        <f t="shared" si="182"/>
        <v>#DIV/0!</v>
      </c>
      <c r="W86" s="110"/>
      <c r="X86" s="134">
        <f t="shared" ref="X86:AG86" si="252">X16/X57</f>
        <v>0</v>
      </c>
      <c r="Y86" s="134">
        <f t="shared" si="252"/>
        <v>0</v>
      </c>
      <c r="Z86" s="134">
        <f t="shared" si="252"/>
        <v>0</v>
      </c>
      <c r="AA86" s="134">
        <f t="shared" si="252"/>
        <v>0</v>
      </c>
      <c r="AB86" s="134">
        <f t="shared" si="252"/>
        <v>0</v>
      </c>
      <c r="AC86" s="134">
        <f t="shared" si="252"/>
        <v>0</v>
      </c>
      <c r="AD86" s="134">
        <f t="shared" si="252"/>
        <v>0</v>
      </c>
      <c r="AE86" s="134">
        <f t="shared" si="252"/>
        <v>0</v>
      </c>
      <c r="AF86" s="134">
        <f t="shared" si="252"/>
        <v>0</v>
      </c>
      <c r="AG86" s="134">
        <f t="shared" si="252"/>
        <v>0</v>
      </c>
      <c r="AH86" s="116" t="e">
        <f t="shared" si="189"/>
        <v>#DIV/0!</v>
      </c>
      <c r="AI86" s="115"/>
      <c r="AJ86" s="124">
        <f t="shared" si="190"/>
        <v>0</v>
      </c>
    </row>
    <row r="87" spans="2:36" x14ac:dyDescent="0.2">
      <c r="B87" s="10"/>
      <c r="C87" s="109"/>
      <c r="D87" s="109"/>
      <c r="E87" s="109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0"/>
      <c r="W87" s="10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17"/>
      <c r="AI87" s="21">
        <f t="shared" si="17"/>
        <v>0.05</v>
      </c>
      <c r="AJ87" s="124">
        <f t="shared" si="190"/>
        <v>0</v>
      </c>
    </row>
    <row r="88" spans="2:36" x14ac:dyDescent="0.2">
      <c r="B88" s="10" t="s">
        <v>233</v>
      </c>
      <c r="C88" s="136"/>
      <c r="D88" s="136"/>
      <c r="E88" s="136"/>
      <c r="F88" s="136"/>
      <c r="G88" s="136">
        <f t="shared" ref="G88" si="253">G59</f>
        <v>0.1</v>
      </c>
      <c r="H88" s="136">
        <f t="shared" ref="H88:I88" si="254">H59</f>
        <v>0</v>
      </c>
      <c r="I88" s="136">
        <f t="shared" si="254"/>
        <v>0</v>
      </c>
      <c r="J88" s="136">
        <f t="shared" ref="J88:S88" si="255">J59</f>
        <v>0</v>
      </c>
      <c r="K88" s="136">
        <f t="shared" si="255"/>
        <v>0</v>
      </c>
      <c r="L88" s="136">
        <f t="shared" si="255"/>
        <v>0</v>
      </c>
      <c r="M88" s="136">
        <f t="shared" si="255"/>
        <v>1.5</v>
      </c>
      <c r="N88" s="136">
        <f t="shared" si="255"/>
        <v>2.5</v>
      </c>
      <c r="O88" s="136">
        <f t="shared" si="255"/>
        <v>4</v>
      </c>
      <c r="P88" s="136">
        <f t="shared" si="255"/>
        <v>6</v>
      </c>
      <c r="Q88" s="136">
        <f t="shared" si="255"/>
        <v>8</v>
      </c>
      <c r="R88" s="136">
        <f t="shared" si="255"/>
        <v>9</v>
      </c>
      <c r="S88" s="136">
        <f t="shared" si="255"/>
        <v>10</v>
      </c>
      <c r="T88" s="136">
        <f t="shared" ref="T88:U88" si="256">T59</f>
        <v>12</v>
      </c>
      <c r="U88" s="136">
        <f t="shared" si="256"/>
        <v>2.7</v>
      </c>
      <c r="V88" s="101">
        <f t="shared" si="182"/>
        <v>0.26543624318165371</v>
      </c>
      <c r="W88" s="110"/>
      <c r="X88" s="136">
        <f t="shared" ref="X88:AG88" si="257">X59</f>
        <v>2.7540000000000004</v>
      </c>
      <c r="Y88" s="136">
        <f t="shared" si="257"/>
        <v>2.8090800000000007</v>
      </c>
      <c r="Z88" s="136">
        <f t="shared" si="257"/>
        <v>2.8652616000000006</v>
      </c>
      <c r="AA88" s="136">
        <f t="shared" si="257"/>
        <v>2.9225668320000007</v>
      </c>
      <c r="AB88" s="136">
        <f t="shared" si="257"/>
        <v>2.9810181686400008</v>
      </c>
      <c r="AC88" s="136">
        <f t="shared" si="257"/>
        <v>3.0406385320128009</v>
      </c>
      <c r="AD88" s="136">
        <f t="shared" si="257"/>
        <v>3.1014513026530568</v>
      </c>
      <c r="AE88" s="136">
        <f t="shared" si="257"/>
        <v>3.1634803287061182</v>
      </c>
      <c r="AF88" s="136">
        <f t="shared" si="257"/>
        <v>3.2267499352802407</v>
      </c>
      <c r="AG88" s="136">
        <f t="shared" si="257"/>
        <v>3.2912849339858457</v>
      </c>
      <c r="AH88" s="116" t="e">
        <f t="shared" ref="AH88" si="258">((AG88/J88)^(1/($AG$3-$K$1) ))-1</f>
        <v>#DIV/0!</v>
      </c>
      <c r="AI88" s="21">
        <f t="shared" si="17"/>
        <v>0.05</v>
      </c>
      <c r="AJ88" s="124">
        <f t="shared" si="190"/>
        <v>20.32852459226552</v>
      </c>
    </row>
    <row r="89" spans="2:36" x14ac:dyDescent="0.2">
      <c r="B89" s="10"/>
      <c r="C89" s="109"/>
      <c r="D89" s="109"/>
      <c r="E89" s="109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0"/>
      <c r="W89" s="10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17"/>
      <c r="AI89" s="115"/>
      <c r="AJ89" s="131"/>
    </row>
    <row r="90" spans="2:36" x14ac:dyDescent="0.2">
      <c r="B90" s="10" t="s">
        <v>263</v>
      </c>
      <c r="C90" s="109"/>
      <c r="D90" s="109"/>
      <c r="E90" s="109"/>
      <c r="F90" s="122"/>
      <c r="G90" s="122">
        <f t="shared" ref="G90" si="259">G20+G21</f>
        <v>-163</v>
      </c>
      <c r="H90" s="122">
        <f t="shared" ref="H90:I90" si="260">H20+H21</f>
        <v>-163</v>
      </c>
      <c r="I90" s="122">
        <f t="shared" si="260"/>
        <v>-236</v>
      </c>
      <c r="J90" s="122">
        <f t="shared" ref="J90:S90" si="261">J20+J21</f>
        <v>579</v>
      </c>
      <c r="K90" s="122">
        <f t="shared" si="261"/>
        <v>-245</v>
      </c>
      <c r="L90" s="122">
        <f t="shared" si="261"/>
        <v>-425</v>
      </c>
      <c r="M90" s="122">
        <f t="shared" si="261"/>
        <v>-1046</v>
      </c>
      <c r="N90" s="122">
        <f t="shared" si="261"/>
        <v>-373</v>
      </c>
      <c r="O90" s="122">
        <f t="shared" si="261"/>
        <v>-1275</v>
      </c>
      <c r="P90" s="122">
        <f t="shared" si="261"/>
        <v>-6201</v>
      </c>
      <c r="Q90" s="122">
        <f t="shared" si="261"/>
        <v>1650</v>
      </c>
      <c r="R90" s="122">
        <f t="shared" si="261"/>
        <v>-5908</v>
      </c>
      <c r="S90" s="122">
        <f t="shared" si="261"/>
        <v>-4398</v>
      </c>
      <c r="T90" s="122">
        <f t="shared" ref="T90:U90" si="262">T20+T21</f>
        <v>-95</v>
      </c>
      <c r="U90" s="122">
        <f t="shared" si="262"/>
        <v>-30568</v>
      </c>
      <c r="V90" s="101">
        <f t="shared" si="182"/>
        <v>0.45332523897645838</v>
      </c>
      <c r="W90" s="110"/>
      <c r="X90" s="122">
        <f t="shared" ref="X90:AG90" si="263">X20+X21</f>
        <v>-35153.199999999997</v>
      </c>
      <c r="Y90" s="122">
        <f t="shared" si="263"/>
        <v>-40426.179999999993</v>
      </c>
      <c r="Z90" s="122">
        <f t="shared" si="263"/>
        <v>-46490.106999999989</v>
      </c>
      <c r="AA90" s="122">
        <f t="shared" si="263"/>
        <v>-53463.623049999987</v>
      </c>
      <c r="AB90" s="122">
        <f t="shared" si="263"/>
        <v>-61483.166507499976</v>
      </c>
      <c r="AC90" s="122">
        <f t="shared" si="263"/>
        <v>-70705.641483624975</v>
      </c>
      <c r="AD90" s="122">
        <f t="shared" si="263"/>
        <v>-81311.4877061687</v>
      </c>
      <c r="AE90" s="122">
        <f t="shared" si="263"/>
        <v>-93508.210862094013</v>
      </c>
      <c r="AF90" s="122">
        <f t="shared" si="263"/>
        <v>-107534.4424914081</v>
      </c>
      <c r="AG90" s="122">
        <f t="shared" si="263"/>
        <v>-123664.60886511931</v>
      </c>
      <c r="AH90" s="116">
        <f t="shared" ref="AH90:AH95" si="264">((AG90/J90)^(1/($AG$3-$K$1) ))-1</f>
        <v>-2.2626573637146103</v>
      </c>
      <c r="AI90" s="21">
        <f t="shared" si="17"/>
        <v>0.05</v>
      </c>
      <c r="AJ90" s="124">
        <f t="shared" si="190"/>
        <v>-763810.81946103123</v>
      </c>
    </row>
    <row r="91" spans="2:36" x14ac:dyDescent="0.2">
      <c r="B91" s="10"/>
      <c r="C91" s="109"/>
      <c r="D91" s="109"/>
      <c r="E91" s="109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0"/>
      <c r="W91" s="10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17"/>
      <c r="AI91" s="115"/>
      <c r="AJ91" s="124"/>
    </row>
    <row r="92" spans="2:36" x14ac:dyDescent="0.2">
      <c r="B92" s="10" t="s">
        <v>264</v>
      </c>
      <c r="C92" s="109"/>
      <c r="D92" s="109"/>
      <c r="E92" s="109"/>
      <c r="F92" s="122"/>
      <c r="G92" s="122">
        <f t="shared" ref="G92" si="265">G90/G57</f>
        <v>-8.15</v>
      </c>
      <c r="H92" s="122">
        <f t="shared" ref="H92:I92" si="266">H90/H57</f>
        <v>-8.15</v>
      </c>
      <c r="I92" s="122">
        <f t="shared" si="266"/>
        <v>-8.7407407407407405</v>
      </c>
      <c r="J92" s="122">
        <f t="shared" ref="J92:S92" si="267">J90/J57</f>
        <v>20.678571428571427</v>
      </c>
      <c r="K92" s="122">
        <f t="shared" si="267"/>
        <v>-8.2491582491582491</v>
      </c>
      <c r="L92" s="122">
        <f t="shared" si="267"/>
        <v>-14.314584035028629</v>
      </c>
      <c r="M92" s="122">
        <f t="shared" si="267"/>
        <v>-30.800942285041224</v>
      </c>
      <c r="N92" s="122">
        <f t="shared" si="267"/>
        <v>-10.749279538904899</v>
      </c>
      <c r="O92" s="122">
        <f t="shared" si="267"/>
        <v>-36.129215075092098</v>
      </c>
      <c r="P92" s="122">
        <f t="shared" si="267"/>
        <v>-172.92247629670942</v>
      </c>
      <c r="Q92" s="122">
        <f t="shared" si="267"/>
        <v>45.757071547420963</v>
      </c>
      <c r="R92" s="122">
        <f t="shared" si="267"/>
        <v>-141.44122576011492</v>
      </c>
      <c r="S92" s="122">
        <f t="shared" si="267"/>
        <v>-104.58977407847802</v>
      </c>
      <c r="T92" s="122">
        <f t="shared" ref="T92:U92" si="268">T90/T57</f>
        <v>-2.081507449605609</v>
      </c>
      <c r="U92" s="122">
        <f t="shared" si="268"/>
        <v>-132.73698380303097</v>
      </c>
      <c r="V92" s="101">
        <f t="shared" si="182"/>
        <v>0.22056129903351929</v>
      </c>
      <c r="W92" s="110"/>
      <c r="X92" s="124">
        <f t="shared" ref="X92:AG92" si="269">X90/X57</f>
        <v>-149.6544425230251</v>
      </c>
      <c r="Y92" s="124">
        <f t="shared" si="269"/>
        <v>-168.72804794262632</v>
      </c>
      <c r="Z92" s="124">
        <f t="shared" si="269"/>
        <v>-190.23260307256888</v>
      </c>
      <c r="AA92" s="124">
        <f t="shared" si="269"/>
        <v>-214.47793483671978</v>
      </c>
      <c r="AB92" s="124">
        <f t="shared" si="269"/>
        <v>-241.81335790414482</v>
      </c>
      <c r="AC92" s="124">
        <f t="shared" si="269"/>
        <v>-272.63270744094763</v>
      </c>
      <c r="AD92" s="124">
        <f t="shared" si="269"/>
        <v>-307.38001329126439</v>
      </c>
      <c r="AE92" s="124">
        <f t="shared" si="269"/>
        <v>-346.55589733819028</v>
      </c>
      <c r="AF92" s="124">
        <f t="shared" si="269"/>
        <v>-390.72478621462625</v>
      </c>
      <c r="AG92" s="124">
        <f t="shared" si="269"/>
        <v>-440.52304328119624</v>
      </c>
      <c r="AH92" s="116">
        <f t="shared" si="264"/>
        <v>-2.1422432833240608</v>
      </c>
      <c r="AI92" s="21">
        <f t="shared" si="17"/>
        <v>0.05</v>
      </c>
      <c r="AJ92" s="124">
        <f t="shared" si="190"/>
        <v>-2720.8776202662125</v>
      </c>
    </row>
    <row r="93" spans="2:36" x14ac:dyDescent="0.2">
      <c r="B93" s="10" t="s">
        <v>237</v>
      </c>
      <c r="C93" s="109"/>
      <c r="D93" s="109"/>
      <c r="E93" s="109"/>
      <c r="F93" s="122"/>
      <c r="G93" s="122">
        <f t="shared" ref="G93" si="270">G20/G57</f>
        <v>-2.75</v>
      </c>
      <c r="H93" s="122">
        <f t="shared" ref="H93:I93" si="271">H20/H57</f>
        <v>-2.75</v>
      </c>
      <c r="I93" s="122">
        <f t="shared" si="271"/>
        <v>-6.1481481481481479</v>
      </c>
      <c r="J93" s="122">
        <f t="shared" ref="J93:S93" si="272">J20/J57</f>
        <v>64.321428571428569</v>
      </c>
      <c r="K93" s="122">
        <f t="shared" si="272"/>
        <v>-6.5993265993265995</v>
      </c>
      <c r="L93" s="122">
        <f t="shared" si="272"/>
        <v>-12.293701583024587</v>
      </c>
      <c r="M93" s="122">
        <f t="shared" si="272"/>
        <v>28.268551236749115</v>
      </c>
      <c r="N93" s="122">
        <f t="shared" si="272"/>
        <v>87.896253602305464</v>
      </c>
      <c r="O93" s="122">
        <f t="shared" si="272"/>
        <v>101.67186171720034</v>
      </c>
      <c r="P93" s="122">
        <f t="shared" si="272"/>
        <v>15.05856107083101</v>
      </c>
      <c r="Q93" s="122">
        <f t="shared" si="272"/>
        <v>123.34997226844148</v>
      </c>
      <c r="R93" s="122">
        <f t="shared" si="272"/>
        <v>-34.689968877184583</v>
      </c>
      <c r="S93" s="122">
        <f t="shared" si="272"/>
        <v>-8.6325802615933416</v>
      </c>
      <c r="T93" s="122">
        <f t="shared" ref="T93:U93" si="273">T20/T57</f>
        <v>95.92462751971955</v>
      </c>
      <c r="U93" s="122">
        <f t="shared" si="273"/>
        <v>-94.997611706978162</v>
      </c>
      <c r="V93" s="101">
        <f t="shared" si="182"/>
        <v>0.28790635220052296</v>
      </c>
      <c r="W93" s="110"/>
      <c r="X93" s="124">
        <f t="shared" ref="X93:AG93" si="274">X20/X57</f>
        <v>-107.10515045394595</v>
      </c>
      <c r="Y93" s="124">
        <f t="shared" si="274"/>
        <v>-120.75580688435083</v>
      </c>
      <c r="Z93" s="124">
        <f t="shared" si="274"/>
        <v>-136.1462528598073</v>
      </c>
      <c r="AA93" s="124">
        <f t="shared" si="274"/>
        <v>-153.49822626350823</v>
      </c>
      <c r="AB93" s="124">
        <f t="shared" si="274"/>
        <v>-173.06172568924944</v>
      </c>
      <c r="AC93" s="124">
        <f t="shared" si="274"/>
        <v>-195.11861229670279</v>
      </c>
      <c r="AD93" s="124">
        <f t="shared" si="274"/>
        <v>-219.98667072667467</v>
      </c>
      <c r="AE93" s="124">
        <f t="shared" si="274"/>
        <v>-248.02418758399597</v>
      </c>
      <c r="AF93" s="124">
        <f t="shared" si="274"/>
        <v>-279.63511345254449</v>
      </c>
      <c r="AG93" s="124">
        <f t="shared" si="274"/>
        <v>-315.27488281414321</v>
      </c>
      <c r="AH93" s="116">
        <f t="shared" si="264"/>
        <v>-2.0715551017073714</v>
      </c>
      <c r="AI93" s="21">
        <f t="shared" si="17"/>
        <v>0.05</v>
      </c>
      <c r="AJ93" s="124">
        <f t="shared" si="190"/>
        <v>-1947.2860409108848</v>
      </c>
    </row>
    <row r="94" spans="2:36" x14ac:dyDescent="0.2">
      <c r="B94" s="10" t="s">
        <v>238</v>
      </c>
      <c r="C94" s="109"/>
      <c r="D94" s="109"/>
      <c r="E94" s="109"/>
      <c r="F94" s="122"/>
      <c r="G94" s="122">
        <f t="shared" ref="G94" si="275">G21/G57</f>
        <v>-5.4</v>
      </c>
      <c r="H94" s="122">
        <f t="shared" ref="H94:I94" si="276">H21/H57</f>
        <v>-5.4</v>
      </c>
      <c r="I94" s="122">
        <f t="shared" si="276"/>
        <v>-2.5925925925925926</v>
      </c>
      <c r="J94" s="122">
        <f t="shared" ref="J94:S94" si="277">J21/J57</f>
        <v>-43.642857142857146</v>
      </c>
      <c r="K94" s="122">
        <f t="shared" si="277"/>
        <v>-1.6498316498316499</v>
      </c>
      <c r="L94" s="122">
        <f t="shared" si="277"/>
        <v>-2.0208824520040416</v>
      </c>
      <c r="M94" s="122">
        <f t="shared" si="277"/>
        <v>-59.069493521790342</v>
      </c>
      <c r="N94" s="122">
        <f t="shared" si="277"/>
        <v>-98.645533141210365</v>
      </c>
      <c r="O94" s="122">
        <f t="shared" si="277"/>
        <v>-137.80107679229243</v>
      </c>
      <c r="P94" s="122">
        <f t="shared" si="277"/>
        <v>-187.98103736754044</v>
      </c>
      <c r="Q94" s="122">
        <f t="shared" si="277"/>
        <v>-77.592900721020513</v>
      </c>
      <c r="R94" s="122">
        <f t="shared" si="277"/>
        <v>-106.75125688293032</v>
      </c>
      <c r="S94" s="122">
        <f t="shared" si="277"/>
        <v>-95.957193816884669</v>
      </c>
      <c r="T94" s="122">
        <f t="shared" ref="T94:U94" si="278">T21/T57</f>
        <v>-98.006134969325146</v>
      </c>
      <c r="U94" s="122">
        <f t="shared" si="278"/>
        <v>-37.739372096052804</v>
      </c>
      <c r="V94" s="101">
        <f t="shared" si="182"/>
        <v>0.14898497811115297</v>
      </c>
      <c r="W94" s="110"/>
      <c r="X94" s="124">
        <f t="shared" ref="X94:AG94" si="279">X21/X57</f>
        <v>-42.549292069079137</v>
      </c>
      <c r="Y94" s="124">
        <f t="shared" si="279"/>
        <v>-47.972241058275493</v>
      </c>
      <c r="Z94" s="124">
        <f t="shared" si="279"/>
        <v>-54.08635021276158</v>
      </c>
      <c r="AA94" s="124">
        <f t="shared" si="279"/>
        <v>-60.979708573211575</v>
      </c>
      <c r="AB94" s="124">
        <f t="shared" si="279"/>
        <v>-68.751632214895409</v>
      </c>
      <c r="AC94" s="124">
        <f t="shared" si="279"/>
        <v>-77.514095144244806</v>
      </c>
      <c r="AD94" s="124">
        <f t="shared" si="279"/>
        <v>-87.39334256458973</v>
      </c>
      <c r="AE94" s="124">
        <f t="shared" si="279"/>
        <v>-98.531709754194296</v>
      </c>
      <c r="AF94" s="124">
        <f t="shared" si="279"/>
        <v>-111.0896727620818</v>
      </c>
      <c r="AG94" s="124">
        <f t="shared" si="279"/>
        <v>-125.248160467053</v>
      </c>
      <c r="AH94" s="116">
        <f t="shared" si="264"/>
        <v>4.6904044115055443E-2</v>
      </c>
      <c r="AI94" s="21">
        <f t="shared" si="17"/>
        <v>0.05</v>
      </c>
      <c r="AJ94" s="124">
        <f t="shared" si="190"/>
        <v>-773.59157935532744</v>
      </c>
    </row>
    <row r="95" spans="2:36" x14ac:dyDescent="0.2">
      <c r="B95" s="10" t="s">
        <v>239</v>
      </c>
      <c r="C95" s="109"/>
      <c r="D95" s="109"/>
      <c r="E95" s="109"/>
      <c r="F95" s="122"/>
      <c r="G95" s="122">
        <f t="shared" ref="G95" si="280">G22/G57</f>
        <v>10.85</v>
      </c>
      <c r="H95" s="122">
        <f t="shared" ref="H95:I95" si="281">H22/H57</f>
        <v>10.85</v>
      </c>
      <c r="I95" s="122">
        <f t="shared" si="281"/>
        <v>14.74074074074074</v>
      </c>
      <c r="J95" s="122">
        <f t="shared" ref="J95:S95" si="282">J22/J57</f>
        <v>17.785714285714285</v>
      </c>
      <c r="K95" s="122">
        <f t="shared" si="282"/>
        <v>19.528619528619529</v>
      </c>
      <c r="L95" s="122">
        <f t="shared" si="282"/>
        <v>24.250589424048499</v>
      </c>
      <c r="M95" s="122">
        <f t="shared" si="282"/>
        <v>52.885747938751472</v>
      </c>
      <c r="N95" s="122">
        <f t="shared" si="282"/>
        <v>34.438040345821321</v>
      </c>
      <c r="O95" s="122">
        <f t="shared" si="282"/>
        <v>38.651175970529899</v>
      </c>
      <c r="P95" s="122">
        <f t="shared" si="282"/>
        <v>186.30786391522588</v>
      </c>
      <c r="Q95" s="122">
        <f t="shared" si="282"/>
        <v>4.8530227398779813</v>
      </c>
      <c r="R95" s="122">
        <f t="shared" si="282"/>
        <v>181.30237012209719</v>
      </c>
      <c r="S95" s="122">
        <f t="shared" si="282"/>
        <v>120.30915576694412</v>
      </c>
      <c r="T95" s="122">
        <f t="shared" ref="T95:U95" si="283">T22/T57</f>
        <v>250.41630148992112</v>
      </c>
      <c r="U95" s="122">
        <f t="shared" si="283"/>
        <v>155.22601936688523</v>
      </c>
      <c r="V95" s="101">
        <f t="shared" si="182"/>
        <v>0.20931154428714827</v>
      </c>
      <c r="W95" s="110"/>
      <c r="X95" s="124">
        <f t="shared" ref="X95:AG95" si="284">X22/X57</f>
        <v>175.00972771756665</v>
      </c>
      <c r="Y95" s="124">
        <f t="shared" si="284"/>
        <v>197.31488909333495</v>
      </c>
      <c r="Z95" s="124">
        <f t="shared" si="284"/>
        <v>222.46286515425018</v>
      </c>
      <c r="AA95" s="124">
        <f t="shared" si="284"/>
        <v>250.81597541900751</v>
      </c>
      <c r="AB95" s="124">
        <f t="shared" si="284"/>
        <v>282.78271738417516</v>
      </c>
      <c r="AC95" s="124">
        <f t="shared" si="284"/>
        <v>318.82365195274645</v>
      </c>
      <c r="AD95" s="124">
        <f t="shared" si="284"/>
        <v>359.4580389663318</v>
      </c>
      <c r="AE95" s="124">
        <f t="shared" si="284"/>
        <v>405.27131844243291</v>
      </c>
      <c r="AF95" s="124">
        <f t="shared" si="284"/>
        <v>456.92354530274292</v>
      </c>
      <c r="AG95" s="124">
        <f t="shared" si="284"/>
        <v>515.15889911583758</v>
      </c>
      <c r="AH95" s="116">
        <f t="shared" si="264"/>
        <v>0.15760277887192986</v>
      </c>
      <c r="AI95" s="21">
        <f t="shared" si="17"/>
        <v>0.05</v>
      </c>
      <c r="AJ95" s="124">
        <f t="shared" si="190"/>
        <v>3181.8637886566444</v>
      </c>
    </row>
    <row r="96" spans="2:36" x14ac:dyDescent="0.2">
      <c r="B96" s="10" t="s">
        <v>246</v>
      </c>
      <c r="C96" s="109"/>
      <c r="D96" s="109"/>
      <c r="E96" s="109"/>
      <c r="F96" s="122"/>
      <c r="G96" s="122">
        <f t="shared" ref="G96" si="285">G23/G57</f>
        <v>2.65</v>
      </c>
      <c r="H96" s="122">
        <f t="shared" ref="H96:I96" si="286">H23/H57</f>
        <v>2.65</v>
      </c>
      <c r="I96" s="122">
        <f t="shared" si="286"/>
        <v>8</v>
      </c>
      <c r="J96" s="122">
        <f t="shared" ref="J96:S96" si="287">J23/J57</f>
        <v>46.142857142857146</v>
      </c>
      <c r="K96" s="122">
        <f t="shared" si="287"/>
        <v>54.781144781144782</v>
      </c>
      <c r="L96" s="122">
        <f t="shared" si="287"/>
        <v>64.735601212529474</v>
      </c>
      <c r="M96" s="122">
        <f t="shared" si="287"/>
        <v>78.710247349823319</v>
      </c>
      <c r="N96" s="122">
        <f t="shared" si="287"/>
        <v>100.72046109510086</v>
      </c>
      <c r="O96" s="122">
        <f t="shared" si="287"/>
        <v>101.5868517993766</v>
      </c>
      <c r="P96" s="122">
        <f t="shared" si="287"/>
        <v>113.35750139431121</v>
      </c>
      <c r="Q96" s="122">
        <f t="shared" si="287"/>
        <v>163.36661120354964</v>
      </c>
      <c r="R96" s="122">
        <f t="shared" si="287"/>
        <v>180.91932008618625</v>
      </c>
      <c r="S96" s="122">
        <f t="shared" si="287"/>
        <v>195.43400713436387</v>
      </c>
      <c r="T96" s="122">
        <f t="shared" ref="T96:U96" si="288">T23/T57</f>
        <v>248.26906222611743</v>
      </c>
      <c r="U96" s="122">
        <f t="shared" si="288"/>
        <v>22.510747318598291</v>
      </c>
      <c r="V96" s="101">
        <f t="shared" si="182"/>
        <v>0.16511134566267782</v>
      </c>
      <c r="W96" s="110"/>
      <c r="X96" s="124">
        <f t="shared" ref="X96:AG96" si="289">X23/X57</f>
        <v>25.379764133713753</v>
      </c>
      <c r="Y96" s="124">
        <f t="shared" si="289"/>
        <v>28.614439954677273</v>
      </c>
      <c r="Z96" s="124">
        <f t="shared" si="289"/>
        <v>32.261378380273392</v>
      </c>
      <c r="AA96" s="124">
        <f t="shared" si="289"/>
        <v>36.373122683641562</v>
      </c>
      <c r="AB96" s="124">
        <f t="shared" si="289"/>
        <v>41.008912829595879</v>
      </c>
      <c r="AC96" s="124">
        <f t="shared" si="289"/>
        <v>46.235538974544369</v>
      </c>
      <c r="AD96" s="124">
        <f t="shared" si="289"/>
        <v>52.128303745809824</v>
      </c>
      <c r="AE96" s="124">
        <f t="shared" si="289"/>
        <v>58.772107164393425</v>
      </c>
      <c r="AF96" s="124">
        <f t="shared" si="289"/>
        <v>66.262669842208282</v>
      </c>
      <c r="AG96" s="124">
        <f t="shared" si="289"/>
        <v>74.70791207699952</v>
      </c>
      <c r="AH96" s="116">
        <f t="shared" ref="AH96" si="290">((AG96/J96)^(1/($AG$3-$K$1) ))-1</f>
        <v>2.1170717888792767E-2</v>
      </c>
      <c r="AI96" s="21">
        <f t="shared" si="17"/>
        <v>0.05</v>
      </c>
      <c r="AJ96" s="124">
        <f t="shared" si="190"/>
        <v>461.43122165205591</v>
      </c>
    </row>
    <row r="97" spans="2:36" x14ac:dyDescent="0.2">
      <c r="B97" s="10"/>
      <c r="C97" s="109"/>
      <c r="D97" s="109"/>
      <c r="E97" s="109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0"/>
      <c r="W97" s="10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17"/>
      <c r="AI97" s="115"/>
      <c r="AJ97" s="131"/>
    </row>
    <row r="98" spans="2:36" x14ac:dyDescent="0.2">
      <c r="B98" s="10" t="s">
        <v>434</v>
      </c>
      <c r="C98" s="122"/>
      <c r="D98" s="122"/>
      <c r="E98" s="122"/>
      <c r="F98" s="122"/>
      <c r="G98" s="122">
        <f t="shared" ref="G98" si="291">G51/G57</f>
        <v>0</v>
      </c>
      <c r="H98" s="122">
        <f t="shared" ref="H98:I98" si="292">H51/H57</f>
        <v>0</v>
      </c>
      <c r="I98" s="122">
        <f t="shared" si="292"/>
        <v>0</v>
      </c>
      <c r="J98" s="122">
        <f t="shared" ref="J98:S98" si="293">J51/J57</f>
        <v>0</v>
      </c>
      <c r="K98" s="122">
        <f t="shared" si="293"/>
        <v>0</v>
      </c>
      <c r="L98" s="122">
        <f t="shared" si="293"/>
        <v>0</v>
      </c>
      <c r="M98" s="122">
        <f t="shared" si="293"/>
        <v>0</v>
      </c>
      <c r="N98" s="122">
        <f t="shared" si="293"/>
        <v>0</v>
      </c>
      <c r="O98" s="122">
        <f t="shared" si="293"/>
        <v>0</v>
      </c>
      <c r="P98" s="122">
        <f t="shared" si="293"/>
        <v>0</v>
      </c>
      <c r="Q98" s="122">
        <f t="shared" si="293"/>
        <v>0</v>
      </c>
      <c r="R98" s="122">
        <f t="shared" si="293"/>
        <v>0</v>
      </c>
      <c r="S98" s="122">
        <f t="shared" si="293"/>
        <v>0</v>
      </c>
      <c r="T98" s="122" t="e">
        <f t="shared" ref="T98:U98" si="294">T51/T57</f>
        <v>#VALUE!</v>
      </c>
      <c r="U98" s="122">
        <f t="shared" si="294"/>
        <v>0</v>
      </c>
      <c r="V98" s="101" t="e">
        <f t="shared" si="182"/>
        <v>#DIV/0!</v>
      </c>
      <c r="W98" s="110"/>
      <c r="X98" s="122">
        <f t="shared" ref="X98:AG98" si="295">X51/X57</f>
        <v>0</v>
      </c>
      <c r="Y98" s="122">
        <f t="shared" si="295"/>
        <v>0</v>
      </c>
      <c r="Z98" s="122">
        <f t="shared" si="295"/>
        <v>0</v>
      </c>
      <c r="AA98" s="122">
        <f t="shared" si="295"/>
        <v>0</v>
      </c>
      <c r="AB98" s="122">
        <f t="shared" si="295"/>
        <v>0</v>
      </c>
      <c r="AC98" s="122">
        <f t="shared" si="295"/>
        <v>0</v>
      </c>
      <c r="AD98" s="122">
        <f t="shared" si="295"/>
        <v>0</v>
      </c>
      <c r="AE98" s="122">
        <f t="shared" si="295"/>
        <v>0</v>
      </c>
      <c r="AF98" s="122">
        <f t="shared" si="295"/>
        <v>0</v>
      </c>
      <c r="AG98" s="122">
        <f t="shared" si="295"/>
        <v>0</v>
      </c>
      <c r="AH98" s="116" t="e">
        <f t="shared" ref="AH98:AH100" si="296">((AG98/J98)^(1/($AG$3-$K$1) ))-1</f>
        <v>#DIV/0!</v>
      </c>
      <c r="AI98" s="21">
        <f t="shared" si="17"/>
        <v>0.05</v>
      </c>
      <c r="AJ98" s="124">
        <f t="shared" si="190"/>
        <v>0</v>
      </c>
    </row>
    <row r="99" spans="2:36" x14ac:dyDescent="0.2">
      <c r="B99" s="10" t="s">
        <v>435</v>
      </c>
      <c r="C99" s="122"/>
      <c r="D99" s="122"/>
      <c r="E99" s="122"/>
      <c r="F99" s="122"/>
      <c r="G99" s="122">
        <f t="shared" ref="G99" si="297">G55/G57</f>
        <v>-0.2</v>
      </c>
      <c r="H99" s="122">
        <f t="shared" ref="H99:I99" si="298">H55/H57</f>
        <v>-0.2</v>
      </c>
      <c r="I99" s="122">
        <f t="shared" si="298"/>
        <v>2.0370370370370372</v>
      </c>
      <c r="J99" s="122">
        <f t="shared" ref="J99:S99" si="299">J55/J57</f>
        <v>3.3571428571428572</v>
      </c>
      <c r="K99" s="122">
        <f t="shared" si="299"/>
        <v>6.7340067340067344</v>
      </c>
      <c r="L99" s="122">
        <f t="shared" si="299"/>
        <v>10.239137756820478</v>
      </c>
      <c r="M99" s="122">
        <f t="shared" si="299"/>
        <v>14.075382803297996</v>
      </c>
      <c r="N99" s="122">
        <f t="shared" si="299"/>
        <v>20.95100864553314</v>
      </c>
      <c r="O99" s="122">
        <f t="shared" si="299"/>
        <v>27.684896571266648</v>
      </c>
      <c r="P99" s="122">
        <f t="shared" si="299"/>
        <v>36.252091466815394</v>
      </c>
      <c r="Q99" s="122">
        <f t="shared" si="299"/>
        <v>44.675540765391013</v>
      </c>
      <c r="R99" s="122">
        <f t="shared" si="299"/>
        <v>47.809432607134305</v>
      </c>
      <c r="S99" s="122">
        <f t="shared" si="299"/>
        <v>60.142687277051131</v>
      </c>
      <c r="T99" s="122">
        <f t="shared" ref="T99:U99" si="300">T55/T57</f>
        <v>73.179009640666081</v>
      </c>
      <c r="U99" s="122">
        <f t="shared" si="300"/>
        <v>18.381171566285989</v>
      </c>
      <c r="V99" s="101" t="e">
        <f t="shared" si="182"/>
        <v>#NUM!</v>
      </c>
      <c r="W99" s="110"/>
      <c r="X99" s="122">
        <f t="shared" ref="X99:AG99" si="301">X55/X57</f>
        <v>20.723869903165571</v>
      </c>
      <c r="Y99" s="122">
        <f t="shared" si="301"/>
        <v>23.365147439843536</v>
      </c>
      <c r="Z99" s="122">
        <f t="shared" si="301"/>
        <v>26.343058388058886</v>
      </c>
      <c r="AA99" s="122">
        <f t="shared" si="301"/>
        <v>29.700507006144818</v>
      </c>
      <c r="AB99" s="122">
        <f t="shared" si="301"/>
        <v>33.485865742222096</v>
      </c>
      <c r="AC99" s="122">
        <f t="shared" si="301"/>
        <v>37.753672160348437</v>
      </c>
      <c r="AD99" s="122">
        <f t="shared" si="301"/>
        <v>42.565414690588923</v>
      </c>
      <c r="AE99" s="122">
        <f t="shared" si="301"/>
        <v>47.990418523703198</v>
      </c>
      <c r="AF99" s="122">
        <f t="shared" si="301"/>
        <v>54.106844413979097</v>
      </c>
      <c r="AG99" s="122">
        <f t="shared" si="301"/>
        <v>61.002814780466622</v>
      </c>
      <c r="AH99" s="116">
        <f t="shared" si="296"/>
        <v>0.13437240820866592</v>
      </c>
      <c r="AI99" s="21">
        <f t="shared" si="17"/>
        <v>0.05</v>
      </c>
      <c r="AJ99" s="124">
        <f t="shared" si="190"/>
        <v>376.78209129111741</v>
      </c>
    </row>
    <row r="100" spans="2:36" x14ac:dyDescent="0.2">
      <c r="B100" s="10" t="s">
        <v>260</v>
      </c>
      <c r="C100" s="122"/>
      <c r="D100" s="122"/>
      <c r="E100" s="122"/>
      <c r="F100" s="122"/>
      <c r="G100" s="122">
        <f t="shared" ref="G100" si="302">G6/G57</f>
        <v>0.85</v>
      </c>
      <c r="H100" s="122">
        <f t="shared" ref="H100:I100" si="303">H6/H57</f>
        <v>0.85</v>
      </c>
      <c r="I100" s="122">
        <f t="shared" si="303"/>
        <v>11.222222222222221</v>
      </c>
      <c r="J100" s="122">
        <f t="shared" ref="J100:S100" si="304">J6/J57</f>
        <v>18.107142857142858</v>
      </c>
      <c r="K100" s="122">
        <f t="shared" si="304"/>
        <v>34.444444444444443</v>
      </c>
      <c r="L100" s="122">
        <f t="shared" si="304"/>
        <v>44.695183563489387</v>
      </c>
      <c r="M100" s="122">
        <f t="shared" si="304"/>
        <v>80.948174322732626</v>
      </c>
      <c r="N100" s="122">
        <f t="shared" si="304"/>
        <v>99.308357348703169</v>
      </c>
      <c r="O100" s="122">
        <f t="shared" si="304"/>
        <v>122.49929158401814</v>
      </c>
      <c r="P100" s="122">
        <f t="shared" si="304"/>
        <v>151.952035694367</v>
      </c>
      <c r="Q100" s="122">
        <f t="shared" si="304"/>
        <v>187.49306711037158</v>
      </c>
      <c r="R100" s="122">
        <f t="shared" si="304"/>
        <v>269.26023461814697</v>
      </c>
      <c r="S100" s="122">
        <f t="shared" si="304"/>
        <v>317.26516052318669</v>
      </c>
      <c r="T100" s="122">
        <f t="shared" ref="T100:U100" si="305">T6/T57</f>
        <v>472.89658194566169</v>
      </c>
      <c r="U100" s="122">
        <f t="shared" si="305"/>
        <v>109.82239784619394</v>
      </c>
      <c r="V100" s="101">
        <f t="shared" si="182"/>
        <v>0.41515869004081241</v>
      </c>
      <c r="W100" s="110"/>
      <c r="X100" s="122">
        <f t="shared" ref="X100:AG100" si="306">X6/X57</f>
        <v>123.81937012070883</v>
      </c>
      <c r="Y100" s="122">
        <f t="shared" si="306"/>
        <v>139.60027023413249</v>
      </c>
      <c r="Z100" s="122">
        <f t="shared" si="306"/>
        <v>157.39246153848271</v>
      </c>
      <c r="AA100" s="122">
        <f t="shared" si="306"/>
        <v>177.45228506789715</v>
      </c>
      <c r="AB100" s="122">
        <f t="shared" si="306"/>
        <v>200.06875277262913</v>
      </c>
      <c r="AC100" s="122">
        <f t="shared" si="306"/>
        <v>225.56771145933675</v>
      </c>
      <c r="AD100" s="122">
        <f t="shared" si="306"/>
        <v>254.31653742964437</v>
      </c>
      <c r="AE100" s="122">
        <f t="shared" si="306"/>
        <v>286.72942945499119</v>
      </c>
      <c r="AF100" s="122">
        <f t="shared" si="306"/>
        <v>323.27337634631363</v>
      </c>
      <c r="AG100" s="122">
        <f t="shared" si="306"/>
        <v>364.47488509633394</v>
      </c>
      <c r="AH100" s="116">
        <f t="shared" si="296"/>
        <v>0.13943019786095845</v>
      </c>
      <c r="AI100" s="21">
        <f t="shared" ref="AI100" si="307">$O$1</f>
        <v>0.05</v>
      </c>
      <c r="AJ100" s="124">
        <f t="shared" si="190"/>
        <v>2251.1684079479451</v>
      </c>
    </row>
    <row r="101" spans="2:36" x14ac:dyDescent="0.2">
      <c r="B101" s="10"/>
      <c r="C101" s="109"/>
      <c r="D101" s="109"/>
      <c r="E101" s="109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0"/>
      <c r="W101" s="10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17"/>
      <c r="AI101" s="10"/>
      <c r="AJ101" s="131"/>
    </row>
    <row r="102" spans="2:36" x14ac:dyDescent="0.2">
      <c r="B102" s="10" t="s">
        <v>410</v>
      </c>
      <c r="C102" s="109"/>
      <c r="D102" s="109"/>
      <c r="E102" s="109"/>
      <c r="F102" s="122"/>
      <c r="G102" s="122">
        <f t="shared" ref="G102:T102" si="308">G55/$U$57</f>
        <v>-1.7369403795214729E-2</v>
      </c>
      <c r="H102" s="122">
        <f t="shared" si="308"/>
        <v>-1.7369403795214729E-2</v>
      </c>
      <c r="I102" s="122">
        <f t="shared" si="308"/>
        <v>0.23882930218420254</v>
      </c>
      <c r="J102" s="122">
        <f t="shared" si="308"/>
        <v>0.40818098918754614</v>
      </c>
      <c r="K102" s="122">
        <f t="shared" si="308"/>
        <v>0.86847018976073653</v>
      </c>
      <c r="L102" s="122">
        <f t="shared" si="308"/>
        <v>1.3200746884363195</v>
      </c>
      <c r="M102" s="122">
        <f t="shared" si="308"/>
        <v>2.0756437535281602</v>
      </c>
      <c r="N102" s="122">
        <f t="shared" si="308"/>
        <v>3.1568891397802772</v>
      </c>
      <c r="O102" s="122">
        <f t="shared" si="308"/>
        <v>4.2424768769811978</v>
      </c>
      <c r="P102" s="122">
        <f t="shared" si="308"/>
        <v>5.6450562334447874</v>
      </c>
      <c r="Q102" s="122">
        <f t="shared" si="308"/>
        <v>6.9955273785227323</v>
      </c>
      <c r="R102" s="122">
        <f t="shared" si="308"/>
        <v>8.671674844760954</v>
      </c>
      <c r="S102" s="122">
        <f t="shared" si="308"/>
        <v>10.981805549524513</v>
      </c>
      <c r="T102" s="122">
        <f t="shared" si="308"/>
        <v>14.50297451039993</v>
      </c>
      <c r="U102" s="122">
        <f>U55/$U$57</f>
        <v>18.381171566285989</v>
      </c>
      <c r="V102" s="101" t="e">
        <f t="shared" si="182"/>
        <v>#NUM!</v>
      </c>
      <c r="W102" s="110"/>
      <c r="X102" s="122">
        <f t="shared" ref="X102:AG102" si="309">X55/X57</f>
        <v>20.723869903165571</v>
      </c>
      <c r="Y102" s="122">
        <f t="shared" si="309"/>
        <v>23.365147439843536</v>
      </c>
      <c r="Z102" s="122">
        <f t="shared" si="309"/>
        <v>26.343058388058886</v>
      </c>
      <c r="AA102" s="122">
        <f t="shared" si="309"/>
        <v>29.700507006144818</v>
      </c>
      <c r="AB102" s="122">
        <f t="shared" si="309"/>
        <v>33.485865742222096</v>
      </c>
      <c r="AC102" s="122">
        <f t="shared" si="309"/>
        <v>37.753672160348437</v>
      </c>
      <c r="AD102" s="122">
        <f t="shared" si="309"/>
        <v>42.565414690588923</v>
      </c>
      <c r="AE102" s="122">
        <f t="shared" si="309"/>
        <v>47.990418523703198</v>
      </c>
      <c r="AF102" s="122">
        <f t="shared" si="309"/>
        <v>54.106844413979097</v>
      </c>
      <c r="AG102" s="122">
        <f t="shared" si="309"/>
        <v>61.002814780466622</v>
      </c>
      <c r="AH102" s="117"/>
      <c r="AI102" s="10"/>
      <c r="AJ102" s="131"/>
    </row>
    <row r="103" spans="2:36" x14ac:dyDescent="0.2">
      <c r="B103" s="10"/>
      <c r="C103" s="109"/>
      <c r="D103" s="109"/>
      <c r="E103" s="109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0"/>
      <c r="W103" s="10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17"/>
      <c r="AI103" s="10"/>
      <c r="AJ103" s="131"/>
    </row>
    <row r="104" spans="2:36" x14ac:dyDescent="0.2">
      <c r="B104" s="93" t="s">
        <v>259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22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spans="2:36" x14ac:dyDescent="0.2">
      <c r="B105" s="10" t="s">
        <v>258</v>
      </c>
      <c r="C105" s="129"/>
      <c r="D105" s="129"/>
      <c r="E105" s="129"/>
      <c r="F105" s="129"/>
      <c r="G105" s="129">
        <f t="shared" ref="G105" si="310">G51/G25</f>
        <v>0</v>
      </c>
      <c r="H105" s="129">
        <f t="shared" ref="H105:I105" si="311">H51/H25</f>
        <v>0</v>
      </c>
      <c r="I105" s="129">
        <f t="shared" si="311"/>
        <v>0</v>
      </c>
      <c r="J105" s="129">
        <f t="shared" ref="J105:S105" si="312">J51/J25</f>
        <v>0</v>
      </c>
      <c r="K105" s="129">
        <f t="shared" si="312"/>
        <v>0</v>
      </c>
      <c r="L105" s="129">
        <f t="shared" si="312"/>
        <v>0</v>
      </c>
      <c r="M105" s="129">
        <f t="shared" si="312"/>
        <v>0</v>
      </c>
      <c r="N105" s="129">
        <f t="shared" si="312"/>
        <v>0</v>
      </c>
      <c r="O105" s="129">
        <f t="shared" si="312"/>
        <v>0</v>
      </c>
      <c r="P105" s="129">
        <f t="shared" si="312"/>
        <v>0</v>
      </c>
      <c r="Q105" s="129">
        <f t="shared" si="312"/>
        <v>0</v>
      </c>
      <c r="R105" s="129">
        <f t="shared" si="312"/>
        <v>0</v>
      </c>
      <c r="S105" s="129">
        <f t="shared" si="312"/>
        <v>0</v>
      </c>
      <c r="T105" s="129" t="e">
        <f t="shared" ref="T105:U105" si="313">T51/T25</f>
        <v>#VALUE!</v>
      </c>
      <c r="U105" s="129">
        <f t="shared" si="313"/>
        <v>0</v>
      </c>
      <c r="V105" s="101" t="e">
        <f t="shared" si="182"/>
        <v>#DIV/0!</v>
      </c>
      <c r="W105" s="129"/>
      <c r="X105" s="129">
        <f t="shared" ref="X105:AG105" si="314">X51/X25</f>
        <v>0</v>
      </c>
      <c r="Y105" s="129">
        <f t="shared" si="314"/>
        <v>0</v>
      </c>
      <c r="Z105" s="129">
        <f t="shared" si="314"/>
        <v>0</v>
      </c>
      <c r="AA105" s="129">
        <f t="shared" si="314"/>
        <v>0</v>
      </c>
      <c r="AB105" s="129">
        <f t="shared" si="314"/>
        <v>0</v>
      </c>
      <c r="AC105" s="129">
        <f t="shared" si="314"/>
        <v>0</v>
      </c>
      <c r="AD105" s="129">
        <f t="shared" si="314"/>
        <v>0</v>
      </c>
      <c r="AE105" s="129">
        <f t="shared" si="314"/>
        <v>0</v>
      </c>
      <c r="AF105" s="129">
        <f t="shared" si="314"/>
        <v>0</v>
      </c>
      <c r="AG105" s="129">
        <f t="shared" si="314"/>
        <v>0</v>
      </c>
      <c r="AH105" s="116" t="e">
        <f t="shared" ref="AH105:AH154" si="315">((AG105/J105)^(1/($AG$3-$K$1) ))-1</f>
        <v>#DIV/0!</v>
      </c>
      <c r="AI105" s="124"/>
      <c r="AJ105" s="124"/>
    </row>
    <row r="106" spans="2:36" x14ac:dyDescent="0.2">
      <c r="B106" s="10" t="s">
        <v>220</v>
      </c>
      <c r="C106" s="129"/>
      <c r="D106" s="129"/>
      <c r="E106" s="129"/>
      <c r="F106" s="129"/>
      <c r="G106" s="129">
        <f t="shared" ref="G106" si="316">G55/G25</f>
        <v>-8.3333333333333329E-2</v>
      </c>
      <c r="H106" s="129">
        <f t="shared" ref="H106:I106" si="317">H55/H25</f>
        <v>-8.3333333333333329E-2</v>
      </c>
      <c r="I106" s="129">
        <f t="shared" si="317"/>
        <v>0.19031141868512111</v>
      </c>
      <c r="J106" s="129">
        <f t="shared" ref="J106:S106" si="318">J55/J25</f>
        <v>0.11928934010152284</v>
      </c>
      <c r="K106" s="129">
        <f t="shared" si="318"/>
        <v>0.11968880909634949</v>
      </c>
      <c r="L106" s="129">
        <f t="shared" si="318"/>
        <v>0.12469237079573421</v>
      </c>
      <c r="M106" s="129">
        <f t="shared" si="318"/>
        <v>0.16230899830220713</v>
      </c>
      <c r="N106" s="129">
        <f t="shared" si="318"/>
        <v>0.15584137191854233</v>
      </c>
      <c r="O106" s="129">
        <f t="shared" si="318"/>
        <v>0.13637632607481853</v>
      </c>
      <c r="P106" s="129">
        <f t="shared" si="318"/>
        <v>0.13611140194744006</v>
      </c>
      <c r="Q106" s="129">
        <f t="shared" si="318"/>
        <v>0.13766877456844984</v>
      </c>
      <c r="R106" s="129">
        <f t="shared" si="318"/>
        <v>0.14663337983699243</v>
      </c>
      <c r="S106" s="129">
        <f t="shared" si="318"/>
        <v>0.15551592670028286</v>
      </c>
      <c r="T106" s="129">
        <f t="shared" ref="T106:U106" si="319">T55/T25</f>
        <v>0.16180069760682103</v>
      </c>
      <c r="U106" s="129">
        <f t="shared" si="319"/>
        <v>0.1656038496146473</v>
      </c>
      <c r="V106" s="101" t="e">
        <f t="shared" si="182"/>
        <v>#NUM!</v>
      </c>
      <c r="W106" s="129"/>
      <c r="X106" s="129">
        <f t="shared" ref="X106:AG106" si="320">X55/X25</f>
        <v>0.16560384961464733</v>
      </c>
      <c r="Y106" s="129">
        <f t="shared" si="320"/>
        <v>0.16560384961464733</v>
      </c>
      <c r="Z106" s="129">
        <f t="shared" si="320"/>
        <v>0.1656038496146473</v>
      </c>
      <c r="AA106" s="129">
        <f t="shared" si="320"/>
        <v>0.1656038496146473</v>
      </c>
      <c r="AB106" s="129">
        <f t="shared" si="320"/>
        <v>0.1656038496146473</v>
      </c>
      <c r="AC106" s="129">
        <f t="shared" si="320"/>
        <v>0.1656038496146473</v>
      </c>
      <c r="AD106" s="129">
        <f t="shared" si="320"/>
        <v>0.16560384961464733</v>
      </c>
      <c r="AE106" s="129">
        <f t="shared" si="320"/>
        <v>0.16560384961464733</v>
      </c>
      <c r="AF106" s="129">
        <f t="shared" si="320"/>
        <v>0.16560384961464733</v>
      </c>
      <c r="AG106" s="129">
        <f t="shared" si="320"/>
        <v>0.16560384961464733</v>
      </c>
      <c r="AH106" s="116">
        <f t="shared" si="315"/>
        <v>1.4365092390083989E-2</v>
      </c>
      <c r="AI106" s="124"/>
      <c r="AJ106" s="124"/>
    </row>
    <row r="107" spans="2:36" x14ac:dyDescent="0.2">
      <c r="B107" s="10" t="s">
        <v>304</v>
      </c>
      <c r="C107" s="129"/>
      <c r="D107" s="129"/>
      <c r="E107" s="129"/>
      <c r="F107" s="129"/>
      <c r="G107" s="129">
        <f t="shared" ref="G107" si="321">G55/G7</f>
        <v>-1.8433179723502304E-2</v>
      </c>
      <c r="H107" s="129">
        <f t="shared" ref="H107:I107" si="322">H55/H7</f>
        <v>-1.8433179723502304E-2</v>
      </c>
      <c r="I107" s="129">
        <f t="shared" si="322"/>
        <v>9.6153846153846159E-2</v>
      </c>
      <c r="J107" s="129">
        <f>J55/J7</f>
        <v>0.11944091486658195</v>
      </c>
      <c r="K107" s="129">
        <f t="shared" ref="K107:R107" si="323">K55/K7</f>
        <v>0.15163002274450341</v>
      </c>
      <c r="L107" s="129">
        <f t="shared" si="323"/>
        <v>0.18719211822660098</v>
      </c>
      <c r="M107" s="129">
        <f t="shared" si="323"/>
        <v>0.15474263515700873</v>
      </c>
      <c r="N107" s="129">
        <f t="shared" si="323"/>
        <v>0.19161834475487613</v>
      </c>
      <c r="O107" s="129">
        <f t="shared" si="323"/>
        <v>0.20893926432848589</v>
      </c>
      <c r="P107" s="129">
        <f t="shared" si="323"/>
        <v>0.22386774582400551</v>
      </c>
      <c r="Q107" s="129">
        <f t="shared" si="323"/>
        <v>0.22642304989458889</v>
      </c>
      <c r="R107" s="129">
        <f t="shared" si="323"/>
        <v>0.17119588512644662</v>
      </c>
      <c r="S107" s="129">
        <f t="shared" ref="S107:T107" si="324">S55/S7</f>
        <v>0.18376689434675192</v>
      </c>
      <c r="T107" s="129">
        <f t="shared" si="324"/>
        <v>0.15154453468850673</v>
      </c>
      <c r="U107" s="129">
        <f t="shared" ref="U107" si="325">U55/U7</f>
        <v>0.16437558247903075</v>
      </c>
      <c r="V107" s="101" t="e">
        <f t="shared" si="182"/>
        <v>#NUM!</v>
      </c>
      <c r="W107" s="10"/>
      <c r="X107" s="129">
        <f t="shared" ref="X107" si="326">X55/X7</f>
        <v>0.16437558247903075</v>
      </c>
      <c r="Y107" s="129">
        <f t="shared" ref="Y107:AG107" si="327">Y55/Y7</f>
        <v>0.16437558247903075</v>
      </c>
      <c r="Z107" s="129">
        <f t="shared" si="327"/>
        <v>0.16437558247903072</v>
      </c>
      <c r="AA107" s="129">
        <f t="shared" si="327"/>
        <v>0.16437558247903075</v>
      </c>
      <c r="AB107" s="129">
        <f t="shared" si="327"/>
        <v>0.16437558247903075</v>
      </c>
      <c r="AC107" s="129">
        <f t="shared" si="327"/>
        <v>0.16437558247903072</v>
      </c>
      <c r="AD107" s="129">
        <f t="shared" si="327"/>
        <v>0.16437558247903075</v>
      </c>
      <c r="AE107" s="129">
        <f t="shared" si="327"/>
        <v>0.16437558247903075</v>
      </c>
      <c r="AF107" s="129">
        <f t="shared" si="327"/>
        <v>0.16437558247903075</v>
      </c>
      <c r="AG107" s="129">
        <f t="shared" si="327"/>
        <v>0.16437558247903075</v>
      </c>
      <c r="AH107" s="116">
        <f t="shared" si="315"/>
        <v>1.3980836233705718E-2</v>
      </c>
      <c r="AI107" s="124"/>
      <c r="AJ107" s="124"/>
    </row>
    <row r="108" spans="2:36" x14ac:dyDescent="0.2">
      <c r="B108" s="10" t="s">
        <v>305</v>
      </c>
      <c r="C108" s="129"/>
      <c r="D108" s="129"/>
      <c r="E108" s="129"/>
      <c r="F108" s="129"/>
      <c r="G108" s="129">
        <f t="shared" ref="G108" si="328">(G55)/(G7+G10)</f>
        <v>-3.2025620496397116E-3</v>
      </c>
      <c r="H108" s="129">
        <f t="shared" ref="H108:I108" si="329">(H55)/(H7+H10)</f>
        <v>-3.2025620496397116E-3</v>
      </c>
      <c r="I108" s="129">
        <f t="shared" si="329"/>
        <v>1.3934633899163922E-2</v>
      </c>
      <c r="J108" s="129">
        <f>(J55)/(J7+J10)</f>
        <v>9.5199513874822759E-3</v>
      </c>
      <c r="K108" s="129">
        <f t="shared" ref="K108:R108" si="330">(K55)/(K7+K10)</f>
        <v>1.2838618564642445E-2</v>
      </c>
      <c r="L108" s="129">
        <f t="shared" si="330"/>
        <v>1.5213692323090782E-2</v>
      </c>
      <c r="M108" s="129">
        <f t="shared" si="330"/>
        <v>1.3800669823305231E-2</v>
      </c>
      <c r="N108" s="129">
        <f t="shared" si="330"/>
        <v>1.288481647555075E-2</v>
      </c>
      <c r="O108" s="129">
        <f t="shared" si="330"/>
        <v>1.4371028477288774E-2</v>
      </c>
      <c r="P108" s="129">
        <f t="shared" si="330"/>
        <v>1.3876435677383545E-2</v>
      </c>
      <c r="Q108" s="129">
        <f t="shared" si="330"/>
        <v>1.5699612138694526E-2</v>
      </c>
      <c r="R108" s="129">
        <f t="shared" si="330"/>
        <v>1.5475341743901305E-2</v>
      </c>
      <c r="S108" s="129">
        <f t="shared" ref="S108:T108" si="331">(S55)/(S7+S10)</f>
        <v>1.609546539379475E-2</v>
      </c>
      <c r="T108" s="129">
        <f t="shared" si="331"/>
        <v>1.6411985055166972E-2</v>
      </c>
      <c r="U108" s="129">
        <f t="shared" ref="U108" si="332">(U55)/(U7+U10)</f>
        <v>1.4047535293063511E-2</v>
      </c>
      <c r="V108" s="101" t="e">
        <f t="shared" si="182"/>
        <v>#NUM!</v>
      </c>
      <c r="W108" s="10"/>
      <c r="X108" s="129">
        <f t="shared" ref="X108:AG108" si="333">(X55)/(X7+X10)</f>
        <v>1.4047535293063511E-2</v>
      </c>
      <c r="Y108" s="129">
        <f t="shared" si="333"/>
        <v>1.4047535293063509E-2</v>
      </c>
      <c r="Z108" s="129">
        <f t="shared" si="333"/>
        <v>1.4047535293063511E-2</v>
      </c>
      <c r="AA108" s="129">
        <f t="shared" si="333"/>
        <v>1.4047535293063513E-2</v>
      </c>
      <c r="AB108" s="129">
        <f t="shared" si="333"/>
        <v>1.4047535293063513E-2</v>
      </c>
      <c r="AC108" s="129">
        <f t="shared" si="333"/>
        <v>1.4047535293063513E-2</v>
      </c>
      <c r="AD108" s="129">
        <f t="shared" si="333"/>
        <v>1.4047535293063513E-2</v>
      </c>
      <c r="AE108" s="129">
        <f t="shared" si="333"/>
        <v>1.4047535293063513E-2</v>
      </c>
      <c r="AF108" s="129">
        <f t="shared" si="333"/>
        <v>1.4047535293063513E-2</v>
      </c>
      <c r="AG108" s="129">
        <f t="shared" si="333"/>
        <v>1.4047535293063511E-2</v>
      </c>
      <c r="AH108" s="116">
        <f t="shared" si="315"/>
        <v>1.7059408748763882E-2</v>
      </c>
      <c r="AI108" s="124"/>
      <c r="AJ108" s="124"/>
    </row>
    <row r="109" spans="2:36" x14ac:dyDescent="0.2">
      <c r="B109" s="10" t="s">
        <v>321</v>
      </c>
      <c r="C109" s="129"/>
      <c r="D109" s="129"/>
      <c r="E109" s="129"/>
      <c r="F109" s="129"/>
      <c r="G109" s="129">
        <f t="shared" ref="G109" si="334">G20/G25</f>
        <v>-1.1458333333333333</v>
      </c>
      <c r="H109" s="129">
        <f t="shared" ref="H109:I109" si="335">H20/H25</f>
        <v>-1.1458333333333333</v>
      </c>
      <c r="I109" s="129">
        <f t="shared" si="335"/>
        <v>-0.5743944636678201</v>
      </c>
      <c r="J109" s="129">
        <f>J20/J25</f>
        <v>2.2855329949238579</v>
      </c>
      <c r="K109" s="129">
        <f t="shared" ref="K109:S109" si="336">K20/K25</f>
        <v>-0.1172950329144225</v>
      </c>
      <c r="L109" s="129">
        <f t="shared" si="336"/>
        <v>-0.14971287940935193</v>
      </c>
      <c r="M109" s="129">
        <f t="shared" si="336"/>
        <v>0.32597623089983024</v>
      </c>
      <c r="N109" s="129">
        <f t="shared" si="336"/>
        <v>0.6538049303322615</v>
      </c>
      <c r="O109" s="129">
        <f t="shared" si="336"/>
        <v>0.50083752093802347</v>
      </c>
      <c r="P109" s="129">
        <f t="shared" si="336"/>
        <v>5.6538582347398177E-2</v>
      </c>
      <c r="Q109" s="129">
        <f t="shared" si="336"/>
        <v>0.38010596479234321</v>
      </c>
      <c r="R109" s="129">
        <f t="shared" si="336"/>
        <v>-0.10639547690726191</v>
      </c>
      <c r="S109" s="129">
        <f t="shared" si="336"/>
        <v>-2.2321977616529331E-2</v>
      </c>
      <c r="T109" s="129">
        <f t="shared" ref="T109:U109" si="337">T20/T25</f>
        <v>0.21209185156477087</v>
      </c>
      <c r="U109" s="129">
        <f t="shared" si="337"/>
        <v>-0.85587418332616094</v>
      </c>
      <c r="V109" s="101">
        <f t="shared" si="182"/>
        <v>-2.062463258443259E-2</v>
      </c>
      <c r="W109" s="10"/>
      <c r="X109" s="129">
        <f t="shared" ref="X109:AG109" si="338">X20/X25</f>
        <v>-0.85587418332616094</v>
      </c>
      <c r="Y109" s="129">
        <f t="shared" si="338"/>
        <v>-0.85587418332616105</v>
      </c>
      <c r="Z109" s="129">
        <f t="shared" si="338"/>
        <v>-0.85587418332616105</v>
      </c>
      <c r="AA109" s="129">
        <f t="shared" si="338"/>
        <v>-0.85587418332616105</v>
      </c>
      <c r="AB109" s="129">
        <f t="shared" si="338"/>
        <v>-0.85587418332616094</v>
      </c>
      <c r="AC109" s="129">
        <f t="shared" si="338"/>
        <v>-0.85587418332616105</v>
      </c>
      <c r="AD109" s="129">
        <f t="shared" si="338"/>
        <v>-0.85587418332616094</v>
      </c>
      <c r="AE109" s="129">
        <f t="shared" si="338"/>
        <v>-0.85587418332616105</v>
      </c>
      <c r="AF109" s="129">
        <f t="shared" si="338"/>
        <v>-0.85587418332616105</v>
      </c>
      <c r="AG109" s="129">
        <f t="shared" si="338"/>
        <v>-0.85587418332616105</v>
      </c>
      <c r="AH109" s="116">
        <f t="shared" si="315"/>
        <v>-1.958193342749678</v>
      </c>
      <c r="AI109" s="124"/>
      <c r="AJ109" s="124"/>
    </row>
    <row r="110" spans="2:36" x14ac:dyDescent="0.2">
      <c r="B110" s="10" t="s">
        <v>373</v>
      </c>
      <c r="C110" s="129"/>
      <c r="D110" s="129"/>
      <c r="E110" s="129"/>
      <c r="F110" s="129"/>
      <c r="G110" s="129">
        <f t="shared" ref="G110" si="339">G68/G25</f>
        <v>8.3333333333333329E-2</v>
      </c>
      <c r="H110" s="129">
        <f t="shared" ref="H110:I110" si="340">H68/H25</f>
        <v>8.3333333333333329E-2</v>
      </c>
      <c r="I110" s="129">
        <f t="shared" si="340"/>
        <v>-0.19031141868512111</v>
      </c>
      <c r="J110" s="129">
        <f>J68/J25</f>
        <v>-0.11928934010152284</v>
      </c>
      <c r="K110" s="129">
        <f t="shared" ref="K110:S110" si="341">K68/K25</f>
        <v>-0.11968880909634949</v>
      </c>
      <c r="L110" s="129">
        <f t="shared" si="341"/>
        <v>-0.12469237079573421</v>
      </c>
      <c r="M110" s="129">
        <f t="shared" si="341"/>
        <v>-0.16230899830220713</v>
      </c>
      <c r="N110" s="129">
        <f t="shared" si="341"/>
        <v>-0.15584137191854233</v>
      </c>
      <c r="O110" s="129">
        <f t="shared" si="341"/>
        <v>-0.13637632607481853</v>
      </c>
      <c r="P110" s="129">
        <f t="shared" si="341"/>
        <v>-0.13611140194744006</v>
      </c>
      <c r="Q110" s="129">
        <f t="shared" si="341"/>
        <v>-0.13766877456844984</v>
      </c>
      <c r="R110" s="129">
        <f t="shared" si="341"/>
        <v>-0.14663337983699243</v>
      </c>
      <c r="S110" s="129">
        <f t="shared" si="341"/>
        <v>-0.15551592670028286</v>
      </c>
      <c r="T110" s="129" t="e">
        <f t="shared" ref="T110:U110" si="342">T68/T25</f>
        <v>#VALUE!</v>
      </c>
      <c r="U110" s="129">
        <f t="shared" si="342"/>
        <v>-0.1656038496146473</v>
      </c>
      <c r="V110" s="101" t="e">
        <f t="shared" si="182"/>
        <v>#NUM!</v>
      </c>
      <c r="W110" s="10"/>
      <c r="X110" s="129">
        <f t="shared" ref="X110:AG110" si="343">X68/X25</f>
        <v>-0.16560384961464733</v>
      </c>
      <c r="Y110" s="129">
        <f t="shared" si="343"/>
        <v>-0.16560384961464733</v>
      </c>
      <c r="Z110" s="129">
        <f t="shared" si="343"/>
        <v>-0.1656038496146473</v>
      </c>
      <c r="AA110" s="129">
        <f t="shared" si="343"/>
        <v>-0.1656038496146473</v>
      </c>
      <c r="AB110" s="129">
        <f t="shared" si="343"/>
        <v>-0.1656038496146473</v>
      </c>
      <c r="AC110" s="129">
        <f t="shared" si="343"/>
        <v>-0.1656038496146473</v>
      </c>
      <c r="AD110" s="129">
        <f t="shared" si="343"/>
        <v>-0.16560384961464733</v>
      </c>
      <c r="AE110" s="129">
        <f t="shared" si="343"/>
        <v>-0.16560384961464733</v>
      </c>
      <c r="AF110" s="129">
        <f t="shared" si="343"/>
        <v>-0.16560384961464733</v>
      </c>
      <c r="AG110" s="129">
        <f t="shared" si="343"/>
        <v>-0.16560384961464733</v>
      </c>
      <c r="AH110" s="116">
        <f t="shared" si="315"/>
        <v>1.4365092390083989E-2</v>
      </c>
      <c r="AI110" s="124"/>
      <c r="AJ110" s="124"/>
    </row>
    <row r="111" spans="2:36" x14ac:dyDescent="0.2">
      <c r="B111" s="10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2"/>
      <c r="V111" s="10"/>
      <c r="W111" s="10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129"/>
      <c r="AH111" s="3"/>
      <c r="AI111" s="124"/>
      <c r="AJ111" s="124"/>
    </row>
    <row r="112" spans="2:36" x14ac:dyDescent="0.2">
      <c r="B112" s="10" t="s">
        <v>268</v>
      </c>
      <c r="C112" s="129"/>
      <c r="D112" s="129"/>
      <c r="E112" s="129"/>
      <c r="F112" s="129"/>
      <c r="G112" s="129">
        <f t="shared" ref="G112" si="344">G29/G25</f>
        <v>0.25</v>
      </c>
      <c r="H112" s="129">
        <f t="shared" ref="H112:I112" si="345">H29/H25</f>
        <v>0.25</v>
      </c>
      <c r="I112" s="129">
        <f t="shared" si="345"/>
        <v>0.36332179930795849</v>
      </c>
      <c r="J112" s="129">
        <f>J29/J25</f>
        <v>0.52791878172588835</v>
      </c>
      <c r="K112" s="129">
        <f t="shared" ref="K112:S112" si="346">K29/K25</f>
        <v>0.58288450029922201</v>
      </c>
      <c r="L112" s="129">
        <f t="shared" si="346"/>
        <v>0.6119770303527482</v>
      </c>
      <c r="M112" s="129">
        <f t="shared" si="346"/>
        <v>0.5368421052631579</v>
      </c>
      <c r="N112" s="129">
        <f t="shared" si="346"/>
        <v>0.5989281886387996</v>
      </c>
      <c r="O112" s="129">
        <f t="shared" si="346"/>
        <v>0.65480178671133449</v>
      </c>
      <c r="P112" s="129">
        <f t="shared" si="346"/>
        <v>0.63605905140822949</v>
      </c>
      <c r="Q112" s="129">
        <f t="shared" si="346"/>
        <v>0.62083404546231413</v>
      </c>
      <c r="R112" s="129">
        <f t="shared" si="346"/>
        <v>0.59350906821352523</v>
      </c>
      <c r="S112" s="129">
        <f t="shared" si="346"/>
        <v>0.55128520477186083</v>
      </c>
      <c r="T112" s="129">
        <f t="shared" ref="T112:U112" si="347">T29/T25</f>
        <v>0.51480137583567487</v>
      </c>
      <c r="U112" s="129">
        <f t="shared" si="347"/>
        <v>0.49016079183130551</v>
      </c>
      <c r="V112" s="101">
        <f t="shared" si="182"/>
        <v>4.9266026724147371E-2</v>
      </c>
      <c r="W112" s="10"/>
      <c r="X112" s="129">
        <f t="shared" ref="X112:AG112" si="348">X29/X25</f>
        <v>0.49016079183130551</v>
      </c>
      <c r="Y112" s="129">
        <f t="shared" si="348"/>
        <v>0.49016079183130551</v>
      </c>
      <c r="Z112" s="129">
        <f t="shared" si="348"/>
        <v>0.49016079183130551</v>
      </c>
      <c r="AA112" s="129">
        <f t="shared" si="348"/>
        <v>0.49016079183130545</v>
      </c>
      <c r="AB112" s="129">
        <f t="shared" si="348"/>
        <v>0.4901607918313054</v>
      </c>
      <c r="AC112" s="129">
        <f t="shared" si="348"/>
        <v>0.49016079183130545</v>
      </c>
      <c r="AD112" s="129">
        <f t="shared" si="348"/>
        <v>0.49016079183130545</v>
      </c>
      <c r="AE112" s="129">
        <f t="shared" si="348"/>
        <v>0.4901607918313054</v>
      </c>
      <c r="AF112" s="129">
        <f t="shared" si="348"/>
        <v>0.49016079183130545</v>
      </c>
      <c r="AG112" s="129">
        <f t="shared" si="348"/>
        <v>0.49016079183130545</v>
      </c>
      <c r="AH112" s="116">
        <f t="shared" si="315"/>
        <v>-3.2212772788674515E-3</v>
      </c>
      <c r="AI112" s="124"/>
      <c r="AJ112" s="124"/>
    </row>
    <row r="113" spans="1:36" x14ac:dyDescent="0.2">
      <c r="B113" s="10" t="s">
        <v>314</v>
      </c>
      <c r="C113" s="129"/>
      <c r="D113" s="129"/>
      <c r="E113" s="129"/>
      <c r="F113" s="129"/>
      <c r="G113" s="129" t="e">
        <f t="shared" ref="G113" si="349">G29/G51</f>
        <v>#DIV/0!</v>
      </c>
      <c r="H113" s="129" t="e">
        <f t="shared" ref="H113:I113" si="350">H29/H51</f>
        <v>#DIV/0!</v>
      </c>
      <c r="I113" s="129" t="e">
        <f t="shared" si="350"/>
        <v>#DIV/0!</v>
      </c>
      <c r="J113" s="129" t="e">
        <f>J29/J51</f>
        <v>#DIV/0!</v>
      </c>
      <c r="K113" s="129" t="e">
        <f t="shared" ref="K113:S113" si="351">K29/K51</f>
        <v>#DIV/0!</v>
      </c>
      <c r="L113" s="129" t="e">
        <f t="shared" si="351"/>
        <v>#DIV/0!</v>
      </c>
      <c r="M113" s="129" t="e">
        <f t="shared" si="351"/>
        <v>#DIV/0!</v>
      </c>
      <c r="N113" s="129" t="e">
        <f t="shared" si="351"/>
        <v>#DIV/0!</v>
      </c>
      <c r="O113" s="129" t="e">
        <f t="shared" si="351"/>
        <v>#DIV/0!</v>
      </c>
      <c r="P113" s="129" t="e">
        <f t="shared" si="351"/>
        <v>#DIV/0!</v>
      </c>
      <c r="Q113" s="129" t="e">
        <f t="shared" si="351"/>
        <v>#DIV/0!</v>
      </c>
      <c r="R113" s="129" t="e">
        <f t="shared" si="351"/>
        <v>#DIV/0!</v>
      </c>
      <c r="S113" s="129" t="e">
        <f t="shared" si="351"/>
        <v>#DIV/0!</v>
      </c>
      <c r="T113" s="129" t="e">
        <f t="shared" ref="T113:U113" si="352">T29/T51</f>
        <v>#VALUE!</v>
      </c>
      <c r="U113" s="129" t="e">
        <f t="shared" si="352"/>
        <v>#DIV/0!</v>
      </c>
      <c r="V113" s="101" t="e">
        <f t="shared" si="182"/>
        <v>#DIV/0!</v>
      </c>
      <c r="W113" s="10"/>
      <c r="X113" s="129" t="e">
        <f t="shared" ref="X113:AG113" si="353">X29/X51</f>
        <v>#DIV/0!</v>
      </c>
      <c r="Y113" s="129" t="e">
        <f t="shared" si="353"/>
        <v>#DIV/0!</v>
      </c>
      <c r="Z113" s="129" t="e">
        <f t="shared" si="353"/>
        <v>#DIV/0!</v>
      </c>
      <c r="AA113" s="129" t="e">
        <f t="shared" si="353"/>
        <v>#DIV/0!</v>
      </c>
      <c r="AB113" s="129" t="e">
        <f t="shared" si="353"/>
        <v>#DIV/0!</v>
      </c>
      <c r="AC113" s="129" t="e">
        <f t="shared" si="353"/>
        <v>#DIV/0!</v>
      </c>
      <c r="AD113" s="129" t="e">
        <f t="shared" si="353"/>
        <v>#DIV/0!</v>
      </c>
      <c r="AE113" s="129" t="e">
        <f t="shared" si="353"/>
        <v>#DIV/0!</v>
      </c>
      <c r="AF113" s="129" t="e">
        <f t="shared" si="353"/>
        <v>#DIV/0!</v>
      </c>
      <c r="AG113" s="129" t="e">
        <f t="shared" si="353"/>
        <v>#DIV/0!</v>
      </c>
      <c r="AH113" s="116" t="e">
        <f t="shared" ref="AH113" si="354">((AG113/J113)^(1/($AG$3-$K$1) ))-1</f>
        <v>#DIV/0!</v>
      </c>
      <c r="AI113" s="124"/>
      <c r="AJ113" s="124"/>
    </row>
    <row r="114" spans="1:36" ht="12" customHeight="1" x14ac:dyDescent="0.2">
      <c r="B114" s="10" t="s">
        <v>313</v>
      </c>
      <c r="C114" s="129"/>
      <c r="D114" s="129"/>
      <c r="E114" s="129"/>
      <c r="F114" s="147"/>
      <c r="G114" s="147">
        <f t="shared" ref="G114" si="355">G29/G55</f>
        <v>-3</v>
      </c>
      <c r="H114" s="147">
        <f t="shared" ref="H114:I114" si="356">H29/H55</f>
        <v>-3</v>
      </c>
      <c r="I114" s="147">
        <f t="shared" si="356"/>
        <v>1.9090909090909092</v>
      </c>
      <c r="J114" s="147">
        <f t="shared" ref="J114:S114" si="357">J29/J55</f>
        <v>4.4255319148936172</v>
      </c>
      <c r="K114" s="147">
        <f t="shared" si="357"/>
        <v>4.87</v>
      </c>
      <c r="L114" s="147">
        <f t="shared" si="357"/>
        <v>4.9078947368421053</v>
      </c>
      <c r="M114" s="147">
        <f t="shared" si="357"/>
        <v>3.3075313807531379</v>
      </c>
      <c r="N114" s="147">
        <f t="shared" si="357"/>
        <v>3.8431911966987622</v>
      </c>
      <c r="O114" s="147">
        <f t="shared" si="357"/>
        <v>4.8014329580348001</v>
      </c>
      <c r="P114" s="147">
        <f t="shared" si="357"/>
        <v>4.6730769230769234</v>
      </c>
      <c r="Q114" s="147">
        <f t="shared" si="357"/>
        <v>4.5096213531967724</v>
      </c>
      <c r="R114" s="147">
        <f t="shared" si="357"/>
        <v>4.0475713570355536</v>
      </c>
      <c r="S114" s="147">
        <f t="shared" si="357"/>
        <v>3.5448793989719256</v>
      </c>
      <c r="T114" s="147">
        <f t="shared" ref="T114:U114" si="358">T29/T55</f>
        <v>3.1817005949297736</v>
      </c>
      <c r="U114" s="147">
        <f t="shared" si="358"/>
        <v>2.9598393574297188</v>
      </c>
      <c r="V114" s="101" t="e">
        <f t="shared" si="182"/>
        <v>#NUM!</v>
      </c>
      <c r="W114" s="10"/>
      <c r="X114" s="147">
        <f t="shared" ref="X114:AG114" si="359">X29/X55</f>
        <v>2.9598393574297188</v>
      </c>
      <c r="Y114" s="147">
        <f t="shared" si="359"/>
        <v>2.9598393574297188</v>
      </c>
      <c r="Z114" s="147">
        <f t="shared" si="359"/>
        <v>2.9598393574297188</v>
      </c>
      <c r="AA114" s="147">
        <f t="shared" si="359"/>
        <v>2.9598393574297188</v>
      </c>
      <c r="AB114" s="147">
        <f t="shared" si="359"/>
        <v>2.9598393574297184</v>
      </c>
      <c r="AC114" s="147">
        <f t="shared" si="359"/>
        <v>2.9598393574297188</v>
      </c>
      <c r="AD114" s="147">
        <f t="shared" si="359"/>
        <v>2.9598393574297184</v>
      </c>
      <c r="AE114" s="147">
        <f t="shared" si="359"/>
        <v>2.9598393574297184</v>
      </c>
      <c r="AF114" s="147">
        <f t="shared" si="359"/>
        <v>2.9598393574297184</v>
      </c>
      <c r="AG114" s="147">
        <f t="shared" si="359"/>
        <v>2.9598393574297179</v>
      </c>
      <c r="AH114" s="116">
        <f t="shared" ref="AH114" si="360">((AG114/J114)^(1/($AG$3-$K$1) ))-1</f>
        <v>-1.7337317501249894E-2</v>
      </c>
      <c r="AI114" s="124"/>
      <c r="AJ114" s="124"/>
    </row>
    <row r="115" spans="1:36" ht="12" customHeight="1" x14ac:dyDescent="0.2">
      <c r="B115" s="10" t="s">
        <v>270</v>
      </c>
      <c r="C115" s="129"/>
      <c r="D115" s="129"/>
      <c r="E115" s="129"/>
      <c r="F115" s="147"/>
      <c r="G115" s="147" t="e">
        <f t="shared" ref="G115" si="361">G29/G12</f>
        <v>#DIV/0!</v>
      </c>
      <c r="H115" s="147" t="e">
        <f t="shared" ref="H115:I115" si="362">H29/H12</f>
        <v>#DIV/0!</v>
      </c>
      <c r="I115" s="147" t="e">
        <f t="shared" si="362"/>
        <v>#DIV/0!</v>
      </c>
      <c r="J115" s="147" t="e">
        <f t="shared" ref="J115:S115" si="363">J29/J12</f>
        <v>#DIV/0!</v>
      </c>
      <c r="K115" s="147" t="e">
        <f t="shared" si="363"/>
        <v>#DIV/0!</v>
      </c>
      <c r="L115" s="147" t="e">
        <f t="shared" si="363"/>
        <v>#DIV/0!</v>
      </c>
      <c r="M115" s="147" t="e">
        <f t="shared" si="363"/>
        <v>#DIV/0!</v>
      </c>
      <c r="N115" s="147" t="e">
        <f t="shared" si="363"/>
        <v>#DIV/0!</v>
      </c>
      <c r="O115" s="147" t="e">
        <f t="shared" si="363"/>
        <v>#DIV/0!</v>
      </c>
      <c r="P115" s="147" t="e">
        <f t="shared" si="363"/>
        <v>#DIV/0!</v>
      </c>
      <c r="Q115" s="147" t="e">
        <f t="shared" si="363"/>
        <v>#DIV/0!</v>
      </c>
      <c r="R115" s="147" t="e">
        <f t="shared" si="363"/>
        <v>#DIV/0!</v>
      </c>
      <c r="S115" s="147" t="e">
        <f t="shared" si="363"/>
        <v>#DIV/0!</v>
      </c>
      <c r="T115" s="147" t="e">
        <f t="shared" ref="T115:U115" si="364">T29/T12</f>
        <v>#VALUE!</v>
      </c>
      <c r="U115" s="147" t="e">
        <f t="shared" si="364"/>
        <v>#DIV/0!</v>
      </c>
      <c r="V115" s="101" t="e">
        <f t="shared" si="182"/>
        <v>#DIV/0!</v>
      </c>
      <c r="W115" s="10"/>
      <c r="X115" s="129" t="e">
        <f t="shared" ref="X115:AG115" si="365">X29/X12</f>
        <v>#DIV/0!</v>
      </c>
      <c r="Y115" s="129" t="e">
        <f t="shared" si="365"/>
        <v>#DIV/0!</v>
      </c>
      <c r="Z115" s="129" t="e">
        <f t="shared" si="365"/>
        <v>#DIV/0!</v>
      </c>
      <c r="AA115" s="129" t="e">
        <f t="shared" si="365"/>
        <v>#DIV/0!</v>
      </c>
      <c r="AB115" s="129" t="e">
        <f t="shared" si="365"/>
        <v>#DIV/0!</v>
      </c>
      <c r="AC115" s="129" t="e">
        <f t="shared" si="365"/>
        <v>#DIV/0!</v>
      </c>
      <c r="AD115" s="129" t="e">
        <f t="shared" si="365"/>
        <v>#DIV/0!</v>
      </c>
      <c r="AE115" s="129" t="e">
        <f t="shared" si="365"/>
        <v>#DIV/0!</v>
      </c>
      <c r="AF115" s="129" t="e">
        <f t="shared" si="365"/>
        <v>#DIV/0!</v>
      </c>
      <c r="AG115" s="129" t="e">
        <f t="shared" si="365"/>
        <v>#DIV/0!</v>
      </c>
      <c r="AH115" s="116" t="e">
        <f t="shared" si="315"/>
        <v>#DIV/0!</v>
      </c>
      <c r="AI115" s="124"/>
      <c r="AJ115" s="124"/>
    </row>
    <row r="116" spans="1:36" ht="12" customHeight="1" x14ac:dyDescent="0.2">
      <c r="B116" s="10" t="s">
        <v>315</v>
      </c>
      <c r="C116" s="129"/>
      <c r="D116" s="129"/>
      <c r="E116" s="129"/>
      <c r="F116" s="147"/>
      <c r="G116" s="147">
        <f t="shared" ref="G116" si="366">G29/G23</f>
        <v>0.22641509433962265</v>
      </c>
      <c r="H116" s="147">
        <f t="shared" ref="H116:I116" si="367">H29/H23</f>
        <v>0.22641509433962265</v>
      </c>
      <c r="I116" s="147">
        <f t="shared" si="367"/>
        <v>0.4861111111111111</v>
      </c>
      <c r="J116" s="147">
        <f>J29/J23</f>
        <v>0.32198142414860681</v>
      </c>
      <c r="K116" s="147">
        <f t="shared" ref="K116:S116" si="368">K29/K23</f>
        <v>0.59864781807006762</v>
      </c>
      <c r="L116" s="147">
        <f t="shared" si="368"/>
        <v>0.77627471383975022</v>
      </c>
      <c r="M116" s="147">
        <f t="shared" si="368"/>
        <v>0.59147025813692478</v>
      </c>
      <c r="N116" s="147">
        <f t="shared" si="368"/>
        <v>0.79942775393419174</v>
      </c>
      <c r="O116" s="147">
        <f t="shared" si="368"/>
        <v>1.308507670850767</v>
      </c>
      <c r="P116" s="147">
        <f t="shared" si="368"/>
        <v>1.4944649446494465</v>
      </c>
      <c r="Q116" s="147">
        <f t="shared" si="368"/>
        <v>1.2332371414021388</v>
      </c>
      <c r="R116" s="147">
        <f t="shared" si="368"/>
        <v>1.0696043403466984</v>
      </c>
      <c r="S116" s="147">
        <f t="shared" si="368"/>
        <v>1.0908980287174495</v>
      </c>
      <c r="T116" s="147">
        <f t="shared" ref="T116:U116" si="369">T29/T23</f>
        <v>0.93782808225222847</v>
      </c>
      <c r="U116" s="147">
        <f t="shared" si="369"/>
        <v>2.4168595679012346</v>
      </c>
      <c r="V116" s="101">
        <f t="shared" si="182"/>
        <v>0.18427698280697569</v>
      </c>
      <c r="W116" s="10"/>
      <c r="X116" s="147">
        <f t="shared" ref="X116:AG116" si="370">X29/X23</f>
        <v>2.4168595679012346</v>
      </c>
      <c r="Y116" s="147">
        <f t="shared" si="370"/>
        <v>2.4168595679012346</v>
      </c>
      <c r="Z116" s="147">
        <f t="shared" si="370"/>
        <v>2.4168595679012346</v>
      </c>
      <c r="AA116" s="147">
        <f t="shared" si="370"/>
        <v>2.4168595679012346</v>
      </c>
      <c r="AB116" s="147">
        <f t="shared" si="370"/>
        <v>2.4168595679012341</v>
      </c>
      <c r="AC116" s="147">
        <f t="shared" si="370"/>
        <v>2.4168595679012341</v>
      </c>
      <c r="AD116" s="147">
        <f t="shared" si="370"/>
        <v>2.4168595679012341</v>
      </c>
      <c r="AE116" s="147">
        <f t="shared" si="370"/>
        <v>2.4168595679012341</v>
      </c>
      <c r="AF116" s="147">
        <f t="shared" si="370"/>
        <v>2.4168595679012341</v>
      </c>
      <c r="AG116" s="147">
        <f t="shared" si="370"/>
        <v>2.4168595679012341</v>
      </c>
      <c r="AH116" s="116">
        <f t="shared" ref="AH116" si="371">((AG116/J116)^(1/($AG$3-$K$1) ))-1</f>
        <v>9.1595571705658907E-2</v>
      </c>
      <c r="AI116" s="124"/>
      <c r="AJ116" s="124"/>
    </row>
    <row r="117" spans="1:36" ht="12" customHeight="1" x14ac:dyDescent="0.2">
      <c r="B117" s="10"/>
      <c r="C117" s="129"/>
      <c r="D117" s="129"/>
      <c r="E117" s="129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22"/>
      <c r="V117" s="10"/>
      <c r="W117" s="10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  <c r="AH117" s="129"/>
      <c r="AI117" s="124"/>
      <c r="AJ117" s="124"/>
    </row>
    <row r="118" spans="1:36" ht="12" customHeight="1" x14ac:dyDescent="0.2">
      <c r="B118" s="10" t="s">
        <v>347</v>
      </c>
      <c r="C118" s="129"/>
      <c r="D118" s="129"/>
      <c r="E118" s="129"/>
      <c r="F118" s="109"/>
      <c r="G118" s="109">
        <f t="shared" ref="G118" si="372">1/G112</f>
        <v>4</v>
      </c>
      <c r="H118" s="109">
        <f t="shared" ref="H118:I118" si="373">1/H112</f>
        <v>4</v>
      </c>
      <c r="I118" s="109">
        <f t="shared" si="373"/>
        <v>2.7523809523809524</v>
      </c>
      <c r="J118" s="109">
        <f>1/J112</f>
        <v>1.8942307692307692</v>
      </c>
      <c r="K118" s="109">
        <f t="shared" ref="K118:S118" si="374">1/K112</f>
        <v>1.715605749486653</v>
      </c>
      <c r="L118" s="109">
        <f t="shared" si="374"/>
        <v>1.634048257372654</v>
      </c>
      <c r="M118" s="109">
        <f t="shared" si="374"/>
        <v>1.8627450980392157</v>
      </c>
      <c r="N118" s="109">
        <f t="shared" si="374"/>
        <v>1.6696492483894059</v>
      </c>
      <c r="O118" s="109">
        <f t="shared" si="374"/>
        <v>1.5271797058196546</v>
      </c>
      <c r="P118" s="109">
        <f t="shared" si="374"/>
        <v>1.5721810699588479</v>
      </c>
      <c r="Q118" s="109">
        <f t="shared" si="374"/>
        <v>1.6107364074328974</v>
      </c>
      <c r="R118" s="109">
        <f t="shared" si="374"/>
        <v>1.6848942224421626</v>
      </c>
      <c r="S118" s="109">
        <f t="shared" si="374"/>
        <v>1.813943112102621</v>
      </c>
      <c r="T118" s="109">
        <f t="shared" ref="T118:U118" si="375">1/T112</f>
        <v>1.9424967510560831</v>
      </c>
      <c r="U118" s="109">
        <f t="shared" si="375"/>
        <v>2.0401468592864553</v>
      </c>
      <c r="V118" s="101">
        <f t="shared" si="182"/>
        <v>-4.6952846532121173E-2</v>
      </c>
      <c r="W118" s="10"/>
      <c r="X118" s="109">
        <f t="shared" ref="X118:AG118" si="376">1/X112</f>
        <v>2.0401468592864553</v>
      </c>
      <c r="Y118" s="109">
        <f t="shared" si="376"/>
        <v>2.0401468592864553</v>
      </c>
      <c r="Z118" s="109">
        <f t="shared" si="376"/>
        <v>2.0401468592864553</v>
      </c>
      <c r="AA118" s="109">
        <f t="shared" si="376"/>
        <v>2.0401468592864558</v>
      </c>
      <c r="AB118" s="109">
        <f t="shared" si="376"/>
        <v>2.0401468592864558</v>
      </c>
      <c r="AC118" s="109">
        <f t="shared" si="376"/>
        <v>2.0401468592864558</v>
      </c>
      <c r="AD118" s="109">
        <f t="shared" si="376"/>
        <v>2.0401468592864558</v>
      </c>
      <c r="AE118" s="109">
        <f t="shared" si="376"/>
        <v>2.0401468592864558</v>
      </c>
      <c r="AF118" s="109">
        <f t="shared" si="376"/>
        <v>2.0401468592864558</v>
      </c>
      <c r="AG118" s="109">
        <f t="shared" si="376"/>
        <v>2.0401468592864558</v>
      </c>
      <c r="AH118" s="116">
        <f t="shared" si="315"/>
        <v>3.2316874401909779E-3</v>
      </c>
      <c r="AI118" s="124"/>
      <c r="AJ118" s="124"/>
    </row>
    <row r="119" spans="1:36" ht="12" customHeight="1" x14ac:dyDescent="0.2">
      <c r="B119" s="10" t="s">
        <v>348</v>
      </c>
      <c r="C119" s="129"/>
      <c r="D119" s="129"/>
      <c r="E119" s="129"/>
      <c r="F119" s="109"/>
      <c r="G119" s="109" t="e">
        <f t="shared" ref="G119" si="377">1/G113</f>
        <v>#DIV/0!</v>
      </c>
      <c r="H119" s="109" t="e">
        <f t="shared" ref="H119:I119" si="378">1/H113</f>
        <v>#DIV/0!</v>
      </c>
      <c r="I119" s="109" t="e">
        <f t="shared" si="378"/>
        <v>#DIV/0!</v>
      </c>
      <c r="J119" s="109" t="e">
        <f t="shared" ref="J119:S122" si="379">1/J113</f>
        <v>#DIV/0!</v>
      </c>
      <c r="K119" s="109" t="e">
        <f t="shared" si="379"/>
        <v>#DIV/0!</v>
      </c>
      <c r="L119" s="109" t="e">
        <f t="shared" si="379"/>
        <v>#DIV/0!</v>
      </c>
      <c r="M119" s="109" t="e">
        <f t="shared" si="379"/>
        <v>#DIV/0!</v>
      </c>
      <c r="N119" s="109" t="e">
        <f t="shared" si="379"/>
        <v>#DIV/0!</v>
      </c>
      <c r="O119" s="109" t="e">
        <f t="shared" si="379"/>
        <v>#DIV/0!</v>
      </c>
      <c r="P119" s="109" t="e">
        <f t="shared" si="379"/>
        <v>#DIV/0!</v>
      </c>
      <c r="Q119" s="109" t="e">
        <f t="shared" si="379"/>
        <v>#DIV/0!</v>
      </c>
      <c r="R119" s="109" t="e">
        <f t="shared" si="379"/>
        <v>#DIV/0!</v>
      </c>
      <c r="S119" s="109" t="e">
        <f t="shared" si="379"/>
        <v>#DIV/0!</v>
      </c>
      <c r="T119" s="109" t="e">
        <f t="shared" ref="T119:U119" si="380">1/T113</f>
        <v>#VALUE!</v>
      </c>
      <c r="U119" s="109" t="e">
        <f t="shared" si="380"/>
        <v>#DIV/0!</v>
      </c>
      <c r="V119" s="101" t="e">
        <f t="shared" si="182"/>
        <v>#DIV/0!</v>
      </c>
      <c r="W119" s="10"/>
      <c r="X119" s="109" t="e">
        <f t="shared" ref="X119:AG119" si="381">1/X113</f>
        <v>#DIV/0!</v>
      </c>
      <c r="Y119" s="109" t="e">
        <f t="shared" si="381"/>
        <v>#DIV/0!</v>
      </c>
      <c r="Z119" s="109" t="e">
        <f t="shared" si="381"/>
        <v>#DIV/0!</v>
      </c>
      <c r="AA119" s="109" t="e">
        <f t="shared" si="381"/>
        <v>#DIV/0!</v>
      </c>
      <c r="AB119" s="109" t="e">
        <f t="shared" si="381"/>
        <v>#DIV/0!</v>
      </c>
      <c r="AC119" s="109" t="e">
        <f t="shared" si="381"/>
        <v>#DIV/0!</v>
      </c>
      <c r="AD119" s="109" t="e">
        <f t="shared" si="381"/>
        <v>#DIV/0!</v>
      </c>
      <c r="AE119" s="109" t="e">
        <f t="shared" si="381"/>
        <v>#DIV/0!</v>
      </c>
      <c r="AF119" s="109" t="e">
        <f t="shared" si="381"/>
        <v>#DIV/0!</v>
      </c>
      <c r="AG119" s="109" t="e">
        <f t="shared" si="381"/>
        <v>#DIV/0!</v>
      </c>
      <c r="AH119" s="116" t="e">
        <f t="shared" si="315"/>
        <v>#DIV/0!</v>
      </c>
      <c r="AI119" s="124"/>
      <c r="AJ119" s="124"/>
    </row>
    <row r="120" spans="1:36" ht="12" customHeight="1" x14ac:dyDescent="0.2">
      <c r="B120" s="10" t="s">
        <v>349</v>
      </c>
      <c r="C120" s="129"/>
      <c r="D120" s="129"/>
      <c r="E120" s="129"/>
      <c r="F120" s="109"/>
      <c r="G120" s="109">
        <f t="shared" ref="G120" si="382">1/G114</f>
        <v>-0.33333333333333331</v>
      </c>
      <c r="H120" s="109">
        <f t="shared" ref="H120:I120" si="383">1/H114</f>
        <v>-0.33333333333333331</v>
      </c>
      <c r="I120" s="109">
        <f t="shared" si="383"/>
        <v>0.52380952380952384</v>
      </c>
      <c r="J120" s="109">
        <f t="shared" si="379"/>
        <v>0.22596153846153846</v>
      </c>
      <c r="K120" s="109">
        <f t="shared" si="379"/>
        <v>0.20533880903490759</v>
      </c>
      <c r="L120" s="109">
        <f t="shared" si="379"/>
        <v>0.20375335120643431</v>
      </c>
      <c r="M120" s="109">
        <f t="shared" si="379"/>
        <v>0.30234029095509174</v>
      </c>
      <c r="N120" s="109">
        <f t="shared" si="379"/>
        <v>0.26020042949176808</v>
      </c>
      <c r="O120" s="109">
        <f t="shared" si="379"/>
        <v>0.20827115753570669</v>
      </c>
      <c r="P120" s="109">
        <f t="shared" si="379"/>
        <v>0.2139917695473251</v>
      </c>
      <c r="Q120" s="109">
        <f t="shared" si="379"/>
        <v>0.22174810736407433</v>
      </c>
      <c r="R120" s="109">
        <f t="shared" si="379"/>
        <v>0.24706173450451563</v>
      </c>
      <c r="S120" s="109">
        <f t="shared" si="379"/>
        <v>0.28209704406023423</v>
      </c>
      <c r="T120" s="109">
        <f t="shared" ref="T120:U120" si="384">1/T114</f>
        <v>0.31429732941985761</v>
      </c>
      <c r="U120" s="109">
        <f t="shared" si="384"/>
        <v>0.33785617367706922</v>
      </c>
      <c r="V120" s="101" t="e">
        <f t="shared" si="182"/>
        <v>#NUM!</v>
      </c>
      <c r="W120" s="10"/>
      <c r="X120" s="109">
        <f t="shared" ref="X120:AG120" si="385">1/X114</f>
        <v>0.33785617367706922</v>
      </c>
      <c r="Y120" s="109">
        <f t="shared" si="385"/>
        <v>0.33785617367706922</v>
      </c>
      <c r="Z120" s="109">
        <f t="shared" si="385"/>
        <v>0.33785617367706922</v>
      </c>
      <c r="AA120" s="109">
        <f t="shared" si="385"/>
        <v>0.33785617367706922</v>
      </c>
      <c r="AB120" s="109">
        <f t="shared" si="385"/>
        <v>0.33785617367706927</v>
      </c>
      <c r="AC120" s="109">
        <f t="shared" si="385"/>
        <v>0.33785617367706922</v>
      </c>
      <c r="AD120" s="109">
        <f t="shared" si="385"/>
        <v>0.33785617367706927</v>
      </c>
      <c r="AE120" s="109">
        <f t="shared" si="385"/>
        <v>0.33785617367706927</v>
      </c>
      <c r="AF120" s="109">
        <f t="shared" si="385"/>
        <v>0.33785617367706927</v>
      </c>
      <c r="AG120" s="109">
        <f t="shared" si="385"/>
        <v>0.33785617367706933</v>
      </c>
      <c r="AH120" s="116">
        <f t="shared" si="315"/>
        <v>1.7643203318929324E-2</v>
      </c>
      <c r="AI120" s="124"/>
      <c r="AJ120" s="124"/>
    </row>
    <row r="121" spans="1:36" ht="12" customHeight="1" x14ac:dyDescent="0.2">
      <c r="B121" s="10" t="s">
        <v>350</v>
      </c>
      <c r="C121" s="129"/>
      <c r="D121" s="129"/>
      <c r="E121" s="129"/>
      <c r="F121" s="109"/>
      <c r="G121" s="109" t="e">
        <f t="shared" ref="G121" si="386">1/G115</f>
        <v>#DIV/0!</v>
      </c>
      <c r="H121" s="109" t="e">
        <f t="shared" ref="H121:I121" si="387">1/H115</f>
        <v>#DIV/0!</v>
      </c>
      <c r="I121" s="109" t="e">
        <f t="shared" si="387"/>
        <v>#DIV/0!</v>
      </c>
      <c r="J121" s="109" t="e">
        <f t="shared" si="379"/>
        <v>#DIV/0!</v>
      </c>
      <c r="K121" s="109" t="e">
        <f t="shared" si="379"/>
        <v>#DIV/0!</v>
      </c>
      <c r="L121" s="109" t="e">
        <f t="shared" si="379"/>
        <v>#DIV/0!</v>
      </c>
      <c r="M121" s="109" t="e">
        <f t="shared" si="379"/>
        <v>#DIV/0!</v>
      </c>
      <c r="N121" s="109" t="e">
        <f t="shared" si="379"/>
        <v>#DIV/0!</v>
      </c>
      <c r="O121" s="109" t="e">
        <f t="shared" si="379"/>
        <v>#DIV/0!</v>
      </c>
      <c r="P121" s="109" t="e">
        <f t="shared" si="379"/>
        <v>#DIV/0!</v>
      </c>
      <c r="Q121" s="109" t="e">
        <f t="shared" si="379"/>
        <v>#DIV/0!</v>
      </c>
      <c r="R121" s="109" t="e">
        <f t="shared" si="379"/>
        <v>#DIV/0!</v>
      </c>
      <c r="S121" s="109" t="e">
        <f t="shared" si="379"/>
        <v>#DIV/0!</v>
      </c>
      <c r="T121" s="109" t="e">
        <f t="shared" ref="T121:U121" si="388">1/T115</f>
        <v>#VALUE!</v>
      </c>
      <c r="U121" s="109" t="e">
        <f t="shared" si="388"/>
        <v>#DIV/0!</v>
      </c>
      <c r="V121" s="101" t="e">
        <f t="shared" si="182"/>
        <v>#DIV/0!</v>
      </c>
      <c r="W121" s="10"/>
      <c r="X121" s="109" t="e">
        <f t="shared" ref="X121:AG121" si="389">1/X115</f>
        <v>#DIV/0!</v>
      </c>
      <c r="Y121" s="109" t="e">
        <f t="shared" si="389"/>
        <v>#DIV/0!</v>
      </c>
      <c r="Z121" s="109" t="e">
        <f t="shared" si="389"/>
        <v>#DIV/0!</v>
      </c>
      <c r="AA121" s="109" t="e">
        <f t="shared" si="389"/>
        <v>#DIV/0!</v>
      </c>
      <c r="AB121" s="109" t="e">
        <f t="shared" si="389"/>
        <v>#DIV/0!</v>
      </c>
      <c r="AC121" s="109" t="e">
        <f t="shared" si="389"/>
        <v>#DIV/0!</v>
      </c>
      <c r="AD121" s="109" t="e">
        <f t="shared" si="389"/>
        <v>#DIV/0!</v>
      </c>
      <c r="AE121" s="109" t="e">
        <f t="shared" si="389"/>
        <v>#DIV/0!</v>
      </c>
      <c r="AF121" s="109" t="e">
        <f t="shared" si="389"/>
        <v>#DIV/0!</v>
      </c>
      <c r="AG121" s="109" t="e">
        <f t="shared" si="389"/>
        <v>#DIV/0!</v>
      </c>
      <c r="AH121" s="116" t="e">
        <f t="shared" si="315"/>
        <v>#DIV/0!</v>
      </c>
      <c r="AI121" s="124"/>
      <c r="AJ121" s="124"/>
    </row>
    <row r="122" spans="1:36" ht="12" customHeight="1" x14ac:dyDescent="0.2">
      <c r="B122" s="10" t="s">
        <v>351</v>
      </c>
      <c r="C122" s="129"/>
      <c r="D122" s="129"/>
      <c r="E122" s="129"/>
      <c r="F122" s="109"/>
      <c r="G122" s="109">
        <f t="shared" ref="G122" si="390">1/G116</f>
        <v>4.416666666666667</v>
      </c>
      <c r="H122" s="109">
        <f t="shared" ref="H122:I122" si="391">1/H116</f>
        <v>4.416666666666667</v>
      </c>
      <c r="I122" s="109">
        <f t="shared" si="391"/>
        <v>2.0571428571428574</v>
      </c>
      <c r="J122" s="109">
        <f t="shared" si="379"/>
        <v>3.1057692307692308</v>
      </c>
      <c r="K122" s="109">
        <f t="shared" si="379"/>
        <v>1.6704312114989732</v>
      </c>
      <c r="L122" s="109">
        <f t="shared" si="379"/>
        <v>1.2882037533512065</v>
      </c>
      <c r="M122" s="109">
        <f t="shared" si="379"/>
        <v>1.6907020872865275</v>
      </c>
      <c r="N122" s="109">
        <f t="shared" si="379"/>
        <v>1.2508947745168217</v>
      </c>
      <c r="O122" s="109">
        <f t="shared" si="379"/>
        <v>0.76422937539970159</v>
      </c>
      <c r="P122" s="109">
        <f t="shared" si="379"/>
        <v>0.66913580246913584</v>
      </c>
      <c r="Q122" s="109">
        <f t="shared" si="379"/>
        <v>0.81087405368203724</v>
      </c>
      <c r="R122" s="109">
        <f t="shared" si="379"/>
        <v>0.93492515155264133</v>
      </c>
      <c r="S122" s="109">
        <f t="shared" si="379"/>
        <v>0.91667596207473512</v>
      </c>
      <c r="T122" s="109">
        <f t="shared" ref="T122:U122" si="392">1/T116</f>
        <v>1.0662935125577211</v>
      </c>
      <c r="U122" s="109">
        <f t="shared" si="392"/>
        <v>0.41376007662223641</v>
      </c>
      <c r="V122" s="101">
        <f t="shared" si="182"/>
        <v>-0.15560294211764714</v>
      </c>
      <c r="W122" s="10"/>
      <c r="X122" s="109">
        <f t="shared" ref="X122:AG122" si="393">1/X116</f>
        <v>0.41376007662223641</v>
      </c>
      <c r="Y122" s="109">
        <f t="shared" si="393"/>
        <v>0.41376007662223641</v>
      </c>
      <c r="Z122" s="109">
        <f t="shared" si="393"/>
        <v>0.41376007662223641</v>
      </c>
      <c r="AA122" s="109">
        <f t="shared" si="393"/>
        <v>0.41376007662223641</v>
      </c>
      <c r="AB122" s="109">
        <f t="shared" si="393"/>
        <v>0.41376007662223646</v>
      </c>
      <c r="AC122" s="109">
        <f t="shared" si="393"/>
        <v>0.41376007662223646</v>
      </c>
      <c r="AD122" s="109">
        <f t="shared" si="393"/>
        <v>0.41376007662223646</v>
      </c>
      <c r="AE122" s="109">
        <f t="shared" si="393"/>
        <v>0.41376007662223646</v>
      </c>
      <c r="AF122" s="109">
        <f t="shared" si="393"/>
        <v>0.41376007662223646</v>
      </c>
      <c r="AG122" s="109">
        <f t="shared" si="393"/>
        <v>0.41376007662223646</v>
      </c>
      <c r="AH122" s="116">
        <f t="shared" si="315"/>
        <v>-8.3909805132808879E-2</v>
      </c>
      <c r="AI122" s="124"/>
      <c r="AJ122" s="124"/>
    </row>
    <row r="123" spans="1:36" ht="12" customHeight="1" x14ac:dyDescent="0.2">
      <c r="B123" s="10"/>
      <c r="C123" s="129"/>
      <c r="D123" s="129"/>
      <c r="E123" s="129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22"/>
      <c r="V123" s="10"/>
      <c r="W123" s="10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4"/>
      <c r="AJ123" s="124"/>
    </row>
    <row r="124" spans="1:36" ht="12" customHeight="1" x14ac:dyDescent="0.2">
      <c r="A124" s="301" t="s">
        <v>422</v>
      </c>
      <c r="B124" s="178" t="s">
        <v>429</v>
      </c>
      <c r="C124" s="129"/>
      <c r="D124" s="129"/>
      <c r="E124" s="129"/>
      <c r="F124" s="147"/>
      <c r="G124" s="147">
        <f t="shared" ref="G124" si="394">G25/(G36+G38)</f>
        <v>8.869179600886918E-3</v>
      </c>
      <c r="H124" s="147">
        <f t="shared" ref="H124:I124" si="395">H25/(H36+H38)</f>
        <v>8.869179600886918E-3</v>
      </c>
      <c r="I124" s="147">
        <f t="shared" si="395"/>
        <v>3.0104166666666668E-2</v>
      </c>
      <c r="J124" s="147">
        <f t="shared" ref="J124:T124" si="396">J25/(J36+J38)</f>
        <v>3.5216303181980692E-2</v>
      </c>
      <c r="K124" s="147">
        <f t="shared" si="396"/>
        <v>4.8866793390846618E-2</v>
      </c>
      <c r="L124" s="147">
        <f t="shared" si="396"/>
        <v>6.5042819411466529E-2</v>
      </c>
      <c r="M124" s="147">
        <f t="shared" si="396"/>
        <v>9.3352775224268547E-2</v>
      </c>
      <c r="N124" s="147">
        <f t="shared" si="396"/>
        <v>8.8641027589876117E-2</v>
      </c>
      <c r="O124" s="147">
        <f t="shared" si="396"/>
        <v>0.11316284139194718</v>
      </c>
      <c r="P124" s="147">
        <f t="shared" si="396"/>
        <v>0.10868600430146683</v>
      </c>
      <c r="Q124" s="147">
        <f t="shared" si="396"/>
        <v>0.12252633342407807</v>
      </c>
      <c r="R124" s="147">
        <f t="shared" si="396"/>
        <v>0.11602685341375726</v>
      </c>
      <c r="S124" s="147">
        <f t="shared" si="396"/>
        <v>0.11343312732802277</v>
      </c>
      <c r="T124" s="147">
        <f t="shared" si="396"/>
        <v>0.11375321690923218</v>
      </c>
      <c r="U124" s="147">
        <f t="shared" ref="U124" si="397">U25/(U36+U38)</f>
        <v>9.2766593719265003E-2</v>
      </c>
      <c r="V124" s="101">
        <f t="shared" si="182"/>
        <v>0.18255680473972591</v>
      </c>
      <c r="W124" s="10"/>
      <c r="X124" s="147">
        <f t="shared" ref="X124:AG124" si="398">X25/(X36+X38)</f>
        <v>9.2766593719265017E-2</v>
      </c>
      <c r="Y124" s="147">
        <f t="shared" si="398"/>
        <v>9.2766593719265003E-2</v>
      </c>
      <c r="Z124" s="147">
        <f t="shared" si="398"/>
        <v>9.2766593719265003E-2</v>
      </c>
      <c r="AA124" s="147">
        <f t="shared" si="398"/>
        <v>9.2766593719265003E-2</v>
      </c>
      <c r="AB124" s="147">
        <f t="shared" si="398"/>
        <v>9.2766593719265017E-2</v>
      </c>
      <c r="AC124" s="147">
        <f t="shared" si="398"/>
        <v>9.2766593719265017E-2</v>
      </c>
      <c r="AD124" s="147">
        <f t="shared" si="398"/>
        <v>9.2766593719265031E-2</v>
      </c>
      <c r="AE124" s="147">
        <f t="shared" si="398"/>
        <v>9.2766593719265017E-2</v>
      </c>
      <c r="AF124" s="147">
        <f t="shared" si="398"/>
        <v>9.2766593719265003E-2</v>
      </c>
      <c r="AG124" s="147">
        <f t="shared" si="398"/>
        <v>9.2766593719265003E-2</v>
      </c>
      <c r="AH124" s="116">
        <f t="shared" ref="AH124:AH132" si="399">((AG124/J124)^(1/($AG$3-$K$1) ))-1</f>
        <v>4.3011355661872974E-2</v>
      </c>
      <c r="AI124" s="124"/>
      <c r="AJ124" s="124"/>
    </row>
    <row r="125" spans="1:36" ht="12" customHeight="1" x14ac:dyDescent="0.2">
      <c r="A125" s="301"/>
      <c r="B125" s="178" t="s">
        <v>424</v>
      </c>
      <c r="C125" s="129"/>
      <c r="D125" s="129"/>
      <c r="E125" s="129"/>
      <c r="F125" s="147"/>
      <c r="G125" s="147">
        <f t="shared" ref="G125" si="400">G25/G43</f>
        <v>2.1628441400441583E-3</v>
      </c>
      <c r="H125" s="147">
        <f t="shared" ref="H125:I125" si="401">H25/H43</f>
        <v>2.1628441400441583E-3</v>
      </c>
      <c r="I125" s="147">
        <f t="shared" si="401"/>
        <v>8.4102086546576256E-3</v>
      </c>
      <c r="J125" s="147">
        <f t="shared" ref="J125:T125" si="402">J25/J43</f>
        <v>2.0743392650310624E-2</v>
      </c>
      <c r="K125" s="147">
        <f t="shared" si="402"/>
        <v>3.5553947956339496E-2</v>
      </c>
      <c r="L125" s="147">
        <f t="shared" si="402"/>
        <v>4.3823698590739146E-2</v>
      </c>
      <c r="M125" s="147">
        <f t="shared" si="402"/>
        <v>0.13269949984229262</v>
      </c>
      <c r="N125" s="147">
        <f t="shared" si="402"/>
        <v>0.13575648226289905</v>
      </c>
      <c r="O125" s="147">
        <f t="shared" si="402"/>
        <v>0.18858586922185955</v>
      </c>
      <c r="P125" s="147">
        <f t="shared" si="402"/>
        <v>0.2032170897253133</v>
      </c>
      <c r="Q125" s="147">
        <f t="shared" si="402"/>
        <v>0.2103465631291343</v>
      </c>
      <c r="R125" s="147">
        <f t="shared" si="402"/>
        <v>0.18026711141113713</v>
      </c>
      <c r="S125" s="147">
        <f t="shared" si="402"/>
        <v>0.1655856387907422</v>
      </c>
      <c r="T125" s="147">
        <f t="shared" si="402"/>
        <v>0.15606821213663599</v>
      </c>
      <c r="U125" s="147">
        <f t="shared" ref="U125" si="403">U25/U43</f>
        <v>0.12559577039868711</v>
      </c>
      <c r="V125" s="101">
        <f t="shared" si="182"/>
        <v>0.33658447890877552</v>
      </c>
      <c r="W125" s="10"/>
      <c r="X125" s="147">
        <f t="shared" ref="X125:AG125" si="404">X25/X43</f>
        <v>0.12559577039868711</v>
      </c>
      <c r="Y125" s="147">
        <f t="shared" si="404"/>
        <v>0.12559577039868711</v>
      </c>
      <c r="Z125" s="147">
        <f t="shared" si="404"/>
        <v>0.12559577039868711</v>
      </c>
      <c r="AA125" s="147">
        <f t="shared" si="404"/>
        <v>0.12559577039868711</v>
      </c>
      <c r="AB125" s="147">
        <f t="shared" si="404"/>
        <v>0.12559577039868711</v>
      </c>
      <c r="AC125" s="147">
        <f t="shared" si="404"/>
        <v>0.12559577039868711</v>
      </c>
      <c r="AD125" s="147">
        <f t="shared" si="404"/>
        <v>0.12559577039868711</v>
      </c>
      <c r="AE125" s="147">
        <f t="shared" si="404"/>
        <v>0.12559577039868711</v>
      </c>
      <c r="AF125" s="147">
        <f t="shared" si="404"/>
        <v>0.12559577039868708</v>
      </c>
      <c r="AG125" s="147">
        <f t="shared" si="404"/>
        <v>0.12559577039868708</v>
      </c>
      <c r="AH125" s="116">
        <f t="shared" si="399"/>
        <v>8.144426099071933E-2</v>
      </c>
      <c r="AI125" s="124"/>
      <c r="AJ125" s="124"/>
    </row>
    <row r="126" spans="1:36" ht="12" customHeight="1" x14ac:dyDescent="0.2">
      <c r="A126" s="301"/>
      <c r="B126" s="178" t="s">
        <v>430</v>
      </c>
      <c r="C126" s="129"/>
      <c r="D126" s="129"/>
      <c r="E126" s="129"/>
      <c r="F126" s="147"/>
      <c r="G126" s="147">
        <f t="shared" ref="G126" si="405">G43/(G36)</f>
        <v>33.473604826546001</v>
      </c>
      <c r="H126" s="147">
        <f t="shared" ref="H126:I126" si="406">H43/(H36)</f>
        <v>33.473604826546001</v>
      </c>
      <c r="I126" s="147">
        <f t="shared" si="406"/>
        <v>11.808591065292097</v>
      </c>
      <c r="J126" s="147">
        <f t="shared" ref="J126:T126" si="407">J43/(J36)</f>
        <v>4.6214111922141123</v>
      </c>
      <c r="K126" s="147">
        <f t="shared" si="407"/>
        <v>3.540947788744067</v>
      </c>
      <c r="L126" s="147">
        <f t="shared" si="407"/>
        <v>3.4406580493537016</v>
      </c>
      <c r="M126" s="147">
        <f t="shared" si="407"/>
        <v>0.82815881782222556</v>
      </c>
      <c r="N126" s="147">
        <f t="shared" si="407"/>
        <v>0.74802995341547307</v>
      </c>
      <c r="O126" s="147">
        <f t="shared" si="407"/>
        <v>0.77288356289800819</v>
      </c>
      <c r="P126" s="147">
        <f t="shared" si="407"/>
        <v>0.70194907027107756</v>
      </c>
      <c r="Q126" s="147">
        <f t="shared" si="407"/>
        <v>0.7498382574940694</v>
      </c>
      <c r="R126" s="147">
        <f t="shared" si="407"/>
        <v>0.82876982821036005</v>
      </c>
      <c r="S126" s="147">
        <f t="shared" si="407"/>
        <v>0.87918964405929956</v>
      </c>
      <c r="T126" s="147">
        <f t="shared" si="407"/>
        <v>0.92583968583968579</v>
      </c>
      <c r="U126" s="147">
        <f t="shared" ref="U126" si="408">U43/(U36)</f>
        <v>1.0143036561540608</v>
      </c>
      <c r="V126" s="101">
        <f t="shared" si="182"/>
        <v>-0.22100754653017207</v>
      </c>
      <c r="W126" s="10"/>
      <c r="X126" s="147">
        <f t="shared" ref="X126:AG126" si="409">X43/(X36+X38)</f>
        <v>0.73861240250997129</v>
      </c>
      <c r="Y126" s="147">
        <f t="shared" si="409"/>
        <v>0.73861240250997118</v>
      </c>
      <c r="Z126" s="147">
        <f t="shared" si="409"/>
        <v>0.73861240250997118</v>
      </c>
      <c r="AA126" s="147">
        <f t="shared" si="409"/>
        <v>0.73861240250997118</v>
      </c>
      <c r="AB126" s="147">
        <f t="shared" si="409"/>
        <v>0.73861240250997118</v>
      </c>
      <c r="AC126" s="147">
        <f t="shared" si="409"/>
        <v>0.73861240250997118</v>
      </c>
      <c r="AD126" s="147">
        <f t="shared" si="409"/>
        <v>0.7386124025099714</v>
      </c>
      <c r="AE126" s="147">
        <f t="shared" si="409"/>
        <v>0.7386124025099714</v>
      </c>
      <c r="AF126" s="147">
        <f t="shared" si="409"/>
        <v>0.73861240250997129</v>
      </c>
      <c r="AG126" s="147">
        <f t="shared" si="409"/>
        <v>0.7386124025099714</v>
      </c>
      <c r="AH126" s="116">
        <f t="shared" si="399"/>
        <v>-7.6630046593340606E-2</v>
      </c>
      <c r="AI126" s="124"/>
      <c r="AJ126" s="124"/>
    </row>
    <row r="127" spans="1:36" ht="12" customHeight="1" x14ac:dyDescent="0.2">
      <c r="A127" s="301"/>
      <c r="B127" s="178" t="s">
        <v>428</v>
      </c>
      <c r="C127" s="129"/>
      <c r="D127" s="129"/>
      <c r="E127" s="129"/>
      <c r="F127" s="147"/>
      <c r="G127" s="147">
        <f t="shared" ref="G127" si="410">G43/G38</f>
        <v>4.6731943567066754</v>
      </c>
      <c r="H127" s="147">
        <f t="shared" ref="H127:I127" si="411">H43/H38</f>
        <v>4.6731943567066754</v>
      </c>
      <c r="I127" s="147">
        <f t="shared" si="411"/>
        <v>5.1364723467862481</v>
      </c>
      <c r="J127" s="147">
        <f t="shared" ref="J127:T127" si="412">J43/J38</f>
        <v>2.6835264198926252</v>
      </c>
      <c r="K127" s="147">
        <f t="shared" si="412"/>
        <v>2.24639135837874</v>
      </c>
      <c r="L127" s="147">
        <f t="shared" si="412"/>
        <v>2.6101154170967438</v>
      </c>
      <c r="M127" s="147">
        <f t="shared" si="412"/>
        <v>4.6731943567066754</v>
      </c>
      <c r="N127" s="147">
        <f t="shared" si="412"/>
        <v>5.1364723467862481</v>
      </c>
      <c r="O127" s="147">
        <f t="shared" si="412"/>
        <v>2.6835264198926252</v>
      </c>
      <c r="P127" s="147">
        <f t="shared" si="412"/>
        <v>2.24639135837874</v>
      </c>
      <c r="Q127" s="147">
        <f t="shared" si="412"/>
        <v>2.6101154170967438</v>
      </c>
      <c r="R127" s="147">
        <f t="shared" si="412"/>
        <v>2.8813501144164761</v>
      </c>
      <c r="S127" s="147">
        <f t="shared" si="412"/>
        <v>3.1021858613936444</v>
      </c>
      <c r="T127" s="147">
        <f t="shared" si="412"/>
        <v>3.4259617676008909</v>
      </c>
      <c r="U127" s="147">
        <f t="shared" ref="U127" si="413">U43/U38</f>
        <v>2.7174502289933637</v>
      </c>
      <c r="V127" s="101">
        <f t="shared" si="182"/>
        <v>-3.7984692602648806E-2</v>
      </c>
      <c r="W127" s="10"/>
      <c r="X127" s="147">
        <f t="shared" ref="X127:AG127" si="414">X43/X38</f>
        <v>2.7174502289933637</v>
      </c>
      <c r="Y127" s="147">
        <f t="shared" si="414"/>
        <v>2.7174502289933633</v>
      </c>
      <c r="Z127" s="147">
        <f t="shared" si="414"/>
        <v>2.7174502289933633</v>
      </c>
      <c r="AA127" s="147">
        <f t="shared" si="414"/>
        <v>2.7174502289933637</v>
      </c>
      <c r="AB127" s="147">
        <f t="shared" si="414"/>
        <v>2.7174502289933633</v>
      </c>
      <c r="AC127" s="147">
        <f t="shared" si="414"/>
        <v>2.7174502289933633</v>
      </c>
      <c r="AD127" s="147">
        <f t="shared" si="414"/>
        <v>2.7174502289933637</v>
      </c>
      <c r="AE127" s="147">
        <f t="shared" si="414"/>
        <v>2.7174502289933637</v>
      </c>
      <c r="AF127" s="147">
        <f t="shared" si="414"/>
        <v>2.7174502289933642</v>
      </c>
      <c r="AG127" s="147">
        <f t="shared" si="414"/>
        <v>2.7174502289933642</v>
      </c>
      <c r="AH127" s="116">
        <f t="shared" si="399"/>
        <v>5.4633470604370515E-4</v>
      </c>
      <c r="AI127" s="124"/>
      <c r="AJ127" s="124"/>
    </row>
    <row r="128" spans="1:36" ht="12" customHeight="1" x14ac:dyDescent="0.2">
      <c r="A128" s="301"/>
      <c r="B128" s="178" t="s">
        <v>427</v>
      </c>
      <c r="C128" s="129"/>
      <c r="D128" s="129"/>
      <c r="E128" s="129"/>
      <c r="F128" s="147"/>
      <c r="G128" s="147">
        <f t="shared" ref="G128" si="415">G43/(G36+G38)</f>
        <v>4.1007021433850701</v>
      </c>
      <c r="H128" s="147">
        <f t="shared" ref="H128:I128" si="416">H43/(H36+H38)</f>
        <v>4.1007021433850701</v>
      </c>
      <c r="I128" s="147">
        <f t="shared" si="416"/>
        <v>3.5794791666666668</v>
      </c>
      <c r="J128" s="147">
        <f t="shared" ref="J128:T128" si="417">J43/(J36+J38)</f>
        <v>1.6977118341079729</v>
      </c>
      <c r="K128" s="147">
        <f t="shared" si="417"/>
        <v>1.374440707705805</v>
      </c>
      <c r="L128" s="147">
        <f t="shared" si="417"/>
        <v>1.4841928340847852</v>
      </c>
      <c r="M128" s="147">
        <f t="shared" si="417"/>
        <v>0.70349003074777317</v>
      </c>
      <c r="N128" s="147">
        <f t="shared" si="417"/>
        <v>0.65294140001520107</v>
      </c>
      <c r="O128" s="147">
        <f t="shared" si="417"/>
        <v>0.60006002495774557</v>
      </c>
      <c r="P128" s="147">
        <f t="shared" si="417"/>
        <v>0.53482708786144273</v>
      </c>
      <c r="Q128" s="147">
        <f t="shared" si="417"/>
        <v>0.58249743471614346</v>
      </c>
      <c r="R128" s="147">
        <f t="shared" si="417"/>
        <v>0.6436385012523641</v>
      </c>
      <c r="S128" s="147">
        <f t="shared" si="417"/>
        <v>0.68504206135517087</v>
      </c>
      <c r="T128" s="147">
        <f t="shared" si="417"/>
        <v>0.72886858478036842</v>
      </c>
      <c r="U128" s="147">
        <f t="shared" ref="U128" si="418">U43/(U36+U38)</f>
        <v>0.73861240250997129</v>
      </c>
      <c r="V128" s="101">
        <f t="shared" si="182"/>
        <v>-0.11523975970063782</v>
      </c>
      <c r="W128" s="10"/>
      <c r="X128" s="147">
        <f t="shared" ref="X128:AG128" si="419">X43/(X36+X38)</f>
        <v>0.73861240250997129</v>
      </c>
      <c r="Y128" s="147">
        <f t="shared" si="419"/>
        <v>0.73861240250997118</v>
      </c>
      <c r="Z128" s="147">
        <f t="shared" si="419"/>
        <v>0.73861240250997118</v>
      </c>
      <c r="AA128" s="147">
        <f t="shared" si="419"/>
        <v>0.73861240250997118</v>
      </c>
      <c r="AB128" s="147">
        <f t="shared" si="419"/>
        <v>0.73861240250997118</v>
      </c>
      <c r="AC128" s="147">
        <f t="shared" si="419"/>
        <v>0.73861240250997118</v>
      </c>
      <c r="AD128" s="147">
        <f t="shared" si="419"/>
        <v>0.7386124025099714</v>
      </c>
      <c r="AE128" s="147">
        <f t="shared" si="419"/>
        <v>0.7386124025099714</v>
      </c>
      <c r="AF128" s="147">
        <f t="shared" si="419"/>
        <v>0.73861240250997129</v>
      </c>
      <c r="AG128" s="147">
        <f t="shared" si="419"/>
        <v>0.7386124025099714</v>
      </c>
      <c r="AH128" s="116">
        <f>((AG128/J128)^(1/($AG$3-$K$1) ))-1</f>
        <v>-3.5538498575634181E-2</v>
      </c>
      <c r="AI128" s="124"/>
      <c r="AJ128" s="124"/>
    </row>
    <row r="129" spans="1:36" ht="12" customHeight="1" x14ac:dyDescent="0.2">
      <c r="A129" s="301"/>
      <c r="B129" s="178" t="s">
        <v>433</v>
      </c>
      <c r="C129" s="129"/>
      <c r="D129" s="129"/>
      <c r="E129" s="129"/>
      <c r="F129" s="147"/>
      <c r="G129" s="147">
        <f t="shared" ref="G129" si="420">G47/G25</f>
        <v>0.375</v>
      </c>
      <c r="H129" s="147">
        <f t="shared" ref="H129:I129" si="421">H47/H25</f>
        <v>0.375</v>
      </c>
      <c r="I129" s="147">
        <f t="shared" si="421"/>
        <v>0.34602076124567471</v>
      </c>
      <c r="J129" s="147">
        <f t="shared" ref="J129:T129" si="422">J47/J25</f>
        <v>0.25380710659898476</v>
      </c>
      <c r="K129" s="147">
        <f t="shared" si="422"/>
        <v>0.21543985637342908</v>
      </c>
      <c r="L129" s="147">
        <f t="shared" si="422"/>
        <v>0.17842493847415913</v>
      </c>
      <c r="M129" s="147">
        <f t="shared" si="422"/>
        <v>0.19524617996604415</v>
      </c>
      <c r="N129" s="147">
        <f t="shared" si="422"/>
        <v>0.13354769560557342</v>
      </c>
      <c r="O129" s="147">
        <f t="shared" si="422"/>
        <v>0.11962590731434952</v>
      </c>
      <c r="P129" s="147">
        <f t="shared" si="422"/>
        <v>0.13160925557533243</v>
      </c>
      <c r="Q129" s="147">
        <f t="shared" si="422"/>
        <v>0.14706887711502306</v>
      </c>
      <c r="R129" s="147">
        <f t="shared" si="422"/>
        <v>0.15030472134517953</v>
      </c>
      <c r="S129" s="147">
        <f t="shared" si="422"/>
        <v>0.16781453695732382</v>
      </c>
      <c r="T129" s="147">
        <f t="shared" si="422"/>
        <v>0.20433097568065112</v>
      </c>
      <c r="U129" s="147">
        <f t="shared" ref="U129" si="423">U47/U25</f>
        <v>0.20707327569343922</v>
      </c>
      <c r="V129" s="101">
        <f t="shared" si="182"/>
        <v>-4.1531032683499225E-2</v>
      </c>
      <c r="W129" s="10"/>
      <c r="X129" s="147">
        <f t="shared" ref="X129:AG129" si="424">X47/X25</f>
        <v>0.20707327569343922</v>
      </c>
      <c r="Y129" s="147">
        <f t="shared" si="424"/>
        <v>0.20707327569343925</v>
      </c>
      <c r="Z129" s="147">
        <f t="shared" si="424"/>
        <v>0.20707327569343925</v>
      </c>
      <c r="AA129" s="147">
        <f t="shared" si="424"/>
        <v>0.20707327569343925</v>
      </c>
      <c r="AB129" s="147">
        <f t="shared" si="424"/>
        <v>0.20707327569343925</v>
      </c>
      <c r="AC129" s="147">
        <f t="shared" si="424"/>
        <v>0.20707327569343925</v>
      </c>
      <c r="AD129" s="147">
        <f t="shared" si="424"/>
        <v>0.20707327569343925</v>
      </c>
      <c r="AE129" s="147">
        <f t="shared" si="424"/>
        <v>0.20707327569343925</v>
      </c>
      <c r="AF129" s="147">
        <f t="shared" si="424"/>
        <v>0.20707327569343928</v>
      </c>
      <c r="AG129" s="147">
        <f t="shared" si="424"/>
        <v>0.20707327569343928</v>
      </c>
      <c r="AH129" s="116">
        <f>((AG129/J129)^(1/($AG$3-$K$1) ))-1</f>
        <v>-8.8088783904579637E-3</v>
      </c>
      <c r="AI129" s="124"/>
      <c r="AJ129" s="124"/>
    </row>
    <row r="130" spans="1:36" ht="12" customHeight="1" x14ac:dyDescent="0.2">
      <c r="A130" s="301"/>
      <c r="B130" s="178" t="s">
        <v>431</v>
      </c>
      <c r="C130" s="129"/>
      <c r="D130" s="129"/>
      <c r="E130" s="129"/>
      <c r="F130" s="182"/>
      <c r="G130" s="182" t="e">
        <f t="shared" ref="G130" si="425">G55/G49</f>
        <v>#DIV/0!</v>
      </c>
      <c r="H130" s="182" t="e">
        <f t="shared" ref="H130:I130" si="426">H55/H49</f>
        <v>#DIV/0!</v>
      </c>
      <c r="I130" s="182" t="e">
        <f t="shared" si="426"/>
        <v>#DIV/0!</v>
      </c>
      <c r="J130" s="182" t="e">
        <f t="shared" ref="J130:T130" si="427">J55/J49</f>
        <v>#DIV/0!</v>
      </c>
      <c r="K130" s="182" t="e">
        <f t="shared" si="427"/>
        <v>#DIV/0!</v>
      </c>
      <c r="L130" s="182" t="e">
        <f t="shared" si="427"/>
        <v>#DIV/0!</v>
      </c>
      <c r="M130" s="182" t="e">
        <f t="shared" si="427"/>
        <v>#DIV/0!</v>
      </c>
      <c r="N130" s="182" t="e">
        <f t="shared" si="427"/>
        <v>#DIV/0!</v>
      </c>
      <c r="O130" s="182" t="e">
        <f t="shared" si="427"/>
        <v>#DIV/0!</v>
      </c>
      <c r="P130" s="182" t="e">
        <f t="shared" si="427"/>
        <v>#DIV/0!</v>
      </c>
      <c r="Q130" s="182" t="e">
        <f t="shared" si="427"/>
        <v>#DIV/0!</v>
      </c>
      <c r="R130" s="182" t="e">
        <f t="shared" si="427"/>
        <v>#DIV/0!</v>
      </c>
      <c r="S130" s="182" t="e">
        <f t="shared" si="427"/>
        <v>#DIV/0!</v>
      </c>
      <c r="T130" s="182" t="e">
        <f t="shared" si="427"/>
        <v>#DIV/0!</v>
      </c>
      <c r="U130" s="182" t="e">
        <f t="shared" ref="U130" si="428">U55/U49</f>
        <v>#DIV/0!</v>
      </c>
      <c r="V130" s="101" t="e">
        <f t="shared" si="182"/>
        <v>#DIV/0!</v>
      </c>
      <c r="W130" s="10"/>
      <c r="X130" s="182" t="e">
        <f t="shared" ref="X130:AG130" si="429">X55/X49</f>
        <v>#DIV/0!</v>
      </c>
      <c r="Y130" s="182" t="e">
        <f t="shared" si="429"/>
        <v>#DIV/0!</v>
      </c>
      <c r="Z130" s="182" t="e">
        <f t="shared" si="429"/>
        <v>#DIV/0!</v>
      </c>
      <c r="AA130" s="182" t="e">
        <f t="shared" si="429"/>
        <v>#DIV/0!</v>
      </c>
      <c r="AB130" s="182" t="e">
        <f t="shared" si="429"/>
        <v>#DIV/0!</v>
      </c>
      <c r="AC130" s="182" t="e">
        <f t="shared" si="429"/>
        <v>#DIV/0!</v>
      </c>
      <c r="AD130" s="182" t="e">
        <f t="shared" si="429"/>
        <v>#DIV/0!</v>
      </c>
      <c r="AE130" s="182" t="e">
        <f t="shared" si="429"/>
        <v>#DIV/0!</v>
      </c>
      <c r="AF130" s="182" t="e">
        <f t="shared" si="429"/>
        <v>#DIV/0!</v>
      </c>
      <c r="AG130" s="182" t="e">
        <f t="shared" si="429"/>
        <v>#DIV/0!</v>
      </c>
      <c r="AH130" s="116" t="e">
        <f>((AG130/J130)^(1/($AG$3-$K$1) ))-1</f>
        <v>#DIV/0!</v>
      </c>
      <c r="AI130" s="124"/>
      <c r="AJ130" s="124"/>
    </row>
    <row r="131" spans="1:36" ht="12" customHeight="1" x14ac:dyDescent="0.2">
      <c r="A131" s="301"/>
      <c r="B131" s="178" t="s">
        <v>425</v>
      </c>
      <c r="C131" s="129"/>
      <c r="D131" s="129"/>
      <c r="E131" s="129"/>
      <c r="F131" s="147"/>
      <c r="G131" s="147">
        <f t="shared" ref="G131" si="430">G55/G43</f>
        <v>-1.802370116703465E-4</v>
      </c>
      <c r="H131" s="147">
        <f t="shared" ref="H131:I131" si="431">H55/H43</f>
        <v>-1.802370116703465E-4</v>
      </c>
      <c r="I131" s="147">
        <f t="shared" si="431"/>
        <v>1.6005587405057765E-3</v>
      </c>
      <c r="J131" s="147">
        <f t="shared" ref="J131:T131" si="432">J55/J43</f>
        <v>2.4744656207223333E-3</v>
      </c>
      <c r="K131" s="147">
        <f t="shared" si="432"/>
        <v>4.2554096895678628E-3</v>
      </c>
      <c r="L131" s="147">
        <f t="shared" si="432"/>
        <v>5.4644808743169399E-3</v>
      </c>
      <c r="M131" s="147">
        <f t="shared" si="432"/>
        <v>2.1538322894606408E-2</v>
      </c>
      <c r="N131" s="147">
        <f t="shared" si="432"/>
        <v>2.1156476442685448E-2</v>
      </c>
      <c r="O131" s="147">
        <f t="shared" si="432"/>
        <v>2.5718647994103401E-2</v>
      </c>
      <c r="P131" s="147">
        <f t="shared" si="432"/>
        <v>2.7660162982191112E-2</v>
      </c>
      <c r="Q131" s="147">
        <f t="shared" si="432"/>
        <v>2.8958153580672993E-2</v>
      </c>
      <c r="R131" s="147">
        <f t="shared" si="432"/>
        <v>2.6433175819666706E-2</v>
      </c>
      <c r="S131" s="147">
        <f t="shared" si="432"/>
        <v>2.5751204064800578E-2</v>
      </c>
      <c r="T131" s="147">
        <f t="shared" si="432"/>
        <v>2.5251945597957036E-2</v>
      </c>
      <c r="U131" s="147">
        <f t="shared" ref="U131" si="433">U55/U43</f>
        <v>2.0799143073339951E-2</v>
      </c>
      <c r="V131" s="101" t="e">
        <f t="shared" si="182"/>
        <v>#NUM!</v>
      </c>
      <c r="W131" s="10"/>
      <c r="X131" s="147">
        <f t="shared" ref="X131:AG131" si="434">X55/X43</f>
        <v>2.0799143073339951E-2</v>
      </c>
      <c r="Y131" s="147">
        <f t="shared" si="434"/>
        <v>2.0799143073339951E-2</v>
      </c>
      <c r="Z131" s="147">
        <f t="shared" si="434"/>
        <v>2.0799143073339951E-2</v>
      </c>
      <c r="AA131" s="147">
        <f t="shared" si="434"/>
        <v>2.0799143073339951E-2</v>
      </c>
      <c r="AB131" s="147">
        <f t="shared" si="434"/>
        <v>2.0799143073339955E-2</v>
      </c>
      <c r="AC131" s="147">
        <f t="shared" si="434"/>
        <v>2.0799143073339951E-2</v>
      </c>
      <c r="AD131" s="147">
        <f t="shared" si="434"/>
        <v>2.0799143073339951E-2</v>
      </c>
      <c r="AE131" s="147">
        <f t="shared" si="434"/>
        <v>2.0799143073339951E-2</v>
      </c>
      <c r="AF131" s="147">
        <f t="shared" si="434"/>
        <v>2.0799143073339951E-2</v>
      </c>
      <c r="AG131" s="147">
        <f t="shared" si="434"/>
        <v>2.0799143073339951E-2</v>
      </c>
      <c r="AH131" s="116">
        <f t="shared" si="399"/>
        <v>9.6979307714577079E-2</v>
      </c>
      <c r="AI131" s="124"/>
      <c r="AJ131" s="124"/>
    </row>
    <row r="132" spans="1:36" ht="12" customHeight="1" x14ac:dyDescent="0.2">
      <c r="A132" s="301"/>
      <c r="B132" s="178" t="s">
        <v>426</v>
      </c>
      <c r="C132" s="129"/>
      <c r="D132" s="129"/>
      <c r="E132" s="129"/>
      <c r="F132" s="147"/>
      <c r="G132" s="147">
        <f t="shared" ref="G132" si="435">G55/(G36+G38)</f>
        <v>-7.3909830007390983E-4</v>
      </c>
      <c r="H132" s="147">
        <f t="shared" ref="H132:I132" si="436">H55/(H36+H38)</f>
        <v>-7.3909830007390983E-4</v>
      </c>
      <c r="I132" s="147">
        <f t="shared" si="436"/>
        <v>5.7291666666666663E-3</v>
      </c>
      <c r="J132" s="147">
        <f t="shared" ref="J132:T132" si="437">J55/(J36+J38)</f>
        <v>4.2009295673936364E-3</v>
      </c>
      <c r="K132" s="147">
        <f t="shared" si="437"/>
        <v>5.8488083053077934E-3</v>
      </c>
      <c r="L132" s="147">
        <f t="shared" si="437"/>
        <v>8.1103433556545639E-3</v>
      </c>
      <c r="M132" s="147">
        <f t="shared" si="437"/>
        <v>1.5151995435382128E-2</v>
      </c>
      <c r="N132" s="147">
        <f t="shared" si="437"/>
        <v>1.3813939347875656E-2</v>
      </c>
      <c r="O132" s="147">
        <f t="shared" si="437"/>
        <v>1.5432732557221161E-2</v>
      </c>
      <c r="P132" s="147">
        <f t="shared" si="437"/>
        <v>1.4793404417538149E-2</v>
      </c>
      <c r="Q132" s="147">
        <f t="shared" si="437"/>
        <v>1.6868050174858124E-2</v>
      </c>
      <c r="R132" s="147">
        <f t="shared" si="437"/>
        <v>1.7013409667910512E-2</v>
      </c>
      <c r="S132" s="147">
        <f t="shared" si="437"/>
        <v>1.7640657914928644E-2</v>
      </c>
      <c r="T132" s="147">
        <f t="shared" si="437"/>
        <v>1.8405349850933797E-2</v>
      </c>
      <c r="U132" s="147">
        <f t="shared" ref="U132" si="438">U55/(U36+U38)</f>
        <v>1.5362505035548249E-2</v>
      </c>
      <c r="V132" s="101" t="e">
        <f t="shared" si="182"/>
        <v>#NUM!</v>
      </c>
      <c r="W132" s="10"/>
      <c r="X132" s="147">
        <f t="shared" ref="X132:AG132" si="439">X55/(X36+X38)</f>
        <v>1.536250503554825E-2</v>
      </c>
      <c r="Y132" s="147">
        <f t="shared" si="439"/>
        <v>1.5362505035548247E-2</v>
      </c>
      <c r="Z132" s="147">
        <f t="shared" si="439"/>
        <v>1.5362505035548249E-2</v>
      </c>
      <c r="AA132" s="147">
        <f t="shared" si="439"/>
        <v>1.5362505035548249E-2</v>
      </c>
      <c r="AB132" s="147">
        <f t="shared" si="439"/>
        <v>1.5362505035548249E-2</v>
      </c>
      <c r="AC132" s="147">
        <f t="shared" si="439"/>
        <v>1.5362505035548249E-2</v>
      </c>
      <c r="AD132" s="147">
        <f t="shared" si="439"/>
        <v>1.5362505035548252E-2</v>
      </c>
      <c r="AE132" s="147">
        <f t="shared" si="439"/>
        <v>1.536250503554825E-2</v>
      </c>
      <c r="AF132" s="147">
        <f t="shared" si="439"/>
        <v>1.536250503554825E-2</v>
      </c>
      <c r="AG132" s="147">
        <f t="shared" si="439"/>
        <v>1.536250503554825E-2</v>
      </c>
      <c r="AH132" s="116">
        <f t="shared" si="399"/>
        <v>5.799431014986256E-2</v>
      </c>
      <c r="AI132" s="124"/>
      <c r="AJ132" s="124"/>
    </row>
    <row r="133" spans="1:36" ht="12" customHeight="1" x14ac:dyDescent="0.2">
      <c r="B133" s="10"/>
      <c r="C133" s="129"/>
      <c r="D133" s="129"/>
      <c r="E133" s="129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22"/>
      <c r="V133" s="10"/>
      <c r="W133" s="10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80"/>
      <c r="AI133" s="124"/>
      <c r="AJ133" s="124"/>
    </row>
    <row r="134" spans="1:36" x14ac:dyDescent="0.2">
      <c r="B134" s="10" t="s">
        <v>271</v>
      </c>
      <c r="C134" s="129"/>
      <c r="D134" s="129"/>
      <c r="E134" s="129"/>
      <c r="F134" s="139"/>
      <c r="G134" s="139">
        <f t="shared" ref="G134" si="440">G10-(G12+G13)</f>
        <v>637</v>
      </c>
      <c r="H134" s="139">
        <f t="shared" ref="H134:I134" si="441">H10-(H12+H13)</f>
        <v>637</v>
      </c>
      <c r="I134" s="139">
        <f t="shared" si="441"/>
        <v>2025</v>
      </c>
      <c r="J134" s="139">
        <f t="shared" ref="J134:T134" si="442">J10-(J12+J13)</f>
        <v>6014</v>
      </c>
      <c r="K134" s="139">
        <f t="shared" si="442"/>
        <v>9166</v>
      </c>
      <c r="L134" s="139">
        <f t="shared" si="442"/>
        <v>11241</v>
      </c>
      <c r="M134" s="139">
        <f t="shared" si="442"/>
        <v>21338</v>
      </c>
      <c r="N134" s="139">
        <f t="shared" si="442"/>
        <v>33801</v>
      </c>
      <c r="O134" s="139">
        <f t="shared" si="442"/>
        <v>35551</v>
      </c>
      <c r="P134" s="139">
        <f t="shared" si="442"/>
        <v>44902</v>
      </c>
      <c r="Q134" s="139">
        <f t="shared" si="442"/>
        <v>54567</v>
      </c>
      <c r="R134" s="139">
        <f t="shared" si="442"/>
        <v>70809</v>
      </c>
      <c r="S134" s="139">
        <f t="shared" si="442"/>
        <v>94575</v>
      </c>
      <c r="T134" s="139" t="e">
        <f t="shared" si="442"/>
        <v>#VALUE!</v>
      </c>
      <c r="U134" s="139">
        <f t="shared" ref="U134" si="443">U10-(U12+U13)</f>
        <v>207289</v>
      </c>
      <c r="V134" s="101">
        <f t="shared" si="182"/>
        <v>0.51167967241853152</v>
      </c>
      <c r="W134" s="10"/>
      <c r="X134" s="139">
        <f t="shared" ref="X134:AG134" si="444">X10-(X12+X13)</f>
        <v>238382.34999999998</v>
      </c>
      <c r="Y134" s="139">
        <f t="shared" si="444"/>
        <v>274139.70249999996</v>
      </c>
      <c r="Z134" s="139">
        <f t="shared" si="444"/>
        <v>315260.65787499992</v>
      </c>
      <c r="AA134" s="139">
        <f t="shared" si="444"/>
        <v>362549.75655624986</v>
      </c>
      <c r="AB134" s="139">
        <f t="shared" si="444"/>
        <v>416932.22003968724</v>
      </c>
      <c r="AC134" s="139">
        <f t="shared" si="444"/>
        <v>479472.05304564029</v>
      </c>
      <c r="AD134" s="139">
        <f t="shared" si="444"/>
        <v>551392.86100248632</v>
      </c>
      <c r="AE134" s="139">
        <f t="shared" si="444"/>
        <v>634101.79015285929</v>
      </c>
      <c r="AF134" s="139">
        <f t="shared" si="444"/>
        <v>729217.05867578811</v>
      </c>
      <c r="AG134" s="139">
        <f t="shared" si="444"/>
        <v>838599.61747715622</v>
      </c>
      <c r="AH134" s="116">
        <f t="shared" si="315"/>
        <v>0.23946538214755897</v>
      </c>
      <c r="AI134" s="124"/>
      <c r="AJ134" s="124"/>
    </row>
    <row r="135" spans="1:36" ht="12" customHeight="1" x14ac:dyDescent="0.2">
      <c r="B135" s="10" t="s">
        <v>266</v>
      </c>
      <c r="C135" s="10"/>
      <c r="D135" s="10"/>
      <c r="E135" s="10"/>
      <c r="F135" s="129"/>
      <c r="G135" s="129">
        <f t="shared" ref="G135" si="445">G55/G18</f>
        <v>-0.25</v>
      </c>
      <c r="H135" s="129">
        <f t="shared" ref="H135:I135" si="446">H55/H18</f>
        <v>-0.25</v>
      </c>
      <c r="I135" s="129">
        <f t="shared" si="446"/>
        <v>1.896551724137931</v>
      </c>
      <c r="J135" s="129">
        <f t="shared" ref="J135:T135" si="447">J55/J18</f>
        <v>1.3623188405797102</v>
      </c>
      <c r="K135" s="129">
        <f t="shared" si="447"/>
        <v>2.0618556701030926</v>
      </c>
      <c r="L135" s="129">
        <f t="shared" si="447"/>
        <v>2.3384615384615386</v>
      </c>
      <c r="M135" s="129">
        <f t="shared" si="447"/>
        <v>4.192982456140351</v>
      </c>
      <c r="N135" s="129">
        <f t="shared" si="447"/>
        <v>5.6356589147286824</v>
      </c>
      <c r="O135" s="129">
        <f t="shared" si="447"/>
        <v>5.7810650887573969</v>
      </c>
      <c r="P135" s="129">
        <f t="shared" si="447"/>
        <v>5.9633027522935782</v>
      </c>
      <c r="Q135" s="129">
        <f t="shared" si="447"/>
        <v>5.8158844765342961</v>
      </c>
      <c r="R135" s="129">
        <f t="shared" si="447"/>
        <v>6.7466216216216219</v>
      </c>
      <c r="S135" s="129">
        <f t="shared" si="447"/>
        <v>6.1086956521739131</v>
      </c>
      <c r="T135" s="129">
        <f t="shared" si="447"/>
        <v>5.4662684124386249</v>
      </c>
      <c r="U135" s="129">
        <f t="shared" ref="U135" si="448">U55/U18</f>
        <v>5.5333333333333332</v>
      </c>
      <c r="V135" s="101" t="e">
        <f t="shared" ref="V135:V167" si="449">((U135/G135)^(1/($K$2-$K$1) ))-1</f>
        <v>#NUM!</v>
      </c>
      <c r="W135" s="10"/>
      <c r="X135" s="129">
        <f t="shared" ref="X135:AG135" si="450">X55/X18</f>
        <v>5.5333333333333341</v>
      </c>
      <c r="Y135" s="129">
        <f t="shared" si="450"/>
        <v>5.5333333333333341</v>
      </c>
      <c r="Z135" s="129">
        <f t="shared" si="450"/>
        <v>5.5333333333333332</v>
      </c>
      <c r="AA135" s="129">
        <f t="shared" si="450"/>
        <v>5.5333333333333332</v>
      </c>
      <c r="AB135" s="129">
        <f t="shared" si="450"/>
        <v>5.5333333333333332</v>
      </c>
      <c r="AC135" s="129">
        <f t="shared" si="450"/>
        <v>5.5333333333333332</v>
      </c>
      <c r="AD135" s="129">
        <f t="shared" si="450"/>
        <v>5.5333333333333332</v>
      </c>
      <c r="AE135" s="129">
        <f t="shared" si="450"/>
        <v>5.5333333333333332</v>
      </c>
      <c r="AF135" s="129">
        <f t="shared" si="450"/>
        <v>5.5333333333333341</v>
      </c>
      <c r="AG135" s="129">
        <f t="shared" si="450"/>
        <v>5.5333333333333341</v>
      </c>
      <c r="AH135" s="116">
        <f t="shared" si="315"/>
        <v>6.2834316343939323E-2</v>
      </c>
      <c r="AI135" s="10"/>
      <c r="AJ135" s="10"/>
    </row>
    <row r="136" spans="1:36" x14ac:dyDescent="0.2">
      <c r="B136" s="10" t="s">
        <v>267</v>
      </c>
      <c r="C136" s="10"/>
      <c r="D136" s="10"/>
      <c r="E136" s="10"/>
      <c r="F136" s="129"/>
      <c r="G136" s="129">
        <f t="shared" ref="G136" si="451">G55/G25</f>
        <v>-8.3333333333333329E-2</v>
      </c>
      <c r="H136" s="129">
        <f t="shared" ref="H136:I136" si="452">H55/H25</f>
        <v>-8.3333333333333329E-2</v>
      </c>
      <c r="I136" s="129">
        <f t="shared" si="452"/>
        <v>0.19031141868512111</v>
      </c>
      <c r="J136" s="129">
        <f t="shared" ref="J136:T136" si="453">J55/J25</f>
        <v>0.11928934010152284</v>
      </c>
      <c r="K136" s="129">
        <f t="shared" si="453"/>
        <v>0.11968880909634949</v>
      </c>
      <c r="L136" s="129">
        <f t="shared" si="453"/>
        <v>0.12469237079573421</v>
      </c>
      <c r="M136" s="129">
        <f t="shared" si="453"/>
        <v>0.16230899830220713</v>
      </c>
      <c r="N136" s="129">
        <f t="shared" si="453"/>
        <v>0.15584137191854233</v>
      </c>
      <c r="O136" s="129">
        <f t="shared" si="453"/>
        <v>0.13637632607481853</v>
      </c>
      <c r="P136" s="129">
        <f t="shared" si="453"/>
        <v>0.13611140194744006</v>
      </c>
      <c r="Q136" s="129">
        <f t="shared" si="453"/>
        <v>0.13766877456844984</v>
      </c>
      <c r="R136" s="129">
        <f t="shared" si="453"/>
        <v>0.14663337983699243</v>
      </c>
      <c r="S136" s="129">
        <f t="shared" si="453"/>
        <v>0.15551592670028286</v>
      </c>
      <c r="T136" s="129">
        <f t="shared" si="453"/>
        <v>0.16180069760682103</v>
      </c>
      <c r="U136" s="129">
        <f t="shared" ref="U136" si="454">U55/U25</f>
        <v>0.1656038496146473</v>
      </c>
      <c r="V136" s="101" t="e">
        <f t="shared" si="449"/>
        <v>#NUM!</v>
      </c>
      <c r="W136" s="10"/>
      <c r="X136" s="129">
        <f t="shared" ref="X136:AG136" si="455">X55/X25</f>
        <v>0.16560384961464733</v>
      </c>
      <c r="Y136" s="129">
        <f t="shared" si="455"/>
        <v>0.16560384961464733</v>
      </c>
      <c r="Z136" s="129">
        <f t="shared" si="455"/>
        <v>0.1656038496146473</v>
      </c>
      <c r="AA136" s="129">
        <f t="shared" si="455"/>
        <v>0.1656038496146473</v>
      </c>
      <c r="AB136" s="129">
        <f t="shared" si="455"/>
        <v>0.1656038496146473</v>
      </c>
      <c r="AC136" s="129">
        <f t="shared" si="455"/>
        <v>0.1656038496146473</v>
      </c>
      <c r="AD136" s="129">
        <f t="shared" si="455"/>
        <v>0.16560384961464733</v>
      </c>
      <c r="AE136" s="129">
        <f t="shared" si="455"/>
        <v>0.16560384961464733</v>
      </c>
      <c r="AF136" s="129">
        <f t="shared" si="455"/>
        <v>0.16560384961464733</v>
      </c>
      <c r="AG136" s="129">
        <f t="shared" si="455"/>
        <v>0.16560384961464733</v>
      </c>
      <c r="AH136" s="116">
        <f t="shared" si="315"/>
        <v>1.4365092390083989E-2</v>
      </c>
      <c r="AI136" s="10"/>
      <c r="AJ136" s="10"/>
    </row>
    <row r="137" spans="1:36" x14ac:dyDescent="0.2">
      <c r="B137" s="10" t="s">
        <v>293</v>
      </c>
      <c r="C137" s="10"/>
      <c r="D137" s="10"/>
      <c r="E137" s="129"/>
      <c r="F137" s="129"/>
      <c r="G137" s="129">
        <f t="shared" ref="G137" si="456">G25/G18</f>
        <v>3</v>
      </c>
      <c r="H137" s="129">
        <f t="shared" ref="H137:I137" si="457">H25/H18</f>
        <v>3</v>
      </c>
      <c r="I137" s="129">
        <f t="shared" si="457"/>
        <v>9.9655172413793096</v>
      </c>
      <c r="J137" s="129">
        <f t="shared" ref="J137:T137" si="458">J25/J18</f>
        <v>11.420289855072463</v>
      </c>
      <c r="K137" s="129">
        <f t="shared" si="458"/>
        <v>17.226804123711339</v>
      </c>
      <c r="L137" s="129">
        <f t="shared" si="458"/>
        <v>18.753846153846155</v>
      </c>
      <c r="M137" s="129">
        <f t="shared" si="458"/>
        <v>25.833333333333332</v>
      </c>
      <c r="N137" s="129">
        <f t="shared" si="458"/>
        <v>36.162790697674417</v>
      </c>
      <c r="O137" s="129">
        <f t="shared" si="458"/>
        <v>42.390532544378701</v>
      </c>
      <c r="P137" s="129">
        <f t="shared" si="458"/>
        <v>43.811926605504588</v>
      </c>
      <c r="Q137" s="129">
        <f t="shared" si="458"/>
        <v>42.245487364620942</v>
      </c>
      <c r="R137" s="129">
        <f t="shared" si="458"/>
        <v>46.010135135135137</v>
      </c>
      <c r="S137" s="129">
        <f t="shared" si="458"/>
        <v>39.280193236714979</v>
      </c>
      <c r="T137" s="129">
        <f t="shared" si="458"/>
        <v>33.783960720130935</v>
      </c>
      <c r="U137" s="129">
        <f t="shared" ref="U137" si="459">U25/U18</f>
        <v>33.413071895424835</v>
      </c>
      <c r="V137" s="101">
        <f t="shared" si="449"/>
        <v>0.18787592969679046</v>
      </c>
      <c r="W137" s="10"/>
      <c r="X137" s="129">
        <f t="shared" ref="X137:AG137" si="460">X25/X18</f>
        <v>33.413071895424835</v>
      </c>
      <c r="Y137" s="129">
        <f t="shared" si="460"/>
        <v>33.413071895424835</v>
      </c>
      <c r="Z137" s="129">
        <f t="shared" si="460"/>
        <v>33.413071895424835</v>
      </c>
      <c r="AA137" s="129">
        <f t="shared" si="460"/>
        <v>33.413071895424835</v>
      </c>
      <c r="AB137" s="129">
        <f t="shared" si="460"/>
        <v>33.413071895424842</v>
      </c>
      <c r="AC137" s="129">
        <f t="shared" si="460"/>
        <v>33.413071895424835</v>
      </c>
      <c r="AD137" s="129">
        <f t="shared" si="460"/>
        <v>33.413071895424835</v>
      </c>
      <c r="AE137" s="129">
        <f t="shared" si="460"/>
        <v>33.413071895424835</v>
      </c>
      <c r="AF137" s="129">
        <f t="shared" si="460"/>
        <v>33.413071895424835</v>
      </c>
      <c r="AG137" s="129">
        <f t="shared" si="460"/>
        <v>33.413071895424835</v>
      </c>
      <c r="AH137" s="116">
        <f t="shared" si="315"/>
        <v>4.7782819339386329E-2</v>
      </c>
      <c r="AI137" s="10"/>
      <c r="AJ137" s="10"/>
    </row>
    <row r="138" spans="1:36" x14ac:dyDescent="0.2">
      <c r="B138" s="10"/>
      <c r="C138" s="10"/>
      <c r="D138" s="10"/>
      <c r="E138" s="10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2"/>
      <c r="V138" s="10"/>
      <c r="W138" s="10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29"/>
      <c r="AH138" s="110"/>
      <c r="AI138" s="10"/>
      <c r="AJ138" s="10"/>
    </row>
    <row r="139" spans="1:36" x14ac:dyDescent="0.2">
      <c r="B139" s="10" t="s">
        <v>279</v>
      </c>
      <c r="C139" s="10"/>
      <c r="D139" s="10"/>
      <c r="E139" s="141"/>
      <c r="F139" s="141"/>
      <c r="G139" s="141">
        <f t="shared" ref="G139" si="461">G88*G57</f>
        <v>2</v>
      </c>
      <c r="H139" s="141">
        <f t="shared" ref="H139:I139" si="462">H88*H57</f>
        <v>0</v>
      </c>
      <c r="I139" s="141">
        <f t="shared" si="462"/>
        <v>0</v>
      </c>
      <c r="J139" s="141">
        <f t="shared" ref="J139:T139" si="463">J88*J57</f>
        <v>0</v>
      </c>
      <c r="K139" s="141">
        <f t="shared" si="463"/>
        <v>0</v>
      </c>
      <c r="L139" s="141">
        <f t="shared" si="463"/>
        <v>0</v>
      </c>
      <c r="M139" s="141">
        <f t="shared" si="463"/>
        <v>50.94</v>
      </c>
      <c r="N139" s="141">
        <f t="shared" si="463"/>
        <v>86.75</v>
      </c>
      <c r="O139" s="141">
        <f t="shared" si="463"/>
        <v>141.16</v>
      </c>
      <c r="P139" s="141">
        <f t="shared" si="463"/>
        <v>215.16</v>
      </c>
      <c r="Q139" s="141">
        <f t="shared" si="463"/>
        <v>288.48</v>
      </c>
      <c r="R139" s="141">
        <f t="shared" si="463"/>
        <v>375.93</v>
      </c>
      <c r="S139" s="141">
        <f t="shared" si="463"/>
        <v>420.5</v>
      </c>
      <c r="T139" s="141">
        <f t="shared" si="463"/>
        <v>547.68000000000006</v>
      </c>
      <c r="U139" s="141">
        <f t="shared" ref="U139" si="464">U88*U57</f>
        <v>621.78300000000002</v>
      </c>
      <c r="V139" s="101">
        <f t="shared" si="449"/>
        <v>0.5067579416025243</v>
      </c>
      <c r="W139" s="10"/>
      <c r="X139" s="141">
        <f t="shared" ref="X139:AG139" si="465">X88*X57</f>
        <v>646.9030332000001</v>
      </c>
      <c r="Y139" s="141">
        <f t="shared" si="465"/>
        <v>673.03791574128013</v>
      </c>
      <c r="Z139" s="141">
        <f t="shared" si="465"/>
        <v>700.22864753722786</v>
      </c>
      <c r="AA139" s="141">
        <f t="shared" si="465"/>
        <v>728.51788489773196</v>
      </c>
      <c r="AB139" s="141">
        <f t="shared" si="465"/>
        <v>757.95000744760034</v>
      </c>
      <c r="AC139" s="141">
        <f t="shared" si="465"/>
        <v>788.57118774848345</v>
      </c>
      <c r="AD139" s="141">
        <f t="shared" si="465"/>
        <v>820.42946373352208</v>
      </c>
      <c r="AE139" s="141">
        <f t="shared" si="465"/>
        <v>853.57481406835643</v>
      </c>
      <c r="AF139" s="141">
        <f t="shared" si="465"/>
        <v>888.05923655671802</v>
      </c>
      <c r="AG139" s="141">
        <f t="shared" si="465"/>
        <v>923.93682971360943</v>
      </c>
      <c r="AH139" s="116" t="e">
        <f t="shared" si="315"/>
        <v>#DIV/0!</v>
      </c>
      <c r="AI139" s="10"/>
      <c r="AJ139" s="10"/>
    </row>
    <row r="140" spans="1:36" x14ac:dyDescent="0.2">
      <c r="B140" s="10" t="s">
        <v>280</v>
      </c>
      <c r="C140" s="10"/>
      <c r="D140" s="10"/>
      <c r="E140" s="141"/>
      <c r="F140" s="141"/>
      <c r="G140" s="141">
        <f t="shared" ref="G140" si="466">(G139*0.17)+G139</f>
        <v>2.34</v>
      </c>
      <c r="H140" s="141">
        <f t="shared" ref="H140:I140" si="467">(H139*0.17)+H139</f>
        <v>0</v>
      </c>
      <c r="I140" s="141">
        <f t="shared" si="467"/>
        <v>0</v>
      </c>
      <c r="J140" s="141">
        <f t="shared" ref="J140:S140" si="468">(J139*0.17)+J139</f>
        <v>0</v>
      </c>
      <c r="K140" s="141">
        <f t="shared" si="468"/>
        <v>0</v>
      </c>
      <c r="L140" s="141">
        <f t="shared" si="468"/>
        <v>0</v>
      </c>
      <c r="M140" s="141">
        <f t="shared" si="468"/>
        <v>59.599800000000002</v>
      </c>
      <c r="N140" s="141">
        <f t="shared" si="468"/>
        <v>101.4975</v>
      </c>
      <c r="O140" s="141">
        <f t="shared" si="468"/>
        <v>165.15719999999999</v>
      </c>
      <c r="P140" s="141">
        <f t="shared" si="468"/>
        <v>251.7372</v>
      </c>
      <c r="Q140" s="141">
        <f t="shared" si="468"/>
        <v>337.52160000000003</v>
      </c>
      <c r="R140" s="141">
        <f t="shared" si="468"/>
        <v>439.8381</v>
      </c>
      <c r="S140" s="141">
        <f t="shared" si="468"/>
        <v>491.98500000000001</v>
      </c>
      <c r="T140" s="141">
        <f t="shared" ref="T140:U140" si="469">(T139*0.17)+T139</f>
        <v>640.78560000000004</v>
      </c>
      <c r="U140" s="141">
        <f t="shared" si="469"/>
        <v>727.48611000000005</v>
      </c>
      <c r="V140" s="101">
        <f t="shared" si="449"/>
        <v>0.5067579416025243</v>
      </c>
      <c r="W140" s="10"/>
      <c r="X140" s="141">
        <f t="shared" ref="X140:AG140" si="470">(X139*0.17)+X139</f>
        <v>756.87654884400013</v>
      </c>
      <c r="Y140" s="141">
        <f t="shared" si="470"/>
        <v>787.45436141729772</v>
      </c>
      <c r="Z140" s="141">
        <f t="shared" si="470"/>
        <v>819.26751761855655</v>
      </c>
      <c r="AA140" s="141">
        <f t="shared" si="470"/>
        <v>852.36592533034639</v>
      </c>
      <c r="AB140" s="141">
        <f t="shared" si="470"/>
        <v>886.80150871369244</v>
      </c>
      <c r="AC140" s="141">
        <f t="shared" si="470"/>
        <v>922.62828966572567</v>
      </c>
      <c r="AD140" s="141">
        <f t="shared" si="470"/>
        <v>959.9024725682209</v>
      </c>
      <c r="AE140" s="141">
        <f t="shared" si="470"/>
        <v>998.68253245997698</v>
      </c>
      <c r="AF140" s="141">
        <f t="shared" si="470"/>
        <v>1039.0293067713601</v>
      </c>
      <c r="AG140" s="141">
        <f t="shared" si="470"/>
        <v>1081.0060907649231</v>
      </c>
      <c r="AH140" s="116" t="e">
        <f t="shared" si="315"/>
        <v>#DIV/0!</v>
      </c>
      <c r="AI140" s="10"/>
      <c r="AJ140" s="10"/>
    </row>
    <row r="141" spans="1:36" x14ac:dyDescent="0.2">
      <c r="B141" s="10" t="s">
        <v>281</v>
      </c>
      <c r="C141" s="10"/>
      <c r="D141" s="10"/>
      <c r="E141" s="10"/>
      <c r="F141" s="129"/>
      <c r="G141" s="129">
        <f t="shared" ref="G141" si="471">G140/G55</f>
        <v>-0.58499999999999996</v>
      </c>
      <c r="H141" s="129">
        <f t="shared" ref="H141:I141" si="472">H140/H55</f>
        <v>0</v>
      </c>
      <c r="I141" s="129">
        <f t="shared" si="472"/>
        <v>0</v>
      </c>
      <c r="J141" s="129">
        <f t="shared" ref="J141:T141" si="473">J140/J55</f>
        <v>0</v>
      </c>
      <c r="K141" s="129">
        <f t="shared" si="473"/>
        <v>0</v>
      </c>
      <c r="L141" s="129">
        <f t="shared" si="473"/>
        <v>0</v>
      </c>
      <c r="M141" s="129">
        <f t="shared" si="473"/>
        <v>0.12468577405857741</v>
      </c>
      <c r="N141" s="129">
        <f t="shared" si="473"/>
        <v>0.13961141678129299</v>
      </c>
      <c r="O141" s="129">
        <f t="shared" si="473"/>
        <v>0.16904524053224154</v>
      </c>
      <c r="P141" s="129">
        <f t="shared" si="473"/>
        <v>0.19364400000000001</v>
      </c>
      <c r="Q141" s="129">
        <f t="shared" si="473"/>
        <v>0.20951061452513969</v>
      </c>
      <c r="R141" s="129">
        <f t="shared" si="473"/>
        <v>0.2202494241362043</v>
      </c>
      <c r="S141" s="129">
        <f t="shared" si="473"/>
        <v>0.19453736654804271</v>
      </c>
      <c r="T141" s="129">
        <f t="shared" si="473"/>
        <v>0.19185829473425772</v>
      </c>
      <c r="U141" s="129">
        <f t="shared" ref="U141" si="474">U140/U55</f>
        <v>0.17186064493267186</v>
      </c>
      <c r="V141" s="101" t="e">
        <f t="shared" si="449"/>
        <v>#NUM!</v>
      </c>
      <c r="W141" s="10"/>
      <c r="X141" s="129">
        <f t="shared" ref="X141:AG141" si="475">X140/X55</f>
        <v>0.15548157825039291</v>
      </c>
      <c r="Y141" s="129">
        <f t="shared" si="475"/>
        <v>0.14066350783626852</v>
      </c>
      <c r="Z141" s="129">
        <f t="shared" si="475"/>
        <v>0.12725766395900329</v>
      </c>
      <c r="AA141" s="129">
        <f t="shared" si="475"/>
        <v>0.11512945528951918</v>
      </c>
      <c r="AB141" s="129">
        <f t="shared" si="475"/>
        <v>0.10415711763757893</v>
      </c>
      <c r="AC141" s="129">
        <f t="shared" si="475"/>
        <v>9.4230491469684458E-2</v>
      </c>
      <c r="AD141" s="129">
        <f t="shared" si="475"/>
        <v>8.5249915934834525E-2</v>
      </c>
      <c r="AE141" s="129">
        <f t="shared" si="475"/>
        <v>7.7125228294436396E-2</v>
      </c>
      <c r="AF141" s="129">
        <f t="shared" si="475"/>
        <v>6.9774858710897072E-2</v>
      </c>
      <c r="AG141" s="129">
        <f t="shared" si="475"/>
        <v>6.3125011306797665E-2</v>
      </c>
      <c r="AH141" s="116" t="e">
        <f t="shared" si="315"/>
        <v>#DIV/0!</v>
      </c>
      <c r="AI141" s="10"/>
      <c r="AJ141" s="10"/>
    </row>
    <row r="142" spans="1:36" x14ac:dyDescent="0.2">
      <c r="B142" s="10" t="s">
        <v>274</v>
      </c>
      <c r="C142" s="10"/>
      <c r="D142" s="10"/>
      <c r="E142" s="10"/>
      <c r="F142" s="129"/>
      <c r="G142" s="129">
        <f t="shared" ref="G142" si="476">1-G141</f>
        <v>1.585</v>
      </c>
      <c r="H142" s="129">
        <f t="shared" ref="H142:I142" si="477">1-H141</f>
        <v>1</v>
      </c>
      <c r="I142" s="129">
        <f t="shared" si="477"/>
        <v>1</v>
      </c>
      <c r="J142" s="129">
        <f>1-J141</f>
        <v>1</v>
      </c>
      <c r="K142" s="129">
        <f t="shared" ref="K142:S142" si="478">1-K141</f>
        <v>1</v>
      </c>
      <c r="L142" s="129">
        <f t="shared" si="478"/>
        <v>1</v>
      </c>
      <c r="M142" s="129">
        <f t="shared" si="478"/>
        <v>0.87531422594142261</v>
      </c>
      <c r="N142" s="129">
        <f t="shared" si="478"/>
        <v>0.86038858321870704</v>
      </c>
      <c r="O142" s="129">
        <f t="shared" si="478"/>
        <v>0.83095475946775843</v>
      </c>
      <c r="P142" s="129">
        <f t="shared" si="478"/>
        <v>0.80635599999999996</v>
      </c>
      <c r="Q142" s="129">
        <f t="shared" si="478"/>
        <v>0.79048938547486025</v>
      </c>
      <c r="R142" s="129">
        <f t="shared" si="478"/>
        <v>0.7797505758637957</v>
      </c>
      <c r="S142" s="129">
        <f t="shared" si="478"/>
        <v>0.80546263345195723</v>
      </c>
      <c r="T142" s="129">
        <f t="shared" ref="T142:U142" si="479">1-T141</f>
        <v>0.80814170526574225</v>
      </c>
      <c r="U142" s="129">
        <f t="shared" si="479"/>
        <v>0.82813935506732816</v>
      </c>
      <c r="V142" s="101">
        <f t="shared" si="449"/>
        <v>-4.5309854306079478E-2</v>
      </c>
      <c r="W142" s="10"/>
      <c r="X142" s="129">
        <f t="shared" ref="X142:AG142" si="480">1-X141</f>
        <v>0.84451842174960712</v>
      </c>
      <c r="Y142" s="129">
        <f t="shared" si="480"/>
        <v>0.85933649216373142</v>
      </c>
      <c r="Z142" s="129">
        <f t="shared" si="480"/>
        <v>0.87274233604099671</v>
      </c>
      <c r="AA142" s="129">
        <f t="shared" si="480"/>
        <v>0.88487054471048077</v>
      </c>
      <c r="AB142" s="129">
        <f t="shared" si="480"/>
        <v>0.89584288236242104</v>
      </c>
      <c r="AC142" s="129">
        <f t="shared" si="480"/>
        <v>0.90576950853031557</v>
      </c>
      <c r="AD142" s="129">
        <f t="shared" si="480"/>
        <v>0.91475008406516545</v>
      </c>
      <c r="AE142" s="129">
        <f t="shared" si="480"/>
        <v>0.92287477170556365</v>
      </c>
      <c r="AF142" s="129">
        <f t="shared" si="480"/>
        <v>0.93022514128910294</v>
      </c>
      <c r="AG142" s="129">
        <f t="shared" si="480"/>
        <v>0.93687498869320229</v>
      </c>
      <c r="AH142" s="116">
        <f t="shared" si="315"/>
        <v>-2.8310034866890765E-3</v>
      </c>
      <c r="AI142" s="10"/>
      <c r="AJ142" s="10"/>
    </row>
    <row r="143" spans="1:36" x14ac:dyDescent="0.2">
      <c r="B143" s="10" t="s">
        <v>395</v>
      </c>
      <c r="C143" s="10"/>
      <c r="D143" s="10"/>
      <c r="E143" s="10"/>
      <c r="F143" s="129"/>
      <c r="G143" s="129">
        <f t="shared" ref="G143" si="481">G140/G20</f>
        <v>-4.2545454545454546E-2</v>
      </c>
      <c r="H143" s="129">
        <f t="shared" ref="H143:I143" si="482">H140/H20</f>
        <v>0</v>
      </c>
      <c r="I143" s="129">
        <f t="shared" si="482"/>
        <v>0</v>
      </c>
      <c r="J143" s="129">
        <f t="shared" ref="J143:T143" si="483">J140/J20</f>
        <v>0</v>
      </c>
      <c r="K143" s="129">
        <f t="shared" si="483"/>
        <v>0</v>
      </c>
      <c r="L143" s="129">
        <f t="shared" si="483"/>
        <v>0</v>
      </c>
      <c r="M143" s="129">
        <f t="shared" si="483"/>
        <v>6.2083125000000003E-2</v>
      </c>
      <c r="N143" s="129">
        <f t="shared" si="483"/>
        <v>3.3277868852459015E-2</v>
      </c>
      <c r="O143" s="129">
        <f t="shared" si="483"/>
        <v>4.6030434782608695E-2</v>
      </c>
      <c r="P143" s="129">
        <f t="shared" si="483"/>
        <v>0.46617999999999998</v>
      </c>
      <c r="Q143" s="129">
        <f t="shared" si="483"/>
        <v>7.5881654676259E-2</v>
      </c>
      <c r="R143" s="129">
        <f t="shared" si="483"/>
        <v>-0.30354596273291923</v>
      </c>
      <c r="S143" s="129">
        <f t="shared" si="483"/>
        <v>-1.3553305785123968</v>
      </c>
      <c r="T143" s="129">
        <f t="shared" si="483"/>
        <v>0.14636491548652353</v>
      </c>
      <c r="U143" s="129">
        <f t="shared" ref="U143" si="484">U140/U20</f>
        <v>-3.3253467568679439E-2</v>
      </c>
      <c r="V143" s="101">
        <f t="shared" si="449"/>
        <v>-1.7447005351341582E-2</v>
      </c>
      <c r="W143" s="10"/>
      <c r="X143" s="129">
        <f t="shared" ref="X143:AG143" si="485">X140/X20</f>
        <v>-3.0084267529090512E-2</v>
      </c>
      <c r="Y143" s="129">
        <f t="shared" si="485"/>
        <v>-2.7217106032405021E-2</v>
      </c>
      <c r="Z143" s="129">
        <f t="shared" si="485"/>
        <v>-2.4623197492273201E-2</v>
      </c>
      <c r="AA143" s="129">
        <f t="shared" si="485"/>
        <v>-2.2276499713879169E-2</v>
      </c>
      <c r="AB143" s="129">
        <f t="shared" si="485"/>
        <v>-2.0153452436799908E-2</v>
      </c>
      <c r="AC143" s="129">
        <f t="shared" si="485"/>
        <v>-1.823274079586663E-2</v>
      </c>
      <c r="AD143" s="129">
        <f t="shared" si="485"/>
        <v>-1.6495081325234473E-2</v>
      </c>
      <c r="AE143" s="129">
        <f t="shared" si="485"/>
        <v>-1.4923028357194735E-2</v>
      </c>
      <c r="AF143" s="129">
        <f t="shared" si="485"/>
        <v>-1.3500798872022091E-2</v>
      </c>
      <c r="AG143" s="129">
        <f t="shared" si="485"/>
        <v>-1.2214114040392857E-2</v>
      </c>
      <c r="AH143" s="116" t="s">
        <v>396</v>
      </c>
      <c r="AI143" s="10"/>
      <c r="AJ143" s="10"/>
    </row>
    <row r="144" spans="1:36" x14ac:dyDescent="0.2">
      <c r="B144" s="10"/>
      <c r="C144" s="10"/>
      <c r="D144" s="10"/>
      <c r="E144" s="10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2"/>
      <c r="V144" s="10"/>
      <c r="W144" s="10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29"/>
      <c r="AH144" s="110"/>
      <c r="AI144" s="10"/>
      <c r="AJ144" s="10"/>
    </row>
    <row r="145" spans="2:36" x14ac:dyDescent="0.2">
      <c r="B145" s="10" t="s">
        <v>278</v>
      </c>
      <c r="C145" s="129"/>
      <c r="D145" s="129"/>
      <c r="E145" s="129"/>
      <c r="F145" s="129"/>
      <c r="G145" s="129">
        <f t="shared" ref="G145" si="486">G31/G25</f>
        <v>0</v>
      </c>
      <c r="H145" s="129">
        <f t="shared" ref="H145:I145" si="487">H31/H25</f>
        <v>0</v>
      </c>
      <c r="I145" s="129">
        <f t="shared" si="487"/>
        <v>0</v>
      </c>
      <c r="J145" s="129">
        <f t="shared" ref="J145:T145" si="488">J31/J25</f>
        <v>0</v>
      </c>
      <c r="K145" s="129">
        <f t="shared" si="488"/>
        <v>0</v>
      </c>
      <c r="L145" s="129">
        <f t="shared" si="488"/>
        <v>0</v>
      </c>
      <c r="M145" s="129">
        <f t="shared" si="488"/>
        <v>0</v>
      </c>
      <c r="N145" s="129">
        <f t="shared" si="488"/>
        <v>0</v>
      </c>
      <c r="O145" s="129">
        <f t="shared" si="488"/>
        <v>0</v>
      </c>
      <c r="P145" s="129">
        <f t="shared" si="488"/>
        <v>0</v>
      </c>
      <c r="Q145" s="129">
        <f t="shared" si="488"/>
        <v>0</v>
      </c>
      <c r="R145" s="129">
        <f t="shared" si="488"/>
        <v>0</v>
      </c>
      <c r="S145" s="129">
        <f t="shared" si="488"/>
        <v>0</v>
      </c>
      <c r="T145" s="129">
        <f t="shared" si="488"/>
        <v>0</v>
      </c>
      <c r="U145" s="129">
        <f t="shared" ref="U145" si="489">U31/U25</f>
        <v>0</v>
      </c>
      <c r="V145" s="101" t="e">
        <f t="shared" si="449"/>
        <v>#DIV/0!</v>
      </c>
      <c r="W145" s="10"/>
      <c r="X145" s="129">
        <f t="shared" ref="X145:AG145" si="490">X31/X25</f>
        <v>0</v>
      </c>
      <c r="Y145" s="129">
        <f t="shared" si="490"/>
        <v>0</v>
      </c>
      <c r="Z145" s="129">
        <f t="shared" si="490"/>
        <v>0</v>
      </c>
      <c r="AA145" s="129">
        <f t="shared" si="490"/>
        <v>0</v>
      </c>
      <c r="AB145" s="129">
        <f t="shared" si="490"/>
        <v>0</v>
      </c>
      <c r="AC145" s="129">
        <f t="shared" si="490"/>
        <v>0</v>
      </c>
      <c r="AD145" s="129">
        <f t="shared" si="490"/>
        <v>0</v>
      </c>
      <c r="AE145" s="129">
        <f t="shared" si="490"/>
        <v>0</v>
      </c>
      <c r="AF145" s="129">
        <f t="shared" si="490"/>
        <v>0</v>
      </c>
      <c r="AG145" s="129">
        <f t="shared" si="490"/>
        <v>0</v>
      </c>
      <c r="AH145" s="116" t="e">
        <f t="shared" si="315"/>
        <v>#DIV/0!</v>
      </c>
      <c r="AI145" s="10"/>
      <c r="AJ145" s="10"/>
    </row>
    <row r="146" spans="2:36" x14ac:dyDescent="0.2">
      <c r="B146" s="10" t="s">
        <v>275</v>
      </c>
      <c r="C146" s="129"/>
      <c r="D146" s="129"/>
      <c r="E146" s="129"/>
      <c r="F146" s="129"/>
      <c r="G146" s="129">
        <f t="shared" ref="G146" si="491">G32/G25</f>
        <v>0</v>
      </c>
      <c r="H146" s="129">
        <f t="shared" ref="H146:I146" si="492">H32/H25</f>
        <v>0</v>
      </c>
      <c r="I146" s="129">
        <f t="shared" si="492"/>
        <v>0</v>
      </c>
      <c r="J146" s="129">
        <f t="shared" ref="J146:T146" si="493">J32/J25</f>
        <v>0</v>
      </c>
      <c r="K146" s="129">
        <f t="shared" si="493"/>
        <v>0</v>
      </c>
      <c r="L146" s="129">
        <f t="shared" si="493"/>
        <v>0</v>
      </c>
      <c r="M146" s="129">
        <f t="shared" si="493"/>
        <v>0</v>
      </c>
      <c r="N146" s="129">
        <f t="shared" si="493"/>
        <v>0</v>
      </c>
      <c r="O146" s="129">
        <f t="shared" si="493"/>
        <v>0</v>
      </c>
      <c r="P146" s="129">
        <f t="shared" si="493"/>
        <v>0</v>
      </c>
      <c r="Q146" s="129">
        <f t="shared" si="493"/>
        <v>0</v>
      </c>
      <c r="R146" s="129">
        <f t="shared" si="493"/>
        <v>0</v>
      </c>
      <c r="S146" s="129">
        <f t="shared" si="493"/>
        <v>0</v>
      </c>
      <c r="T146" s="129">
        <f t="shared" si="493"/>
        <v>0</v>
      </c>
      <c r="U146" s="129">
        <f t="shared" ref="U146" si="494">U32/U25</f>
        <v>0</v>
      </c>
      <c r="V146" s="101" t="e">
        <f t="shared" si="449"/>
        <v>#DIV/0!</v>
      </c>
      <c r="W146" s="10"/>
      <c r="X146" s="129">
        <f t="shared" ref="X146:AG146" si="495">X32/X25</f>
        <v>0</v>
      </c>
      <c r="Y146" s="129">
        <f t="shared" si="495"/>
        <v>0</v>
      </c>
      <c r="Z146" s="129">
        <f t="shared" si="495"/>
        <v>0</v>
      </c>
      <c r="AA146" s="129">
        <f t="shared" si="495"/>
        <v>0</v>
      </c>
      <c r="AB146" s="129">
        <f t="shared" si="495"/>
        <v>0</v>
      </c>
      <c r="AC146" s="129">
        <f t="shared" si="495"/>
        <v>0</v>
      </c>
      <c r="AD146" s="129">
        <f t="shared" si="495"/>
        <v>0</v>
      </c>
      <c r="AE146" s="129">
        <f t="shared" si="495"/>
        <v>0</v>
      </c>
      <c r="AF146" s="129">
        <f t="shared" si="495"/>
        <v>0</v>
      </c>
      <c r="AG146" s="129">
        <f t="shared" si="495"/>
        <v>0</v>
      </c>
      <c r="AH146" s="116" t="e">
        <f t="shared" si="315"/>
        <v>#DIV/0!</v>
      </c>
      <c r="AI146" s="10"/>
      <c r="AJ146" s="10"/>
    </row>
    <row r="147" spans="2:36" x14ac:dyDescent="0.2">
      <c r="B147" s="10" t="s">
        <v>403</v>
      </c>
      <c r="C147" s="129"/>
      <c r="D147" s="129"/>
      <c r="E147" s="129"/>
      <c r="F147" s="129"/>
      <c r="G147" s="129">
        <f t="shared" ref="G147" si="496">(G31+G32)/G25</f>
        <v>0</v>
      </c>
      <c r="H147" s="129">
        <f t="shared" ref="H147:I147" si="497">(H31+H32)/H25</f>
        <v>0</v>
      </c>
      <c r="I147" s="129">
        <f t="shared" si="497"/>
        <v>0</v>
      </c>
      <c r="J147" s="129">
        <f t="shared" ref="J147:T147" si="498">(J31+J32)/J25</f>
        <v>0</v>
      </c>
      <c r="K147" s="129">
        <f t="shared" si="498"/>
        <v>0</v>
      </c>
      <c r="L147" s="129">
        <f t="shared" si="498"/>
        <v>0</v>
      </c>
      <c r="M147" s="129">
        <f t="shared" si="498"/>
        <v>0</v>
      </c>
      <c r="N147" s="129">
        <f t="shared" si="498"/>
        <v>0</v>
      </c>
      <c r="O147" s="129">
        <f t="shared" si="498"/>
        <v>0</v>
      </c>
      <c r="P147" s="129">
        <f t="shared" si="498"/>
        <v>0</v>
      </c>
      <c r="Q147" s="129">
        <f t="shared" si="498"/>
        <v>0</v>
      </c>
      <c r="R147" s="129">
        <f t="shared" si="498"/>
        <v>0</v>
      </c>
      <c r="S147" s="129">
        <f t="shared" si="498"/>
        <v>0</v>
      </c>
      <c r="T147" s="129">
        <f t="shared" si="498"/>
        <v>0</v>
      </c>
      <c r="U147" s="129">
        <f t="shared" ref="U147" si="499">(U31+U32)/U25</f>
        <v>0</v>
      </c>
      <c r="V147" s="101" t="e">
        <f t="shared" si="449"/>
        <v>#DIV/0!</v>
      </c>
      <c r="W147" s="10"/>
      <c r="X147" s="129">
        <f t="shared" ref="X147:AG147" si="500">(X31+X32)/X25</f>
        <v>0</v>
      </c>
      <c r="Y147" s="129">
        <f t="shared" si="500"/>
        <v>0</v>
      </c>
      <c r="Z147" s="129">
        <f t="shared" si="500"/>
        <v>0</v>
      </c>
      <c r="AA147" s="129">
        <f t="shared" si="500"/>
        <v>0</v>
      </c>
      <c r="AB147" s="129">
        <f t="shared" si="500"/>
        <v>0</v>
      </c>
      <c r="AC147" s="129">
        <f t="shared" si="500"/>
        <v>0</v>
      </c>
      <c r="AD147" s="129">
        <f t="shared" si="500"/>
        <v>0</v>
      </c>
      <c r="AE147" s="129">
        <f t="shared" si="500"/>
        <v>0</v>
      </c>
      <c r="AF147" s="129">
        <f t="shared" si="500"/>
        <v>0</v>
      </c>
      <c r="AG147" s="129">
        <f t="shared" si="500"/>
        <v>0</v>
      </c>
      <c r="AH147" s="116" t="e">
        <f t="shared" si="315"/>
        <v>#DIV/0!</v>
      </c>
      <c r="AI147" s="10"/>
      <c r="AJ147" s="10"/>
    </row>
    <row r="148" spans="2:36" x14ac:dyDescent="0.2">
      <c r="B148" s="10"/>
      <c r="C148" s="10"/>
      <c r="D148" s="10"/>
      <c r="E148" s="10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2"/>
      <c r="V148" s="10"/>
      <c r="W148" s="10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29"/>
      <c r="AH148" s="110"/>
      <c r="AI148" s="10"/>
      <c r="AJ148" s="10"/>
    </row>
    <row r="149" spans="2:36" x14ac:dyDescent="0.2">
      <c r="B149" s="10" t="s">
        <v>299</v>
      </c>
      <c r="C149" s="10"/>
      <c r="D149" s="10"/>
      <c r="E149" s="10"/>
      <c r="F149" s="129"/>
      <c r="G149" s="129">
        <f t="shared" ref="G149" si="501">G27/G25</f>
        <v>0.24687499999999998</v>
      </c>
      <c r="H149" s="129">
        <f t="shared" ref="H149:I149" si="502">H27/H25</f>
        <v>0.24687499999999998</v>
      </c>
      <c r="I149" s="129">
        <f t="shared" si="502"/>
        <v>0.36332179930795849</v>
      </c>
      <c r="J149" s="129">
        <f t="shared" ref="J149:T149" si="503">J27/J25</f>
        <v>0.52791878172588835</v>
      </c>
      <c r="K149" s="129">
        <f t="shared" si="503"/>
        <v>0.58288450029922201</v>
      </c>
      <c r="L149" s="129">
        <f t="shared" si="503"/>
        <v>0.6119770303527482</v>
      </c>
      <c r="M149" s="129">
        <f t="shared" si="503"/>
        <v>0.83769100169779287</v>
      </c>
      <c r="N149" s="129">
        <f t="shared" si="503"/>
        <v>0.84394426580921755</v>
      </c>
      <c r="O149" s="129">
        <f t="shared" si="503"/>
        <v>0.86362367392518147</v>
      </c>
      <c r="P149" s="129">
        <f t="shared" si="503"/>
        <v>0.86378389697413882</v>
      </c>
      <c r="Q149" s="129">
        <f t="shared" si="503"/>
        <v>0.86233122543155016</v>
      </c>
      <c r="R149" s="129">
        <f t="shared" si="503"/>
        <v>0.85336662016300757</v>
      </c>
      <c r="S149" s="129">
        <f t="shared" si="503"/>
        <v>0.84448407329971709</v>
      </c>
      <c r="T149" s="129">
        <f t="shared" si="503"/>
        <v>0.83819397345218483</v>
      </c>
      <c r="U149" s="129">
        <f t="shared" ref="U149" si="504">U27/U25</f>
        <v>0.83439615038535264</v>
      </c>
      <c r="V149" s="101">
        <f t="shared" si="449"/>
        <v>9.0883133545206496E-2</v>
      </c>
      <c r="W149" s="10"/>
      <c r="X149" s="129">
        <f t="shared" ref="X149:AG149" si="505">X27/X25</f>
        <v>0.83439615038535264</v>
      </c>
      <c r="Y149" s="129">
        <f t="shared" si="505"/>
        <v>0.83439615038535275</v>
      </c>
      <c r="Z149" s="129">
        <f t="shared" si="505"/>
        <v>0.83439615038535264</v>
      </c>
      <c r="AA149" s="129">
        <f t="shared" si="505"/>
        <v>0.83439615038535264</v>
      </c>
      <c r="AB149" s="129">
        <f t="shared" si="505"/>
        <v>0.83439615038535253</v>
      </c>
      <c r="AC149" s="129">
        <f t="shared" si="505"/>
        <v>0.83439615038535253</v>
      </c>
      <c r="AD149" s="129">
        <f t="shared" si="505"/>
        <v>0.83439615038535253</v>
      </c>
      <c r="AE149" s="129">
        <f t="shared" si="505"/>
        <v>0.83439615038535253</v>
      </c>
      <c r="AF149" s="129">
        <f t="shared" si="505"/>
        <v>0.83439615038535253</v>
      </c>
      <c r="AG149" s="129">
        <f t="shared" si="505"/>
        <v>0.83439615038535253</v>
      </c>
      <c r="AH149" s="116">
        <f t="shared" si="315"/>
        <v>2.0102245172163302E-2</v>
      </c>
      <c r="AI149" s="10"/>
      <c r="AJ149" s="10"/>
    </row>
    <row r="150" spans="2:36" x14ac:dyDescent="0.2">
      <c r="B150" s="10" t="str">
        <f>B33</f>
        <v>Top Expenses ( Raw material )</v>
      </c>
      <c r="C150" s="10"/>
      <c r="D150" s="10"/>
      <c r="E150" s="10"/>
      <c r="F150" s="129"/>
      <c r="G150" s="129">
        <f t="shared" ref="G150" si="506">G33/G25</f>
        <v>0.25</v>
      </c>
      <c r="H150" s="129">
        <f t="shared" ref="H150:I150" si="507">H33/H25</f>
        <v>0.25</v>
      </c>
      <c r="I150" s="129">
        <f t="shared" si="507"/>
        <v>0.36332179930795849</v>
      </c>
      <c r="J150" s="129">
        <f t="shared" ref="J150:T150" si="508">J33/J25</f>
        <v>0.52791878172588835</v>
      </c>
      <c r="K150" s="129">
        <f t="shared" si="508"/>
        <v>0.58288450029922201</v>
      </c>
      <c r="L150" s="129">
        <f t="shared" si="508"/>
        <v>0.6119770303527482</v>
      </c>
      <c r="M150" s="129">
        <f t="shared" si="508"/>
        <v>0.5368421052631579</v>
      </c>
      <c r="N150" s="129">
        <f t="shared" si="508"/>
        <v>0.5989281886387996</v>
      </c>
      <c r="O150" s="129">
        <f t="shared" si="508"/>
        <v>0.65480178671133449</v>
      </c>
      <c r="P150" s="129">
        <f t="shared" si="508"/>
        <v>0.63605905140822949</v>
      </c>
      <c r="Q150" s="129">
        <f t="shared" si="508"/>
        <v>0.62083404546231413</v>
      </c>
      <c r="R150" s="129">
        <f t="shared" si="508"/>
        <v>0.59350906821352523</v>
      </c>
      <c r="S150" s="129">
        <f t="shared" si="508"/>
        <v>0.55128520477186083</v>
      </c>
      <c r="T150" s="129">
        <f t="shared" si="508"/>
        <v>0.51477570002906692</v>
      </c>
      <c r="U150" s="129">
        <f t="shared" ref="U150" si="509">U33/U25</f>
        <v>0.49016079183130551</v>
      </c>
      <c r="V150" s="101">
        <f t="shared" si="449"/>
        <v>4.9266026724147371E-2</v>
      </c>
      <c r="W150" s="10"/>
      <c r="X150" s="129">
        <f t="shared" ref="X150:AG150" si="510">X33/X25</f>
        <v>0.49016079183130551</v>
      </c>
      <c r="Y150" s="129">
        <f t="shared" si="510"/>
        <v>0.49016079183130551</v>
      </c>
      <c r="Z150" s="129">
        <f t="shared" si="510"/>
        <v>0.49016079183130551</v>
      </c>
      <c r="AA150" s="129">
        <f t="shared" si="510"/>
        <v>0.49016079183130545</v>
      </c>
      <c r="AB150" s="129">
        <f t="shared" si="510"/>
        <v>0.4901607918313054</v>
      </c>
      <c r="AC150" s="129">
        <f t="shared" si="510"/>
        <v>0.49016079183130545</v>
      </c>
      <c r="AD150" s="129">
        <f t="shared" si="510"/>
        <v>0.49016079183130545</v>
      </c>
      <c r="AE150" s="129">
        <f t="shared" si="510"/>
        <v>0.4901607918313054</v>
      </c>
      <c r="AF150" s="129">
        <f t="shared" si="510"/>
        <v>0.49016079183130545</v>
      </c>
      <c r="AG150" s="129">
        <f t="shared" si="510"/>
        <v>0.49016079183130545</v>
      </c>
      <c r="AH150" s="116">
        <f t="shared" si="315"/>
        <v>-3.2212772788674515E-3</v>
      </c>
      <c r="AI150" s="10"/>
      <c r="AJ150" s="10"/>
    </row>
    <row r="151" spans="2:36" x14ac:dyDescent="0.2">
      <c r="B151" s="10" t="str">
        <f>B34</f>
        <v>2nd highest Expenses Comp. ( Power and Fuel )</v>
      </c>
      <c r="C151" s="10"/>
      <c r="D151" s="10"/>
      <c r="E151" s="10"/>
      <c r="F151" s="129"/>
      <c r="G151" s="129">
        <f t="shared" ref="G151" si="511">G34/G25</f>
        <v>0.4375</v>
      </c>
      <c r="H151" s="129">
        <f t="shared" ref="H151:I151" si="512">H34/H25</f>
        <v>0.4375</v>
      </c>
      <c r="I151" s="129">
        <f t="shared" si="512"/>
        <v>0.17301038062283736</v>
      </c>
      <c r="J151" s="129">
        <f t="shared" ref="J151:T151" si="513">J34/J25</f>
        <v>0.14974619289340102</v>
      </c>
      <c r="K151" s="129">
        <f t="shared" si="513"/>
        <v>0.12088569718731298</v>
      </c>
      <c r="L151" s="129">
        <f t="shared" si="513"/>
        <v>8.9417555373256769E-2</v>
      </c>
      <c r="M151" s="129">
        <f t="shared" si="513"/>
        <v>8.7266553480475378E-2</v>
      </c>
      <c r="N151" s="129">
        <f t="shared" si="513"/>
        <v>7.7599142550911035E-2</v>
      </c>
      <c r="O151" s="129">
        <f t="shared" si="513"/>
        <v>6.6303740926856508E-2</v>
      </c>
      <c r="P151" s="129">
        <f t="shared" si="513"/>
        <v>6.8579206365825568E-2</v>
      </c>
      <c r="Q151" s="129">
        <f t="shared" si="513"/>
        <v>6.7168005469150568E-2</v>
      </c>
      <c r="R151" s="129">
        <f t="shared" si="513"/>
        <v>7.2398854541449439E-2</v>
      </c>
      <c r="S151" s="129">
        <f t="shared" si="513"/>
        <v>8.1109334645185091E-2</v>
      </c>
      <c r="T151" s="129">
        <f t="shared" si="513"/>
        <v>8.9150276136033324E-2</v>
      </c>
      <c r="U151" s="129">
        <f t="shared" ref="U151" si="514">U34/U25</f>
        <v>8.7398771566057659E-2</v>
      </c>
      <c r="V151" s="101">
        <f t="shared" si="449"/>
        <v>-0.10867176881635887</v>
      </c>
      <c r="W151" s="10"/>
      <c r="X151" s="129">
        <f t="shared" ref="X151:AG151" si="515">X34/X25</f>
        <v>8.7398771566057673E-2</v>
      </c>
      <c r="Y151" s="129">
        <f t="shared" si="515"/>
        <v>8.7398771566057673E-2</v>
      </c>
      <c r="Z151" s="129">
        <f t="shared" si="515"/>
        <v>8.7398771566057673E-2</v>
      </c>
      <c r="AA151" s="129">
        <f t="shared" si="515"/>
        <v>8.7398771566057673E-2</v>
      </c>
      <c r="AB151" s="129">
        <f t="shared" si="515"/>
        <v>8.7398771566057659E-2</v>
      </c>
      <c r="AC151" s="129">
        <f t="shared" si="515"/>
        <v>8.7398771566057673E-2</v>
      </c>
      <c r="AD151" s="129">
        <f t="shared" si="515"/>
        <v>8.7398771566057673E-2</v>
      </c>
      <c r="AE151" s="129">
        <f t="shared" si="515"/>
        <v>8.7398771566057673E-2</v>
      </c>
      <c r="AF151" s="129">
        <f t="shared" si="515"/>
        <v>8.7398771566057687E-2</v>
      </c>
      <c r="AG151" s="129">
        <f t="shared" si="515"/>
        <v>8.7398771566057687E-2</v>
      </c>
      <c r="AH151" s="116">
        <f t="shared" si="315"/>
        <v>-2.3139410787189618E-2</v>
      </c>
      <c r="AI151" s="10"/>
      <c r="AJ151" s="10"/>
    </row>
    <row r="152" spans="2:36" x14ac:dyDescent="0.2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22"/>
      <c r="V152" s="10"/>
      <c r="W152" s="10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17"/>
      <c r="AI152" s="10"/>
      <c r="AJ152" s="10"/>
    </row>
    <row r="153" spans="2:36" x14ac:dyDescent="0.2">
      <c r="B153" s="93" t="s">
        <v>307</v>
      </c>
      <c r="C153" s="10"/>
      <c r="D153" s="10"/>
      <c r="E153" s="10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22"/>
      <c r="V153" s="10"/>
      <c r="W153" s="10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16"/>
      <c r="AI153" s="10"/>
      <c r="AJ153" s="10"/>
    </row>
    <row r="154" spans="2:36" x14ac:dyDescent="0.2">
      <c r="B154" s="10" t="s">
        <v>310</v>
      </c>
      <c r="C154" s="10"/>
      <c r="D154" s="10"/>
      <c r="E154" s="10"/>
      <c r="F154" s="15"/>
      <c r="G154" s="15" t="e">
        <f t="shared" ref="G154" si="516">G15/G9</f>
        <v>#DIV/0!</v>
      </c>
      <c r="H154" s="15" t="e">
        <f t="shared" ref="H154:I154" si="517">H15/H9</f>
        <v>#DIV/0!</v>
      </c>
      <c r="I154" s="15" t="e">
        <f t="shared" si="517"/>
        <v>#DIV/0!</v>
      </c>
      <c r="J154" s="15" t="e">
        <f t="shared" ref="J154:T154" si="518">J15/J9</f>
        <v>#DIV/0!</v>
      </c>
      <c r="K154" s="15" t="e">
        <f t="shared" si="518"/>
        <v>#DIV/0!</v>
      </c>
      <c r="L154" s="15" t="e">
        <f t="shared" si="518"/>
        <v>#DIV/0!</v>
      </c>
      <c r="M154" s="15" t="e">
        <f t="shared" si="518"/>
        <v>#DIV/0!</v>
      </c>
      <c r="N154" s="15" t="e">
        <f t="shared" si="518"/>
        <v>#DIV/0!</v>
      </c>
      <c r="O154" s="15" t="e">
        <f t="shared" si="518"/>
        <v>#DIV/0!</v>
      </c>
      <c r="P154" s="15" t="e">
        <f t="shared" si="518"/>
        <v>#DIV/0!</v>
      </c>
      <c r="Q154" s="15" t="e">
        <f t="shared" si="518"/>
        <v>#DIV/0!</v>
      </c>
      <c r="R154" s="15" t="e">
        <f t="shared" si="518"/>
        <v>#DIV/0!</v>
      </c>
      <c r="S154" s="15" t="e">
        <f t="shared" si="518"/>
        <v>#DIV/0!</v>
      </c>
      <c r="T154" s="15" t="e">
        <f t="shared" si="518"/>
        <v>#VALUE!</v>
      </c>
      <c r="U154" s="15" t="e">
        <f t="shared" ref="U154" si="519">U15/U9</f>
        <v>#DIV/0!</v>
      </c>
      <c r="V154" s="101" t="e">
        <f t="shared" si="449"/>
        <v>#DIV/0!</v>
      </c>
      <c r="W154" s="10"/>
      <c r="X154" s="10" t="e">
        <f t="shared" ref="X154:AG154" si="520">X15/X9</f>
        <v>#DIV/0!</v>
      </c>
      <c r="Y154" s="10" t="e">
        <f t="shared" si="520"/>
        <v>#DIV/0!</v>
      </c>
      <c r="Z154" s="10" t="e">
        <f t="shared" si="520"/>
        <v>#DIV/0!</v>
      </c>
      <c r="AA154" s="10" t="e">
        <f t="shared" si="520"/>
        <v>#DIV/0!</v>
      </c>
      <c r="AB154" s="10" t="e">
        <f t="shared" si="520"/>
        <v>#DIV/0!</v>
      </c>
      <c r="AC154" s="10" t="e">
        <f t="shared" si="520"/>
        <v>#DIV/0!</v>
      </c>
      <c r="AD154" s="10" t="e">
        <f t="shared" si="520"/>
        <v>#DIV/0!</v>
      </c>
      <c r="AE154" s="10" t="e">
        <f t="shared" si="520"/>
        <v>#DIV/0!</v>
      </c>
      <c r="AF154" s="10" t="e">
        <f t="shared" si="520"/>
        <v>#DIV/0!</v>
      </c>
      <c r="AG154" s="10" t="e">
        <f t="shared" si="520"/>
        <v>#DIV/0!</v>
      </c>
      <c r="AH154" s="116" t="e">
        <f t="shared" si="315"/>
        <v>#DIV/0!</v>
      </c>
      <c r="AI154" s="10"/>
      <c r="AJ154" s="10"/>
    </row>
    <row r="155" spans="2:36" x14ac:dyDescent="0.2">
      <c r="B155" s="10" t="s">
        <v>300</v>
      </c>
      <c r="C155" s="10"/>
      <c r="D155" s="10"/>
      <c r="E155" s="10"/>
      <c r="F155" s="15"/>
      <c r="G155" s="15" t="e">
        <f t="shared" ref="G155" si="521">G12/G9</f>
        <v>#DIV/0!</v>
      </c>
      <c r="H155" s="15" t="e">
        <f t="shared" ref="H155:I155" si="522">H12/H9</f>
        <v>#DIV/0!</v>
      </c>
      <c r="I155" s="15" t="e">
        <f t="shared" si="522"/>
        <v>#DIV/0!</v>
      </c>
      <c r="J155" s="15" t="e">
        <f t="shared" ref="J155:T155" si="523">J12/J9</f>
        <v>#DIV/0!</v>
      </c>
      <c r="K155" s="15" t="e">
        <f t="shared" si="523"/>
        <v>#DIV/0!</v>
      </c>
      <c r="L155" s="15" t="e">
        <f t="shared" si="523"/>
        <v>#DIV/0!</v>
      </c>
      <c r="M155" s="15" t="e">
        <f t="shared" si="523"/>
        <v>#DIV/0!</v>
      </c>
      <c r="N155" s="15" t="e">
        <f t="shared" si="523"/>
        <v>#DIV/0!</v>
      </c>
      <c r="O155" s="15" t="e">
        <f t="shared" si="523"/>
        <v>#DIV/0!</v>
      </c>
      <c r="P155" s="15" t="e">
        <f t="shared" si="523"/>
        <v>#DIV/0!</v>
      </c>
      <c r="Q155" s="15" t="e">
        <f t="shared" si="523"/>
        <v>#DIV/0!</v>
      </c>
      <c r="R155" s="15" t="e">
        <f t="shared" si="523"/>
        <v>#DIV/0!</v>
      </c>
      <c r="S155" s="15" t="e">
        <f t="shared" si="523"/>
        <v>#DIV/0!</v>
      </c>
      <c r="T155" s="15" t="e">
        <f t="shared" si="523"/>
        <v>#VALUE!</v>
      </c>
      <c r="U155" s="15" t="e">
        <f t="shared" ref="U155" si="524">U12/U9</f>
        <v>#DIV/0!</v>
      </c>
      <c r="V155" s="101" t="e">
        <f t="shared" si="449"/>
        <v>#DIV/0!</v>
      </c>
      <c r="W155" s="110"/>
      <c r="X155" s="10" t="e">
        <f t="shared" ref="X155:AG155" si="525">X12/X9</f>
        <v>#DIV/0!</v>
      </c>
      <c r="Y155" s="10" t="e">
        <f t="shared" si="525"/>
        <v>#DIV/0!</v>
      </c>
      <c r="Z155" s="10" t="e">
        <f t="shared" si="525"/>
        <v>#DIV/0!</v>
      </c>
      <c r="AA155" s="10" t="e">
        <f t="shared" si="525"/>
        <v>#DIV/0!</v>
      </c>
      <c r="AB155" s="10" t="e">
        <f t="shared" si="525"/>
        <v>#DIV/0!</v>
      </c>
      <c r="AC155" s="10" t="e">
        <f t="shared" si="525"/>
        <v>#DIV/0!</v>
      </c>
      <c r="AD155" s="10" t="e">
        <f t="shared" si="525"/>
        <v>#DIV/0!</v>
      </c>
      <c r="AE155" s="10" t="e">
        <f t="shared" si="525"/>
        <v>#DIV/0!</v>
      </c>
      <c r="AF155" s="10" t="e">
        <f t="shared" si="525"/>
        <v>#DIV/0!</v>
      </c>
      <c r="AG155" s="10" t="e">
        <f t="shared" si="525"/>
        <v>#DIV/0!</v>
      </c>
      <c r="AH155" s="101" t="e">
        <f t="shared" ref="AH155" si="526">((AG155/X155)^(1/($K$2-$K$1) ))-1</f>
        <v>#DIV/0!</v>
      </c>
      <c r="AI155" s="10"/>
      <c r="AJ155" s="10"/>
    </row>
    <row r="156" spans="2:36" x14ac:dyDescent="0.2">
      <c r="B156" s="10" t="s">
        <v>302</v>
      </c>
      <c r="C156" s="10"/>
      <c r="D156" s="10"/>
      <c r="E156" s="10"/>
      <c r="F156" s="15"/>
      <c r="G156" s="15">
        <f t="shared" ref="G156" si="527">G25/360</f>
        <v>0.13333333333333333</v>
      </c>
      <c r="H156" s="15">
        <f t="shared" ref="H156:I156" si="528">H25/360</f>
        <v>0.13333333333333333</v>
      </c>
      <c r="I156" s="15">
        <f t="shared" si="528"/>
        <v>0.80277777777777781</v>
      </c>
      <c r="J156" s="15">
        <f t="shared" ref="J156:T156" si="529">J25/360</f>
        <v>2.1888888888888891</v>
      </c>
      <c r="K156" s="15">
        <f t="shared" si="529"/>
        <v>4.6416666666666666</v>
      </c>
      <c r="L156" s="15">
        <f t="shared" si="529"/>
        <v>6.7722222222222221</v>
      </c>
      <c r="M156" s="15">
        <f t="shared" si="529"/>
        <v>8.1805555555555554</v>
      </c>
      <c r="N156" s="15">
        <f t="shared" si="529"/>
        <v>12.958333333333334</v>
      </c>
      <c r="O156" s="15">
        <f t="shared" si="529"/>
        <v>19.899999999999999</v>
      </c>
      <c r="P156" s="15">
        <f t="shared" si="529"/>
        <v>26.530555555555555</v>
      </c>
      <c r="Q156" s="15">
        <f t="shared" si="529"/>
        <v>32.505555555555553</v>
      </c>
      <c r="R156" s="15">
        <f t="shared" si="529"/>
        <v>37.830555555555556</v>
      </c>
      <c r="S156" s="15">
        <f t="shared" si="529"/>
        <v>45.172222222222224</v>
      </c>
      <c r="T156" s="15">
        <f t="shared" si="529"/>
        <v>57.338888888888889</v>
      </c>
      <c r="U156" s="15">
        <f t="shared" ref="U156" si="530">U25/360</f>
        <v>71.00277777777778</v>
      </c>
      <c r="V156" s="101">
        <f t="shared" si="449"/>
        <v>0.56580735520233305</v>
      </c>
      <c r="W156" s="110"/>
      <c r="X156" s="15">
        <f t="shared" ref="X156:AG156" si="531">X25/360</f>
        <v>81.653194444444438</v>
      </c>
      <c r="Y156" s="15">
        <f t="shared" si="531"/>
        <v>93.901173611111091</v>
      </c>
      <c r="Z156" s="15">
        <f t="shared" si="531"/>
        <v>107.98634965277775</v>
      </c>
      <c r="AA156" s="15">
        <f t="shared" si="531"/>
        <v>124.18430210069441</v>
      </c>
      <c r="AB156" s="15">
        <f t="shared" si="531"/>
        <v>142.81194741579856</v>
      </c>
      <c r="AC156" s="15">
        <f t="shared" si="531"/>
        <v>164.23373952816834</v>
      </c>
      <c r="AD156" s="15">
        <f t="shared" si="531"/>
        <v>188.86880045739358</v>
      </c>
      <c r="AE156" s="15">
        <f t="shared" si="531"/>
        <v>217.19912052600259</v>
      </c>
      <c r="AF156" s="15">
        <f t="shared" si="531"/>
        <v>249.77898860490293</v>
      </c>
      <c r="AG156" s="15">
        <f t="shared" si="531"/>
        <v>287.24583689563832</v>
      </c>
      <c r="AH156" s="101">
        <f t="shared" ref="AH156:AH167" si="532">((AG156/X156)^(1/($K$2-$K$1) ))-1</f>
        <v>9.4006847318931053E-2</v>
      </c>
      <c r="AI156" s="10"/>
      <c r="AJ156" s="10"/>
    </row>
    <row r="157" spans="2:36" x14ac:dyDescent="0.2">
      <c r="B157" s="10" t="s">
        <v>301</v>
      </c>
      <c r="C157" s="10"/>
      <c r="D157" s="10"/>
      <c r="E157" s="10"/>
      <c r="F157" s="15"/>
      <c r="G157" s="15">
        <f t="shared" ref="G157" si="533">G27/360</f>
        <v>3.2916666666666664E-2</v>
      </c>
      <c r="H157" s="15">
        <f t="shared" ref="H157:I157" si="534">H27/360</f>
        <v>3.2916666666666664E-2</v>
      </c>
      <c r="I157" s="15">
        <f t="shared" si="534"/>
        <v>0.29166666666666669</v>
      </c>
      <c r="J157" s="15">
        <f t="shared" ref="J157:T157" si="535">J27/360</f>
        <v>1.1555555555555554</v>
      </c>
      <c r="K157" s="15">
        <f t="shared" si="535"/>
        <v>2.7055555555555557</v>
      </c>
      <c r="L157" s="15">
        <f t="shared" si="535"/>
        <v>4.1444444444444448</v>
      </c>
      <c r="M157" s="15">
        <f t="shared" si="535"/>
        <v>6.8527777777777779</v>
      </c>
      <c r="N157" s="15">
        <f t="shared" si="535"/>
        <v>10.936111111111112</v>
      </c>
      <c r="O157" s="15">
        <f t="shared" si="535"/>
        <v>17.18611111111111</v>
      </c>
      <c r="P157" s="15">
        <f t="shared" si="535"/>
        <v>22.916666666666668</v>
      </c>
      <c r="Q157" s="15">
        <f t="shared" si="535"/>
        <v>28.030555555555555</v>
      </c>
      <c r="R157" s="15">
        <f t="shared" si="535"/>
        <v>32.283333333333331</v>
      </c>
      <c r="S157" s="15">
        <f t="shared" si="535"/>
        <v>38.147222222222226</v>
      </c>
      <c r="T157" s="15">
        <f t="shared" si="535"/>
        <v>48.06111111111111</v>
      </c>
      <c r="U157" s="15">
        <f t="shared" ref="U157" si="536">U27/360</f>
        <v>59.244444444444447</v>
      </c>
      <c r="V157" s="101">
        <f t="shared" si="449"/>
        <v>0.70811283417125326</v>
      </c>
      <c r="W157" s="110"/>
      <c r="X157" s="15">
        <f t="shared" ref="X157:AG157" si="537">X27/360</f>
        <v>68.131111111111096</v>
      </c>
      <c r="Y157" s="15">
        <f t="shared" si="537"/>
        <v>78.350777777777765</v>
      </c>
      <c r="Z157" s="15">
        <f t="shared" si="537"/>
        <v>90.103394444444419</v>
      </c>
      <c r="AA157" s="15">
        <f t="shared" si="537"/>
        <v>103.61890361111107</v>
      </c>
      <c r="AB157" s="15">
        <f t="shared" si="537"/>
        <v>119.16173915277771</v>
      </c>
      <c r="AC157" s="15">
        <f t="shared" si="537"/>
        <v>137.03600002569436</v>
      </c>
      <c r="AD157" s="15">
        <f t="shared" si="537"/>
        <v>157.59140002954851</v>
      </c>
      <c r="AE157" s="15">
        <f t="shared" si="537"/>
        <v>181.23011003398076</v>
      </c>
      <c r="AF157" s="15">
        <f t="shared" si="537"/>
        <v>208.41462653907786</v>
      </c>
      <c r="AG157" s="15">
        <f t="shared" si="537"/>
        <v>239.6768205199395</v>
      </c>
      <c r="AH157" s="101">
        <f t="shared" si="532"/>
        <v>9.4006847318931053E-2</v>
      </c>
      <c r="AI157" s="10"/>
      <c r="AJ157" s="10"/>
    </row>
    <row r="158" spans="2:36" x14ac:dyDescent="0.2">
      <c r="B158" s="10"/>
      <c r="C158" s="10"/>
      <c r="D158" s="10"/>
      <c r="E158" s="10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22"/>
      <c r="V158" s="10"/>
      <c r="W158" s="10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10"/>
      <c r="AI158" s="10"/>
      <c r="AJ158" s="10"/>
    </row>
    <row r="159" spans="2:36" x14ac:dyDescent="0.2">
      <c r="B159" s="10" t="s">
        <v>311</v>
      </c>
      <c r="C159" s="10"/>
      <c r="D159" s="10"/>
      <c r="E159" s="10"/>
      <c r="F159" s="15"/>
      <c r="G159" s="15">
        <f t="shared" ref="G159" si="538">G10/G7</f>
        <v>4.7557603686635943</v>
      </c>
      <c r="H159" s="15">
        <f t="shared" ref="H159:I159" si="539">H10/H7</f>
        <v>4.7557603686635943</v>
      </c>
      <c r="I159" s="15">
        <f t="shared" si="539"/>
        <v>5.90034965034965</v>
      </c>
      <c r="J159" s="15">
        <f t="shared" ref="J159:T159" si="540">J10/J7</f>
        <v>11.546378653113088</v>
      </c>
      <c r="K159" s="15">
        <f t="shared" si="540"/>
        <v>10.810462471569371</v>
      </c>
      <c r="L159" s="15">
        <f t="shared" si="540"/>
        <v>11.304187192118226</v>
      </c>
      <c r="M159" s="15">
        <f t="shared" si="540"/>
        <v>10.212690191000323</v>
      </c>
      <c r="N159" s="15">
        <f t="shared" si="540"/>
        <v>13.871639430680021</v>
      </c>
      <c r="O159" s="15">
        <f t="shared" si="540"/>
        <v>13.538922155688622</v>
      </c>
      <c r="P159" s="15">
        <f t="shared" si="540"/>
        <v>15.132942999827794</v>
      </c>
      <c r="Q159" s="15">
        <f t="shared" si="540"/>
        <v>13.422206605762474</v>
      </c>
      <c r="R159" s="15">
        <f t="shared" si="540"/>
        <v>10.062494642091727</v>
      </c>
      <c r="S159" s="15">
        <f t="shared" si="540"/>
        <v>10.417308530736811</v>
      </c>
      <c r="T159" s="15">
        <f t="shared" si="540"/>
        <v>8.2337724034665811</v>
      </c>
      <c r="U159" s="15">
        <f t="shared" ref="U159" si="541">U10/U7</f>
        <v>10.701382416899659</v>
      </c>
      <c r="V159" s="101">
        <f t="shared" si="449"/>
        <v>5.9640541120114632E-2</v>
      </c>
      <c r="W159" s="110"/>
      <c r="X159" s="15">
        <f t="shared" ref="X159:AG159" si="542">X10/X7</f>
        <v>10.701382416899659</v>
      </c>
      <c r="Y159" s="15">
        <f t="shared" si="542"/>
        <v>10.701382416899659</v>
      </c>
      <c r="Z159" s="15">
        <f t="shared" si="542"/>
        <v>10.701382416899657</v>
      </c>
      <c r="AA159" s="15">
        <f t="shared" si="542"/>
        <v>10.701382416899657</v>
      </c>
      <c r="AB159" s="15">
        <f t="shared" si="542"/>
        <v>10.701382416899655</v>
      </c>
      <c r="AC159" s="15">
        <f t="shared" si="542"/>
        <v>10.701382416899655</v>
      </c>
      <c r="AD159" s="15">
        <f t="shared" si="542"/>
        <v>10.701382416899657</v>
      </c>
      <c r="AE159" s="15">
        <f t="shared" si="542"/>
        <v>10.701382416899657</v>
      </c>
      <c r="AF159" s="15">
        <f t="shared" si="542"/>
        <v>10.701382416899657</v>
      </c>
      <c r="AG159" s="15">
        <f t="shared" si="542"/>
        <v>10.701382416899657</v>
      </c>
      <c r="AH159" s="101">
        <f t="shared" si="532"/>
        <v>0</v>
      </c>
      <c r="AI159" s="10"/>
      <c r="AJ159" s="10"/>
    </row>
    <row r="160" spans="2:36" x14ac:dyDescent="0.2">
      <c r="B160" s="10" t="s">
        <v>303</v>
      </c>
      <c r="C160" s="10"/>
      <c r="D160" s="10"/>
      <c r="E160" s="10"/>
      <c r="F160" s="15"/>
      <c r="G160" s="15">
        <f t="shared" ref="G160" si="543">G10/(G10+G7)</f>
        <v>0.82626100880704567</v>
      </c>
      <c r="H160" s="15">
        <f t="shared" ref="H160:I160" si="544">H10/(H10+H7)</f>
        <v>0.82626100880704567</v>
      </c>
      <c r="I160" s="15">
        <f t="shared" si="544"/>
        <v>0.85507980744869516</v>
      </c>
      <c r="J160" s="15">
        <f t="shared" ref="J160:T160" si="545">J10/(J10+J7)</f>
        <v>0.92029572614948352</v>
      </c>
      <c r="K160" s="15">
        <f t="shared" si="545"/>
        <v>0.91532931056618305</v>
      </c>
      <c r="L160" s="15">
        <f t="shared" si="545"/>
        <v>0.91872685416875188</v>
      </c>
      <c r="M160" s="15">
        <f t="shared" si="545"/>
        <v>0.91081533664395431</v>
      </c>
      <c r="N160" s="15">
        <f t="shared" si="545"/>
        <v>0.93275791787037199</v>
      </c>
      <c r="O160" s="15">
        <f t="shared" si="545"/>
        <v>0.9312191103789127</v>
      </c>
      <c r="P160" s="15">
        <f t="shared" si="545"/>
        <v>0.93801502924725677</v>
      </c>
      <c r="Q160" s="15">
        <f t="shared" si="545"/>
        <v>0.93066248270216545</v>
      </c>
      <c r="R160" s="15">
        <f t="shared" si="545"/>
        <v>0.90960447599268468</v>
      </c>
      <c r="S160" s="15">
        <f t="shared" si="545"/>
        <v>0.91241368337311057</v>
      </c>
      <c r="T160" s="15">
        <f t="shared" si="545"/>
        <v>0.89170190077193412</v>
      </c>
      <c r="U160" s="15">
        <f t="shared" ref="U160" si="546">U10/(U10+U7)</f>
        <v>0.91454001207961932</v>
      </c>
      <c r="V160" s="101">
        <f t="shared" si="449"/>
        <v>7.2771006907832447E-3</v>
      </c>
      <c r="W160" s="110"/>
      <c r="X160" s="15">
        <f t="shared" ref="X160:AG160" si="547">X10/(X10+X7)</f>
        <v>0.91454001207961932</v>
      </c>
      <c r="Y160" s="15">
        <f t="shared" si="547"/>
        <v>0.91454001207961921</v>
      </c>
      <c r="Z160" s="15">
        <f t="shared" si="547"/>
        <v>0.91454001207961932</v>
      </c>
      <c r="AA160" s="15">
        <f t="shared" si="547"/>
        <v>0.91454001207961932</v>
      </c>
      <c r="AB160" s="15">
        <f t="shared" si="547"/>
        <v>0.91454001207961932</v>
      </c>
      <c r="AC160" s="15">
        <f t="shared" si="547"/>
        <v>0.91454001207961921</v>
      </c>
      <c r="AD160" s="15">
        <f t="shared" si="547"/>
        <v>0.91454001207961932</v>
      </c>
      <c r="AE160" s="15">
        <f t="shared" si="547"/>
        <v>0.91454001207961932</v>
      </c>
      <c r="AF160" s="15">
        <f t="shared" si="547"/>
        <v>0.91454001207961932</v>
      </c>
      <c r="AG160" s="15">
        <f t="shared" si="547"/>
        <v>0.91454001207961921</v>
      </c>
      <c r="AH160" s="101">
        <f t="shared" si="532"/>
        <v>0</v>
      </c>
      <c r="AI160" s="10"/>
      <c r="AJ160" s="10"/>
    </row>
    <row r="161" spans="2:36" x14ac:dyDescent="0.2">
      <c r="B161" s="10"/>
      <c r="C161" s="10"/>
      <c r="D161" s="10"/>
      <c r="E161" s="10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22"/>
      <c r="V161" s="10"/>
      <c r="W161" s="10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15"/>
      <c r="AI161" s="10"/>
      <c r="AJ161" s="10"/>
    </row>
    <row r="162" spans="2:36" x14ac:dyDescent="0.2">
      <c r="B162" s="10" t="s">
        <v>308</v>
      </c>
      <c r="C162" s="10"/>
      <c r="D162" s="10"/>
      <c r="E162" s="10"/>
      <c r="F162" s="15"/>
      <c r="G162" s="15">
        <f t="shared" ref="G162" si="548">G16</f>
        <v>0</v>
      </c>
      <c r="H162" s="15">
        <f t="shared" ref="H162:I162" si="549">H16</f>
        <v>0</v>
      </c>
      <c r="I162" s="15">
        <f t="shared" si="549"/>
        <v>0</v>
      </c>
      <c r="J162" s="15">
        <f t="shared" ref="J162:T162" si="550">J16</f>
        <v>0</v>
      </c>
      <c r="K162" s="15">
        <f t="shared" si="550"/>
        <v>0</v>
      </c>
      <c r="L162" s="15">
        <f t="shared" si="550"/>
        <v>0</v>
      </c>
      <c r="M162" s="15">
        <f t="shared" si="550"/>
        <v>0</v>
      </c>
      <c r="N162" s="15">
        <f t="shared" si="550"/>
        <v>0</v>
      </c>
      <c r="O162" s="15">
        <f t="shared" si="550"/>
        <v>0</v>
      </c>
      <c r="P162" s="15">
        <f t="shared" si="550"/>
        <v>0</v>
      </c>
      <c r="Q162" s="15">
        <f t="shared" si="550"/>
        <v>0</v>
      </c>
      <c r="R162" s="15">
        <f t="shared" si="550"/>
        <v>0</v>
      </c>
      <c r="S162" s="15">
        <f t="shared" si="550"/>
        <v>0</v>
      </c>
      <c r="T162" s="15" t="str">
        <f t="shared" si="550"/>
        <v>-</v>
      </c>
      <c r="U162" s="15">
        <f t="shared" ref="U162" si="551">U16</f>
        <v>0</v>
      </c>
      <c r="V162" s="101" t="e">
        <f t="shared" si="449"/>
        <v>#DIV/0!</v>
      </c>
      <c r="W162" s="110"/>
      <c r="X162" s="15">
        <f t="shared" ref="X162:AG162" si="552">X16</f>
        <v>0</v>
      </c>
      <c r="Y162" s="15">
        <f t="shared" si="552"/>
        <v>0</v>
      </c>
      <c r="Z162" s="15">
        <f t="shared" si="552"/>
        <v>0</v>
      </c>
      <c r="AA162" s="15">
        <f t="shared" si="552"/>
        <v>0</v>
      </c>
      <c r="AB162" s="15">
        <f t="shared" si="552"/>
        <v>0</v>
      </c>
      <c r="AC162" s="15">
        <f t="shared" si="552"/>
        <v>0</v>
      </c>
      <c r="AD162" s="15">
        <f t="shared" si="552"/>
        <v>0</v>
      </c>
      <c r="AE162" s="15">
        <f t="shared" si="552"/>
        <v>0</v>
      </c>
      <c r="AF162" s="15">
        <f t="shared" si="552"/>
        <v>0</v>
      </c>
      <c r="AG162" s="15">
        <f t="shared" si="552"/>
        <v>0</v>
      </c>
      <c r="AH162" s="101" t="e">
        <f t="shared" si="532"/>
        <v>#DIV/0!</v>
      </c>
      <c r="AI162" s="10"/>
      <c r="AJ162" s="10"/>
    </row>
    <row r="163" spans="2:36" x14ac:dyDescent="0.2">
      <c r="B163" s="10" t="s">
        <v>309</v>
      </c>
      <c r="C163" s="10"/>
      <c r="D163" s="10"/>
      <c r="E163" s="10"/>
      <c r="F163" s="102"/>
      <c r="G163" s="102">
        <f t="shared" ref="G163" si="553">G162*365/G25</f>
        <v>0</v>
      </c>
      <c r="H163" s="102">
        <f t="shared" ref="H163:I163" si="554">H162*365/H25</f>
        <v>0</v>
      </c>
      <c r="I163" s="102">
        <f t="shared" si="554"/>
        <v>0</v>
      </c>
      <c r="J163" s="102">
        <f t="shared" ref="J163:T163" si="555">J162*365/J25</f>
        <v>0</v>
      </c>
      <c r="K163" s="102">
        <f t="shared" si="555"/>
        <v>0</v>
      </c>
      <c r="L163" s="102">
        <f t="shared" si="555"/>
        <v>0</v>
      </c>
      <c r="M163" s="102">
        <f t="shared" si="555"/>
        <v>0</v>
      </c>
      <c r="N163" s="102">
        <f t="shared" si="555"/>
        <v>0</v>
      </c>
      <c r="O163" s="102">
        <f t="shared" si="555"/>
        <v>0</v>
      </c>
      <c r="P163" s="102">
        <f t="shared" si="555"/>
        <v>0</v>
      </c>
      <c r="Q163" s="102">
        <f t="shared" si="555"/>
        <v>0</v>
      </c>
      <c r="R163" s="102">
        <f t="shared" si="555"/>
        <v>0</v>
      </c>
      <c r="S163" s="102">
        <f t="shared" si="555"/>
        <v>0</v>
      </c>
      <c r="T163" s="102" t="e">
        <f t="shared" si="555"/>
        <v>#VALUE!</v>
      </c>
      <c r="U163" s="102">
        <f t="shared" ref="U163" si="556">U162*365/U25</f>
        <v>0</v>
      </c>
      <c r="V163" s="101" t="e">
        <f t="shared" si="449"/>
        <v>#DIV/0!</v>
      </c>
      <c r="W163" s="110"/>
      <c r="X163" s="102">
        <f t="shared" ref="X163:AG163" si="557">X162*365/X25</f>
        <v>0</v>
      </c>
      <c r="Y163" s="102">
        <f t="shared" si="557"/>
        <v>0</v>
      </c>
      <c r="Z163" s="102">
        <f t="shared" si="557"/>
        <v>0</v>
      </c>
      <c r="AA163" s="102">
        <f t="shared" si="557"/>
        <v>0</v>
      </c>
      <c r="AB163" s="102">
        <f t="shared" si="557"/>
        <v>0</v>
      </c>
      <c r="AC163" s="102">
        <f t="shared" si="557"/>
        <v>0</v>
      </c>
      <c r="AD163" s="102">
        <f t="shared" si="557"/>
        <v>0</v>
      </c>
      <c r="AE163" s="102">
        <f t="shared" si="557"/>
        <v>0</v>
      </c>
      <c r="AF163" s="102">
        <f t="shared" si="557"/>
        <v>0</v>
      </c>
      <c r="AG163" s="102">
        <f t="shared" si="557"/>
        <v>0</v>
      </c>
      <c r="AH163" s="101" t="e">
        <f t="shared" si="532"/>
        <v>#DIV/0!</v>
      </c>
      <c r="AI163" s="10"/>
      <c r="AJ163" s="10"/>
    </row>
    <row r="164" spans="2:36" x14ac:dyDescent="0.2">
      <c r="B164" s="10" t="s">
        <v>312</v>
      </c>
      <c r="C164" s="10"/>
      <c r="D164" s="10"/>
      <c r="E164" s="10"/>
      <c r="F164" s="112"/>
      <c r="G164" s="112">
        <f t="shared" ref="G164" si="558">G98/G29</f>
        <v>0</v>
      </c>
      <c r="H164" s="112">
        <f t="shared" ref="H164:I164" si="559">H98/H29</f>
        <v>0</v>
      </c>
      <c r="I164" s="112">
        <f t="shared" si="559"/>
        <v>0</v>
      </c>
      <c r="J164" s="112">
        <f t="shared" ref="J164:T164" si="560">J98/J29</f>
        <v>0</v>
      </c>
      <c r="K164" s="112">
        <f t="shared" si="560"/>
        <v>0</v>
      </c>
      <c r="L164" s="112">
        <f t="shared" si="560"/>
        <v>0</v>
      </c>
      <c r="M164" s="112">
        <f t="shared" si="560"/>
        <v>0</v>
      </c>
      <c r="N164" s="112">
        <f t="shared" si="560"/>
        <v>0</v>
      </c>
      <c r="O164" s="112">
        <f t="shared" si="560"/>
        <v>0</v>
      </c>
      <c r="P164" s="112">
        <f t="shared" si="560"/>
        <v>0</v>
      </c>
      <c r="Q164" s="112">
        <f t="shared" si="560"/>
        <v>0</v>
      </c>
      <c r="R164" s="112">
        <f t="shared" si="560"/>
        <v>0</v>
      </c>
      <c r="S164" s="112">
        <f t="shared" si="560"/>
        <v>0</v>
      </c>
      <c r="T164" s="112" t="e">
        <f t="shared" si="560"/>
        <v>#VALUE!</v>
      </c>
      <c r="U164" s="112">
        <f t="shared" ref="U164" si="561">U98/U29</f>
        <v>0</v>
      </c>
      <c r="V164" s="101" t="e">
        <f t="shared" si="449"/>
        <v>#DIV/0!</v>
      </c>
      <c r="W164" s="110"/>
      <c r="X164" s="112">
        <f t="shared" ref="X164:AG164" si="562">X98/X29</f>
        <v>0</v>
      </c>
      <c r="Y164" s="112">
        <f t="shared" si="562"/>
        <v>0</v>
      </c>
      <c r="Z164" s="112">
        <f t="shared" si="562"/>
        <v>0</v>
      </c>
      <c r="AA164" s="112">
        <f t="shared" si="562"/>
        <v>0</v>
      </c>
      <c r="AB164" s="112">
        <f t="shared" si="562"/>
        <v>0</v>
      </c>
      <c r="AC164" s="112">
        <f t="shared" si="562"/>
        <v>0</v>
      </c>
      <c r="AD164" s="112">
        <f t="shared" si="562"/>
        <v>0</v>
      </c>
      <c r="AE164" s="112">
        <f t="shared" si="562"/>
        <v>0</v>
      </c>
      <c r="AF164" s="112">
        <f t="shared" si="562"/>
        <v>0</v>
      </c>
      <c r="AG164" s="112">
        <f t="shared" si="562"/>
        <v>0</v>
      </c>
      <c r="AH164" s="101" t="e">
        <f t="shared" si="532"/>
        <v>#DIV/0!</v>
      </c>
      <c r="AI164" s="10"/>
      <c r="AJ164" s="10"/>
    </row>
    <row r="165" spans="2:36" x14ac:dyDescent="0.2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22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15"/>
      <c r="AI165" s="10"/>
      <c r="AJ165" s="10"/>
    </row>
    <row r="166" spans="2:36" x14ac:dyDescent="0.2">
      <c r="B166" s="10" t="s">
        <v>319</v>
      </c>
      <c r="C166" s="10"/>
      <c r="D166" s="10"/>
      <c r="E166" s="10"/>
      <c r="F166" s="156"/>
      <c r="G166" s="156" t="e">
        <f t="shared" ref="G166" si="563">G25/G14</f>
        <v>#DIV/0!</v>
      </c>
      <c r="H166" s="156" t="e">
        <f t="shared" ref="H166:I166" si="564">H25/H14</f>
        <v>#DIV/0!</v>
      </c>
      <c r="I166" s="156" t="e">
        <f t="shared" si="564"/>
        <v>#DIV/0!</v>
      </c>
      <c r="J166" s="156" t="e">
        <f t="shared" ref="J166:T166" si="565">J25/J14</f>
        <v>#DIV/0!</v>
      </c>
      <c r="K166" s="156" t="e">
        <f t="shared" si="565"/>
        <v>#DIV/0!</v>
      </c>
      <c r="L166" s="156" t="e">
        <f t="shared" si="565"/>
        <v>#DIV/0!</v>
      </c>
      <c r="M166" s="156" t="e">
        <f t="shared" si="565"/>
        <v>#DIV/0!</v>
      </c>
      <c r="N166" s="156" t="e">
        <f t="shared" si="565"/>
        <v>#DIV/0!</v>
      </c>
      <c r="O166" s="156" t="e">
        <f t="shared" si="565"/>
        <v>#DIV/0!</v>
      </c>
      <c r="P166" s="156" t="e">
        <f t="shared" si="565"/>
        <v>#DIV/0!</v>
      </c>
      <c r="Q166" s="156" t="e">
        <f t="shared" si="565"/>
        <v>#DIV/0!</v>
      </c>
      <c r="R166" s="156" t="e">
        <f t="shared" si="565"/>
        <v>#DIV/0!</v>
      </c>
      <c r="S166" s="156" t="e">
        <f t="shared" si="565"/>
        <v>#DIV/0!</v>
      </c>
      <c r="T166" s="156" t="e">
        <f t="shared" si="565"/>
        <v>#VALUE!</v>
      </c>
      <c r="U166" s="156" t="e">
        <f t="shared" ref="U166" si="566">U25/U14</f>
        <v>#DIV/0!</v>
      </c>
      <c r="V166" s="101" t="e">
        <f t="shared" si="449"/>
        <v>#DIV/0!</v>
      </c>
      <c r="W166" s="110"/>
      <c r="X166" s="10" t="e">
        <f t="shared" ref="X166:AG166" si="567">X25/X14</f>
        <v>#DIV/0!</v>
      </c>
      <c r="Y166" s="10" t="e">
        <f t="shared" si="567"/>
        <v>#DIV/0!</v>
      </c>
      <c r="Z166" s="10" t="e">
        <f t="shared" si="567"/>
        <v>#DIV/0!</v>
      </c>
      <c r="AA166" s="10" t="e">
        <f t="shared" si="567"/>
        <v>#DIV/0!</v>
      </c>
      <c r="AB166" s="10" t="e">
        <f t="shared" si="567"/>
        <v>#DIV/0!</v>
      </c>
      <c r="AC166" s="10" t="e">
        <f t="shared" si="567"/>
        <v>#DIV/0!</v>
      </c>
      <c r="AD166" s="10" t="e">
        <f t="shared" si="567"/>
        <v>#DIV/0!</v>
      </c>
      <c r="AE166" s="10" t="e">
        <f t="shared" si="567"/>
        <v>#DIV/0!</v>
      </c>
      <c r="AF166" s="10" t="e">
        <f t="shared" si="567"/>
        <v>#DIV/0!</v>
      </c>
      <c r="AG166" s="10" t="e">
        <f t="shared" si="567"/>
        <v>#DIV/0!</v>
      </c>
      <c r="AH166" s="101" t="e">
        <f t="shared" si="532"/>
        <v>#DIV/0!</v>
      </c>
      <c r="AI166" s="10"/>
      <c r="AJ166" s="10"/>
    </row>
    <row r="167" spans="2:36" x14ac:dyDescent="0.2">
      <c r="B167" s="10" t="s">
        <v>320</v>
      </c>
      <c r="C167" s="10"/>
      <c r="D167" s="10"/>
      <c r="E167" s="10"/>
      <c r="F167" s="156"/>
      <c r="G167" s="156" t="e">
        <f t="shared" ref="G167" si="568">G27/G14</f>
        <v>#DIV/0!</v>
      </c>
      <c r="H167" s="156" t="e">
        <f t="shared" ref="H167:I167" si="569">H27/H14</f>
        <v>#DIV/0!</v>
      </c>
      <c r="I167" s="156" t="e">
        <f t="shared" si="569"/>
        <v>#DIV/0!</v>
      </c>
      <c r="J167" s="156" t="e">
        <f t="shared" ref="J167:T167" si="570">J27/J14</f>
        <v>#DIV/0!</v>
      </c>
      <c r="K167" s="156" t="e">
        <f t="shared" si="570"/>
        <v>#DIV/0!</v>
      </c>
      <c r="L167" s="156" t="e">
        <f t="shared" si="570"/>
        <v>#DIV/0!</v>
      </c>
      <c r="M167" s="156" t="e">
        <f t="shared" si="570"/>
        <v>#DIV/0!</v>
      </c>
      <c r="N167" s="156" t="e">
        <f t="shared" si="570"/>
        <v>#DIV/0!</v>
      </c>
      <c r="O167" s="156" t="e">
        <f t="shared" si="570"/>
        <v>#DIV/0!</v>
      </c>
      <c r="P167" s="156" t="e">
        <f t="shared" si="570"/>
        <v>#DIV/0!</v>
      </c>
      <c r="Q167" s="156" t="e">
        <f t="shared" si="570"/>
        <v>#DIV/0!</v>
      </c>
      <c r="R167" s="156" t="e">
        <f t="shared" si="570"/>
        <v>#DIV/0!</v>
      </c>
      <c r="S167" s="156" t="e">
        <f t="shared" si="570"/>
        <v>#DIV/0!</v>
      </c>
      <c r="T167" s="156" t="e">
        <f t="shared" si="570"/>
        <v>#VALUE!</v>
      </c>
      <c r="U167" s="156" t="e">
        <f t="shared" ref="U167" si="571">U27/U14</f>
        <v>#DIV/0!</v>
      </c>
      <c r="V167" s="101" t="e">
        <f t="shared" si="449"/>
        <v>#DIV/0!</v>
      </c>
      <c r="W167" s="110"/>
      <c r="X167" s="10" t="e">
        <f t="shared" ref="X167:AG167" si="572">X27/X14</f>
        <v>#DIV/0!</v>
      </c>
      <c r="Y167" s="10" t="e">
        <f t="shared" si="572"/>
        <v>#DIV/0!</v>
      </c>
      <c r="Z167" s="10" t="e">
        <f t="shared" si="572"/>
        <v>#DIV/0!</v>
      </c>
      <c r="AA167" s="10" t="e">
        <f t="shared" si="572"/>
        <v>#DIV/0!</v>
      </c>
      <c r="AB167" s="10" t="e">
        <f t="shared" si="572"/>
        <v>#DIV/0!</v>
      </c>
      <c r="AC167" s="10" t="e">
        <f t="shared" si="572"/>
        <v>#DIV/0!</v>
      </c>
      <c r="AD167" s="10" t="e">
        <f t="shared" si="572"/>
        <v>#DIV/0!</v>
      </c>
      <c r="AE167" s="10" t="e">
        <f t="shared" si="572"/>
        <v>#DIV/0!</v>
      </c>
      <c r="AF167" s="10" t="e">
        <f t="shared" si="572"/>
        <v>#DIV/0!</v>
      </c>
      <c r="AG167" s="10" t="e">
        <f t="shared" si="572"/>
        <v>#DIV/0!</v>
      </c>
      <c r="AH167" s="101" t="e">
        <f t="shared" si="532"/>
        <v>#DIV/0!</v>
      </c>
      <c r="AI167" s="10"/>
      <c r="AJ167" s="10"/>
    </row>
    <row r="168" spans="2:36" x14ac:dyDescent="0.2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0"/>
      <c r="W168" s="110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  <c r="AH168" s="115"/>
      <c r="AI168" s="10"/>
      <c r="AJ168" s="10"/>
    </row>
    <row r="169" spans="2:36" x14ac:dyDescent="0.2">
      <c r="B169" s="93" t="s">
        <v>202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3" t="s">
        <v>505</v>
      </c>
      <c r="T169" s="13" t="s">
        <v>413</v>
      </c>
      <c r="U169" s="13" t="s">
        <v>413</v>
      </c>
      <c r="V169" s="13" t="s">
        <v>506</v>
      </c>
      <c r="W169" s="10"/>
      <c r="X169" s="105" t="s">
        <v>54</v>
      </c>
      <c r="Y169" s="10"/>
      <c r="Z169" s="10"/>
      <c r="AA169" s="10"/>
      <c r="AB169" s="10"/>
      <c r="AC169" s="10"/>
      <c r="AD169" s="10"/>
      <c r="AE169" s="10"/>
      <c r="AF169" s="10"/>
      <c r="AG169" s="10"/>
      <c r="AH169" s="115"/>
      <c r="AI169" s="10"/>
      <c r="AJ169" s="10"/>
    </row>
    <row r="170" spans="2:36" x14ac:dyDescent="0.2">
      <c r="B170" s="13" t="s">
        <v>231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12">
        <f>AVERAGE(G102:T102)</f>
        <v>4.2194903320657797</v>
      </c>
      <c r="T170" s="112">
        <f>AVERAGE(Q102:U102)</f>
        <v>11.906630769898822</v>
      </c>
      <c r="U170" s="112">
        <f>AVERAGE(Q72:U72)</f>
        <v>48.837568371305707</v>
      </c>
      <c r="V170" s="112">
        <f>AVERAGE(L72:U72)</f>
        <v>35.339035910026226</v>
      </c>
      <c r="W170" s="10"/>
      <c r="X170" s="170" t="s">
        <v>374</v>
      </c>
      <c r="Y170" s="171" t="s">
        <v>375</v>
      </c>
      <c r="Z170" s="10"/>
      <c r="AA170" s="10"/>
      <c r="AB170" s="10"/>
      <c r="AC170" s="10"/>
      <c r="AD170" s="10"/>
      <c r="AE170" s="10"/>
      <c r="AF170" s="10"/>
      <c r="AG170" s="10"/>
      <c r="AH170" s="115"/>
      <c r="AI170" s="10"/>
      <c r="AJ170" s="10"/>
    </row>
    <row r="171" spans="2:36" x14ac:dyDescent="0.2">
      <c r="B171" s="10" t="s">
        <v>13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8">
        <f>X171+Y171</f>
        <v>73.117663990448492</v>
      </c>
      <c r="X171" s="112">
        <f>PV($C$1, ($AG$3-$X$3), 0, -AG72)</f>
        <v>10.188526949488724</v>
      </c>
      <c r="Y171" s="112">
        <f>PV($C$1, ($AG$3-$X$3), 0, -AJ72)</f>
        <v>62.929137040959773</v>
      </c>
      <c r="Z171" s="10"/>
      <c r="AA171" s="10"/>
      <c r="AB171" s="10"/>
      <c r="AC171" s="10"/>
      <c r="AD171" s="10"/>
      <c r="AE171" s="10"/>
      <c r="AF171" s="10"/>
      <c r="AG171" s="10"/>
      <c r="AH171" s="115"/>
      <c r="AI171" s="10"/>
      <c r="AJ171" s="10"/>
    </row>
    <row r="172" spans="2:36" x14ac:dyDescent="0.2">
      <c r="B172" s="10" t="s">
        <v>224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8">
        <f t="shared" ref="W172:W190" si="573">X172+Y172</f>
        <v>444.82071417009917</v>
      </c>
      <c r="X172" s="112">
        <f>PV($C$1, ($AG$3-$X$3), 0, -AG74)</f>
        <v>61.983214269603977</v>
      </c>
      <c r="Y172" s="112">
        <f>PV($C$1, ($AG$3-$X$3), 0, -AJ74)</f>
        <v>382.83749990049517</v>
      </c>
      <c r="Z172" s="10"/>
      <c r="AA172" s="10"/>
      <c r="AB172" s="10"/>
      <c r="AC172" s="10"/>
      <c r="AD172" s="10"/>
      <c r="AE172" s="10"/>
      <c r="AF172" s="10"/>
      <c r="AG172" s="10"/>
      <c r="AH172" s="115"/>
      <c r="AI172" s="10"/>
      <c r="AJ172" s="10"/>
    </row>
    <row r="173" spans="2:36" x14ac:dyDescent="0.2">
      <c r="B173" s="10" t="s">
        <v>225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8">
        <f t="shared" si="573"/>
        <v>436.85774627508459</v>
      </c>
      <c r="X173" s="112">
        <f>PV($C$1, ($AG$3-$X$3), 0, -AG75)</f>
        <v>60.873620382593749</v>
      </c>
      <c r="Y173" s="112">
        <f>PV($C$1, ($AG$3-$X$3), 0, -AJ75)</f>
        <v>375.98412589249085</v>
      </c>
      <c r="Z173" s="10"/>
      <c r="AA173" s="10"/>
      <c r="AB173" s="10"/>
      <c r="AC173" s="10"/>
      <c r="AD173" s="10"/>
      <c r="AE173" s="10"/>
      <c r="AF173" s="10"/>
      <c r="AG173" s="10"/>
      <c r="AH173" s="115"/>
      <c r="AI173" s="10"/>
      <c r="AJ173" s="10"/>
    </row>
    <row r="174" spans="2:36" x14ac:dyDescent="0.2">
      <c r="B174" s="10" t="s">
        <v>226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8">
        <f t="shared" si="573"/>
        <v>4760.1965692926478</v>
      </c>
      <c r="X174" s="112">
        <f>PV($C$1, ($AG$3-$X$3), 0, -AG76)</f>
        <v>663.30607932766395</v>
      </c>
      <c r="Y174" s="112">
        <f>PV($C$1, ($AG$3-$X$3), 0, -AJ76)</f>
        <v>4096.8904899649842</v>
      </c>
      <c r="Z174" s="10"/>
      <c r="AA174" s="10"/>
      <c r="AB174" s="10"/>
      <c r="AC174" s="10"/>
      <c r="AD174" s="10"/>
      <c r="AE174" s="10"/>
      <c r="AF174" s="10"/>
      <c r="AG174" s="10"/>
      <c r="AH174" s="115"/>
      <c r="AI174" s="10"/>
      <c r="AJ174" s="10"/>
    </row>
    <row r="175" spans="2:36" x14ac:dyDescent="0.2">
      <c r="B175" s="10" t="s">
        <v>227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8">
        <f t="shared" si="573"/>
        <v>0</v>
      </c>
      <c r="X175" s="112">
        <f>PV($C$1, ($AG$3-$X$3), 0, -AG82)</f>
        <v>0</v>
      </c>
      <c r="Y175" s="112">
        <f>PV($C$1, ($AG$3-$X$3), 0, -AJ82)</f>
        <v>0</v>
      </c>
      <c r="Z175" s="10"/>
      <c r="AA175" s="10"/>
      <c r="AB175" s="10"/>
      <c r="AC175" s="10"/>
      <c r="AD175" s="10"/>
      <c r="AE175" s="10"/>
      <c r="AF175" s="10"/>
      <c r="AG175" s="10"/>
      <c r="AH175" s="115"/>
      <c r="AI175" s="10"/>
      <c r="AJ175" s="10"/>
    </row>
    <row r="176" spans="2:36" x14ac:dyDescent="0.2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8"/>
      <c r="X176" s="112"/>
      <c r="Y176" s="10"/>
      <c r="Z176" s="10"/>
      <c r="AA176" s="10"/>
      <c r="AB176" s="10"/>
      <c r="AC176" s="10"/>
      <c r="AD176" s="10"/>
      <c r="AE176" s="10"/>
      <c r="AF176" s="10"/>
      <c r="AG176" s="10"/>
      <c r="AH176" s="115"/>
      <c r="AI176" s="10"/>
      <c r="AJ176" s="10"/>
    </row>
    <row r="177" spans="2:36" x14ac:dyDescent="0.2">
      <c r="B177" s="10" t="s">
        <v>222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8">
        <f t="shared" si="573"/>
        <v>-4315.3758551225483</v>
      </c>
      <c r="X177" s="112">
        <f>PV($C$1, ($AG$3-$X$3), 0, -AG78)</f>
        <v>-601.32286505805996</v>
      </c>
      <c r="Y177" s="112">
        <f>PV($C$1, ($AG$3-$X$3), 0, -$AJ$78)</f>
        <v>-3714.0529900644883</v>
      </c>
      <c r="Z177" s="10"/>
      <c r="AA177" s="10"/>
      <c r="AB177" s="10"/>
      <c r="AC177" s="10"/>
      <c r="AD177" s="10"/>
      <c r="AE177" s="10"/>
      <c r="AF177" s="10"/>
      <c r="AG177" s="10"/>
      <c r="AH177" s="115"/>
      <c r="AI177" s="10"/>
      <c r="AJ177" s="10"/>
    </row>
    <row r="178" spans="2:36" x14ac:dyDescent="0.2">
      <c r="B178" s="10" t="s">
        <v>223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8">
        <f t="shared" si="573"/>
        <v>-4315.3758551225483</v>
      </c>
      <c r="X178" s="112">
        <f>PV($C$1, ($AG$3-$X$3), 0, -AG79)</f>
        <v>-601.32286505805996</v>
      </c>
      <c r="Y178" s="112">
        <f>PV($C$1, ($AG$3-$X$3), 0, -$AJ$79)</f>
        <v>-3714.0529900644883</v>
      </c>
      <c r="Z178" s="10"/>
      <c r="AA178" s="10"/>
      <c r="AB178" s="10"/>
      <c r="AC178" s="10"/>
      <c r="AD178" s="10"/>
      <c r="AE178" s="10"/>
      <c r="AF178" s="10"/>
      <c r="AG178" s="10"/>
      <c r="AH178" s="115"/>
      <c r="AI178" s="10"/>
      <c r="AJ178" s="10"/>
    </row>
    <row r="179" spans="2:36" x14ac:dyDescent="0.2">
      <c r="B179" s="10" t="s">
        <v>228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8">
        <f t="shared" si="573"/>
        <v>-4315.3758551225483</v>
      </c>
      <c r="X179" s="112">
        <f>PV($C$1, ($AG$3-$X$3), 0, -AG80)</f>
        <v>-601.32286505805996</v>
      </c>
      <c r="Y179" s="112">
        <f>PV($C$1, ($AG$3-$X$3), 0, -$AJ$80)</f>
        <v>-3714.0529900644883</v>
      </c>
      <c r="Z179" s="10"/>
      <c r="AA179" s="10"/>
      <c r="AB179" s="10"/>
      <c r="AC179" s="10"/>
      <c r="AD179" s="10"/>
      <c r="AE179" s="10"/>
      <c r="AF179" s="10"/>
      <c r="AG179" s="10"/>
      <c r="AH179" s="115"/>
      <c r="AI179" s="10"/>
      <c r="AJ179" s="10"/>
    </row>
    <row r="180" spans="2:36" x14ac:dyDescent="0.2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8"/>
      <c r="X180" s="112"/>
      <c r="Y180" s="10"/>
      <c r="Z180" s="10"/>
      <c r="AA180" s="10"/>
      <c r="AB180" s="10"/>
      <c r="AC180" s="10"/>
      <c r="AD180" s="10"/>
      <c r="AE180" s="10"/>
      <c r="AF180" s="10"/>
      <c r="AG180" s="10"/>
      <c r="AH180" s="115"/>
      <c r="AI180" s="10"/>
      <c r="AJ180" s="10"/>
    </row>
    <row r="181" spans="2:36" x14ac:dyDescent="0.2">
      <c r="B181" s="10" t="s">
        <v>207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8">
        <f t="shared" si="573"/>
        <v>0</v>
      </c>
      <c r="X181" s="112">
        <f>PV($C$1, ($AG$3-$X$3), 0, -AG85)</f>
        <v>0</v>
      </c>
      <c r="Y181" s="112">
        <f>PV($C$1, ($AG$3-$X$3), 0, -AJ85)</f>
        <v>0</v>
      </c>
      <c r="Z181" s="10"/>
      <c r="AA181" s="10"/>
      <c r="AB181" s="10"/>
      <c r="AC181" s="10"/>
      <c r="AD181" s="10"/>
      <c r="AE181" s="10"/>
      <c r="AF181" s="10"/>
      <c r="AG181" s="10"/>
      <c r="AH181" s="115"/>
      <c r="AI181" s="10"/>
      <c r="AJ181" s="10"/>
    </row>
    <row r="182" spans="2:36" x14ac:dyDescent="0.2">
      <c r="B182" s="10" t="s">
        <v>208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8">
        <f t="shared" si="573"/>
        <v>0</v>
      </c>
      <c r="X182" s="112">
        <f>PV($C$1, ($AG$3-$X$3), 0, -AG86)</f>
        <v>0</v>
      </c>
      <c r="Y182" s="112">
        <f>PV($C$1, ($AG$3-$X$3), 0, -AJ86)</f>
        <v>0</v>
      </c>
      <c r="Z182" s="10"/>
      <c r="AA182" s="10"/>
      <c r="AB182" s="10"/>
      <c r="AC182" s="10"/>
      <c r="AD182" s="10"/>
      <c r="AE182" s="10"/>
      <c r="AF182" s="10"/>
      <c r="AG182" s="10"/>
      <c r="AH182" s="115"/>
      <c r="AI182" s="10"/>
      <c r="AJ182" s="10"/>
    </row>
    <row r="183" spans="2:36" x14ac:dyDescent="0.2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8"/>
      <c r="X183" s="112"/>
      <c r="Y183" s="112"/>
      <c r="Z183" s="10"/>
      <c r="AA183" s="10"/>
      <c r="AB183" s="10"/>
      <c r="AC183" s="10"/>
      <c r="AD183" s="10"/>
      <c r="AE183" s="10"/>
      <c r="AF183" s="10"/>
      <c r="AG183" s="10"/>
      <c r="AH183" s="115"/>
      <c r="AI183" s="10"/>
      <c r="AJ183" s="10"/>
    </row>
    <row r="184" spans="2:36" x14ac:dyDescent="0.2">
      <c r="B184" s="10" t="s">
        <v>243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8">
        <f t="shared" ref="W184" si="574">X184+Y184</f>
        <v>0</v>
      </c>
      <c r="X184" s="112">
        <f>PV($C$1, ($AG$3-$X$3), 0, -AG12)</f>
        <v>0</v>
      </c>
      <c r="Y184" s="112">
        <f>PV($C$1, ($AG$3-$X$3), 0, -AJ12)</f>
        <v>0</v>
      </c>
      <c r="Z184" s="10"/>
      <c r="AA184" s="10"/>
      <c r="AB184" s="10"/>
      <c r="AC184" s="10"/>
      <c r="AD184" s="10"/>
      <c r="AE184" s="10"/>
      <c r="AF184" s="10"/>
      <c r="AG184" s="10"/>
      <c r="AH184" s="115"/>
      <c r="AI184" s="10"/>
      <c r="AJ184" s="10"/>
    </row>
    <row r="185" spans="2:36" x14ac:dyDescent="0.2">
      <c r="B185" s="10" t="s">
        <v>244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8">
        <f>X185+Y185</f>
        <v>0</v>
      </c>
      <c r="X185" s="118">
        <f>X184/S57</f>
        <v>0</v>
      </c>
      <c r="Y185" s="118">
        <f>Y184/S57</f>
        <v>0</v>
      </c>
      <c r="Z185" s="10"/>
      <c r="AA185" s="10"/>
      <c r="AB185" s="10"/>
      <c r="AC185" s="10"/>
      <c r="AD185" s="10"/>
      <c r="AE185" s="10"/>
      <c r="AF185" s="10"/>
      <c r="AG185" s="10"/>
      <c r="AH185" s="115"/>
      <c r="AI185" s="10"/>
      <c r="AJ185" s="10"/>
    </row>
    <row r="186" spans="2:36" x14ac:dyDescent="0.2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8"/>
      <c r="X186" s="118"/>
      <c r="Y186" s="118"/>
      <c r="Z186" s="10"/>
      <c r="AA186" s="10"/>
      <c r="AB186" s="10"/>
      <c r="AC186" s="10"/>
      <c r="AD186" s="10"/>
      <c r="AE186" s="10"/>
      <c r="AF186" s="10"/>
      <c r="AG186" s="10"/>
      <c r="AH186" s="115"/>
      <c r="AI186" s="10"/>
      <c r="AJ186" s="10"/>
    </row>
    <row r="187" spans="2:36" x14ac:dyDescent="0.2">
      <c r="B187" s="93" t="s">
        <v>247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8"/>
      <c r="X187" s="112"/>
      <c r="Y187" s="112"/>
      <c r="Z187" s="10"/>
      <c r="AA187" s="10"/>
      <c r="AB187" s="10"/>
      <c r="AC187" s="10"/>
      <c r="AD187" s="10"/>
      <c r="AE187" s="10"/>
      <c r="AF187" s="10"/>
      <c r="AG187" s="10"/>
      <c r="AH187" s="115"/>
      <c r="AI187" s="10"/>
      <c r="AJ187" s="10"/>
    </row>
    <row r="188" spans="2:36" x14ac:dyDescent="0.2">
      <c r="B188" s="10" t="s">
        <v>233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8">
        <f t="shared" ref="W188" si="575">X188+Y188</f>
        <v>19.148243135499541</v>
      </c>
      <c r="X188" s="112">
        <f>PV($C$1, ($AG$3-$X$3), 0, -AG88)+PV($C$1, ($AF$3-$X$3), 0, -AG88)+PV($C$1, ($AE$3-$X$3), 0, -AG88)+PV($C$1, ($AD$3-$X$3), 0, -AG88)+PV($C$1, ($AC$3-$X$3), 0, -AG88)+PV($C$1, ($AB$3-$X$3), 0, -AG88)+PV($C$1, ($AA$3-$X$3), 0, -AG88)+PV($C$1, ($Z$3-$X$3), 0, -AG88)+PV($C$1, ($Y$3-$X$3), 0, -AG88)+PV($C$1, ($X$3-$X$3), 0, -AG88)</f>
        <v>15.753027334441757</v>
      </c>
      <c r="Y188" s="112">
        <f>PV($C$1, ($AG$3-$X$3), 0, -AJ88)</f>
        <v>3.3952158010577826</v>
      </c>
      <c r="Z188" s="10"/>
      <c r="AA188" s="10"/>
      <c r="AB188" s="10"/>
      <c r="AC188" s="10"/>
      <c r="AD188" s="10"/>
      <c r="AE188" s="10"/>
      <c r="AF188" s="10"/>
      <c r="AG188" s="10"/>
      <c r="AH188" s="115"/>
      <c r="AI188" s="10"/>
      <c r="AJ188" s="10"/>
    </row>
    <row r="189" spans="2:36" x14ac:dyDescent="0.2">
      <c r="B189" s="13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8"/>
      <c r="X189" s="112"/>
      <c r="Y189" s="112"/>
      <c r="Z189" s="10"/>
      <c r="AA189" s="10"/>
      <c r="AB189" s="10"/>
      <c r="AC189" s="10"/>
      <c r="AD189" s="10"/>
      <c r="AE189" s="10"/>
      <c r="AF189" s="10"/>
      <c r="AG189" s="10"/>
      <c r="AH189" s="115"/>
      <c r="AI189" s="10"/>
      <c r="AJ189" s="10"/>
    </row>
    <row r="190" spans="2:36" x14ac:dyDescent="0.2">
      <c r="B190" s="10" t="s">
        <v>240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8">
        <f t="shared" si="573"/>
        <v>-719463.68828604743</v>
      </c>
      <c r="X190" s="112">
        <f>PV($C$1, ($AG$3-$X$3), 0, -AG90)+PV($C$1, ($AF$3-$X$3), 0, -AG90)+PV($C$1, ($AE$3-$X$3), 0, -AG90)+PV($C$1, ($AD$3-$X$3), 0, -AG90)+PV($C$1, ($AC$3-$X$3), 0, -AG90)+PV($C$1, ($AB$3-$X$3), 0, -AG90)+PV($C$1, ($AA$3-$X$3), 0, -AG90)+PV($C$1, ($Z$3-$X$3), 0, -AG90)+PV($C$1, ($Y$3-$X$3), 0, -AG90)+PV($C$1, ($X$3-$X$3), 0, -AG90)</f>
        <v>-591894.04832114454</v>
      </c>
      <c r="Y190" s="112">
        <f>PV($C$1, ($AG$3-$X$3), 0, -AJ90)</f>
        <v>-127569.63996490289</v>
      </c>
      <c r="Z190" s="10"/>
      <c r="AA190" s="10"/>
      <c r="AB190" s="10"/>
      <c r="AC190" s="10"/>
      <c r="AD190" s="10"/>
      <c r="AE190" s="10"/>
      <c r="AF190" s="10"/>
      <c r="AG190" s="10"/>
      <c r="AH190" s="115"/>
      <c r="AI190" s="10"/>
      <c r="AJ190" s="10"/>
    </row>
    <row r="191" spans="2:36" x14ac:dyDescent="0.2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8"/>
      <c r="X191" s="112"/>
      <c r="Y191" s="112"/>
      <c r="Z191" s="10"/>
      <c r="AA191" s="10"/>
      <c r="AB191" s="10"/>
      <c r="AC191" s="10"/>
      <c r="AD191" s="10"/>
      <c r="AE191" s="10"/>
      <c r="AF191" s="10"/>
      <c r="AG191" s="10"/>
      <c r="AH191" s="115"/>
      <c r="AI191" s="10"/>
      <c r="AJ191" s="10"/>
    </row>
    <row r="192" spans="2:36" x14ac:dyDescent="0.2">
      <c r="B192" s="10" t="s">
        <v>404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8">
        <f t="shared" ref="W192:W195" si="576">X192+Y192</f>
        <v>-2562.9024860279105</v>
      </c>
      <c r="X192" s="112">
        <f>PV($C$1, ($AG$3-$X$3), 0, -AG92)+PV($C$1, ($AF$3-$X$3), 0, -AG92)+PV($C$1, ($AE$3-$X$3), 0, -AG92)+PV($C$1, ($AD$3-$X$3), 0, -AG92)+PV($C$1, ($AC$3-$X$3), 0, -AG92)+PV($C$1, ($AB$3-$X$3), 0, -AG92)+PV($C$1, ($AA$3-$X$3), 0, -AG92)+PV($C$1, ($Z$3-$X$3), 0, -AG92)+PV($C$1, ($Y$3-$X$3), 0, -AG92)+PV($C$1, ($X$3-$X$3), 0, -AG92)</f>
        <v>-2108.4687839093049</v>
      </c>
      <c r="Y192" s="112">
        <f>PV($C$1, ($AG$3-$X$3), 0, -AJ92)</f>
        <v>-454.43370211860582</v>
      </c>
      <c r="Z192" s="10"/>
      <c r="AA192" s="10"/>
      <c r="AB192" s="10"/>
      <c r="AC192" s="10"/>
      <c r="AD192" s="10"/>
      <c r="AE192" s="10"/>
      <c r="AF192" s="10"/>
      <c r="AG192" s="10"/>
      <c r="AH192" s="115"/>
      <c r="AI192" s="10"/>
      <c r="AJ192" s="10"/>
    </row>
    <row r="193" spans="2:36" x14ac:dyDescent="0.2">
      <c r="B193" s="10" t="s">
        <v>237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8">
        <f t="shared" si="576"/>
        <v>-1834.2259122884259</v>
      </c>
      <c r="X193" s="112">
        <f>PV($C$1, ($AG$3-$X$3), 0, -AG93)+PV($C$1, ($AF$3-$X$3), 0, -AG93)+PV($C$1, ($AE$3-$X$3), 0, -AG93)+PV($C$1, ($AD$3-$X$3), 0, -AG93)+PV($C$1, ($AC$3-$X$3), 0, -AG93)+PV($C$1, ($AB$3-$X$3), 0, -AG93)+PV($C$1, ($AA$3-$X$3), 0, -AG93)+PV($C$1, ($Z$3-$X$3), 0, -AG93)+PV($C$1, ($Y$3-$X$3), 0, -AG93)+PV($C$1, ($X$3-$X$3), 0, -AG93)</f>
        <v>-1508.9954064899196</v>
      </c>
      <c r="Y193" s="112">
        <f>PV($C$1, ($AG$3-$X$3), 0, -AJ93)</f>
        <v>-325.23050579850627</v>
      </c>
      <c r="Z193" s="10"/>
      <c r="AA193" s="10"/>
      <c r="AB193" s="10"/>
      <c r="AC193" s="10"/>
      <c r="AD193" s="10"/>
      <c r="AE193" s="10"/>
      <c r="AF193" s="10"/>
      <c r="AG193" s="10"/>
      <c r="AH193" s="115"/>
      <c r="AI193" s="10"/>
      <c r="AJ193" s="10"/>
    </row>
    <row r="194" spans="2:36" x14ac:dyDescent="0.2">
      <c r="B194" s="10" t="s">
        <v>238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8">
        <f t="shared" si="576"/>
        <v>-728.67657373948475</v>
      </c>
      <c r="X194" s="112">
        <f>PV($C$1, ($AG$3-$X$3), 0, -AG94)+PV($C$1, ($AF$3-$X$3), 0, -AG94)+PV($C$1, ($AE$3-$X$3), 0, -AG94)+PV($C$1, ($AD$3-$X$3), 0, -AG94)+PV($C$1, ($AC$3-$X$3), 0, -AG94)+PV($C$1, ($AB$3-$X$3), 0, -AG94)+PV($C$1, ($AA$3-$X$3), 0, -AG94)+PV($C$1, ($Z$3-$X$3), 0, -AG94)+PV($C$1, ($Y$3-$X$3), 0, -AG94)+PV($C$1, ($X$3-$X$3), 0, -AG94)</f>
        <v>-599.4733774193852</v>
      </c>
      <c r="Y194" s="112">
        <f>PV($C$1, ($AG$3-$X$3), 0, -AJ94)</f>
        <v>-129.20319632009952</v>
      </c>
      <c r="Z194" s="10"/>
      <c r="AA194" s="10"/>
      <c r="AB194" s="10"/>
      <c r="AC194" s="10"/>
      <c r="AD194" s="10"/>
      <c r="AE194" s="10"/>
      <c r="AF194" s="10"/>
      <c r="AG194" s="10"/>
      <c r="AH194" s="115"/>
      <c r="AI194" s="10"/>
      <c r="AJ194" s="10"/>
    </row>
    <row r="195" spans="2:36" x14ac:dyDescent="0.2">
      <c r="B195" s="10" t="s">
        <v>239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8">
        <f t="shared" si="576"/>
        <v>2997.1236315113761</v>
      </c>
      <c r="X195" s="112">
        <f>PV($C$1, ($AG$3-$X$3), 0, -AG95)+PV($C$1, ($AF$3-$X$3), 0, -AG95)+PV($C$1, ($AE$3-$X$3), 0, -AG95)+PV($C$1, ($AD$3-$X$3), 0, -AG95)+PV($C$1, ($AC$3-$X$3), 0, -AG95)+PV($C$1, ($AB$3-$X$3), 0, -AG95)+PV($C$1, ($AA$3-$X$3), 0, -AG95)+PV($C$1, ($Z$3-$X$3), 0, -AG95)+PV($C$1, ($Y$3-$X$3), 0, -AG95)+PV($C$1, ($X$3-$X$3), 0, -AG95)</f>
        <v>2465.6972526303957</v>
      </c>
      <c r="Y195" s="112">
        <f>PV($C$1, ($AG$3-$X$3), 0, -AJ95)</f>
        <v>531.42637888098022</v>
      </c>
      <c r="Z195" s="10"/>
      <c r="AA195" s="10"/>
      <c r="AB195" s="10"/>
      <c r="AC195" s="10"/>
      <c r="AD195" s="10"/>
      <c r="AE195" s="10"/>
      <c r="AF195" s="10"/>
      <c r="AG195" s="10"/>
      <c r="AH195" s="115"/>
      <c r="AI195" s="10"/>
      <c r="AJ195" s="10"/>
    </row>
    <row r="196" spans="2:36" x14ac:dyDescent="0.2">
      <c r="B196" s="10" t="s">
        <v>402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95">
        <f>W193+W194+W195</f>
        <v>434.22114548346553</v>
      </c>
      <c r="X196" s="95">
        <f t="shared" ref="X196:Y196" si="577">X193+X194+X195</f>
        <v>357.22846872109085</v>
      </c>
      <c r="Y196" s="95">
        <f t="shared" si="577"/>
        <v>76.992676762374458</v>
      </c>
      <c r="Z196" s="10"/>
      <c r="AA196" s="10"/>
      <c r="AB196" s="10"/>
      <c r="AC196" s="10"/>
      <c r="AD196" s="10"/>
      <c r="AE196" s="10"/>
      <c r="AF196" s="10"/>
      <c r="AG196" s="10"/>
      <c r="AH196" s="115"/>
      <c r="AI196" s="10"/>
      <c r="AJ196" s="10"/>
    </row>
    <row r="197" spans="2:36" x14ac:dyDescent="0.2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8"/>
      <c r="X197" s="112"/>
      <c r="Y197" s="112"/>
      <c r="Z197" s="10"/>
      <c r="AA197" s="10"/>
      <c r="AB197" s="10"/>
      <c r="AC197" s="10"/>
      <c r="AD197" s="10"/>
      <c r="AE197" s="10"/>
      <c r="AF197" s="10"/>
      <c r="AG197" s="10"/>
      <c r="AH197" s="115"/>
      <c r="AI197" s="10"/>
      <c r="AJ197" s="10"/>
    </row>
    <row r="198" spans="2:36" x14ac:dyDescent="0.2">
      <c r="B198" s="10" t="s">
        <v>248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8">
        <f>X198+Y198</f>
        <v>434.6403587924853</v>
      </c>
      <c r="X198" s="112">
        <f>PV($C$1, ($AG$3-$X$3), 0, -AG96)+PV($C$1, ($AF$3-$X$3), 0, -AG96)+PV($C$1, ($AE$3-$X$3), 0, -AG96)+PV($C$1, ($AD$3-$X$3), 0, -AG96)+PV($C$1, ($AC$3-$X$3), 0, -AG96)+PV($C$1, ($AB$3-$X$3), 0, -AG96)+PV($C$1, ($AA$3-$X$3), 0, -AG96)+PV($C$1, ($Z$3-$X$3), 0, -AG96)+PV($C$1, ($Y$3-$X$3), 0, -AG96)+PV($C$1, ($X$3-$X$3), 0, -AG96)</f>
        <v>357.57335042481805</v>
      </c>
      <c r="Y198" s="112">
        <f>PV($C$1, ($AG$3-$X$3), 0, -AJ96)</f>
        <v>77.067008367667256</v>
      </c>
      <c r="Z198" s="10"/>
      <c r="AA198" s="10"/>
      <c r="AB198" s="10"/>
      <c r="AC198" s="10"/>
      <c r="AD198" s="10"/>
      <c r="AE198" s="10"/>
      <c r="AF198" s="10"/>
      <c r="AG198" s="10"/>
      <c r="AH198" s="115"/>
      <c r="AI198" s="10"/>
      <c r="AJ198" s="10"/>
    </row>
    <row r="199" spans="2:36" x14ac:dyDescent="0.2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59">
        <v>41729</v>
      </c>
      <c r="U199" s="10">
        <v>330</v>
      </c>
      <c r="V199" s="10"/>
      <c r="W199" s="10"/>
      <c r="X199" s="104"/>
      <c r="Y199" s="10"/>
      <c r="Z199" s="10"/>
      <c r="AA199" s="10"/>
      <c r="AB199" s="10"/>
      <c r="AC199" s="10"/>
      <c r="AD199" s="10"/>
      <c r="AE199" s="10"/>
      <c r="AF199" s="10"/>
      <c r="AG199" s="10"/>
      <c r="AH199" s="115"/>
      <c r="AI199" s="10"/>
      <c r="AJ199" s="10"/>
    </row>
    <row r="200" spans="2:36" x14ac:dyDescent="0.2">
      <c r="B200" s="93" t="s">
        <v>209</v>
      </c>
      <c r="C200" s="10"/>
      <c r="D200" s="10"/>
      <c r="E200" s="10"/>
      <c r="F200" s="177"/>
      <c r="G200" s="177"/>
      <c r="H200" s="172">
        <v>0</v>
      </c>
      <c r="I200" s="172">
        <v>0</v>
      </c>
      <c r="J200" s="172">
        <v>0</v>
      </c>
      <c r="K200" s="172">
        <v>0</v>
      </c>
      <c r="L200" s="172">
        <v>0</v>
      </c>
      <c r="M200" s="172">
        <v>0</v>
      </c>
      <c r="N200" s="172">
        <v>0</v>
      </c>
      <c r="O200" s="172">
        <v>0</v>
      </c>
      <c r="P200" s="172">
        <v>0</v>
      </c>
      <c r="Q200" s="172">
        <v>0</v>
      </c>
      <c r="R200" s="172">
        <v>0</v>
      </c>
      <c r="S200" s="172">
        <v>0</v>
      </c>
      <c r="T200" s="13" t="s">
        <v>335</v>
      </c>
      <c r="U200" s="10">
        <v>376</v>
      </c>
      <c r="V200" s="10">
        <v>300</v>
      </c>
      <c r="W200" s="13" t="s">
        <v>336</v>
      </c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15"/>
      <c r="AI200" s="10"/>
      <c r="AJ200" s="10"/>
    </row>
    <row r="201" spans="2:36" x14ac:dyDescent="0.2">
      <c r="B201" s="10" t="s">
        <v>183</v>
      </c>
      <c r="C201" s="12">
        <v>0</v>
      </c>
      <c r="D201" s="12">
        <v>0</v>
      </c>
      <c r="E201" s="12">
        <v>0</v>
      </c>
      <c r="F201" s="12">
        <v>0</v>
      </c>
      <c r="G201" s="12">
        <v>70</v>
      </c>
      <c r="H201" s="12">
        <v>70</v>
      </c>
      <c r="I201" s="12">
        <v>90</v>
      </c>
      <c r="J201" s="12">
        <v>125</v>
      </c>
      <c r="K201" s="12">
        <v>130</v>
      </c>
      <c r="L201" s="12">
        <v>45</v>
      </c>
      <c r="M201" s="12">
        <v>230</v>
      </c>
      <c r="N201" s="12">
        <v>270</v>
      </c>
      <c r="O201" s="12">
        <v>335</v>
      </c>
      <c r="P201" s="12">
        <v>420</v>
      </c>
      <c r="Q201" s="12">
        <v>350</v>
      </c>
      <c r="R201" s="12">
        <v>815</v>
      </c>
      <c r="S201" s="12">
        <v>870</v>
      </c>
      <c r="T201" s="12">
        <v>1546</v>
      </c>
      <c r="U201" s="12">
        <v>300</v>
      </c>
      <c r="V201" s="101">
        <f t="shared" ref="V201:V232" si="578">((U201/G201)^(1/($K$2-$K$1) ))-1</f>
        <v>0.10954396442335135</v>
      </c>
      <c r="W201" s="21">
        <v>0</v>
      </c>
      <c r="X201" s="173">
        <v>50</v>
      </c>
      <c r="Y201" s="102">
        <f t="shared" ref="Y201:AG201" si="579">X201*(1+$W201)</f>
        <v>50</v>
      </c>
      <c r="Z201" s="102">
        <f t="shared" si="579"/>
        <v>50</v>
      </c>
      <c r="AA201" s="102">
        <f t="shared" si="579"/>
        <v>50</v>
      </c>
      <c r="AB201" s="102">
        <f t="shared" si="579"/>
        <v>50</v>
      </c>
      <c r="AC201" s="102">
        <f t="shared" si="579"/>
        <v>50</v>
      </c>
      <c r="AD201" s="102">
        <f t="shared" si="579"/>
        <v>50</v>
      </c>
      <c r="AE201" s="102">
        <f t="shared" si="579"/>
        <v>50</v>
      </c>
      <c r="AF201" s="102">
        <f t="shared" si="579"/>
        <v>50</v>
      </c>
      <c r="AG201" s="102">
        <f t="shared" si="579"/>
        <v>50</v>
      </c>
      <c r="AH201" s="116">
        <f t="shared" ref="AH201:AH208" si="580">((AG201/J201)^(1/($AG$3-$K$1) ))-1</f>
        <v>-3.9055599411532027E-2</v>
      </c>
      <c r="AI201" s="21">
        <f t="shared" ref="AI201:AI208" si="581">$O$1</f>
        <v>0.05</v>
      </c>
      <c r="AJ201" s="109">
        <f t="shared" ref="AJ201:AJ212" si="582">(AG201*(1+AH201))/($C$1-AI201)</f>
        <v>282.6307060554318</v>
      </c>
    </row>
    <row r="202" spans="2:36" x14ac:dyDescent="0.2">
      <c r="B202" s="10" t="s">
        <v>306</v>
      </c>
      <c r="C202" s="15"/>
      <c r="D202" s="15"/>
      <c r="E202" s="15"/>
      <c r="F202" s="15"/>
      <c r="G202" s="15">
        <f t="shared" ref="G202" si="583">G201/G66</f>
        <v>29.166666666666668</v>
      </c>
      <c r="H202" s="15">
        <f t="shared" ref="H202:I202" si="584">H201/H66</f>
        <v>29.166666666666668</v>
      </c>
      <c r="I202" s="15">
        <f t="shared" si="584"/>
        <v>8.4083044982698958</v>
      </c>
      <c r="J202" s="15">
        <f t="shared" ref="J202:T202" si="585">J201/J66</f>
        <v>4.4416243654822338</v>
      </c>
      <c r="K202" s="15">
        <f t="shared" si="585"/>
        <v>2.3105924596050271</v>
      </c>
      <c r="L202" s="15">
        <f t="shared" si="585"/>
        <v>0.54801066447908131</v>
      </c>
      <c r="M202" s="15">
        <f t="shared" si="585"/>
        <v>2.6522241086587437</v>
      </c>
      <c r="N202" s="15">
        <f t="shared" si="585"/>
        <v>2.0083601286173636</v>
      </c>
      <c r="O202" s="15">
        <f t="shared" si="585"/>
        <v>1.650216359575656</v>
      </c>
      <c r="P202" s="15">
        <f t="shared" si="585"/>
        <v>1.5769238823159879</v>
      </c>
      <c r="Q202" s="15">
        <f t="shared" si="585"/>
        <v>1.0785335840027346</v>
      </c>
      <c r="R202" s="15">
        <f t="shared" si="585"/>
        <v>2.4996365371906895</v>
      </c>
      <c r="S202" s="15">
        <f t="shared" si="585"/>
        <v>2.2496310416922887</v>
      </c>
      <c r="T202" s="15">
        <f t="shared" si="585"/>
        <v>3.4182462939637634</v>
      </c>
      <c r="U202" s="15">
        <f t="shared" ref="U202" si="586">U201/U66</f>
        <v>2.7028285278353739</v>
      </c>
      <c r="V202" s="101">
        <f t="shared" si="578"/>
        <v>-0.15625850748839576</v>
      </c>
      <c r="W202" s="110"/>
      <c r="X202" s="15">
        <f t="shared" ref="X202:AG202" si="587">X201/X66</f>
        <v>0.3995485649843597</v>
      </c>
      <c r="Y202" s="15">
        <f t="shared" si="587"/>
        <v>0.35438220546438859</v>
      </c>
      <c r="Z202" s="15">
        <f t="shared" si="587"/>
        <v>0.31432160832493605</v>
      </c>
      <c r="AA202" s="15">
        <f t="shared" si="587"/>
        <v>0.27878960042733458</v>
      </c>
      <c r="AB202" s="15">
        <f t="shared" si="587"/>
        <v>0.2472742542920707</v>
      </c>
      <c r="AC202" s="15">
        <f t="shared" si="587"/>
        <v>0.21932151250253229</v>
      </c>
      <c r="AD202" s="15">
        <f t="shared" si="587"/>
        <v>0.19452864587181129</v>
      </c>
      <c r="AE202" s="15">
        <f t="shared" si="587"/>
        <v>0.17253845112108479</v>
      </c>
      <c r="AF202" s="15">
        <f t="shared" si="587"/>
        <v>0.15303410447261434</v>
      </c>
      <c r="AG202" s="15">
        <f t="shared" si="587"/>
        <v>0.13573459701049273</v>
      </c>
      <c r="AH202" s="116">
        <f t="shared" ref="AH202" si="588">((AG202/J202)^(1/($AG$3-$K$1) ))-1</f>
        <v>-0.14071565155227939</v>
      </c>
      <c r="AI202" s="21">
        <f t="shared" si="581"/>
        <v>0.05</v>
      </c>
      <c r="AJ202" s="109">
        <f t="shared" ref="AJ202" si="589">(AG202*(1+AH202))/($C$1-AI202)</f>
        <v>0.68608596914103048</v>
      </c>
    </row>
    <row r="203" spans="2:36" x14ac:dyDescent="0.2">
      <c r="B203" s="10" t="s">
        <v>334</v>
      </c>
      <c r="C203" s="15"/>
      <c r="D203" s="15"/>
      <c r="E203" s="15"/>
      <c r="F203" s="15"/>
      <c r="G203" s="15">
        <f t="shared" ref="G203" si="590">G201/G72</f>
        <v>-350</v>
      </c>
      <c r="H203" s="15">
        <f t="shared" ref="H203:I203" si="591">H201/H72</f>
        <v>-350</v>
      </c>
      <c r="I203" s="15">
        <f t="shared" si="591"/>
        <v>44.18181818181818</v>
      </c>
      <c r="J203" s="15">
        <f t="shared" ref="J203:T203" si="592">J201/J72</f>
        <v>37.234042553191486</v>
      </c>
      <c r="K203" s="15">
        <f t="shared" si="592"/>
        <v>19.305</v>
      </c>
      <c r="L203" s="15">
        <f t="shared" si="592"/>
        <v>4.3949013157894736</v>
      </c>
      <c r="M203" s="15">
        <f t="shared" si="592"/>
        <v>16.340585774058578</v>
      </c>
      <c r="N203" s="15">
        <f t="shared" si="592"/>
        <v>12.887207702888585</v>
      </c>
      <c r="O203" s="15">
        <f t="shared" si="592"/>
        <v>12.100460593654043</v>
      </c>
      <c r="P203" s="15">
        <f t="shared" si="592"/>
        <v>11.585538461538462</v>
      </c>
      <c r="Q203" s="15">
        <f t="shared" si="592"/>
        <v>7.8342644320297952</v>
      </c>
      <c r="R203" s="15">
        <f t="shared" si="592"/>
        <v>17.046845267901855</v>
      </c>
      <c r="S203" s="15">
        <f t="shared" si="592"/>
        <v>14.465599051008303</v>
      </c>
      <c r="T203" s="15">
        <f t="shared" si="592"/>
        <v>21.126276613900458</v>
      </c>
      <c r="U203" s="15">
        <f t="shared" ref="U203" si="593">U201/U72</f>
        <v>16.321048901488304</v>
      </c>
      <c r="V203" s="101" t="e">
        <f t="shared" si="578"/>
        <v>#NUM!</v>
      </c>
      <c r="W203" s="110"/>
      <c r="X203" s="102">
        <f t="shared" ref="X203:AG203" si="594">X201/X72</f>
        <v>2.4126767941330542</v>
      </c>
      <c r="Y203" s="102">
        <f t="shared" si="594"/>
        <v>2.1399394174049697</v>
      </c>
      <c r="Z203" s="102">
        <f t="shared" si="594"/>
        <v>1.8980332223939735</v>
      </c>
      <c r="AA203" s="102">
        <f t="shared" si="594"/>
        <v>1.6834729450798724</v>
      </c>
      <c r="AB203" s="102">
        <f t="shared" si="594"/>
        <v>1.4931673078099739</v>
      </c>
      <c r="AC203" s="102">
        <f t="shared" si="594"/>
        <v>1.3243744817097161</v>
      </c>
      <c r="AD203" s="102">
        <f t="shared" si="594"/>
        <v>1.1746625837773135</v>
      </c>
      <c r="AE203" s="102">
        <f t="shared" si="594"/>
        <v>1.0418746395242258</v>
      </c>
      <c r="AF203" s="102">
        <f t="shared" si="594"/>
        <v>0.92409750636061772</v>
      </c>
      <c r="AG203" s="102">
        <f t="shared" si="594"/>
        <v>0.81963430998941755</v>
      </c>
      <c r="AH203" s="116">
        <f t="shared" si="580"/>
        <v>-0.15288454335209478</v>
      </c>
      <c r="AI203" s="21">
        <f t="shared" si="581"/>
        <v>0.05</v>
      </c>
      <c r="AJ203" s="109">
        <f t="shared" si="582"/>
        <v>4.0842640752410366</v>
      </c>
    </row>
    <row r="204" spans="2:36" x14ac:dyDescent="0.2">
      <c r="B204" s="10" t="s">
        <v>407</v>
      </c>
      <c r="C204" s="15"/>
      <c r="D204" s="15"/>
      <c r="E204" s="15"/>
      <c r="F204" s="15"/>
      <c r="G204" s="15" t="e">
        <f t="shared" ref="G204" si="595">G201/G70</f>
        <v>#DIV/0!</v>
      </c>
      <c r="H204" s="15" t="e">
        <f t="shared" ref="H204:I204" si="596">H201/H70</f>
        <v>#DIV/0!</v>
      </c>
      <c r="I204" s="15" t="e">
        <f t="shared" si="596"/>
        <v>#DIV/0!</v>
      </c>
      <c r="J204" s="15" t="e">
        <f t="shared" ref="J204:T204" si="597">J201/J70</f>
        <v>#DIV/0!</v>
      </c>
      <c r="K204" s="15" t="e">
        <f t="shared" si="597"/>
        <v>#DIV/0!</v>
      </c>
      <c r="L204" s="15" t="e">
        <f t="shared" si="597"/>
        <v>#DIV/0!</v>
      </c>
      <c r="M204" s="15" t="e">
        <f t="shared" si="597"/>
        <v>#DIV/0!</v>
      </c>
      <c r="N204" s="15" t="e">
        <f t="shared" si="597"/>
        <v>#DIV/0!</v>
      </c>
      <c r="O204" s="15" t="e">
        <f t="shared" si="597"/>
        <v>#DIV/0!</v>
      </c>
      <c r="P204" s="15" t="e">
        <f t="shared" si="597"/>
        <v>#DIV/0!</v>
      </c>
      <c r="Q204" s="15" t="e">
        <f t="shared" si="597"/>
        <v>#DIV/0!</v>
      </c>
      <c r="R204" s="15" t="e">
        <f t="shared" si="597"/>
        <v>#DIV/0!</v>
      </c>
      <c r="S204" s="15" t="e">
        <f t="shared" si="597"/>
        <v>#DIV/0!</v>
      </c>
      <c r="T204" s="15" t="e">
        <f t="shared" si="597"/>
        <v>#VALUE!</v>
      </c>
      <c r="U204" s="15" t="e">
        <f t="shared" ref="U204" si="598">U201/U70</f>
        <v>#DIV/0!</v>
      </c>
      <c r="V204" s="101" t="e">
        <f t="shared" si="578"/>
        <v>#DIV/0!</v>
      </c>
      <c r="W204" s="110"/>
      <c r="X204" s="15" t="e">
        <f t="shared" ref="X204:AG204" si="599">X201/X70</f>
        <v>#DIV/0!</v>
      </c>
      <c r="Y204" s="15" t="e">
        <f t="shared" si="599"/>
        <v>#DIV/0!</v>
      </c>
      <c r="Z204" s="15" t="e">
        <f t="shared" si="599"/>
        <v>#DIV/0!</v>
      </c>
      <c r="AA204" s="15" t="e">
        <f t="shared" si="599"/>
        <v>#DIV/0!</v>
      </c>
      <c r="AB204" s="15" t="e">
        <f t="shared" si="599"/>
        <v>#DIV/0!</v>
      </c>
      <c r="AC204" s="15" t="e">
        <f t="shared" si="599"/>
        <v>#DIV/0!</v>
      </c>
      <c r="AD204" s="15" t="e">
        <f t="shared" si="599"/>
        <v>#DIV/0!</v>
      </c>
      <c r="AE204" s="15" t="e">
        <f t="shared" si="599"/>
        <v>#DIV/0!</v>
      </c>
      <c r="AF204" s="15" t="e">
        <f t="shared" si="599"/>
        <v>#DIV/0!</v>
      </c>
      <c r="AG204" s="15" t="e">
        <f t="shared" si="599"/>
        <v>#DIV/0!</v>
      </c>
      <c r="AH204" s="116" t="e">
        <f t="shared" ref="AH204:AH205" si="600">((AG204/J204)^(1/($AG$3-$K$1) ))-1</f>
        <v>#DIV/0!</v>
      </c>
      <c r="AI204" s="21">
        <f t="shared" si="581"/>
        <v>0.05</v>
      </c>
      <c r="AJ204" s="109" t="e">
        <f t="shared" ref="AJ204:AJ205" si="601">(AG204*(1+AH204))/($C$1-AI204)</f>
        <v>#DIV/0!</v>
      </c>
    </row>
    <row r="205" spans="2:36" x14ac:dyDescent="0.2">
      <c r="B205" s="10" t="s">
        <v>408</v>
      </c>
      <c r="C205" s="15"/>
      <c r="D205" s="15"/>
      <c r="E205" s="15"/>
      <c r="F205" s="15"/>
      <c r="G205" s="15" t="e">
        <f t="shared" ref="G205" si="602">G201/G71</f>
        <v>#DIV/0!</v>
      </c>
      <c r="H205" s="15" t="e">
        <f t="shared" ref="H205:I205" si="603">H201/H71</f>
        <v>#DIV/0!</v>
      </c>
      <c r="I205" s="15" t="e">
        <f t="shared" si="603"/>
        <v>#DIV/0!</v>
      </c>
      <c r="J205" s="15" t="e">
        <f t="shared" ref="J205:T205" si="604">J201/J71</f>
        <v>#DIV/0!</v>
      </c>
      <c r="K205" s="15" t="e">
        <f t="shared" si="604"/>
        <v>#DIV/0!</v>
      </c>
      <c r="L205" s="15" t="e">
        <f t="shared" si="604"/>
        <v>#DIV/0!</v>
      </c>
      <c r="M205" s="15" t="e">
        <f t="shared" si="604"/>
        <v>#DIV/0!</v>
      </c>
      <c r="N205" s="15" t="e">
        <f t="shared" si="604"/>
        <v>#DIV/0!</v>
      </c>
      <c r="O205" s="15" t="e">
        <f t="shared" si="604"/>
        <v>#DIV/0!</v>
      </c>
      <c r="P205" s="15" t="e">
        <f t="shared" si="604"/>
        <v>#DIV/0!</v>
      </c>
      <c r="Q205" s="15" t="e">
        <f t="shared" si="604"/>
        <v>#DIV/0!</v>
      </c>
      <c r="R205" s="15" t="e">
        <f t="shared" si="604"/>
        <v>#DIV/0!</v>
      </c>
      <c r="S205" s="15" t="e">
        <f t="shared" si="604"/>
        <v>#DIV/0!</v>
      </c>
      <c r="T205" s="15" t="e">
        <f t="shared" si="604"/>
        <v>#VALUE!</v>
      </c>
      <c r="U205" s="15" t="e">
        <f t="shared" ref="U205" si="605">U201/U71</f>
        <v>#DIV/0!</v>
      </c>
      <c r="V205" s="101" t="e">
        <f t="shared" si="578"/>
        <v>#DIV/0!</v>
      </c>
      <c r="W205" s="110"/>
      <c r="X205" s="15" t="e">
        <f t="shared" ref="X205:AG205" si="606">X201/X71</f>
        <v>#DIV/0!</v>
      </c>
      <c r="Y205" s="15" t="e">
        <f t="shared" si="606"/>
        <v>#DIV/0!</v>
      </c>
      <c r="Z205" s="15" t="e">
        <f t="shared" si="606"/>
        <v>#DIV/0!</v>
      </c>
      <c r="AA205" s="15" t="e">
        <f t="shared" si="606"/>
        <v>#DIV/0!</v>
      </c>
      <c r="AB205" s="15" t="e">
        <f t="shared" si="606"/>
        <v>#DIV/0!</v>
      </c>
      <c r="AC205" s="15" t="e">
        <f t="shared" si="606"/>
        <v>#DIV/0!</v>
      </c>
      <c r="AD205" s="15" t="e">
        <f t="shared" si="606"/>
        <v>#DIV/0!</v>
      </c>
      <c r="AE205" s="15" t="e">
        <f t="shared" si="606"/>
        <v>#DIV/0!</v>
      </c>
      <c r="AF205" s="15" t="e">
        <f t="shared" si="606"/>
        <v>#DIV/0!</v>
      </c>
      <c r="AG205" s="15" t="e">
        <f t="shared" si="606"/>
        <v>#DIV/0!</v>
      </c>
      <c r="AH205" s="116" t="e">
        <f t="shared" si="600"/>
        <v>#DIV/0!</v>
      </c>
      <c r="AI205" s="21">
        <f t="shared" si="581"/>
        <v>0.05</v>
      </c>
      <c r="AJ205" s="109" t="e">
        <f t="shared" si="601"/>
        <v>#DIV/0!</v>
      </c>
    </row>
    <row r="206" spans="2:36" x14ac:dyDescent="0.2">
      <c r="B206" s="10" t="s">
        <v>216</v>
      </c>
      <c r="C206" s="15"/>
      <c r="D206" s="15"/>
      <c r="E206" s="15"/>
      <c r="F206" s="15"/>
      <c r="G206" s="15">
        <f t="shared" ref="G206" si="607">G201/G75</f>
        <v>82.352941176470594</v>
      </c>
      <c r="H206" s="15">
        <f t="shared" ref="H206:I206" si="608">H201/H75</f>
        <v>82.352941176470594</v>
      </c>
      <c r="I206" s="15">
        <f t="shared" si="608"/>
        <v>8.0198019801980198</v>
      </c>
      <c r="J206" s="15">
        <f t="shared" ref="J206:T206" si="609">J201/J75</f>
        <v>6.9033530571992108</v>
      </c>
      <c r="K206" s="15">
        <f t="shared" si="609"/>
        <v>3.774193548387097</v>
      </c>
      <c r="L206" s="15">
        <f t="shared" si="609"/>
        <v>1.0068198944988698</v>
      </c>
      <c r="M206" s="15">
        <f t="shared" si="609"/>
        <v>2.8413241178610402</v>
      </c>
      <c r="N206" s="15">
        <f t="shared" si="609"/>
        <v>2.7188044109112015</v>
      </c>
      <c r="O206" s="15">
        <f t="shared" si="609"/>
        <v>2.7347096923432801</v>
      </c>
      <c r="P206" s="15">
        <f t="shared" si="609"/>
        <v>2.7640300972655529</v>
      </c>
      <c r="Q206" s="15">
        <f t="shared" si="609"/>
        <v>1.8667356899866885</v>
      </c>
      <c r="R206" s="15">
        <f t="shared" si="609"/>
        <v>3.0268115942028988</v>
      </c>
      <c r="S206" s="15">
        <f t="shared" si="609"/>
        <v>2.7421857431976613</v>
      </c>
      <c r="T206" s="15">
        <f t="shared" si="609"/>
        <v>3.2692137330306261</v>
      </c>
      <c r="U206" s="15">
        <f t="shared" ref="U206" si="610">U201/U75</f>
        <v>2.7316832074651058</v>
      </c>
      <c r="V206" s="101">
        <f t="shared" si="578"/>
        <v>-0.2159579189021178</v>
      </c>
      <c r="W206" s="110"/>
      <c r="X206" s="170">
        <f t="shared" ref="X206:AG206" si="611">X201/X75</f>
        <v>0.40381403936440707</v>
      </c>
      <c r="Y206" s="102">
        <f t="shared" si="611"/>
        <v>0.3581654957840828</v>
      </c>
      <c r="Z206" s="102">
        <f t="shared" si="611"/>
        <v>0.31767722234762125</v>
      </c>
      <c r="AA206" s="102">
        <f t="shared" si="611"/>
        <v>0.28176588416919457</v>
      </c>
      <c r="AB206" s="102">
        <f t="shared" si="611"/>
        <v>0.24991408856745953</v>
      </c>
      <c r="AC206" s="102">
        <f t="shared" si="611"/>
        <v>0.22166293072939891</v>
      </c>
      <c r="AD206" s="102">
        <f t="shared" si="611"/>
        <v>0.19660538203824945</v>
      </c>
      <c r="AE206" s="102">
        <f t="shared" si="611"/>
        <v>0.17438042580783866</v>
      </c>
      <c r="AF206" s="102">
        <f t="shared" si="611"/>
        <v>0.15466785593390905</v>
      </c>
      <c r="AG206" s="102">
        <f t="shared" si="611"/>
        <v>0.13718366352398892</v>
      </c>
      <c r="AH206" s="116">
        <f t="shared" si="580"/>
        <v>-0.15664478403991777</v>
      </c>
      <c r="AI206" s="21">
        <f t="shared" si="581"/>
        <v>0.05</v>
      </c>
      <c r="AJ206" s="109">
        <f t="shared" si="582"/>
        <v>0.68055622457334675</v>
      </c>
    </row>
    <row r="207" spans="2:36" x14ac:dyDescent="0.2">
      <c r="B207" s="10" t="s">
        <v>217</v>
      </c>
      <c r="C207" s="15"/>
      <c r="D207" s="15"/>
      <c r="E207" s="15"/>
      <c r="F207" s="15"/>
      <c r="G207" s="15">
        <f t="shared" ref="G207" si="612">G201/G84</f>
        <v>3.5443037974683542</v>
      </c>
      <c r="H207" s="15">
        <f t="shared" ref="H207:I207" si="613">H201/H84</f>
        <v>3.5443037974683542</v>
      </c>
      <c r="I207" s="15">
        <f t="shared" si="613"/>
        <v>1.8</v>
      </c>
      <c r="J207" s="15">
        <f t="shared" ref="J207:T207" si="614">J201/J84</f>
        <v>1.1389521640091116</v>
      </c>
      <c r="K207" s="15">
        <f t="shared" si="614"/>
        <v>0.75809935205183576</v>
      </c>
      <c r="L207" s="15">
        <f t="shared" si="614"/>
        <v>0.18772657018406633</v>
      </c>
      <c r="M207" s="15">
        <f t="shared" si="614"/>
        <v>0.76508962679988257</v>
      </c>
      <c r="N207" s="15">
        <f t="shared" si="614"/>
        <v>0.4976099426386234</v>
      </c>
      <c r="O207" s="15">
        <f t="shared" si="614"/>
        <v>0.42591598515689738</v>
      </c>
      <c r="P207" s="15">
        <f t="shared" si="614"/>
        <v>0.35046422338568939</v>
      </c>
      <c r="Q207" s="15">
        <f t="shared" si="614"/>
        <v>0.30834066256229842</v>
      </c>
      <c r="R207" s="15">
        <f t="shared" si="614"/>
        <v>0.73099742323384165</v>
      </c>
      <c r="S207" s="15">
        <f t="shared" si="614"/>
        <v>0.74984627367385415</v>
      </c>
      <c r="T207" s="15" t="e">
        <f t="shared" si="614"/>
        <v>#VALUE!</v>
      </c>
      <c r="U207" s="15">
        <f t="shared" ref="U207" si="615">U201/U84</f>
        <v>1.0116263745918321</v>
      </c>
      <c r="V207" s="101">
        <f t="shared" si="578"/>
        <v>-8.5662837502265776E-2</v>
      </c>
      <c r="W207" s="110"/>
      <c r="X207" s="102">
        <f t="shared" ref="X207:AG207" si="616">X201/X84</f>
        <v>0.14954476841792305</v>
      </c>
      <c r="Y207" s="102">
        <f t="shared" si="616"/>
        <v>0.13263970764024477</v>
      </c>
      <c r="Z207" s="102">
        <f t="shared" si="616"/>
        <v>0.11764565373308669</v>
      </c>
      <c r="AA207" s="102">
        <f t="shared" si="616"/>
        <v>0.10434657983282472</v>
      </c>
      <c r="AB207" s="102">
        <f t="shared" si="616"/>
        <v>9.2550879503896719E-2</v>
      </c>
      <c r="AC207" s="102">
        <f t="shared" si="616"/>
        <v>8.2088606168673611E-2</v>
      </c>
      <c r="AD207" s="102">
        <f t="shared" si="616"/>
        <v>7.2809024601780084E-2</v>
      </c>
      <c r="AE207" s="102">
        <f t="shared" si="616"/>
        <v>6.4578439212013644E-2</v>
      </c>
      <c r="AF207" s="102">
        <f t="shared" si="616"/>
        <v>5.7278267822829493E-2</v>
      </c>
      <c r="AG207" s="102">
        <f t="shared" si="616"/>
        <v>5.08033331993792E-2</v>
      </c>
      <c r="AH207" s="116">
        <f t="shared" si="580"/>
        <v>-0.12647028383544268</v>
      </c>
      <c r="AI207" s="21">
        <f t="shared" si="581"/>
        <v>0.05</v>
      </c>
      <c r="AJ207" s="109">
        <f t="shared" si="582"/>
        <v>0.26104836017568911</v>
      </c>
    </row>
    <row r="208" spans="2:36" x14ac:dyDescent="0.2">
      <c r="B208" s="10" t="s">
        <v>218</v>
      </c>
      <c r="C208" s="15"/>
      <c r="D208" s="15"/>
      <c r="E208" s="15"/>
      <c r="F208" s="15"/>
      <c r="G208" s="15" t="e">
        <f t="shared" ref="G208" si="617">G201/G86</f>
        <v>#DIV/0!</v>
      </c>
      <c r="H208" s="15" t="e">
        <f t="shared" ref="H208:I208" si="618">H201/H86</f>
        <v>#DIV/0!</v>
      </c>
      <c r="I208" s="15" t="e">
        <f t="shared" si="618"/>
        <v>#DIV/0!</v>
      </c>
      <c r="J208" s="15" t="e">
        <f t="shared" ref="J208:T208" si="619">J201/J86</f>
        <v>#DIV/0!</v>
      </c>
      <c r="K208" s="15" t="e">
        <f t="shared" si="619"/>
        <v>#DIV/0!</v>
      </c>
      <c r="L208" s="15" t="e">
        <f t="shared" si="619"/>
        <v>#DIV/0!</v>
      </c>
      <c r="M208" s="15" t="e">
        <f t="shared" si="619"/>
        <v>#DIV/0!</v>
      </c>
      <c r="N208" s="15" t="e">
        <f t="shared" si="619"/>
        <v>#DIV/0!</v>
      </c>
      <c r="O208" s="15" t="e">
        <f t="shared" si="619"/>
        <v>#DIV/0!</v>
      </c>
      <c r="P208" s="15" t="e">
        <f t="shared" si="619"/>
        <v>#DIV/0!</v>
      </c>
      <c r="Q208" s="15" t="e">
        <f t="shared" si="619"/>
        <v>#DIV/0!</v>
      </c>
      <c r="R208" s="15" t="e">
        <f t="shared" si="619"/>
        <v>#DIV/0!</v>
      </c>
      <c r="S208" s="15" t="e">
        <f t="shared" si="619"/>
        <v>#DIV/0!</v>
      </c>
      <c r="T208" s="15" t="e">
        <f t="shared" si="619"/>
        <v>#VALUE!</v>
      </c>
      <c r="U208" s="15" t="e">
        <f t="shared" ref="U208" si="620">U201/U86</f>
        <v>#DIV/0!</v>
      </c>
      <c r="V208" s="101" t="e">
        <f t="shared" si="578"/>
        <v>#DIV/0!</v>
      </c>
      <c r="W208" s="110"/>
      <c r="X208" s="102" t="e">
        <f t="shared" ref="X208:AG208" si="621">X201/X86</f>
        <v>#DIV/0!</v>
      </c>
      <c r="Y208" s="102" t="e">
        <f t="shared" si="621"/>
        <v>#DIV/0!</v>
      </c>
      <c r="Z208" s="102" t="e">
        <f t="shared" si="621"/>
        <v>#DIV/0!</v>
      </c>
      <c r="AA208" s="102" t="e">
        <f t="shared" si="621"/>
        <v>#DIV/0!</v>
      </c>
      <c r="AB208" s="102" t="e">
        <f t="shared" si="621"/>
        <v>#DIV/0!</v>
      </c>
      <c r="AC208" s="102" t="e">
        <f t="shared" si="621"/>
        <v>#DIV/0!</v>
      </c>
      <c r="AD208" s="102" t="e">
        <f t="shared" si="621"/>
        <v>#DIV/0!</v>
      </c>
      <c r="AE208" s="102" t="e">
        <f t="shared" si="621"/>
        <v>#DIV/0!</v>
      </c>
      <c r="AF208" s="102" t="e">
        <f t="shared" si="621"/>
        <v>#DIV/0!</v>
      </c>
      <c r="AG208" s="102" t="e">
        <f t="shared" si="621"/>
        <v>#DIV/0!</v>
      </c>
      <c r="AH208" s="116" t="e">
        <f t="shared" si="580"/>
        <v>#DIV/0!</v>
      </c>
      <c r="AI208" s="21">
        <f t="shared" si="581"/>
        <v>0.05</v>
      </c>
      <c r="AJ208" s="109" t="e">
        <f t="shared" si="582"/>
        <v>#DIV/0!</v>
      </c>
    </row>
    <row r="209" spans="2:36" x14ac:dyDescent="0.2">
      <c r="B209" s="10" t="s">
        <v>232</v>
      </c>
      <c r="C209" s="15"/>
      <c r="D209" s="15"/>
      <c r="E209" s="15"/>
      <c r="F209" s="15"/>
      <c r="G209" s="158">
        <f t="shared" ref="G209" si="622">G201/G80</f>
        <v>-1.7177914110429449</v>
      </c>
      <c r="H209" s="158">
        <f t="shared" ref="H209:I209" si="623">H201/H80</f>
        <v>-1.7177914110429449</v>
      </c>
      <c r="I209" s="158">
        <f t="shared" si="623"/>
        <v>-0.86692829111666081</v>
      </c>
      <c r="J209" s="158">
        <f t="shared" ref="J209:T209" si="624">J201/J80</f>
        <v>-0.42168674698795178</v>
      </c>
      <c r="K209" s="158">
        <f t="shared" si="624"/>
        <v>-0.29837712519319937</v>
      </c>
      <c r="L209" s="158">
        <f t="shared" si="624"/>
        <v>-7.9840444603800645E-2</v>
      </c>
      <c r="M209" s="158">
        <f t="shared" si="624"/>
        <v>-0.27446763651697237</v>
      </c>
      <c r="N209" s="158">
        <f t="shared" si="624"/>
        <v>-0.19185010750486331</v>
      </c>
      <c r="O209" s="158">
        <f t="shared" si="624"/>
        <v>-0.20163306726702143</v>
      </c>
      <c r="P209" s="158">
        <f t="shared" si="624"/>
        <v>-0.1835165102960887</v>
      </c>
      <c r="Q209" s="158">
        <f t="shared" si="624"/>
        <v>-0.14279733888486604</v>
      </c>
      <c r="R209" s="158">
        <f t="shared" si="624"/>
        <v>-0.32202499195943773</v>
      </c>
      <c r="S209" s="158">
        <f t="shared" si="624"/>
        <v>-0.28227791452226447</v>
      </c>
      <c r="T209" s="158" t="e">
        <f t="shared" si="624"/>
        <v>#VALUE!</v>
      </c>
      <c r="U209" s="158">
        <f t="shared" ref="U209" si="625">U201/U80</f>
        <v>-0.27653604451026698</v>
      </c>
      <c r="V209" s="101">
        <f t="shared" si="578"/>
        <v>-0.12230924699781687</v>
      </c>
      <c r="W209" s="110"/>
      <c r="X209" s="113">
        <f t="shared" ref="X209:AG209" si="626">X201/X80</f>
        <v>-4.0879241362387297E-2</v>
      </c>
      <c r="Y209" s="113">
        <f t="shared" si="626"/>
        <v>-3.6258109730117435E-2</v>
      </c>
      <c r="Z209" s="113">
        <f t="shared" si="626"/>
        <v>-3.2159366891060678E-2</v>
      </c>
      <c r="AA209" s="113">
        <f t="shared" si="626"/>
        <v>-2.8523960199027743E-2</v>
      </c>
      <c r="AB209" s="113">
        <f t="shared" si="626"/>
        <v>-2.5299512524355045E-2</v>
      </c>
      <c r="AC209" s="113">
        <f t="shared" si="626"/>
        <v>-2.243956763029752E-2</v>
      </c>
      <c r="AD209" s="113">
        <f t="shared" si="626"/>
        <v>-1.9902920854698667E-2</v>
      </c>
      <c r="AE209" s="113">
        <f t="shared" si="626"/>
        <v>-1.7653025453732731E-2</v>
      </c>
      <c r="AF209" s="113">
        <f t="shared" si="626"/>
        <v>-1.565746605461512E-2</v>
      </c>
      <c r="AG209" s="113">
        <f t="shared" si="626"/>
        <v>-1.3887491631049931E-2</v>
      </c>
      <c r="AH209" s="116">
        <f t="shared" ref="AH209" si="627">((AG209/J209)^(1/($AG$3-$K$1) ))-1</f>
        <v>-0.13791656894211979</v>
      </c>
      <c r="AI209" s="21">
        <f t="shared" ref="AI209:AI212" si="628">$O$1</f>
        <v>0.05</v>
      </c>
      <c r="AJ209" s="109">
        <f t="shared" si="582"/>
        <v>-7.0424567259312482E-2</v>
      </c>
    </row>
    <row r="210" spans="2:36" x14ac:dyDescent="0.2">
      <c r="B210" s="10"/>
      <c r="C210" s="15"/>
      <c r="D210" s="15"/>
      <c r="E210" s="15"/>
      <c r="F210" s="15"/>
      <c r="G210" s="158"/>
      <c r="H210" s="158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10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3"/>
      <c r="AH210" s="116"/>
      <c r="AI210" s="21">
        <f t="shared" si="628"/>
        <v>0.05</v>
      </c>
      <c r="AJ210" s="109"/>
    </row>
    <row r="211" spans="2:36" x14ac:dyDescent="0.2">
      <c r="B211" s="10" t="s">
        <v>265</v>
      </c>
      <c r="C211" s="129"/>
      <c r="D211" s="129"/>
      <c r="E211" s="129"/>
      <c r="F211" s="129"/>
      <c r="G211" s="129">
        <f t="shared" ref="G211" si="629">G59/G201</f>
        <v>1.4285714285714286E-3</v>
      </c>
      <c r="H211" s="129">
        <f t="shared" ref="H211:I211" si="630">H59/H201</f>
        <v>0</v>
      </c>
      <c r="I211" s="129">
        <f t="shared" si="630"/>
        <v>0</v>
      </c>
      <c r="J211" s="129">
        <f t="shared" ref="J211:T211" si="631">J59/J201</f>
        <v>0</v>
      </c>
      <c r="K211" s="129">
        <f t="shared" si="631"/>
        <v>0</v>
      </c>
      <c r="L211" s="129">
        <f t="shared" si="631"/>
        <v>0</v>
      </c>
      <c r="M211" s="129">
        <f t="shared" si="631"/>
        <v>6.5217391304347823E-3</v>
      </c>
      <c r="N211" s="129">
        <f t="shared" si="631"/>
        <v>9.2592592592592587E-3</v>
      </c>
      <c r="O211" s="129">
        <f t="shared" si="631"/>
        <v>1.1940298507462687E-2</v>
      </c>
      <c r="P211" s="129">
        <f t="shared" si="631"/>
        <v>1.4285714285714285E-2</v>
      </c>
      <c r="Q211" s="129">
        <f t="shared" si="631"/>
        <v>2.2857142857142857E-2</v>
      </c>
      <c r="R211" s="129">
        <f t="shared" si="631"/>
        <v>1.1042944785276074E-2</v>
      </c>
      <c r="S211" s="129">
        <f t="shared" si="631"/>
        <v>1.1494252873563218E-2</v>
      </c>
      <c r="T211" s="129">
        <f t="shared" si="631"/>
        <v>7.7619663648124193E-3</v>
      </c>
      <c r="U211" s="129">
        <f t="shared" ref="U211" si="632">U59/U201</f>
        <v>9.0000000000000011E-3</v>
      </c>
      <c r="V211" s="101">
        <f t="shared" si="578"/>
        <v>0.14050121829946782</v>
      </c>
      <c r="W211" s="110"/>
      <c r="X211" s="129">
        <f t="shared" ref="X211:AG211" si="633">X59/X201</f>
        <v>5.5080000000000011E-2</v>
      </c>
      <c r="Y211" s="129">
        <f t="shared" si="633"/>
        <v>5.6181600000000012E-2</v>
      </c>
      <c r="Z211" s="129">
        <f t="shared" si="633"/>
        <v>5.7305232000000011E-2</v>
      </c>
      <c r="AA211" s="129">
        <f t="shared" si="633"/>
        <v>5.8451336640000011E-2</v>
      </c>
      <c r="AB211" s="129">
        <f t="shared" si="633"/>
        <v>5.9620363372800016E-2</v>
      </c>
      <c r="AC211" s="129">
        <f t="shared" si="633"/>
        <v>6.0812770640256017E-2</v>
      </c>
      <c r="AD211" s="129">
        <f t="shared" si="633"/>
        <v>6.2029026053061133E-2</v>
      </c>
      <c r="AE211" s="129">
        <f t="shared" si="633"/>
        <v>6.3269606574122367E-2</v>
      </c>
      <c r="AF211" s="129">
        <f t="shared" si="633"/>
        <v>6.4534998705604807E-2</v>
      </c>
      <c r="AG211" s="129">
        <f t="shared" si="633"/>
        <v>6.582569867971691E-2</v>
      </c>
      <c r="AH211" s="116" t="e">
        <f t="shared" ref="AH211:AH216" si="634">((AG211/J211)^(1/($AG$3-$K$1) ))-1</f>
        <v>#DIV/0!</v>
      </c>
      <c r="AI211" s="21">
        <f t="shared" si="628"/>
        <v>0.05</v>
      </c>
      <c r="AJ211" s="109" t="e">
        <f t="shared" si="582"/>
        <v>#DIV/0!</v>
      </c>
    </row>
    <row r="212" spans="2:36" x14ac:dyDescent="0.2">
      <c r="B212" s="10" t="s">
        <v>132</v>
      </c>
      <c r="C212" s="129"/>
      <c r="D212" s="129"/>
      <c r="E212" s="129"/>
      <c r="F212" s="129"/>
      <c r="G212" s="141">
        <f t="shared" ref="G212" si="635">G201*G57</f>
        <v>1400</v>
      </c>
      <c r="H212" s="141">
        <f t="shared" ref="H212:I212" si="636">H201*H57</f>
        <v>1400</v>
      </c>
      <c r="I212" s="141">
        <f t="shared" si="636"/>
        <v>2430</v>
      </c>
      <c r="J212" s="141">
        <f t="shared" ref="J212:T212" si="637">J201*J57</f>
        <v>3500</v>
      </c>
      <c r="K212" s="141">
        <f t="shared" si="637"/>
        <v>3861</v>
      </c>
      <c r="L212" s="141">
        <f t="shared" si="637"/>
        <v>1336.05</v>
      </c>
      <c r="M212" s="141">
        <f t="shared" si="637"/>
        <v>7810.8</v>
      </c>
      <c r="N212" s="141">
        <f t="shared" si="637"/>
        <v>9369</v>
      </c>
      <c r="O212" s="141">
        <f t="shared" si="637"/>
        <v>11822.15</v>
      </c>
      <c r="P212" s="141">
        <f t="shared" si="637"/>
        <v>15061.199999999999</v>
      </c>
      <c r="Q212" s="141">
        <f t="shared" si="637"/>
        <v>12621</v>
      </c>
      <c r="R212" s="141">
        <f t="shared" si="637"/>
        <v>34042.550000000003</v>
      </c>
      <c r="S212" s="141">
        <f t="shared" si="637"/>
        <v>36583.5</v>
      </c>
      <c r="T212" s="141">
        <f t="shared" si="637"/>
        <v>70559.44</v>
      </c>
      <c r="U212" s="141">
        <f t="shared" ref="U212" si="638">U201*U57</f>
        <v>69087</v>
      </c>
      <c r="V212" s="101">
        <f t="shared" si="578"/>
        <v>0.32113663486406407</v>
      </c>
      <c r="W212" s="110"/>
      <c r="X212" s="141">
        <f t="shared" ref="X212:AG212" si="639">X201*X57</f>
        <v>11744.79</v>
      </c>
      <c r="Y212" s="141">
        <f t="shared" si="639"/>
        <v>11979.685799999999</v>
      </c>
      <c r="Z212" s="141">
        <f t="shared" si="639"/>
        <v>12219.279516000001</v>
      </c>
      <c r="AA212" s="141">
        <f t="shared" si="639"/>
        <v>12463.665106320001</v>
      </c>
      <c r="AB212" s="141">
        <f t="shared" si="639"/>
        <v>12712.9384084464</v>
      </c>
      <c r="AC212" s="141">
        <f t="shared" si="639"/>
        <v>12967.197176615329</v>
      </c>
      <c r="AD212" s="141">
        <f t="shared" si="639"/>
        <v>13226.541120147635</v>
      </c>
      <c r="AE212" s="141">
        <f t="shared" si="639"/>
        <v>13491.071942550587</v>
      </c>
      <c r="AF212" s="141">
        <f t="shared" si="639"/>
        <v>13760.893381401598</v>
      </c>
      <c r="AG212" s="141">
        <f t="shared" si="639"/>
        <v>14036.111249029631</v>
      </c>
      <c r="AH212" s="116">
        <f t="shared" si="634"/>
        <v>6.2246144264802572E-2</v>
      </c>
      <c r="AI212" s="21">
        <f t="shared" si="628"/>
        <v>0.05</v>
      </c>
      <c r="AJ212" s="109">
        <f t="shared" si="582"/>
        <v>87704.735616197344</v>
      </c>
    </row>
    <row r="213" spans="2:36" x14ac:dyDescent="0.2">
      <c r="B213" s="10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58"/>
      <c r="V213" s="158"/>
      <c r="W213" s="110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29"/>
      <c r="AH213" s="129"/>
      <c r="AI213" s="129"/>
      <c r="AJ213" s="129"/>
    </row>
    <row r="214" spans="2:36" x14ac:dyDescent="0.2">
      <c r="B214" s="10" t="s">
        <v>316</v>
      </c>
      <c r="C214" s="137"/>
      <c r="D214" s="137"/>
      <c r="E214" s="137"/>
      <c r="F214" s="137"/>
      <c r="G214" s="137">
        <f t="shared" ref="G214" si="640">G72/G201</f>
        <v>-2.8571428571428571E-3</v>
      </c>
      <c r="H214" s="137">
        <f t="shared" ref="H214:I214" si="641">H72/H201</f>
        <v>-2.8571428571428571E-3</v>
      </c>
      <c r="I214" s="137">
        <f t="shared" si="641"/>
        <v>2.2633744855967079E-2</v>
      </c>
      <c r="J214" s="137">
        <f t="shared" ref="J214:T214" si="642">J72/J201</f>
        <v>2.6857142857142857E-2</v>
      </c>
      <c r="K214" s="137">
        <f t="shared" si="642"/>
        <v>5.1800051800051802E-2</v>
      </c>
      <c r="L214" s="137">
        <f t="shared" si="642"/>
        <v>0.2275363945960106</v>
      </c>
      <c r="M214" s="137">
        <f t="shared" si="642"/>
        <v>6.1197316536078246E-2</v>
      </c>
      <c r="N214" s="137">
        <f t="shared" si="642"/>
        <v>7.7596328316789406E-2</v>
      </c>
      <c r="O214" s="137">
        <f t="shared" si="642"/>
        <v>8.2641482302288502E-2</v>
      </c>
      <c r="P214" s="137">
        <f t="shared" si="642"/>
        <v>8.6314503492417607E-2</v>
      </c>
      <c r="Q214" s="137">
        <f t="shared" si="642"/>
        <v>0.12764440218683146</v>
      </c>
      <c r="R214" s="137">
        <f t="shared" si="642"/>
        <v>5.8661880499551296E-2</v>
      </c>
      <c r="S214" s="137">
        <f t="shared" si="642"/>
        <v>6.9129525605805903E-2</v>
      </c>
      <c r="T214" s="137">
        <f t="shared" si="642"/>
        <v>4.7334417620094486E-2</v>
      </c>
      <c r="U214" s="137">
        <f t="shared" ref="U214" si="643">U72/U201</f>
        <v>6.1270571887619966E-2</v>
      </c>
      <c r="V214" s="101" t="e">
        <f t="shared" si="578"/>
        <v>#NUM!</v>
      </c>
      <c r="W214" s="110"/>
      <c r="X214" s="137">
        <f t="shared" ref="X214:AG214" si="644">X72/X201</f>
        <v>0.41447739806331141</v>
      </c>
      <c r="Y214" s="137">
        <f t="shared" si="644"/>
        <v>0.46730294879687073</v>
      </c>
      <c r="Z214" s="137">
        <f t="shared" si="644"/>
        <v>0.52686116776117775</v>
      </c>
      <c r="AA214" s="137">
        <f t="shared" si="644"/>
        <v>0.59401014012289632</v>
      </c>
      <c r="AB214" s="137">
        <f t="shared" si="644"/>
        <v>0.66971731484444197</v>
      </c>
      <c r="AC214" s="137">
        <f t="shared" si="644"/>
        <v>0.75507344320696879</v>
      </c>
      <c r="AD214" s="137">
        <f t="shared" si="644"/>
        <v>0.85130829381177842</v>
      </c>
      <c r="AE214" s="137">
        <f t="shared" si="644"/>
        <v>0.95980837047406398</v>
      </c>
      <c r="AF214" s="137">
        <f t="shared" si="644"/>
        <v>1.0821368882795819</v>
      </c>
      <c r="AG214" s="137">
        <f t="shared" si="644"/>
        <v>1.2200562956093324</v>
      </c>
      <c r="AH214" s="116">
        <f t="shared" ref="AH214" si="645">((AG214/J214)^(1/($AG$3-$K$1) ))-1</f>
        <v>0.18047663060838182</v>
      </c>
      <c r="AI214" s="21">
        <f t="shared" ref="AI214" si="646">$O$1</f>
        <v>0.05</v>
      </c>
      <c r="AJ214" s="109">
        <f t="shared" ref="AJ214" si="647">(AG214*(1+AH214))/($C$1-AI214)</f>
        <v>8.4720467352555797</v>
      </c>
    </row>
    <row r="215" spans="2:36" x14ac:dyDescent="0.2">
      <c r="B215" s="10" t="str">
        <f>B203</f>
        <v>P/E (how many years it will take to recover invested amount)</v>
      </c>
      <c r="C215" s="129"/>
      <c r="D215" s="129"/>
      <c r="E215" s="129"/>
      <c r="F215" s="129"/>
      <c r="G215" s="157">
        <f t="shared" ref="G215" si="648">G203</f>
        <v>-350</v>
      </c>
      <c r="H215" s="157">
        <f t="shared" ref="H215:I215" si="649">H203</f>
        <v>-350</v>
      </c>
      <c r="I215" s="157">
        <f t="shared" si="649"/>
        <v>44.18181818181818</v>
      </c>
      <c r="J215" s="157">
        <f t="shared" ref="J215:T215" si="650">J203</f>
        <v>37.234042553191486</v>
      </c>
      <c r="K215" s="157">
        <f t="shared" si="650"/>
        <v>19.305</v>
      </c>
      <c r="L215" s="157">
        <f t="shared" si="650"/>
        <v>4.3949013157894736</v>
      </c>
      <c r="M215" s="157">
        <f t="shared" si="650"/>
        <v>16.340585774058578</v>
      </c>
      <c r="N215" s="157">
        <f t="shared" si="650"/>
        <v>12.887207702888585</v>
      </c>
      <c r="O215" s="157">
        <f t="shared" si="650"/>
        <v>12.100460593654043</v>
      </c>
      <c r="P215" s="157">
        <f t="shared" si="650"/>
        <v>11.585538461538462</v>
      </c>
      <c r="Q215" s="157">
        <f t="shared" si="650"/>
        <v>7.8342644320297952</v>
      </c>
      <c r="R215" s="157">
        <f t="shared" si="650"/>
        <v>17.046845267901855</v>
      </c>
      <c r="S215" s="157">
        <f t="shared" si="650"/>
        <v>14.465599051008303</v>
      </c>
      <c r="T215" s="157">
        <f t="shared" si="650"/>
        <v>21.126276613900458</v>
      </c>
      <c r="U215" s="157">
        <f t="shared" ref="U215" si="651">U203</f>
        <v>16.321048901488304</v>
      </c>
      <c r="V215" s="101" t="e">
        <f t="shared" si="578"/>
        <v>#NUM!</v>
      </c>
      <c r="W215" s="110"/>
      <c r="X215" s="129">
        <f t="shared" ref="X215:AG215" si="652">X203</f>
        <v>2.4126767941330542</v>
      </c>
      <c r="Y215" s="129">
        <f t="shared" si="652"/>
        <v>2.1399394174049697</v>
      </c>
      <c r="Z215" s="129">
        <f t="shared" si="652"/>
        <v>1.8980332223939735</v>
      </c>
      <c r="AA215" s="129">
        <f t="shared" si="652"/>
        <v>1.6834729450798724</v>
      </c>
      <c r="AB215" s="129">
        <f t="shared" si="652"/>
        <v>1.4931673078099739</v>
      </c>
      <c r="AC215" s="129">
        <f t="shared" si="652"/>
        <v>1.3243744817097161</v>
      </c>
      <c r="AD215" s="129">
        <f t="shared" si="652"/>
        <v>1.1746625837773135</v>
      </c>
      <c r="AE215" s="129">
        <f t="shared" si="652"/>
        <v>1.0418746395242258</v>
      </c>
      <c r="AF215" s="129">
        <f t="shared" si="652"/>
        <v>0.92409750636061772</v>
      </c>
      <c r="AG215" s="129">
        <f t="shared" si="652"/>
        <v>0.81963430998941755</v>
      </c>
      <c r="AH215" s="116">
        <f t="shared" ref="AH215" si="653">((AG215/J215)^(1/($AG$3-$K$1) ))-1</f>
        <v>-0.15288454335209478</v>
      </c>
      <c r="AI215" s="21">
        <f t="shared" ref="AI215:AI217" si="654">$O$1</f>
        <v>0.05</v>
      </c>
      <c r="AJ215" s="157">
        <f>(AJ202)/($O$2*100)</f>
        <v>4.5739064609402032E-2</v>
      </c>
    </row>
    <row r="216" spans="2:36" x14ac:dyDescent="0.2">
      <c r="B216" s="10" t="s">
        <v>436</v>
      </c>
      <c r="C216" s="157"/>
      <c r="D216" s="157"/>
      <c r="E216" s="157"/>
      <c r="F216" s="157"/>
      <c r="G216" s="157">
        <f t="shared" ref="G216" si="655">(G203)/($O$2*100)</f>
        <v>-23.333333333333332</v>
      </c>
      <c r="H216" s="157">
        <f t="shared" ref="H216:I216" si="656">(H203)/($O$2*100)</f>
        <v>-23.333333333333332</v>
      </c>
      <c r="I216" s="157">
        <f t="shared" si="656"/>
        <v>2.9454545454545453</v>
      </c>
      <c r="J216" s="157">
        <f t="shared" ref="J216:T216" si="657">(J203)/($O$2*100)</f>
        <v>2.4822695035460991</v>
      </c>
      <c r="K216" s="157">
        <f t="shared" si="657"/>
        <v>1.2869999999999999</v>
      </c>
      <c r="L216" s="157">
        <f t="shared" si="657"/>
        <v>0.2929934210526316</v>
      </c>
      <c r="M216" s="157">
        <f t="shared" si="657"/>
        <v>1.0893723849372385</v>
      </c>
      <c r="N216" s="157">
        <f t="shared" si="657"/>
        <v>0.8591471801925723</v>
      </c>
      <c r="O216" s="157">
        <f t="shared" si="657"/>
        <v>0.80669737291026955</v>
      </c>
      <c r="P216" s="157">
        <f t="shared" si="657"/>
        <v>0.77236923076923081</v>
      </c>
      <c r="Q216" s="157">
        <f t="shared" si="657"/>
        <v>0.52228429546865296</v>
      </c>
      <c r="R216" s="157">
        <f t="shared" si="657"/>
        <v>1.1364563511934569</v>
      </c>
      <c r="S216" s="157">
        <f t="shared" si="657"/>
        <v>0.96437327006722018</v>
      </c>
      <c r="T216" s="157">
        <f t="shared" si="657"/>
        <v>1.4084184409266973</v>
      </c>
      <c r="U216" s="157">
        <f t="shared" ref="U216" si="658">(U203)/($O$2*100)</f>
        <v>1.0880699267658869</v>
      </c>
      <c r="V216" s="101" t="e">
        <f t="shared" si="578"/>
        <v>#NUM!</v>
      </c>
      <c r="W216" s="110"/>
      <c r="X216" s="157">
        <f t="shared" ref="X216:AG216" si="659">(X203)/($O$2*100)</f>
        <v>0.1608451196088703</v>
      </c>
      <c r="Y216" s="157">
        <f t="shared" si="659"/>
        <v>0.14266262782699798</v>
      </c>
      <c r="Z216" s="157">
        <f t="shared" si="659"/>
        <v>0.12653554815959825</v>
      </c>
      <c r="AA216" s="157">
        <f t="shared" si="659"/>
        <v>0.1122315296719915</v>
      </c>
      <c r="AB216" s="157">
        <f t="shared" si="659"/>
        <v>9.9544487187331596E-2</v>
      </c>
      <c r="AC216" s="157">
        <f t="shared" si="659"/>
        <v>8.8291632113981069E-2</v>
      </c>
      <c r="AD216" s="157">
        <f t="shared" si="659"/>
        <v>7.8310838918487571E-2</v>
      </c>
      <c r="AE216" s="157">
        <f t="shared" si="659"/>
        <v>6.9458309301615048E-2</v>
      </c>
      <c r="AF216" s="157">
        <f t="shared" si="659"/>
        <v>6.1606500424041179E-2</v>
      </c>
      <c r="AG216" s="157">
        <f t="shared" si="659"/>
        <v>5.464228733262784E-2</v>
      </c>
      <c r="AH216" s="116">
        <f t="shared" si="634"/>
        <v>-0.15288454335209478</v>
      </c>
      <c r="AI216" s="21">
        <f t="shared" si="654"/>
        <v>0.05</v>
      </c>
      <c r="AJ216" s="157">
        <f>(AJ203)/($O$2*100)</f>
        <v>0.27228427168273578</v>
      </c>
    </row>
    <row r="217" spans="2:36" x14ac:dyDescent="0.2">
      <c r="B217" s="10" t="s">
        <v>437</v>
      </c>
      <c r="C217" s="129"/>
      <c r="D217" s="129"/>
      <c r="E217" s="129"/>
      <c r="F217" s="129"/>
      <c r="G217" s="129">
        <f t="shared" ref="G217" si="660">G216-1</f>
        <v>-24.333333333333332</v>
      </c>
      <c r="H217" s="129">
        <f t="shared" ref="H217:I217" si="661">H216-1</f>
        <v>-24.333333333333332</v>
      </c>
      <c r="I217" s="129">
        <f t="shared" si="661"/>
        <v>1.9454545454545453</v>
      </c>
      <c r="J217" s="129">
        <f t="shared" ref="J217:S217" si="662">J216-1</f>
        <v>1.4822695035460991</v>
      </c>
      <c r="K217" s="129">
        <f t="shared" si="662"/>
        <v>0.28699999999999992</v>
      </c>
      <c r="L217" s="129">
        <f t="shared" si="662"/>
        <v>-0.7070065789473684</v>
      </c>
      <c r="M217" s="129">
        <f t="shared" si="662"/>
        <v>8.9372384937238536E-2</v>
      </c>
      <c r="N217" s="129">
        <f t="shared" si="662"/>
        <v>-0.1408528198074277</v>
      </c>
      <c r="O217" s="129">
        <f t="shared" si="662"/>
        <v>-0.19330262708973045</v>
      </c>
      <c r="P217" s="129">
        <f t="shared" si="662"/>
        <v>-0.22763076923076919</v>
      </c>
      <c r="Q217" s="129">
        <f t="shared" si="662"/>
        <v>-0.47771570453134704</v>
      </c>
      <c r="R217" s="129">
        <f t="shared" si="662"/>
        <v>0.13645635119345689</v>
      </c>
      <c r="S217" s="129">
        <f t="shared" si="662"/>
        <v>-3.5626729932779821E-2</v>
      </c>
      <c r="T217" s="129">
        <f>T216-1</f>
        <v>0.40841844092669732</v>
      </c>
      <c r="U217" s="129">
        <f>U216-1</f>
        <v>8.8069926765886875E-2</v>
      </c>
      <c r="V217" s="101" t="e">
        <f t="shared" si="578"/>
        <v>#NUM!</v>
      </c>
      <c r="W217" s="110"/>
      <c r="X217" s="129">
        <f t="shared" ref="X217:AG217" si="663">X216-1</f>
        <v>-0.83915488039112973</v>
      </c>
      <c r="Y217" s="129">
        <f t="shared" si="663"/>
        <v>-0.85733737217300199</v>
      </c>
      <c r="Z217" s="129">
        <f t="shared" si="663"/>
        <v>-0.87346445184040178</v>
      </c>
      <c r="AA217" s="129">
        <f t="shared" si="663"/>
        <v>-0.88776847032800854</v>
      </c>
      <c r="AB217" s="129">
        <f t="shared" si="663"/>
        <v>-0.90045551281266845</v>
      </c>
      <c r="AC217" s="129">
        <f t="shared" si="663"/>
        <v>-0.91170836788601894</v>
      </c>
      <c r="AD217" s="129">
        <f t="shared" si="663"/>
        <v>-0.92168916108151244</v>
      </c>
      <c r="AE217" s="129">
        <f t="shared" si="663"/>
        <v>-0.93054169069838499</v>
      </c>
      <c r="AF217" s="129">
        <f t="shared" si="663"/>
        <v>-0.93839349957595886</v>
      </c>
      <c r="AG217" s="129">
        <f t="shared" si="663"/>
        <v>-0.94535771266737212</v>
      </c>
      <c r="AH217" s="116">
        <f t="shared" ref="AH217" si="664">((AG217/J217)^(1/($AG$3-$K$1) ))-1</f>
        <v>-1.9806349053689167</v>
      </c>
      <c r="AI217" s="21">
        <f t="shared" si="654"/>
        <v>0.05</v>
      </c>
      <c r="AJ217" s="157" t="e">
        <f>(AJ204)/($O$2*100)</f>
        <v>#DIV/0!</v>
      </c>
    </row>
    <row r="218" spans="2:36" x14ac:dyDescent="0.2">
      <c r="B218" s="10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58"/>
      <c r="V218" s="158"/>
      <c r="W218" s="110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13"/>
      <c r="AH218" s="115"/>
      <c r="AI218" s="10"/>
      <c r="AJ218" s="109"/>
    </row>
    <row r="219" spans="2:36" x14ac:dyDescent="0.2">
      <c r="B219" s="10" t="s">
        <v>414</v>
      </c>
      <c r="C219" s="129"/>
      <c r="D219" s="129"/>
      <c r="E219" s="129"/>
      <c r="F219" s="129"/>
      <c r="G219" s="129">
        <f t="shared" ref="G219:S219" si="665">1/G220</f>
        <v>6.0278433315225428E-2</v>
      </c>
      <c r="H219" s="129">
        <f t="shared" si="665"/>
        <v>6.0278433315225428E-2</v>
      </c>
      <c r="I219" s="129">
        <f t="shared" si="665"/>
        <v>4.6883225911841998E-2</v>
      </c>
      <c r="J219" s="129">
        <f t="shared" si="665"/>
        <v>3.3755922656526237E-2</v>
      </c>
      <c r="K219" s="129">
        <f t="shared" si="665"/>
        <v>3.2457617938967537E-2</v>
      </c>
      <c r="L219" s="129">
        <f t="shared" si="665"/>
        <v>9.3766451823683997E-2</v>
      </c>
      <c r="M219" s="129">
        <f t="shared" si="665"/>
        <v>1.8345610139416435E-2</v>
      </c>
      <c r="N219" s="129">
        <f t="shared" si="665"/>
        <v>1.5627741970613999E-2</v>
      </c>
      <c r="O219" s="129">
        <f t="shared" si="665"/>
        <v>1.2595493528554567E-2</v>
      </c>
      <c r="P219" s="129">
        <f t="shared" si="665"/>
        <v>1.0046405552537571E-2</v>
      </c>
      <c r="Q219" s="129">
        <f t="shared" si="665"/>
        <v>1.2055686663045085E-2</v>
      </c>
      <c r="R219" s="129">
        <f t="shared" si="665"/>
        <v>5.1772887510009562E-3</v>
      </c>
      <c r="S219" s="129">
        <f t="shared" si="665"/>
        <v>4.8499888874319304E-3</v>
      </c>
      <c r="T219" s="129">
        <f>1/T220</f>
        <v>2.7292951695121474E-3</v>
      </c>
      <c r="U219" s="129">
        <f>1/U220</f>
        <v>1.40649677735526E-2</v>
      </c>
      <c r="V219" s="101">
        <f t="shared" si="578"/>
        <v>-9.8728818267497132E-2</v>
      </c>
      <c r="W219" s="110"/>
      <c r="X219" s="129">
        <f t="shared" ref="X219:AG219" si="666">1/X220</f>
        <v>8.4389806641315596E-2</v>
      </c>
      <c r="Y219" s="129">
        <f t="shared" si="666"/>
        <v>8.4389806641315596E-2</v>
      </c>
      <c r="Z219" s="129">
        <f t="shared" si="666"/>
        <v>8.4389806641315596E-2</v>
      </c>
      <c r="AA219" s="129">
        <f t="shared" si="666"/>
        <v>8.4389806641315596E-2</v>
      </c>
      <c r="AB219" s="129">
        <f t="shared" si="666"/>
        <v>8.4389806641315596E-2</v>
      </c>
      <c r="AC219" s="129">
        <f t="shared" si="666"/>
        <v>8.4389806641315596E-2</v>
      </c>
      <c r="AD219" s="129">
        <f t="shared" si="666"/>
        <v>8.4389806641315596E-2</v>
      </c>
      <c r="AE219" s="129">
        <f t="shared" si="666"/>
        <v>8.4389806641315596E-2</v>
      </c>
      <c r="AF219" s="129">
        <f t="shared" si="666"/>
        <v>8.4389806641315596E-2</v>
      </c>
      <c r="AG219" s="129">
        <f t="shared" si="666"/>
        <v>8.4389806641315596E-2</v>
      </c>
      <c r="AH219" s="116">
        <f t="shared" ref="AH219" si="667">((AG219/J219)^(1/($AG$3-$K$1) ))-1</f>
        <v>4.0642933542892834E-2</v>
      </c>
      <c r="AI219" s="21">
        <f t="shared" ref="AI219:AI222" si="668">$O$1</f>
        <v>0.05</v>
      </c>
      <c r="AJ219" s="157">
        <f>(AJ206)/($O$2*100)</f>
        <v>4.5370414971556451E-2</v>
      </c>
    </row>
    <row r="220" spans="2:36" x14ac:dyDescent="0.2">
      <c r="B220" s="10" t="s">
        <v>509</v>
      </c>
      <c r="C220" s="111"/>
      <c r="D220" s="111"/>
      <c r="E220" s="111"/>
      <c r="F220" s="111"/>
      <c r="G220" s="113">
        <f t="shared" ref="G220:U220" si="669">G201/$S$170</f>
        <v>16.589681333794967</v>
      </c>
      <c r="H220" s="113">
        <f t="shared" si="669"/>
        <v>16.589681333794967</v>
      </c>
      <c r="I220" s="113">
        <f t="shared" si="669"/>
        <v>21.329590286307816</v>
      </c>
      <c r="J220" s="113">
        <f t="shared" si="669"/>
        <v>29.624430953205302</v>
      </c>
      <c r="K220" s="113">
        <f t="shared" si="669"/>
        <v>30.809408191333514</v>
      </c>
      <c r="L220" s="113">
        <f t="shared" si="669"/>
        <v>10.664795143153908</v>
      </c>
      <c r="M220" s="113">
        <f t="shared" si="669"/>
        <v>54.508952953897754</v>
      </c>
      <c r="N220" s="113">
        <f t="shared" si="669"/>
        <v>63.988770858923452</v>
      </c>
      <c r="O220" s="113">
        <f t="shared" si="669"/>
        <v>79.393474954590204</v>
      </c>
      <c r="P220" s="113">
        <f t="shared" si="669"/>
        <v>99.538088002769811</v>
      </c>
      <c r="Q220" s="113">
        <f t="shared" si="669"/>
        <v>82.94840666897484</v>
      </c>
      <c r="R220" s="113">
        <f t="shared" si="669"/>
        <v>193.15128981489858</v>
      </c>
      <c r="S220" s="113">
        <f t="shared" si="669"/>
        <v>206.1860394343089</v>
      </c>
      <c r="T220" s="113">
        <f t="shared" si="669"/>
        <v>366.39496202924317</v>
      </c>
      <c r="U220" s="113">
        <f t="shared" si="669"/>
        <v>71.098634287692718</v>
      </c>
      <c r="V220" s="101">
        <f t="shared" si="578"/>
        <v>0.10954396442335135</v>
      </c>
      <c r="W220" s="110"/>
      <c r="X220" s="113">
        <f t="shared" ref="X220:AG220" si="670">X201/$S$170</f>
        <v>11.84977238128212</v>
      </c>
      <c r="Y220" s="113">
        <f t="shared" si="670"/>
        <v>11.84977238128212</v>
      </c>
      <c r="Z220" s="113">
        <f t="shared" si="670"/>
        <v>11.84977238128212</v>
      </c>
      <c r="AA220" s="113">
        <f t="shared" si="670"/>
        <v>11.84977238128212</v>
      </c>
      <c r="AB220" s="113">
        <f t="shared" si="670"/>
        <v>11.84977238128212</v>
      </c>
      <c r="AC220" s="113">
        <f t="shared" si="670"/>
        <v>11.84977238128212</v>
      </c>
      <c r="AD220" s="113">
        <f t="shared" si="670"/>
        <v>11.84977238128212</v>
      </c>
      <c r="AE220" s="113">
        <f t="shared" si="670"/>
        <v>11.84977238128212</v>
      </c>
      <c r="AF220" s="113">
        <f t="shared" si="670"/>
        <v>11.84977238128212</v>
      </c>
      <c r="AG220" s="113">
        <f t="shared" si="670"/>
        <v>11.84977238128212</v>
      </c>
      <c r="AH220" s="116">
        <f t="shared" ref="AH220:AH222" si="671">((AG220/J220)^(1/($AG$3-$K$1) ))-1</f>
        <v>-3.9055599411532027E-2</v>
      </c>
      <c r="AI220" s="21">
        <f t="shared" si="668"/>
        <v>0.05</v>
      </c>
      <c r="AJ220" s="157">
        <f>(AJ206)/($O$2*100)</f>
        <v>4.5370414971556451E-2</v>
      </c>
    </row>
    <row r="221" spans="2:36" x14ac:dyDescent="0.2">
      <c r="B221" s="10" t="s">
        <v>436</v>
      </c>
      <c r="C221" s="111"/>
      <c r="D221" s="111"/>
      <c r="E221" s="111"/>
      <c r="F221" s="111"/>
      <c r="G221" s="157">
        <f t="shared" ref="G221" si="672">(G220)/($O$2*100)</f>
        <v>1.1059787555863312</v>
      </c>
      <c r="H221" s="157">
        <f t="shared" ref="H221:I221" si="673">(H220)/($O$2*100)</f>
        <v>1.1059787555863312</v>
      </c>
      <c r="I221" s="157">
        <f t="shared" si="673"/>
        <v>1.4219726857538544</v>
      </c>
      <c r="J221" s="157">
        <f t="shared" ref="J221:T221" si="674">(J220)/($O$2*100)</f>
        <v>1.9749620635470202</v>
      </c>
      <c r="K221" s="157">
        <f t="shared" si="674"/>
        <v>2.0539605460889008</v>
      </c>
      <c r="L221" s="157">
        <f t="shared" si="674"/>
        <v>0.71098634287692719</v>
      </c>
      <c r="M221" s="157">
        <f t="shared" si="674"/>
        <v>3.6339301969265168</v>
      </c>
      <c r="N221" s="157">
        <f t="shared" si="674"/>
        <v>4.2659180572615636</v>
      </c>
      <c r="O221" s="157">
        <f t="shared" si="674"/>
        <v>5.2928983303060138</v>
      </c>
      <c r="P221" s="157">
        <f t="shared" si="674"/>
        <v>6.6358725335179871</v>
      </c>
      <c r="Q221" s="157">
        <f t="shared" si="674"/>
        <v>5.5298937779316564</v>
      </c>
      <c r="R221" s="157">
        <f t="shared" si="674"/>
        <v>12.876752654326571</v>
      </c>
      <c r="S221" s="157">
        <f t="shared" si="674"/>
        <v>13.745735962287259</v>
      </c>
      <c r="T221" s="157">
        <f t="shared" si="674"/>
        <v>24.426330801949543</v>
      </c>
      <c r="U221" s="157">
        <f t="shared" ref="U221" si="675">(U220)/($O$2*100)</f>
        <v>4.7399089525128479</v>
      </c>
      <c r="V221" s="101">
        <f t="shared" si="578"/>
        <v>0.10954396442335135</v>
      </c>
      <c r="W221" s="110"/>
      <c r="X221" s="157">
        <f t="shared" ref="X221:AG221" si="676">(X220)/($O$2*100)</f>
        <v>0.78998482541880799</v>
      </c>
      <c r="Y221" s="157">
        <f t="shared" si="676"/>
        <v>0.78998482541880799</v>
      </c>
      <c r="Z221" s="157">
        <f t="shared" si="676"/>
        <v>0.78998482541880799</v>
      </c>
      <c r="AA221" s="157">
        <f t="shared" si="676"/>
        <v>0.78998482541880799</v>
      </c>
      <c r="AB221" s="157">
        <f t="shared" si="676"/>
        <v>0.78998482541880799</v>
      </c>
      <c r="AC221" s="157">
        <f t="shared" si="676"/>
        <v>0.78998482541880799</v>
      </c>
      <c r="AD221" s="157">
        <f t="shared" si="676"/>
        <v>0.78998482541880799</v>
      </c>
      <c r="AE221" s="157">
        <f t="shared" si="676"/>
        <v>0.78998482541880799</v>
      </c>
      <c r="AF221" s="157">
        <f t="shared" si="676"/>
        <v>0.78998482541880799</v>
      </c>
      <c r="AG221" s="157">
        <f t="shared" si="676"/>
        <v>0.78998482541880799</v>
      </c>
      <c r="AH221" s="116">
        <f t="shared" si="671"/>
        <v>-3.9055599411532027E-2</v>
      </c>
      <c r="AI221" s="21">
        <f t="shared" si="668"/>
        <v>0.05</v>
      </c>
      <c r="AJ221" s="157">
        <f>(AJ207)/($O$2*100)</f>
        <v>1.7403224011712608E-2</v>
      </c>
    </row>
    <row r="222" spans="2:36" x14ac:dyDescent="0.2">
      <c r="B222" s="10" t="s">
        <v>438</v>
      </c>
      <c r="C222" s="111"/>
      <c r="D222" s="111"/>
      <c r="E222" s="111"/>
      <c r="F222" s="111"/>
      <c r="G222" s="129">
        <f t="shared" ref="G222" si="677">G221-1</f>
        <v>0.10597875558633119</v>
      </c>
      <c r="H222" s="129">
        <f t="shared" ref="H222:I222" si="678">H221-1</f>
        <v>0.10597875558633119</v>
      </c>
      <c r="I222" s="129">
        <f t="shared" si="678"/>
        <v>0.42197268575385438</v>
      </c>
      <c r="J222" s="129">
        <f t="shared" ref="J222:T222" si="679">J221-1</f>
        <v>0.9749620635470202</v>
      </c>
      <c r="K222" s="129">
        <f t="shared" si="679"/>
        <v>1.0539605460889008</v>
      </c>
      <c r="L222" s="129">
        <f t="shared" si="679"/>
        <v>-0.28901365712307281</v>
      </c>
      <c r="M222" s="129">
        <f t="shared" si="679"/>
        <v>2.6339301969265168</v>
      </c>
      <c r="N222" s="129">
        <f t="shared" si="679"/>
        <v>3.2659180572615636</v>
      </c>
      <c r="O222" s="129">
        <f t="shared" si="679"/>
        <v>4.2928983303060138</v>
      </c>
      <c r="P222" s="129">
        <f t="shared" si="679"/>
        <v>5.6358725335179871</v>
      </c>
      <c r="Q222" s="129">
        <f t="shared" si="679"/>
        <v>4.5298937779316564</v>
      </c>
      <c r="R222" s="129">
        <f t="shared" si="679"/>
        <v>11.876752654326571</v>
      </c>
      <c r="S222" s="129">
        <f t="shared" si="679"/>
        <v>12.745735962287259</v>
      </c>
      <c r="T222" s="129">
        <f t="shared" si="679"/>
        <v>23.426330801949543</v>
      </c>
      <c r="U222" s="129">
        <f t="shared" ref="U222" si="680">U221-1</f>
        <v>3.7399089525128479</v>
      </c>
      <c r="V222" s="101">
        <f t="shared" si="578"/>
        <v>0.28986979338246988</v>
      </c>
      <c r="W222" s="110"/>
      <c r="X222" s="129">
        <f t="shared" ref="X222:AG222" si="681">X221-1</f>
        <v>-0.21001517458119201</v>
      </c>
      <c r="Y222" s="129">
        <f t="shared" si="681"/>
        <v>-0.21001517458119201</v>
      </c>
      <c r="Z222" s="129">
        <f t="shared" si="681"/>
        <v>-0.21001517458119201</v>
      </c>
      <c r="AA222" s="129">
        <f t="shared" si="681"/>
        <v>-0.21001517458119201</v>
      </c>
      <c r="AB222" s="129">
        <f t="shared" si="681"/>
        <v>-0.21001517458119201</v>
      </c>
      <c r="AC222" s="129">
        <f t="shared" si="681"/>
        <v>-0.21001517458119201</v>
      </c>
      <c r="AD222" s="129">
        <f t="shared" si="681"/>
        <v>-0.21001517458119201</v>
      </c>
      <c r="AE222" s="129">
        <f t="shared" si="681"/>
        <v>-0.21001517458119201</v>
      </c>
      <c r="AF222" s="129">
        <f t="shared" si="681"/>
        <v>-0.21001517458119201</v>
      </c>
      <c r="AG222" s="129">
        <f t="shared" si="681"/>
        <v>-0.21001517458119201</v>
      </c>
      <c r="AH222" s="116">
        <f t="shared" si="671"/>
        <v>-1.9354302993915156</v>
      </c>
      <c r="AI222" s="21">
        <f t="shared" si="668"/>
        <v>0.05</v>
      </c>
      <c r="AJ222" s="157" t="e">
        <f>(AJ208)/($O$2*100)</f>
        <v>#DIV/0!</v>
      </c>
    </row>
    <row r="223" spans="2:36" x14ac:dyDescent="0.2">
      <c r="B223" s="10"/>
      <c r="C223" s="111"/>
      <c r="D223" s="111"/>
      <c r="E223" s="111"/>
      <c r="F223" s="111"/>
      <c r="G223" s="113"/>
      <c r="H223" s="113"/>
      <c r="I223" s="113"/>
      <c r="J223" s="113"/>
      <c r="K223" s="113"/>
      <c r="L223" s="113"/>
      <c r="M223" s="113"/>
      <c r="N223" s="175"/>
      <c r="O223" s="176"/>
      <c r="P223" s="113"/>
      <c r="Q223" s="113"/>
      <c r="R223" s="113"/>
      <c r="S223" s="113"/>
      <c r="T223" s="113"/>
      <c r="U223" s="158"/>
      <c r="V223" s="158"/>
      <c r="W223" s="110"/>
      <c r="X223" s="113"/>
      <c r="Y223" s="113"/>
      <c r="Z223" s="113"/>
      <c r="AA223" s="113"/>
      <c r="AB223" s="113"/>
      <c r="AC223" s="113"/>
      <c r="AD223" s="113"/>
      <c r="AE223" s="113"/>
      <c r="AF223" s="113"/>
      <c r="AG223" s="113"/>
      <c r="AH223" s="115"/>
      <c r="AI223" s="10"/>
      <c r="AJ223" s="10"/>
    </row>
    <row r="224" spans="2:36" x14ac:dyDescent="0.2">
      <c r="B224" s="10" t="s">
        <v>414</v>
      </c>
      <c r="C224" s="111"/>
      <c r="D224" s="111"/>
      <c r="E224" s="111"/>
      <c r="F224" s="111"/>
      <c r="G224" s="129">
        <f t="shared" ref="G224:U224" si="682">1/G225</f>
        <v>0.17009472528426889</v>
      </c>
      <c r="H224" s="129">
        <f t="shared" si="682"/>
        <v>0.17009472528426889</v>
      </c>
      <c r="I224" s="129">
        <f t="shared" si="682"/>
        <v>0.13229589744332024</v>
      </c>
      <c r="J224" s="129">
        <f t="shared" si="682"/>
        <v>9.5253046159190571E-2</v>
      </c>
      <c r="K224" s="129">
        <f t="shared" si="682"/>
        <v>9.158946746076016E-2</v>
      </c>
      <c r="L224" s="129">
        <f t="shared" si="682"/>
        <v>0.26459179488664047</v>
      </c>
      <c r="M224" s="129">
        <f t="shared" si="682"/>
        <v>5.1767959869125309E-2</v>
      </c>
      <c r="N224" s="129">
        <f t="shared" si="682"/>
        <v>4.4098632481106743E-2</v>
      </c>
      <c r="O224" s="129">
        <f t="shared" si="682"/>
        <v>3.5542181402683053E-2</v>
      </c>
      <c r="P224" s="129">
        <f t="shared" si="682"/>
        <v>2.8349120880711478E-2</v>
      </c>
      <c r="Q224" s="129">
        <f t="shared" si="682"/>
        <v>3.4018945056853774E-2</v>
      </c>
      <c r="R224" s="129">
        <f t="shared" si="682"/>
        <v>1.4609362907851316E-2</v>
      </c>
      <c r="S224" s="129">
        <f t="shared" si="682"/>
        <v>1.3685782494136576E-2</v>
      </c>
      <c r="T224" s="129">
        <f t="shared" si="682"/>
        <v>7.7015722961829378E-3</v>
      </c>
      <c r="U224" s="129">
        <f t="shared" si="682"/>
        <v>3.9688769232996073E-2</v>
      </c>
      <c r="V224" s="101">
        <f t="shared" si="578"/>
        <v>-9.8728818267497132E-2</v>
      </c>
      <c r="W224" s="110"/>
      <c r="X224" s="129">
        <f t="shared" ref="X224:AG224" si="683">1/X225</f>
        <v>0.23813261539797642</v>
      </c>
      <c r="Y224" s="129">
        <f t="shared" si="683"/>
        <v>0.23813261539797642</v>
      </c>
      <c r="Z224" s="129">
        <f t="shared" si="683"/>
        <v>0.23813261539797642</v>
      </c>
      <c r="AA224" s="129">
        <f t="shared" si="683"/>
        <v>0.23813261539797642</v>
      </c>
      <c r="AB224" s="129">
        <f t="shared" si="683"/>
        <v>0.23813261539797642</v>
      </c>
      <c r="AC224" s="129">
        <f t="shared" si="683"/>
        <v>0.23813261539797642</v>
      </c>
      <c r="AD224" s="129">
        <f t="shared" si="683"/>
        <v>0.23813261539797642</v>
      </c>
      <c r="AE224" s="129">
        <f t="shared" si="683"/>
        <v>0.23813261539797642</v>
      </c>
      <c r="AF224" s="129">
        <f t="shared" si="683"/>
        <v>0.23813261539797642</v>
      </c>
      <c r="AG224" s="129">
        <f t="shared" si="683"/>
        <v>0.23813261539797642</v>
      </c>
      <c r="AH224" s="116">
        <f t="shared" ref="AH224" si="684">((AG224/J224)^(1/($AG$3-$K$1) ))-1</f>
        <v>4.0642933542892834E-2</v>
      </c>
      <c r="AI224" s="21">
        <f t="shared" ref="AI224" si="685">$O$1</f>
        <v>0.05</v>
      </c>
      <c r="AJ224" s="157">
        <f>(AJ210)/($O$2*100)</f>
        <v>0</v>
      </c>
    </row>
    <row r="225" spans="2:36" x14ac:dyDescent="0.2">
      <c r="B225" s="10" t="s">
        <v>415</v>
      </c>
      <c r="C225" s="111"/>
      <c r="D225" s="111"/>
      <c r="E225" s="111"/>
      <c r="F225" s="111"/>
      <c r="G225" s="113">
        <f t="shared" ref="G225" si="686">G201/$T$170</f>
        <v>5.8790770750166494</v>
      </c>
      <c r="H225" s="113">
        <f t="shared" ref="H225:I225" si="687">H201/$T$170</f>
        <v>5.8790770750166494</v>
      </c>
      <c r="I225" s="113">
        <f t="shared" si="687"/>
        <v>7.5588133821642636</v>
      </c>
      <c r="J225" s="113">
        <f t="shared" ref="J225:S225" si="688">J201/$T$170</f>
        <v>10.498351919672588</v>
      </c>
      <c r="K225" s="113">
        <f t="shared" si="688"/>
        <v>10.918285996459492</v>
      </c>
      <c r="L225" s="113">
        <f t="shared" si="688"/>
        <v>3.7794066910821318</v>
      </c>
      <c r="M225" s="113">
        <f t="shared" si="688"/>
        <v>19.316967532197562</v>
      </c>
      <c r="N225" s="113">
        <f t="shared" si="688"/>
        <v>22.676440146492791</v>
      </c>
      <c r="O225" s="113">
        <f t="shared" si="688"/>
        <v>28.135583144722535</v>
      </c>
      <c r="P225" s="113">
        <f t="shared" si="688"/>
        <v>35.274462450099897</v>
      </c>
      <c r="Q225" s="113">
        <f t="shared" si="688"/>
        <v>29.395385375083247</v>
      </c>
      <c r="R225" s="113">
        <f t="shared" si="688"/>
        <v>68.44925451626527</v>
      </c>
      <c r="S225" s="113">
        <f t="shared" si="688"/>
        <v>73.068529360921218</v>
      </c>
      <c r="T225" s="113">
        <f>T201/$T$170</f>
        <v>129.84361654251057</v>
      </c>
      <c r="U225" s="113">
        <f>U201/$T$170</f>
        <v>25.196044607214212</v>
      </c>
      <c r="V225" s="101">
        <f t="shared" si="578"/>
        <v>0.10954396442335135</v>
      </c>
      <c r="W225" s="110"/>
      <c r="X225" s="113">
        <f t="shared" ref="X225:AG225" si="689">X201/$T$170</f>
        <v>4.1993407678690353</v>
      </c>
      <c r="Y225" s="113">
        <f t="shared" si="689"/>
        <v>4.1993407678690353</v>
      </c>
      <c r="Z225" s="113">
        <f t="shared" si="689"/>
        <v>4.1993407678690353</v>
      </c>
      <c r="AA225" s="113">
        <f t="shared" si="689"/>
        <v>4.1993407678690353</v>
      </c>
      <c r="AB225" s="113">
        <f t="shared" si="689"/>
        <v>4.1993407678690353</v>
      </c>
      <c r="AC225" s="113">
        <f t="shared" si="689"/>
        <v>4.1993407678690353</v>
      </c>
      <c r="AD225" s="113">
        <f t="shared" si="689"/>
        <v>4.1993407678690353</v>
      </c>
      <c r="AE225" s="113">
        <f t="shared" si="689"/>
        <v>4.1993407678690353</v>
      </c>
      <c r="AF225" s="113">
        <f t="shared" si="689"/>
        <v>4.1993407678690353</v>
      </c>
      <c r="AG225" s="113">
        <f t="shared" si="689"/>
        <v>4.1993407678690353</v>
      </c>
      <c r="AH225" s="116">
        <f t="shared" ref="AH225:AH227" si="690">((AG225/J225)^(1/($AG$3-$K$1) ))-1</f>
        <v>-3.9055599411532027E-2</v>
      </c>
      <c r="AI225" s="21">
        <f t="shared" ref="AI225:AI227" si="691">$O$1</f>
        <v>0.05</v>
      </c>
      <c r="AJ225" s="157">
        <f>(AJ210)/($O$2*100)</f>
        <v>0</v>
      </c>
    </row>
    <row r="226" spans="2:36" x14ac:dyDescent="0.2">
      <c r="B226" s="10" t="s">
        <v>436</v>
      </c>
      <c r="C226" s="111"/>
      <c r="D226" s="111"/>
      <c r="E226" s="111"/>
      <c r="F226" s="111"/>
      <c r="G226" s="157">
        <f t="shared" ref="G226" si="692">(G225)/($O$2*100)</f>
        <v>0.39193847166777662</v>
      </c>
      <c r="H226" s="157">
        <f t="shared" ref="H226:I226" si="693">(H225)/($O$2*100)</f>
        <v>0.39193847166777662</v>
      </c>
      <c r="I226" s="157">
        <f t="shared" si="693"/>
        <v>0.50392089214428426</v>
      </c>
      <c r="J226" s="157">
        <f t="shared" ref="J226:T226" si="694">(J225)/($O$2*100)</f>
        <v>0.69989012797817252</v>
      </c>
      <c r="K226" s="157">
        <f t="shared" si="694"/>
        <v>0.72788573309729943</v>
      </c>
      <c r="L226" s="157">
        <f t="shared" si="694"/>
        <v>0.25196044607214213</v>
      </c>
      <c r="M226" s="157">
        <f t="shared" si="694"/>
        <v>1.2877978354798374</v>
      </c>
      <c r="N226" s="157">
        <f t="shared" si="694"/>
        <v>1.5117626764328527</v>
      </c>
      <c r="O226" s="157">
        <f t="shared" si="694"/>
        <v>1.8757055429815024</v>
      </c>
      <c r="P226" s="157">
        <f t="shared" si="694"/>
        <v>2.35163083000666</v>
      </c>
      <c r="Q226" s="157">
        <f t="shared" si="694"/>
        <v>1.9596923583388832</v>
      </c>
      <c r="R226" s="157">
        <f t="shared" si="694"/>
        <v>4.5632836344176848</v>
      </c>
      <c r="S226" s="157">
        <f t="shared" si="694"/>
        <v>4.8712352907280811</v>
      </c>
      <c r="T226" s="157">
        <f t="shared" si="694"/>
        <v>8.6562411028340378</v>
      </c>
      <c r="U226" s="157">
        <f t="shared" ref="U226" si="695">(U225)/($O$2*100)</f>
        <v>1.6797363071476141</v>
      </c>
      <c r="V226" s="101">
        <f t="shared" si="578"/>
        <v>0.10954396442335135</v>
      </c>
      <c r="W226" s="110"/>
      <c r="X226" s="157">
        <f t="shared" ref="X226:AG226" si="696">(X225)/($O$2*100)</f>
        <v>0.27995605119126904</v>
      </c>
      <c r="Y226" s="157">
        <f t="shared" si="696"/>
        <v>0.27995605119126904</v>
      </c>
      <c r="Z226" s="157">
        <f t="shared" si="696"/>
        <v>0.27995605119126904</v>
      </c>
      <c r="AA226" s="157">
        <f t="shared" si="696"/>
        <v>0.27995605119126904</v>
      </c>
      <c r="AB226" s="157">
        <f t="shared" si="696"/>
        <v>0.27995605119126904</v>
      </c>
      <c r="AC226" s="157">
        <f t="shared" si="696"/>
        <v>0.27995605119126904</v>
      </c>
      <c r="AD226" s="157">
        <f t="shared" si="696"/>
        <v>0.27995605119126904</v>
      </c>
      <c r="AE226" s="157">
        <f t="shared" si="696"/>
        <v>0.27995605119126904</v>
      </c>
      <c r="AF226" s="157">
        <f t="shared" si="696"/>
        <v>0.27995605119126904</v>
      </c>
      <c r="AG226" s="157">
        <f t="shared" si="696"/>
        <v>0.27995605119126904</v>
      </c>
      <c r="AH226" s="116">
        <f t="shared" si="690"/>
        <v>-3.9055599411532027E-2</v>
      </c>
      <c r="AI226" s="21">
        <f t="shared" si="691"/>
        <v>0.05</v>
      </c>
      <c r="AJ226" s="157" t="e">
        <f>(#REF!)/($O$2*100)</f>
        <v>#REF!</v>
      </c>
    </row>
    <row r="227" spans="2:36" x14ac:dyDescent="0.2">
      <c r="B227" s="10" t="s">
        <v>438</v>
      </c>
      <c r="C227" s="111"/>
      <c r="D227" s="111"/>
      <c r="E227" s="111"/>
      <c r="F227" s="111"/>
      <c r="G227" s="129">
        <f t="shared" ref="G227" si="697">G226-1</f>
        <v>-0.60806152833222338</v>
      </c>
      <c r="H227" s="129">
        <f t="shared" ref="H227:I227" si="698">H226-1</f>
        <v>-0.60806152833222338</v>
      </c>
      <c r="I227" s="129">
        <f t="shared" si="698"/>
        <v>-0.49607910785571574</v>
      </c>
      <c r="J227" s="129">
        <f t="shared" ref="J227:T227" si="699">J226-1</f>
        <v>-0.30010987202182748</v>
      </c>
      <c r="K227" s="129">
        <f t="shared" si="699"/>
        <v>-0.27211426690270057</v>
      </c>
      <c r="L227" s="129">
        <f t="shared" si="699"/>
        <v>-0.74803955392785793</v>
      </c>
      <c r="M227" s="129">
        <f t="shared" si="699"/>
        <v>0.28779783547983739</v>
      </c>
      <c r="N227" s="129">
        <f t="shared" si="699"/>
        <v>0.51176267643285267</v>
      </c>
      <c r="O227" s="129">
        <f t="shared" si="699"/>
        <v>0.87570554298150238</v>
      </c>
      <c r="P227" s="129">
        <f t="shared" si="699"/>
        <v>1.35163083000666</v>
      </c>
      <c r="Q227" s="129">
        <f t="shared" si="699"/>
        <v>0.95969235833888322</v>
      </c>
      <c r="R227" s="129">
        <f t="shared" si="699"/>
        <v>3.5632836344176848</v>
      </c>
      <c r="S227" s="129">
        <f t="shared" si="699"/>
        <v>3.8712352907280811</v>
      </c>
      <c r="T227" s="129">
        <f t="shared" si="699"/>
        <v>7.6562411028340378</v>
      </c>
      <c r="U227" s="129">
        <f t="shared" ref="U227" si="700">U226-1</f>
        <v>0.67973630714761413</v>
      </c>
      <c r="V227" s="101" t="e">
        <f t="shared" si="578"/>
        <v>#NUM!</v>
      </c>
      <c r="W227" s="110"/>
      <c r="X227" s="129">
        <f t="shared" ref="X227:AG227" si="701">X226-1</f>
        <v>-0.7200439488087309</v>
      </c>
      <c r="Y227" s="129">
        <f t="shared" si="701"/>
        <v>-0.7200439488087309</v>
      </c>
      <c r="Z227" s="129">
        <f t="shared" si="701"/>
        <v>-0.7200439488087309</v>
      </c>
      <c r="AA227" s="129">
        <f t="shared" si="701"/>
        <v>-0.7200439488087309</v>
      </c>
      <c r="AB227" s="129">
        <f t="shared" si="701"/>
        <v>-0.7200439488087309</v>
      </c>
      <c r="AC227" s="129">
        <f t="shared" si="701"/>
        <v>-0.7200439488087309</v>
      </c>
      <c r="AD227" s="129">
        <f t="shared" si="701"/>
        <v>-0.7200439488087309</v>
      </c>
      <c r="AE227" s="129">
        <f t="shared" si="701"/>
        <v>-0.7200439488087309</v>
      </c>
      <c r="AF227" s="129">
        <f t="shared" si="701"/>
        <v>-0.7200439488087309</v>
      </c>
      <c r="AG227" s="129">
        <f t="shared" si="701"/>
        <v>-0.7200439488087309</v>
      </c>
      <c r="AH227" s="116">
        <f t="shared" si="690"/>
        <v>3.8783785087769029E-2</v>
      </c>
      <c r="AI227" s="21">
        <f t="shared" si="691"/>
        <v>0.05</v>
      </c>
      <c r="AJ227" s="157" t="e">
        <f>(AJ211)/($O$2*100)</f>
        <v>#DIV/0!</v>
      </c>
    </row>
    <row r="228" spans="2:36" x14ac:dyDescent="0.2">
      <c r="B228" s="10"/>
      <c r="C228" s="111"/>
      <c r="D228" s="111"/>
      <c r="E228" s="111"/>
      <c r="F228" s="111"/>
      <c r="G228" s="111"/>
      <c r="H228" s="111"/>
      <c r="I228" s="111"/>
      <c r="J228" s="113"/>
      <c r="K228" s="113"/>
      <c r="L228" s="113"/>
      <c r="M228" s="113"/>
      <c r="N228" s="175"/>
      <c r="O228" s="176"/>
      <c r="P228" s="113"/>
      <c r="Q228" s="113"/>
      <c r="R228" s="113"/>
      <c r="S228" s="113"/>
      <c r="T228" s="113"/>
      <c r="U228" s="158"/>
      <c r="V228" s="158"/>
      <c r="W228" s="110"/>
      <c r="X228" s="113"/>
      <c r="Y228" s="113"/>
      <c r="Z228" s="113"/>
      <c r="AA228" s="113"/>
      <c r="AB228" s="113"/>
      <c r="AC228" s="113"/>
      <c r="AD228" s="113"/>
      <c r="AE228" s="113"/>
      <c r="AF228" s="113"/>
      <c r="AG228" s="113"/>
      <c r="AH228" s="115"/>
      <c r="AI228" s="10"/>
      <c r="AJ228" s="10"/>
    </row>
    <row r="229" spans="2:36" x14ac:dyDescent="0.2">
      <c r="B229" s="10" t="s">
        <v>414</v>
      </c>
      <c r="C229" s="111"/>
      <c r="D229" s="111"/>
      <c r="E229" s="111"/>
      <c r="F229" s="111"/>
      <c r="G229" s="129">
        <f t="shared" ref="G229:S229" si="702">1/G230</f>
        <v>0.14555038499269604</v>
      </c>
      <c r="H229" s="129">
        <f t="shared" si="702"/>
        <v>0.14555038499269604</v>
      </c>
      <c r="I229" s="129">
        <f t="shared" si="702"/>
        <v>0.11320585499431916</v>
      </c>
      <c r="J229" s="129">
        <f t="shared" si="702"/>
        <v>8.1508215595909789E-2</v>
      </c>
      <c r="K229" s="129">
        <f t="shared" si="702"/>
        <v>7.8373284226836343E-2</v>
      </c>
      <c r="L229" s="129">
        <f t="shared" si="702"/>
        <v>0.22641170998863833</v>
      </c>
      <c r="M229" s="129">
        <f t="shared" si="702"/>
        <v>4.4297943258646624E-2</v>
      </c>
      <c r="N229" s="129">
        <f t="shared" si="702"/>
        <v>3.7735284998106383E-2</v>
      </c>
      <c r="O229" s="129">
        <f t="shared" si="702"/>
        <v>3.0413513282055892E-2</v>
      </c>
      <c r="P229" s="129">
        <f t="shared" si="702"/>
        <v>2.4258397498782676E-2</v>
      </c>
      <c r="Q229" s="129">
        <f t="shared" si="702"/>
        <v>2.9110076998539212E-2</v>
      </c>
      <c r="R229" s="129">
        <f t="shared" si="702"/>
        <v>1.250126006072236E-2</v>
      </c>
      <c r="S229" s="129">
        <f t="shared" si="702"/>
        <v>1.1710950516653705E-2</v>
      </c>
      <c r="T229" s="129">
        <f>1/T230</f>
        <v>6.5902502907430301E-3</v>
      </c>
      <c r="U229" s="129">
        <f>1/U230</f>
        <v>3.3961756498295741E-2</v>
      </c>
      <c r="V229" s="101">
        <f t="shared" si="578"/>
        <v>-9.8728818267497132E-2</v>
      </c>
      <c r="W229" s="110"/>
      <c r="X229" s="129">
        <f t="shared" ref="X229:AG229" si="703">1/X230</f>
        <v>29.485430443774451</v>
      </c>
      <c r="Y229" s="129">
        <f t="shared" si="703"/>
        <v>33.24337746111825</v>
      </c>
      <c r="Z229" s="129">
        <f t="shared" si="703"/>
        <v>37.480278510084304</v>
      </c>
      <c r="AA229" s="129">
        <f t="shared" si="703"/>
        <v>42.257176751565623</v>
      </c>
      <c r="AB229" s="129">
        <f t="shared" si="703"/>
        <v>47.642895357157322</v>
      </c>
      <c r="AC229" s="129">
        <f t="shared" si="703"/>
        <v>53.715029079147953</v>
      </c>
      <c r="AD229" s="129">
        <f t="shared" si="703"/>
        <v>60.561062197078577</v>
      </c>
      <c r="AE229" s="129">
        <f t="shared" si="703"/>
        <v>68.279628947686632</v>
      </c>
      <c r="AF229" s="129">
        <f t="shared" si="703"/>
        <v>76.981934597882002</v>
      </c>
      <c r="AG229" s="129">
        <f t="shared" si="703"/>
        <v>86.79335763486695</v>
      </c>
      <c r="AH229" s="116">
        <f t="shared" ref="AH229:AH232" si="704">((AG229/J229)^(1/($AG$3-$K$1) ))-1</f>
        <v>0.35400756708446202</v>
      </c>
      <c r="AI229" s="21">
        <f t="shared" ref="AI229:AI232" si="705">$O$1</f>
        <v>0.05</v>
      </c>
      <c r="AJ229" s="157">
        <f>(AJ215)/($O$2*100)</f>
        <v>3.0492709739601354E-3</v>
      </c>
    </row>
    <row r="230" spans="2:36" x14ac:dyDescent="0.2">
      <c r="B230" s="10" t="s">
        <v>504</v>
      </c>
      <c r="C230" s="111"/>
      <c r="D230" s="111"/>
      <c r="E230" s="111"/>
      <c r="F230" s="111"/>
      <c r="G230" s="113">
        <f t="shared" ref="G230" si="706">G201/$X$171</f>
        <v>6.8704730671113072</v>
      </c>
      <c r="H230" s="113">
        <f t="shared" ref="H230:S230" si="707">H201/$X$171</f>
        <v>6.8704730671113072</v>
      </c>
      <c r="I230" s="113">
        <f t="shared" si="707"/>
        <v>8.8334653720002514</v>
      </c>
      <c r="J230" s="113">
        <f t="shared" si="707"/>
        <v>12.268701905555906</v>
      </c>
      <c r="K230" s="113">
        <f t="shared" si="707"/>
        <v>12.759449981778141</v>
      </c>
      <c r="L230" s="113">
        <f t="shared" si="707"/>
        <v>4.4167326860001257</v>
      </c>
      <c r="M230" s="113">
        <f t="shared" si="707"/>
        <v>22.574411506222866</v>
      </c>
      <c r="N230" s="113">
        <f t="shared" si="707"/>
        <v>26.500396116000754</v>
      </c>
      <c r="O230" s="113">
        <f t="shared" si="707"/>
        <v>32.880121106889824</v>
      </c>
      <c r="P230" s="113">
        <f t="shared" si="707"/>
        <v>41.22283840266784</v>
      </c>
      <c r="Q230" s="113">
        <f t="shared" si="707"/>
        <v>34.352365335556534</v>
      </c>
      <c r="R230" s="113">
        <f t="shared" si="707"/>
        <v>79.991936424224505</v>
      </c>
      <c r="S230" s="113">
        <f t="shared" si="707"/>
        <v>85.3901652626691</v>
      </c>
      <c r="T230" s="113">
        <f>T201/$X$171</f>
        <v>151.73930516791543</v>
      </c>
      <c r="U230" s="113">
        <f>U201/$X$171</f>
        <v>29.444884573334175</v>
      </c>
      <c r="V230" s="101">
        <f t="shared" si="578"/>
        <v>0.10954396442335135</v>
      </c>
      <c r="W230" s="110"/>
      <c r="X230" s="113">
        <f t="shared" ref="X230:AG230" si="708">X206/$T$170</f>
        <v>3.3915055162816517E-2</v>
      </c>
      <c r="Y230" s="113">
        <f t="shared" si="708"/>
        <v>3.008117936180248E-2</v>
      </c>
      <c r="Z230" s="113">
        <f t="shared" si="708"/>
        <v>2.6680698216555242E-2</v>
      </c>
      <c r="AA230" s="113">
        <f t="shared" si="708"/>
        <v>2.3664619287727263E-2</v>
      </c>
      <c r="AB230" s="113">
        <f t="shared" si="708"/>
        <v>2.0989488411723312E-2</v>
      </c>
      <c r="AC230" s="113">
        <f t="shared" si="708"/>
        <v>1.8616763634745896E-2</v>
      </c>
      <c r="AD230" s="113">
        <f t="shared" si="708"/>
        <v>1.6512259919513751E-2</v>
      </c>
      <c r="AE230" s="113">
        <f t="shared" si="708"/>
        <v>1.4645656624264371E-2</v>
      </c>
      <c r="AF230" s="113">
        <f t="shared" si="708"/>
        <v>1.2990060658043178E-2</v>
      </c>
      <c r="AG230" s="113">
        <f t="shared" si="708"/>
        <v>1.15216190184383E-2</v>
      </c>
      <c r="AH230" s="116">
        <f t="shared" si="704"/>
        <v>-0.26145169029352944</v>
      </c>
      <c r="AI230" s="21">
        <f t="shared" si="705"/>
        <v>0.05</v>
      </c>
      <c r="AJ230" s="157">
        <f>(AJ215)/($O$2*100)</f>
        <v>3.0492709739601354E-3</v>
      </c>
    </row>
    <row r="231" spans="2:36" x14ac:dyDescent="0.2">
      <c r="B231" s="10" t="s">
        <v>436</v>
      </c>
      <c r="C231" s="111"/>
      <c r="D231" s="111"/>
      <c r="E231" s="111"/>
      <c r="F231" s="111"/>
      <c r="G231" s="157">
        <f t="shared" ref="G231" si="709">(G230)/($O$2*100)</f>
        <v>0.45803153780742051</v>
      </c>
      <c r="H231" s="157">
        <f t="shared" ref="H231:T231" si="710">(H230)/($O$2*100)</f>
        <v>0.45803153780742051</v>
      </c>
      <c r="I231" s="157">
        <f t="shared" si="710"/>
        <v>0.58889769146668347</v>
      </c>
      <c r="J231" s="157">
        <f t="shared" si="710"/>
        <v>0.8179134603703937</v>
      </c>
      <c r="K231" s="157">
        <f t="shared" si="710"/>
        <v>0.8506299987852094</v>
      </c>
      <c r="L231" s="157">
        <f t="shared" si="710"/>
        <v>0.29444884573334174</v>
      </c>
      <c r="M231" s="157">
        <f t="shared" si="710"/>
        <v>1.5049607670815244</v>
      </c>
      <c r="N231" s="157">
        <f t="shared" si="710"/>
        <v>1.7666930744000502</v>
      </c>
      <c r="O231" s="157">
        <f t="shared" si="710"/>
        <v>2.1920080737926551</v>
      </c>
      <c r="P231" s="157">
        <f t="shared" si="710"/>
        <v>2.7481892268445227</v>
      </c>
      <c r="Q231" s="157">
        <f t="shared" si="710"/>
        <v>2.2901576890371023</v>
      </c>
      <c r="R231" s="157">
        <f t="shared" si="710"/>
        <v>5.3327957616149666</v>
      </c>
      <c r="S231" s="157">
        <f t="shared" si="710"/>
        <v>5.6926776841779398</v>
      </c>
      <c r="T231" s="157">
        <f t="shared" si="710"/>
        <v>10.115953677861029</v>
      </c>
      <c r="U231" s="157">
        <f t="shared" ref="U231" si="711">(U230)/($O$2*100)</f>
        <v>1.962992304888945</v>
      </c>
      <c r="V231" s="101">
        <f t="shared" si="578"/>
        <v>0.10954396442335135</v>
      </c>
      <c r="W231" s="110"/>
      <c r="X231" s="157">
        <f t="shared" ref="X231:AG231" si="712">(X230)/($O$2*100)</f>
        <v>2.261003677521101E-3</v>
      </c>
      <c r="Y231" s="157">
        <f t="shared" si="712"/>
        <v>2.0054119574534988E-3</v>
      </c>
      <c r="Z231" s="157">
        <f t="shared" si="712"/>
        <v>1.778713214437016E-3</v>
      </c>
      <c r="AA231" s="157">
        <f t="shared" si="712"/>
        <v>1.5776412858484843E-3</v>
      </c>
      <c r="AB231" s="157">
        <f t="shared" si="712"/>
        <v>1.3992992274482207E-3</v>
      </c>
      <c r="AC231" s="157">
        <f t="shared" si="712"/>
        <v>1.2411175756497264E-3</v>
      </c>
      <c r="AD231" s="157">
        <f t="shared" si="712"/>
        <v>1.1008173279675835E-3</v>
      </c>
      <c r="AE231" s="157">
        <f t="shared" si="712"/>
        <v>9.7637710828429143E-4</v>
      </c>
      <c r="AF231" s="157">
        <f t="shared" si="712"/>
        <v>8.6600404386954523E-4</v>
      </c>
      <c r="AG231" s="157">
        <f t="shared" si="712"/>
        <v>7.6810793456255329E-4</v>
      </c>
      <c r="AH231" s="116">
        <f t="shared" si="704"/>
        <v>-0.26145169029352944</v>
      </c>
      <c r="AI231" s="21">
        <f t="shared" si="705"/>
        <v>0.05</v>
      </c>
      <c r="AJ231" s="157" t="e">
        <f>(#REF!)/($O$2*100)</f>
        <v>#REF!</v>
      </c>
    </row>
    <row r="232" spans="2:36" x14ac:dyDescent="0.2">
      <c r="B232" s="10" t="s">
        <v>438</v>
      </c>
      <c r="C232" s="111"/>
      <c r="D232" s="111"/>
      <c r="E232" s="111"/>
      <c r="F232" s="111"/>
      <c r="G232" s="129">
        <f t="shared" ref="G232" si="713">G231-1</f>
        <v>-0.54196846219257955</v>
      </c>
      <c r="H232" s="129">
        <f t="shared" ref="H232:T232" si="714">H231-1</f>
        <v>-0.54196846219257955</v>
      </c>
      <c r="I232" s="129">
        <f t="shared" si="714"/>
        <v>-0.41110230853331653</v>
      </c>
      <c r="J232" s="129">
        <f t="shared" si="714"/>
        <v>-0.1820865396296063</v>
      </c>
      <c r="K232" s="129">
        <f t="shared" si="714"/>
        <v>-0.1493700012147906</v>
      </c>
      <c r="L232" s="129">
        <f t="shared" si="714"/>
        <v>-0.70555115426665826</v>
      </c>
      <c r="M232" s="129">
        <f t="shared" si="714"/>
        <v>0.50496076708152438</v>
      </c>
      <c r="N232" s="129">
        <f t="shared" si="714"/>
        <v>0.76669307440005019</v>
      </c>
      <c r="O232" s="129">
        <f t="shared" si="714"/>
        <v>1.1920080737926551</v>
      </c>
      <c r="P232" s="129">
        <f t="shared" si="714"/>
        <v>1.7481892268445227</v>
      </c>
      <c r="Q232" s="129">
        <f t="shared" si="714"/>
        <v>1.2901576890371023</v>
      </c>
      <c r="R232" s="129">
        <f t="shared" si="714"/>
        <v>4.3327957616149666</v>
      </c>
      <c r="S232" s="129">
        <f t="shared" si="714"/>
        <v>4.6926776841779398</v>
      </c>
      <c r="T232" s="129">
        <f t="shared" si="714"/>
        <v>9.1159536778610288</v>
      </c>
      <c r="U232" s="129">
        <f t="shared" ref="U232" si="715">U231-1</f>
        <v>0.96299230488894505</v>
      </c>
      <c r="V232" s="101" t="e">
        <f t="shared" si="578"/>
        <v>#NUM!</v>
      </c>
      <c r="W232" s="110"/>
      <c r="X232" s="129">
        <f t="shared" ref="X232:AG232" si="716">X231-1</f>
        <v>-0.99773899632247887</v>
      </c>
      <c r="Y232" s="129">
        <f t="shared" si="716"/>
        <v>-0.99799458804254648</v>
      </c>
      <c r="Z232" s="129">
        <f t="shared" si="716"/>
        <v>-0.99822128678556299</v>
      </c>
      <c r="AA232" s="129">
        <f t="shared" si="716"/>
        <v>-0.99842235871415153</v>
      </c>
      <c r="AB232" s="129">
        <f t="shared" si="716"/>
        <v>-0.99860070077255181</v>
      </c>
      <c r="AC232" s="129">
        <f t="shared" si="716"/>
        <v>-0.99875888242435029</v>
      </c>
      <c r="AD232" s="129">
        <f t="shared" si="716"/>
        <v>-0.99889918267203237</v>
      </c>
      <c r="AE232" s="129">
        <f t="shared" si="716"/>
        <v>-0.99902362289171576</v>
      </c>
      <c r="AF232" s="129">
        <f t="shared" si="716"/>
        <v>-0.99913399595613051</v>
      </c>
      <c r="AG232" s="129">
        <f t="shared" si="716"/>
        <v>-0.9992318920654375</v>
      </c>
      <c r="AH232" s="116">
        <f t="shared" si="704"/>
        <v>7.6830439762532343E-2</v>
      </c>
      <c r="AI232" s="21">
        <f t="shared" si="705"/>
        <v>0.05</v>
      </c>
      <c r="AJ232" s="157">
        <f>(AJ216)/($O$2*100)</f>
        <v>1.8152284778849052E-2</v>
      </c>
    </row>
    <row r="233" spans="2:36" x14ac:dyDescent="0.2">
      <c r="B233" s="10"/>
      <c r="C233" s="111"/>
      <c r="D233" s="111"/>
      <c r="E233" s="111"/>
      <c r="F233" s="111"/>
      <c r="G233" s="111"/>
      <c r="H233" s="111"/>
      <c r="I233" s="111"/>
      <c r="J233" s="113"/>
      <c r="K233" s="113"/>
      <c r="L233" s="113"/>
      <c r="M233" s="113"/>
      <c r="N233" s="175"/>
      <c r="O233" s="176"/>
      <c r="P233" s="113"/>
      <c r="Q233" s="113"/>
      <c r="R233" s="113"/>
      <c r="S233" s="113"/>
      <c r="T233" s="113"/>
      <c r="U233" s="158"/>
      <c r="V233" s="158"/>
      <c r="W233" s="110"/>
      <c r="X233" s="113"/>
      <c r="Y233" s="113"/>
      <c r="Z233" s="113"/>
      <c r="AA233" s="113"/>
      <c r="AB233" s="113"/>
      <c r="AC233" s="113"/>
      <c r="AD233" s="113"/>
      <c r="AE233" s="113"/>
      <c r="AF233" s="113"/>
      <c r="AG233" s="113"/>
      <c r="AH233" s="115"/>
      <c r="AI233" s="10"/>
      <c r="AJ233" s="10"/>
    </row>
    <row r="234" spans="2:36" x14ac:dyDescent="0.2">
      <c r="B234" s="10"/>
      <c r="C234" s="111"/>
      <c r="D234" s="111"/>
      <c r="E234" s="111"/>
      <c r="F234" s="111"/>
      <c r="G234" s="111"/>
      <c r="H234" s="111"/>
      <c r="I234" s="111"/>
      <c r="J234" s="113"/>
      <c r="K234" s="113"/>
      <c r="L234" s="113"/>
      <c r="M234" s="113"/>
      <c r="N234" s="175"/>
      <c r="O234" s="176"/>
      <c r="P234" s="113"/>
      <c r="Q234" s="113"/>
      <c r="R234" s="113"/>
      <c r="S234" s="113"/>
      <c r="T234" s="113"/>
      <c r="U234" s="113"/>
      <c r="V234" s="110"/>
      <c r="W234" s="110"/>
      <c r="X234" s="113"/>
      <c r="Y234" s="113"/>
      <c r="Z234" s="113"/>
      <c r="AA234" s="113"/>
      <c r="AB234" s="113"/>
      <c r="AC234" s="113"/>
      <c r="AD234" s="113"/>
      <c r="AE234" s="113"/>
      <c r="AF234" s="113"/>
      <c r="AG234" s="113"/>
      <c r="AH234" s="115"/>
      <c r="AI234" s="10"/>
      <c r="AJ234" s="10"/>
    </row>
    <row r="235" spans="2:36" x14ac:dyDescent="0.2">
      <c r="B235" s="10"/>
      <c r="C235" s="111"/>
      <c r="D235" s="111"/>
      <c r="E235" s="111"/>
      <c r="F235" s="111"/>
      <c r="G235" s="111"/>
      <c r="H235" s="111"/>
      <c r="I235" s="111"/>
      <c r="J235" s="113"/>
      <c r="K235" s="113"/>
      <c r="L235" s="113"/>
      <c r="M235" s="113"/>
      <c r="N235" s="175"/>
      <c r="O235" s="176"/>
      <c r="P235" s="113"/>
      <c r="Q235" s="113"/>
      <c r="R235" s="113"/>
      <c r="S235" s="113"/>
      <c r="T235" s="113"/>
      <c r="U235" s="113"/>
      <c r="V235" s="110"/>
      <c r="W235" s="110"/>
      <c r="X235" s="113"/>
      <c r="Y235" s="113"/>
      <c r="Z235" s="113"/>
      <c r="AA235" s="113"/>
      <c r="AB235" s="113"/>
      <c r="AC235" s="113"/>
      <c r="AD235" s="113"/>
      <c r="AE235" s="113"/>
      <c r="AF235" s="113"/>
      <c r="AG235" s="113"/>
      <c r="AH235" s="115"/>
      <c r="AI235" s="10"/>
      <c r="AJ235" s="10"/>
    </row>
    <row r="236" spans="2:36" x14ac:dyDescent="0.2">
      <c r="B236" s="93" t="s">
        <v>251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312" t="s">
        <v>296</v>
      </c>
      <c r="O236" s="313"/>
      <c r="P236" s="10"/>
      <c r="Q236" s="10"/>
      <c r="R236" s="10"/>
      <c r="S236" s="93" t="s">
        <v>375</v>
      </c>
      <c r="T236" s="170" t="s">
        <v>374</v>
      </c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15"/>
      <c r="AI236" s="10"/>
      <c r="AJ236" s="10"/>
    </row>
    <row r="237" spans="2:36" x14ac:dyDescent="0.2">
      <c r="B237" s="10" t="s">
        <v>249</v>
      </c>
      <c r="C237" s="10" t="s">
        <v>261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 t="s">
        <v>297</v>
      </c>
      <c r="O237" s="12">
        <v>1</v>
      </c>
      <c r="P237" s="10"/>
      <c r="Q237" s="10"/>
      <c r="R237" s="10"/>
      <c r="S237" s="110">
        <f>(U201-Y188)/U201</f>
        <v>0.98868261399647417</v>
      </c>
      <c r="T237" s="110">
        <f>(U201-X188)/U201</f>
        <v>0.94748990888519413</v>
      </c>
      <c r="U237" s="1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15"/>
      <c r="AI237" s="10"/>
      <c r="AJ237" s="10"/>
    </row>
    <row r="238" spans="2:36" x14ac:dyDescent="0.2">
      <c r="B238" s="10" t="s">
        <v>294</v>
      </c>
      <c r="C238" s="10" t="s">
        <v>261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48">
        <f>$O$237</f>
        <v>1</v>
      </c>
      <c r="O238" s="10"/>
      <c r="P238" s="110">
        <f>(S201-(N238*W179))/S201</f>
        <v>5.9602021323247678</v>
      </c>
      <c r="Q238" s="10"/>
      <c r="R238" s="10"/>
      <c r="S238" s="110">
        <f>(U201-Y179)/U201</f>
        <v>13.380176633548295</v>
      </c>
      <c r="T238" s="110">
        <f>(U201-X179)/U201</f>
        <v>3.0044095501935333</v>
      </c>
      <c r="U238" s="1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15"/>
      <c r="AI238" s="10"/>
      <c r="AJ238" s="10"/>
    </row>
    <row r="239" spans="2:36" x14ac:dyDescent="0.2">
      <c r="B239" s="10" t="s">
        <v>295</v>
      </c>
      <c r="C239" s="10" t="s">
        <v>261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48">
        <f>$O$237</f>
        <v>1</v>
      </c>
      <c r="O239" s="10"/>
      <c r="P239" s="110">
        <f>(S201-(N239*W172))/S201</f>
        <v>0.48871182279298947</v>
      </c>
      <c r="Q239" s="10"/>
      <c r="R239" s="10"/>
      <c r="S239" s="110">
        <f>(U201-Y172)/U201</f>
        <v>-0.27612499966831727</v>
      </c>
      <c r="T239" s="110">
        <f>(U201-X172)/U201</f>
        <v>0.79338928576798673</v>
      </c>
      <c r="U239" s="1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15"/>
      <c r="AI239" s="10"/>
      <c r="AJ239" s="10"/>
    </row>
    <row r="240" spans="2:36" x14ac:dyDescent="0.2">
      <c r="B240" s="10" t="s">
        <v>298</v>
      </c>
      <c r="C240" s="10" t="s">
        <v>261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48">
        <f>$O$237</f>
        <v>1</v>
      </c>
      <c r="O240" s="10"/>
      <c r="P240" s="110">
        <f>(S201-(N240*W185))/S201</f>
        <v>1</v>
      </c>
      <c r="Q240" s="10"/>
      <c r="R240" s="10"/>
      <c r="S240" s="110">
        <f>(U201-Y185)/U201</f>
        <v>1</v>
      </c>
      <c r="T240" s="110">
        <f>(U201-X185)/U201</f>
        <v>1</v>
      </c>
      <c r="U240" s="1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15"/>
      <c r="AI240" s="10"/>
      <c r="AJ240" s="10"/>
    </row>
    <row r="241" spans="2:50" x14ac:dyDescent="0.2">
      <c r="B241" s="10" t="s">
        <v>344</v>
      </c>
      <c r="C241" s="10" t="s">
        <v>261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48">
        <f>$O$237</f>
        <v>1</v>
      </c>
      <c r="O241" s="10"/>
      <c r="P241" s="110">
        <f>(S201-(N241*W198))/S201</f>
        <v>0.50041338069829278</v>
      </c>
      <c r="Q241" s="10"/>
      <c r="R241" s="10"/>
      <c r="S241" s="110">
        <f>(U201-Y198)/U201</f>
        <v>0.74310997210777585</v>
      </c>
      <c r="T241" s="110">
        <f>(U201-X198)/U201</f>
        <v>-0.19191116808272682</v>
      </c>
      <c r="U241" s="1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15"/>
      <c r="AI241" s="10"/>
      <c r="AJ241" s="10"/>
    </row>
    <row r="242" spans="2:50" x14ac:dyDescent="0.2">
      <c r="B242" s="10" t="s">
        <v>250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5">
        <f>U201/Y171</f>
        <v>4.7672670261588657</v>
      </c>
      <c r="T242" s="15">
        <f>U201/X171</f>
        <v>29.444884573334175</v>
      </c>
      <c r="U242" s="15"/>
      <c r="V242" s="10"/>
      <c r="W242" s="10"/>
      <c r="X242" s="98" t="s">
        <v>5</v>
      </c>
      <c r="Y242" s="98" t="s">
        <v>6</v>
      </c>
      <c r="Z242" s="98" t="s">
        <v>7</v>
      </c>
      <c r="AA242" s="98" t="s">
        <v>8</v>
      </c>
      <c r="AB242" s="98" t="s">
        <v>9</v>
      </c>
      <c r="AC242" s="98" t="s">
        <v>192</v>
      </c>
      <c r="AD242" s="98" t="s">
        <v>193</v>
      </c>
      <c r="AE242" s="98" t="s">
        <v>194</v>
      </c>
      <c r="AF242" s="98" t="s">
        <v>195</v>
      </c>
      <c r="AG242" s="98" t="s">
        <v>196</v>
      </c>
      <c r="AH242" s="98" t="s">
        <v>352</v>
      </c>
      <c r="AI242" s="98" t="s">
        <v>353</v>
      </c>
      <c r="AJ242" s="98" t="s">
        <v>354</v>
      </c>
      <c r="AK242" s="98" t="s">
        <v>355</v>
      </c>
      <c r="AL242" s="98" t="s">
        <v>356</v>
      </c>
      <c r="AM242" s="98" t="s">
        <v>357</v>
      </c>
      <c r="AN242" s="98" t="s">
        <v>358</v>
      </c>
      <c r="AO242" s="98" t="s">
        <v>359</v>
      </c>
      <c r="AP242" s="98" t="s">
        <v>360</v>
      </c>
      <c r="AQ242" s="98" t="s">
        <v>361</v>
      </c>
      <c r="AR242" s="98" t="s">
        <v>362</v>
      </c>
      <c r="AS242" s="98" t="s">
        <v>363</v>
      </c>
      <c r="AT242" s="98" t="s">
        <v>364</v>
      </c>
      <c r="AU242" s="98" t="s">
        <v>365</v>
      </c>
      <c r="AV242" s="98" t="s">
        <v>366</v>
      </c>
      <c r="AW242" s="98" t="s">
        <v>367</v>
      </c>
      <c r="AX242" s="98" t="s">
        <v>368</v>
      </c>
    </row>
    <row r="243" spans="2:50" x14ac:dyDescent="0.2">
      <c r="B243" s="10" t="s">
        <v>316</v>
      </c>
      <c r="C243" s="10"/>
      <c r="D243" s="10"/>
      <c r="E243" s="10"/>
      <c r="F243" s="10"/>
      <c r="G243" s="10"/>
      <c r="H243" s="10"/>
      <c r="I243" s="10"/>
      <c r="J243" s="165" t="s">
        <v>391</v>
      </c>
      <c r="K243" s="166"/>
      <c r="L243" s="165" t="s">
        <v>392</v>
      </c>
      <c r="M243" s="166"/>
      <c r="N243" s="10"/>
      <c r="O243" s="165" t="s">
        <v>393</v>
      </c>
      <c r="P243" s="166"/>
      <c r="Q243" s="165" t="s">
        <v>394</v>
      </c>
      <c r="R243" s="166"/>
      <c r="S243" s="129">
        <f>1/S242</f>
        <v>0.20976379013653257</v>
      </c>
      <c r="T243" s="129">
        <f>1/T242</f>
        <v>3.3961756498295741E-2</v>
      </c>
      <c r="U243" s="129"/>
      <c r="V243" s="10"/>
      <c r="W243" s="10"/>
      <c r="X243" s="111">
        <f>U201-X244</f>
        <v>259.36010870346985</v>
      </c>
      <c r="Y243" s="161">
        <f>X243-Y244</f>
        <v>212.62423371246018</v>
      </c>
      <c r="Z243" s="161">
        <f t="shared" ref="Z243:AB243" si="717">Y243-Z244</f>
        <v>158.87797747279905</v>
      </c>
      <c r="AA243" s="161">
        <f t="shared" si="717"/>
        <v>97.069782797188751</v>
      </c>
      <c r="AB243" s="161">
        <f t="shared" si="717"/>
        <v>25.990358920236915</v>
      </c>
      <c r="AC243" s="161">
        <f>AB243-AC244</f>
        <v>-55.750978538257684</v>
      </c>
      <c r="AD243" s="161">
        <f t="shared" ref="AD243:AG243" si="718">AC243-AD244</f>
        <v>-149.75351661552645</v>
      </c>
      <c r="AE243" s="161">
        <f t="shared" si="718"/>
        <v>-257.85643540438554</v>
      </c>
      <c r="AF243" s="161">
        <f t="shared" si="718"/>
        <v>-382.17479201157346</v>
      </c>
      <c r="AG243" s="161">
        <f t="shared" si="718"/>
        <v>-525.14090210983954</v>
      </c>
      <c r="AH243" s="161">
        <f t="shared" ref="AH243" si="719">AG243-AH244</f>
        <v>-689.55192872284556</v>
      </c>
      <c r="AI243" s="161">
        <f t="shared" ref="AI243" si="720">AH243-AI244</f>
        <v>-878.62460932780243</v>
      </c>
      <c r="AJ243" s="161">
        <f t="shared" ref="AJ243" si="721">AI243-AJ244</f>
        <v>-1096.0581920235029</v>
      </c>
      <c r="AK243" s="161">
        <f t="shared" ref="AK243" si="722">AJ243-AK244</f>
        <v>-1346.1068121235583</v>
      </c>
      <c r="AL243" s="161">
        <f t="shared" ref="AL243" si="723">AK243-AL244</f>
        <v>-1633.662725238622</v>
      </c>
      <c r="AM243" s="161">
        <f t="shared" ref="AM243" si="724">AL243-AM244</f>
        <v>-1964.3520253209454</v>
      </c>
      <c r="AN243" s="161">
        <f t="shared" ref="AN243" si="725">AM243-AN244</f>
        <v>-2344.644720415617</v>
      </c>
      <c r="AO243" s="161">
        <f t="shared" ref="AO243" si="726">AN243-AO244</f>
        <v>-2781.9813197744893</v>
      </c>
      <c r="AP243" s="161">
        <f t="shared" ref="AP243" si="727">AO243-AP244</f>
        <v>-3284.9184090371928</v>
      </c>
      <c r="AQ243" s="161">
        <f t="shared" ref="AQ243" si="728">AP243-AQ244</f>
        <v>-3863.2960616893015</v>
      </c>
      <c r="AR243" s="161">
        <f t="shared" ref="AR243" si="729">AQ243-AR244</f>
        <v>-4528.4303622392263</v>
      </c>
      <c r="AS243" s="161">
        <f t="shared" ref="AS243" si="730">AR243-AS244</f>
        <v>-5293.3348078716399</v>
      </c>
      <c r="AT243" s="161">
        <f t="shared" ref="AT243" si="731">AS243-AT244</f>
        <v>-6172.9749203489155</v>
      </c>
      <c r="AU243" s="161">
        <f t="shared" ref="AU243" si="732">AT243-AU244</f>
        <v>-7184.5610496977824</v>
      </c>
      <c r="AV243" s="161">
        <f t="shared" ref="AV243" si="733">AU243-AV244</f>
        <v>-8347.88509844898</v>
      </c>
      <c r="AW243" s="161">
        <f t="shared" ref="AW243" si="734">AV243-AW244</f>
        <v>-9685.7077545128559</v>
      </c>
      <c r="AX243" s="161">
        <f t="shared" ref="AX243" si="735">AW243-AX244</f>
        <v>-11224.203808986313</v>
      </c>
    </row>
    <row r="244" spans="2:50" x14ac:dyDescent="0.2">
      <c r="B244" s="10" t="s">
        <v>341</v>
      </c>
      <c r="C244" s="10"/>
      <c r="D244" s="10"/>
      <c r="E244" s="10"/>
      <c r="F244" s="10"/>
      <c r="G244" s="10"/>
      <c r="H244" s="10"/>
      <c r="I244" s="10"/>
      <c r="J244" s="167">
        <v>0</v>
      </c>
      <c r="K244" s="166"/>
      <c r="L244" s="167">
        <v>0.05</v>
      </c>
      <c r="M244" s="166"/>
      <c r="N244" s="160">
        <v>0.15</v>
      </c>
      <c r="O244" s="167">
        <v>0.12</v>
      </c>
      <c r="P244" s="166"/>
      <c r="Q244" s="167">
        <v>0.2</v>
      </c>
      <c r="R244" s="174" t="s">
        <v>231</v>
      </c>
      <c r="S244" s="157">
        <f>U201/S170</f>
        <v>71.098634287692718</v>
      </c>
      <c r="T244" s="157" t="s">
        <v>412</v>
      </c>
      <c r="U244" s="157"/>
      <c r="V244" s="10"/>
      <c r="W244" s="10"/>
      <c r="X244" s="162">
        <f>V170*(1+$N$244)</f>
        <v>40.639891296530159</v>
      </c>
      <c r="Y244" s="162">
        <f>X244*(1+$N$244)</f>
        <v>46.73587499100968</v>
      </c>
      <c r="Z244" s="162">
        <f t="shared" ref="Z244:AG244" si="736">Y244*(1+$N$244)</f>
        <v>53.746256239661129</v>
      </c>
      <c r="AA244" s="162">
        <f t="shared" si="736"/>
        <v>61.808194675610295</v>
      </c>
      <c r="AB244" s="162">
        <f t="shared" si="736"/>
        <v>71.079423876951836</v>
      </c>
      <c r="AC244" s="162">
        <f t="shared" si="736"/>
        <v>81.741337458494598</v>
      </c>
      <c r="AD244" s="162">
        <f t="shared" si="736"/>
        <v>94.002538077268781</v>
      </c>
      <c r="AE244" s="162">
        <f t="shared" si="736"/>
        <v>108.10291878885909</v>
      </c>
      <c r="AF244" s="162">
        <f t="shared" si="736"/>
        <v>124.31835660718794</v>
      </c>
      <c r="AG244" s="162">
        <f t="shared" si="736"/>
        <v>142.96611009826611</v>
      </c>
      <c r="AH244" s="162">
        <f t="shared" ref="AH244" si="737">AG244*(1+$N$244)</f>
        <v>164.41102661300602</v>
      </c>
      <c r="AI244" s="162">
        <f t="shared" ref="AI244" si="738">AH244*(1+$N$244)</f>
        <v>189.0726806049569</v>
      </c>
      <c r="AJ244" s="162">
        <f t="shared" ref="AJ244" si="739">AI244*(1+$N$244)</f>
        <v>217.43358269570041</v>
      </c>
      <c r="AK244" s="162">
        <f t="shared" ref="AK244" si="740">AJ244*(1+$N$244)</f>
        <v>250.04862010005544</v>
      </c>
      <c r="AL244" s="162">
        <f t="shared" ref="AL244" si="741">AK244*(1+$N$244)</f>
        <v>287.55591311506373</v>
      </c>
      <c r="AM244" s="162">
        <f t="shared" ref="AM244" si="742">AL244*(1+$N$244)</f>
        <v>330.68930008232326</v>
      </c>
      <c r="AN244" s="162">
        <f t="shared" ref="AN244" si="743">AM244*(1+$N$244)</f>
        <v>380.29269509467173</v>
      </c>
      <c r="AO244" s="162">
        <f t="shared" ref="AO244" si="744">AN244*(1+$N$244)</f>
        <v>437.33659935887243</v>
      </c>
      <c r="AP244" s="162">
        <f t="shared" ref="AP244" si="745">AO244*(1+$N$244)</f>
        <v>502.93708926270324</v>
      </c>
      <c r="AQ244" s="162">
        <f t="shared" ref="AQ244" si="746">AP244*(1+$N$244)</f>
        <v>578.37765265210874</v>
      </c>
      <c r="AR244" s="162">
        <f t="shared" ref="AR244" si="747">AQ244*(1+$N$244)</f>
        <v>665.134300549925</v>
      </c>
      <c r="AS244" s="162">
        <f t="shared" ref="AS244" si="748">AR244*(1+$N$244)</f>
        <v>764.90444563241374</v>
      </c>
      <c r="AT244" s="162">
        <f t="shared" ref="AT244" si="749">AS244*(1+$N$244)</f>
        <v>879.64011247727569</v>
      </c>
      <c r="AU244" s="162">
        <f t="shared" ref="AU244" si="750">AT244*(1+$N$244)</f>
        <v>1011.586129348867</v>
      </c>
      <c r="AV244" s="162">
        <f t="shared" ref="AV244" si="751">AU244*(1+$N$244)</f>
        <v>1163.3240487511969</v>
      </c>
      <c r="AW244" s="162">
        <f t="shared" ref="AW244" si="752">AV244*(1+$N$244)</f>
        <v>1337.8226560638764</v>
      </c>
      <c r="AX244" s="162">
        <f t="shared" ref="AX244" si="753">AW244*(1+$N$244)</f>
        <v>1538.4960544734577</v>
      </c>
    </row>
    <row r="245" spans="2:50" x14ac:dyDescent="0.2">
      <c r="B245" s="10" t="s">
        <v>340</v>
      </c>
      <c r="C245" s="10"/>
      <c r="D245" s="10"/>
      <c r="E245" s="13" t="s">
        <v>336</v>
      </c>
      <c r="F245" s="13"/>
      <c r="G245" s="13"/>
      <c r="H245" s="13"/>
      <c r="I245" s="12"/>
      <c r="J245" s="167">
        <v>0</v>
      </c>
      <c r="K245" s="168">
        <f>T203</f>
        <v>21.126276613900458</v>
      </c>
      <c r="L245" s="167">
        <v>0.05</v>
      </c>
      <c r="M245" s="166"/>
      <c r="N245" s="160">
        <v>0.15</v>
      </c>
      <c r="O245" s="167">
        <v>0.12</v>
      </c>
      <c r="P245" s="166"/>
      <c r="Q245" s="167">
        <v>0.2</v>
      </c>
      <c r="R245" s="174" t="s">
        <v>411</v>
      </c>
      <c r="S245" s="157">
        <f>U201/U72</f>
        <v>16.321048901488304</v>
      </c>
      <c r="T245" s="157" t="s">
        <v>412</v>
      </c>
      <c r="U245" s="157"/>
      <c r="V245" s="10"/>
      <c r="W245" s="10"/>
      <c r="X245" s="162">
        <f>T72*(1+$N$245)</f>
        <v>84.155861086765981</v>
      </c>
      <c r="Y245" s="162">
        <f>X245*(1+$N$245)</f>
        <v>96.779240249780869</v>
      </c>
      <c r="Z245" s="162">
        <f t="shared" ref="Z245:AG245" si="754">Y245*(1+$N$245)</f>
        <v>111.29612628724799</v>
      </c>
      <c r="AA245" s="162">
        <f t="shared" si="754"/>
        <v>127.99054523033517</v>
      </c>
      <c r="AB245" s="162">
        <f t="shared" si="754"/>
        <v>147.18912701488543</v>
      </c>
      <c r="AC245" s="162">
        <f t="shared" si="754"/>
        <v>169.26749606711823</v>
      </c>
      <c r="AD245" s="162">
        <f t="shared" si="754"/>
        <v>194.65762047718596</v>
      </c>
      <c r="AE245" s="162">
        <f t="shared" si="754"/>
        <v>223.85626354876382</v>
      </c>
      <c r="AF245" s="162">
        <f t="shared" si="754"/>
        <v>257.4347030810784</v>
      </c>
      <c r="AG245" s="162">
        <f t="shared" si="754"/>
        <v>296.04990854324012</v>
      </c>
      <c r="AH245" s="162">
        <f t="shared" ref="AH245" si="755">AG245*(1+$N$245)</f>
        <v>340.45739482472612</v>
      </c>
      <c r="AI245" s="162">
        <f t="shared" ref="AI245" si="756">AH245*(1+$N$245)</f>
        <v>391.52600404843503</v>
      </c>
      <c r="AJ245" s="162">
        <f t="shared" ref="AJ245" si="757">AI245*(1+$N$245)</f>
        <v>450.25490465570027</v>
      </c>
      <c r="AK245" s="162">
        <f t="shared" ref="AK245" si="758">AJ245*(1+$N$245)</f>
        <v>517.79314035405525</v>
      </c>
      <c r="AL245" s="162">
        <f t="shared" ref="AL245" si="759">AK245*(1+$N$245)</f>
        <v>595.46211140716355</v>
      </c>
      <c r="AM245" s="162">
        <f t="shared" ref="AM245" si="760">AL245*(1+$N$245)</f>
        <v>684.78142811823807</v>
      </c>
      <c r="AN245" s="162">
        <f t="shared" ref="AN245" si="761">AM245*(1+$N$245)</f>
        <v>787.49864233597373</v>
      </c>
      <c r="AO245" s="162">
        <f t="shared" ref="AO245" si="762">AN245*(1+$N$245)</f>
        <v>905.6234386863697</v>
      </c>
      <c r="AP245" s="162">
        <f t="shared" ref="AP245" si="763">AO245*(1+$N$245)</f>
        <v>1041.466954489325</v>
      </c>
      <c r="AQ245" s="162">
        <f t="shared" ref="AQ245" si="764">AP245*(1+$N$245)</f>
        <v>1197.6869976627236</v>
      </c>
      <c r="AR245" s="162">
        <f t="shared" ref="AR245" si="765">AQ245*(1+$N$245)</f>
        <v>1377.3400473121319</v>
      </c>
      <c r="AS245" s="162">
        <f t="shared" ref="AS245" si="766">AR245*(1+$N$245)</f>
        <v>1583.9410544089515</v>
      </c>
      <c r="AT245" s="162">
        <f t="shared" ref="AT245" si="767">AS245*(1+$N$245)</f>
        <v>1821.532212570294</v>
      </c>
      <c r="AU245" s="162">
        <f t="shared" ref="AU245" si="768">AT245*(1+$N$245)</f>
        <v>2094.7620444558379</v>
      </c>
      <c r="AV245" s="162">
        <f t="shared" ref="AV245" si="769">AU245*(1+$N$245)</f>
        <v>2408.9763511242136</v>
      </c>
      <c r="AW245" s="162">
        <f t="shared" ref="AW245" si="770">AV245*(1+$N$245)</f>
        <v>2770.3228037928452</v>
      </c>
      <c r="AX245" s="162">
        <f t="shared" ref="AX245" si="771">AW245*(1+$N$245)</f>
        <v>3185.871224361772</v>
      </c>
    </row>
    <row r="246" spans="2:50" x14ac:dyDescent="0.2">
      <c r="B246" s="10"/>
      <c r="C246" s="10"/>
      <c r="D246" s="10"/>
      <c r="E246" s="13" t="s">
        <v>397</v>
      </c>
      <c r="F246" s="13"/>
      <c r="G246" s="13"/>
      <c r="H246" s="13"/>
      <c r="I246" s="12"/>
      <c r="J246" s="167">
        <v>0</v>
      </c>
      <c r="K246" s="168"/>
      <c r="L246" s="167">
        <v>0.05</v>
      </c>
      <c r="M246" s="166"/>
      <c r="N246" s="166"/>
      <c r="O246" s="167">
        <v>0.12</v>
      </c>
      <c r="P246" s="166"/>
      <c r="Q246" s="167">
        <v>0.2</v>
      </c>
      <c r="R246" s="10"/>
      <c r="S246" s="10"/>
      <c r="T246" s="10"/>
      <c r="U246" s="10"/>
      <c r="V246" s="10"/>
      <c r="W246" s="10"/>
      <c r="X246" s="111">
        <f>U201-X245</f>
        <v>215.84413891323402</v>
      </c>
      <c r="Y246" s="161">
        <f>X246-Y245</f>
        <v>119.06489866345315</v>
      </c>
      <c r="Z246" s="161">
        <f t="shared" ref="Z246:AE246" si="772">Y246-Z245</f>
        <v>7.7687723762051633</v>
      </c>
      <c r="AA246" s="161">
        <f t="shared" si="772"/>
        <v>-120.22177285413001</v>
      </c>
      <c r="AB246" s="161">
        <f t="shared" si="772"/>
        <v>-267.41089986901545</v>
      </c>
      <c r="AC246" s="161">
        <f t="shared" si="772"/>
        <v>-436.67839593613371</v>
      </c>
      <c r="AD246" s="161">
        <f t="shared" si="772"/>
        <v>-631.33601641331961</v>
      </c>
      <c r="AE246" s="161">
        <f t="shared" si="772"/>
        <v>-855.19227996208338</v>
      </c>
      <c r="AF246" s="161">
        <f>AE246-AF245</f>
        <v>-1112.6269830431618</v>
      </c>
      <c r="AG246" s="161">
        <f t="shared" ref="AG246" si="773">AF246-AG245</f>
        <v>-1408.6768915864018</v>
      </c>
      <c r="AH246" s="161">
        <f t="shared" ref="AH246" si="774">AG246-AH245</f>
        <v>-1749.134286411128</v>
      </c>
      <c r="AI246" s="161">
        <f t="shared" ref="AI246" si="775">AH246-AI245</f>
        <v>-2140.6602904595629</v>
      </c>
      <c r="AJ246" s="161">
        <f t="shared" ref="AJ246" si="776">AI246-AJ245</f>
        <v>-2590.915195115263</v>
      </c>
      <c r="AK246" s="161">
        <f t="shared" ref="AK246" si="777">AJ246-AK245</f>
        <v>-3108.7083354693182</v>
      </c>
      <c r="AL246" s="161">
        <f t="shared" ref="AL246" si="778">AK246-AL245</f>
        <v>-3704.1704468764819</v>
      </c>
      <c r="AM246" s="161">
        <f t="shared" ref="AM246" si="779">AL246-AM245</f>
        <v>-4388.9518749947201</v>
      </c>
      <c r="AN246" s="161">
        <f t="shared" ref="AN246" si="780">AM246-AN245</f>
        <v>-5176.4505173306934</v>
      </c>
      <c r="AO246" s="161">
        <f t="shared" ref="AO246" si="781">AN246-AO245</f>
        <v>-6082.0739560170632</v>
      </c>
      <c r="AP246" s="161">
        <f t="shared" ref="AP246" si="782">AO246-AP245</f>
        <v>-7123.5409105063882</v>
      </c>
      <c r="AQ246" s="161">
        <f t="shared" ref="AQ246" si="783">AP246-AQ245</f>
        <v>-8321.2279081691122</v>
      </c>
      <c r="AR246" s="161">
        <f t="shared" ref="AR246" si="784">AQ246-AR245</f>
        <v>-9698.567955481245</v>
      </c>
      <c r="AS246" s="161">
        <f t="shared" ref="AS246" si="785">AR246-AS245</f>
        <v>-11282.509009890196</v>
      </c>
      <c r="AT246" s="161">
        <f t="shared" ref="AT246" si="786">AS246-AT245</f>
        <v>-13104.04122246049</v>
      </c>
      <c r="AU246" s="161">
        <f t="shared" ref="AU246" si="787">AT246-AU245</f>
        <v>-15198.803266916328</v>
      </c>
      <c r="AV246" s="161">
        <f t="shared" ref="AV246" si="788">AU246-AV245</f>
        <v>-17607.779618040542</v>
      </c>
      <c r="AW246" s="161">
        <f t="shared" ref="AW246" si="789">AV246-AW245</f>
        <v>-20378.102421833388</v>
      </c>
      <c r="AX246" s="161">
        <f t="shared" ref="AX246" si="790">AW246-AX245</f>
        <v>-23563.973646195162</v>
      </c>
    </row>
    <row r="247" spans="2:50" x14ac:dyDescent="0.2">
      <c r="B247" s="93" t="s">
        <v>252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spans="2:50" x14ac:dyDescent="0.2">
      <c r="B248" s="10" t="s">
        <v>255</v>
      </c>
      <c r="C248" s="15"/>
      <c r="D248" s="15"/>
      <c r="E248" s="15"/>
      <c r="F248" s="15"/>
      <c r="G248" s="15"/>
      <c r="H248" s="15">
        <f t="shared" ref="H248:I248" si="791">H10/H7</f>
        <v>4.7557603686635943</v>
      </c>
      <c r="I248" s="15">
        <f t="shared" si="791"/>
        <v>5.90034965034965</v>
      </c>
      <c r="J248" s="15">
        <f t="shared" ref="J248:T248" si="792">J10/J7</f>
        <v>11.546378653113088</v>
      </c>
      <c r="K248" s="15">
        <f t="shared" si="792"/>
        <v>10.810462471569371</v>
      </c>
      <c r="L248" s="15">
        <f t="shared" si="792"/>
        <v>11.304187192118226</v>
      </c>
      <c r="M248" s="15">
        <f t="shared" si="792"/>
        <v>10.212690191000323</v>
      </c>
      <c r="N248" s="15">
        <f t="shared" si="792"/>
        <v>13.871639430680021</v>
      </c>
      <c r="O248" s="15">
        <f t="shared" si="792"/>
        <v>13.538922155688622</v>
      </c>
      <c r="P248" s="15">
        <f t="shared" si="792"/>
        <v>15.132942999827794</v>
      </c>
      <c r="Q248" s="15">
        <f t="shared" si="792"/>
        <v>13.422206605762474</v>
      </c>
      <c r="R248" s="15">
        <f t="shared" si="792"/>
        <v>10.062494642091727</v>
      </c>
      <c r="S248" s="15">
        <f t="shared" si="792"/>
        <v>10.417308530736811</v>
      </c>
      <c r="T248" s="15">
        <f t="shared" si="792"/>
        <v>8.2337724034665811</v>
      </c>
      <c r="U248" s="15">
        <f t="shared" ref="U248" si="793">U10/U7</f>
        <v>10.701382416899659</v>
      </c>
      <c r="V248" s="101" t="e">
        <f t="shared" ref="V248:V250" si="794">((U248/G248)^(1/($K$2-$K$1) ))-1</f>
        <v>#DIV/0!</v>
      </c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spans="2:50" x14ac:dyDescent="0.2">
      <c r="B249" s="10" t="s">
        <v>256</v>
      </c>
      <c r="C249" s="96"/>
      <c r="D249" s="96"/>
      <c r="E249" s="96"/>
      <c r="F249" s="96"/>
      <c r="G249" s="96"/>
      <c r="H249" s="96" t="e">
        <f t="shared" ref="H249:I249" si="795">H10/H12</f>
        <v>#DIV/0!</v>
      </c>
      <c r="I249" s="96" t="e">
        <f t="shared" si="795"/>
        <v>#DIV/0!</v>
      </c>
      <c r="J249" s="96" t="e">
        <f t="shared" ref="J249:T249" si="796">J10/J12</f>
        <v>#DIV/0!</v>
      </c>
      <c r="K249" s="96" t="e">
        <f t="shared" si="796"/>
        <v>#DIV/0!</v>
      </c>
      <c r="L249" s="96" t="e">
        <f t="shared" si="796"/>
        <v>#DIV/0!</v>
      </c>
      <c r="M249" s="96" t="e">
        <f t="shared" si="796"/>
        <v>#DIV/0!</v>
      </c>
      <c r="N249" s="96" t="e">
        <f t="shared" si="796"/>
        <v>#DIV/0!</v>
      </c>
      <c r="O249" s="96" t="e">
        <f t="shared" si="796"/>
        <v>#DIV/0!</v>
      </c>
      <c r="P249" s="96" t="e">
        <f t="shared" si="796"/>
        <v>#DIV/0!</v>
      </c>
      <c r="Q249" s="96" t="e">
        <f t="shared" si="796"/>
        <v>#DIV/0!</v>
      </c>
      <c r="R249" s="96" t="e">
        <f t="shared" si="796"/>
        <v>#DIV/0!</v>
      </c>
      <c r="S249" s="96" t="e">
        <f t="shared" si="796"/>
        <v>#DIV/0!</v>
      </c>
      <c r="T249" s="96" t="e">
        <f t="shared" si="796"/>
        <v>#VALUE!</v>
      </c>
      <c r="U249" s="96" t="e">
        <f t="shared" ref="U249" si="797">U10/U12</f>
        <v>#DIV/0!</v>
      </c>
      <c r="V249" s="101" t="e">
        <f t="shared" si="794"/>
        <v>#DIV/0!</v>
      </c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spans="2:50" x14ac:dyDescent="0.2">
      <c r="B250" s="10" t="s">
        <v>257</v>
      </c>
      <c r="C250" s="15"/>
      <c r="D250" s="15"/>
      <c r="E250" s="15"/>
      <c r="F250" s="15"/>
      <c r="G250" s="15"/>
      <c r="H250" s="15">
        <f t="shared" ref="H250:I250" si="798">H10/(H12+H13)</f>
        <v>2.6126582278481014</v>
      </c>
      <c r="I250" s="15">
        <f t="shared" si="798"/>
        <v>2.5</v>
      </c>
      <c r="J250" s="15">
        <f t="shared" ref="J250:T250" si="799">J10/(J12+J13)</f>
        <v>2.9570452326716565</v>
      </c>
      <c r="K250" s="15">
        <f t="shared" si="799"/>
        <v>2.7997251129000591</v>
      </c>
      <c r="L250" s="15">
        <f t="shared" si="799"/>
        <v>2.5794576366446536</v>
      </c>
      <c r="M250" s="15">
        <f t="shared" si="799"/>
        <v>3.0901165638162404</v>
      </c>
      <c r="N250" s="15">
        <f t="shared" si="799"/>
        <v>2.7952517527087317</v>
      </c>
      <c r="O250" s="15">
        <f t="shared" si="799"/>
        <v>2.2807940339373851</v>
      </c>
      <c r="P250" s="15">
        <f t="shared" si="799"/>
        <v>2.0448400232693427</v>
      </c>
      <c r="Q250" s="15">
        <f t="shared" si="799"/>
        <v>2.3331134564643801</v>
      </c>
      <c r="R250" s="15">
        <f t="shared" si="799"/>
        <v>2.5204852909598454</v>
      </c>
      <c r="S250" s="15">
        <f t="shared" si="799"/>
        <v>2.9384889726982046</v>
      </c>
      <c r="T250" s="15" t="e">
        <f t="shared" si="799"/>
        <v>#VALUE!</v>
      </c>
      <c r="U250" s="15">
        <f t="shared" ref="U250" si="800">U10/(U12+U13)</f>
        <v>4.0352891218719344</v>
      </c>
      <c r="V250" s="101" t="e">
        <f t="shared" si="794"/>
        <v>#DIV/0!</v>
      </c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spans="2:50" x14ac:dyDescent="0.2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2:50" x14ac:dyDescent="0.2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2:50" x14ac:dyDescent="0.2">
      <c r="B253" s="10"/>
      <c r="C253" s="150" t="s">
        <v>322</v>
      </c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0"/>
      <c r="O253" s="309" t="s">
        <v>282</v>
      </c>
      <c r="P253" s="310"/>
      <c r="Q253" s="311"/>
      <c r="R253" s="13" t="s">
        <v>285</v>
      </c>
      <c r="S253" s="10"/>
      <c r="T253" s="115"/>
      <c r="U253" s="115"/>
      <c r="V253" s="309" t="s">
        <v>283</v>
      </c>
      <c r="W253" s="310"/>
      <c r="X253" s="311"/>
      <c r="Y253" s="13" t="s">
        <v>285</v>
      </c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2:50" x14ac:dyDescent="0.2">
      <c r="B254" s="10"/>
      <c r="C254" s="142" t="s">
        <v>284</v>
      </c>
      <c r="D254" s="142" t="s">
        <v>0</v>
      </c>
      <c r="E254" s="142" t="s">
        <v>323</v>
      </c>
      <c r="F254" s="142"/>
      <c r="G254" s="142" t="s">
        <v>324</v>
      </c>
      <c r="H254" s="142" t="s">
        <v>325</v>
      </c>
      <c r="I254" s="142" t="s">
        <v>326</v>
      </c>
      <c r="J254" s="142" t="s">
        <v>327</v>
      </c>
      <c r="K254" s="142" t="s">
        <v>328</v>
      </c>
      <c r="L254" s="10"/>
      <c r="M254" s="142" t="s">
        <v>284</v>
      </c>
      <c r="N254" s="142"/>
      <c r="O254" s="142" t="s">
        <v>0</v>
      </c>
      <c r="P254" s="142" t="s">
        <v>317</v>
      </c>
      <c r="Q254" s="10"/>
      <c r="R254" s="10"/>
      <c r="S254" s="142" t="s">
        <v>284</v>
      </c>
      <c r="T254" s="142"/>
      <c r="U254" s="142"/>
      <c r="V254" s="142" t="s">
        <v>0</v>
      </c>
      <c r="W254" s="142" t="s">
        <v>317</v>
      </c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</row>
    <row r="255" spans="2:50" x14ac:dyDescent="0.2">
      <c r="B255" s="10"/>
      <c r="C255" s="143" t="s">
        <v>286</v>
      </c>
      <c r="D255" s="11">
        <v>90</v>
      </c>
      <c r="E255" s="152" t="s">
        <v>329</v>
      </c>
      <c r="F255" s="152"/>
      <c r="G255" s="12">
        <v>1</v>
      </c>
      <c r="H255" s="12">
        <v>1</v>
      </c>
      <c r="I255" s="143">
        <f>G255/H255</f>
        <v>1</v>
      </c>
      <c r="J255" s="143">
        <f>I255*D256</f>
        <v>1</v>
      </c>
      <c r="K255" s="153">
        <f>J255+D256</f>
        <v>2</v>
      </c>
      <c r="L255" s="10"/>
      <c r="M255" s="143" t="s">
        <v>286</v>
      </c>
      <c r="N255" s="143"/>
      <c r="O255" s="11">
        <v>63</v>
      </c>
      <c r="P255" s="149">
        <f>O255</f>
        <v>63</v>
      </c>
      <c r="Q255" s="10"/>
      <c r="R255" s="10"/>
      <c r="S255" s="143" t="s">
        <v>286</v>
      </c>
      <c r="T255" s="143"/>
      <c r="U255" s="143"/>
      <c r="V255" s="11">
        <v>1</v>
      </c>
      <c r="W255" s="149">
        <f>V255</f>
        <v>1</v>
      </c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</row>
    <row r="256" spans="2:50" x14ac:dyDescent="0.2">
      <c r="B256" s="10"/>
      <c r="C256" s="143" t="s">
        <v>287</v>
      </c>
      <c r="D256" s="11">
        <v>1</v>
      </c>
      <c r="E256" s="152" t="s">
        <v>330</v>
      </c>
      <c r="F256" s="152"/>
      <c r="G256" s="12">
        <v>0</v>
      </c>
      <c r="H256" s="12">
        <v>1</v>
      </c>
      <c r="I256" s="143">
        <f>G256/H256</f>
        <v>0</v>
      </c>
      <c r="J256" s="143">
        <f>I256*K255</f>
        <v>0</v>
      </c>
      <c r="K256" s="143">
        <f>J256+K255</f>
        <v>2</v>
      </c>
      <c r="L256" s="10"/>
      <c r="M256" s="143" t="s">
        <v>287</v>
      </c>
      <c r="N256" s="143"/>
      <c r="O256" s="11">
        <v>1</v>
      </c>
      <c r="P256" s="149">
        <f>O256</f>
        <v>1</v>
      </c>
      <c r="Q256" s="10"/>
      <c r="R256" s="10"/>
      <c r="S256" s="143" t="s">
        <v>287</v>
      </c>
      <c r="T256" s="143"/>
      <c r="U256" s="143"/>
      <c r="V256" s="11">
        <v>1</v>
      </c>
      <c r="W256" s="149">
        <f>V256</f>
        <v>1</v>
      </c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</row>
    <row r="257" spans="2:34" x14ac:dyDescent="0.2">
      <c r="B257" s="10"/>
      <c r="C257" s="143" t="s">
        <v>289</v>
      </c>
      <c r="D257" s="144">
        <f>D255*D256</f>
        <v>90</v>
      </c>
      <c r="E257" s="152" t="s">
        <v>342</v>
      </c>
      <c r="F257" s="152"/>
      <c r="G257" s="12">
        <v>0</v>
      </c>
      <c r="H257" s="12">
        <v>1</v>
      </c>
      <c r="I257" s="143">
        <f>G257/H257</f>
        <v>0</v>
      </c>
      <c r="J257" s="143">
        <f>I257*K256</f>
        <v>0</v>
      </c>
      <c r="K257" s="143">
        <f>J257+K256</f>
        <v>2</v>
      </c>
      <c r="L257" s="10"/>
      <c r="M257" s="143" t="s">
        <v>288</v>
      </c>
      <c r="N257" s="143"/>
      <c r="O257" s="144">
        <f>O255*O256</f>
        <v>63</v>
      </c>
      <c r="P257" s="149">
        <f>O257</f>
        <v>63</v>
      </c>
      <c r="Q257" s="10"/>
      <c r="R257" s="10"/>
      <c r="S257" s="143" t="s">
        <v>289</v>
      </c>
      <c r="T257" s="143"/>
      <c r="U257" s="143"/>
      <c r="V257" s="144">
        <f>V255*V256</f>
        <v>1</v>
      </c>
      <c r="W257" s="149">
        <f>V257</f>
        <v>1</v>
      </c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</row>
    <row r="258" spans="2:34" x14ac:dyDescent="0.2">
      <c r="B258" s="10"/>
      <c r="C258" s="143"/>
      <c r="D258" s="144"/>
      <c r="E258" s="152" t="s">
        <v>398</v>
      </c>
      <c r="F258" s="152"/>
      <c r="G258" s="12">
        <v>0</v>
      </c>
      <c r="H258" s="12">
        <v>1</v>
      </c>
      <c r="I258" s="143">
        <f t="shared" ref="I258:I261" si="801">G258/H258</f>
        <v>0</v>
      </c>
      <c r="J258" s="143">
        <f t="shared" ref="J258:J260" si="802">I258*K257</f>
        <v>0</v>
      </c>
      <c r="K258" s="143">
        <f t="shared" ref="K258:K260" si="803">J258+K257</f>
        <v>2</v>
      </c>
      <c r="L258" s="10"/>
      <c r="M258" s="143" t="s">
        <v>290</v>
      </c>
      <c r="N258" s="143"/>
      <c r="O258" s="11">
        <v>1250</v>
      </c>
      <c r="P258" s="11">
        <v>1800</v>
      </c>
      <c r="Q258" s="10"/>
      <c r="R258" s="10"/>
      <c r="S258" s="143" t="s">
        <v>290</v>
      </c>
      <c r="T258" s="143"/>
      <c r="U258" s="143"/>
      <c r="V258" s="11">
        <v>1</v>
      </c>
      <c r="W258" s="11">
        <v>1</v>
      </c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2:34" x14ac:dyDescent="0.2">
      <c r="B259" s="10"/>
      <c r="C259" s="143"/>
      <c r="D259" s="144"/>
      <c r="E259" s="152" t="s">
        <v>399</v>
      </c>
      <c r="F259" s="152"/>
      <c r="G259" s="12">
        <v>0</v>
      </c>
      <c r="H259" s="12">
        <v>1</v>
      </c>
      <c r="I259" s="143">
        <f t="shared" si="801"/>
        <v>0</v>
      </c>
      <c r="J259" s="143">
        <f t="shared" si="802"/>
        <v>0</v>
      </c>
      <c r="K259" s="143">
        <f t="shared" si="803"/>
        <v>2</v>
      </c>
      <c r="L259" s="10"/>
      <c r="M259" s="143" t="s">
        <v>291</v>
      </c>
      <c r="N259" s="143"/>
      <c r="O259" s="144">
        <f>O258*O256</f>
        <v>1250</v>
      </c>
      <c r="P259" s="144">
        <f>P258*P256</f>
        <v>1800</v>
      </c>
      <c r="Q259" s="10"/>
      <c r="R259" s="10"/>
      <c r="S259" s="143" t="s">
        <v>287</v>
      </c>
      <c r="T259" s="143"/>
      <c r="U259" s="143"/>
      <c r="V259" s="11">
        <v>1</v>
      </c>
      <c r="W259" s="109">
        <f>V259</f>
        <v>1</v>
      </c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2:34" x14ac:dyDescent="0.2">
      <c r="B260" s="10"/>
      <c r="C260" s="143"/>
      <c r="D260" s="144"/>
      <c r="E260" s="152" t="s">
        <v>400</v>
      </c>
      <c r="F260" s="152"/>
      <c r="G260" s="12">
        <v>0</v>
      </c>
      <c r="H260" s="12">
        <v>1</v>
      </c>
      <c r="I260" s="143">
        <f t="shared" si="801"/>
        <v>0</v>
      </c>
      <c r="J260" s="143">
        <f t="shared" si="802"/>
        <v>0</v>
      </c>
      <c r="K260" s="143">
        <f t="shared" si="803"/>
        <v>2</v>
      </c>
      <c r="L260" s="10"/>
      <c r="M260" s="143"/>
      <c r="N260" s="143"/>
      <c r="O260" s="144"/>
      <c r="P260" s="144"/>
      <c r="Q260" s="10"/>
      <c r="R260" s="10"/>
      <c r="S260" s="143" t="s">
        <v>289</v>
      </c>
      <c r="T260" s="143"/>
      <c r="U260" s="143"/>
      <c r="V260" s="144">
        <f>V259*V258</f>
        <v>1</v>
      </c>
      <c r="W260" s="144">
        <f>W259*W258</f>
        <v>1</v>
      </c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2:34" x14ac:dyDescent="0.2">
      <c r="B261" s="10"/>
      <c r="C261" s="143"/>
      <c r="D261" s="144"/>
      <c r="E261" s="152" t="s">
        <v>331</v>
      </c>
      <c r="F261" s="152"/>
      <c r="G261" s="12">
        <v>10</v>
      </c>
      <c r="H261" s="12">
        <v>1</v>
      </c>
      <c r="I261" s="143">
        <f t="shared" si="801"/>
        <v>10</v>
      </c>
      <c r="J261" s="143">
        <f>I261*K260</f>
        <v>20</v>
      </c>
      <c r="K261" s="143">
        <f>J261</f>
        <v>20</v>
      </c>
      <c r="L261" s="10"/>
      <c r="M261" s="143"/>
      <c r="N261" s="143"/>
      <c r="O261" s="144"/>
      <c r="P261" s="144"/>
      <c r="Q261" s="10"/>
      <c r="R261" s="10"/>
      <c r="S261" s="143"/>
      <c r="T261" s="143"/>
      <c r="U261" s="143"/>
      <c r="V261" s="144"/>
      <c r="W261" s="144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2:34" x14ac:dyDescent="0.2">
      <c r="B262" s="10"/>
      <c r="C262" s="143"/>
      <c r="D262" s="144"/>
      <c r="E262" s="152" t="s">
        <v>401</v>
      </c>
      <c r="F262" s="152"/>
      <c r="G262" s="12">
        <v>0</v>
      </c>
      <c r="H262" s="12">
        <v>1</v>
      </c>
      <c r="I262" s="143">
        <f>G262/H262</f>
        <v>0</v>
      </c>
      <c r="J262" s="143">
        <f>I262*K261</f>
        <v>0</v>
      </c>
      <c r="K262" s="143">
        <f>J262</f>
        <v>0</v>
      </c>
      <c r="L262" s="10"/>
      <c r="M262" s="145" t="s">
        <v>292</v>
      </c>
      <c r="N262" s="145"/>
      <c r="O262" s="146">
        <f>O259/O257</f>
        <v>19.841269841269842</v>
      </c>
      <c r="P262" s="146">
        <f>P259/P257</f>
        <v>28.571428571428573</v>
      </c>
      <c r="Q262" s="10"/>
      <c r="R262" s="10"/>
      <c r="S262" s="145" t="s">
        <v>292</v>
      </c>
      <c r="T262" s="145"/>
      <c r="U262" s="145"/>
      <c r="V262" s="146">
        <f>V260/V257</f>
        <v>1</v>
      </c>
      <c r="W262" s="146">
        <f>W260/W257</f>
        <v>1</v>
      </c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2:34" x14ac:dyDescent="0.2">
      <c r="B263" s="10"/>
      <c r="C263" s="143" t="s">
        <v>290</v>
      </c>
      <c r="D263" s="11">
        <v>300</v>
      </c>
      <c r="E263" s="152"/>
      <c r="F263" s="152"/>
      <c r="G263" s="143"/>
      <c r="H263" s="143"/>
      <c r="I263" s="145" t="s">
        <v>332</v>
      </c>
      <c r="J263" s="143"/>
      <c r="K263" s="143">
        <f>K262</f>
        <v>0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2:34" x14ac:dyDescent="0.2">
      <c r="B264" s="10"/>
      <c r="C264" s="143" t="s">
        <v>287</v>
      </c>
      <c r="D264" s="11">
        <v>5</v>
      </c>
      <c r="E264" s="152" t="s">
        <v>331</v>
      </c>
      <c r="F264" s="152"/>
      <c r="G264" s="12">
        <v>10</v>
      </c>
      <c r="H264" s="12">
        <v>2</v>
      </c>
      <c r="I264" s="143">
        <f>G264/H264</f>
        <v>5</v>
      </c>
      <c r="J264" s="153">
        <f>I264*D256</f>
        <v>5</v>
      </c>
      <c r="K264" s="153">
        <f>J264</f>
        <v>5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2:34" x14ac:dyDescent="0.2">
      <c r="B265" s="10"/>
      <c r="C265" s="143" t="s">
        <v>289</v>
      </c>
      <c r="D265" s="144">
        <f>D264*D263</f>
        <v>1500</v>
      </c>
      <c r="E265" s="143"/>
      <c r="F265" s="143"/>
      <c r="G265" s="143"/>
      <c r="H265" s="143"/>
      <c r="I265" s="145" t="s">
        <v>332</v>
      </c>
      <c r="J265" s="143"/>
      <c r="K265" s="143">
        <f>K264</f>
        <v>5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2:34" x14ac:dyDescent="0.2">
      <c r="B266" s="10"/>
      <c r="C266" s="143"/>
      <c r="D266" s="144"/>
      <c r="E266" s="152" t="s">
        <v>331</v>
      </c>
      <c r="F266" s="152"/>
      <c r="G266" s="12">
        <v>10</v>
      </c>
      <c r="H266" s="12">
        <v>2</v>
      </c>
      <c r="I266" s="143">
        <f>G266/H266</f>
        <v>5</v>
      </c>
      <c r="J266" s="143">
        <f>I266*K265</f>
        <v>25</v>
      </c>
      <c r="K266" s="143">
        <f>J266</f>
        <v>25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2:34" x14ac:dyDescent="0.2">
      <c r="B267" s="10"/>
      <c r="C267" s="145" t="s">
        <v>292</v>
      </c>
      <c r="D267" s="146">
        <f>D265/D257</f>
        <v>16.666666666666668</v>
      </c>
      <c r="E267" s="152"/>
      <c r="F267" s="152"/>
      <c r="G267" s="143"/>
      <c r="H267" s="143"/>
      <c r="I267" s="145" t="s">
        <v>332</v>
      </c>
      <c r="J267" s="143"/>
      <c r="K267" s="143">
        <f>K266</f>
        <v>25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2:34" x14ac:dyDescent="0.2"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2:34" x14ac:dyDescent="0.2">
      <c r="B269" s="10"/>
      <c r="C269" s="10"/>
      <c r="D269" s="115"/>
      <c r="E269" s="154"/>
      <c r="F269" s="154"/>
      <c r="G269" s="154"/>
      <c r="H269" s="154"/>
      <c r="I269" s="154"/>
      <c r="J269" s="155"/>
      <c r="K269" s="10"/>
      <c r="L269" s="115"/>
      <c r="M269" s="154"/>
      <c r="N269" s="155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2:34" ht="14.25" x14ac:dyDescent="0.2">
      <c r="B270" s="10"/>
      <c r="C270" s="10"/>
      <c r="D270" s="302" t="s">
        <v>15</v>
      </c>
      <c r="E270" s="303"/>
      <c r="F270" s="303"/>
      <c r="G270" s="303"/>
      <c r="H270" s="303"/>
      <c r="I270" s="303"/>
      <c r="J270" s="304"/>
      <c r="K270" s="10"/>
      <c r="L270" s="302" t="s">
        <v>337</v>
      </c>
      <c r="M270" s="303"/>
      <c r="N270" s="304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2:34" x14ac:dyDescent="0.2">
      <c r="B271" s="10"/>
      <c r="C271" s="10"/>
      <c r="D271" s="10" t="s">
        <v>16</v>
      </c>
      <c r="E271" s="109"/>
      <c r="F271" s="109"/>
      <c r="G271" s="109">
        <f>D257</f>
        <v>90</v>
      </c>
      <c r="H271" s="11">
        <f>D257</f>
        <v>90</v>
      </c>
      <c r="I271" s="10"/>
      <c r="J271" s="10"/>
      <c r="K271" s="10"/>
      <c r="L271" s="10" t="s">
        <v>16</v>
      </c>
      <c r="M271" s="109"/>
      <c r="N271" s="11">
        <f>H271</f>
        <v>90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2:34" x14ac:dyDescent="0.2">
      <c r="B272" s="10"/>
      <c r="C272" s="10"/>
      <c r="D272" s="10" t="s">
        <v>17</v>
      </c>
      <c r="E272" s="109"/>
      <c r="F272" s="109"/>
      <c r="G272" s="109">
        <f>D265</f>
        <v>1500</v>
      </c>
      <c r="H272" s="11">
        <f>D265</f>
        <v>1500</v>
      </c>
      <c r="I272" s="10"/>
      <c r="J272" s="10"/>
      <c r="K272" s="10"/>
      <c r="L272" s="10" t="s">
        <v>17</v>
      </c>
      <c r="M272" s="10"/>
      <c r="N272" s="11">
        <f>H272</f>
        <v>1500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2:34" x14ac:dyDescent="0.2">
      <c r="B273" s="10"/>
      <c r="C273" s="10"/>
      <c r="D273" s="10" t="s">
        <v>18</v>
      </c>
      <c r="E273" s="10"/>
      <c r="F273" s="10"/>
      <c r="G273" s="12">
        <f>H273</f>
        <v>10</v>
      </c>
      <c r="H273" s="12">
        <v>10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2:34" x14ac:dyDescent="0.2">
      <c r="B274" s="10"/>
      <c r="C274" s="10"/>
      <c r="D274" s="13" t="s">
        <v>19</v>
      </c>
      <c r="E274" s="3"/>
      <c r="F274" s="3"/>
      <c r="G274" s="3">
        <f>((G272/G271)^(1/G273))-1</f>
        <v>0.32490541459126954</v>
      </c>
      <c r="H274" s="3">
        <f>((H272/H271)^(1/H273))-1</f>
        <v>0.32490541459126954</v>
      </c>
      <c r="I274" s="10"/>
      <c r="J274" s="10"/>
      <c r="K274" s="10"/>
      <c r="L274" s="13" t="s">
        <v>338</v>
      </c>
      <c r="M274" s="13"/>
      <c r="N274" s="169">
        <f>(N272-N271)/N271</f>
        <v>15.666666666666666</v>
      </c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2:34" x14ac:dyDescent="0.2">
      <c r="B275" s="10"/>
      <c r="C275" s="10"/>
      <c r="D275" s="13" t="s">
        <v>20</v>
      </c>
      <c r="E275" s="141"/>
      <c r="F275" s="141"/>
      <c r="G275" s="141">
        <f>G273*12</f>
        <v>120</v>
      </c>
      <c r="H275" s="14">
        <f>H273*12</f>
        <v>120</v>
      </c>
      <c r="I275" s="10"/>
      <c r="J275" s="10"/>
      <c r="K275" s="10"/>
      <c r="L275" s="13" t="s">
        <v>339</v>
      </c>
      <c r="M275" s="13"/>
      <c r="N275" s="270">
        <f>N272/N271</f>
        <v>16.666666666666668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2:34" x14ac:dyDescent="0.2">
      <c r="B276" s="10"/>
      <c r="C276" s="10"/>
      <c r="D276" s="10" t="s">
        <v>18</v>
      </c>
      <c r="E276" s="15"/>
      <c r="F276" s="15"/>
      <c r="G276" s="15">
        <f>G275/12</f>
        <v>10</v>
      </c>
      <c r="H276" s="15">
        <f>H275/12</f>
        <v>10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2:34" x14ac:dyDescent="0.2">
      <c r="B277" s="10"/>
      <c r="C277" s="10"/>
      <c r="D277" s="13" t="s">
        <v>21</v>
      </c>
      <c r="E277" s="3"/>
      <c r="F277" s="3"/>
      <c r="G277" s="3">
        <f>((G272/G271)^(1/G276))-1</f>
        <v>0.32490541459126954</v>
      </c>
      <c r="H277" s="3">
        <f>((H272/H271)^(1/H276))-1</f>
        <v>0.32490541459126954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2:34" x14ac:dyDescent="0.2"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2:34" x14ac:dyDescent="0.2"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</sheetData>
  <mergeCells count="9">
    <mergeCell ref="A36:A45"/>
    <mergeCell ref="A124:A132"/>
    <mergeCell ref="D270:J270"/>
    <mergeCell ref="L270:N270"/>
    <mergeCell ref="AI2:AJ2"/>
    <mergeCell ref="AI3:AJ3"/>
    <mergeCell ref="O253:Q253"/>
    <mergeCell ref="V253:X253"/>
    <mergeCell ref="N236:O23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52</v>
      </c>
    </row>
    <row r="3" spans="2:14" x14ac:dyDescent="0.3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 x14ac:dyDescent="0.3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75" t="s">
        <v>15</v>
      </c>
      <c r="K5" s="275"/>
      <c r="M5" s="275" t="s">
        <v>53</v>
      </c>
      <c r="N5" s="275"/>
    </row>
    <row r="6" spans="2:14" x14ac:dyDescent="0.3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 x14ac:dyDescent="0.3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 x14ac:dyDescent="0.3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 x14ac:dyDescent="0.3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 x14ac:dyDescent="0.3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 x14ac:dyDescent="0.3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 x14ac:dyDescent="0.3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 x14ac:dyDescent="0.3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75" t="s">
        <v>24</v>
      </c>
      <c r="K14" s="275"/>
      <c r="L14" s="275"/>
    </row>
    <row r="15" spans="2:14" x14ac:dyDescent="0.3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 x14ac:dyDescent="0.3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 x14ac:dyDescent="0.3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 x14ac:dyDescent="0.3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 x14ac:dyDescent="0.3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 x14ac:dyDescent="0.3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8" t="s">
        <v>34</v>
      </c>
      <c r="C23" s="1"/>
      <c r="D23" s="4">
        <v>0.1125</v>
      </c>
      <c r="E23" s="4"/>
      <c r="F23" s="1"/>
      <c r="G23" s="1"/>
    </row>
    <row r="27" spans="1:17" x14ac:dyDescent="0.3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 x14ac:dyDescent="0.3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 x14ac:dyDescent="0.3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 x14ac:dyDescent="0.3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 x14ac:dyDescent="0.3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 x14ac:dyDescent="0.3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 x14ac:dyDescent="0.3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 x14ac:dyDescent="0.3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 x14ac:dyDescent="0.3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 x14ac:dyDescent="0.3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 x14ac:dyDescent="0.3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 x14ac:dyDescent="0.3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 x14ac:dyDescent="0.3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 x14ac:dyDescent="0.3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 x14ac:dyDescent="0.3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 x14ac:dyDescent="0.3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 x14ac:dyDescent="0.3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 x14ac:dyDescent="0.3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35</v>
      </c>
    </row>
    <row r="3" spans="2:20" x14ac:dyDescent="0.3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 x14ac:dyDescent="0.3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8">
        <v>1</v>
      </c>
      <c r="C5" s="1">
        <v>2001</v>
      </c>
      <c r="D5" s="1"/>
      <c r="E5" s="1"/>
      <c r="F5" s="1"/>
      <c r="G5" s="1">
        <v>115.93</v>
      </c>
      <c r="R5" s="275" t="s">
        <v>15</v>
      </c>
      <c r="S5" s="275"/>
    </row>
    <row r="6" spans="2:20" x14ac:dyDescent="0.3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 x14ac:dyDescent="0.3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 x14ac:dyDescent="0.3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 x14ac:dyDescent="0.3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 x14ac:dyDescent="0.3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 x14ac:dyDescent="0.3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 x14ac:dyDescent="0.3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 x14ac:dyDescent="0.3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75" t="s">
        <v>24</v>
      </c>
      <c r="S14" s="275"/>
      <c r="T14" s="275"/>
    </row>
    <row r="15" spans="2:20" x14ac:dyDescent="0.3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 x14ac:dyDescent="0.3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 x14ac:dyDescent="0.3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 x14ac:dyDescent="0.3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 x14ac:dyDescent="0.3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 x14ac:dyDescent="0.3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8" t="s">
        <v>34</v>
      </c>
      <c r="C23" s="1"/>
      <c r="D23" s="4">
        <v>0.1125</v>
      </c>
      <c r="E23" s="4"/>
      <c r="F23" s="1"/>
      <c r="G23" s="1"/>
    </row>
    <row r="27" spans="1:20" x14ac:dyDescent="0.3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 x14ac:dyDescent="0.3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 x14ac:dyDescent="0.3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 x14ac:dyDescent="0.3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 x14ac:dyDescent="0.3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 x14ac:dyDescent="0.3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 x14ac:dyDescent="0.3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 x14ac:dyDescent="0.3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 x14ac:dyDescent="0.3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 x14ac:dyDescent="0.3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 x14ac:dyDescent="0.3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 x14ac:dyDescent="0.3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 x14ac:dyDescent="0.3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 x14ac:dyDescent="0.3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 x14ac:dyDescent="0.3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 x14ac:dyDescent="0.3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 x14ac:dyDescent="0.3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 x14ac:dyDescent="0.3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 x14ac:dyDescent="0.25">
      <c r="B2" s="275" t="s">
        <v>15</v>
      </c>
      <c r="C2" s="275"/>
      <c r="E2" s="275" t="s">
        <v>53</v>
      </c>
      <c r="F2" s="275"/>
      <c r="H2" s="317" t="s">
        <v>24</v>
      </c>
      <c r="I2" s="318"/>
    </row>
    <row r="3" spans="2:12" x14ac:dyDescent="0.25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 x14ac:dyDescent="0.25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 x14ac:dyDescent="0.25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 x14ac:dyDescent="0.25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 x14ac:dyDescent="0.25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 x14ac:dyDescent="0.3"/>
    <row r="10" spans="2:12" ht="16.5" thickBot="1" x14ac:dyDescent="0.35">
      <c r="B10" s="76"/>
      <c r="C10" s="77"/>
      <c r="D10" s="314" t="s">
        <v>56</v>
      </c>
      <c r="E10" s="315"/>
      <c r="F10" s="315"/>
      <c r="G10" s="315"/>
      <c r="H10" s="316"/>
      <c r="I10" s="314" t="s">
        <v>60</v>
      </c>
      <c r="J10" s="315"/>
      <c r="K10" s="315"/>
      <c r="L10" s="316"/>
    </row>
    <row r="11" spans="2:12" ht="45" x14ac:dyDescent="0.2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 x14ac:dyDescent="0.3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 x14ac:dyDescent="0.3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 x14ac:dyDescent="0.3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 x14ac:dyDescent="0.3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 x14ac:dyDescent="0.3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 x14ac:dyDescent="0.3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 x14ac:dyDescent="0.3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 x14ac:dyDescent="0.3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 x14ac:dyDescent="0.3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 x14ac:dyDescent="0.3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 x14ac:dyDescent="0.3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 x14ac:dyDescent="0.3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 x14ac:dyDescent="0.3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 x14ac:dyDescent="0.3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 x14ac:dyDescent="0.3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 x14ac:dyDescent="0.3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 x14ac:dyDescent="0.3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 x14ac:dyDescent="0.3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 x14ac:dyDescent="0.3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 x14ac:dyDescent="0.3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 x14ac:dyDescent="0.3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 x14ac:dyDescent="0.3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 x14ac:dyDescent="0.3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 x14ac:dyDescent="0.3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 x14ac:dyDescent="0.3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 x14ac:dyDescent="0.3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 x14ac:dyDescent="0.3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 x14ac:dyDescent="0.3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 x14ac:dyDescent="0.25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 x14ac:dyDescent="0.25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 x14ac:dyDescent="0.25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 x14ac:dyDescent="0.25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 x14ac:dyDescent="0.25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 x14ac:dyDescent="0.25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 x14ac:dyDescent="0.25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 x14ac:dyDescent="0.25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 x14ac:dyDescent="0.3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63"/>
    <col min="2" max="2" width="16.5703125" style="163" customWidth="1"/>
    <col min="3" max="3" width="39.7109375" style="163" customWidth="1"/>
    <col min="4" max="5" width="9.140625" style="163"/>
    <col min="6" max="6" width="19" style="163" bestFit="1" customWidth="1"/>
    <col min="7" max="7" width="49" style="163" customWidth="1"/>
    <col min="8" max="16384" width="9.140625" style="163"/>
  </cols>
  <sheetData>
    <row r="3" spans="2:7" x14ac:dyDescent="0.2">
      <c r="B3" s="319" t="s">
        <v>376</v>
      </c>
      <c r="C3" s="320"/>
      <c r="F3" s="319" t="s">
        <v>377</v>
      </c>
      <c r="G3" s="320"/>
    </row>
    <row r="4" spans="2:7" x14ac:dyDescent="0.2">
      <c r="B4" s="164" t="s">
        <v>378</v>
      </c>
      <c r="C4" s="164"/>
      <c r="F4" s="164" t="s">
        <v>379</v>
      </c>
      <c r="G4" s="164"/>
    </row>
    <row r="5" spans="2:7" x14ac:dyDescent="0.2">
      <c r="B5" s="164" t="s">
        <v>380</v>
      </c>
      <c r="C5" s="164"/>
      <c r="F5" s="164" t="s">
        <v>242</v>
      </c>
      <c r="G5" s="164"/>
    </row>
    <row r="6" spans="2:7" x14ac:dyDescent="0.2">
      <c r="B6" s="164" t="s">
        <v>381</v>
      </c>
      <c r="C6" s="164"/>
      <c r="F6" s="164" t="s">
        <v>382</v>
      </c>
      <c r="G6" s="164"/>
    </row>
    <row r="7" spans="2:7" x14ac:dyDescent="0.2">
      <c r="B7" s="164" t="s">
        <v>383</v>
      </c>
      <c r="C7" s="164"/>
      <c r="F7" s="164" t="s">
        <v>384</v>
      </c>
      <c r="G7" s="164"/>
    </row>
    <row r="8" spans="2:7" x14ac:dyDescent="0.2">
      <c r="B8" s="164" t="s">
        <v>385</v>
      </c>
      <c r="C8" s="164"/>
      <c r="F8" s="164" t="s">
        <v>386</v>
      </c>
      <c r="G8" s="164"/>
    </row>
    <row r="9" spans="2:7" x14ac:dyDescent="0.2">
      <c r="B9" s="164" t="s">
        <v>387</v>
      </c>
      <c r="C9" s="164"/>
      <c r="F9" s="164" t="s">
        <v>388</v>
      </c>
      <c r="G9" s="164"/>
    </row>
    <row r="10" spans="2:7" x14ac:dyDescent="0.2">
      <c r="B10" s="164" t="s">
        <v>386</v>
      </c>
      <c r="C10" s="164"/>
      <c r="F10" s="164"/>
      <c r="G10" s="164"/>
    </row>
    <row r="11" spans="2:7" x14ac:dyDescent="0.2">
      <c r="B11" s="164" t="s">
        <v>389</v>
      </c>
      <c r="C11" s="164"/>
      <c r="F11" s="164"/>
      <c r="G11" s="164"/>
    </row>
    <row r="12" spans="2:7" x14ac:dyDescent="0.2">
      <c r="B12" s="164" t="s">
        <v>390</v>
      </c>
      <c r="C12" s="164"/>
      <c r="F12" s="164"/>
      <c r="G12" s="164"/>
    </row>
    <row r="13" spans="2:7" x14ac:dyDescent="0.2">
      <c r="B13" s="164"/>
      <c r="C13" s="164"/>
      <c r="F13" s="164"/>
      <c r="G13" s="164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2019-10-07T10:05:50Z</dcterms:modified>
</cp:coreProperties>
</file>
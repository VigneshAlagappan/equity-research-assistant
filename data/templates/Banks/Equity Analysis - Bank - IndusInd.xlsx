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N221" i="18" l="1"/>
  <c r="N224" i="18" s="1"/>
  <c r="O217" i="18"/>
  <c r="O218" i="18"/>
  <c r="O221" i="18" s="1"/>
  <c r="O224" i="18" s="1"/>
  <c r="N219" i="18"/>
  <c r="O219" i="18" s="1"/>
  <c r="R72" i="18"/>
  <c r="R71" i="18"/>
  <c r="R62" i="18"/>
  <c r="Q62" i="18"/>
  <c r="P63" i="18"/>
  <c r="O63" i="18"/>
  <c r="N63" i="18"/>
  <c r="M63" i="18"/>
  <c r="L63" i="18"/>
  <c r="K63" i="18"/>
  <c r="J63" i="18"/>
  <c r="I63" i="18"/>
  <c r="H63" i="18"/>
  <c r="G63" i="18"/>
  <c r="L49" i="18"/>
  <c r="G233" i="18" l="1"/>
  <c r="G234" i="18" s="1"/>
  <c r="H224" i="18"/>
  <c r="H222" i="18"/>
  <c r="I222" i="18" s="1"/>
  <c r="J222" i="18" s="1"/>
  <c r="J223" i="18" s="1"/>
  <c r="I224" i="18" s="1"/>
  <c r="J224" i="18" s="1"/>
  <c r="J225" i="18" s="1"/>
  <c r="H220" i="18"/>
  <c r="H219" i="18"/>
  <c r="H218" i="18"/>
  <c r="H217" i="18"/>
  <c r="I217" i="18" s="1"/>
  <c r="J217" i="18" s="1"/>
  <c r="D223" i="18"/>
  <c r="G230" i="18" s="1"/>
  <c r="K230" i="18" s="1"/>
  <c r="K232" i="18" s="1"/>
  <c r="D219" i="18"/>
  <c r="G229" i="18" s="1"/>
  <c r="K229" i="18" s="1"/>
  <c r="K233" i="18" s="1"/>
  <c r="AD66" i="18"/>
  <c r="R66" i="18"/>
  <c r="S66" i="18" s="1"/>
  <c r="T66" i="18" s="1"/>
  <c r="U66" i="18" s="1"/>
  <c r="V66" i="18" s="1"/>
  <c r="W66" i="18" s="1"/>
  <c r="X66" i="18" s="1"/>
  <c r="Y66" i="18" s="1"/>
  <c r="Z66" i="18" s="1"/>
  <c r="AA66" i="18" s="1"/>
  <c r="AB66" i="18" s="1"/>
  <c r="AC66" i="18" s="1"/>
  <c r="Q66" i="18"/>
  <c r="P67" i="18"/>
  <c r="O67" i="18"/>
  <c r="N67" i="18"/>
  <c r="M67" i="18"/>
  <c r="L67" i="18"/>
  <c r="K67" i="18"/>
  <c r="J67" i="18"/>
  <c r="I67" i="18"/>
  <c r="H67" i="18"/>
  <c r="G67" i="18"/>
  <c r="AD16" i="18"/>
  <c r="R16" i="18"/>
  <c r="S16" i="18" s="1"/>
  <c r="T16" i="18" s="1"/>
  <c r="Q16" i="18"/>
  <c r="I218" i="18" l="1"/>
  <c r="J218" i="18" s="1"/>
  <c r="I219" i="18" s="1"/>
  <c r="J219" i="18" s="1"/>
  <c r="I220" i="18" s="1"/>
  <c r="J220" i="18" s="1"/>
  <c r="J221" i="18" s="1"/>
  <c r="G232" i="18"/>
  <c r="AE66" i="18"/>
  <c r="U16" i="18"/>
  <c r="V16" i="18" s="1"/>
  <c r="W16" i="18" s="1"/>
  <c r="X16" i="18" s="1"/>
  <c r="Y16" i="18" s="1"/>
  <c r="Z16" i="18" s="1"/>
  <c r="AA16" i="18" s="1"/>
  <c r="AB16" i="18" s="1"/>
  <c r="AC16" i="18" s="1"/>
  <c r="AC152" i="18"/>
  <c r="H151" i="18"/>
  <c r="I151" i="18"/>
  <c r="J151" i="18"/>
  <c r="K151" i="18"/>
  <c r="L151" i="18"/>
  <c r="M151" i="18"/>
  <c r="N151" i="18"/>
  <c r="O151" i="18"/>
  <c r="P151" i="18"/>
  <c r="G151" i="18"/>
  <c r="H147" i="18"/>
  <c r="H148" i="18" s="1"/>
  <c r="I147" i="18"/>
  <c r="I148" i="18" s="1"/>
  <c r="J147" i="18"/>
  <c r="J148" i="18" s="1"/>
  <c r="K147" i="18"/>
  <c r="K148" i="18" s="1"/>
  <c r="L147" i="18"/>
  <c r="L148" i="18" s="1"/>
  <c r="M147" i="18"/>
  <c r="M148" i="18" s="1"/>
  <c r="N147" i="18"/>
  <c r="N148" i="18" s="1"/>
  <c r="O147" i="18"/>
  <c r="O148" i="18" s="1"/>
  <c r="P147" i="18"/>
  <c r="G147" i="18"/>
  <c r="G148" i="18" s="1"/>
  <c r="Q152" i="18"/>
  <c r="Q149" i="18"/>
  <c r="H116" i="18"/>
  <c r="I116" i="18"/>
  <c r="J116" i="18"/>
  <c r="K116" i="18"/>
  <c r="L116" i="18"/>
  <c r="M116" i="18"/>
  <c r="N116" i="18"/>
  <c r="O116" i="18"/>
  <c r="P116" i="18"/>
  <c r="G116" i="18"/>
  <c r="AD33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D32" i="18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AD31" i="18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AD30" i="18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AD94" i="18"/>
  <c r="AD60" i="18"/>
  <c r="S60" i="18"/>
  <c r="T60" i="18" s="1"/>
  <c r="U60" i="18" s="1"/>
  <c r="V60" i="18" s="1"/>
  <c r="W60" i="18" s="1"/>
  <c r="X60" i="18" s="1"/>
  <c r="Y60" i="18" s="1"/>
  <c r="Z60" i="18" s="1"/>
  <c r="AA60" i="18" s="1"/>
  <c r="AB60" i="18" s="1"/>
  <c r="AD59" i="18"/>
  <c r="S59" i="18"/>
  <c r="T59" i="18" s="1"/>
  <c r="U59" i="18" s="1"/>
  <c r="V59" i="18" s="1"/>
  <c r="W59" i="18" s="1"/>
  <c r="X59" i="18" s="1"/>
  <c r="Y59" i="18" s="1"/>
  <c r="Z59" i="18" s="1"/>
  <c r="AA59" i="18" s="1"/>
  <c r="AB59" i="18" s="1"/>
  <c r="AD58" i="18"/>
  <c r="S58" i="18"/>
  <c r="T58" i="18" s="1"/>
  <c r="U58" i="18" s="1"/>
  <c r="V58" i="18" s="1"/>
  <c r="W58" i="18" s="1"/>
  <c r="X58" i="18" s="1"/>
  <c r="Y58" i="18" s="1"/>
  <c r="Z58" i="18" s="1"/>
  <c r="AA58" i="18" s="1"/>
  <c r="AB58" i="18" s="1"/>
  <c r="AD57" i="18"/>
  <c r="S57" i="18"/>
  <c r="T57" i="18" s="1"/>
  <c r="U57" i="18" s="1"/>
  <c r="V57" i="18" s="1"/>
  <c r="W57" i="18" s="1"/>
  <c r="X57" i="18" s="1"/>
  <c r="Y57" i="18" s="1"/>
  <c r="Z57" i="18" s="1"/>
  <c r="AA57" i="18" s="1"/>
  <c r="AB57" i="18" s="1"/>
  <c r="S20" i="18"/>
  <c r="T20" i="18" s="1"/>
  <c r="U20" i="18" s="1"/>
  <c r="V20" i="18" s="1"/>
  <c r="W20" i="18" s="1"/>
  <c r="X20" i="18" s="1"/>
  <c r="Y20" i="18" s="1"/>
  <c r="Z20" i="18" s="1"/>
  <c r="AA20" i="18" s="1"/>
  <c r="AB20" i="18" s="1"/>
  <c r="AE20" i="18" s="1"/>
  <c r="Q20" i="18"/>
  <c r="S71" i="18"/>
  <c r="T71" i="18" s="1"/>
  <c r="U71" i="18" s="1"/>
  <c r="V71" i="18" s="1"/>
  <c r="W71" i="18" s="1"/>
  <c r="X71" i="18" s="1"/>
  <c r="Y71" i="18" s="1"/>
  <c r="Z71" i="18" s="1"/>
  <c r="AA71" i="18" s="1"/>
  <c r="AB71" i="18" s="1"/>
  <c r="AE71" i="18" s="1"/>
  <c r="Q71" i="18"/>
  <c r="Q60" i="18"/>
  <c r="Q59" i="18"/>
  <c r="Q58" i="18"/>
  <c r="Q57" i="18"/>
  <c r="P34" i="18"/>
  <c r="O34" i="18"/>
  <c r="N34" i="18"/>
  <c r="M34" i="18"/>
  <c r="L34" i="18"/>
  <c r="K34" i="18"/>
  <c r="J34" i="18"/>
  <c r="I34" i="18"/>
  <c r="H34" i="18"/>
  <c r="G34" i="18"/>
  <c r="Q33" i="18"/>
  <c r="Q32" i="18"/>
  <c r="Q31" i="18"/>
  <c r="Q30" i="18"/>
  <c r="P49" i="18"/>
  <c r="O49" i="18"/>
  <c r="N49" i="18"/>
  <c r="M49" i="18"/>
  <c r="K49" i="18"/>
  <c r="J49" i="18"/>
  <c r="I49" i="18"/>
  <c r="H49" i="18"/>
  <c r="G49" i="18"/>
  <c r="S48" i="18"/>
  <c r="T48" i="18" s="1"/>
  <c r="U48" i="18" s="1"/>
  <c r="V48" i="18" s="1"/>
  <c r="W48" i="18" s="1"/>
  <c r="X48" i="18" s="1"/>
  <c r="Y48" i="18" s="1"/>
  <c r="Z48" i="18" s="1"/>
  <c r="AA48" i="18" s="1"/>
  <c r="AB48" i="18" s="1"/>
  <c r="AE48" i="18" s="1"/>
  <c r="Q48" i="18"/>
  <c r="P43" i="18"/>
  <c r="O43" i="18"/>
  <c r="N43" i="18"/>
  <c r="M43" i="18"/>
  <c r="L43" i="18"/>
  <c r="K43" i="18"/>
  <c r="J43" i="18"/>
  <c r="I43" i="18"/>
  <c r="H43" i="18"/>
  <c r="G43" i="18"/>
  <c r="S42" i="18"/>
  <c r="T42" i="18" s="1"/>
  <c r="U42" i="18" s="1"/>
  <c r="V42" i="18" s="1"/>
  <c r="W42" i="18" s="1"/>
  <c r="X42" i="18" s="1"/>
  <c r="Y42" i="18" s="1"/>
  <c r="Z42" i="18" s="1"/>
  <c r="AA42" i="18" s="1"/>
  <c r="AB42" i="18" s="1"/>
  <c r="AE42" i="18" s="1"/>
  <c r="Q42" i="18"/>
  <c r="P41" i="18"/>
  <c r="O41" i="18"/>
  <c r="N41" i="18"/>
  <c r="M41" i="18"/>
  <c r="L41" i="18"/>
  <c r="K41" i="18"/>
  <c r="J41" i="18"/>
  <c r="I41" i="18"/>
  <c r="H41" i="18"/>
  <c r="G41" i="18"/>
  <c r="S40" i="18"/>
  <c r="T40" i="18" s="1"/>
  <c r="U40" i="18" s="1"/>
  <c r="V40" i="18" s="1"/>
  <c r="W40" i="18" s="1"/>
  <c r="X40" i="18" s="1"/>
  <c r="Y40" i="18" s="1"/>
  <c r="Z40" i="18" s="1"/>
  <c r="AA40" i="18" s="1"/>
  <c r="AB40" i="18" s="1"/>
  <c r="AE40" i="18" s="1"/>
  <c r="Q40" i="18"/>
  <c r="P39" i="18"/>
  <c r="O39" i="18"/>
  <c r="N39" i="18"/>
  <c r="M39" i="18"/>
  <c r="L39" i="18"/>
  <c r="K39" i="18"/>
  <c r="J39" i="18"/>
  <c r="I39" i="18"/>
  <c r="H39" i="18"/>
  <c r="G39" i="18"/>
  <c r="S38" i="18"/>
  <c r="T38" i="18" s="1"/>
  <c r="U38" i="18" s="1"/>
  <c r="V38" i="18" s="1"/>
  <c r="W38" i="18" s="1"/>
  <c r="X38" i="18" s="1"/>
  <c r="Y38" i="18" s="1"/>
  <c r="Z38" i="18" s="1"/>
  <c r="AA38" i="18" s="1"/>
  <c r="AB38" i="18" s="1"/>
  <c r="AE38" i="18" s="1"/>
  <c r="Q38" i="18"/>
  <c r="P37" i="18"/>
  <c r="O37" i="18"/>
  <c r="N37" i="18"/>
  <c r="M37" i="18"/>
  <c r="L37" i="18"/>
  <c r="K37" i="18"/>
  <c r="J37" i="18"/>
  <c r="I37" i="18"/>
  <c r="H37" i="18"/>
  <c r="G37" i="18"/>
  <c r="S36" i="18"/>
  <c r="T36" i="18" s="1"/>
  <c r="U36" i="18" s="1"/>
  <c r="V36" i="18" s="1"/>
  <c r="W36" i="18" s="1"/>
  <c r="X36" i="18" s="1"/>
  <c r="Y36" i="18" s="1"/>
  <c r="Z36" i="18" s="1"/>
  <c r="AA36" i="18" s="1"/>
  <c r="AB36" i="18" s="1"/>
  <c r="AE36" i="18" s="1"/>
  <c r="Q36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E21" i="18" s="1"/>
  <c r="Q21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AE14" i="18" s="1"/>
  <c r="Q14" i="18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AE13" i="18" s="1"/>
  <c r="Q13" i="18"/>
  <c r="Q147" i="18" l="1"/>
  <c r="AE16" i="18"/>
  <c r="P148" i="18"/>
  <c r="Q148" i="18" s="1"/>
  <c r="Q116" i="18"/>
  <c r="Q151" i="18"/>
  <c r="AC33" i="18"/>
  <c r="AE33" i="18"/>
  <c r="AC32" i="18"/>
  <c r="AE32" i="18"/>
  <c r="AE31" i="18"/>
  <c r="AC31" i="18"/>
  <c r="AE30" i="18"/>
  <c r="AC30" i="18"/>
  <c r="AC60" i="18"/>
  <c r="AE60" i="18"/>
  <c r="AC59" i="18"/>
  <c r="AE59" i="18"/>
  <c r="AE58" i="18"/>
  <c r="AC58" i="18"/>
  <c r="AC57" i="18"/>
  <c r="AE57" i="18"/>
  <c r="AC20" i="18"/>
  <c r="AC71" i="18"/>
  <c r="AC48" i="18"/>
  <c r="AC36" i="18"/>
  <c r="AC42" i="18"/>
  <c r="AC38" i="18"/>
  <c r="AC40" i="18"/>
  <c r="AC21" i="18"/>
  <c r="AC14" i="18"/>
  <c r="AC13" i="18"/>
  <c r="P115" i="18" l="1"/>
  <c r="P114" i="18"/>
  <c r="C115" i="18"/>
  <c r="D115" i="18"/>
  <c r="E115" i="18"/>
  <c r="F115" i="18"/>
  <c r="H115" i="18"/>
  <c r="I115" i="18"/>
  <c r="J115" i="18"/>
  <c r="K115" i="18"/>
  <c r="L115" i="18"/>
  <c r="M115" i="18"/>
  <c r="N115" i="18"/>
  <c r="O115" i="18"/>
  <c r="G115" i="18"/>
  <c r="G114" i="18"/>
  <c r="H145" i="18"/>
  <c r="I145" i="18"/>
  <c r="J145" i="18"/>
  <c r="K145" i="18"/>
  <c r="L145" i="18"/>
  <c r="M145" i="18"/>
  <c r="N145" i="18"/>
  <c r="O145" i="18"/>
  <c r="P145" i="18"/>
  <c r="G145" i="18"/>
  <c r="H144" i="18"/>
  <c r="I144" i="18"/>
  <c r="J144" i="18"/>
  <c r="K144" i="18"/>
  <c r="L144" i="18"/>
  <c r="M144" i="18"/>
  <c r="N144" i="18"/>
  <c r="O144" i="18"/>
  <c r="P144" i="18"/>
  <c r="G144" i="18"/>
  <c r="H141" i="18"/>
  <c r="I141" i="18"/>
  <c r="J141" i="18"/>
  <c r="K141" i="18"/>
  <c r="L141" i="18"/>
  <c r="M141" i="18"/>
  <c r="N141" i="18"/>
  <c r="O141" i="18"/>
  <c r="P141" i="18"/>
  <c r="G141" i="18"/>
  <c r="H142" i="18"/>
  <c r="I142" i="18"/>
  <c r="J142" i="18"/>
  <c r="K142" i="18"/>
  <c r="L142" i="18"/>
  <c r="M142" i="18"/>
  <c r="N142" i="18"/>
  <c r="O142" i="18"/>
  <c r="P142" i="18"/>
  <c r="G142" i="18"/>
  <c r="H140" i="18"/>
  <c r="I140" i="18"/>
  <c r="J140" i="18"/>
  <c r="K140" i="18"/>
  <c r="L140" i="18"/>
  <c r="M140" i="18"/>
  <c r="N140" i="18"/>
  <c r="O140" i="18"/>
  <c r="P140" i="18"/>
  <c r="G140" i="18"/>
  <c r="H139" i="18"/>
  <c r="I139" i="18"/>
  <c r="J139" i="18"/>
  <c r="K139" i="18"/>
  <c r="L139" i="18"/>
  <c r="M139" i="18"/>
  <c r="N139" i="18"/>
  <c r="O139" i="18"/>
  <c r="P139" i="18"/>
  <c r="G139" i="18"/>
  <c r="R187" i="18"/>
  <c r="H136" i="18"/>
  <c r="I136" i="18"/>
  <c r="J136" i="18"/>
  <c r="K136" i="18"/>
  <c r="L136" i="18"/>
  <c r="M136" i="18"/>
  <c r="N136" i="18"/>
  <c r="O136" i="18"/>
  <c r="P136" i="18"/>
  <c r="G136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B136" i="18"/>
  <c r="B135" i="18"/>
  <c r="K202" i="18"/>
  <c r="K201" i="18"/>
  <c r="K200" i="18"/>
  <c r="S70" i="18"/>
  <c r="AD53" i="18"/>
  <c r="R53" i="18"/>
  <c r="S53" i="18" s="1"/>
  <c r="T53" i="18" s="1"/>
  <c r="U53" i="18" s="1"/>
  <c r="V53" i="18" s="1"/>
  <c r="W53" i="18" s="1"/>
  <c r="X53" i="18" s="1"/>
  <c r="Y53" i="18" s="1"/>
  <c r="Z53" i="18" s="1"/>
  <c r="AA53" i="18" s="1"/>
  <c r="AB53" i="18" s="1"/>
  <c r="Q53" i="18"/>
  <c r="G124" i="18"/>
  <c r="H124" i="18"/>
  <c r="I124" i="18"/>
  <c r="J124" i="18"/>
  <c r="K124" i="18"/>
  <c r="L124" i="18"/>
  <c r="M124" i="18"/>
  <c r="N124" i="18"/>
  <c r="O124" i="18"/>
  <c r="P124" i="18"/>
  <c r="F132" i="18"/>
  <c r="H132" i="18"/>
  <c r="I132" i="18"/>
  <c r="J132" i="18"/>
  <c r="K132" i="18"/>
  <c r="L132" i="18"/>
  <c r="M132" i="18"/>
  <c r="N132" i="18"/>
  <c r="O132" i="18"/>
  <c r="P132" i="18"/>
  <c r="G132" i="18"/>
  <c r="F131" i="18"/>
  <c r="H131" i="18"/>
  <c r="I131" i="18"/>
  <c r="J131" i="18"/>
  <c r="K131" i="18"/>
  <c r="L131" i="18"/>
  <c r="M131" i="18"/>
  <c r="N131" i="18"/>
  <c r="O131" i="18"/>
  <c r="P131" i="18"/>
  <c r="G131" i="18"/>
  <c r="Q139" i="18" l="1"/>
  <c r="Q115" i="18"/>
  <c r="Q144" i="18"/>
  <c r="Q140" i="18"/>
  <c r="Q141" i="18"/>
  <c r="Q145" i="18"/>
  <c r="Q142" i="18"/>
  <c r="Q134" i="18"/>
  <c r="Q135" i="18"/>
  <c r="Q136" i="18"/>
  <c r="Q124" i="18"/>
  <c r="AC53" i="18"/>
  <c r="AE53" i="18"/>
  <c r="Q132" i="18"/>
  <c r="Q131" i="18"/>
  <c r="R9" i="18"/>
  <c r="R10" i="18"/>
  <c r="R12" i="18"/>
  <c r="R15" i="18"/>
  <c r="R17" i="18"/>
  <c r="R18" i="18"/>
  <c r="R23" i="18"/>
  <c r="R25" i="18"/>
  <c r="R26" i="18"/>
  <c r="R27" i="18"/>
  <c r="R28" i="18"/>
  <c r="R44" i="18"/>
  <c r="R46" i="18"/>
  <c r="R50" i="18"/>
  <c r="R52" i="18"/>
  <c r="S52" i="18" s="1"/>
  <c r="T52" i="18" s="1"/>
  <c r="U52" i="18" s="1"/>
  <c r="V52" i="18" s="1"/>
  <c r="W52" i="18" s="1"/>
  <c r="X52" i="18" s="1"/>
  <c r="Y52" i="18" s="1"/>
  <c r="Z52" i="18" s="1"/>
  <c r="AA52" i="18" s="1"/>
  <c r="AB52" i="18" s="1"/>
  <c r="R54" i="18"/>
  <c r="R55" i="18"/>
  <c r="R64" i="18"/>
  <c r="R68" i="18"/>
  <c r="R7" i="18"/>
  <c r="R6" i="18"/>
  <c r="AD9" i="18"/>
  <c r="AD10" i="18"/>
  <c r="AD11" i="18"/>
  <c r="AD12" i="18"/>
  <c r="AD15" i="18"/>
  <c r="AD17" i="18"/>
  <c r="AD18" i="18"/>
  <c r="AD23" i="18"/>
  <c r="AD25" i="18"/>
  <c r="AD26" i="18"/>
  <c r="AD27" i="18"/>
  <c r="AD28" i="18"/>
  <c r="AD44" i="18"/>
  <c r="AD46" i="18"/>
  <c r="AD50" i="18"/>
  <c r="AD52" i="18"/>
  <c r="AD54" i="18"/>
  <c r="AD55" i="18"/>
  <c r="AD64" i="18"/>
  <c r="AD68" i="18"/>
  <c r="AD70" i="18"/>
  <c r="AD72" i="18"/>
  <c r="AD78" i="18"/>
  <c r="AD79" i="18"/>
  <c r="AD81" i="18"/>
  <c r="AD82" i="18"/>
  <c r="AD83" i="18"/>
  <c r="AD84" i="18"/>
  <c r="AD86" i="18"/>
  <c r="AD87" i="18"/>
  <c r="AD88" i="18"/>
  <c r="AD90" i="18"/>
  <c r="AD91" i="18"/>
  <c r="AD92" i="18"/>
  <c r="AD93" i="18"/>
  <c r="AD96" i="18"/>
  <c r="AD98" i="18"/>
  <c r="AD100" i="18"/>
  <c r="AD101" i="18"/>
  <c r="AD102" i="18"/>
  <c r="AD103" i="18"/>
  <c r="AD104" i="18"/>
  <c r="AD106" i="18"/>
  <c r="AD107" i="18"/>
  <c r="AD108" i="18"/>
  <c r="AD7" i="18"/>
  <c r="AD6" i="18"/>
  <c r="G121" i="18" l="1"/>
  <c r="F121" i="18"/>
  <c r="H121" i="18"/>
  <c r="I121" i="18"/>
  <c r="J121" i="18"/>
  <c r="K121" i="18"/>
  <c r="L121" i="18"/>
  <c r="M121" i="18"/>
  <c r="N121" i="18"/>
  <c r="O121" i="18"/>
  <c r="P121" i="18"/>
  <c r="Q121" i="18" l="1"/>
  <c r="H118" i="18"/>
  <c r="I118" i="18"/>
  <c r="J118" i="18"/>
  <c r="K118" i="18"/>
  <c r="L118" i="18"/>
  <c r="M118" i="18"/>
  <c r="N118" i="18"/>
  <c r="O118" i="18"/>
  <c r="P118" i="18"/>
  <c r="H119" i="18"/>
  <c r="I119" i="18"/>
  <c r="J119" i="18"/>
  <c r="K119" i="18"/>
  <c r="L119" i="18"/>
  <c r="M119" i="18"/>
  <c r="N119" i="18"/>
  <c r="O119" i="18"/>
  <c r="P119" i="18"/>
  <c r="G119" i="18"/>
  <c r="G118" i="18"/>
  <c r="S50" i="18"/>
  <c r="T50" i="18" s="1"/>
  <c r="U50" i="18" s="1"/>
  <c r="V50" i="18" s="1"/>
  <c r="W50" i="18" s="1"/>
  <c r="X50" i="18" s="1"/>
  <c r="Y50" i="18" s="1"/>
  <c r="Z50" i="18" s="1"/>
  <c r="AA50" i="18" s="1"/>
  <c r="AB50" i="18" s="1"/>
  <c r="Q50" i="18"/>
  <c r="P51" i="18"/>
  <c r="O51" i="18"/>
  <c r="N51" i="18"/>
  <c r="M51" i="18"/>
  <c r="L51" i="18"/>
  <c r="K51" i="18"/>
  <c r="J51" i="18"/>
  <c r="I51" i="18"/>
  <c r="H51" i="18"/>
  <c r="G51" i="18"/>
  <c r="Q119" i="18" l="1"/>
  <c r="Q118" i="18"/>
  <c r="AE50" i="18"/>
  <c r="AC50" i="18"/>
  <c r="H123" i="18"/>
  <c r="I123" i="18"/>
  <c r="J123" i="18"/>
  <c r="K123" i="18"/>
  <c r="L123" i="18"/>
  <c r="M123" i="18"/>
  <c r="N123" i="18"/>
  <c r="O123" i="18"/>
  <c r="P123" i="18"/>
  <c r="G123" i="18"/>
  <c r="H122" i="18"/>
  <c r="I122" i="18"/>
  <c r="J122" i="18"/>
  <c r="K122" i="18"/>
  <c r="L122" i="18"/>
  <c r="M122" i="18"/>
  <c r="N122" i="18"/>
  <c r="O122" i="18"/>
  <c r="P122" i="18"/>
  <c r="G122" i="18"/>
  <c r="Q122" i="18" l="1"/>
  <c r="Q123" i="18"/>
  <c r="AE95" i="18"/>
  <c r="C195" i="18" l="1"/>
  <c r="D195" i="18"/>
  <c r="E195" i="18"/>
  <c r="F195" i="18"/>
  <c r="G195" i="18"/>
  <c r="H195" i="18"/>
  <c r="I195" i="18"/>
  <c r="J195" i="18"/>
  <c r="K195" i="18"/>
  <c r="L195" i="18"/>
  <c r="M195" i="18"/>
  <c r="N195" i="18"/>
  <c r="O195" i="18"/>
  <c r="P195" i="18"/>
  <c r="C9" i="15"/>
  <c r="D96" i="18"/>
  <c r="E96" i="18"/>
  <c r="E126" i="18" s="1"/>
  <c r="E127" i="18" s="1"/>
  <c r="F96" i="18"/>
  <c r="F126" i="18" s="1"/>
  <c r="F127" i="18" s="1"/>
  <c r="G96" i="18"/>
  <c r="G126" i="18" s="1"/>
  <c r="G127" i="18" s="1"/>
  <c r="H96" i="18"/>
  <c r="H126" i="18" s="1"/>
  <c r="H127" i="18" s="1"/>
  <c r="I96" i="18"/>
  <c r="I126" i="18" s="1"/>
  <c r="I127" i="18" s="1"/>
  <c r="J96" i="18"/>
  <c r="J126" i="18" s="1"/>
  <c r="J127" i="18" s="1"/>
  <c r="K96" i="18"/>
  <c r="K126" i="18" s="1"/>
  <c r="K127" i="18" s="1"/>
  <c r="L96" i="18"/>
  <c r="L126" i="18" s="1"/>
  <c r="L127" i="18" s="1"/>
  <c r="M96" i="18"/>
  <c r="M126" i="18" s="1"/>
  <c r="M127" i="18" s="1"/>
  <c r="N96" i="18"/>
  <c r="N126" i="18" s="1"/>
  <c r="N127" i="18" s="1"/>
  <c r="O96" i="18"/>
  <c r="O126" i="18" s="1"/>
  <c r="O127" i="18" s="1"/>
  <c r="P96" i="18"/>
  <c r="P126" i="18" s="1"/>
  <c r="C96" i="18"/>
  <c r="S72" i="18"/>
  <c r="S96" i="18" s="1"/>
  <c r="S126" i="18" s="1"/>
  <c r="S127" i="18" s="1"/>
  <c r="Q72" i="18"/>
  <c r="N128" i="18" l="1"/>
  <c r="N129" i="18" s="1"/>
  <c r="J128" i="18"/>
  <c r="J129" i="18" s="1"/>
  <c r="L128" i="18"/>
  <c r="L129" i="18" s="1"/>
  <c r="H128" i="18"/>
  <c r="H129" i="18" s="1"/>
  <c r="M128" i="18"/>
  <c r="M129" i="18" s="1"/>
  <c r="I128" i="18"/>
  <c r="I129" i="18" s="1"/>
  <c r="F128" i="18"/>
  <c r="F129" i="18" s="1"/>
  <c r="O128" i="18"/>
  <c r="O129" i="18" s="1"/>
  <c r="K128" i="18"/>
  <c r="K129" i="18" s="1"/>
  <c r="G128" i="18"/>
  <c r="G129" i="18" s="1"/>
  <c r="P127" i="18"/>
  <c r="Q126" i="18"/>
  <c r="T72" i="18"/>
  <c r="U72" i="18" s="1"/>
  <c r="V72" i="18" s="1"/>
  <c r="W72" i="18" s="1"/>
  <c r="P128" i="18" l="1"/>
  <c r="Q127" i="18"/>
  <c r="U96" i="18"/>
  <c r="X72" i="18"/>
  <c r="W96" i="18"/>
  <c r="V96" i="18"/>
  <c r="T96" i="18"/>
  <c r="C106" i="18"/>
  <c r="D106" i="18"/>
  <c r="E106" i="18"/>
  <c r="F106" i="18"/>
  <c r="G106" i="18"/>
  <c r="H106" i="18"/>
  <c r="I106" i="18"/>
  <c r="J106" i="18"/>
  <c r="K106" i="18"/>
  <c r="L106" i="18"/>
  <c r="M106" i="18"/>
  <c r="N106" i="18"/>
  <c r="O106" i="18"/>
  <c r="C107" i="18"/>
  <c r="D107" i="18"/>
  <c r="E107" i="18"/>
  <c r="F107" i="18"/>
  <c r="G107" i="18"/>
  <c r="H107" i="18"/>
  <c r="I107" i="18"/>
  <c r="J107" i="18"/>
  <c r="K107" i="18"/>
  <c r="L107" i="18"/>
  <c r="M107" i="18"/>
  <c r="N107" i="18"/>
  <c r="O107" i="18"/>
  <c r="C108" i="18"/>
  <c r="D108" i="18"/>
  <c r="E108" i="18"/>
  <c r="F108" i="18"/>
  <c r="G108" i="18"/>
  <c r="H108" i="18"/>
  <c r="I108" i="18"/>
  <c r="J108" i="18"/>
  <c r="K108" i="18"/>
  <c r="L108" i="18"/>
  <c r="M108" i="18"/>
  <c r="N108" i="18"/>
  <c r="O108" i="18"/>
  <c r="P108" i="18"/>
  <c r="P107" i="18"/>
  <c r="P106" i="18"/>
  <c r="C114" i="18"/>
  <c r="D114" i="18"/>
  <c r="E114" i="18"/>
  <c r="F114" i="18"/>
  <c r="H114" i="18"/>
  <c r="I114" i="18"/>
  <c r="J114" i="18"/>
  <c r="K114" i="18"/>
  <c r="L114" i="18"/>
  <c r="M114" i="18"/>
  <c r="N114" i="18"/>
  <c r="O114" i="18"/>
  <c r="C112" i="18"/>
  <c r="D112" i="18"/>
  <c r="E112" i="18"/>
  <c r="C113" i="18"/>
  <c r="D113" i="18"/>
  <c r="E113" i="18"/>
  <c r="F113" i="18"/>
  <c r="G113" i="18"/>
  <c r="H113" i="18"/>
  <c r="I113" i="18"/>
  <c r="J113" i="18"/>
  <c r="K113" i="18"/>
  <c r="L113" i="18"/>
  <c r="M113" i="18"/>
  <c r="N113" i="18"/>
  <c r="O113" i="18"/>
  <c r="F112" i="18"/>
  <c r="G112" i="18"/>
  <c r="H112" i="18"/>
  <c r="I112" i="18"/>
  <c r="J112" i="18"/>
  <c r="K112" i="18"/>
  <c r="L112" i="18"/>
  <c r="M112" i="18"/>
  <c r="N112" i="18"/>
  <c r="O112" i="18"/>
  <c r="P113" i="18"/>
  <c r="G69" i="18"/>
  <c r="G65" i="18"/>
  <c r="G47" i="18"/>
  <c r="G11" i="18"/>
  <c r="G8" i="18"/>
  <c r="G45" i="18"/>
  <c r="Q108" i="18" l="1"/>
  <c r="Y72" i="18"/>
  <c r="X96" i="18"/>
  <c r="Q106" i="18"/>
  <c r="Q107" i="18"/>
  <c r="Q113" i="18"/>
  <c r="Q114" i="18"/>
  <c r="P112" i="18"/>
  <c r="Q112" i="18" s="1"/>
  <c r="C210" i="18"/>
  <c r="D210" i="18"/>
  <c r="E210" i="18"/>
  <c r="F210" i="18"/>
  <c r="C211" i="18"/>
  <c r="D211" i="18"/>
  <c r="E211" i="18"/>
  <c r="F211" i="18"/>
  <c r="C212" i="18"/>
  <c r="D212" i="18"/>
  <c r="E212" i="18"/>
  <c r="F212" i="18"/>
  <c r="H212" i="18"/>
  <c r="I212" i="18"/>
  <c r="J212" i="18"/>
  <c r="K212" i="18"/>
  <c r="L212" i="18"/>
  <c r="M212" i="18"/>
  <c r="N212" i="18"/>
  <c r="O212" i="18"/>
  <c r="P212" i="18"/>
  <c r="G212" i="18"/>
  <c r="H211" i="18"/>
  <c r="I211" i="18"/>
  <c r="J211" i="18"/>
  <c r="K211" i="18"/>
  <c r="L211" i="18"/>
  <c r="M211" i="18"/>
  <c r="N211" i="18"/>
  <c r="O211" i="18"/>
  <c r="P211" i="18"/>
  <c r="G211" i="18"/>
  <c r="H210" i="18"/>
  <c r="I210" i="18"/>
  <c r="J210" i="18"/>
  <c r="K210" i="18"/>
  <c r="L210" i="18"/>
  <c r="M210" i="18"/>
  <c r="N210" i="18"/>
  <c r="O210" i="18"/>
  <c r="P210" i="18"/>
  <c r="G210" i="18"/>
  <c r="H79" i="18"/>
  <c r="I79" i="18"/>
  <c r="J79" i="18"/>
  <c r="K79" i="18"/>
  <c r="L79" i="18"/>
  <c r="M79" i="18"/>
  <c r="N79" i="18"/>
  <c r="O79" i="18"/>
  <c r="P79" i="18"/>
  <c r="C79" i="18"/>
  <c r="D79" i="18"/>
  <c r="E79" i="18"/>
  <c r="F79" i="18"/>
  <c r="G79" i="18"/>
  <c r="G81" i="18"/>
  <c r="G194" i="18" s="1"/>
  <c r="H78" i="18"/>
  <c r="H188" i="18" s="1"/>
  <c r="I78" i="18"/>
  <c r="I188" i="18" s="1"/>
  <c r="J78" i="18"/>
  <c r="J188" i="18" s="1"/>
  <c r="K78" i="18"/>
  <c r="K188" i="18" s="1"/>
  <c r="L78" i="18"/>
  <c r="L188" i="18" s="1"/>
  <c r="M78" i="18"/>
  <c r="M188" i="18" s="1"/>
  <c r="N78" i="18"/>
  <c r="N188" i="18" s="1"/>
  <c r="O78" i="18"/>
  <c r="O188" i="18" s="1"/>
  <c r="P78" i="18"/>
  <c r="P188" i="18" s="1"/>
  <c r="C78" i="18"/>
  <c r="C188" i="18" s="1"/>
  <c r="D78" i="18"/>
  <c r="D188" i="18" s="1"/>
  <c r="E78" i="18"/>
  <c r="E188" i="18" s="1"/>
  <c r="F78" i="18"/>
  <c r="F188" i="18" s="1"/>
  <c r="G78" i="18"/>
  <c r="G188" i="18" s="1"/>
  <c r="P69" i="18"/>
  <c r="O69" i="18"/>
  <c r="N69" i="18"/>
  <c r="M69" i="18"/>
  <c r="L69" i="18"/>
  <c r="K69" i="18"/>
  <c r="J69" i="18"/>
  <c r="I69" i="18"/>
  <c r="H69" i="18"/>
  <c r="P65" i="18"/>
  <c r="O65" i="18"/>
  <c r="N65" i="18"/>
  <c r="M65" i="18"/>
  <c r="L65" i="18"/>
  <c r="K65" i="18"/>
  <c r="J65" i="18"/>
  <c r="I65" i="18"/>
  <c r="H65" i="18"/>
  <c r="P47" i="18"/>
  <c r="O47" i="18"/>
  <c r="N47" i="18"/>
  <c r="M47" i="18"/>
  <c r="L47" i="18"/>
  <c r="K47" i="18"/>
  <c r="J47" i="18"/>
  <c r="I47" i="18"/>
  <c r="H47" i="18"/>
  <c r="P45" i="18"/>
  <c r="O45" i="18"/>
  <c r="N45" i="18"/>
  <c r="M45" i="18"/>
  <c r="L45" i="18"/>
  <c r="K45" i="18"/>
  <c r="J45" i="18"/>
  <c r="I45" i="18"/>
  <c r="H4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70" i="18"/>
  <c r="S64" i="18"/>
  <c r="Q64" i="18"/>
  <c r="Q188" i="18" l="1"/>
  <c r="Z72" i="18"/>
  <c r="Y96" i="18"/>
  <c r="T64" i="18"/>
  <c r="Q212" i="18"/>
  <c r="Q79" i="18"/>
  <c r="Q78" i="18"/>
  <c r="Q211" i="18"/>
  <c r="Q210" i="18"/>
  <c r="Q52" i="18"/>
  <c r="Q55" i="18"/>
  <c r="AA72" i="18" l="1"/>
  <c r="Z96" i="18"/>
  <c r="U64" i="18"/>
  <c r="I103" i="18"/>
  <c r="J103" i="18"/>
  <c r="K103" i="18"/>
  <c r="L103" i="18"/>
  <c r="M103" i="18"/>
  <c r="N103" i="18"/>
  <c r="O103" i="18"/>
  <c r="P103" i="18"/>
  <c r="I104" i="18"/>
  <c r="J104" i="18"/>
  <c r="K104" i="18"/>
  <c r="L104" i="18"/>
  <c r="M104" i="18"/>
  <c r="N104" i="18"/>
  <c r="O104" i="18"/>
  <c r="P104" i="18"/>
  <c r="I98" i="18"/>
  <c r="I100" i="18" s="1"/>
  <c r="J98" i="18"/>
  <c r="J100" i="18" s="1"/>
  <c r="K98" i="18"/>
  <c r="K100" i="18" s="1"/>
  <c r="L98" i="18"/>
  <c r="L100" i="18" s="1"/>
  <c r="M98" i="18"/>
  <c r="M100" i="18" s="1"/>
  <c r="N98" i="18"/>
  <c r="N100" i="18" s="1"/>
  <c r="O98" i="18"/>
  <c r="O100" i="18" s="1"/>
  <c r="P98" i="18"/>
  <c r="P100" i="18" s="1"/>
  <c r="I101" i="18"/>
  <c r="J101" i="18"/>
  <c r="K101" i="18"/>
  <c r="L101" i="18"/>
  <c r="M101" i="18"/>
  <c r="N101" i="18"/>
  <c r="O101" i="18"/>
  <c r="P101" i="18"/>
  <c r="I102" i="18"/>
  <c r="J102" i="18"/>
  <c r="K102" i="18"/>
  <c r="L102" i="18"/>
  <c r="M102" i="18"/>
  <c r="N102" i="18"/>
  <c r="O102" i="18"/>
  <c r="P102" i="18"/>
  <c r="C101" i="18"/>
  <c r="D101" i="18"/>
  <c r="E101" i="18"/>
  <c r="F101" i="18"/>
  <c r="G101" i="18"/>
  <c r="C102" i="18"/>
  <c r="D102" i="18"/>
  <c r="E102" i="18"/>
  <c r="F102" i="18"/>
  <c r="G102" i="18"/>
  <c r="C103" i="18"/>
  <c r="D103" i="18"/>
  <c r="E103" i="18"/>
  <c r="F103" i="18"/>
  <c r="G103" i="18"/>
  <c r="C104" i="18"/>
  <c r="D104" i="18"/>
  <c r="E104" i="18"/>
  <c r="F104" i="18"/>
  <c r="G104" i="18"/>
  <c r="H104" i="18"/>
  <c r="H103" i="18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AE28" i="18" s="1"/>
  <c r="Q28" i="18"/>
  <c r="S27" i="18"/>
  <c r="T27" i="18" s="1"/>
  <c r="U27" i="18" s="1"/>
  <c r="V27" i="18" s="1"/>
  <c r="W27" i="18" s="1"/>
  <c r="X27" i="18" s="1"/>
  <c r="Y27" i="18" s="1"/>
  <c r="Z27" i="18" s="1"/>
  <c r="AA27" i="18" s="1"/>
  <c r="AB27" i="18" s="1"/>
  <c r="S26" i="18"/>
  <c r="Q25" i="18"/>
  <c r="C98" i="18"/>
  <c r="C100" i="18" s="1"/>
  <c r="D98" i="18"/>
  <c r="D100" i="18" s="1"/>
  <c r="E98" i="18"/>
  <c r="E100" i="18" s="1"/>
  <c r="F98" i="18"/>
  <c r="F100" i="18" s="1"/>
  <c r="G98" i="18"/>
  <c r="G100" i="18" s="1"/>
  <c r="H98" i="18"/>
  <c r="H100" i="18" s="1"/>
  <c r="H102" i="18"/>
  <c r="H101" i="18"/>
  <c r="AE52" i="18" l="1"/>
  <c r="AC52" i="18"/>
  <c r="AC27" i="18"/>
  <c r="AE27" i="18"/>
  <c r="AB72" i="18"/>
  <c r="AE72" i="18" s="1"/>
  <c r="AA96" i="18"/>
  <c r="V64" i="18"/>
  <c r="Q103" i="18"/>
  <c r="Q104" i="18"/>
  <c r="Q102" i="18"/>
  <c r="Q100" i="18"/>
  <c r="Q101" i="18"/>
  <c r="AC28" i="18"/>
  <c r="Q27" i="18"/>
  <c r="Q26" i="18"/>
  <c r="Q98" i="18"/>
  <c r="S25" i="18"/>
  <c r="T26" i="18"/>
  <c r="Q96" i="18"/>
  <c r="Q187" i="18"/>
  <c r="T25" i="18" l="1"/>
  <c r="S98" i="18"/>
  <c r="AB96" i="18"/>
  <c r="AC72" i="18"/>
  <c r="U26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68" i="18"/>
  <c r="Q54" i="18"/>
  <c r="Q46" i="18"/>
  <c r="Q44" i="18"/>
  <c r="Q23" i="18"/>
  <c r="Q18" i="18"/>
  <c r="Q17" i="18"/>
  <c r="Q15" i="18"/>
  <c r="Q12" i="18"/>
  <c r="Q10" i="18"/>
  <c r="Q9" i="18"/>
  <c r="Q7" i="18"/>
  <c r="Q6" i="18"/>
  <c r="S23" i="18"/>
  <c r="S44" i="18"/>
  <c r="S46" i="18"/>
  <c r="S142" i="18" s="1"/>
  <c r="S54" i="18"/>
  <c r="T54" i="18" s="1"/>
  <c r="U54" i="18" s="1"/>
  <c r="V54" i="18" s="1"/>
  <c r="W54" i="18" s="1"/>
  <c r="X54" i="18" s="1"/>
  <c r="Y54" i="18" s="1"/>
  <c r="Z54" i="18" s="1"/>
  <c r="AA54" i="18" s="1"/>
  <c r="AB54" i="18" s="1"/>
  <c r="AE54" i="18" s="1"/>
  <c r="S55" i="18"/>
  <c r="T55" i="18" s="1"/>
  <c r="U55" i="18" s="1"/>
  <c r="V55" i="18" s="1"/>
  <c r="W55" i="18" s="1"/>
  <c r="X55" i="18" s="1"/>
  <c r="Y55" i="18" s="1"/>
  <c r="Z55" i="18" s="1"/>
  <c r="AA55" i="18" s="1"/>
  <c r="AB55" i="18" s="1"/>
  <c r="AE55" i="18" s="1"/>
  <c r="W64" i="18"/>
  <c r="O94" i="18"/>
  <c r="O192" i="18" s="1"/>
  <c r="O93" i="18"/>
  <c r="O91" i="18"/>
  <c r="O90" i="18"/>
  <c r="O88" i="18"/>
  <c r="O193" i="18" s="1"/>
  <c r="O87" i="18"/>
  <c r="O86" i="18"/>
  <c r="O84" i="18"/>
  <c r="O83" i="18"/>
  <c r="O190" i="18" s="1"/>
  <c r="O82" i="18"/>
  <c r="O81" i="18"/>
  <c r="S141" i="18" l="1"/>
  <c r="S151" i="18"/>
  <c r="S116" i="18"/>
  <c r="T98" i="18"/>
  <c r="S135" i="18"/>
  <c r="S136" i="18"/>
  <c r="S134" i="18"/>
  <c r="S124" i="18"/>
  <c r="P129" i="18"/>
  <c r="Q129" i="18" s="1"/>
  <c r="Q128" i="18"/>
  <c r="S118" i="18"/>
  <c r="S132" i="18"/>
  <c r="S131" i="18"/>
  <c r="T23" i="18"/>
  <c r="S175" i="18"/>
  <c r="AE96" i="18"/>
  <c r="O189" i="18"/>
  <c r="O194" i="18"/>
  <c r="U25" i="18"/>
  <c r="AC96" i="18"/>
  <c r="T175" i="18" s="1"/>
  <c r="T46" i="18"/>
  <c r="T142" i="18" s="1"/>
  <c r="X64" i="18"/>
  <c r="T44" i="18"/>
  <c r="S112" i="18"/>
  <c r="V26" i="18"/>
  <c r="AC54" i="18"/>
  <c r="AC55" i="18"/>
  <c r="AC9" i="18"/>
  <c r="O92" i="18"/>
  <c r="O191" i="18" s="1"/>
  <c r="D88" i="18"/>
  <c r="E88" i="18"/>
  <c r="F88" i="18"/>
  <c r="G88" i="18"/>
  <c r="G193" i="18" s="1"/>
  <c r="H88" i="18"/>
  <c r="H193" i="18" s="1"/>
  <c r="I88" i="18"/>
  <c r="I193" i="18" s="1"/>
  <c r="J88" i="18"/>
  <c r="J193" i="18" s="1"/>
  <c r="K88" i="18"/>
  <c r="K193" i="18" s="1"/>
  <c r="L88" i="18"/>
  <c r="L193" i="18" s="1"/>
  <c r="M88" i="18"/>
  <c r="M193" i="18" s="1"/>
  <c r="N88" i="18"/>
  <c r="N193" i="18" s="1"/>
  <c r="P88" i="18"/>
  <c r="C88" i="18"/>
  <c r="C87" i="18"/>
  <c r="T141" i="18" l="1"/>
  <c r="T151" i="18"/>
  <c r="T116" i="18"/>
  <c r="T134" i="18"/>
  <c r="T136" i="18"/>
  <c r="T135" i="18"/>
  <c r="T124" i="18"/>
  <c r="T118" i="18"/>
  <c r="T132" i="18"/>
  <c r="T131" i="18"/>
  <c r="U23" i="18"/>
  <c r="R175" i="18"/>
  <c r="P199" i="18" s="1"/>
  <c r="V25" i="18"/>
  <c r="U98" i="18"/>
  <c r="U46" i="18"/>
  <c r="U142" i="18" s="1"/>
  <c r="U44" i="18"/>
  <c r="U116" i="18" s="1"/>
  <c r="T112" i="18"/>
  <c r="Y64" i="18"/>
  <c r="W26" i="18"/>
  <c r="P193" i="18"/>
  <c r="Q193" i="18" s="1"/>
  <c r="Q88" i="18"/>
  <c r="D87" i="18"/>
  <c r="E87" i="18"/>
  <c r="F87" i="18"/>
  <c r="G87" i="18"/>
  <c r="H87" i="18"/>
  <c r="I87" i="18"/>
  <c r="J87" i="18"/>
  <c r="K87" i="18"/>
  <c r="L87" i="18"/>
  <c r="M87" i="18"/>
  <c r="N87" i="18"/>
  <c r="P87" i="18"/>
  <c r="D86" i="18"/>
  <c r="E86" i="18"/>
  <c r="F86" i="18"/>
  <c r="G86" i="18"/>
  <c r="H86" i="18"/>
  <c r="I86" i="18"/>
  <c r="J86" i="18"/>
  <c r="K86" i="18"/>
  <c r="L86" i="18"/>
  <c r="M86" i="18"/>
  <c r="N86" i="18"/>
  <c r="P86" i="18"/>
  <c r="C86" i="18"/>
  <c r="U141" i="18" l="1"/>
  <c r="U151" i="18"/>
  <c r="U136" i="18"/>
  <c r="U135" i="18"/>
  <c r="U134" i="18"/>
  <c r="U124" i="18"/>
  <c r="U118" i="18"/>
  <c r="U132" i="18"/>
  <c r="U131" i="18"/>
  <c r="V23" i="18"/>
  <c r="W25" i="18"/>
  <c r="V98" i="18"/>
  <c r="V46" i="18"/>
  <c r="V142" i="18" s="1"/>
  <c r="V44" i="18"/>
  <c r="U112" i="18"/>
  <c r="Z64" i="18"/>
  <c r="X26" i="18"/>
  <c r="Q86" i="18"/>
  <c r="Q87" i="18"/>
  <c r="C46" i="15"/>
  <c r="V141" i="18" l="1"/>
  <c r="V151" i="18"/>
  <c r="V116" i="18"/>
  <c r="V124" i="18"/>
  <c r="V136" i="18"/>
  <c r="V135" i="18"/>
  <c r="V134" i="18"/>
  <c r="V118" i="18"/>
  <c r="V132" i="18"/>
  <c r="V131" i="18"/>
  <c r="W23" i="18"/>
  <c r="X25" i="18"/>
  <c r="W98" i="18"/>
  <c r="W46" i="18"/>
  <c r="W142" i="18" s="1"/>
  <c r="W44" i="18"/>
  <c r="V112" i="18"/>
  <c r="AA64" i="18"/>
  <c r="Y26" i="18"/>
  <c r="S187" i="18"/>
  <c r="C81" i="18"/>
  <c r="D81" i="18"/>
  <c r="E81" i="18"/>
  <c r="F81" i="18"/>
  <c r="H81" i="18"/>
  <c r="I81" i="18"/>
  <c r="J81" i="18"/>
  <c r="K81" i="18"/>
  <c r="L81" i="18"/>
  <c r="L194" i="18" s="1"/>
  <c r="M81" i="18"/>
  <c r="N81" i="18"/>
  <c r="N194" i="18" s="1"/>
  <c r="P81" i="18"/>
  <c r="D94" i="18"/>
  <c r="D192" i="18" s="1"/>
  <c r="E94" i="18"/>
  <c r="E192" i="18" s="1"/>
  <c r="F94" i="18"/>
  <c r="F192" i="18" s="1"/>
  <c r="G94" i="18"/>
  <c r="H94" i="18"/>
  <c r="H192" i="18" s="1"/>
  <c r="I94" i="18"/>
  <c r="I192" i="18" s="1"/>
  <c r="J94" i="18"/>
  <c r="J192" i="18" s="1"/>
  <c r="K94" i="18"/>
  <c r="K192" i="18" s="1"/>
  <c r="L94" i="18"/>
  <c r="L192" i="18" s="1"/>
  <c r="M94" i="18"/>
  <c r="M192" i="18" s="1"/>
  <c r="N94" i="18"/>
  <c r="P94" i="18"/>
  <c r="D93" i="18"/>
  <c r="E93" i="18"/>
  <c r="F93" i="18"/>
  <c r="G93" i="18"/>
  <c r="H93" i="18"/>
  <c r="I93" i="18"/>
  <c r="J93" i="18"/>
  <c r="K93" i="18"/>
  <c r="L93" i="18"/>
  <c r="M93" i="18"/>
  <c r="N93" i="18"/>
  <c r="P93" i="18"/>
  <c r="D91" i="18"/>
  <c r="E91" i="18"/>
  <c r="F91" i="18"/>
  <c r="G91" i="18"/>
  <c r="H91" i="18"/>
  <c r="I91" i="18"/>
  <c r="J91" i="18"/>
  <c r="K91" i="18"/>
  <c r="L91" i="18"/>
  <c r="M91" i="18"/>
  <c r="N91" i="18"/>
  <c r="P91" i="18"/>
  <c r="D90" i="18"/>
  <c r="D92" i="18" s="1"/>
  <c r="D191" i="18" s="1"/>
  <c r="E90" i="18"/>
  <c r="E92" i="18" s="1"/>
  <c r="E191" i="18" s="1"/>
  <c r="F90" i="18"/>
  <c r="G90" i="18"/>
  <c r="H90" i="18"/>
  <c r="I90" i="18"/>
  <c r="J90" i="18"/>
  <c r="K90" i="18"/>
  <c r="L90" i="18"/>
  <c r="M90" i="18"/>
  <c r="N90" i="18"/>
  <c r="P90" i="18"/>
  <c r="D84" i="18"/>
  <c r="E84" i="18"/>
  <c r="F84" i="18"/>
  <c r="G84" i="18"/>
  <c r="H84" i="18"/>
  <c r="I84" i="18"/>
  <c r="J84" i="18"/>
  <c r="K84" i="18"/>
  <c r="L84" i="18"/>
  <c r="M84" i="18"/>
  <c r="N84" i="18"/>
  <c r="P84" i="18"/>
  <c r="D83" i="18"/>
  <c r="D190" i="18" s="1"/>
  <c r="E83" i="18"/>
  <c r="E190" i="18" s="1"/>
  <c r="F83" i="18"/>
  <c r="F190" i="18" s="1"/>
  <c r="G83" i="18"/>
  <c r="H83" i="18"/>
  <c r="H190" i="18" s="1"/>
  <c r="I83" i="18"/>
  <c r="I190" i="18" s="1"/>
  <c r="J83" i="18"/>
  <c r="J190" i="18" s="1"/>
  <c r="K83" i="18"/>
  <c r="K190" i="18" s="1"/>
  <c r="L83" i="18"/>
  <c r="L190" i="18" s="1"/>
  <c r="M83" i="18"/>
  <c r="M190" i="18" s="1"/>
  <c r="N83" i="18"/>
  <c r="P83" i="18"/>
  <c r="C94" i="18"/>
  <c r="C192" i="18" s="1"/>
  <c r="C93" i="18"/>
  <c r="C91" i="18"/>
  <c r="C90" i="18"/>
  <c r="C84" i="18"/>
  <c r="C83" i="18"/>
  <c r="C190" i="18" s="1"/>
  <c r="D82" i="18"/>
  <c r="E82" i="18"/>
  <c r="F82" i="18"/>
  <c r="G82" i="18"/>
  <c r="H82" i="18"/>
  <c r="I82" i="18"/>
  <c r="J82" i="18"/>
  <c r="K82" i="18"/>
  <c r="L82" i="18"/>
  <c r="M82" i="18"/>
  <c r="N82" i="18"/>
  <c r="P82" i="18"/>
  <c r="C82" i="18"/>
  <c r="S17" i="18"/>
  <c r="S139" i="18" s="1"/>
  <c r="S18" i="18"/>
  <c r="S147" i="18" s="1"/>
  <c r="S148" i="18" s="1"/>
  <c r="S68" i="18"/>
  <c r="S10" i="18"/>
  <c r="S12" i="18"/>
  <c r="S15" i="18"/>
  <c r="S7" i="18"/>
  <c r="S6" i="18"/>
  <c r="S207" i="18" l="1"/>
  <c r="P207" i="18"/>
  <c r="W141" i="18"/>
  <c r="W151" i="18"/>
  <c r="W116" i="18"/>
  <c r="S114" i="18"/>
  <c r="S115" i="18"/>
  <c r="S145" i="18"/>
  <c r="S144" i="18"/>
  <c r="S119" i="18"/>
  <c r="S140" i="18"/>
  <c r="H194" i="18"/>
  <c r="H189" i="18"/>
  <c r="W124" i="18"/>
  <c r="W135" i="18"/>
  <c r="W134" i="18"/>
  <c r="W136" i="18"/>
  <c r="S123" i="18"/>
  <c r="S128" i="18"/>
  <c r="S129" i="18" s="1"/>
  <c r="W118" i="18"/>
  <c r="W132" i="18"/>
  <c r="W131" i="18"/>
  <c r="S121" i="18"/>
  <c r="S122" i="18"/>
  <c r="X23" i="18"/>
  <c r="D189" i="18"/>
  <c r="D193" i="18" s="1"/>
  <c r="D194" i="18"/>
  <c r="E189" i="18"/>
  <c r="E193" i="18" s="1"/>
  <c r="E194" i="18"/>
  <c r="C189" i="18"/>
  <c r="C193" i="18" s="1"/>
  <c r="C194" i="18"/>
  <c r="P189" i="18"/>
  <c r="P194" i="18"/>
  <c r="K189" i="18"/>
  <c r="K194" i="18"/>
  <c r="F189" i="18"/>
  <c r="F193" i="18" s="1"/>
  <c r="F194" i="18"/>
  <c r="J189" i="18"/>
  <c r="J194" i="18"/>
  <c r="M189" i="18"/>
  <c r="M194" i="18"/>
  <c r="I189" i="18"/>
  <c r="I194" i="18"/>
  <c r="Q157" i="18"/>
  <c r="Y25" i="18"/>
  <c r="X98" i="18"/>
  <c r="H92" i="18"/>
  <c r="H191" i="18" s="1"/>
  <c r="X46" i="18"/>
  <c r="X142" i="18" s="1"/>
  <c r="T12" i="18"/>
  <c r="T17" i="18"/>
  <c r="T139" i="18" s="1"/>
  <c r="T15" i="18"/>
  <c r="T10" i="18"/>
  <c r="T18" i="18"/>
  <c r="T147" i="18" s="1"/>
  <c r="T148" i="18" s="1"/>
  <c r="T6" i="18"/>
  <c r="T7" i="18"/>
  <c r="X44" i="18"/>
  <c r="W112" i="18"/>
  <c r="T68" i="18"/>
  <c r="S113" i="18"/>
  <c r="AB64" i="18"/>
  <c r="AE64" i="18" s="1"/>
  <c r="F92" i="18"/>
  <c r="F191" i="18" s="1"/>
  <c r="L92" i="18"/>
  <c r="L191" i="18" s="1"/>
  <c r="K92" i="18"/>
  <c r="K191" i="18" s="1"/>
  <c r="J92" i="18"/>
  <c r="J191" i="18" s="1"/>
  <c r="Z26" i="18"/>
  <c r="C92" i="18"/>
  <c r="C191" i="18" s="1"/>
  <c r="T187" i="18"/>
  <c r="I92" i="18"/>
  <c r="I191" i="18" s="1"/>
  <c r="Q82" i="18"/>
  <c r="G190" i="18"/>
  <c r="Q83" i="18"/>
  <c r="Q84" i="18"/>
  <c r="Q91" i="18"/>
  <c r="Q93" i="18"/>
  <c r="G189" i="18"/>
  <c r="Q81" i="18"/>
  <c r="G192" i="18"/>
  <c r="Q94" i="18"/>
  <c r="G92" i="18"/>
  <c r="Q90" i="18"/>
  <c r="N190" i="18"/>
  <c r="N189" i="18"/>
  <c r="N192" i="18"/>
  <c r="P190" i="18"/>
  <c r="L189" i="18"/>
  <c r="N92" i="18"/>
  <c r="M92" i="18"/>
  <c r="M191" i="18" s="1"/>
  <c r="P192" i="18"/>
  <c r="P92" i="18"/>
  <c r="S91" i="18"/>
  <c r="C6" i="12"/>
  <c r="C26" i="15"/>
  <c r="C58" i="15"/>
  <c r="C57" i="15"/>
  <c r="C54" i="15"/>
  <c r="C53" i="15"/>
  <c r="C50" i="15"/>
  <c r="C49" i="15"/>
  <c r="C45" i="15"/>
  <c r="T207" i="18" l="1"/>
  <c r="S208" i="18"/>
  <c r="S206" i="18"/>
  <c r="P206" i="18"/>
  <c r="X141" i="18"/>
  <c r="X151" i="18"/>
  <c r="X116" i="18"/>
  <c r="T145" i="18"/>
  <c r="T144" i="18"/>
  <c r="T119" i="18"/>
  <c r="T140" i="18"/>
  <c r="T115" i="18"/>
  <c r="X134" i="18"/>
  <c r="X135" i="18"/>
  <c r="X136" i="18"/>
  <c r="X124" i="18"/>
  <c r="X118" i="18"/>
  <c r="X132" i="18"/>
  <c r="X131" i="18"/>
  <c r="T121" i="18"/>
  <c r="T122" i="18"/>
  <c r="T123" i="18"/>
  <c r="Y23" i="18"/>
  <c r="Z25" i="18"/>
  <c r="Y98" i="18"/>
  <c r="S90" i="18"/>
  <c r="S107" i="18"/>
  <c r="S86" i="18"/>
  <c r="S88" i="18"/>
  <c r="S193" i="18" s="1"/>
  <c r="S94" i="18"/>
  <c r="S192" i="18" s="1"/>
  <c r="S104" i="18"/>
  <c r="S106" i="18"/>
  <c r="S79" i="18"/>
  <c r="S78" i="18"/>
  <c r="S188" i="18" s="1"/>
  <c r="S87" i="18"/>
  <c r="S83" i="18"/>
  <c r="S84" i="18"/>
  <c r="S93" i="18"/>
  <c r="S82" i="18"/>
  <c r="S108" i="18"/>
  <c r="S81" i="18"/>
  <c r="Y46" i="18"/>
  <c r="Y142" i="18" s="1"/>
  <c r="U17" i="18"/>
  <c r="U139" i="18" s="1"/>
  <c r="U15" i="18"/>
  <c r="U12" i="18"/>
  <c r="S92" i="18"/>
  <c r="U18" i="18"/>
  <c r="U147" i="18" s="1"/>
  <c r="U148" i="18" s="1"/>
  <c r="U10" i="18"/>
  <c r="U7" i="18"/>
  <c r="U6" i="18"/>
  <c r="AC64" i="18"/>
  <c r="Y44" i="18"/>
  <c r="X112" i="18"/>
  <c r="U68" i="18"/>
  <c r="T114" i="18"/>
  <c r="T113" i="18"/>
  <c r="T70" i="18"/>
  <c r="T126" i="18" s="1"/>
  <c r="T127" i="18" s="1"/>
  <c r="T128" i="18" s="1"/>
  <c r="T129" i="18" s="1"/>
  <c r="S101" i="18"/>
  <c r="S102" i="18"/>
  <c r="S103" i="18"/>
  <c r="S100" i="18"/>
  <c r="AA26" i="18"/>
  <c r="U187" i="18"/>
  <c r="Q190" i="18"/>
  <c r="Q189" i="18"/>
  <c r="Q192" i="18"/>
  <c r="G191" i="18"/>
  <c r="Q92" i="18"/>
  <c r="N191" i="18"/>
  <c r="P191" i="18"/>
  <c r="C16" i="15"/>
  <c r="C21" i="15"/>
  <c r="C10" i="15"/>
  <c r="T208" i="18" l="1"/>
  <c r="U207" i="18"/>
  <c r="S205" i="18"/>
  <c r="T205" i="18" s="1"/>
  <c r="T206" i="18"/>
  <c r="Y141" i="18"/>
  <c r="Y151" i="18"/>
  <c r="Y116" i="18"/>
  <c r="U119" i="18"/>
  <c r="U140" i="18"/>
  <c r="U145" i="18"/>
  <c r="U144" i="18"/>
  <c r="U115" i="18"/>
  <c r="Y136" i="18"/>
  <c r="Y135" i="18"/>
  <c r="Y134" i="18"/>
  <c r="Y124" i="18"/>
  <c r="T90" i="18"/>
  <c r="Y118" i="18"/>
  <c r="Y132" i="18"/>
  <c r="Y131" i="18"/>
  <c r="U121" i="18"/>
  <c r="U122" i="18"/>
  <c r="U123" i="18"/>
  <c r="T86" i="18"/>
  <c r="Z23" i="18"/>
  <c r="AA25" i="18"/>
  <c r="Z98" i="18"/>
  <c r="T88" i="18"/>
  <c r="T193" i="18" s="1"/>
  <c r="T94" i="18"/>
  <c r="T192" i="18" s="1"/>
  <c r="T104" i="18"/>
  <c r="T106" i="18"/>
  <c r="T78" i="18"/>
  <c r="T188" i="18" s="1"/>
  <c r="T79" i="18"/>
  <c r="T83" i="18"/>
  <c r="T82" i="18"/>
  <c r="T93" i="18"/>
  <c r="T108" i="18"/>
  <c r="T87" i="18"/>
  <c r="T84" i="18"/>
  <c r="T81" i="18"/>
  <c r="T91" i="18"/>
  <c r="T107" i="18"/>
  <c r="Z46" i="18"/>
  <c r="Z142" i="18" s="1"/>
  <c r="V15" i="18"/>
  <c r="V12" i="18"/>
  <c r="V17" i="18"/>
  <c r="V139" i="18" s="1"/>
  <c r="V10" i="18"/>
  <c r="V18" i="18"/>
  <c r="V147" i="18" s="1"/>
  <c r="V148" i="18" s="1"/>
  <c r="V6" i="18"/>
  <c r="V7" i="18"/>
  <c r="V68" i="18"/>
  <c r="U114" i="18"/>
  <c r="U113" i="18"/>
  <c r="Z44" i="18"/>
  <c r="Y112" i="18"/>
  <c r="U70" i="18"/>
  <c r="U126" i="18" s="1"/>
  <c r="U127" i="18" s="1"/>
  <c r="U128" i="18" s="1"/>
  <c r="U129" i="18" s="1"/>
  <c r="T103" i="18"/>
  <c r="T102" i="18"/>
  <c r="T101" i="18"/>
  <c r="T100" i="18"/>
  <c r="AB26" i="18"/>
  <c r="AE26" i="18" s="1"/>
  <c r="S191" i="18"/>
  <c r="V187" i="18"/>
  <c r="S189" i="18"/>
  <c r="S190" i="18"/>
  <c r="Q191" i="18"/>
  <c r="D31" i="8"/>
  <c r="D29" i="8"/>
  <c r="D28" i="8"/>
  <c r="D13" i="8"/>
  <c r="D30" i="8" s="1"/>
  <c r="E14" i="8"/>
  <c r="F14" i="8" s="1"/>
  <c r="G14" i="8" s="1"/>
  <c r="H14" i="8" s="1"/>
  <c r="I14" i="8" s="1"/>
  <c r="U205" i="18" l="1"/>
  <c r="V205" i="18" s="1"/>
  <c r="U208" i="18"/>
  <c r="V207" i="18"/>
  <c r="U206" i="18"/>
  <c r="Z141" i="18"/>
  <c r="Z151" i="18"/>
  <c r="Z116" i="18"/>
  <c r="V115" i="18"/>
  <c r="V144" i="18"/>
  <c r="V145" i="18"/>
  <c r="V119" i="18"/>
  <c r="V140" i="18"/>
  <c r="Z136" i="18"/>
  <c r="Z135" i="18"/>
  <c r="Z134" i="18"/>
  <c r="Z124" i="18"/>
  <c r="U90" i="18"/>
  <c r="T92" i="18"/>
  <c r="T191" i="18" s="1"/>
  <c r="Z118" i="18"/>
  <c r="Z132" i="18"/>
  <c r="Z131" i="18"/>
  <c r="V121" i="18"/>
  <c r="V123" i="18"/>
  <c r="V122" i="18"/>
  <c r="AA23" i="18"/>
  <c r="AB25" i="18"/>
  <c r="AA98" i="18"/>
  <c r="U108" i="18"/>
  <c r="U107" i="18"/>
  <c r="U86" i="18"/>
  <c r="U94" i="18"/>
  <c r="U192" i="18" s="1"/>
  <c r="U93" i="18"/>
  <c r="U88" i="18"/>
  <c r="U193" i="18" s="1"/>
  <c r="U91" i="18"/>
  <c r="U82" i="18"/>
  <c r="U104" i="18"/>
  <c r="U106" i="18"/>
  <c r="U79" i="18"/>
  <c r="U78" i="18"/>
  <c r="U188" i="18" s="1"/>
  <c r="U87" i="18"/>
  <c r="U83" i="18"/>
  <c r="U84" i="18"/>
  <c r="U81" i="18"/>
  <c r="AA46" i="18"/>
  <c r="AA142" i="18" s="1"/>
  <c r="W12" i="18"/>
  <c r="W17" i="18"/>
  <c r="W139" i="18" s="1"/>
  <c r="W15" i="18"/>
  <c r="W18" i="18"/>
  <c r="W147" i="18" s="1"/>
  <c r="W148" i="18" s="1"/>
  <c r="W10" i="18"/>
  <c r="W7" i="18"/>
  <c r="W6" i="18"/>
  <c r="AA44" i="18"/>
  <c r="AA116" i="18" s="1"/>
  <c r="Z112" i="18"/>
  <c r="W68" i="18"/>
  <c r="V113" i="18"/>
  <c r="V114" i="18"/>
  <c r="V70" i="18"/>
  <c r="V126" i="18" s="1"/>
  <c r="V127" i="18" s="1"/>
  <c r="V128" i="18" s="1"/>
  <c r="V129" i="18" s="1"/>
  <c r="U103" i="18"/>
  <c r="U101" i="18"/>
  <c r="U102" i="18"/>
  <c r="U100" i="18"/>
  <c r="AC26" i="18"/>
  <c r="W187" i="18"/>
  <c r="T189" i="18"/>
  <c r="T19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208" i="18" l="1"/>
  <c r="W208" i="18" s="1"/>
  <c r="W207" i="18"/>
  <c r="V206" i="18"/>
  <c r="W205" i="18" s="1"/>
  <c r="AA141" i="18"/>
  <c r="AA151" i="18"/>
  <c r="AE25" i="18"/>
  <c r="W145" i="18"/>
  <c r="W144" i="18"/>
  <c r="W119" i="18"/>
  <c r="W140" i="18"/>
  <c r="W115" i="18"/>
  <c r="AA135" i="18"/>
  <c r="AA134" i="18"/>
  <c r="AA136" i="18"/>
  <c r="AA124" i="18"/>
  <c r="U92" i="18"/>
  <c r="U191" i="18" s="1"/>
  <c r="AA118" i="18"/>
  <c r="AA132" i="18"/>
  <c r="AA131" i="18"/>
  <c r="V93" i="18"/>
  <c r="W121" i="18"/>
  <c r="W123" i="18"/>
  <c r="W122" i="18"/>
  <c r="AB23" i="18"/>
  <c r="V108" i="18"/>
  <c r="V84" i="18"/>
  <c r="V91" i="18"/>
  <c r="AC25" i="18"/>
  <c r="AB98" i="18"/>
  <c r="V82" i="18"/>
  <c r="V90" i="18"/>
  <c r="V87" i="18"/>
  <c r="V107" i="18"/>
  <c r="V83" i="18"/>
  <c r="V88" i="18"/>
  <c r="V193" i="18" s="1"/>
  <c r="V104" i="18"/>
  <c r="V106" i="18"/>
  <c r="V78" i="18"/>
  <c r="V188" i="18" s="1"/>
  <c r="V79" i="18"/>
  <c r="V86" i="18"/>
  <c r="V94" i="18"/>
  <c r="V192" i="18" s="1"/>
  <c r="V81" i="18"/>
  <c r="AB46" i="18"/>
  <c r="X17" i="18"/>
  <c r="X139" i="18" s="1"/>
  <c r="X15" i="18"/>
  <c r="X12" i="18"/>
  <c r="X10" i="18"/>
  <c r="X18" i="18"/>
  <c r="X147" i="18" s="1"/>
  <c r="X148" i="18" s="1"/>
  <c r="X6" i="18"/>
  <c r="X7" i="18"/>
  <c r="X68" i="18"/>
  <c r="W114" i="18"/>
  <c r="W113" i="18"/>
  <c r="AB44" i="18"/>
  <c r="AA112" i="18"/>
  <c r="W70" i="18"/>
  <c r="W126" i="18" s="1"/>
  <c r="W127" i="18" s="1"/>
  <c r="W128" i="18" s="1"/>
  <c r="W129" i="18" s="1"/>
  <c r="V103" i="18"/>
  <c r="V101" i="18"/>
  <c r="V102" i="18"/>
  <c r="V100" i="18"/>
  <c r="X187" i="18"/>
  <c r="U189" i="18"/>
  <c r="U19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207" i="18" l="1"/>
  <c r="X208" i="18" s="1"/>
  <c r="W206" i="18"/>
  <c r="X205" i="18" s="1"/>
  <c r="AB141" i="18"/>
  <c r="AC141" i="18" s="1"/>
  <c r="AB151" i="18"/>
  <c r="AC151" i="18" s="1"/>
  <c r="AB116" i="18"/>
  <c r="AC116" i="18" s="1"/>
  <c r="X119" i="18"/>
  <c r="X140" i="18"/>
  <c r="X145" i="18"/>
  <c r="X144" i="18"/>
  <c r="AE46" i="18"/>
  <c r="AB142" i="18"/>
  <c r="AC142" i="18" s="1"/>
  <c r="X115" i="18"/>
  <c r="AB134" i="18"/>
  <c r="AC134" i="18" s="1"/>
  <c r="AB136" i="18"/>
  <c r="AC136" i="18" s="1"/>
  <c r="AB135" i="18"/>
  <c r="AC13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24" i="18"/>
  <c r="AC124" i="18" s="1"/>
  <c r="V92" i="18"/>
  <c r="V191" i="18" s="1"/>
  <c r="W91" i="18"/>
  <c r="AB118" i="18"/>
  <c r="AC118" i="18" s="1"/>
  <c r="AB132" i="18"/>
  <c r="AC132" i="18" s="1"/>
  <c r="AB131" i="18"/>
  <c r="AC131" i="18" s="1"/>
  <c r="X121" i="18"/>
  <c r="X123" i="18"/>
  <c r="X122" i="18"/>
  <c r="AE44" i="18"/>
  <c r="AE23" i="18"/>
  <c r="AC23" i="18"/>
  <c r="S177" i="18"/>
  <c r="AE98" i="18"/>
  <c r="AC98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94" i="18"/>
  <c r="W192" i="18" s="1"/>
  <c r="W93" i="18"/>
  <c r="W88" i="18"/>
  <c r="W193" i="18" s="1"/>
  <c r="W90" i="18"/>
  <c r="W87" i="18"/>
  <c r="W107" i="18"/>
  <c r="W86" i="18"/>
  <c r="W108" i="18"/>
  <c r="W104" i="18"/>
  <c r="W106" i="18"/>
  <c r="W79" i="18"/>
  <c r="W78" i="18"/>
  <c r="W188" i="18" s="1"/>
  <c r="W82" i="18"/>
  <c r="W83" i="18"/>
  <c r="W84" i="18"/>
  <c r="W81" i="18"/>
  <c r="AC46" i="18"/>
  <c r="Y12" i="18"/>
  <c r="Y17" i="18"/>
  <c r="Y139" i="18" s="1"/>
  <c r="Y15" i="18"/>
  <c r="Y10" i="18"/>
  <c r="Y18" i="18"/>
  <c r="Y147" i="18" s="1"/>
  <c r="Y148" i="18" s="1"/>
  <c r="Y7" i="18"/>
  <c r="Y6" i="18"/>
  <c r="AC44" i="18"/>
  <c r="AB112" i="18"/>
  <c r="AC112" i="18" s="1"/>
  <c r="Y68" i="18"/>
  <c r="X114" i="18"/>
  <c r="X113" i="18"/>
  <c r="O31" i="9"/>
  <c r="O32" i="9" s="1"/>
  <c r="X70" i="18"/>
  <c r="X126" i="18" s="1"/>
  <c r="X127" i="18" s="1"/>
  <c r="X128" i="18" s="1"/>
  <c r="X129" i="18" s="1"/>
  <c r="W103" i="18"/>
  <c r="W101" i="18"/>
  <c r="W102" i="18"/>
  <c r="W100" i="18"/>
  <c r="Y187" i="18"/>
  <c r="V189" i="18"/>
  <c r="V190" i="18"/>
  <c r="P31" i="11"/>
  <c r="N32" i="11"/>
  <c r="T19" i="9"/>
  <c r="D22" i="9"/>
  <c r="Y207" i="18" l="1"/>
  <c r="Y208" i="18" s="1"/>
  <c r="X206" i="18"/>
  <c r="Y205" i="18" s="1"/>
  <c r="Y145" i="18"/>
  <c r="Y144" i="18"/>
  <c r="Y119" i="18"/>
  <c r="Y140" i="18"/>
  <c r="Y115" i="18"/>
  <c r="W92" i="18"/>
  <c r="W191" i="18" s="1"/>
  <c r="X84" i="18"/>
  <c r="Y121" i="18"/>
  <c r="Y122" i="18"/>
  <c r="Y123" i="18"/>
  <c r="T177" i="18"/>
  <c r="R177" i="18" s="1"/>
  <c r="X86" i="18"/>
  <c r="X93" i="18"/>
  <c r="X81" i="18"/>
  <c r="X88" i="18"/>
  <c r="X193" i="18" s="1"/>
  <c r="X83" i="18"/>
  <c r="X82" i="18"/>
  <c r="X104" i="18"/>
  <c r="X106" i="18"/>
  <c r="X79" i="18"/>
  <c r="X78" i="18"/>
  <c r="X188" i="18" s="1"/>
  <c r="X108" i="18"/>
  <c r="X87" i="18"/>
  <c r="X94" i="18"/>
  <c r="X192" i="18" s="1"/>
  <c r="X91" i="18"/>
  <c r="X90" i="18"/>
  <c r="X107" i="18"/>
  <c r="Z15" i="18"/>
  <c r="Z12" i="18"/>
  <c r="Z17" i="18"/>
  <c r="Z139" i="18" s="1"/>
  <c r="Z10" i="18"/>
  <c r="Z18" i="18"/>
  <c r="Z147" i="18" s="1"/>
  <c r="Z148" i="18" s="1"/>
  <c r="Z6" i="18"/>
  <c r="Z7" i="18"/>
  <c r="Z68" i="18"/>
  <c r="Y114" i="18"/>
  <c r="Y113" i="18"/>
  <c r="Y70" i="18"/>
  <c r="Y126" i="18" s="1"/>
  <c r="Y127" i="18" s="1"/>
  <c r="Y128" i="18" s="1"/>
  <c r="Y129" i="18" s="1"/>
  <c r="X103" i="18"/>
  <c r="X101" i="18"/>
  <c r="X102" i="18"/>
  <c r="X100" i="18"/>
  <c r="Z187" i="18"/>
  <c r="W189" i="18"/>
  <c r="W19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207" i="18" l="1"/>
  <c r="Z208" i="18" s="1"/>
  <c r="Y206" i="18"/>
  <c r="Z205" i="18" s="1"/>
  <c r="Z119" i="18"/>
  <c r="Z140" i="18"/>
  <c r="Z144" i="18"/>
  <c r="Z145" i="18"/>
  <c r="Z115" i="18"/>
  <c r="Z121" i="18"/>
  <c r="Z122" i="18"/>
  <c r="Z123" i="18"/>
  <c r="X92" i="18"/>
  <c r="X191" i="18" s="1"/>
  <c r="Y104" i="18"/>
  <c r="Y106" i="18"/>
  <c r="Y78" i="18"/>
  <c r="Y188" i="18" s="1"/>
  <c r="Y79" i="18"/>
  <c r="Y88" i="18"/>
  <c r="Y193" i="18" s="1"/>
  <c r="Y94" i="18"/>
  <c r="Y192" i="18" s="1"/>
  <c r="Y93" i="18"/>
  <c r="Y91" i="18"/>
  <c r="Y82" i="18"/>
  <c r="Y81" i="18"/>
  <c r="Y87" i="18"/>
  <c r="Y83" i="18"/>
  <c r="Y84" i="18"/>
  <c r="Y90" i="18"/>
  <c r="Y107" i="18"/>
  <c r="Y86" i="18"/>
  <c r="Y108" i="18"/>
  <c r="AA12" i="18"/>
  <c r="AA17" i="18"/>
  <c r="AA139" i="18" s="1"/>
  <c r="AA15" i="18"/>
  <c r="AA10" i="18"/>
  <c r="AA18" i="18"/>
  <c r="AA147" i="18" s="1"/>
  <c r="AA148" i="18" s="1"/>
  <c r="AA7" i="18"/>
  <c r="AA6" i="18"/>
  <c r="AA68" i="18"/>
  <c r="Z113" i="18"/>
  <c r="Z114" i="18"/>
  <c r="Z70" i="18"/>
  <c r="Z126" i="18" s="1"/>
  <c r="Z127" i="18" s="1"/>
  <c r="Z128" i="18" s="1"/>
  <c r="Z129" i="18" s="1"/>
  <c r="Y103" i="18"/>
  <c r="Y101" i="18"/>
  <c r="Y102" i="18"/>
  <c r="Y100" i="18"/>
  <c r="AA187" i="18"/>
  <c r="X189" i="18"/>
  <c r="X190" i="18"/>
  <c r="N34" i="11"/>
  <c r="O33" i="11"/>
  <c r="D25" i="8"/>
  <c r="D23" i="8"/>
  <c r="AA207" i="18" l="1"/>
  <c r="AA208" i="18" s="1"/>
  <c r="Z206" i="18"/>
  <c r="AA205" i="18" s="1"/>
  <c r="AA115" i="18"/>
  <c r="AA144" i="18"/>
  <c r="AA145" i="18"/>
  <c r="AA119" i="18"/>
  <c r="AA140" i="18"/>
  <c r="AA121" i="18"/>
  <c r="AA122" i="18"/>
  <c r="AA123" i="18"/>
  <c r="Y92" i="18"/>
  <c r="Y191" i="18" s="1"/>
  <c r="Z104" i="18"/>
  <c r="Z106" i="18"/>
  <c r="Z79" i="18"/>
  <c r="Z78" i="18"/>
  <c r="Z188" i="18" s="1"/>
  <c r="Z82" i="18"/>
  <c r="Z93" i="18"/>
  <c r="Z83" i="18"/>
  <c r="Z88" i="18"/>
  <c r="Z193" i="18" s="1"/>
  <c r="Z91" i="18"/>
  <c r="Z90" i="18"/>
  <c r="Z108" i="18"/>
  <c r="Z94" i="18"/>
  <c r="Z192" i="18" s="1"/>
  <c r="Z81" i="18"/>
  <c r="Z87" i="18"/>
  <c r="Z107" i="18"/>
  <c r="Z86" i="18"/>
  <c r="Z84" i="18"/>
  <c r="AB17" i="18"/>
  <c r="AE17" i="18" s="1"/>
  <c r="AB15" i="18"/>
  <c r="AE15" i="18" s="1"/>
  <c r="AB12" i="18"/>
  <c r="AB140" i="18" s="1"/>
  <c r="AC140" i="18" s="1"/>
  <c r="AB10" i="18"/>
  <c r="AB18" i="18"/>
  <c r="AB6" i="18"/>
  <c r="AE6" i="18" s="1"/>
  <c r="AB7" i="18"/>
  <c r="AE7" i="18" s="1"/>
  <c r="AB68" i="18"/>
  <c r="AA114" i="18"/>
  <c r="AA113" i="18"/>
  <c r="AA70" i="18"/>
  <c r="AA126" i="18" s="1"/>
  <c r="AA127" i="18" s="1"/>
  <c r="AA128" i="18" s="1"/>
  <c r="AA129" i="18" s="1"/>
  <c r="Z103" i="18"/>
  <c r="Z101" i="18"/>
  <c r="Z102" i="18"/>
  <c r="Z100" i="18"/>
  <c r="AB187" i="18"/>
  <c r="Y189" i="18"/>
  <c r="Y190" i="18"/>
  <c r="N35" i="11"/>
  <c r="O34" i="11"/>
  <c r="D35" i="8"/>
  <c r="E5" i="8"/>
  <c r="E18" i="8" s="1"/>
  <c r="D18" i="8"/>
  <c r="D19" i="8"/>
  <c r="D21" i="8"/>
  <c r="D20" i="8"/>
  <c r="AB207" i="18" l="1"/>
  <c r="AB208" i="18" s="1"/>
  <c r="AA206" i="18"/>
  <c r="AB205" i="18" s="1"/>
  <c r="AE18" i="18"/>
  <c r="AB147" i="18"/>
  <c r="AB145" i="18"/>
  <c r="AC145" i="18" s="1"/>
  <c r="AB144" i="18"/>
  <c r="AC144" i="18" s="1"/>
  <c r="AB139" i="18"/>
  <c r="AC139" i="18" s="1"/>
  <c r="AB115" i="18"/>
  <c r="AC115" i="18" s="1"/>
  <c r="AE10" i="18"/>
  <c r="AB121" i="18"/>
  <c r="AC121" i="18" s="1"/>
  <c r="AE12" i="18"/>
  <c r="AB119" i="18"/>
  <c r="AC119" i="18" s="1"/>
  <c r="AE68" i="18"/>
  <c r="AB122" i="18"/>
  <c r="AC122" i="18" s="1"/>
  <c r="AB123" i="18"/>
  <c r="AC123" i="18" s="1"/>
  <c r="Z92" i="18"/>
  <c r="Z191" i="18" s="1"/>
  <c r="AA104" i="18"/>
  <c r="AA106" i="18"/>
  <c r="AA78" i="18"/>
  <c r="AA188" i="18" s="1"/>
  <c r="AA79" i="18"/>
  <c r="AA86" i="18"/>
  <c r="AA94" i="18"/>
  <c r="AA192" i="18" s="1"/>
  <c r="AA81" i="18"/>
  <c r="AA88" i="18"/>
  <c r="AA193" i="18" s="1"/>
  <c r="AA91" i="18"/>
  <c r="AA107" i="18"/>
  <c r="AA82" i="18"/>
  <c r="AA83" i="18"/>
  <c r="AA84" i="18"/>
  <c r="AA87" i="18"/>
  <c r="AA108" i="18"/>
  <c r="AA90" i="18"/>
  <c r="AA93" i="18"/>
  <c r="AC17" i="18"/>
  <c r="AC15" i="18"/>
  <c r="S171" i="18"/>
  <c r="AC12" i="18"/>
  <c r="AC10" i="18"/>
  <c r="AC18" i="18"/>
  <c r="AC7" i="18"/>
  <c r="AC6" i="18"/>
  <c r="AB114" i="18"/>
  <c r="AC114" i="18" s="1"/>
  <c r="AB113" i="18"/>
  <c r="AC113" i="18" s="1"/>
  <c r="AC68" i="18"/>
  <c r="AB70" i="18"/>
  <c r="AB126" i="18" s="1"/>
  <c r="AB127" i="18" s="1"/>
  <c r="AB128" i="18" s="1"/>
  <c r="AB129" i="18" s="1"/>
  <c r="AA103" i="18"/>
  <c r="AA101" i="18"/>
  <c r="AA102" i="18"/>
  <c r="AA100" i="18"/>
  <c r="AC187" i="18"/>
  <c r="AE187" i="18" s="1"/>
  <c r="Z189" i="18"/>
  <c r="Z190" i="18"/>
  <c r="N36" i="11"/>
  <c r="O35" i="11"/>
  <c r="F5" i="8"/>
  <c r="G5" i="8" s="1"/>
  <c r="H5" i="8" s="1"/>
  <c r="I5" i="8" s="1"/>
  <c r="AC207" i="18" l="1"/>
  <c r="AC208" i="18" s="1"/>
  <c r="AB206" i="18"/>
  <c r="AC205" i="18" s="1"/>
  <c r="AB148" i="18"/>
  <c r="AC148" i="18" s="1"/>
  <c r="AC147" i="18"/>
  <c r="AE70" i="18"/>
  <c r="T171" i="18"/>
  <c r="T172" i="18" s="1"/>
  <c r="AA92" i="18"/>
  <c r="AA191" i="18" s="1"/>
  <c r="AB104" i="18"/>
  <c r="AB106" i="18"/>
  <c r="AE106" i="18" s="1"/>
  <c r="AB78" i="18"/>
  <c r="AB79" i="18"/>
  <c r="AB86" i="18"/>
  <c r="AB91" i="18"/>
  <c r="AB81" i="18"/>
  <c r="AE81" i="18" s="1"/>
  <c r="AB88" i="18"/>
  <c r="AB84" i="18"/>
  <c r="AB107" i="18"/>
  <c r="AB83" i="18"/>
  <c r="AE83" i="18" s="1"/>
  <c r="AB82" i="18"/>
  <c r="AB93" i="18"/>
  <c r="AB108" i="18"/>
  <c r="AB87" i="18"/>
  <c r="AB94" i="18"/>
  <c r="AB90" i="18"/>
  <c r="S172" i="18"/>
  <c r="AB103" i="18"/>
  <c r="AB101" i="18"/>
  <c r="AC70" i="18"/>
  <c r="AB102" i="18"/>
  <c r="AB100" i="18"/>
  <c r="AA189" i="18"/>
  <c r="AA190" i="18"/>
  <c r="N37" i="11"/>
  <c r="O36" i="11"/>
  <c r="F18" i="8"/>
  <c r="G18" i="8"/>
  <c r="AD207" i="18" l="1"/>
  <c r="AD208" i="18" s="1"/>
  <c r="AC206" i="18"/>
  <c r="AD205" i="18" s="1"/>
  <c r="AB188" i="18"/>
  <c r="AC188" i="18" s="1"/>
  <c r="AE188" i="18" s="1"/>
  <c r="AE78" i="18"/>
  <c r="AC126" i="18"/>
  <c r="R171" i="18"/>
  <c r="R172" i="18"/>
  <c r="AC107" i="18"/>
  <c r="AE107" i="18"/>
  <c r="AC79" i="18"/>
  <c r="AE79" i="18"/>
  <c r="S168" i="18"/>
  <c r="AE93" i="18"/>
  <c r="AB192" i="18"/>
  <c r="AC192" i="18" s="1"/>
  <c r="AE192" i="18" s="1"/>
  <c r="AE94" i="18"/>
  <c r="AC78" i="18"/>
  <c r="AC91" i="18"/>
  <c r="AE91" i="18"/>
  <c r="S162" i="18"/>
  <c r="AE90" i="18"/>
  <c r="S161" i="18"/>
  <c r="AE84" i="18"/>
  <c r="AB193" i="18"/>
  <c r="AC193" i="18" s="1"/>
  <c r="AE193" i="18" s="1"/>
  <c r="AE88" i="18"/>
  <c r="AC87" i="18"/>
  <c r="AE87" i="18"/>
  <c r="S159" i="18"/>
  <c r="AE82" i="18"/>
  <c r="S164" i="18"/>
  <c r="AE86" i="18"/>
  <c r="AC108" i="18"/>
  <c r="AE108" i="18"/>
  <c r="S184" i="18"/>
  <c r="AE104" i="18"/>
  <c r="S182" i="18"/>
  <c r="AE103" i="18"/>
  <c r="S181" i="18"/>
  <c r="AE102" i="18"/>
  <c r="S179" i="18"/>
  <c r="AE100" i="18"/>
  <c r="S180" i="18"/>
  <c r="AE101" i="18"/>
  <c r="AC93" i="18"/>
  <c r="S165" i="18"/>
  <c r="AC82" i="18"/>
  <c r="AC84" i="18"/>
  <c r="T161" i="18" s="1"/>
  <c r="AC86" i="18"/>
  <c r="S166" i="18"/>
  <c r="AC104" i="18"/>
  <c r="AC90" i="18"/>
  <c r="S169" i="18"/>
  <c r="AB92" i="18"/>
  <c r="AC88" i="18"/>
  <c r="AC94" i="18"/>
  <c r="AC106" i="18"/>
  <c r="AC102" i="18"/>
  <c r="AC101" i="18"/>
  <c r="AC100" i="18"/>
  <c r="AC103" i="18"/>
  <c r="S158" i="18"/>
  <c r="AC81" i="18"/>
  <c r="T158" i="18" s="1"/>
  <c r="AB189" i="18"/>
  <c r="AC83" i="18"/>
  <c r="T160" i="18" s="1"/>
  <c r="AB190" i="18"/>
  <c r="S160" i="18"/>
  <c r="N38" i="11"/>
  <c r="O37" i="11"/>
  <c r="H18" i="8"/>
  <c r="AE207" i="18" l="1"/>
  <c r="AE208" i="18" s="1"/>
  <c r="AD206" i="18"/>
  <c r="AE205" i="18" s="1"/>
  <c r="P202" i="18"/>
  <c r="M202" i="18"/>
  <c r="AC127" i="18"/>
  <c r="T169" i="18"/>
  <c r="R169" i="18" s="1"/>
  <c r="T159" i="18"/>
  <c r="R159" i="18" s="1"/>
  <c r="T168" i="18"/>
  <c r="R168" i="18" s="1"/>
  <c r="T164" i="18"/>
  <c r="R164" i="18" s="1"/>
  <c r="T166" i="18"/>
  <c r="R166" i="18" s="1"/>
  <c r="T184" i="18"/>
  <c r="R184" i="18" s="1"/>
  <c r="T181" i="18"/>
  <c r="R181" i="18" s="1"/>
  <c r="AC92" i="18"/>
  <c r="AE92" i="18"/>
  <c r="T162" i="18"/>
  <c r="R162" i="18" s="1"/>
  <c r="R161" i="18"/>
  <c r="T165" i="18"/>
  <c r="R165" i="18" s="1"/>
  <c r="T179" i="18"/>
  <c r="R179" i="18" s="1"/>
  <c r="AB191" i="18"/>
  <c r="AC191" i="18" s="1"/>
  <c r="AE191" i="18" s="1"/>
  <c r="T182" i="18"/>
  <c r="R182" i="18" s="1"/>
  <c r="T180" i="18"/>
  <c r="R180" i="18" s="1"/>
  <c r="R158" i="18"/>
  <c r="P203" i="18" s="1"/>
  <c r="P204" i="18" s="1"/>
  <c r="AC190" i="18"/>
  <c r="AE190" i="18" s="1"/>
  <c r="AC189" i="18"/>
  <c r="AE189" i="18" s="1"/>
  <c r="R160" i="18"/>
  <c r="N39" i="11"/>
  <c r="O38" i="11"/>
  <c r="I18" i="8"/>
  <c r="AF207" i="18" l="1"/>
  <c r="AF208" i="18" s="1"/>
  <c r="AE206" i="18"/>
  <c r="AF205" i="18" s="1"/>
  <c r="P201" i="18"/>
  <c r="M201" i="18"/>
  <c r="P200" i="18"/>
  <c r="M200" i="18"/>
  <c r="AC129" i="18"/>
  <c r="AC128" i="18"/>
  <c r="N40" i="11"/>
  <c r="O39" i="11"/>
  <c r="AG207" i="18" l="1"/>
  <c r="AG208" i="18" s="1"/>
  <c r="AF206" i="18"/>
  <c r="AG205" i="18" s="1"/>
  <c r="N41" i="11"/>
  <c r="O40" i="11"/>
  <c r="AH207" i="18" l="1"/>
  <c r="AH208" i="18" s="1"/>
  <c r="AG206" i="18"/>
  <c r="AH205" i="18" s="1"/>
  <c r="N42" i="11"/>
  <c r="O41" i="11"/>
  <c r="AI207" i="18" l="1"/>
  <c r="AI208" i="18" s="1"/>
  <c r="AH206" i="18"/>
  <c r="AI205" i="18" s="1"/>
  <c r="AJ207" i="18" l="1"/>
  <c r="AJ208" i="18" s="1"/>
  <c r="AI206" i="18"/>
  <c r="AJ205" i="18" s="1"/>
  <c r="AK207" i="18" l="1"/>
  <c r="AK208" i="18" s="1"/>
  <c r="AJ206" i="18"/>
  <c r="AK205" i="18" s="1"/>
  <c r="AL207" i="18" l="1"/>
  <c r="AL208" i="18" s="1"/>
  <c r="AK206" i="18"/>
  <c r="AL205" i="18" s="1"/>
  <c r="AM207" i="18" l="1"/>
  <c r="AM208" i="18" s="1"/>
  <c r="AL206" i="18"/>
  <c r="AM205" i="18" s="1"/>
  <c r="AN207" i="18" l="1"/>
  <c r="AN208" i="18" s="1"/>
  <c r="AM206" i="18"/>
  <c r="AN205" i="18" s="1"/>
  <c r="AO207" i="18" l="1"/>
  <c r="AO208" i="18" s="1"/>
  <c r="AN206" i="18"/>
  <c r="AO205" i="18" s="1"/>
  <c r="AP207" i="18" l="1"/>
  <c r="AP208" i="18" s="1"/>
  <c r="AO206" i="18"/>
  <c r="AP205" i="18" s="1"/>
  <c r="AQ207" i="18" l="1"/>
  <c r="AQ208" i="18" s="1"/>
  <c r="AP206" i="18"/>
  <c r="AQ205" i="18" s="1"/>
  <c r="AR207" i="18" l="1"/>
  <c r="AR208" i="18" s="1"/>
  <c r="AQ206" i="18"/>
  <c r="AR205" i="18" s="1"/>
  <c r="AS207" i="18" l="1"/>
  <c r="AS208" i="18" s="1"/>
  <c r="AR206" i="18"/>
  <c r="AS205" i="18" s="1"/>
  <c r="AT207" i="18" l="1"/>
  <c r="AT208" i="18" s="1"/>
  <c r="AS206" i="18"/>
  <c r="AT205" i="18" s="1"/>
  <c r="AU207" i="18" l="1"/>
  <c r="AU208" i="18" s="1"/>
  <c r="AT206" i="18"/>
  <c r="AU205" i="18" s="1"/>
  <c r="AV207" i="18" l="1"/>
  <c r="AV208" i="18" s="1"/>
  <c r="AU206" i="18"/>
  <c r="AV205" i="18" s="1"/>
  <c r="AV206" i="18" l="1"/>
</calcChain>
</file>

<file path=xl/comments1.xml><?xml version="1.0" encoding="utf-8"?>
<comments xmlns="http://schemas.openxmlformats.org/spreadsheetml/2006/main">
  <authors>
    <author>Author</author>
  </authors>
  <commentList>
    <comment ref="B14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</commentList>
</comments>
</file>

<file path=xl/sharedStrings.xml><?xml version="1.0" encoding="utf-8"?>
<sst xmlns="http://schemas.openxmlformats.org/spreadsheetml/2006/main" count="628" uniqueCount="439">
  <si>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</si>
  <si>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</si>
  <si>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</si>
  <si>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</si>
  <si>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</si>
  <si>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</si>
  <si>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</si>
  <si>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</si>
  <si>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</si>
  <si>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</si>
  <si>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</si>
  <si>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</si>
  <si>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</si>
  <si>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</si>
  <si>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</si>
  <si>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</si>
  <si>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</si>
  <si>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</si>
  <si>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</si>
  <si>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</si>
  <si>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</si>
  <si>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</si>
  <si>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</si>
  <si>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</si>
  <si>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</si>
  <si>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</si>
  <si>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</si>
  <si>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</si>
  <si>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</si>
  <si>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</si>
  <si>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</si>
  <si>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</si>
  <si>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</si>
  <si>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</si>
  <si>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</si>
  <si>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</si>
  <si>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</si>
  <si>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</si>
  <si>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</si>
  <si>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</si>
  <si>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</si>
  <si>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</si>
  <si>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</si>
  <si>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</si>
  <si>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</si>
  <si>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</si>
  <si>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</si>
  <si>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</si>
  <si>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</si>
  <si>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</si>
  <si>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</si>
  <si>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</si>
  <si>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</si>
  <si>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</si>
  <si>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</si>
  <si>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</si>
  <si>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</si>
  <si>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</si>
  <si>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</si>
  <si>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</si>
  <si>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</si>
  <si>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</si>
  <si>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</si>
  <si>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</si>
  <si>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</si>
  <si>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</si>
  <si>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</si>
  <si>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</si>
  <si>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</si>
  <si>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</si>
  <si>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</si>
  <si>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</si>
  <si>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</si>
  <si>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</si>
  <si>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</si>
  <si>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</si>
  <si>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</si>
  <si>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</si>
  <si>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</si>
  <si>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</si>
  <si>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</si>
  <si>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</si>
  <si>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</si>
  <si>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</si>
  <si>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</si>
  <si>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</si>
  <si>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</si>
  <si>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</si>
  <si>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</si>
  <si>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</si>
  <si>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</si>
  <si>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</si>
  <si>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</si>
  <si>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</si>
  <si>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</si>
  <si>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</si>
  <si>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</si>
  <si>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</si>
  <si>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</si>
  <si>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</si>
  <si>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</si>
  <si>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</si>
  <si>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</si>
  <si>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</si>
  <si>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</si>
  <si>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</si>
  <si>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</si>
  <si>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</si>
  <si>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</si>
  <si>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</si>
  <si>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</si>
  <si>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</si>
  <si>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</si>
  <si>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</si>
  <si>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</si>
  <si>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</si>
  <si>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</si>
  <si>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</si>
  <si>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</si>
  <si>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</si>
  <si>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</si>
  <si>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</si>
  <si>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</si>
  <si>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</si>
  <si>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</si>
  <si>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</si>
  <si>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</si>
  <si>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</si>
  <si>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</si>
  <si>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</si>
  <si>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</si>
  <si>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</si>
  <si>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</si>
  <si>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</si>
  <si>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</si>
  <si>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</si>
  <si>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</si>
  <si>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</si>
  <si>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</si>
  <si>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</si>
  <si>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</si>
  <si>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</si>
  <si>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</si>
  <si>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</si>
  <si>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</si>
  <si>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</si>
  <si>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</si>
  <si>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</si>
  <si>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</si>
  <si>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</si>
  <si>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</si>
  <si>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</si>
  <si>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</si>
  <si>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</si>
  <si>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</si>
  <si>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</si>
  <si>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</si>
  <si>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</si>
  <si>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</si>
  <si>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</si>
  <si>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</si>
  <si>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</si>
  <si>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</si>
  <si>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</si>
  <si>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</si>
  <si>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</si>
  <si>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</si>
  <si>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</si>
  <si>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</si>
  <si>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</si>
  <si>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</si>
  <si>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</si>
  <si>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</si>
  <si>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</si>
  <si>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</si>
  <si>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</si>
  <si>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</si>
  <si>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</si>
  <si>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</si>
  <si>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</si>
  <si>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</si>
  <si>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</si>
  <si>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</si>
  <si>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</si>
  <si>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</si>
  <si>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</si>
  <si>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</si>
  <si>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</si>
  <si>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</si>
  <si>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</si>
  <si>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</si>
  <si>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</si>
  <si>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</si>
  <si>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</si>
  <si>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</si>
  <si>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</si>
  <si>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</si>
  <si>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</si>
  <si>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</si>
  <si>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</si>
  <si>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</si>
  <si>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</si>
  <si>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</si>
  <si>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</si>
  <si>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</si>
  <si>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</si>
  <si>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</si>
  <si>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</si>
  <si>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</si>
  <si>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</si>
  <si>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</si>
  <si>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</si>
  <si>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</si>
  <si>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</si>
  <si>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</si>
  <si>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</si>
  <si>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</si>
  <si>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</si>
  <si>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</si>
  <si>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</si>
  <si>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</si>
  <si>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</si>
  <si>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</si>
  <si>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</si>
  <si>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</si>
  <si>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</si>
  <si>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</si>
  <si>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</si>
  <si>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</si>
  <si>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</si>
  <si>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</si>
  <si>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</si>
  <si>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</si>
  <si>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</si>
  <si>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</si>
  <si>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</si>
  <si>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</si>
  <si>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</si>
  <si>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</si>
  <si>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</si>
  <si>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</si>
  <si>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</si>
  <si>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</si>
  <si>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</si>
  <si>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</si>
  <si>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</si>
  <si>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</si>
  <si>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</si>
  <si>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</si>
  <si>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</si>
  <si>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</si>
  <si>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</si>
  <si>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</si>
  <si>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</si>
  <si>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</si>
  <si>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</si>
  <si>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</si>
  <si>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</si>
  <si>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</si>
  <si>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</si>
  <si>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</si>
  <si>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</si>
  <si>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</si>
  <si>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</si>
  <si>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</si>
  <si>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</si>
  <si>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</si>
  <si>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</si>
  <si>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</si>
  <si>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</si>
  <si>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</si>
  <si>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</si>
  <si>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</si>
  <si>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</si>
  <si>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</si>
  <si>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</si>
  <si>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</si>
  <si>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</si>
  <si>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</si>
  <si>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</si>
  <si>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</si>
  <si>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</si>
  <si>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</si>
  <si>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</si>
  <si>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</si>
  <si>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</si>
  <si>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</si>
  <si>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</si>
  <si>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</si>
  <si>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</si>
  <si>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</si>
  <si>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</si>
  <si>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</si>
  <si>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</si>
  <si>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</si>
  <si>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</si>
  <si>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</si>
  <si>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</si>
  <si>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</si>
  <si>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</si>
  <si>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</si>
  <si>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</si>
  <si>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</si>
  <si>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</si>
  <si>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</si>
  <si>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</si>
  <si>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</si>
  <si>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</si>
  <si>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</si>
  <si>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</si>
  <si>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</si>
  <si>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</si>
  <si>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</si>
  <si>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</si>
  <si>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</si>
  <si>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</si>
  <si>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</si>
  <si>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</si>
  <si>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</si>
  <si>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</si>
  <si>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</si>
  <si>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</si>
  <si>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</si>
  <si>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</si>
  <si>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</si>
  <si>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</si>
  <si>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</si>
  <si>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</si>
  <si>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</si>
  <si>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</si>
  <si>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</si>
  <si>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</si>
  <si>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</si>
  <si>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</si>
  <si>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</si>
  <si>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</si>
  <si>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</si>
  <si>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</si>
  <si>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</si>
  <si>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</si>
  <si>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</si>
  <si>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</si>
  <si>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</si>
  <si>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</si>
  <si>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</si>
  <si>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</si>
  <si>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</si>
  <si>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</si>
  <si>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</si>
  <si>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</si>
  <si>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</si>
  <si>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</si>
  <si>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</si>
  <si>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</si>
  <si>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</si>
  <si>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</si>
  <si>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</si>
  <si>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</si>
  <si>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</si>
  <si>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</si>
  <si>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</si>
  <si>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</si>
  <si>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</si>
  <si>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</si>
  <si>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</si>
  <si>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</si>
  <si>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</si>
  <si>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</si>
  <si>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</si>
  <si>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</si>
  <si>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</si>
  <si>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Time deposists/FD or any other form</t>
  </si>
  <si>
    <t>Demand Deposits / Current Accounts</t>
  </si>
  <si>
    <t>Savings Deposits / Saving Accounts</t>
  </si>
  <si>
    <t>CASA Deposits</t>
  </si>
  <si>
    <t>Retail %</t>
  </si>
  <si>
    <t>Commercial %</t>
  </si>
  <si>
    <t>Corporate %</t>
  </si>
  <si>
    <t>Agri %</t>
  </si>
  <si>
    <t>Employee Base</t>
  </si>
  <si>
    <t>Peak</t>
  </si>
  <si>
    <t>Earnings yield/ratio (to compare with other investment options)</t>
  </si>
  <si>
    <t>Other Ratio's</t>
  </si>
  <si>
    <t>Cuurent Ratio (CA/CL) - preferred &gt;=1.25-1.33</t>
  </si>
  <si>
    <t>Debt to Equity Ratio &lt; 1/1 (For heaving ind &lt; 4/1)</t>
  </si>
  <si>
    <t>Avg Working Capital (CA-CL) i.e. Net Current Assets</t>
  </si>
  <si>
    <t>Days Working Capital (W.C*365/Sales)</t>
  </si>
  <si>
    <t>Interest Coverage ratio - EBITDA/Interest &gt; 1.5 to 2</t>
  </si>
  <si>
    <t>Other Income/Revenue</t>
  </si>
  <si>
    <t>Net Interest Margin</t>
  </si>
  <si>
    <t>Inventories</t>
  </si>
  <si>
    <t>Profit Before Tax (PBT)</t>
  </si>
  <si>
    <t>Avg growth rate</t>
  </si>
  <si>
    <t>Cash Profit Margin (Net cash from ops/Rev), higher better</t>
  </si>
  <si>
    <t>Price/Sales per share</t>
  </si>
  <si>
    <t>Current</t>
  </si>
  <si>
    <t>xxxx</t>
  </si>
  <si>
    <t>Preferred</t>
  </si>
  <si>
    <t>Payback Period -in years  with Avg EPS i.e. P/EPSavg</t>
  </si>
  <si>
    <t>Payback Period - with Last EPS i.e. P/EPSlast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</si>
  <si>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</si>
  <si>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</si>
  <si>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</si>
  <si>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</si>
  <si>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</si>
  <si>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</si>
  <si>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</si>
  <si>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</si>
  <si>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</si>
  <si>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B-3</t>
  </si>
  <si>
    <t>S-1</t>
  </si>
  <si>
    <t>Result Quantity</t>
  </si>
  <si>
    <t>Overall gains</t>
  </si>
  <si>
    <t>Total Gain</t>
  </si>
  <si>
    <t>Multiplication - x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</si>
  <si>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</si>
  <si>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</si>
  <si>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</si>
  <si>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</si>
  <si>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</si>
  <si>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</si>
  <si>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</si>
  <si>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</si>
  <si>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</si>
  <si>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</si>
  <si>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</si>
  <si>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</si>
  <si>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</si>
  <si>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</si>
  <si>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</si>
  <si>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</si>
  <si>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</si>
  <si>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</si>
  <si>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</si>
  <si>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</si>
  <si>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Stock Split</t>
  </si>
  <si>
    <t>Bonus Issue</t>
  </si>
  <si>
    <t>Rights issue</t>
  </si>
  <si>
    <t>Provisions &amp; Contingencies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</si>
</sst>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9" formatCode="0.00_);[Red]\(0.0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0" fontId="0" fillId="0" borderId="0" xfId="0"/>
    <xf numFmtId="0" fontId="4" fillId="5" borderId="1" xfId="0" applyFont="1" applyFill="1" applyBorder="1"/>
    <xf numFmtId="0" fontId="4" fillId="5" borderId="0" xfId="0" applyFont="1" applyFill="1"/>
    <xf numFmtId="9" fontId="4" fillId="6" borderId="0" xfId="0" applyNumberFormat="1" applyFont="1" applyFill="1"/>
    <xf numFmtId="0" fontId="4" fillId="5" borderId="1" xfId="0" applyFont="1" applyFill="1" applyBorder="1"/>
    <xf numFmtId="0" fontId="4" fillId="5" borderId="0" xfId="0" applyFont="1" applyFill="1"/>
    <xf numFmtId="10" fontId="4" fillId="11" borderId="1" xfId="1" applyNumberFormat="1" applyFont="1" applyFill="1" applyBorder="1"/>
    <xf numFmtId="10" fontId="4" fillId="11" borderId="4" xfId="1" applyNumberFormat="1" applyFont="1" applyFill="1" applyBorder="1"/>
    <xf numFmtId="175" fontId="4" fillId="5" borderId="1" xfId="2" applyNumberFormat="1" applyFont="1" applyFill="1" applyBorder="1"/>
    <xf numFmtId="9" fontId="4" fillId="5" borderId="1" xfId="1" applyFont="1" applyFill="1" applyBorder="1"/>
    <xf numFmtId="9" fontId="4" fillId="5" borderId="1" xfId="1" applyNumberFormat="1" applyFont="1" applyFill="1" applyBorder="1"/>
    <xf numFmtId="0" fontId="4" fillId="5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2" fontId="4" fillId="5" borderId="1" xfId="0" applyNumberFormat="1" applyFont="1" applyFill="1" applyBorder="1"/>
    <xf numFmtId="0" fontId="4" fillId="5" borderId="0" xfId="0" applyFont="1" applyFill="1"/>
    <xf numFmtId="16" fontId="5" fillId="5" borderId="1" xfId="0" applyNumberFormat="1" applyFont="1" applyFill="1" applyBorder="1"/>
    <xf numFmtId="0" fontId="4" fillId="5" borderId="1" xfId="0" applyFont="1" applyFill="1" applyBorder="1"/>
    <xf numFmtId="9" fontId="4" fillId="6" borderId="1" xfId="0" applyNumberFormat="1" applyFont="1" applyFill="1" applyBorder="1" applyAlignment="1">
      <alignment horizontal="center"/>
    </xf>
    <xf numFmtId="0" fontId="0" fillId="0" borderId="0" xfId="0"/>
    <xf numFmtId="10" fontId="5" fillId="5" borderId="1" xfId="1" applyNumberFormat="1" applyFont="1" applyFill="1" applyBorder="1"/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164" fontId="4" fillId="5" borderId="1" xfId="2" applyNumberFormat="1" applyFont="1" applyFill="1" applyBorder="1"/>
    <xf numFmtId="0" fontId="4" fillId="5" borderId="4" xfId="0" applyFont="1" applyFill="1" applyBorder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164" fontId="5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40" fontId="4" fillId="5" borderId="1" xfId="0" applyNumberFormat="1" applyFont="1" applyFill="1" applyBorder="1"/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0" fontId="4" fillId="6" borderId="4" xfId="1" applyNumberFormat="1" applyFont="1" applyFill="1" applyBorder="1"/>
    <xf numFmtId="10" fontId="5" fillId="5" borderId="4" xfId="1" applyNumberFormat="1" applyFont="1" applyFill="1" applyBorder="1"/>
    <xf numFmtId="179" fontId="4" fillId="5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73216"/>
        <c:axId val="94074752"/>
      </c:lineChart>
      <c:catAx>
        <c:axId val="94073216"/>
        <c:scaling>
          <c:orientation val="minMax"/>
        </c:scaling>
        <c:delete val="0"/>
        <c:axPos val="b"/>
        <c:majorTickMark val="out"/>
        <c:minorTickMark val="none"/>
        <c:tickLblPos val="nextTo"/>
        <c:crossAx val="94074752"/>
        <c:crosses val="autoZero"/>
        <c:auto val="1"/>
        <c:lblAlgn val="ctr"/>
        <c:lblOffset val="100"/>
        <c:noMultiLvlLbl val="0"/>
      </c:catAx>
      <c:valAx>
        <c:axId val="9407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07321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4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29">
        <v>14</v>
      </c>
      <c r="D7" s="20"/>
      <c r="E7" s="20"/>
      <c r="F7" s="20"/>
      <c r="G7" s="20"/>
    </row>
    <row r="8" spans="2:7" x14ac:dyDescent="0.2">
      <c r="B8" s="20" t="s">
        <v>25</v>
      </c>
      <c r="C8" s="129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29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29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29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29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29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29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29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0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1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1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1"/>
      <c r="D32" s="20"/>
      <c r="E32" s="20"/>
      <c r="F32" s="20"/>
      <c r="G32" s="20"/>
    </row>
    <row r="33" spans="2:7" x14ac:dyDescent="0.2">
      <c r="B33" s="20" t="s">
        <v>268</v>
      </c>
      <c r="C33" s="131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1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29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29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29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29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29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29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29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29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29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V237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N6" sqref="N6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ht="15" x14ac:dyDescent="0.25">
      <c r="B1" s="122" t="s">
        <v>241</v>
      </c>
      <c r="C1" s="123">
        <v>0.22</v>
      </c>
      <c r="F1" s="104" t="s">
        <v>252</v>
      </c>
      <c r="H1" s="125">
        <v>2004</v>
      </c>
      <c r="J1" s="104" t="s">
        <v>328</v>
      </c>
      <c r="L1" s="164">
        <v>0.05</v>
      </c>
      <c r="N1" s="174" t="s">
        <v>392</v>
      </c>
      <c r="O1" s="172"/>
      <c r="P1" s="175">
        <v>0.05</v>
      </c>
    </row>
    <row r="2" spans="2:31" x14ac:dyDescent="0.2">
      <c r="B2" s="153" t="s">
        <v>316</v>
      </c>
      <c r="C2" s="120"/>
      <c r="F2" s="104" t="s">
        <v>253</v>
      </c>
      <c r="H2" s="125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226" t="s">
        <v>292</v>
      </c>
      <c r="AE2" s="227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5" t="s">
        <v>1</v>
      </c>
      <c r="AD3" s="228" t="s">
        <v>293</v>
      </c>
      <c r="AE3" s="229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6"/>
      <c r="AD4" s="20"/>
      <c r="AE4" s="20"/>
    </row>
    <row r="5" spans="2:31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6"/>
      <c r="AD5" s="20"/>
      <c r="AE5" s="154"/>
    </row>
    <row r="6" spans="2:31" x14ac:dyDescent="0.2">
      <c r="B6" s="20" t="s">
        <v>16</v>
      </c>
      <c r="C6" s="140"/>
      <c r="D6" s="140"/>
      <c r="E6" s="146"/>
      <c r="F6" s="146"/>
      <c r="G6" s="169">
        <v>510</v>
      </c>
      <c r="H6" s="169">
        <v>538</v>
      </c>
      <c r="I6" s="169">
        <v>575</v>
      </c>
      <c r="J6" s="169">
        <v>736</v>
      </c>
      <c r="K6" s="169">
        <v>789</v>
      </c>
      <c r="L6" s="169">
        <v>1072</v>
      </c>
      <c r="M6" s="169">
        <v>1752</v>
      </c>
      <c r="N6" s="169">
        <v>3350</v>
      </c>
      <c r="O6" s="169">
        <v>4043</v>
      </c>
      <c r="P6" s="169">
        <v>7096</v>
      </c>
      <c r="Q6" s="118">
        <f>((P6/G6)^(1/($H$2-$H$1) ))-1</f>
        <v>0.33982868042941683</v>
      </c>
      <c r="R6" s="31">
        <f>$L$2</f>
        <v>0.12</v>
      </c>
      <c r="S6" s="154">
        <f>P6*(1+$R6)</f>
        <v>7947.52</v>
      </c>
      <c r="T6" s="154">
        <f>S6*(1+$R6)</f>
        <v>8901.2224000000006</v>
      </c>
      <c r="U6" s="154">
        <f t="shared" ref="U6:AB6" si="0">T6*(1+$R6)</f>
        <v>9969.3690880000013</v>
      </c>
      <c r="V6" s="154">
        <f t="shared" si="0"/>
        <v>11165.693378560003</v>
      </c>
      <c r="W6" s="154">
        <f t="shared" si="0"/>
        <v>12505.576583987204</v>
      </c>
      <c r="X6" s="154">
        <f t="shared" si="0"/>
        <v>14006.24577406567</v>
      </c>
      <c r="Y6" s="154">
        <f t="shared" si="0"/>
        <v>15686.995266953552</v>
      </c>
      <c r="Z6" s="154">
        <f t="shared" si="0"/>
        <v>17569.434698987981</v>
      </c>
      <c r="AA6" s="154">
        <f t="shared" si="0"/>
        <v>19677.766862866541</v>
      </c>
      <c r="AB6" s="154">
        <f t="shared" si="0"/>
        <v>22039.098886410527</v>
      </c>
      <c r="AC6" s="137">
        <f>((AB6/G6)^(1/($AB$3-$H$1) ))-1</f>
        <v>0.21922948178585866</v>
      </c>
      <c r="AD6" s="31">
        <f>$L$1</f>
        <v>0.05</v>
      </c>
      <c r="AE6" s="145">
        <f t="shared" ref="AE6:AE72" si="1">(AB6*(1+AD6))/($C$1-AD6)</f>
        <v>136123.84606312387</v>
      </c>
    </row>
    <row r="7" spans="2:31" x14ac:dyDescent="0.2">
      <c r="B7" s="20" t="s">
        <v>240</v>
      </c>
      <c r="C7" s="140"/>
      <c r="D7" s="140"/>
      <c r="E7" s="146"/>
      <c r="F7" s="146"/>
      <c r="G7" s="169">
        <v>800</v>
      </c>
      <c r="H7" s="169">
        <v>829</v>
      </c>
      <c r="I7" s="169">
        <v>866</v>
      </c>
      <c r="J7" s="169">
        <v>1056</v>
      </c>
      <c r="K7" s="169">
        <v>1349</v>
      </c>
      <c r="L7" s="169">
        <v>1664</v>
      </c>
      <c r="M7" s="169">
        <v>2397</v>
      </c>
      <c r="N7" s="169">
        <v>4050</v>
      </c>
      <c r="O7" s="169">
        <v>4741</v>
      </c>
      <c r="P7" s="169">
        <v>7630</v>
      </c>
      <c r="Q7" s="118">
        <f>((P7/G7)^(1/($H$2-$H$1) ))-1</f>
        <v>0.2847719943372371</v>
      </c>
      <c r="R7" s="31">
        <f>$L$2</f>
        <v>0.12</v>
      </c>
      <c r="S7" s="154">
        <f t="shared" ref="S7:S18" si="2">P7*(1+$R7)</f>
        <v>8545.6</v>
      </c>
      <c r="T7" s="154">
        <f t="shared" ref="T7:AB7" si="3">S7*(1+$R7)</f>
        <v>9571.0720000000019</v>
      </c>
      <c r="U7" s="154">
        <f t="shared" si="3"/>
        <v>10719.600640000002</v>
      </c>
      <c r="V7" s="154">
        <f t="shared" si="3"/>
        <v>12005.952716800004</v>
      </c>
      <c r="W7" s="154">
        <f t="shared" si="3"/>
        <v>13446.667042816005</v>
      </c>
      <c r="X7" s="154">
        <f t="shared" si="3"/>
        <v>15060.267087953927</v>
      </c>
      <c r="Y7" s="154">
        <f t="shared" si="3"/>
        <v>16867.499138508399</v>
      </c>
      <c r="Z7" s="154">
        <f t="shared" si="3"/>
        <v>18891.599035129409</v>
      </c>
      <c r="AA7" s="154">
        <f t="shared" si="3"/>
        <v>21158.590919344941</v>
      </c>
      <c r="AB7" s="154">
        <f t="shared" si="3"/>
        <v>23697.621829666336</v>
      </c>
      <c r="AC7" s="137">
        <f>((AB7/G7)^(1/($AB$3-$H$1) ))-1</f>
        <v>0.19523529522682948</v>
      </c>
      <c r="AD7" s="31">
        <f>$L$1</f>
        <v>0.05</v>
      </c>
      <c r="AE7" s="145">
        <f t="shared" si="1"/>
        <v>146367.66424205681</v>
      </c>
    </row>
    <row r="8" spans="2:31" x14ac:dyDescent="0.2">
      <c r="B8" s="20"/>
      <c r="C8" s="140"/>
      <c r="D8" s="140"/>
      <c r="E8" s="146"/>
      <c r="F8" s="146"/>
      <c r="G8" s="148">
        <f>(G7-F7)/G7</f>
        <v>1</v>
      </c>
      <c r="H8" s="151">
        <f>(H7-G7)/H7</f>
        <v>3.4981905910735828E-2</v>
      </c>
      <c r="I8" s="151">
        <f t="shared" ref="I8:P8" si="4">(I7-H7)/I7</f>
        <v>4.2725173210161664E-2</v>
      </c>
      <c r="J8" s="151">
        <f t="shared" si="4"/>
        <v>0.17992424242424243</v>
      </c>
      <c r="K8" s="151">
        <f t="shared" si="4"/>
        <v>0.21719792438843588</v>
      </c>
      <c r="L8" s="151">
        <f t="shared" si="4"/>
        <v>0.18930288461538461</v>
      </c>
      <c r="M8" s="151">
        <f t="shared" si="4"/>
        <v>0.30579891531080516</v>
      </c>
      <c r="N8" s="151">
        <f t="shared" si="4"/>
        <v>0.40814814814814815</v>
      </c>
      <c r="O8" s="151">
        <f t="shared" si="4"/>
        <v>0.14574984180552625</v>
      </c>
      <c r="P8" s="151">
        <f t="shared" si="4"/>
        <v>0.3786369593709043</v>
      </c>
      <c r="Q8" s="127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6"/>
      <c r="AD8" s="136"/>
      <c r="AE8" s="145"/>
    </row>
    <row r="9" spans="2:31" x14ac:dyDescent="0.2">
      <c r="B9" s="20" t="s">
        <v>270</v>
      </c>
      <c r="C9" s="140"/>
      <c r="D9" s="140"/>
      <c r="E9" s="146"/>
      <c r="F9" s="146"/>
      <c r="G9" s="169">
        <v>0</v>
      </c>
      <c r="H9" s="169"/>
      <c r="I9" s="169"/>
      <c r="J9" s="169"/>
      <c r="K9" s="169"/>
      <c r="L9" s="169">
        <v>0</v>
      </c>
      <c r="M9" s="169"/>
      <c r="N9" s="169"/>
      <c r="O9" s="169"/>
      <c r="P9" s="169"/>
      <c r="Q9" s="118" t="e">
        <f t="shared" ref="Q9:Q18" si="5">((P9/G9)^(1/($H$2-$H$1) ))-1</f>
        <v>#DIV/0!</v>
      </c>
      <c r="R9" s="31">
        <f t="shared" ref="R9:R68" si="6">$L$2</f>
        <v>0.12</v>
      </c>
      <c r="S9" s="154">
        <f t="shared" ref="S9" si="7">P9*(1+$R9)</f>
        <v>0</v>
      </c>
      <c r="T9" s="154">
        <f t="shared" ref="T9" si="8">S9*(1+$R9)</f>
        <v>0</v>
      </c>
      <c r="U9" s="154">
        <f t="shared" ref="U9" si="9">T9*(1+$R9)</f>
        <v>0</v>
      </c>
      <c r="V9" s="154">
        <f t="shared" ref="V9" si="10">U9*(1+$R9)</f>
        <v>0</v>
      </c>
      <c r="W9" s="154">
        <f t="shared" ref="W9" si="11">V9*(1+$R9)</f>
        <v>0</v>
      </c>
      <c r="X9" s="154">
        <f t="shared" ref="X9" si="12">W9*(1+$R9)</f>
        <v>0</v>
      </c>
      <c r="Y9" s="154">
        <f t="shared" ref="Y9" si="13">X9*(1+$R9)</f>
        <v>0</v>
      </c>
      <c r="Z9" s="154">
        <f t="shared" ref="Z9" si="14">Y9*(1+$R9)</f>
        <v>0</v>
      </c>
      <c r="AA9" s="154">
        <f t="shared" ref="AA9" si="15">Z9*(1+$R9)</f>
        <v>0</v>
      </c>
      <c r="AB9" s="154">
        <f t="shared" ref="AB9" si="16">AA9*(1+$R9)</f>
        <v>0</v>
      </c>
      <c r="AC9" s="137" t="e">
        <f>((AB9/G9)^(1/($AB$3-$H$1) ))-1</f>
        <v>#DIV/0!</v>
      </c>
      <c r="AD9" s="31">
        <f t="shared" ref="AD9:AD107" si="17">$L$1</f>
        <v>0.05</v>
      </c>
      <c r="AE9" s="145">
        <f t="shared" si="1"/>
        <v>0</v>
      </c>
    </row>
    <row r="10" spans="2:31" x14ac:dyDescent="0.2">
      <c r="B10" s="20" t="s">
        <v>4</v>
      </c>
      <c r="C10" s="140"/>
      <c r="D10" s="140"/>
      <c r="E10" s="146"/>
      <c r="F10" s="146"/>
      <c r="G10" s="169">
        <v>13510</v>
      </c>
      <c r="H10" s="169">
        <v>13724</v>
      </c>
      <c r="I10" s="169">
        <v>15541</v>
      </c>
      <c r="J10" s="169">
        <v>18237</v>
      </c>
      <c r="K10" s="169">
        <v>20132</v>
      </c>
      <c r="L10" s="169">
        <v>23996</v>
      </c>
      <c r="M10" s="169">
        <v>31644</v>
      </c>
      <c r="N10" s="169">
        <v>39890</v>
      </c>
      <c r="O10" s="169">
        <v>51043</v>
      </c>
      <c r="P10" s="169">
        <v>63576</v>
      </c>
      <c r="Q10" s="118">
        <f t="shared" si="5"/>
        <v>0.18778418643147932</v>
      </c>
      <c r="R10" s="31">
        <f t="shared" si="6"/>
        <v>0.12</v>
      </c>
      <c r="S10" s="154">
        <f t="shared" si="2"/>
        <v>71205.12000000001</v>
      </c>
      <c r="T10" s="154">
        <f t="shared" ref="T10:AB10" si="18">S10*(1+$R10)</f>
        <v>79749.734400000016</v>
      </c>
      <c r="U10" s="154">
        <f t="shared" si="18"/>
        <v>89319.702528000023</v>
      </c>
      <c r="V10" s="154">
        <f t="shared" si="18"/>
        <v>100038.06683136003</v>
      </c>
      <c r="W10" s="154">
        <f t="shared" si="18"/>
        <v>112042.63485112325</v>
      </c>
      <c r="X10" s="154">
        <f t="shared" si="18"/>
        <v>125487.75103325806</v>
      </c>
      <c r="Y10" s="154">
        <f t="shared" si="18"/>
        <v>140546.28115724903</v>
      </c>
      <c r="Z10" s="154">
        <f t="shared" si="18"/>
        <v>157411.83489611893</v>
      </c>
      <c r="AA10" s="154">
        <f t="shared" si="18"/>
        <v>176301.25508365323</v>
      </c>
      <c r="AB10" s="154">
        <f t="shared" si="18"/>
        <v>197457.40569369163</v>
      </c>
      <c r="AC10" s="137">
        <f t="shared" ref="AC10:AC71" si="19">((AB10/G10)^(1/($AB$3-$H$1) ))-1</f>
        <v>0.15161208740092547</v>
      </c>
      <c r="AD10" s="31">
        <f t="shared" si="17"/>
        <v>0.05</v>
      </c>
      <c r="AE10" s="145">
        <f t="shared" si="1"/>
        <v>1219589.8586963308</v>
      </c>
    </row>
    <row r="11" spans="2:31" x14ac:dyDescent="0.2">
      <c r="B11" s="20"/>
      <c r="C11" s="140"/>
      <c r="D11" s="140"/>
      <c r="E11" s="146"/>
      <c r="F11" s="146"/>
      <c r="G11" s="148">
        <f>(G10-F10)/G10</f>
        <v>1</v>
      </c>
      <c r="H11" s="147">
        <f>(H10-G10)/H10</f>
        <v>1.5593121538909939E-2</v>
      </c>
      <c r="I11" s="147">
        <f t="shared" ref="I11" si="20">(I10-H10)/I10</f>
        <v>0.11691654333697961</v>
      </c>
      <c r="J11" s="147">
        <f t="shared" ref="J11" si="21">(J10-I10)/J10</f>
        <v>0.14783133190766026</v>
      </c>
      <c r="K11" s="147">
        <f t="shared" ref="K11" si="22">(K10-J10)/K10</f>
        <v>9.4128750248360815E-2</v>
      </c>
      <c r="L11" s="147">
        <f t="shared" ref="L11" si="23">(L10-K10)/L10</f>
        <v>0.16102683780630106</v>
      </c>
      <c r="M11" s="147">
        <f t="shared" ref="M11" si="24">(M10-L10)/M10</f>
        <v>0.24168878776387309</v>
      </c>
      <c r="N11" s="147">
        <f t="shared" ref="N11" si="25">(N10-M10)/N10</f>
        <v>0.2067184758084733</v>
      </c>
      <c r="O11" s="147">
        <f t="shared" ref="O11" si="26">(O10-N10)/O10</f>
        <v>0.21850204729345846</v>
      </c>
      <c r="P11" s="147">
        <f t="shared" ref="P11" si="27">(P10-O10)/P10</f>
        <v>0.19713413866868001</v>
      </c>
      <c r="Q11" s="127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0"/>
      <c r="D12" s="140"/>
      <c r="E12" s="146"/>
      <c r="F12" s="146"/>
      <c r="G12" s="169">
        <v>0</v>
      </c>
      <c r="H12" s="169"/>
      <c r="I12" s="169"/>
      <c r="J12" s="169"/>
      <c r="K12" s="169"/>
      <c r="L12" s="169">
        <v>0</v>
      </c>
      <c r="M12" s="169"/>
      <c r="N12" s="169"/>
      <c r="O12" s="169"/>
      <c r="P12" s="169"/>
      <c r="Q12" s="118" t="e">
        <f t="shared" si="5"/>
        <v>#DIV/0!</v>
      </c>
      <c r="R12" s="31">
        <f t="shared" si="6"/>
        <v>0.12</v>
      </c>
      <c r="S12" s="154">
        <f t="shared" si="2"/>
        <v>0</v>
      </c>
      <c r="T12" s="154">
        <f t="shared" ref="T12:AB14" si="28">S12*(1+$R12)</f>
        <v>0</v>
      </c>
      <c r="U12" s="154">
        <f t="shared" si="28"/>
        <v>0</v>
      </c>
      <c r="V12" s="154">
        <f t="shared" si="28"/>
        <v>0</v>
      </c>
      <c r="W12" s="154">
        <f t="shared" si="28"/>
        <v>0</v>
      </c>
      <c r="X12" s="154">
        <f t="shared" si="28"/>
        <v>0</v>
      </c>
      <c r="Y12" s="154">
        <f t="shared" si="28"/>
        <v>0</v>
      </c>
      <c r="Z12" s="154">
        <f t="shared" si="28"/>
        <v>0</v>
      </c>
      <c r="AA12" s="154">
        <f t="shared" si="28"/>
        <v>0</v>
      </c>
      <c r="AB12" s="154">
        <f t="shared" si="28"/>
        <v>0</v>
      </c>
      <c r="AC12" s="137" t="e">
        <f t="shared" si="19"/>
        <v>#DIV/0!</v>
      </c>
      <c r="AD12" s="31">
        <f t="shared" si="17"/>
        <v>0.05</v>
      </c>
      <c r="AE12" s="145">
        <f t="shared" si="1"/>
        <v>0</v>
      </c>
    </row>
    <row r="13" spans="2:31" x14ac:dyDescent="0.2">
      <c r="B13" s="20" t="s">
        <v>362</v>
      </c>
      <c r="C13" s="140"/>
      <c r="D13" s="140"/>
      <c r="E13" s="146"/>
      <c r="F13" s="146"/>
      <c r="G13" s="146">
        <v>1334</v>
      </c>
      <c r="H13" s="146">
        <v>636</v>
      </c>
      <c r="I13" s="146">
        <v>604</v>
      </c>
      <c r="J13" s="146">
        <v>1021</v>
      </c>
      <c r="K13" s="146">
        <v>1526</v>
      </c>
      <c r="L13" s="146">
        <v>1190</v>
      </c>
      <c r="M13" s="146">
        <v>2099</v>
      </c>
      <c r="N13" s="146">
        <v>2456</v>
      </c>
      <c r="O13" s="146">
        <v>2903</v>
      </c>
      <c r="P13" s="146">
        <v>3249</v>
      </c>
      <c r="Q13" s="118">
        <f t="shared" si="5"/>
        <v>0.10396390941918643</v>
      </c>
      <c r="R13" s="31">
        <v>0.1</v>
      </c>
      <c r="S13" s="154">
        <f t="shared" si="2"/>
        <v>3573.9</v>
      </c>
      <c r="T13" s="154">
        <f t="shared" si="28"/>
        <v>3931.2900000000004</v>
      </c>
      <c r="U13" s="154">
        <f t="shared" si="28"/>
        <v>4324.4190000000008</v>
      </c>
      <c r="V13" s="154">
        <f t="shared" si="28"/>
        <v>4756.8609000000015</v>
      </c>
      <c r="W13" s="154">
        <f t="shared" si="28"/>
        <v>5232.5469900000016</v>
      </c>
      <c r="X13" s="154">
        <f t="shared" si="28"/>
        <v>5755.8016890000026</v>
      </c>
      <c r="Y13" s="154">
        <f t="shared" si="28"/>
        <v>6331.3818579000035</v>
      </c>
      <c r="Z13" s="154">
        <f t="shared" si="28"/>
        <v>6964.5200436900041</v>
      </c>
      <c r="AA13" s="154">
        <f t="shared" si="28"/>
        <v>7660.9720480590049</v>
      </c>
      <c r="AB13" s="154">
        <f t="shared" si="28"/>
        <v>8427.069252864907</v>
      </c>
      <c r="AC13" s="137">
        <f>((AB13/G13)^(1/($AB$3-$H$1) ))-1</f>
        <v>0.10187586398672144</v>
      </c>
      <c r="AD13" s="31">
        <v>0.08</v>
      </c>
      <c r="AE13" s="145">
        <f t="shared" si="1"/>
        <v>65008.819950672136</v>
      </c>
    </row>
    <row r="14" spans="2:31" x14ac:dyDescent="0.2">
      <c r="B14" s="20" t="s">
        <v>363</v>
      </c>
      <c r="C14" s="140"/>
      <c r="D14" s="140"/>
      <c r="E14" s="146"/>
      <c r="F14" s="146"/>
      <c r="G14" s="146">
        <v>919</v>
      </c>
      <c r="H14" s="146">
        <v>518</v>
      </c>
      <c r="I14" s="146">
        <v>876</v>
      </c>
      <c r="J14" s="146">
        <v>1574</v>
      </c>
      <c r="K14" s="146">
        <v>651</v>
      </c>
      <c r="L14" s="146">
        <v>732</v>
      </c>
      <c r="M14" s="146">
        <v>504</v>
      </c>
      <c r="N14" s="146">
        <v>1568</v>
      </c>
      <c r="O14" s="146">
        <v>2636</v>
      </c>
      <c r="P14" s="146">
        <v>3598</v>
      </c>
      <c r="Q14" s="118">
        <f t="shared" si="5"/>
        <v>0.16375250150562293</v>
      </c>
      <c r="R14" s="31">
        <v>0.1</v>
      </c>
      <c r="S14" s="154">
        <f t="shared" si="2"/>
        <v>3957.8</v>
      </c>
      <c r="T14" s="154">
        <f t="shared" si="28"/>
        <v>4353.5800000000008</v>
      </c>
      <c r="U14" s="154">
        <f t="shared" si="28"/>
        <v>4788.938000000001</v>
      </c>
      <c r="V14" s="154">
        <f t="shared" si="28"/>
        <v>5267.8318000000017</v>
      </c>
      <c r="W14" s="154">
        <f t="shared" si="28"/>
        <v>5794.6149800000021</v>
      </c>
      <c r="X14" s="154">
        <f t="shared" si="28"/>
        <v>6374.0764780000027</v>
      </c>
      <c r="Y14" s="154">
        <f t="shared" si="28"/>
        <v>7011.4841258000033</v>
      </c>
      <c r="Z14" s="154">
        <f t="shared" si="28"/>
        <v>7712.632538380004</v>
      </c>
      <c r="AA14" s="154">
        <f t="shared" si="28"/>
        <v>8483.8957922180052</v>
      </c>
      <c r="AB14" s="154">
        <f t="shared" si="28"/>
        <v>9332.2853714398061</v>
      </c>
      <c r="AC14" s="137">
        <f t="shared" ref="AC14" si="29">((AB14/G14)^(1/($AB$3-$H$1) ))-1</f>
        <v>0.12975107464976454</v>
      </c>
      <c r="AD14" s="31">
        <v>0.08</v>
      </c>
      <c r="AE14" s="145">
        <f t="shared" si="1"/>
        <v>71991.915722535647</v>
      </c>
    </row>
    <row r="15" spans="2:31" x14ac:dyDescent="0.2">
      <c r="B15" s="20" t="s">
        <v>218</v>
      </c>
      <c r="C15" s="140"/>
      <c r="D15" s="140"/>
      <c r="E15" s="146"/>
      <c r="F15" s="146"/>
      <c r="G15" s="169">
        <v>3971</v>
      </c>
      <c r="H15" s="169">
        <v>4069</v>
      </c>
      <c r="I15" s="169">
        <v>5409</v>
      </c>
      <c r="J15" s="169">
        <v>5891</v>
      </c>
      <c r="K15" s="169">
        <v>6629</v>
      </c>
      <c r="L15" s="169">
        <v>8083</v>
      </c>
      <c r="M15" s="169">
        <v>10401</v>
      </c>
      <c r="N15" s="169">
        <v>13550</v>
      </c>
      <c r="O15" s="169">
        <v>14571</v>
      </c>
      <c r="P15" s="169">
        <v>19654</v>
      </c>
      <c r="Q15" s="118">
        <f t="shared" si="5"/>
        <v>0.19446200724061224</v>
      </c>
      <c r="R15" s="31">
        <f t="shared" si="6"/>
        <v>0.12</v>
      </c>
      <c r="S15" s="154">
        <f t="shared" si="2"/>
        <v>22012.480000000003</v>
      </c>
      <c r="T15" s="154">
        <f t="shared" ref="T15:AB16" si="30">S15*(1+$R15)</f>
        <v>24653.977600000006</v>
      </c>
      <c r="U15" s="154">
        <f t="shared" si="30"/>
        <v>27612.454912000008</v>
      </c>
      <c r="V15" s="154">
        <f t="shared" si="30"/>
        <v>30925.949501440013</v>
      </c>
      <c r="W15" s="154">
        <f t="shared" si="30"/>
        <v>34637.063441612816</v>
      </c>
      <c r="X15" s="154">
        <f t="shared" si="30"/>
        <v>38793.511054606359</v>
      </c>
      <c r="Y15" s="154">
        <f t="shared" si="30"/>
        <v>43448.732381159127</v>
      </c>
      <c r="Z15" s="154">
        <f t="shared" si="30"/>
        <v>48662.580266898229</v>
      </c>
      <c r="AA15" s="154">
        <f t="shared" si="30"/>
        <v>54502.089898926024</v>
      </c>
      <c r="AB15" s="154">
        <f t="shared" si="30"/>
        <v>61042.34068679715</v>
      </c>
      <c r="AC15" s="137">
        <f t="shared" si="19"/>
        <v>0.15467441160421513</v>
      </c>
      <c r="AD15" s="31">
        <f t="shared" si="17"/>
        <v>0.05</v>
      </c>
      <c r="AE15" s="145">
        <f t="shared" si="1"/>
        <v>377026.22188904131</v>
      </c>
    </row>
    <row r="16" spans="2:31" x14ac:dyDescent="0.2">
      <c r="B16" s="20" t="s">
        <v>390</v>
      </c>
      <c r="C16" s="140"/>
      <c r="D16" s="140"/>
      <c r="E16" s="146"/>
      <c r="F16" s="146"/>
      <c r="G16" s="169">
        <v>0</v>
      </c>
      <c r="H16" s="169"/>
      <c r="I16" s="169"/>
      <c r="J16" s="169"/>
      <c r="K16" s="169"/>
      <c r="L16" s="169">
        <v>0</v>
      </c>
      <c r="M16" s="169"/>
      <c r="N16" s="169"/>
      <c r="O16" s="169"/>
      <c r="P16" s="169"/>
      <c r="Q16" s="118" t="e">
        <f t="shared" ref="Q16" si="31">((P16/G16)^(1/($H$2-$H$1) ))-1</f>
        <v>#DIV/0!</v>
      </c>
      <c r="R16" s="31">
        <f t="shared" si="6"/>
        <v>0.12</v>
      </c>
      <c r="S16" s="154">
        <f t="shared" ref="S16" si="32">P16*(1+$R16)</f>
        <v>0</v>
      </c>
      <c r="T16" s="154">
        <f t="shared" ref="T16" si="33">S16*(1+$R16)</f>
        <v>0</v>
      </c>
      <c r="U16" s="154">
        <f t="shared" ref="U16" si="34">T16*(1+$R16)</f>
        <v>0</v>
      </c>
      <c r="V16" s="154">
        <f t="shared" si="30"/>
        <v>0</v>
      </c>
      <c r="W16" s="154">
        <f t="shared" si="30"/>
        <v>0</v>
      </c>
      <c r="X16" s="154">
        <f t="shared" si="30"/>
        <v>0</v>
      </c>
      <c r="Y16" s="154">
        <f t="shared" si="30"/>
        <v>0</v>
      </c>
      <c r="Z16" s="154">
        <f t="shared" si="30"/>
        <v>0</v>
      </c>
      <c r="AA16" s="154">
        <f t="shared" si="30"/>
        <v>0</v>
      </c>
      <c r="AB16" s="154">
        <f t="shared" si="30"/>
        <v>0</v>
      </c>
      <c r="AC16" s="137" t="e">
        <f t="shared" ref="AC16" si="35">((AB16/G16)^(1/($AB$3-$H$1) ))-1</f>
        <v>#DIV/0!</v>
      </c>
      <c r="AD16" s="31">
        <f t="shared" si="17"/>
        <v>0.05</v>
      </c>
      <c r="AE16" s="145">
        <f t="shared" ref="AE16" si="36">(AB16*(1+AD16))/($C$1-AD16)</f>
        <v>0</v>
      </c>
    </row>
    <row r="17" spans="2:31" x14ac:dyDescent="0.2">
      <c r="B17" s="20" t="s">
        <v>19</v>
      </c>
      <c r="C17" s="140"/>
      <c r="D17" s="140"/>
      <c r="E17" s="146"/>
      <c r="F17" s="146"/>
      <c r="G17" s="169">
        <v>0</v>
      </c>
      <c r="H17" s="169"/>
      <c r="I17" s="169"/>
      <c r="J17" s="169"/>
      <c r="K17" s="169"/>
      <c r="L17" s="169">
        <v>0</v>
      </c>
      <c r="M17" s="169"/>
      <c r="N17" s="169"/>
      <c r="O17" s="169"/>
      <c r="P17" s="169"/>
      <c r="Q17" s="118" t="e">
        <f t="shared" si="5"/>
        <v>#DIV/0!</v>
      </c>
      <c r="R17" s="31">
        <f t="shared" si="6"/>
        <v>0.12</v>
      </c>
      <c r="S17" s="154">
        <f t="shared" si="2"/>
        <v>0</v>
      </c>
      <c r="T17" s="154">
        <f t="shared" ref="T17:AB17" si="37">S17*(1+$R17)</f>
        <v>0</v>
      </c>
      <c r="U17" s="154">
        <f t="shared" si="37"/>
        <v>0</v>
      </c>
      <c r="V17" s="154">
        <f t="shared" si="37"/>
        <v>0</v>
      </c>
      <c r="W17" s="154">
        <f t="shared" si="37"/>
        <v>0</v>
      </c>
      <c r="X17" s="154">
        <f t="shared" si="37"/>
        <v>0</v>
      </c>
      <c r="Y17" s="154">
        <f t="shared" si="37"/>
        <v>0</v>
      </c>
      <c r="Z17" s="154">
        <f t="shared" si="37"/>
        <v>0</v>
      </c>
      <c r="AA17" s="154">
        <f t="shared" si="37"/>
        <v>0</v>
      </c>
      <c r="AB17" s="154">
        <f t="shared" si="37"/>
        <v>0</v>
      </c>
      <c r="AC17" s="137" t="e">
        <f t="shared" si="19"/>
        <v>#DIV/0!</v>
      </c>
      <c r="AD17" s="31">
        <f t="shared" si="17"/>
        <v>0.05</v>
      </c>
      <c r="AE17" s="145">
        <f t="shared" si="1"/>
        <v>0</v>
      </c>
    </row>
    <row r="18" spans="2:31" x14ac:dyDescent="0.2">
      <c r="B18" s="20" t="s">
        <v>23</v>
      </c>
      <c r="C18" s="140"/>
      <c r="D18" s="140"/>
      <c r="E18" s="146"/>
      <c r="F18" s="146"/>
      <c r="G18" s="169">
        <v>0</v>
      </c>
      <c r="H18" s="169"/>
      <c r="I18" s="169"/>
      <c r="J18" s="169"/>
      <c r="K18" s="169"/>
      <c r="L18" s="169">
        <v>0</v>
      </c>
      <c r="M18" s="169"/>
      <c r="N18" s="169"/>
      <c r="O18" s="169"/>
      <c r="P18" s="169"/>
      <c r="Q18" s="118" t="e">
        <f t="shared" si="5"/>
        <v>#DIV/0!</v>
      </c>
      <c r="R18" s="31">
        <f t="shared" si="6"/>
        <v>0.12</v>
      </c>
      <c r="S18" s="154">
        <f t="shared" si="2"/>
        <v>0</v>
      </c>
      <c r="T18" s="154">
        <f t="shared" ref="T18:AB18" si="38">S18*(1+$R18)</f>
        <v>0</v>
      </c>
      <c r="U18" s="154">
        <f t="shared" si="38"/>
        <v>0</v>
      </c>
      <c r="V18" s="154">
        <f t="shared" si="38"/>
        <v>0</v>
      </c>
      <c r="W18" s="154">
        <f t="shared" si="38"/>
        <v>0</v>
      </c>
      <c r="X18" s="154">
        <f t="shared" si="38"/>
        <v>0</v>
      </c>
      <c r="Y18" s="154">
        <f t="shared" si="38"/>
        <v>0</v>
      </c>
      <c r="Z18" s="154">
        <f t="shared" si="38"/>
        <v>0</v>
      </c>
      <c r="AA18" s="154">
        <f t="shared" si="38"/>
        <v>0</v>
      </c>
      <c r="AB18" s="154">
        <f t="shared" si="38"/>
        <v>0</v>
      </c>
      <c r="AC18" s="137" t="e">
        <f t="shared" si="19"/>
        <v>#DIV/0!</v>
      </c>
      <c r="AD18" s="31">
        <f t="shared" si="17"/>
        <v>0.05</v>
      </c>
      <c r="AE18" s="145">
        <f t="shared" si="1"/>
        <v>0</v>
      </c>
    </row>
    <row r="19" spans="2:31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27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8"/>
      <c r="AD19" s="136"/>
      <c r="AE19" s="154"/>
    </row>
    <row r="20" spans="2:31" x14ac:dyDescent="0.2">
      <c r="B20" s="20" t="s">
        <v>364</v>
      </c>
      <c r="C20" s="140"/>
      <c r="D20" s="140"/>
      <c r="E20" s="146"/>
      <c r="F20" s="146"/>
      <c r="G20" s="146">
        <v>4572</v>
      </c>
      <c r="H20" s="146">
        <v>9592</v>
      </c>
      <c r="I20" s="146">
        <v>15528</v>
      </c>
      <c r="J20" s="146">
        <v>18493</v>
      </c>
      <c r="K20" s="146">
        <v>28301</v>
      </c>
      <c r="L20" s="146">
        <v>42279</v>
      </c>
      <c r="M20" s="146">
        <v>45317</v>
      </c>
      <c r="N20" s="146">
        <v>79647</v>
      </c>
      <c r="O20" s="146">
        <v>99523</v>
      </c>
      <c r="P20" s="146">
        <v>134902</v>
      </c>
      <c r="Q20" s="118">
        <f>((P20/G20)^(1/($H$2-$H$1) ))-1</f>
        <v>0.45654388439307492</v>
      </c>
      <c r="R20" s="31">
        <v>0.1</v>
      </c>
      <c r="S20" s="154">
        <f t="shared" ref="S20" si="39">P20*(1+$R20)</f>
        <v>148392.20000000001</v>
      </c>
      <c r="T20" s="154">
        <f t="shared" ref="T20" si="40">S20*(1+$R20)</f>
        <v>163231.42000000001</v>
      </c>
      <c r="U20" s="154">
        <f t="shared" ref="U20" si="41">T20*(1+$R20)</f>
        <v>179554.56200000003</v>
      </c>
      <c r="V20" s="154">
        <f t="shared" ref="V20" si="42">U20*(1+$R20)</f>
        <v>197510.01820000005</v>
      </c>
      <c r="W20" s="154">
        <f t="shared" ref="W20" si="43">V20*(1+$R20)</f>
        <v>217261.02002000008</v>
      </c>
      <c r="X20" s="154">
        <f t="shared" ref="X20" si="44">W20*(1+$R20)</f>
        <v>238987.12202200011</v>
      </c>
      <c r="Y20" s="154">
        <f t="shared" ref="Y20" si="45">X20*(1+$R20)</f>
        <v>262885.83422420017</v>
      </c>
      <c r="Z20" s="154">
        <f t="shared" ref="Z20" si="46">Y20*(1+$R20)</f>
        <v>289174.41764662019</v>
      </c>
      <c r="AA20" s="154">
        <f t="shared" ref="AA20" si="47">Z20*(1+$R20)</f>
        <v>318091.85941128223</v>
      </c>
      <c r="AB20" s="154">
        <f t="shared" ref="AB20" si="48">AA20*(1+$R20)</f>
        <v>349901.04535241047</v>
      </c>
      <c r="AC20" s="137">
        <f t="shared" ref="AC20" si="49">((AB20/G20)^(1/($AB$3-$H$1) ))-1</f>
        <v>0.25646218381969632</v>
      </c>
      <c r="AD20" s="31">
        <v>0.08</v>
      </c>
      <c r="AE20" s="145">
        <f t="shared" si="1"/>
        <v>2699236.6355757378</v>
      </c>
    </row>
    <row r="21" spans="2:31" x14ac:dyDescent="0.2">
      <c r="B21" s="20" t="s">
        <v>365</v>
      </c>
      <c r="C21" s="140"/>
      <c r="D21" s="140"/>
      <c r="E21" s="146"/>
      <c r="F21" s="146"/>
      <c r="G21" s="146">
        <v>1689</v>
      </c>
      <c r="H21" s="146">
        <v>2778</v>
      </c>
      <c r="I21" s="146">
        <v>1578</v>
      </c>
      <c r="J21" s="146">
        <v>3729</v>
      </c>
      <c r="K21" s="146">
        <v>4441</v>
      </c>
      <c r="L21" s="146">
        <v>2020</v>
      </c>
      <c r="M21" s="146">
        <v>5895</v>
      </c>
      <c r="N21" s="146">
        <v>7860</v>
      </c>
      <c r="O21" s="146">
        <v>9817</v>
      </c>
      <c r="P21" s="146">
        <v>0</v>
      </c>
      <c r="Q21" s="118">
        <f>((P21/G21)^(1/($H$2-$H$1) ))-1</f>
        <v>-1</v>
      </c>
      <c r="R21" s="31">
        <v>0.1</v>
      </c>
      <c r="S21" s="154">
        <f t="shared" ref="S21" si="50">P21*(1+$R21)</f>
        <v>0</v>
      </c>
      <c r="T21" s="154">
        <f t="shared" ref="T21:AB21" si="51">S21*(1+$R21)</f>
        <v>0</v>
      </c>
      <c r="U21" s="154">
        <f t="shared" si="51"/>
        <v>0</v>
      </c>
      <c r="V21" s="154">
        <f t="shared" si="51"/>
        <v>0</v>
      </c>
      <c r="W21" s="154">
        <f t="shared" si="51"/>
        <v>0</v>
      </c>
      <c r="X21" s="154">
        <f t="shared" si="51"/>
        <v>0</v>
      </c>
      <c r="Y21" s="154">
        <f t="shared" si="51"/>
        <v>0</v>
      </c>
      <c r="Z21" s="154">
        <f t="shared" si="51"/>
        <v>0</v>
      </c>
      <c r="AA21" s="154">
        <f t="shared" si="51"/>
        <v>0</v>
      </c>
      <c r="AB21" s="154">
        <f t="shared" si="51"/>
        <v>0</v>
      </c>
      <c r="AC21" s="137">
        <f t="shared" ref="AC21" si="52">((AB21/G21)^(1/($AB$3-$H$1) ))-1</f>
        <v>-1</v>
      </c>
      <c r="AD21" s="31">
        <v>0.08</v>
      </c>
      <c r="AE21" s="145">
        <f t="shared" si="1"/>
        <v>0</v>
      </c>
    </row>
    <row r="22" spans="2:31" x14ac:dyDescent="0.2">
      <c r="B22" s="20"/>
      <c r="C22" s="140"/>
      <c r="D22" s="140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27"/>
      <c r="R22" s="20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38"/>
      <c r="AD22" s="136"/>
      <c r="AE22" s="154"/>
    </row>
    <row r="23" spans="2:31" x14ac:dyDescent="0.2">
      <c r="B23" s="20" t="s">
        <v>278</v>
      </c>
      <c r="C23" s="140"/>
      <c r="D23" s="140"/>
      <c r="E23" s="146"/>
      <c r="F23" s="146"/>
      <c r="G23" s="169">
        <v>239</v>
      </c>
      <c r="H23" s="169">
        <v>323</v>
      </c>
      <c r="I23" s="169">
        <v>336</v>
      </c>
      <c r="J23" s="169">
        <v>360</v>
      </c>
      <c r="K23" s="169">
        <v>615</v>
      </c>
      <c r="L23" s="169">
        <v>609</v>
      </c>
      <c r="M23" s="169">
        <v>627</v>
      </c>
      <c r="N23" s="169">
        <v>572</v>
      </c>
      <c r="O23" s="169">
        <v>614</v>
      </c>
      <c r="P23" s="169">
        <v>740</v>
      </c>
      <c r="Q23" s="118">
        <f>((P23/G23)^(1/($H$2-$H$1) ))-1</f>
        <v>0.13380166644712466</v>
      </c>
      <c r="R23" s="31">
        <f t="shared" si="6"/>
        <v>0.12</v>
      </c>
      <c r="S23" s="154">
        <f t="shared" ref="S23:S55" si="53">P23*(1+$R23)</f>
        <v>828.80000000000007</v>
      </c>
      <c r="T23" s="154">
        <f t="shared" ref="T23:T55" si="54">S23*(1+$R23)</f>
        <v>928.2560000000002</v>
      </c>
      <c r="U23" s="154">
        <f t="shared" ref="U23:U55" si="55">T23*(1+$R23)</f>
        <v>1039.6467200000004</v>
      </c>
      <c r="V23" s="154">
        <f t="shared" ref="V23:V55" si="56">U23*(1+$R23)</f>
        <v>1164.4043264000006</v>
      </c>
      <c r="W23" s="154">
        <f t="shared" ref="W23:W64" si="57">V23*(1+$R23)</f>
        <v>1304.1328455680009</v>
      </c>
      <c r="X23" s="154">
        <f t="shared" ref="X23:X64" si="58">W23*(1+$R23)</f>
        <v>1460.6287870361612</v>
      </c>
      <c r="Y23" s="154">
        <f t="shared" ref="Y23:Y64" si="59">X23*(1+$R23)</f>
        <v>1635.9042414805006</v>
      </c>
      <c r="Z23" s="154">
        <f t="shared" ref="Z23:Z64" si="60">Y23*(1+$R23)</f>
        <v>1832.2127504581608</v>
      </c>
      <c r="AA23" s="154">
        <f t="shared" ref="AA23:AA64" si="61">Z23*(1+$R23)</f>
        <v>2052.0782805131403</v>
      </c>
      <c r="AB23" s="154">
        <f t="shared" ref="AB23:AB64" si="62">AA23*(1+$R23)</f>
        <v>2298.3276741747172</v>
      </c>
      <c r="AC23" s="137">
        <f t="shared" si="19"/>
        <v>0.12651656266134936</v>
      </c>
      <c r="AD23" s="31">
        <f t="shared" si="17"/>
        <v>0.05</v>
      </c>
      <c r="AE23" s="145">
        <f t="shared" si="1"/>
        <v>14195.553281667371</v>
      </c>
    </row>
    <row r="24" spans="2:31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27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38"/>
      <c r="AD24" s="136"/>
      <c r="AE24" s="154"/>
    </row>
    <row r="25" spans="2:31" x14ac:dyDescent="0.2">
      <c r="B25" s="20" t="s">
        <v>284</v>
      </c>
      <c r="C25" s="140"/>
      <c r="D25" s="140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18" t="e">
        <f>((P25/G25)^(1/($H$2-$H$1) ))-1</f>
        <v>#DIV/0!</v>
      </c>
      <c r="R25" s="31">
        <f t="shared" si="6"/>
        <v>0.12</v>
      </c>
      <c r="S25" s="154">
        <f t="shared" ref="S25:S27" si="63">P25*(1+$R25)</f>
        <v>0</v>
      </c>
      <c r="T25" s="154">
        <f t="shared" ref="T25:T27" si="64">S25*(1+$R25)</f>
        <v>0</v>
      </c>
      <c r="U25" s="154">
        <f t="shared" ref="U25:U27" si="65">T25*(1+$R25)</f>
        <v>0</v>
      </c>
      <c r="V25" s="154">
        <f t="shared" ref="V25:V27" si="66">U25*(1+$R25)</f>
        <v>0</v>
      </c>
      <c r="W25" s="154">
        <f t="shared" ref="W25:W27" si="67">V25*(1+$R25)</f>
        <v>0</v>
      </c>
      <c r="X25" s="154">
        <f t="shared" ref="X25:X27" si="68">W25*(1+$R25)</f>
        <v>0</v>
      </c>
      <c r="Y25" s="154">
        <f t="shared" ref="Y25:Y27" si="69">X25*(1+$R25)</f>
        <v>0</v>
      </c>
      <c r="Z25" s="154">
        <f t="shared" ref="Z25:Z27" si="70">Y25*(1+$R25)</f>
        <v>0</v>
      </c>
      <c r="AA25" s="154">
        <f t="shared" ref="AA25:AA27" si="71">Z25*(1+$R25)</f>
        <v>0</v>
      </c>
      <c r="AB25" s="154">
        <f t="shared" ref="AB25:AB27" si="72">AA25*(1+$R25)</f>
        <v>0</v>
      </c>
      <c r="AC25" s="137" t="e">
        <f t="shared" ref="AC25:AC27" si="73">((AB25/G25)^(1/($AB$3-$H$1) ))-1</f>
        <v>#DIV/0!</v>
      </c>
      <c r="AD25" s="31">
        <f t="shared" si="17"/>
        <v>0.05</v>
      </c>
      <c r="AE25" s="145">
        <f t="shared" si="1"/>
        <v>0</v>
      </c>
    </row>
    <row r="26" spans="2:31" x14ac:dyDescent="0.2">
      <c r="B26" s="20" t="s">
        <v>285</v>
      </c>
      <c r="C26" s="140"/>
      <c r="D26" s="140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18" t="e">
        <f>((P26/G26)^(1/($H$2-$H$1) ))-1</f>
        <v>#DIV/0!</v>
      </c>
      <c r="R26" s="31">
        <f t="shared" si="6"/>
        <v>0.12</v>
      </c>
      <c r="S26" s="154">
        <f t="shared" si="63"/>
        <v>0</v>
      </c>
      <c r="T26" s="154">
        <f t="shared" si="64"/>
        <v>0</v>
      </c>
      <c r="U26" s="154">
        <f t="shared" si="65"/>
        <v>0</v>
      </c>
      <c r="V26" s="154">
        <f t="shared" si="66"/>
        <v>0</v>
      </c>
      <c r="W26" s="154">
        <f t="shared" si="67"/>
        <v>0</v>
      </c>
      <c r="X26" s="154">
        <f t="shared" si="68"/>
        <v>0</v>
      </c>
      <c r="Y26" s="154">
        <f t="shared" si="69"/>
        <v>0</v>
      </c>
      <c r="Z26" s="154">
        <f t="shared" si="70"/>
        <v>0</v>
      </c>
      <c r="AA26" s="154">
        <f t="shared" si="71"/>
        <v>0</v>
      </c>
      <c r="AB26" s="154">
        <f t="shared" si="72"/>
        <v>0</v>
      </c>
      <c r="AC26" s="137" t="e">
        <f t="shared" si="73"/>
        <v>#DIV/0!</v>
      </c>
      <c r="AD26" s="31">
        <f t="shared" si="17"/>
        <v>0.05</v>
      </c>
      <c r="AE26" s="145">
        <f t="shared" si="1"/>
        <v>0</v>
      </c>
    </row>
    <row r="27" spans="2:31" x14ac:dyDescent="0.2">
      <c r="B27" s="20" t="s">
        <v>286</v>
      </c>
      <c r="C27" s="140"/>
      <c r="D27" s="140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18" t="e">
        <f>((P27/G27)^(1/($H$2-$H$1) ))-1</f>
        <v>#DIV/0!</v>
      </c>
      <c r="R27" s="31">
        <f t="shared" si="6"/>
        <v>0.12</v>
      </c>
      <c r="S27" s="154">
        <f t="shared" si="63"/>
        <v>0</v>
      </c>
      <c r="T27" s="154">
        <f t="shared" si="64"/>
        <v>0</v>
      </c>
      <c r="U27" s="154">
        <f t="shared" si="65"/>
        <v>0</v>
      </c>
      <c r="V27" s="154">
        <f t="shared" si="66"/>
        <v>0</v>
      </c>
      <c r="W27" s="154">
        <f t="shared" si="67"/>
        <v>0</v>
      </c>
      <c r="X27" s="154">
        <f t="shared" si="68"/>
        <v>0</v>
      </c>
      <c r="Y27" s="154">
        <f t="shared" si="69"/>
        <v>0</v>
      </c>
      <c r="Z27" s="154">
        <f t="shared" si="70"/>
        <v>0</v>
      </c>
      <c r="AA27" s="154">
        <f t="shared" si="71"/>
        <v>0</v>
      </c>
      <c r="AB27" s="154">
        <f t="shared" si="72"/>
        <v>0</v>
      </c>
      <c r="AC27" s="137" t="e">
        <f t="shared" si="73"/>
        <v>#DIV/0!</v>
      </c>
      <c r="AD27" s="31">
        <f t="shared" si="17"/>
        <v>0.05</v>
      </c>
      <c r="AE27" s="145">
        <f t="shared" si="1"/>
        <v>0</v>
      </c>
    </row>
    <row r="28" spans="2:31" x14ac:dyDescent="0.2">
      <c r="B28" s="20" t="s">
        <v>296</v>
      </c>
      <c r="C28" s="140"/>
      <c r="D28" s="140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18" t="e">
        <f>((P28/G28)^(1/($H$2-$H$1) ))-1</f>
        <v>#DIV/0!</v>
      </c>
      <c r="R28" s="31">
        <f t="shared" si="6"/>
        <v>0.12</v>
      </c>
      <c r="S28" s="154">
        <f t="shared" ref="S28" si="74">P28*(1+$R28)</f>
        <v>0</v>
      </c>
      <c r="T28" s="154">
        <f t="shared" ref="T28" si="75">S28*(1+$R28)</f>
        <v>0</v>
      </c>
      <c r="U28" s="154">
        <f t="shared" ref="U28" si="76">T28*(1+$R28)</f>
        <v>0</v>
      </c>
      <c r="V28" s="154">
        <f t="shared" ref="V28" si="77">U28*(1+$R28)</f>
        <v>0</v>
      </c>
      <c r="W28" s="154">
        <f t="shared" ref="W28" si="78">V28*(1+$R28)</f>
        <v>0</v>
      </c>
      <c r="X28" s="154">
        <f t="shared" ref="X28" si="79">W28*(1+$R28)</f>
        <v>0</v>
      </c>
      <c r="Y28" s="154">
        <f t="shared" ref="Y28" si="80">X28*(1+$R28)</f>
        <v>0</v>
      </c>
      <c r="Z28" s="154">
        <f t="shared" ref="Z28" si="81">Y28*(1+$R28)</f>
        <v>0</v>
      </c>
      <c r="AA28" s="154">
        <f t="shared" ref="AA28" si="82">Z28*(1+$R28)</f>
        <v>0</v>
      </c>
      <c r="AB28" s="154">
        <f t="shared" ref="AB28" si="83">AA28*(1+$R28)</f>
        <v>0</v>
      </c>
      <c r="AC28" s="137" t="e">
        <f t="shared" ref="AC28" si="84">((AB28/G28)^(1/($AB$3-$H$1) ))-1</f>
        <v>#DIV/0!</v>
      </c>
      <c r="AD28" s="31">
        <f t="shared" si="17"/>
        <v>0.05</v>
      </c>
      <c r="AE28" s="145">
        <f t="shared" si="1"/>
        <v>0</v>
      </c>
    </row>
    <row r="29" spans="2:31" x14ac:dyDescent="0.2">
      <c r="B29" s="20"/>
      <c r="C29" s="140"/>
      <c r="D29" s="140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62"/>
      <c r="AD29" s="119"/>
      <c r="AE29" s="154"/>
    </row>
    <row r="30" spans="2:31" s="122" customFormat="1" x14ac:dyDescent="0.2">
      <c r="B30" s="20" t="s">
        <v>371</v>
      </c>
      <c r="C30" s="149"/>
      <c r="D30" s="149"/>
      <c r="E30" s="150"/>
      <c r="F30" s="146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v>0.1</v>
      </c>
      <c r="S30" s="154">
        <f t="shared" ref="S30:S33" si="85">P30*(1+$R30)</f>
        <v>0</v>
      </c>
      <c r="T30" s="154">
        <f t="shared" ref="T30:T33" si="86">S30*(1+$R30)</f>
        <v>0</v>
      </c>
      <c r="U30" s="154">
        <f t="shared" ref="U30:U33" si="87">T30*(1+$R30)</f>
        <v>0</v>
      </c>
      <c r="V30" s="154">
        <f t="shared" ref="V30:V33" si="88">U30*(1+$R30)</f>
        <v>0</v>
      </c>
      <c r="W30" s="154">
        <f t="shared" ref="W30:W33" si="89">V30*(1+$R30)</f>
        <v>0</v>
      </c>
      <c r="X30" s="154">
        <f t="shared" ref="X30:X33" si="90">W30*(1+$R30)</f>
        <v>0</v>
      </c>
      <c r="Y30" s="154">
        <f t="shared" ref="Y30:Y33" si="91">X30*(1+$R30)</f>
        <v>0</v>
      </c>
      <c r="Z30" s="154">
        <f t="shared" ref="Z30:Z33" si="92">Y30*(1+$R30)</f>
        <v>0</v>
      </c>
      <c r="AA30" s="154">
        <f t="shared" ref="AA30:AA33" si="93">Z30*(1+$R30)</f>
        <v>0</v>
      </c>
      <c r="AB30" s="154">
        <f t="shared" ref="AB30:AB33" si="94">AA30*(1+$R30)</f>
        <v>0</v>
      </c>
      <c r="AC30" s="137" t="e">
        <f t="shared" ref="AC30:AC33" si="95">((AB30/G30)^(1/($AB$3-$H$1) ))-1</f>
        <v>#DIV/0!</v>
      </c>
      <c r="AD30" s="31">
        <f t="shared" si="17"/>
        <v>0.05</v>
      </c>
      <c r="AE30" s="145">
        <f t="shared" ref="AE30:AE33" si="96">(AB30*(1+AD30))/($C$1-AD30)</f>
        <v>0</v>
      </c>
    </row>
    <row r="31" spans="2:31" s="122" customFormat="1" x14ac:dyDescent="0.2">
      <c r="B31" s="20" t="s">
        <v>372</v>
      </c>
      <c r="C31" s="149"/>
      <c r="D31" s="149"/>
      <c r="E31" s="150"/>
      <c r="F31" s="146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v>0.1</v>
      </c>
      <c r="S31" s="154">
        <f t="shared" si="85"/>
        <v>0</v>
      </c>
      <c r="T31" s="154">
        <f t="shared" si="86"/>
        <v>0</v>
      </c>
      <c r="U31" s="154">
        <f t="shared" si="87"/>
        <v>0</v>
      </c>
      <c r="V31" s="154">
        <f t="shared" si="88"/>
        <v>0</v>
      </c>
      <c r="W31" s="154">
        <f t="shared" si="89"/>
        <v>0</v>
      </c>
      <c r="X31" s="154">
        <f t="shared" si="90"/>
        <v>0</v>
      </c>
      <c r="Y31" s="154">
        <f t="shared" si="91"/>
        <v>0</v>
      </c>
      <c r="Z31" s="154">
        <f t="shared" si="92"/>
        <v>0</v>
      </c>
      <c r="AA31" s="154">
        <f t="shared" si="93"/>
        <v>0</v>
      </c>
      <c r="AB31" s="154">
        <f t="shared" si="94"/>
        <v>0</v>
      </c>
      <c r="AC31" s="137" t="e">
        <f t="shared" si="95"/>
        <v>#DIV/0!</v>
      </c>
      <c r="AD31" s="31">
        <f t="shared" si="17"/>
        <v>0.05</v>
      </c>
      <c r="AE31" s="145">
        <f t="shared" si="96"/>
        <v>0</v>
      </c>
    </row>
    <row r="32" spans="2:31" s="122" customFormat="1" x14ac:dyDescent="0.2">
      <c r="B32" s="20" t="s">
        <v>373</v>
      </c>
      <c r="C32" s="149"/>
      <c r="D32" s="149"/>
      <c r="E32" s="150"/>
      <c r="F32" s="146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v>0.1</v>
      </c>
      <c r="S32" s="154">
        <f t="shared" si="85"/>
        <v>0</v>
      </c>
      <c r="T32" s="154">
        <f t="shared" si="86"/>
        <v>0</v>
      </c>
      <c r="U32" s="154">
        <f t="shared" si="87"/>
        <v>0</v>
      </c>
      <c r="V32" s="154">
        <f t="shared" si="88"/>
        <v>0</v>
      </c>
      <c r="W32" s="154">
        <f t="shared" si="89"/>
        <v>0</v>
      </c>
      <c r="X32" s="154">
        <f t="shared" si="90"/>
        <v>0</v>
      </c>
      <c r="Y32" s="154">
        <f t="shared" si="91"/>
        <v>0</v>
      </c>
      <c r="Z32" s="154">
        <f t="shared" si="92"/>
        <v>0</v>
      </c>
      <c r="AA32" s="154">
        <f t="shared" si="93"/>
        <v>0</v>
      </c>
      <c r="AB32" s="154">
        <f t="shared" si="94"/>
        <v>0</v>
      </c>
      <c r="AC32" s="137" t="e">
        <f t="shared" si="95"/>
        <v>#DIV/0!</v>
      </c>
      <c r="AD32" s="31">
        <f t="shared" si="17"/>
        <v>0.05</v>
      </c>
      <c r="AE32" s="145">
        <f t="shared" si="96"/>
        <v>0</v>
      </c>
    </row>
    <row r="33" spans="2:31" x14ac:dyDescent="0.2">
      <c r="B33" s="20" t="s">
        <v>374</v>
      </c>
      <c r="C33" s="140"/>
      <c r="D33" s="140"/>
      <c r="E33" s="146"/>
      <c r="F33" s="146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v>0.1</v>
      </c>
      <c r="S33" s="154">
        <f t="shared" si="85"/>
        <v>0</v>
      </c>
      <c r="T33" s="154">
        <f t="shared" si="86"/>
        <v>0</v>
      </c>
      <c r="U33" s="154">
        <f t="shared" si="87"/>
        <v>0</v>
      </c>
      <c r="V33" s="154">
        <f t="shared" si="88"/>
        <v>0</v>
      </c>
      <c r="W33" s="154">
        <f t="shared" si="89"/>
        <v>0</v>
      </c>
      <c r="X33" s="154">
        <f t="shared" si="90"/>
        <v>0</v>
      </c>
      <c r="Y33" s="154">
        <f t="shared" si="91"/>
        <v>0</v>
      </c>
      <c r="Z33" s="154">
        <f t="shared" si="92"/>
        <v>0</v>
      </c>
      <c r="AA33" s="154">
        <f t="shared" si="93"/>
        <v>0</v>
      </c>
      <c r="AB33" s="154">
        <f t="shared" si="94"/>
        <v>0</v>
      </c>
      <c r="AC33" s="137" t="e">
        <f t="shared" si="95"/>
        <v>#DIV/0!</v>
      </c>
      <c r="AD33" s="31">
        <f t="shared" si="17"/>
        <v>0.05</v>
      </c>
      <c r="AE33" s="145">
        <f t="shared" si="96"/>
        <v>0</v>
      </c>
    </row>
    <row r="34" spans="2:31" x14ac:dyDescent="0.2">
      <c r="B34" s="20"/>
      <c r="C34" s="140"/>
      <c r="D34" s="140"/>
      <c r="E34" s="146"/>
      <c r="F34" s="146"/>
      <c r="G34" s="148" t="e">
        <f>(G33-F33)/G33</f>
        <v>#DIV/0!</v>
      </c>
      <c r="H34" s="148" t="e">
        <f>(H33-G33)/H33</f>
        <v>#DIV/0!</v>
      </c>
      <c r="I34" s="148" t="e">
        <f t="shared" ref="I34:P34" si="97">(I33-H33)/I33</f>
        <v>#DIV/0!</v>
      </c>
      <c r="J34" s="148" t="e">
        <f t="shared" si="97"/>
        <v>#DIV/0!</v>
      </c>
      <c r="K34" s="148" t="e">
        <f t="shared" si="97"/>
        <v>#DIV/0!</v>
      </c>
      <c r="L34" s="148" t="e">
        <f t="shared" si="97"/>
        <v>#DIV/0!</v>
      </c>
      <c r="M34" s="148" t="e">
        <f t="shared" si="97"/>
        <v>#DIV/0!</v>
      </c>
      <c r="N34" s="148" t="e">
        <f t="shared" si="97"/>
        <v>#DIV/0!</v>
      </c>
      <c r="O34" s="148" t="e">
        <f t="shared" si="97"/>
        <v>#DIV/0!</v>
      </c>
      <c r="P34" s="148" t="e">
        <f t="shared" si="97"/>
        <v>#DIV/0!</v>
      </c>
      <c r="Q34" s="3"/>
      <c r="R34" s="3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45"/>
    </row>
    <row r="35" spans="2:31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27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19"/>
      <c r="AD35" s="136"/>
      <c r="AE35" s="154"/>
    </row>
    <row r="36" spans="2:31" x14ac:dyDescent="0.2">
      <c r="B36" s="20" t="s">
        <v>366</v>
      </c>
      <c r="C36" s="140"/>
      <c r="D36" s="140"/>
      <c r="E36" s="146"/>
      <c r="F36" s="146"/>
      <c r="G36" s="146">
        <v>11200</v>
      </c>
      <c r="H36" s="146">
        <v>13114</v>
      </c>
      <c r="I36" s="146">
        <v>15006</v>
      </c>
      <c r="J36" s="146">
        <v>17644</v>
      </c>
      <c r="K36" s="146">
        <v>19037</v>
      </c>
      <c r="L36" s="146">
        <v>22110</v>
      </c>
      <c r="M36" s="146">
        <v>26710</v>
      </c>
      <c r="N36" s="146">
        <v>34365</v>
      </c>
      <c r="O36" s="146">
        <v>42361</v>
      </c>
      <c r="P36" s="146">
        <v>54116</v>
      </c>
      <c r="Q36" s="118">
        <f>((P36/G36)^(1/($H$2-$H$1) ))-1</f>
        <v>0.19127482174764032</v>
      </c>
      <c r="R36" s="31">
        <v>0.11</v>
      </c>
      <c r="S36" s="154">
        <f t="shared" ref="S36:S42" si="98">P36*(1+$R36)</f>
        <v>60068.76</v>
      </c>
      <c r="T36" s="154">
        <f t="shared" ref="T36:AB42" si="99">S36*(1+$R36)</f>
        <v>66676.323600000003</v>
      </c>
      <c r="U36" s="154">
        <f t="shared" si="99"/>
        <v>74010.719196000005</v>
      </c>
      <c r="V36" s="154">
        <f t="shared" si="99"/>
        <v>82151.898307560012</v>
      </c>
      <c r="W36" s="154">
        <f t="shared" si="99"/>
        <v>91188.607121391615</v>
      </c>
      <c r="X36" s="154">
        <f t="shared" si="99"/>
        <v>101219.3539047447</v>
      </c>
      <c r="Y36" s="154">
        <f t="shared" si="99"/>
        <v>112353.48283426663</v>
      </c>
      <c r="Z36" s="154">
        <f t="shared" si="99"/>
        <v>124712.36594603596</v>
      </c>
      <c r="AA36" s="154">
        <f t="shared" si="99"/>
        <v>138430.72620009992</v>
      </c>
      <c r="AB36" s="154">
        <f t="shared" si="99"/>
        <v>153658.10608211093</v>
      </c>
      <c r="AC36" s="137">
        <f t="shared" ref="AC36:AC42" si="100">((AB36/G36)^(1/($AB$3-$H$1) ))-1</f>
        <v>0.14778320590787142</v>
      </c>
      <c r="AD36" s="31">
        <v>0.05</v>
      </c>
      <c r="AE36" s="145">
        <f t="shared" si="1"/>
        <v>949064.772860097</v>
      </c>
    </row>
    <row r="37" spans="2:31" x14ac:dyDescent="0.2">
      <c r="B37" s="20"/>
      <c r="C37" s="140"/>
      <c r="D37" s="140"/>
      <c r="E37" s="146"/>
      <c r="F37" s="146"/>
      <c r="G37" s="148">
        <f>(G36-F36)/G36</f>
        <v>1</v>
      </c>
      <c r="H37" s="148">
        <f>(H36-G36)/H36</f>
        <v>0.14595089217630014</v>
      </c>
      <c r="I37" s="148">
        <f t="shared" ref="I37:P37" si="101">(I36-H36)/I36</f>
        <v>0.12608290017326404</v>
      </c>
      <c r="J37" s="148">
        <f t="shared" si="101"/>
        <v>0.14951258218091135</v>
      </c>
      <c r="K37" s="148">
        <f t="shared" si="101"/>
        <v>7.3173294111467141E-2</v>
      </c>
      <c r="L37" s="148">
        <f t="shared" si="101"/>
        <v>0.13898688376300317</v>
      </c>
      <c r="M37" s="148">
        <f t="shared" si="101"/>
        <v>0.17222014226881319</v>
      </c>
      <c r="N37" s="148">
        <f t="shared" si="101"/>
        <v>0.22275571075221884</v>
      </c>
      <c r="O37" s="148">
        <f t="shared" si="101"/>
        <v>0.18875852789122069</v>
      </c>
      <c r="P37" s="148">
        <f t="shared" si="101"/>
        <v>0.21721856752162022</v>
      </c>
      <c r="Q37" s="3"/>
      <c r="R37" s="3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38"/>
      <c r="AD37" s="127"/>
      <c r="AE37" s="145"/>
    </row>
    <row r="38" spans="2:31" x14ac:dyDescent="0.2">
      <c r="B38" s="20" t="s">
        <v>367</v>
      </c>
      <c r="C38" s="140"/>
      <c r="D38" s="140"/>
      <c r="E38" s="146"/>
      <c r="F38" s="146"/>
      <c r="G38" s="146">
        <v>2310</v>
      </c>
      <c r="H38" s="146">
        <v>610</v>
      </c>
      <c r="I38" s="146">
        <v>535</v>
      </c>
      <c r="J38" s="146">
        <v>592</v>
      </c>
      <c r="K38" s="146">
        <v>1095</v>
      </c>
      <c r="L38" s="146">
        <v>1856</v>
      </c>
      <c r="M38" s="146">
        <v>4934</v>
      </c>
      <c r="N38" s="146">
        <v>5525</v>
      </c>
      <c r="O38" s="146">
        <v>8682</v>
      </c>
      <c r="P38" s="146">
        <v>9459</v>
      </c>
      <c r="Q38" s="118">
        <f>((P38/G38)^(1/($H$2-$H$1) ))-1</f>
        <v>0.16956918204081917</v>
      </c>
      <c r="R38" s="31">
        <v>0.1</v>
      </c>
      <c r="S38" s="154">
        <f t="shared" ref="S38" si="102">P38*(1+$R38)</f>
        <v>10404.900000000001</v>
      </c>
      <c r="T38" s="154">
        <f t="shared" ref="T38:AB38" si="103">S38*(1+$R38)</f>
        <v>11445.390000000003</v>
      </c>
      <c r="U38" s="154">
        <f t="shared" si="103"/>
        <v>12589.929000000004</v>
      </c>
      <c r="V38" s="154">
        <f t="shared" si="103"/>
        <v>13848.921900000005</v>
      </c>
      <c r="W38" s="154">
        <f t="shared" si="103"/>
        <v>15233.814090000007</v>
      </c>
      <c r="X38" s="154">
        <f t="shared" si="103"/>
        <v>16757.195499000009</v>
      </c>
      <c r="Y38" s="154">
        <f t="shared" si="103"/>
        <v>18432.915048900009</v>
      </c>
      <c r="Z38" s="154">
        <f t="shared" si="103"/>
        <v>20276.206553790013</v>
      </c>
      <c r="AA38" s="154">
        <f t="shared" si="103"/>
        <v>22303.827209169016</v>
      </c>
      <c r="AB38" s="154">
        <f t="shared" si="103"/>
        <v>24534.209930085919</v>
      </c>
      <c r="AC38" s="137">
        <f t="shared" ref="AC38" si="104">((AB38/G38)^(1/($AB$3-$H$1) ))-1</f>
        <v>0.13242233424053418</v>
      </c>
      <c r="AD38" s="31">
        <v>0.05</v>
      </c>
      <c r="AE38" s="145">
        <f t="shared" si="1"/>
        <v>151534.82603876598</v>
      </c>
    </row>
    <row r="39" spans="2:31" x14ac:dyDescent="0.2">
      <c r="B39" s="20"/>
      <c r="C39" s="140"/>
      <c r="D39" s="140"/>
      <c r="E39" s="146"/>
      <c r="F39" s="146"/>
      <c r="G39" s="148">
        <f>(G38-F38)/G38</f>
        <v>1</v>
      </c>
      <c r="H39" s="148">
        <f>(H38-G38)/H38</f>
        <v>-2.7868852459016393</v>
      </c>
      <c r="I39" s="148">
        <f t="shared" ref="I39:P39" si="105">(I38-H38)/I38</f>
        <v>-0.14018691588785046</v>
      </c>
      <c r="J39" s="148">
        <f t="shared" si="105"/>
        <v>9.6283783783783786E-2</v>
      </c>
      <c r="K39" s="148">
        <f t="shared" si="105"/>
        <v>0.45936073059360732</v>
      </c>
      <c r="L39" s="148">
        <f t="shared" si="105"/>
        <v>0.41002155172413796</v>
      </c>
      <c r="M39" s="148">
        <f t="shared" si="105"/>
        <v>0.62383461694365627</v>
      </c>
      <c r="N39" s="148">
        <f t="shared" si="105"/>
        <v>0.10696832579185521</v>
      </c>
      <c r="O39" s="148">
        <f t="shared" si="105"/>
        <v>0.36362589265146278</v>
      </c>
      <c r="P39" s="148">
        <f t="shared" si="105"/>
        <v>8.2143989850935614E-2</v>
      </c>
      <c r="Q39" s="3"/>
      <c r="R39" s="3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38"/>
      <c r="AD39" s="127"/>
      <c r="AE39" s="145"/>
    </row>
    <row r="40" spans="2:31" x14ac:dyDescent="0.2">
      <c r="B40" s="20" t="s">
        <v>368</v>
      </c>
      <c r="C40" s="140"/>
      <c r="D40" s="140"/>
      <c r="E40" s="146"/>
      <c r="F40" s="146"/>
      <c r="G40" s="146">
        <v>775</v>
      </c>
      <c r="H40" s="146">
        <v>1067</v>
      </c>
      <c r="I40" s="146">
        <v>1215</v>
      </c>
      <c r="J40" s="146">
        <v>1633</v>
      </c>
      <c r="K40" s="146">
        <v>1779</v>
      </c>
      <c r="L40" s="146">
        <v>1983</v>
      </c>
      <c r="M40" s="146">
        <v>1327</v>
      </c>
      <c r="N40" s="146">
        <v>1694</v>
      </c>
      <c r="O40" s="146">
        <v>1810</v>
      </c>
      <c r="P40" s="146">
        <v>2099</v>
      </c>
      <c r="Q40" s="118">
        <f>((P40/G40)^(1/($H$2-$H$1) ))-1</f>
        <v>0.11706635297255596</v>
      </c>
      <c r="R40" s="31">
        <v>0.1</v>
      </c>
      <c r="S40" s="154">
        <f t="shared" ref="S40" si="106">P40*(1+$R40)</f>
        <v>2308.9</v>
      </c>
      <c r="T40" s="154">
        <f t="shared" ref="T40:AB40" si="107">S40*(1+$R40)</f>
        <v>2539.7900000000004</v>
      </c>
      <c r="U40" s="154">
        <f t="shared" si="107"/>
        <v>2793.7690000000007</v>
      </c>
      <c r="V40" s="154">
        <f t="shared" si="107"/>
        <v>3073.1459000000009</v>
      </c>
      <c r="W40" s="154">
        <f t="shared" si="107"/>
        <v>3380.4604900000013</v>
      </c>
      <c r="X40" s="154">
        <f t="shared" si="107"/>
        <v>3718.5065390000018</v>
      </c>
      <c r="Y40" s="154">
        <f t="shared" si="107"/>
        <v>4090.3571929000022</v>
      </c>
      <c r="Z40" s="154">
        <f t="shared" si="107"/>
        <v>4499.3929121900028</v>
      </c>
      <c r="AA40" s="154">
        <f t="shared" si="107"/>
        <v>4949.3322034090033</v>
      </c>
      <c r="AB40" s="154">
        <f t="shared" si="107"/>
        <v>5444.2654237499037</v>
      </c>
      <c r="AC40" s="137">
        <f t="shared" ref="AC40" si="108">((AB40/G40)^(1/($AB$3-$H$1) ))-1</f>
        <v>0.10805131385397138</v>
      </c>
      <c r="AD40" s="31">
        <v>0.05</v>
      </c>
      <c r="AE40" s="145">
        <f t="shared" si="1"/>
        <v>33626.345264337644</v>
      </c>
    </row>
    <row r="41" spans="2:31" x14ac:dyDescent="0.2">
      <c r="B41" s="20"/>
      <c r="C41" s="140"/>
      <c r="D41" s="140"/>
      <c r="E41" s="146"/>
      <c r="F41" s="146"/>
      <c r="G41" s="148">
        <f>(G40-F40)/G40</f>
        <v>1</v>
      </c>
      <c r="H41" s="148">
        <f>(H40-G40)/H40</f>
        <v>0.27366447985004688</v>
      </c>
      <c r="I41" s="148">
        <f t="shared" ref="I41:P41" si="109">(I40-H40)/I40</f>
        <v>0.12181069958847737</v>
      </c>
      <c r="J41" s="148">
        <f t="shared" si="109"/>
        <v>0.25597060624617268</v>
      </c>
      <c r="K41" s="148">
        <f t="shared" si="109"/>
        <v>8.2068577852726254E-2</v>
      </c>
      <c r="L41" s="148">
        <f t="shared" si="109"/>
        <v>0.10287443267776097</v>
      </c>
      <c r="M41" s="148">
        <f t="shared" si="109"/>
        <v>-0.49434815373021856</v>
      </c>
      <c r="N41" s="148">
        <f t="shared" si="109"/>
        <v>0.21664698937426211</v>
      </c>
      <c r="O41" s="148">
        <f t="shared" si="109"/>
        <v>6.4088397790055249E-2</v>
      </c>
      <c r="P41" s="148">
        <f t="shared" si="109"/>
        <v>0.1376846117198666</v>
      </c>
      <c r="Q41" s="3"/>
      <c r="R41" s="3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38"/>
      <c r="AD41" s="127"/>
      <c r="AE41" s="145"/>
    </row>
    <row r="42" spans="2:31" x14ac:dyDescent="0.2">
      <c r="B42" s="20" t="s">
        <v>369</v>
      </c>
      <c r="C42" s="140"/>
      <c r="D42" s="140"/>
      <c r="E42" s="146"/>
      <c r="F42" s="146"/>
      <c r="G42" s="146">
        <v>7812</v>
      </c>
      <c r="H42" s="146">
        <v>8999</v>
      </c>
      <c r="I42" s="146">
        <v>9310</v>
      </c>
      <c r="J42" s="146">
        <v>11084</v>
      </c>
      <c r="K42" s="146">
        <v>12795</v>
      </c>
      <c r="L42" s="146">
        <v>15770</v>
      </c>
      <c r="M42" s="146">
        <v>20550</v>
      </c>
      <c r="N42" s="146">
        <v>26165</v>
      </c>
      <c r="O42" s="146">
        <v>35063</v>
      </c>
      <c r="P42" s="146">
        <v>44320</v>
      </c>
      <c r="Q42" s="118">
        <f>((P42/G42)^(1/($H$2-$H$1) ))-1</f>
        <v>0.21271772189387073</v>
      </c>
      <c r="R42" s="31">
        <v>0.1</v>
      </c>
      <c r="S42" s="154">
        <f t="shared" si="98"/>
        <v>48752.000000000007</v>
      </c>
      <c r="T42" s="154">
        <f t="shared" si="99"/>
        <v>53627.200000000012</v>
      </c>
      <c r="U42" s="154">
        <f t="shared" si="99"/>
        <v>58989.92000000002</v>
      </c>
      <c r="V42" s="154">
        <f t="shared" si="99"/>
        <v>64888.912000000026</v>
      </c>
      <c r="W42" s="154">
        <f t="shared" si="99"/>
        <v>71377.803200000038</v>
      </c>
      <c r="X42" s="154">
        <f t="shared" si="99"/>
        <v>78515.583520000044</v>
      </c>
      <c r="Y42" s="154">
        <f t="shared" si="99"/>
        <v>86367.141872000051</v>
      </c>
      <c r="Z42" s="154">
        <f t="shared" si="99"/>
        <v>95003.856059200058</v>
      </c>
      <c r="AA42" s="154">
        <f t="shared" si="99"/>
        <v>104504.24166512008</v>
      </c>
      <c r="AB42" s="154">
        <f t="shared" si="99"/>
        <v>114954.6658316321</v>
      </c>
      <c r="AC42" s="137">
        <f t="shared" si="100"/>
        <v>0.15202335214174623</v>
      </c>
      <c r="AD42" s="31">
        <v>0.05</v>
      </c>
      <c r="AE42" s="145">
        <f t="shared" si="1"/>
        <v>710014.1124894924</v>
      </c>
    </row>
    <row r="43" spans="2:31" x14ac:dyDescent="0.2">
      <c r="B43" s="20"/>
      <c r="C43" s="140"/>
      <c r="D43" s="140"/>
      <c r="E43" s="146"/>
      <c r="F43" s="146"/>
      <c r="G43" s="148">
        <f>(G42-F42)/G42</f>
        <v>1</v>
      </c>
      <c r="H43" s="148">
        <f>(H42-G42)/H42</f>
        <v>0.13190354483831537</v>
      </c>
      <c r="I43" s="148">
        <f t="shared" ref="I43:P43" si="110">(I42-H42)/I42</f>
        <v>3.3404940923737914E-2</v>
      </c>
      <c r="J43" s="148">
        <f t="shared" si="110"/>
        <v>0.16005052327679539</v>
      </c>
      <c r="K43" s="148">
        <f t="shared" si="110"/>
        <v>0.13372411098085191</v>
      </c>
      <c r="L43" s="148">
        <f t="shared" si="110"/>
        <v>0.18864933417882054</v>
      </c>
      <c r="M43" s="148">
        <f t="shared" si="110"/>
        <v>0.23260340632603407</v>
      </c>
      <c r="N43" s="148">
        <f t="shared" si="110"/>
        <v>0.21459965602904643</v>
      </c>
      <c r="O43" s="148">
        <f t="shared" si="110"/>
        <v>0.25377178222057439</v>
      </c>
      <c r="P43" s="148">
        <f t="shared" si="110"/>
        <v>0.20886732851985559</v>
      </c>
      <c r="Q43" s="3"/>
      <c r="R43" s="3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7"/>
      <c r="AD43" s="31"/>
      <c r="AE43" s="145"/>
    </row>
    <row r="44" spans="2:31" x14ac:dyDescent="0.2">
      <c r="B44" s="20" t="s">
        <v>89</v>
      </c>
      <c r="C44" s="140"/>
      <c r="D44" s="140"/>
      <c r="E44" s="146"/>
      <c r="F44" s="146"/>
      <c r="G44" s="170">
        <v>1308</v>
      </c>
      <c r="H44" s="170">
        <v>1294</v>
      </c>
      <c r="I44" s="170">
        <v>1328</v>
      </c>
      <c r="J44" s="142">
        <v>1784</v>
      </c>
      <c r="K44" s="142">
        <v>2217</v>
      </c>
      <c r="L44" s="171">
        <v>2765</v>
      </c>
      <c r="M44" s="171">
        <v>3260</v>
      </c>
      <c r="N44" s="171">
        <v>4303</v>
      </c>
      <c r="O44" s="171">
        <v>6370</v>
      </c>
      <c r="P44" s="171">
        <v>8346</v>
      </c>
      <c r="Q44" s="118">
        <f>((P44/G44)^(1/($H$2-$H$1) ))-1</f>
        <v>0.22865533485166978</v>
      </c>
      <c r="R44" s="31">
        <f t="shared" si="6"/>
        <v>0.12</v>
      </c>
      <c r="S44" s="154">
        <f t="shared" si="53"/>
        <v>9347.52</v>
      </c>
      <c r="T44" s="154">
        <f t="shared" si="54"/>
        <v>10469.222400000002</v>
      </c>
      <c r="U44" s="154">
        <f t="shared" si="55"/>
        <v>11725.529088000003</v>
      </c>
      <c r="V44" s="154">
        <f t="shared" si="56"/>
        <v>13132.592578560005</v>
      </c>
      <c r="W44" s="154">
        <f t="shared" si="57"/>
        <v>14708.503687987206</v>
      </c>
      <c r="X44" s="154">
        <f t="shared" si="58"/>
        <v>16473.524130545673</v>
      </c>
      <c r="Y44" s="154">
        <f t="shared" si="59"/>
        <v>18450.347026211155</v>
      </c>
      <c r="Z44" s="154">
        <f t="shared" si="60"/>
        <v>20664.388669356496</v>
      </c>
      <c r="AA44" s="154">
        <f t="shared" si="61"/>
        <v>23144.115309679277</v>
      </c>
      <c r="AB44" s="154">
        <f t="shared" si="62"/>
        <v>25921.409146840793</v>
      </c>
      <c r="AC44" s="137">
        <f t="shared" si="19"/>
        <v>0.17021546947716581</v>
      </c>
      <c r="AD44" s="31">
        <f t="shared" si="17"/>
        <v>0.05</v>
      </c>
      <c r="AE44" s="145">
        <f t="shared" si="1"/>
        <v>160102.82120107551</v>
      </c>
    </row>
    <row r="45" spans="2:31" s="122" customFormat="1" x14ac:dyDescent="0.2">
      <c r="B45" s="23"/>
      <c r="C45" s="149"/>
      <c r="D45" s="149"/>
      <c r="E45" s="150"/>
      <c r="F45" s="150"/>
      <c r="G45" s="148">
        <f>(G44-F44)/G44</f>
        <v>1</v>
      </c>
      <c r="H45" s="148">
        <f>(H44-G44)/H44</f>
        <v>-1.0819165378670788E-2</v>
      </c>
      <c r="I45" s="148">
        <f t="shared" ref="I45" si="111">(I44-H44)/I44</f>
        <v>2.5602409638554216E-2</v>
      </c>
      <c r="J45" s="148">
        <f t="shared" ref="J45" si="112">(J44-I44)/J44</f>
        <v>0.2556053811659193</v>
      </c>
      <c r="K45" s="148">
        <f t="shared" ref="K45" si="113">(K44-J44)/K44</f>
        <v>0.19530897609382047</v>
      </c>
      <c r="L45" s="148">
        <f t="shared" ref="L45" si="114">(L44-K44)/L44</f>
        <v>0.19819168173598553</v>
      </c>
      <c r="M45" s="148">
        <f t="shared" ref="M45" si="115">(M44-L44)/M44</f>
        <v>0.15184049079754602</v>
      </c>
      <c r="N45" s="148">
        <f t="shared" ref="N45" si="116">(N44-M44)/N44</f>
        <v>0.24238903090866837</v>
      </c>
      <c r="O45" s="148">
        <f t="shared" ref="O45" si="117">(O44-N44)/O44</f>
        <v>0.32448979591836735</v>
      </c>
      <c r="P45" s="148">
        <f t="shared" ref="P45" si="118">(P44-O44)/P44</f>
        <v>0.2367601246105919</v>
      </c>
      <c r="Q45" s="127"/>
      <c r="R45" s="20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19"/>
      <c r="AD45" s="136"/>
      <c r="AE45" s="154"/>
    </row>
    <row r="46" spans="2:31" x14ac:dyDescent="0.2">
      <c r="B46" s="20" t="s">
        <v>262</v>
      </c>
      <c r="C46" s="140"/>
      <c r="D46" s="140"/>
      <c r="E46" s="146"/>
      <c r="F46" s="146"/>
      <c r="G46" s="170">
        <v>1069</v>
      </c>
      <c r="H46" s="170">
        <v>1084</v>
      </c>
      <c r="I46" s="170">
        <v>1291</v>
      </c>
      <c r="J46" s="142">
        <v>1716</v>
      </c>
      <c r="K46" s="142">
        <v>2142</v>
      </c>
      <c r="L46" s="171">
        <v>2617</v>
      </c>
      <c r="M46" s="171">
        <v>2910</v>
      </c>
      <c r="N46" s="171">
        <v>3725</v>
      </c>
      <c r="O46" s="171">
        <v>5568</v>
      </c>
      <c r="P46" s="171">
        <v>7285</v>
      </c>
      <c r="Q46" s="118">
        <f>((P46/G46)^(1/($H$2-$H$1) ))-1</f>
        <v>0.23767255644243712</v>
      </c>
      <c r="R46" s="31">
        <f t="shared" si="6"/>
        <v>0.12</v>
      </c>
      <c r="S46" s="154">
        <f t="shared" si="53"/>
        <v>8159.2000000000007</v>
      </c>
      <c r="T46" s="154">
        <f t="shared" si="54"/>
        <v>9138.3040000000019</v>
      </c>
      <c r="U46" s="154">
        <f t="shared" si="55"/>
        <v>10234.900480000004</v>
      </c>
      <c r="V46" s="154">
        <f t="shared" si="56"/>
        <v>11463.088537600006</v>
      </c>
      <c r="W46" s="154">
        <f t="shared" si="57"/>
        <v>12838.659162112008</v>
      </c>
      <c r="X46" s="154">
        <f t="shared" si="58"/>
        <v>14379.298261565451</v>
      </c>
      <c r="Y46" s="154">
        <f t="shared" si="59"/>
        <v>16104.814052953307</v>
      </c>
      <c r="Z46" s="154">
        <f t="shared" si="60"/>
        <v>18037.391739307706</v>
      </c>
      <c r="AA46" s="154">
        <f t="shared" si="61"/>
        <v>20201.878748024632</v>
      </c>
      <c r="AB46" s="154">
        <f t="shared" si="62"/>
        <v>22626.10419778759</v>
      </c>
      <c r="AC46" s="137">
        <f t="shared" si="19"/>
        <v>0.17427579596630349</v>
      </c>
      <c r="AD46" s="31">
        <f t="shared" si="17"/>
        <v>0.05</v>
      </c>
      <c r="AE46" s="145">
        <f t="shared" si="1"/>
        <v>139749.4671039822</v>
      </c>
    </row>
    <row r="47" spans="2:31" s="122" customFormat="1" x14ac:dyDescent="0.2">
      <c r="B47" s="23"/>
      <c r="C47" s="149"/>
      <c r="D47" s="149"/>
      <c r="E47" s="150"/>
      <c r="F47" s="150"/>
      <c r="G47" s="148">
        <f t="shared" ref="G47:P47" si="119">(G46-F46)/G46</f>
        <v>1</v>
      </c>
      <c r="H47" s="148">
        <f t="shared" si="119"/>
        <v>1.3837638376383764E-2</v>
      </c>
      <c r="I47" s="148">
        <f t="shared" si="119"/>
        <v>0.16034082106893879</v>
      </c>
      <c r="J47" s="148">
        <f t="shared" si="119"/>
        <v>0.24766899766899766</v>
      </c>
      <c r="K47" s="148">
        <f t="shared" si="119"/>
        <v>0.19887955182072828</v>
      </c>
      <c r="L47" s="148">
        <f t="shared" si="119"/>
        <v>0.1815055406954528</v>
      </c>
      <c r="M47" s="148">
        <f t="shared" si="119"/>
        <v>0.1006872852233677</v>
      </c>
      <c r="N47" s="148">
        <f t="shared" si="119"/>
        <v>0.21879194630872484</v>
      </c>
      <c r="O47" s="148">
        <f t="shared" si="119"/>
        <v>0.33099856321839083</v>
      </c>
      <c r="P47" s="148">
        <f t="shared" si="119"/>
        <v>0.2356897735072066</v>
      </c>
      <c r="Q47" s="127"/>
      <c r="R47" s="20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19"/>
      <c r="AD47" s="136"/>
      <c r="AE47" s="154"/>
    </row>
    <row r="48" spans="2:31" x14ac:dyDescent="0.2">
      <c r="B48" s="20" t="s">
        <v>370</v>
      </c>
      <c r="C48" s="140"/>
      <c r="D48" s="140"/>
      <c r="E48" s="146"/>
      <c r="F48" s="146"/>
      <c r="G48" s="146">
        <v>322</v>
      </c>
      <c r="H48" s="146">
        <v>160</v>
      </c>
      <c r="I48" s="146">
        <v>139.80000000000001</v>
      </c>
      <c r="J48" s="146">
        <v>284</v>
      </c>
      <c r="K48" s="146">
        <v>297</v>
      </c>
      <c r="L48" s="146">
        <v>456</v>
      </c>
      <c r="M48" s="146">
        <v>553</v>
      </c>
      <c r="N48" s="146">
        <v>713</v>
      </c>
      <c r="O48" s="146">
        <v>1011</v>
      </c>
      <c r="P48" s="146">
        <v>1362</v>
      </c>
      <c r="Q48" s="118">
        <f>((P48/G48)^(1/($H$2-$H$1) ))-1</f>
        <v>0.17379227888457138</v>
      </c>
      <c r="R48" s="31">
        <v>0.1</v>
      </c>
      <c r="S48" s="154">
        <f t="shared" ref="S48" si="120">P48*(1+$R48)</f>
        <v>1498.2</v>
      </c>
      <c r="T48" s="154">
        <f t="shared" ref="T48:AB48" si="121">S48*(1+$R48)</f>
        <v>1648.0200000000002</v>
      </c>
      <c r="U48" s="154">
        <f t="shared" si="121"/>
        <v>1812.8220000000003</v>
      </c>
      <c r="V48" s="154">
        <f t="shared" si="121"/>
        <v>1994.1042000000004</v>
      </c>
      <c r="W48" s="154">
        <f t="shared" si="121"/>
        <v>2193.5146200000008</v>
      </c>
      <c r="X48" s="154">
        <f t="shared" si="121"/>
        <v>2412.8660820000009</v>
      </c>
      <c r="Y48" s="154">
        <f t="shared" si="121"/>
        <v>2654.1526902000014</v>
      </c>
      <c r="Z48" s="154">
        <f t="shared" si="121"/>
        <v>2919.5679592200017</v>
      </c>
      <c r="AA48" s="154">
        <f t="shared" si="121"/>
        <v>3211.524755142002</v>
      </c>
      <c r="AB48" s="154">
        <f t="shared" si="121"/>
        <v>3532.6772306562025</v>
      </c>
      <c r="AC48" s="137">
        <f t="shared" ref="AC48" si="122">((AB48/G48)^(1/($AB$3-$H$1) ))-1</f>
        <v>0.13435737602466746</v>
      </c>
      <c r="AD48" s="31">
        <v>0.05</v>
      </c>
      <c r="AE48" s="145">
        <f t="shared" si="1"/>
        <v>21819.477012876549</v>
      </c>
    </row>
    <row r="49" spans="2:31" x14ac:dyDescent="0.2">
      <c r="B49" s="20"/>
      <c r="C49" s="140"/>
      <c r="D49" s="140"/>
      <c r="E49" s="146"/>
      <c r="F49" s="146"/>
      <c r="G49" s="148">
        <f>(G48-F48)/G48</f>
        <v>1</v>
      </c>
      <c r="H49" s="148">
        <f>(H48-G48)/H48</f>
        <v>-1.0125</v>
      </c>
      <c r="I49" s="148">
        <f t="shared" ref="I49:P49" si="123">(I48-H48)/I48</f>
        <v>-0.14449213161659505</v>
      </c>
      <c r="J49" s="148">
        <f t="shared" si="123"/>
        <v>0.50774647887323943</v>
      </c>
      <c r="K49" s="148">
        <f t="shared" si="123"/>
        <v>4.3771043771043773E-2</v>
      </c>
      <c r="L49" s="148">
        <f t="shared" si="123"/>
        <v>0.34868421052631576</v>
      </c>
      <c r="M49" s="148">
        <f t="shared" si="123"/>
        <v>0.17540687160940324</v>
      </c>
      <c r="N49" s="148">
        <f t="shared" si="123"/>
        <v>0.2244039270687237</v>
      </c>
      <c r="O49" s="148">
        <f t="shared" si="123"/>
        <v>0.29475766567754697</v>
      </c>
      <c r="P49" s="148">
        <f t="shared" si="123"/>
        <v>0.25770925110132159</v>
      </c>
      <c r="Q49" s="3"/>
      <c r="R49" s="3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37"/>
      <c r="AD49" s="31"/>
      <c r="AE49" s="145"/>
    </row>
    <row r="50" spans="2:31" s="122" customFormat="1" x14ac:dyDescent="0.2">
      <c r="B50" s="20" t="s">
        <v>325</v>
      </c>
      <c r="C50" s="149"/>
      <c r="D50" s="149"/>
      <c r="E50" s="150"/>
      <c r="F50" s="146"/>
      <c r="G50" s="146">
        <v>669</v>
      </c>
      <c r="H50" s="146">
        <v>719</v>
      </c>
      <c r="I50" s="146">
        <v>873</v>
      </c>
      <c r="J50" s="146">
        <v>1228</v>
      </c>
      <c r="K50" s="146">
        <v>1579</v>
      </c>
      <c r="L50" s="146">
        <v>1850</v>
      </c>
      <c r="M50" s="146">
        <v>1820</v>
      </c>
      <c r="N50" s="146">
        <v>2212</v>
      </c>
      <c r="O50" s="146">
        <v>3654</v>
      </c>
      <c r="P50" s="146">
        <v>4750</v>
      </c>
      <c r="Q50" s="118">
        <f>((P50/G50)^(1/($H$2-$H$1) ))-1</f>
        <v>0.24332674810649446</v>
      </c>
      <c r="R50" s="31">
        <f t="shared" si="6"/>
        <v>0.12</v>
      </c>
      <c r="S50" s="154">
        <f t="shared" ref="S50" si="124">P50*(1+$R50)</f>
        <v>5320.0000000000009</v>
      </c>
      <c r="T50" s="154">
        <f t="shared" ref="T50" si="125">S50*(1+$R50)</f>
        <v>5958.4000000000015</v>
      </c>
      <c r="U50" s="154">
        <f t="shared" ref="U50" si="126">T50*(1+$R50)</f>
        <v>6673.4080000000022</v>
      </c>
      <c r="V50" s="154">
        <f t="shared" ref="V50" si="127">U50*(1+$R50)</f>
        <v>7474.2169600000034</v>
      </c>
      <c r="W50" s="154">
        <f t="shared" ref="W50" si="128">V50*(1+$R50)</f>
        <v>8371.1229952000049</v>
      </c>
      <c r="X50" s="154">
        <f t="shared" ref="X50" si="129">W50*(1+$R50)</f>
        <v>9375.657754624006</v>
      </c>
      <c r="Y50" s="154">
        <f t="shared" ref="Y50" si="130">X50*(1+$R50)</f>
        <v>10500.736685178888</v>
      </c>
      <c r="Z50" s="154">
        <f t="shared" ref="Z50" si="131">Y50*(1+$R50)</f>
        <v>11760.825087400355</v>
      </c>
      <c r="AA50" s="154">
        <f t="shared" ref="AA50" si="132">Z50*(1+$R50)</f>
        <v>13172.1240978884</v>
      </c>
      <c r="AB50" s="154">
        <f t="shared" ref="AB50" si="133">AA50*(1+$R50)</f>
        <v>14752.77898963501</v>
      </c>
      <c r="AC50" s="137">
        <f t="shared" ref="AC50" si="134">((AB50/G50)^(1/($AB$3-$H$1) ))-1</f>
        <v>0.17681385994728616</v>
      </c>
      <c r="AD50" s="31">
        <f t="shared" si="17"/>
        <v>0.05</v>
      </c>
      <c r="AE50" s="145">
        <f t="shared" ref="AE50" si="135">(AB50*(1+AD50))/($C$1-AD50)</f>
        <v>91120.10552421624</v>
      </c>
    </row>
    <row r="51" spans="2:31" s="122" customFormat="1" x14ac:dyDescent="0.2">
      <c r="B51" s="23"/>
      <c r="C51" s="149"/>
      <c r="D51" s="149"/>
      <c r="E51" s="150"/>
      <c r="F51" s="150"/>
      <c r="G51" s="148">
        <f t="shared" ref="G51:P51" si="136">(G50-F50)/G50</f>
        <v>1</v>
      </c>
      <c r="H51" s="148">
        <f t="shared" si="136"/>
        <v>6.9541029207232263E-2</v>
      </c>
      <c r="I51" s="148">
        <f t="shared" si="136"/>
        <v>0.17640320733104239</v>
      </c>
      <c r="J51" s="148">
        <f t="shared" si="136"/>
        <v>0.28908794788273617</v>
      </c>
      <c r="K51" s="148">
        <f t="shared" si="136"/>
        <v>0.22229259024699177</v>
      </c>
      <c r="L51" s="148">
        <f t="shared" si="136"/>
        <v>0.14648648648648649</v>
      </c>
      <c r="M51" s="148">
        <f t="shared" si="136"/>
        <v>-1.6483516483516484E-2</v>
      </c>
      <c r="N51" s="148">
        <f t="shared" si="136"/>
        <v>0.17721518987341772</v>
      </c>
      <c r="O51" s="148">
        <f t="shared" si="136"/>
        <v>0.3946360153256705</v>
      </c>
      <c r="P51" s="148">
        <f t="shared" si="136"/>
        <v>0.23073684210526316</v>
      </c>
      <c r="Q51" s="127"/>
      <c r="R51" s="20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62"/>
      <c r="AD51" s="136"/>
      <c r="AE51" s="154"/>
    </row>
    <row r="52" spans="2:31" x14ac:dyDescent="0.2">
      <c r="B52" s="20" t="s">
        <v>333</v>
      </c>
      <c r="C52" s="140"/>
      <c r="D52" s="140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18" t="e">
        <f>((P52/G52)^(1/($H$2-$H$1) ))-1</f>
        <v>#DIV/0!</v>
      </c>
      <c r="R52" s="31">
        <f t="shared" si="6"/>
        <v>0.12</v>
      </c>
      <c r="S52" s="154">
        <f>P52*(1+$R52)</f>
        <v>0</v>
      </c>
      <c r="T52" s="154">
        <f>S52*(1+$R52)</f>
        <v>0</v>
      </c>
      <c r="U52" s="154">
        <f t="shared" ref="U52:AB53" si="137">T52*(1+$R52)</f>
        <v>0</v>
      </c>
      <c r="V52" s="154">
        <f t="shared" si="137"/>
        <v>0</v>
      </c>
      <c r="W52" s="154">
        <f t="shared" si="137"/>
        <v>0</v>
      </c>
      <c r="X52" s="154">
        <f t="shared" si="137"/>
        <v>0</v>
      </c>
      <c r="Y52" s="154">
        <f t="shared" si="137"/>
        <v>0</v>
      </c>
      <c r="Z52" s="154">
        <f t="shared" si="137"/>
        <v>0</v>
      </c>
      <c r="AA52" s="154">
        <f t="shared" si="137"/>
        <v>0</v>
      </c>
      <c r="AB52" s="154">
        <f t="shared" si="137"/>
        <v>0</v>
      </c>
      <c r="AC52" s="137" t="e">
        <f t="shared" ref="AC52" si="138">((AB52/G52)^(1/($AB$3-$H$1) ))-1</f>
        <v>#DIV/0!</v>
      </c>
      <c r="AD52" s="31">
        <f t="shared" si="17"/>
        <v>0.05</v>
      </c>
      <c r="AE52" s="145">
        <f t="shared" si="1"/>
        <v>0</v>
      </c>
    </row>
    <row r="53" spans="2:31" x14ac:dyDescent="0.2">
      <c r="B53" s="20" t="s">
        <v>332</v>
      </c>
      <c r="C53" s="140"/>
      <c r="D53" s="140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18" t="e">
        <f>((P53/G53)^(1/($H$2-$H$1) ))-1</f>
        <v>#DIV/0!</v>
      </c>
      <c r="R53" s="31">
        <f t="shared" si="6"/>
        <v>0.12</v>
      </c>
      <c r="S53" s="154">
        <f>P53*(1+$R53)</f>
        <v>0</v>
      </c>
      <c r="T53" s="154">
        <f>S53*(1+$R53)</f>
        <v>0</v>
      </c>
      <c r="U53" s="154">
        <f t="shared" si="137"/>
        <v>0</v>
      </c>
      <c r="V53" s="154">
        <f t="shared" si="137"/>
        <v>0</v>
      </c>
      <c r="W53" s="154">
        <f t="shared" si="137"/>
        <v>0</v>
      </c>
      <c r="X53" s="154">
        <f t="shared" si="137"/>
        <v>0</v>
      </c>
      <c r="Y53" s="154">
        <f t="shared" si="137"/>
        <v>0</v>
      </c>
      <c r="Z53" s="154">
        <f t="shared" si="137"/>
        <v>0</v>
      </c>
      <c r="AA53" s="154">
        <f t="shared" si="137"/>
        <v>0</v>
      </c>
      <c r="AB53" s="154">
        <f t="shared" si="137"/>
        <v>0</v>
      </c>
      <c r="AC53" s="137" t="e">
        <f t="shared" ref="AC53" si="139">((AB53/G53)^(1/($AB$3-$H$1) ))-1</f>
        <v>#DIV/0!</v>
      </c>
      <c r="AD53" s="31">
        <f t="shared" si="17"/>
        <v>0.05</v>
      </c>
      <c r="AE53" s="145">
        <f t="shared" si="1"/>
        <v>0</v>
      </c>
    </row>
    <row r="54" spans="2:31" x14ac:dyDescent="0.2">
      <c r="B54" s="20" t="s">
        <v>317</v>
      </c>
      <c r="C54" s="140"/>
      <c r="D54" s="140"/>
      <c r="E54" s="146"/>
      <c r="F54" s="146"/>
      <c r="G54" s="170"/>
      <c r="H54" s="170"/>
      <c r="I54" s="170"/>
      <c r="J54" s="142"/>
      <c r="K54" s="142"/>
      <c r="L54" s="171"/>
      <c r="M54" s="171"/>
      <c r="N54" s="171"/>
      <c r="O54" s="171"/>
      <c r="P54" s="171"/>
      <c r="Q54" s="118" t="e">
        <f>((P54/G54)^(1/($H$2-$H$1) ))-1</f>
        <v>#DIV/0!</v>
      </c>
      <c r="R54" s="31">
        <f t="shared" si="6"/>
        <v>0.12</v>
      </c>
      <c r="S54" s="154">
        <f t="shared" si="53"/>
        <v>0</v>
      </c>
      <c r="T54" s="154">
        <f t="shared" si="54"/>
        <v>0</v>
      </c>
      <c r="U54" s="154">
        <f t="shared" si="55"/>
        <v>0</v>
      </c>
      <c r="V54" s="154">
        <f t="shared" si="56"/>
        <v>0</v>
      </c>
      <c r="W54" s="154">
        <f t="shared" si="57"/>
        <v>0</v>
      </c>
      <c r="X54" s="154">
        <f t="shared" si="58"/>
        <v>0</v>
      </c>
      <c r="Y54" s="154">
        <f t="shared" si="59"/>
        <v>0</v>
      </c>
      <c r="Z54" s="154">
        <f t="shared" si="60"/>
        <v>0</v>
      </c>
      <c r="AA54" s="154">
        <f t="shared" si="61"/>
        <v>0</v>
      </c>
      <c r="AB54" s="154">
        <f t="shared" si="62"/>
        <v>0</v>
      </c>
      <c r="AC54" s="137" t="e">
        <f t="shared" si="19"/>
        <v>#DIV/0!</v>
      </c>
      <c r="AD54" s="31">
        <f t="shared" si="17"/>
        <v>0.05</v>
      </c>
      <c r="AE54" s="145">
        <f t="shared" si="1"/>
        <v>0</v>
      </c>
    </row>
    <row r="55" spans="2:31" x14ac:dyDescent="0.2">
      <c r="B55" s="20" t="s">
        <v>309</v>
      </c>
      <c r="C55" s="140"/>
      <c r="D55" s="140"/>
      <c r="E55" s="146"/>
      <c r="F55" s="146"/>
      <c r="G55" s="170"/>
      <c r="H55" s="170"/>
      <c r="I55" s="170"/>
      <c r="J55" s="142"/>
      <c r="K55" s="142"/>
      <c r="L55" s="171"/>
      <c r="M55" s="171"/>
      <c r="N55" s="171"/>
      <c r="O55" s="171"/>
      <c r="P55" s="171"/>
      <c r="Q55" s="118" t="e">
        <f>((P55/G55)^(1/($H$2-$H$1) ))-1</f>
        <v>#DIV/0!</v>
      </c>
      <c r="R55" s="31">
        <f t="shared" si="6"/>
        <v>0.12</v>
      </c>
      <c r="S55" s="154">
        <f t="shared" si="53"/>
        <v>0</v>
      </c>
      <c r="T55" s="154">
        <f t="shared" si="54"/>
        <v>0</v>
      </c>
      <c r="U55" s="154">
        <f t="shared" si="55"/>
        <v>0</v>
      </c>
      <c r="V55" s="154">
        <f t="shared" si="56"/>
        <v>0</v>
      </c>
      <c r="W55" s="154">
        <f t="shared" si="57"/>
        <v>0</v>
      </c>
      <c r="X55" s="154">
        <f t="shared" si="58"/>
        <v>0</v>
      </c>
      <c r="Y55" s="154">
        <f t="shared" si="59"/>
        <v>0</v>
      </c>
      <c r="Z55" s="154">
        <f t="shared" si="60"/>
        <v>0</v>
      </c>
      <c r="AA55" s="154">
        <f t="shared" si="61"/>
        <v>0</v>
      </c>
      <c r="AB55" s="154">
        <f t="shared" si="62"/>
        <v>0</v>
      </c>
      <c r="AC55" s="137" t="e">
        <f t="shared" si="19"/>
        <v>#DIV/0!</v>
      </c>
      <c r="AD55" s="31">
        <f t="shared" si="17"/>
        <v>0.05</v>
      </c>
      <c r="AE55" s="145">
        <f t="shared" si="1"/>
        <v>0</v>
      </c>
    </row>
    <row r="56" spans="2:31" x14ac:dyDescent="0.2">
      <c r="B56" s="20"/>
      <c r="C56" s="140"/>
      <c r="D56" s="140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27"/>
      <c r="R56" s="20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8"/>
      <c r="AD56" s="136"/>
      <c r="AE56" s="154"/>
    </row>
    <row r="57" spans="2:31" x14ac:dyDescent="0.2">
      <c r="B57" s="20" t="s">
        <v>375</v>
      </c>
      <c r="C57" s="140"/>
      <c r="D57" s="140"/>
      <c r="E57" s="146"/>
      <c r="F57" s="146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18" t="e">
        <f>((P57/G57)^(1/($H$2-$H$1) ))-1</f>
        <v>#DIV/0!</v>
      </c>
      <c r="R57" s="31">
        <v>0.1</v>
      </c>
      <c r="S57" s="154">
        <f t="shared" ref="S57:S60" si="140">P57*(1+$R57)</f>
        <v>0</v>
      </c>
      <c r="T57" s="154">
        <f t="shared" ref="T57:T60" si="141">S57*(1+$R57)</f>
        <v>0</v>
      </c>
      <c r="U57" s="154">
        <f t="shared" ref="U57:U60" si="142">T57*(1+$R57)</f>
        <v>0</v>
      </c>
      <c r="V57" s="154">
        <f t="shared" ref="V57:V60" si="143">U57*(1+$R57)</f>
        <v>0</v>
      </c>
      <c r="W57" s="154">
        <f t="shared" ref="W57:W60" si="144">V57*(1+$R57)</f>
        <v>0</v>
      </c>
      <c r="X57" s="154">
        <f t="shared" ref="X57:X60" si="145">W57*(1+$R57)</f>
        <v>0</v>
      </c>
      <c r="Y57" s="154">
        <f t="shared" ref="Y57:Y60" si="146">X57*(1+$R57)</f>
        <v>0</v>
      </c>
      <c r="Z57" s="154">
        <f t="shared" ref="Z57:Z60" si="147">Y57*(1+$R57)</f>
        <v>0</v>
      </c>
      <c r="AA57" s="154">
        <f t="shared" ref="AA57:AA60" si="148">Z57*(1+$R57)</f>
        <v>0</v>
      </c>
      <c r="AB57" s="154">
        <f t="shared" ref="AB57:AB60" si="149">AA57*(1+$R57)</f>
        <v>0</v>
      </c>
      <c r="AC57" s="137" t="e">
        <f t="shared" ref="AC57:AC60" si="150">((AB57/G57)^(1/($AB$3-$H$1) ))-1</f>
        <v>#DIV/0!</v>
      </c>
      <c r="AD57" s="31">
        <f t="shared" si="17"/>
        <v>0.05</v>
      </c>
      <c r="AE57" s="145">
        <f t="shared" ref="AE57:AE60" si="151">(AB57*(1+AD57))/($C$1-AD57)</f>
        <v>0</v>
      </c>
    </row>
    <row r="58" spans="2:31" x14ac:dyDescent="0.2">
      <c r="B58" s="20" t="s">
        <v>376</v>
      </c>
      <c r="C58" s="140"/>
      <c r="D58" s="140"/>
      <c r="E58" s="146"/>
      <c r="F58" s="146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18" t="e">
        <f>((P58/G58)^(1/($H$2-$H$1) ))-1</f>
        <v>#DIV/0!</v>
      </c>
      <c r="R58" s="31">
        <v>0.1</v>
      </c>
      <c r="S58" s="154">
        <f t="shared" si="140"/>
        <v>0</v>
      </c>
      <c r="T58" s="154">
        <f t="shared" si="141"/>
        <v>0</v>
      </c>
      <c r="U58" s="154">
        <f t="shared" si="142"/>
        <v>0</v>
      </c>
      <c r="V58" s="154">
        <f t="shared" si="143"/>
        <v>0</v>
      </c>
      <c r="W58" s="154">
        <f t="shared" si="144"/>
        <v>0</v>
      </c>
      <c r="X58" s="154">
        <f t="shared" si="145"/>
        <v>0</v>
      </c>
      <c r="Y58" s="154">
        <f t="shared" si="146"/>
        <v>0</v>
      </c>
      <c r="Z58" s="154">
        <f t="shared" si="147"/>
        <v>0</v>
      </c>
      <c r="AA58" s="154">
        <f t="shared" si="148"/>
        <v>0</v>
      </c>
      <c r="AB58" s="154">
        <f t="shared" si="149"/>
        <v>0</v>
      </c>
      <c r="AC58" s="137" t="e">
        <f t="shared" si="150"/>
        <v>#DIV/0!</v>
      </c>
      <c r="AD58" s="31">
        <f t="shared" si="17"/>
        <v>0.05</v>
      </c>
      <c r="AE58" s="145">
        <f t="shared" si="151"/>
        <v>0</v>
      </c>
    </row>
    <row r="59" spans="2:31" x14ac:dyDescent="0.2">
      <c r="B59" s="20" t="s">
        <v>377</v>
      </c>
      <c r="C59" s="140"/>
      <c r="D59" s="140"/>
      <c r="E59" s="146"/>
      <c r="F59" s="146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18" t="e">
        <f>((P59/G59)^(1/($H$2-$H$1) ))-1</f>
        <v>#DIV/0!</v>
      </c>
      <c r="R59" s="31">
        <v>0.1</v>
      </c>
      <c r="S59" s="154">
        <f t="shared" si="140"/>
        <v>0</v>
      </c>
      <c r="T59" s="154">
        <f t="shared" si="141"/>
        <v>0</v>
      </c>
      <c r="U59" s="154">
        <f t="shared" si="142"/>
        <v>0</v>
      </c>
      <c r="V59" s="154">
        <f t="shared" si="143"/>
        <v>0</v>
      </c>
      <c r="W59" s="154">
        <f t="shared" si="144"/>
        <v>0</v>
      </c>
      <c r="X59" s="154">
        <f t="shared" si="145"/>
        <v>0</v>
      </c>
      <c r="Y59" s="154">
        <f t="shared" si="146"/>
        <v>0</v>
      </c>
      <c r="Z59" s="154">
        <f t="shared" si="147"/>
        <v>0</v>
      </c>
      <c r="AA59" s="154">
        <f t="shared" si="148"/>
        <v>0</v>
      </c>
      <c r="AB59" s="154">
        <f t="shared" si="149"/>
        <v>0</v>
      </c>
      <c r="AC59" s="137" t="e">
        <f t="shared" si="150"/>
        <v>#DIV/0!</v>
      </c>
      <c r="AD59" s="31">
        <f t="shared" si="17"/>
        <v>0.05</v>
      </c>
      <c r="AE59" s="145">
        <f t="shared" si="151"/>
        <v>0</v>
      </c>
    </row>
    <row r="60" spans="2:31" x14ac:dyDescent="0.2">
      <c r="B60" s="20" t="s">
        <v>378</v>
      </c>
      <c r="C60" s="140"/>
      <c r="D60" s="140"/>
      <c r="E60" s="146"/>
      <c r="F60" s="146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18" t="e">
        <f>((P60/G60)^(1/($H$2-$H$1) ))-1</f>
        <v>#DIV/0!</v>
      </c>
      <c r="R60" s="31">
        <v>0.1</v>
      </c>
      <c r="S60" s="154">
        <f t="shared" si="140"/>
        <v>0</v>
      </c>
      <c r="T60" s="154">
        <f t="shared" si="141"/>
        <v>0</v>
      </c>
      <c r="U60" s="154">
        <f t="shared" si="142"/>
        <v>0</v>
      </c>
      <c r="V60" s="154">
        <f t="shared" si="143"/>
        <v>0</v>
      </c>
      <c r="W60" s="154">
        <f t="shared" si="144"/>
        <v>0</v>
      </c>
      <c r="X60" s="154">
        <f t="shared" si="145"/>
        <v>0</v>
      </c>
      <c r="Y60" s="154">
        <f t="shared" si="146"/>
        <v>0</v>
      </c>
      <c r="Z60" s="154">
        <f t="shared" si="147"/>
        <v>0</v>
      </c>
      <c r="AA60" s="154">
        <f t="shared" si="148"/>
        <v>0</v>
      </c>
      <c r="AB60" s="154">
        <f t="shared" si="149"/>
        <v>0</v>
      </c>
      <c r="AC60" s="137" t="e">
        <f t="shared" si="150"/>
        <v>#DIV/0!</v>
      </c>
      <c r="AD60" s="31">
        <f t="shared" si="17"/>
        <v>0.05</v>
      </c>
      <c r="AE60" s="145">
        <f t="shared" si="151"/>
        <v>0</v>
      </c>
    </row>
    <row r="61" spans="2:31" x14ac:dyDescent="0.2">
      <c r="B61" s="20"/>
      <c r="C61" s="140"/>
      <c r="D61" s="140"/>
      <c r="E61" s="146"/>
      <c r="F61" s="146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3"/>
      <c r="R61" s="3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3"/>
      <c r="AD61" s="3"/>
      <c r="AE61" s="145"/>
    </row>
    <row r="62" spans="2:31" s="187" customFormat="1" x14ac:dyDescent="0.2">
      <c r="B62" s="217" t="s">
        <v>438</v>
      </c>
      <c r="C62" s="140"/>
      <c r="D62" s="140"/>
      <c r="E62" s="146"/>
      <c r="F62" s="146"/>
      <c r="G62" s="170">
        <v>22</v>
      </c>
      <c r="H62" s="170">
        <v>125</v>
      </c>
      <c r="I62" s="170">
        <v>97</v>
      </c>
      <c r="J62" s="142">
        <v>87</v>
      </c>
      <c r="K62" s="142">
        <v>100</v>
      </c>
      <c r="L62" s="171">
        <v>95</v>
      </c>
      <c r="M62" s="171">
        <v>223</v>
      </c>
      <c r="N62" s="171">
        <v>343</v>
      </c>
      <c r="O62" s="171">
        <v>428</v>
      </c>
      <c r="P62" s="171">
        <v>778</v>
      </c>
      <c r="Q62" s="178">
        <f>((P62/G62)^(1/($H$2-$H$1) ))-1</f>
        <v>0.48614737791689033</v>
      </c>
      <c r="R62" s="31">
        <f t="shared" si="6"/>
        <v>0.12</v>
      </c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239"/>
      <c r="AD62" s="192"/>
      <c r="AE62" s="180"/>
    </row>
    <row r="63" spans="2:31" s="187" customFormat="1" x14ac:dyDescent="0.2">
      <c r="B63" s="217"/>
      <c r="C63" s="140"/>
      <c r="D63" s="140"/>
      <c r="E63" s="146"/>
      <c r="F63" s="146"/>
      <c r="G63" s="148">
        <f>(G62-F62)/G62</f>
        <v>1</v>
      </c>
      <c r="H63" s="148">
        <f>(H62-G62)/H62</f>
        <v>0.82399999999999995</v>
      </c>
      <c r="I63" s="148">
        <f t="shared" ref="I63" si="152">(I62-H62)/I62</f>
        <v>-0.28865979381443296</v>
      </c>
      <c r="J63" s="148">
        <f t="shared" ref="J63" si="153">(J62-I62)/J62</f>
        <v>-0.11494252873563218</v>
      </c>
      <c r="K63" s="148">
        <f t="shared" ref="K63" si="154">(K62-J62)/K62</f>
        <v>0.13</v>
      </c>
      <c r="L63" s="148">
        <f t="shared" ref="L63" si="155">(L62-K62)/L62</f>
        <v>-5.2631578947368418E-2</v>
      </c>
      <c r="M63" s="148">
        <f t="shared" ref="M63" si="156">(M62-L62)/M62</f>
        <v>0.57399103139013452</v>
      </c>
      <c r="N63" s="148">
        <f t="shared" ref="N63" si="157">(N62-M62)/N62</f>
        <v>0.3498542274052478</v>
      </c>
      <c r="O63" s="148">
        <f t="shared" ref="O63" si="158">(O62-N62)/O62</f>
        <v>0.19859813084112149</v>
      </c>
      <c r="P63" s="148">
        <f t="shared" ref="P63" si="159">(P62-O62)/P62</f>
        <v>0.44987146529562982</v>
      </c>
      <c r="Q63" s="192"/>
      <c r="R63" s="192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239"/>
      <c r="AD63" s="192"/>
      <c r="AE63" s="180"/>
    </row>
    <row r="64" spans="2:31" x14ac:dyDescent="0.2">
      <c r="B64" s="20" t="s">
        <v>279</v>
      </c>
      <c r="C64" s="140"/>
      <c r="D64" s="140"/>
      <c r="E64" s="146"/>
      <c r="F64" s="146"/>
      <c r="G64" s="170">
        <v>0</v>
      </c>
      <c r="H64" s="170"/>
      <c r="I64" s="170"/>
      <c r="J64" s="142"/>
      <c r="K64" s="142"/>
      <c r="L64" s="171">
        <v>0</v>
      </c>
      <c r="M64" s="171"/>
      <c r="N64" s="171"/>
      <c r="O64" s="171"/>
      <c r="P64" s="171"/>
      <c r="Q64" s="118" t="e">
        <f>((P64/G64)^(1/($H$2-$H$1) ))-1</f>
        <v>#DIV/0!</v>
      </c>
      <c r="R64" s="31">
        <f t="shared" si="6"/>
        <v>0.12</v>
      </c>
      <c r="S64" s="154">
        <f t="shared" ref="S64" si="160">P64*(1+$R64)</f>
        <v>0</v>
      </c>
      <c r="T64" s="154">
        <f t="shared" ref="T64" si="161">S64*(1+$R64)</f>
        <v>0</v>
      </c>
      <c r="U64" s="154">
        <f t="shared" ref="U64" si="162">T64*(1+$R64)</f>
        <v>0</v>
      </c>
      <c r="V64" s="154">
        <f t="shared" ref="V64" si="163">U64*(1+$R64)</f>
        <v>0</v>
      </c>
      <c r="W64" s="154">
        <f t="shared" si="57"/>
        <v>0</v>
      </c>
      <c r="X64" s="154">
        <f t="shared" si="58"/>
        <v>0</v>
      </c>
      <c r="Y64" s="154">
        <f t="shared" si="59"/>
        <v>0</v>
      </c>
      <c r="Z64" s="154">
        <f t="shared" si="60"/>
        <v>0</v>
      </c>
      <c r="AA64" s="154">
        <f t="shared" si="61"/>
        <v>0</v>
      </c>
      <c r="AB64" s="154">
        <f t="shared" si="62"/>
        <v>0</v>
      </c>
      <c r="AC64" s="137" t="e">
        <f t="shared" si="19"/>
        <v>#DIV/0!</v>
      </c>
      <c r="AD64" s="31">
        <f t="shared" si="17"/>
        <v>0.05</v>
      </c>
      <c r="AE64" s="145">
        <f t="shared" si="1"/>
        <v>0</v>
      </c>
    </row>
    <row r="65" spans="2:31" s="122" customFormat="1" x14ac:dyDescent="0.2">
      <c r="B65" s="23"/>
      <c r="C65" s="149"/>
      <c r="D65" s="149"/>
      <c r="E65" s="150"/>
      <c r="F65" s="150"/>
      <c r="G65" s="148" t="e">
        <f>(G64-F64)/G64</f>
        <v>#DIV/0!</v>
      </c>
      <c r="H65" s="148" t="e">
        <f>(H64-G64)/H64</f>
        <v>#DIV/0!</v>
      </c>
      <c r="I65" s="148" t="e">
        <f t="shared" ref="I65" si="164">(I64-H64)/I64</f>
        <v>#DIV/0!</v>
      </c>
      <c r="J65" s="148" t="e">
        <f t="shared" ref="J65" si="165">(J64-I64)/J64</f>
        <v>#DIV/0!</v>
      </c>
      <c r="K65" s="148" t="e">
        <f t="shared" ref="K65" si="166">(K64-J64)/K64</f>
        <v>#DIV/0!</v>
      </c>
      <c r="L65" s="148" t="e">
        <f t="shared" ref="L65" si="167">(L64-K64)/L64</f>
        <v>#DIV/0!</v>
      </c>
      <c r="M65" s="148" t="e">
        <f t="shared" ref="M65" si="168">(M64-L64)/M64</f>
        <v>#DIV/0!</v>
      </c>
      <c r="N65" s="148" t="e">
        <f t="shared" ref="N65" si="169">(N64-M64)/N64</f>
        <v>#DIV/0!</v>
      </c>
      <c r="O65" s="148" t="e">
        <f t="shared" ref="O65" si="170">(O64-N64)/O64</f>
        <v>#DIV/0!</v>
      </c>
      <c r="P65" s="148" t="e">
        <f t="shared" ref="P65" si="171">(P64-O64)/P64</f>
        <v>#DIV/0!</v>
      </c>
      <c r="Q65" s="127"/>
      <c r="R65" s="20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38"/>
      <c r="AD65" s="136"/>
      <c r="AE65" s="156"/>
    </row>
    <row r="66" spans="2:31" s="122" customFormat="1" x14ac:dyDescent="0.2">
      <c r="B66" s="173" t="s">
        <v>391</v>
      </c>
      <c r="C66" s="149"/>
      <c r="D66" s="149"/>
      <c r="E66" s="150"/>
      <c r="F66" s="150"/>
      <c r="G66" s="170">
        <v>0</v>
      </c>
      <c r="H66" s="170"/>
      <c r="I66" s="170"/>
      <c r="J66" s="142"/>
      <c r="K66" s="142"/>
      <c r="L66" s="171">
        <v>0</v>
      </c>
      <c r="M66" s="171"/>
      <c r="N66" s="171"/>
      <c r="O66" s="171"/>
      <c r="P66" s="171"/>
      <c r="Q66" s="118" t="e">
        <f>((P66/G66)^(1/($H$2-$H$1) ))-1</f>
        <v>#DIV/0!</v>
      </c>
      <c r="R66" s="31">
        <f t="shared" si="6"/>
        <v>0.12</v>
      </c>
      <c r="S66" s="154">
        <f t="shared" ref="S66" si="172">P66*(1+$R66)</f>
        <v>0</v>
      </c>
      <c r="T66" s="154">
        <f t="shared" ref="T66" si="173">S66*(1+$R66)</f>
        <v>0</v>
      </c>
      <c r="U66" s="154">
        <f t="shared" ref="U66" si="174">T66*(1+$R66)</f>
        <v>0</v>
      </c>
      <c r="V66" s="154">
        <f t="shared" ref="V66" si="175">U66*(1+$R66)</f>
        <v>0</v>
      </c>
      <c r="W66" s="154">
        <f t="shared" ref="W66" si="176">V66*(1+$R66)</f>
        <v>0</v>
      </c>
      <c r="X66" s="154">
        <f t="shared" ref="X66" si="177">W66*(1+$R66)</f>
        <v>0</v>
      </c>
      <c r="Y66" s="154">
        <f t="shared" ref="Y66" si="178">X66*(1+$R66)</f>
        <v>0</v>
      </c>
      <c r="Z66" s="154">
        <f t="shared" ref="Z66" si="179">Y66*(1+$R66)</f>
        <v>0</v>
      </c>
      <c r="AA66" s="154">
        <f t="shared" ref="AA66" si="180">Z66*(1+$R66)</f>
        <v>0</v>
      </c>
      <c r="AB66" s="154">
        <f t="shared" ref="AB66" si="181">AA66*(1+$R66)</f>
        <v>0</v>
      </c>
      <c r="AC66" s="137" t="e">
        <f t="shared" ref="AC66" si="182">((AB66/G66)^(1/($AB$3-$H$1) ))-1</f>
        <v>#DIV/0!</v>
      </c>
      <c r="AD66" s="31">
        <f t="shared" si="17"/>
        <v>0.05</v>
      </c>
      <c r="AE66" s="145">
        <f t="shared" ref="AE66" si="183">(AB66*(1+AD66))/($C$1-AD66)</f>
        <v>0</v>
      </c>
    </row>
    <row r="67" spans="2:31" s="122" customFormat="1" x14ac:dyDescent="0.2">
      <c r="B67" s="23"/>
      <c r="C67" s="149"/>
      <c r="D67" s="149"/>
      <c r="E67" s="150"/>
      <c r="F67" s="150"/>
      <c r="G67" s="148" t="e">
        <f>(G66-F66)/G66</f>
        <v>#DIV/0!</v>
      </c>
      <c r="H67" s="148" t="e">
        <f>(H66-G66)/H66</f>
        <v>#DIV/0!</v>
      </c>
      <c r="I67" s="148" t="e">
        <f t="shared" ref="I67" si="184">(I66-H66)/I66</f>
        <v>#DIV/0!</v>
      </c>
      <c r="J67" s="148" t="e">
        <f t="shared" ref="J67" si="185">(J66-I66)/J66</f>
        <v>#DIV/0!</v>
      </c>
      <c r="K67" s="148" t="e">
        <f t="shared" ref="K67" si="186">(K66-J66)/K66</f>
        <v>#DIV/0!</v>
      </c>
      <c r="L67" s="148" t="e">
        <f t="shared" ref="L67" si="187">(L66-K66)/L66</f>
        <v>#DIV/0!</v>
      </c>
      <c r="M67" s="148" t="e">
        <f t="shared" ref="M67" si="188">(M66-L66)/M66</f>
        <v>#DIV/0!</v>
      </c>
      <c r="N67" s="148" t="e">
        <f t="shared" ref="N67" si="189">(N66-M66)/N66</f>
        <v>#DIV/0!</v>
      </c>
      <c r="O67" s="148" t="e">
        <f t="shared" ref="O67" si="190">(O66-N66)/O66</f>
        <v>#DIV/0!</v>
      </c>
      <c r="P67" s="148" t="e">
        <f t="shared" ref="P67" si="191">(P66-O66)/P66</f>
        <v>#DIV/0!</v>
      </c>
      <c r="Q67" s="127"/>
      <c r="R67" s="20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38"/>
      <c r="AD67" s="136"/>
      <c r="AE67" s="156"/>
    </row>
    <row r="68" spans="2:31" x14ac:dyDescent="0.2">
      <c r="B68" s="20" t="s">
        <v>257</v>
      </c>
      <c r="C68" s="140"/>
      <c r="D68" s="140"/>
      <c r="E68" s="146"/>
      <c r="F68" s="146"/>
      <c r="G68" s="170">
        <v>239</v>
      </c>
      <c r="H68" s="170">
        <v>210</v>
      </c>
      <c r="I68" s="170">
        <v>36.82</v>
      </c>
      <c r="J68" s="142">
        <v>68</v>
      </c>
      <c r="K68" s="142">
        <v>75</v>
      </c>
      <c r="L68" s="171">
        <v>148</v>
      </c>
      <c r="M68" s="171">
        <v>350</v>
      </c>
      <c r="N68" s="171">
        <v>577</v>
      </c>
      <c r="O68" s="171">
        <v>802</v>
      </c>
      <c r="P68" s="171">
        <v>1061</v>
      </c>
      <c r="Q68" s="118">
        <f>((P68/G68)^(1/($H$2-$H$1) ))-1</f>
        <v>0.18011454952113581</v>
      </c>
      <c r="R68" s="31">
        <f t="shared" si="6"/>
        <v>0.12</v>
      </c>
      <c r="S68" s="154">
        <f>P68*(1+$R68)</f>
        <v>1188.3200000000002</v>
      </c>
      <c r="T68" s="154">
        <f t="shared" ref="T68:AB68" si="192">S68*(1+$R68)</f>
        <v>1330.9184000000002</v>
      </c>
      <c r="U68" s="154">
        <f t="shared" si="192"/>
        <v>1490.6286080000004</v>
      </c>
      <c r="V68" s="154">
        <f t="shared" si="192"/>
        <v>1669.5040409600006</v>
      </c>
      <c r="W68" s="154">
        <f t="shared" si="192"/>
        <v>1869.8445258752008</v>
      </c>
      <c r="X68" s="154">
        <f t="shared" si="192"/>
        <v>2094.2258689802252</v>
      </c>
      <c r="Y68" s="154">
        <f t="shared" si="192"/>
        <v>2345.5329732578525</v>
      </c>
      <c r="Z68" s="154">
        <f t="shared" si="192"/>
        <v>2626.9969300487951</v>
      </c>
      <c r="AA68" s="154">
        <f t="shared" si="192"/>
        <v>2942.2365616546508</v>
      </c>
      <c r="AB68" s="154">
        <f t="shared" si="192"/>
        <v>3295.3049490532094</v>
      </c>
      <c r="AC68" s="137">
        <f t="shared" si="19"/>
        <v>0.14808373332187386</v>
      </c>
      <c r="AD68" s="31">
        <f t="shared" si="17"/>
        <v>0.05</v>
      </c>
      <c r="AE68" s="145">
        <f t="shared" si="1"/>
        <v>20353.354097093357</v>
      </c>
    </row>
    <row r="69" spans="2:31" s="122" customFormat="1" x14ac:dyDescent="0.2">
      <c r="B69" s="23"/>
      <c r="C69" s="149"/>
      <c r="D69" s="149"/>
      <c r="E69" s="150"/>
      <c r="F69" s="150"/>
      <c r="G69" s="148">
        <f>(G68-F68)/G68</f>
        <v>1</v>
      </c>
      <c r="H69" s="148">
        <f>(H68-G68)/H68</f>
        <v>-0.1380952380952381</v>
      </c>
      <c r="I69" s="148">
        <f t="shared" ref="I69" si="193">(I68-H68)/I68</f>
        <v>-4.7034220532319395</v>
      </c>
      <c r="J69" s="148">
        <f t="shared" ref="J69" si="194">(J68-I68)/J68</f>
        <v>0.45852941176470585</v>
      </c>
      <c r="K69" s="148">
        <f t="shared" ref="K69" si="195">(K68-J68)/K68</f>
        <v>9.3333333333333338E-2</v>
      </c>
      <c r="L69" s="148">
        <f t="shared" ref="L69" si="196">(L68-K68)/L68</f>
        <v>0.49324324324324326</v>
      </c>
      <c r="M69" s="148">
        <f t="shared" ref="M69" si="197">(M68-L68)/M68</f>
        <v>0.57714285714285718</v>
      </c>
      <c r="N69" s="148">
        <f t="shared" ref="N69" si="198">(N68-M68)/N68</f>
        <v>0.39341421143847488</v>
      </c>
      <c r="O69" s="148">
        <f t="shared" ref="O69" si="199">(O68-N68)/O68</f>
        <v>0.28054862842892769</v>
      </c>
      <c r="P69" s="148">
        <f t="shared" ref="P69" si="200">(P68-O68)/P68</f>
        <v>0.24410933081998115</v>
      </c>
      <c r="Q69" s="127"/>
      <c r="R69" s="20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38"/>
      <c r="AD69" s="136"/>
      <c r="AE69" s="156"/>
    </row>
    <row r="70" spans="2:31" x14ac:dyDescent="0.2">
      <c r="B70" s="20" t="s">
        <v>239</v>
      </c>
      <c r="C70" s="141">
        <v>1</v>
      </c>
      <c r="D70" s="141">
        <v>1</v>
      </c>
      <c r="E70" s="142">
        <v>1</v>
      </c>
      <c r="F70" s="168">
        <v>12</v>
      </c>
      <c r="G70" s="170">
        <v>22</v>
      </c>
      <c r="H70" s="170">
        <v>29</v>
      </c>
      <c r="I70" s="170">
        <v>29</v>
      </c>
      <c r="J70" s="142">
        <v>31.9</v>
      </c>
      <c r="K70" s="142">
        <v>31.9</v>
      </c>
      <c r="L70" s="171">
        <v>35.5</v>
      </c>
      <c r="M70" s="171">
        <v>41</v>
      </c>
      <c r="N70" s="171">
        <v>46.5</v>
      </c>
      <c r="O70" s="171">
        <v>46.7</v>
      </c>
      <c r="P70" s="171">
        <v>52</v>
      </c>
      <c r="Q70" s="118">
        <f>((P70/G70)^(1/($H$2-$H$1) ))-1</f>
        <v>0.10029455183886071</v>
      </c>
      <c r="R70" s="31">
        <v>0.1</v>
      </c>
      <c r="S70" s="154">
        <f>P70*(1+$R70)</f>
        <v>57.2</v>
      </c>
      <c r="T70" s="154">
        <f t="shared" ref="T70:AB71" si="201">S70*(1+$R70)</f>
        <v>62.920000000000009</v>
      </c>
      <c r="U70" s="154">
        <f t="shared" si="201"/>
        <v>69.212000000000018</v>
      </c>
      <c r="V70" s="154">
        <f t="shared" si="201"/>
        <v>76.133200000000031</v>
      </c>
      <c r="W70" s="154">
        <f t="shared" si="201"/>
        <v>83.746520000000046</v>
      </c>
      <c r="X70" s="154">
        <f t="shared" si="201"/>
        <v>92.121172000000058</v>
      </c>
      <c r="Y70" s="154">
        <f t="shared" si="201"/>
        <v>101.33328920000007</v>
      </c>
      <c r="Z70" s="154">
        <f t="shared" si="201"/>
        <v>111.46661812000008</v>
      </c>
      <c r="AA70" s="154">
        <f t="shared" si="201"/>
        <v>122.6132799320001</v>
      </c>
      <c r="AB70" s="154">
        <f t="shared" si="201"/>
        <v>134.87460792520011</v>
      </c>
      <c r="AC70" s="137">
        <f t="shared" si="19"/>
        <v>0.10013951472471949</v>
      </c>
      <c r="AD70" s="31">
        <f t="shared" si="17"/>
        <v>0.05</v>
      </c>
      <c r="AE70" s="145">
        <f t="shared" si="1"/>
        <v>833.04904894976551</v>
      </c>
    </row>
    <row r="71" spans="2:31" x14ac:dyDescent="0.2">
      <c r="B71" s="20" t="s">
        <v>379</v>
      </c>
      <c r="C71" s="146">
        <v>1</v>
      </c>
      <c r="D71" s="146">
        <v>1</v>
      </c>
      <c r="E71" s="146">
        <v>1</v>
      </c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18" t="e">
        <f>((P71/G71)^(1/($H$2-$H$1) ))-1</f>
        <v>#DIV/0!</v>
      </c>
      <c r="R71" s="31">
        <f>P1</f>
        <v>0.05</v>
      </c>
      <c r="S71" s="154">
        <f t="shared" ref="S71" si="202">P71*(1+$R71)</f>
        <v>0</v>
      </c>
      <c r="T71" s="154">
        <f t="shared" si="201"/>
        <v>0</v>
      </c>
      <c r="U71" s="154">
        <f t="shared" si="201"/>
        <v>0</v>
      </c>
      <c r="V71" s="154">
        <f t="shared" si="201"/>
        <v>0</v>
      </c>
      <c r="W71" s="154">
        <f t="shared" si="201"/>
        <v>0</v>
      </c>
      <c r="X71" s="154">
        <f t="shared" si="201"/>
        <v>0</v>
      </c>
      <c r="Y71" s="154">
        <f t="shared" si="201"/>
        <v>0</v>
      </c>
      <c r="Z71" s="154">
        <f t="shared" si="201"/>
        <v>0</v>
      </c>
      <c r="AA71" s="154">
        <f t="shared" si="201"/>
        <v>0</v>
      </c>
      <c r="AB71" s="154">
        <f t="shared" si="201"/>
        <v>0</v>
      </c>
      <c r="AC71" s="137" t="e">
        <f t="shared" si="19"/>
        <v>#DIV/0!</v>
      </c>
      <c r="AD71" s="31">
        <v>0.08</v>
      </c>
      <c r="AE71" s="145">
        <f t="shared" si="1"/>
        <v>0</v>
      </c>
    </row>
    <row r="72" spans="2:31" x14ac:dyDescent="0.2">
      <c r="B72" s="20" t="s">
        <v>283</v>
      </c>
      <c r="C72" s="144">
        <v>1</v>
      </c>
      <c r="D72" s="144">
        <v>1</v>
      </c>
      <c r="E72" s="144">
        <v>1</v>
      </c>
      <c r="F72" s="146"/>
      <c r="G72" s="168">
        <v>2.25</v>
      </c>
      <c r="H72" s="168">
        <v>1.8</v>
      </c>
      <c r="I72" s="168">
        <v>0</v>
      </c>
      <c r="J72" s="168">
        <v>0.6</v>
      </c>
      <c r="K72" s="168">
        <v>0.6</v>
      </c>
      <c r="L72" s="168">
        <v>1.2</v>
      </c>
      <c r="M72" s="168">
        <v>1.8</v>
      </c>
      <c r="N72" s="168">
        <v>2</v>
      </c>
      <c r="O72" s="168">
        <v>2.2000000000000002</v>
      </c>
      <c r="P72" s="168">
        <v>3</v>
      </c>
      <c r="Q72" s="118">
        <f>((P72/G72)^(1/($H$2-$H$1) ))-1</f>
        <v>3.24810319761204E-2</v>
      </c>
      <c r="R72" s="31">
        <f>P1</f>
        <v>0.05</v>
      </c>
      <c r="S72" s="154">
        <f t="shared" ref="S72" si="203">P72*(1+$R72)</f>
        <v>3.1500000000000004</v>
      </c>
      <c r="T72" s="154">
        <f t="shared" ref="T72" si="204">S72*(1+$R72)</f>
        <v>3.3075000000000006</v>
      </c>
      <c r="U72" s="154">
        <f t="shared" ref="U72" si="205">T72*(1+$R72)</f>
        <v>3.4728750000000006</v>
      </c>
      <c r="V72" s="154">
        <f t="shared" ref="V72" si="206">U72*(1+$R72)</f>
        <v>3.6465187500000007</v>
      </c>
      <c r="W72" s="154">
        <f t="shared" ref="W72" si="207">V72*(1+$R72)</f>
        <v>3.8288446875000011</v>
      </c>
      <c r="X72" s="154">
        <f t="shared" ref="X72" si="208">W72*(1+$R72)</f>
        <v>4.0202869218750017</v>
      </c>
      <c r="Y72" s="154">
        <f t="shared" ref="Y72" si="209">X72*(1+$R72)</f>
        <v>4.2213012679687516</v>
      </c>
      <c r="Z72" s="154">
        <f t="shared" ref="Z72" si="210">Y72*(1+$R72)</f>
        <v>4.4323663313671897</v>
      </c>
      <c r="AA72" s="154">
        <f t="shared" ref="AA72" si="211">Z72*(1+$R72)</f>
        <v>4.6539846479355491</v>
      </c>
      <c r="AB72" s="154">
        <f t="shared" ref="AB72" si="212">AA72*(1+$R72)</f>
        <v>4.8866838803323267</v>
      </c>
      <c r="AC72" s="137">
        <f t="shared" ref="AC72" si="213">((AB72/G72)^(1/($AB$3-$H$1) ))-1</f>
        <v>4.1664792669517503E-2</v>
      </c>
      <c r="AD72" s="31">
        <f t="shared" si="17"/>
        <v>0.05</v>
      </c>
      <c r="AE72" s="145">
        <f t="shared" si="1"/>
        <v>30.18245926087614</v>
      </c>
    </row>
    <row r="73" spans="2:31" s="187" customFormat="1" x14ac:dyDescent="0.2">
      <c r="B73" s="217" t="s">
        <v>435</v>
      </c>
      <c r="C73" s="144"/>
      <c r="D73" s="144"/>
      <c r="E73" s="144"/>
      <c r="F73" s="146"/>
      <c r="G73" s="146">
        <v>0</v>
      </c>
      <c r="H73" s="146">
        <v>0</v>
      </c>
      <c r="I73" s="146">
        <v>0</v>
      </c>
      <c r="J73" s="146">
        <v>0</v>
      </c>
      <c r="K73" s="146">
        <v>0</v>
      </c>
      <c r="L73" s="146">
        <v>0</v>
      </c>
      <c r="M73" s="146">
        <v>0</v>
      </c>
      <c r="N73" s="146">
        <v>0</v>
      </c>
      <c r="O73" s="146">
        <v>0</v>
      </c>
      <c r="P73" s="146">
        <v>0</v>
      </c>
      <c r="Q73" s="146">
        <v>0</v>
      </c>
      <c r="R73" s="127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79"/>
      <c r="AD73" s="238"/>
      <c r="AE73" s="180"/>
    </row>
    <row r="74" spans="2:31" s="187" customFormat="1" x14ac:dyDescent="0.2">
      <c r="B74" s="217" t="s">
        <v>436</v>
      </c>
      <c r="C74" s="144"/>
      <c r="D74" s="144"/>
      <c r="E74" s="144"/>
      <c r="F74" s="146"/>
      <c r="G74" s="146">
        <v>0</v>
      </c>
      <c r="H74" s="146">
        <v>0</v>
      </c>
      <c r="I74" s="146">
        <v>0</v>
      </c>
      <c r="J74" s="146">
        <v>0</v>
      </c>
      <c r="K74" s="146">
        <v>0</v>
      </c>
      <c r="L74" s="146">
        <v>0</v>
      </c>
      <c r="M74" s="146">
        <v>0</v>
      </c>
      <c r="N74" s="146">
        <v>0</v>
      </c>
      <c r="O74" s="146">
        <v>0</v>
      </c>
      <c r="P74" s="146">
        <v>0</v>
      </c>
      <c r="Q74" s="146">
        <v>0</v>
      </c>
      <c r="R74" s="127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79"/>
      <c r="AD74" s="238"/>
      <c r="AE74" s="180"/>
    </row>
    <row r="75" spans="2:31" s="187" customFormat="1" x14ac:dyDescent="0.2">
      <c r="B75" s="217" t="s">
        <v>437</v>
      </c>
      <c r="C75" s="144"/>
      <c r="D75" s="144"/>
      <c r="E75" s="144"/>
      <c r="F75" s="146"/>
      <c r="G75" s="146">
        <v>0</v>
      </c>
      <c r="H75" s="146">
        <v>0</v>
      </c>
      <c r="I75" s="146">
        <v>0</v>
      </c>
      <c r="J75" s="146">
        <v>0</v>
      </c>
      <c r="K75" s="146">
        <v>0</v>
      </c>
      <c r="L75" s="146">
        <v>0</v>
      </c>
      <c r="M75" s="146">
        <v>0</v>
      </c>
      <c r="N75" s="146">
        <v>0</v>
      </c>
      <c r="O75" s="146">
        <v>0</v>
      </c>
      <c r="P75" s="146">
        <v>0</v>
      </c>
      <c r="Q75" s="146">
        <v>0</v>
      </c>
      <c r="R75" s="127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79"/>
      <c r="AD75" s="238"/>
      <c r="AE75" s="180"/>
    </row>
    <row r="76" spans="2:31" x14ac:dyDescent="0.2">
      <c r="B76" s="20"/>
      <c r="C76" s="20"/>
      <c r="D76" s="20"/>
      <c r="E76" s="126"/>
      <c r="F76" s="126"/>
      <c r="G76" s="126"/>
      <c r="H76" s="20"/>
      <c r="I76" s="20"/>
      <c r="J76" s="20"/>
      <c r="K76" s="20"/>
      <c r="L76" s="20"/>
      <c r="M76" s="20"/>
      <c r="N76" s="20"/>
      <c r="O76" s="20"/>
      <c r="P76" s="20"/>
      <c r="Q76" s="127"/>
      <c r="R76" s="127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38"/>
      <c r="AD76" s="136"/>
      <c r="AE76" s="154"/>
    </row>
    <row r="77" spans="2:31" x14ac:dyDescent="0.2">
      <c r="B77" s="108" t="s">
        <v>243</v>
      </c>
      <c r="C77" s="20"/>
      <c r="D77" s="20"/>
      <c r="E77" s="126"/>
      <c r="F77" s="126"/>
      <c r="G77" s="126"/>
      <c r="H77" s="20"/>
      <c r="I77" s="20"/>
      <c r="J77" s="20"/>
      <c r="K77" s="20"/>
      <c r="L77" s="20"/>
      <c r="M77" s="20"/>
      <c r="N77" s="20"/>
      <c r="O77" s="20"/>
      <c r="P77" s="20"/>
      <c r="Q77" s="127"/>
      <c r="R77" s="127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38"/>
      <c r="AD77" s="136"/>
      <c r="AE77" s="154"/>
    </row>
    <row r="78" spans="2:31" x14ac:dyDescent="0.2">
      <c r="B78" s="20" t="s">
        <v>304</v>
      </c>
      <c r="C78" s="132">
        <f t="shared" ref="C78:P78" si="214">C44/C70</f>
        <v>0</v>
      </c>
      <c r="D78" s="132">
        <f t="shared" si="214"/>
        <v>0</v>
      </c>
      <c r="E78" s="132">
        <f t="shared" si="214"/>
        <v>0</v>
      </c>
      <c r="F78" s="132">
        <f t="shared" si="214"/>
        <v>0</v>
      </c>
      <c r="G78" s="132">
        <f t="shared" si="214"/>
        <v>59.454545454545453</v>
      </c>
      <c r="H78" s="132">
        <f t="shared" si="214"/>
        <v>44.620689655172413</v>
      </c>
      <c r="I78" s="132">
        <f t="shared" si="214"/>
        <v>45.793103448275865</v>
      </c>
      <c r="J78" s="132">
        <f t="shared" si="214"/>
        <v>55.924764890282134</v>
      </c>
      <c r="K78" s="132">
        <f t="shared" si="214"/>
        <v>69.498432601880879</v>
      </c>
      <c r="L78" s="132">
        <f t="shared" si="214"/>
        <v>77.887323943661968</v>
      </c>
      <c r="M78" s="132">
        <f t="shared" si="214"/>
        <v>79.512195121951223</v>
      </c>
      <c r="N78" s="132">
        <f t="shared" si="214"/>
        <v>92.537634408602145</v>
      </c>
      <c r="O78" s="132">
        <f t="shared" si="214"/>
        <v>136.40256959314775</v>
      </c>
      <c r="P78" s="132">
        <f t="shared" si="214"/>
        <v>160.5</v>
      </c>
      <c r="Q78" s="118">
        <f>((P78/G78)^(1/($H$2-$H$1) ))-1</f>
        <v>0.11666038225699382</v>
      </c>
      <c r="R78" s="127"/>
      <c r="S78" s="158">
        <f t="shared" ref="S78:AB78" si="215">S44/S70</f>
        <v>163.41818181818181</v>
      </c>
      <c r="T78" s="158">
        <f t="shared" si="215"/>
        <v>166.38942148760333</v>
      </c>
      <c r="U78" s="158">
        <f t="shared" si="215"/>
        <v>169.41468369646881</v>
      </c>
      <c r="V78" s="158">
        <f t="shared" si="215"/>
        <v>172.49495067276825</v>
      </c>
      <c r="W78" s="158">
        <f t="shared" si="215"/>
        <v>175.63122250318219</v>
      </c>
      <c r="X78" s="158">
        <f t="shared" si="215"/>
        <v>178.82451745778553</v>
      </c>
      <c r="Y78" s="158">
        <f t="shared" si="215"/>
        <v>182.07587232065436</v>
      </c>
      <c r="Z78" s="158">
        <f t="shared" si="215"/>
        <v>185.38634272648446</v>
      </c>
      <c r="AA78" s="158">
        <f t="shared" si="215"/>
        <v>188.7570035033296</v>
      </c>
      <c r="AB78" s="158">
        <f t="shared" si="215"/>
        <v>192.188949021572</v>
      </c>
      <c r="AC78" s="137">
        <f t="shared" ref="AC78" si="216">((AB78/G78)^(1/($AB$3-$H$1) ))-1</f>
        <v>6.3697334578497466E-2</v>
      </c>
      <c r="AD78" s="31">
        <f t="shared" si="17"/>
        <v>0.05</v>
      </c>
      <c r="AE78" s="145">
        <f t="shared" ref="AE78" si="217">(AB78*(1+AD78))/($C$1-AD78)</f>
        <v>1187.0493910155919</v>
      </c>
    </row>
    <row r="79" spans="2:31" x14ac:dyDescent="0.2">
      <c r="B79" s="20" t="s">
        <v>305</v>
      </c>
      <c r="C79" s="132">
        <f t="shared" ref="C79:P79" si="218">C46/C70</f>
        <v>0</v>
      </c>
      <c r="D79" s="132">
        <f t="shared" si="218"/>
        <v>0</v>
      </c>
      <c r="E79" s="132">
        <f t="shared" si="218"/>
        <v>0</v>
      </c>
      <c r="F79" s="132">
        <f t="shared" si="218"/>
        <v>0</v>
      </c>
      <c r="G79" s="132">
        <f t="shared" si="218"/>
        <v>48.590909090909093</v>
      </c>
      <c r="H79" s="132">
        <f t="shared" si="218"/>
        <v>37.379310344827587</v>
      </c>
      <c r="I79" s="132">
        <f t="shared" si="218"/>
        <v>44.517241379310342</v>
      </c>
      <c r="J79" s="132">
        <f t="shared" si="218"/>
        <v>53.793103448275865</v>
      </c>
      <c r="K79" s="132">
        <f t="shared" si="218"/>
        <v>67.147335423197489</v>
      </c>
      <c r="L79" s="132">
        <f t="shared" si="218"/>
        <v>73.718309859154928</v>
      </c>
      <c r="M79" s="132">
        <f t="shared" si="218"/>
        <v>70.975609756097555</v>
      </c>
      <c r="N79" s="132">
        <f t="shared" si="218"/>
        <v>80.107526881720432</v>
      </c>
      <c r="O79" s="132">
        <f t="shared" si="218"/>
        <v>119.22912205567451</v>
      </c>
      <c r="P79" s="132">
        <f t="shared" si="218"/>
        <v>140.09615384615384</v>
      </c>
      <c r="Q79" s="118">
        <f>((P79/G79)^(1/($H$2-$H$1) ))-1</f>
        <v>0.12485566194432618</v>
      </c>
      <c r="R79" s="127"/>
      <c r="S79" s="158">
        <f t="shared" ref="S79:AB79" si="219">S46/S70</f>
        <v>142.64335664335664</v>
      </c>
      <c r="T79" s="158">
        <f t="shared" si="219"/>
        <v>145.23687221869042</v>
      </c>
      <c r="U79" s="158">
        <f t="shared" si="219"/>
        <v>147.8775426226666</v>
      </c>
      <c r="V79" s="158">
        <f t="shared" si="219"/>
        <v>150.56622521580601</v>
      </c>
      <c r="W79" s="158">
        <f t="shared" si="219"/>
        <v>153.30379294700245</v>
      </c>
      <c r="X79" s="158">
        <f t="shared" si="219"/>
        <v>156.09113463694797</v>
      </c>
      <c r="Y79" s="158">
        <f t="shared" si="219"/>
        <v>158.92915526671067</v>
      </c>
      <c r="Z79" s="158">
        <f t="shared" si="219"/>
        <v>161.81877627155998</v>
      </c>
      <c r="AA79" s="158">
        <f t="shared" si="219"/>
        <v>164.76093584013378</v>
      </c>
      <c r="AB79" s="158">
        <f t="shared" si="219"/>
        <v>167.75658921904534</v>
      </c>
      <c r="AC79" s="137">
        <f t="shared" ref="AC79" si="220">((AB79/G79)^(1/($AB$3-$H$1) ))-1</f>
        <v>6.738807237565192E-2</v>
      </c>
      <c r="AD79" s="31">
        <f t="shared" si="17"/>
        <v>0.05</v>
      </c>
      <c r="AE79" s="145">
        <f t="shared" ref="AE79" si="221">(AB79*(1+AD79))/($C$1-AD79)</f>
        <v>1036.1436392941037</v>
      </c>
    </row>
    <row r="80" spans="2:31" x14ac:dyDescent="0.2">
      <c r="B80" s="20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27"/>
      <c r="R80" s="127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19"/>
      <c r="AD80" s="136"/>
      <c r="AE80" s="145"/>
    </row>
    <row r="81" spans="2:31" x14ac:dyDescent="0.2">
      <c r="B81" s="20" t="s">
        <v>258</v>
      </c>
      <c r="C81" s="25">
        <f t="shared" ref="C81:P81" si="222">C68/C70</f>
        <v>0</v>
      </c>
      <c r="D81" s="25">
        <f t="shared" si="222"/>
        <v>0</v>
      </c>
      <c r="E81" s="25">
        <f t="shared" si="222"/>
        <v>0</v>
      </c>
      <c r="F81" s="132">
        <f t="shared" si="222"/>
        <v>0</v>
      </c>
      <c r="G81" s="132">
        <f t="shared" si="222"/>
        <v>10.863636363636363</v>
      </c>
      <c r="H81" s="132">
        <f t="shared" si="222"/>
        <v>7.2413793103448274</v>
      </c>
      <c r="I81" s="132">
        <f t="shared" si="222"/>
        <v>1.2696551724137932</v>
      </c>
      <c r="J81" s="132">
        <f t="shared" si="222"/>
        <v>2.1316614420062696</v>
      </c>
      <c r="K81" s="132">
        <f t="shared" si="222"/>
        <v>2.3510971786833856</v>
      </c>
      <c r="L81" s="132">
        <f t="shared" si="222"/>
        <v>4.169014084507042</v>
      </c>
      <c r="M81" s="132">
        <f t="shared" si="222"/>
        <v>8.536585365853659</v>
      </c>
      <c r="N81" s="132">
        <f t="shared" si="222"/>
        <v>12.408602150537634</v>
      </c>
      <c r="O81" s="132">
        <f t="shared" si="222"/>
        <v>17.173447537473233</v>
      </c>
      <c r="P81" s="132">
        <f t="shared" si="222"/>
        <v>20.403846153846153</v>
      </c>
      <c r="Q81" s="118">
        <f>((P81/G81)^(1/($H$2-$H$1) ))-1</f>
        <v>7.2544208774710794E-2</v>
      </c>
      <c r="R81" s="127"/>
      <c r="S81" s="158">
        <f t="shared" ref="S81:AB81" si="223">S68/S70</f>
        <v>20.774825174825178</v>
      </c>
      <c r="T81" s="158">
        <f t="shared" si="223"/>
        <v>21.152549268912907</v>
      </c>
      <c r="U81" s="158">
        <f t="shared" si="223"/>
        <v>21.537141073802232</v>
      </c>
      <c r="V81" s="158">
        <f t="shared" si="223"/>
        <v>21.928725456962269</v>
      </c>
      <c r="W81" s="158">
        <f t="shared" si="223"/>
        <v>22.327429556179766</v>
      </c>
      <c r="X81" s="158">
        <f t="shared" si="223"/>
        <v>22.73338282083758</v>
      </c>
      <c r="Y81" s="158">
        <f t="shared" si="223"/>
        <v>23.146717053943721</v>
      </c>
      <c r="Z81" s="158">
        <f t="shared" si="223"/>
        <v>23.567566454924517</v>
      </c>
      <c r="AA81" s="158">
        <f t="shared" si="223"/>
        <v>23.99606766319587</v>
      </c>
      <c r="AB81" s="158">
        <f t="shared" si="223"/>
        <v>24.432359802526708</v>
      </c>
      <c r="AC81" s="137">
        <f t="shared" ref="AC81:AC94" si="224">((AB81/G81)^(1/($AB$3-$H$1) ))-1</f>
        <v>4.3580125934437497E-2</v>
      </c>
      <c r="AD81" s="31">
        <f t="shared" si="17"/>
        <v>0.05</v>
      </c>
      <c r="AE81" s="145">
        <f t="shared" ref="AE81:AE108" si="225">(AB81*(1+AD81))/($C$1-AD81)</f>
        <v>150.90575172148851</v>
      </c>
    </row>
    <row r="82" spans="2:31" x14ac:dyDescent="0.2">
      <c r="B82" s="20" t="s">
        <v>245</v>
      </c>
      <c r="C82" s="25">
        <f t="shared" ref="C82:P82" si="226">C7/C70</f>
        <v>0</v>
      </c>
      <c r="D82" s="25">
        <f t="shared" si="226"/>
        <v>0</v>
      </c>
      <c r="E82" s="25">
        <f t="shared" si="226"/>
        <v>0</v>
      </c>
      <c r="F82" s="132">
        <f t="shared" si="226"/>
        <v>0</v>
      </c>
      <c r="G82" s="132">
        <f t="shared" si="226"/>
        <v>36.363636363636367</v>
      </c>
      <c r="H82" s="132">
        <f t="shared" si="226"/>
        <v>28.586206896551722</v>
      </c>
      <c r="I82" s="132">
        <f t="shared" si="226"/>
        <v>29.862068965517242</v>
      </c>
      <c r="J82" s="132">
        <f t="shared" si="226"/>
        <v>33.103448275862071</v>
      </c>
      <c r="K82" s="132">
        <f t="shared" si="226"/>
        <v>42.288401253918494</v>
      </c>
      <c r="L82" s="132">
        <f t="shared" si="226"/>
        <v>46.87323943661972</v>
      </c>
      <c r="M82" s="132">
        <f t="shared" si="226"/>
        <v>58.463414634146339</v>
      </c>
      <c r="N82" s="132">
        <f t="shared" si="226"/>
        <v>87.096774193548384</v>
      </c>
      <c r="O82" s="132">
        <f t="shared" si="226"/>
        <v>101.5203426124197</v>
      </c>
      <c r="P82" s="132">
        <f t="shared" si="226"/>
        <v>146.73076923076923</v>
      </c>
      <c r="Q82" s="118">
        <f>((P82/G82)^(1/($H$2-$H$1) ))-1</f>
        <v>0.1676618703510524</v>
      </c>
      <c r="R82" s="127"/>
      <c r="S82" s="158">
        <f t="shared" ref="S82:AB82" si="227">S7/S70</f>
        <v>149.39860139860139</v>
      </c>
      <c r="T82" s="158">
        <f t="shared" si="227"/>
        <v>152.11493960584872</v>
      </c>
      <c r="U82" s="158">
        <f t="shared" si="227"/>
        <v>154.88066578050049</v>
      </c>
      <c r="V82" s="158">
        <f t="shared" si="227"/>
        <v>157.69667788560048</v>
      </c>
      <c r="W82" s="158">
        <f t="shared" si="227"/>
        <v>160.5638902107932</v>
      </c>
      <c r="X82" s="158">
        <f t="shared" si="227"/>
        <v>163.48323366917128</v>
      </c>
      <c r="Y82" s="158">
        <f t="shared" si="227"/>
        <v>166.45565609951984</v>
      </c>
      <c r="Z82" s="158">
        <f t="shared" si="227"/>
        <v>169.48212257405658</v>
      </c>
      <c r="AA82" s="158">
        <f t="shared" si="227"/>
        <v>172.56361571176669</v>
      </c>
      <c r="AB82" s="158">
        <f t="shared" si="227"/>
        <v>175.70113599743519</v>
      </c>
      <c r="AC82" s="137">
        <f t="shared" si="224"/>
        <v>8.6439746258823336E-2</v>
      </c>
      <c r="AD82" s="31">
        <f t="shared" si="17"/>
        <v>0.05</v>
      </c>
      <c r="AE82" s="145">
        <f t="shared" si="225"/>
        <v>1085.2128988076881</v>
      </c>
    </row>
    <row r="83" spans="2:31" x14ac:dyDescent="0.2">
      <c r="B83" s="20" t="s">
        <v>246</v>
      </c>
      <c r="C83" s="126">
        <f t="shared" ref="C83:P83" si="228">C6/C70</f>
        <v>0</v>
      </c>
      <c r="D83" s="126">
        <f t="shared" si="228"/>
        <v>0</v>
      </c>
      <c r="E83" s="126">
        <f t="shared" si="228"/>
        <v>0</v>
      </c>
      <c r="F83" s="143">
        <f t="shared" si="228"/>
        <v>0</v>
      </c>
      <c r="G83" s="143">
        <f t="shared" si="228"/>
        <v>23.181818181818183</v>
      </c>
      <c r="H83" s="143">
        <f t="shared" si="228"/>
        <v>18.551724137931036</v>
      </c>
      <c r="I83" s="143">
        <f t="shared" si="228"/>
        <v>19.827586206896552</v>
      </c>
      <c r="J83" s="143">
        <f t="shared" si="228"/>
        <v>23.072100313479623</v>
      </c>
      <c r="K83" s="143">
        <f t="shared" si="228"/>
        <v>24.733542319749219</v>
      </c>
      <c r="L83" s="143">
        <f t="shared" si="228"/>
        <v>30.197183098591548</v>
      </c>
      <c r="M83" s="143">
        <f t="shared" si="228"/>
        <v>42.731707317073173</v>
      </c>
      <c r="N83" s="143">
        <f t="shared" si="228"/>
        <v>72.043010752688176</v>
      </c>
      <c r="O83" s="143">
        <f t="shared" si="228"/>
        <v>86.573875802997847</v>
      </c>
      <c r="P83" s="143">
        <f t="shared" si="228"/>
        <v>136.46153846153845</v>
      </c>
      <c r="Q83" s="118">
        <f>((P83/G83)^(1/($H$2-$H$1) ))-1</f>
        <v>0.21770000423090008</v>
      </c>
      <c r="R83" s="127"/>
      <c r="S83" s="157">
        <f t="shared" ref="S83:AB83" si="229">S6/S70</f>
        <v>138.94265734265736</v>
      </c>
      <c r="T83" s="157">
        <f t="shared" si="229"/>
        <v>141.46888747616021</v>
      </c>
      <c r="U83" s="157">
        <f t="shared" si="229"/>
        <v>144.04104906663582</v>
      </c>
      <c r="V83" s="157">
        <f t="shared" si="229"/>
        <v>146.65997723148374</v>
      </c>
      <c r="W83" s="157">
        <f t="shared" si="229"/>
        <v>149.32652227205617</v>
      </c>
      <c r="X83" s="157">
        <f t="shared" si="229"/>
        <v>152.04154994972993</v>
      </c>
      <c r="Y83" s="157">
        <f t="shared" si="229"/>
        <v>154.80594176699776</v>
      </c>
      <c r="Z83" s="157">
        <f t="shared" si="229"/>
        <v>157.62059525367044</v>
      </c>
      <c r="AA83" s="157">
        <f t="shared" si="229"/>
        <v>160.48642425828265</v>
      </c>
      <c r="AB83" s="157">
        <f t="shared" si="229"/>
        <v>163.40435924479689</v>
      </c>
      <c r="AC83" s="137">
        <f t="shared" si="224"/>
        <v>0.10824987691759991</v>
      </c>
      <c r="AD83" s="31">
        <f t="shared" si="17"/>
        <v>0.05</v>
      </c>
      <c r="AE83" s="145">
        <f t="shared" si="225"/>
        <v>1009.2622188649221</v>
      </c>
    </row>
    <row r="84" spans="2:31" x14ac:dyDescent="0.2">
      <c r="B84" s="20" t="s">
        <v>247</v>
      </c>
      <c r="C84" s="126">
        <f t="shared" ref="C84:P84" si="230">C10/C70</f>
        <v>0</v>
      </c>
      <c r="D84" s="126">
        <f t="shared" si="230"/>
        <v>0</v>
      </c>
      <c r="E84" s="126">
        <f t="shared" si="230"/>
        <v>0</v>
      </c>
      <c r="F84" s="143">
        <f t="shared" si="230"/>
        <v>0</v>
      </c>
      <c r="G84" s="143">
        <f t="shared" si="230"/>
        <v>614.09090909090912</v>
      </c>
      <c r="H84" s="143">
        <f t="shared" si="230"/>
        <v>473.24137931034483</v>
      </c>
      <c r="I84" s="143">
        <f t="shared" si="230"/>
        <v>535.89655172413791</v>
      </c>
      <c r="J84" s="143">
        <f t="shared" si="230"/>
        <v>571.69278996865205</v>
      </c>
      <c r="K84" s="143">
        <f t="shared" si="230"/>
        <v>631.09717868338566</v>
      </c>
      <c r="L84" s="143">
        <f t="shared" si="230"/>
        <v>675.94366197183103</v>
      </c>
      <c r="M84" s="143">
        <f t="shared" si="230"/>
        <v>771.80487804878044</v>
      </c>
      <c r="N84" s="143">
        <f t="shared" si="230"/>
        <v>857.84946236559142</v>
      </c>
      <c r="O84" s="143">
        <f t="shared" si="230"/>
        <v>1092.9978586723769</v>
      </c>
      <c r="P84" s="143">
        <f t="shared" si="230"/>
        <v>1222.6153846153845</v>
      </c>
      <c r="Q84" s="118">
        <f>((P84/G84)^(1/($H$2-$H$1) ))-1</f>
        <v>7.9514739436273851E-2</v>
      </c>
      <c r="R84" s="127"/>
      <c r="S84" s="157">
        <f t="shared" ref="S84:AB84" si="231">S10/S70</f>
        <v>1244.8447552447553</v>
      </c>
      <c r="T84" s="157">
        <f t="shared" si="231"/>
        <v>1267.4782962492054</v>
      </c>
      <c r="U84" s="157">
        <f t="shared" si="231"/>
        <v>1290.5233561810091</v>
      </c>
      <c r="V84" s="157">
        <f t="shared" si="231"/>
        <v>1313.9874172024818</v>
      </c>
      <c r="W84" s="157">
        <f t="shared" si="231"/>
        <v>1337.8780975152542</v>
      </c>
      <c r="X84" s="157">
        <f t="shared" si="231"/>
        <v>1362.2031538337135</v>
      </c>
      <c r="Y84" s="157">
        <f t="shared" si="231"/>
        <v>1386.9704839034173</v>
      </c>
      <c r="Z84" s="157">
        <f t="shared" si="231"/>
        <v>1412.1881290652977</v>
      </c>
      <c r="AA84" s="157">
        <f t="shared" si="231"/>
        <v>1437.8642768664852</v>
      </c>
      <c r="AB84" s="157">
        <f t="shared" si="231"/>
        <v>1464.0072637186031</v>
      </c>
      <c r="AC84" s="137">
        <f t="shared" si="224"/>
        <v>4.6787313779094175E-2</v>
      </c>
      <c r="AD84" s="31">
        <f t="shared" si="17"/>
        <v>0.05</v>
      </c>
      <c r="AE84" s="145">
        <f t="shared" si="225"/>
        <v>9042.3978053207848</v>
      </c>
    </row>
    <row r="85" spans="2:31" x14ac:dyDescent="0.2">
      <c r="B85" s="20"/>
      <c r="C85" s="126"/>
      <c r="D85" s="126"/>
      <c r="E85" s="126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27"/>
      <c r="R85" s="12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38"/>
      <c r="AD85" s="136"/>
      <c r="AE85" s="145"/>
    </row>
    <row r="86" spans="2:31" x14ac:dyDescent="0.2">
      <c r="B86" s="20" t="s">
        <v>271</v>
      </c>
      <c r="C86" s="126">
        <f t="shared" ref="C86:P86" si="232">(C7-C10)/C70</f>
        <v>0</v>
      </c>
      <c r="D86" s="126">
        <f t="shared" si="232"/>
        <v>0</v>
      </c>
      <c r="E86" s="126">
        <f t="shared" si="232"/>
        <v>0</v>
      </c>
      <c r="F86" s="143">
        <f t="shared" si="232"/>
        <v>0</v>
      </c>
      <c r="G86" s="143">
        <f t="shared" si="232"/>
        <v>-577.72727272727275</v>
      </c>
      <c r="H86" s="143">
        <f t="shared" si="232"/>
        <v>-444.65517241379308</v>
      </c>
      <c r="I86" s="143">
        <f t="shared" si="232"/>
        <v>-506.0344827586207</v>
      </c>
      <c r="J86" s="143">
        <f t="shared" si="232"/>
        <v>-538.58934169278996</v>
      </c>
      <c r="K86" s="143">
        <f t="shared" si="232"/>
        <v>-588.80877742946711</v>
      </c>
      <c r="L86" s="143">
        <f t="shared" si="232"/>
        <v>-629.07042253521126</v>
      </c>
      <c r="M86" s="143">
        <f t="shared" si="232"/>
        <v>-713.34146341463418</v>
      </c>
      <c r="N86" s="143">
        <f t="shared" si="232"/>
        <v>-770.75268817204301</v>
      </c>
      <c r="O86" s="143">
        <f t="shared" si="232"/>
        <v>-991.47751605995711</v>
      </c>
      <c r="P86" s="143">
        <f t="shared" si="232"/>
        <v>-1075.8846153846155</v>
      </c>
      <c r="Q86" s="118">
        <f>((P86/G86)^(1/($H$2-$H$1) ))-1</f>
        <v>7.1531046089616357E-2</v>
      </c>
      <c r="R86" s="127"/>
      <c r="S86" s="157">
        <f t="shared" ref="S86:AB86" si="233">(S7-S10)/S70</f>
        <v>-1095.4461538461539</v>
      </c>
      <c r="T86" s="157">
        <f t="shared" si="233"/>
        <v>-1115.3633566433568</v>
      </c>
      <c r="U86" s="157">
        <f t="shared" si="233"/>
        <v>-1135.6426904005086</v>
      </c>
      <c r="V86" s="157">
        <f t="shared" si="233"/>
        <v>-1156.2907393168814</v>
      </c>
      <c r="W86" s="157">
        <f t="shared" si="233"/>
        <v>-1177.314207304461</v>
      </c>
      <c r="X86" s="157">
        <f t="shared" si="233"/>
        <v>-1198.7199201645421</v>
      </c>
      <c r="Y86" s="157">
        <f t="shared" si="233"/>
        <v>-1220.5148278038976</v>
      </c>
      <c r="Z86" s="157">
        <f t="shared" si="233"/>
        <v>-1242.7060064912412</v>
      </c>
      <c r="AA86" s="157">
        <f t="shared" si="233"/>
        <v>-1265.3006611547185</v>
      </c>
      <c r="AB86" s="157">
        <f t="shared" si="233"/>
        <v>-1288.3061277211677</v>
      </c>
      <c r="AC86" s="137">
        <f t="shared" si="224"/>
        <v>4.3113050860487112E-2</v>
      </c>
      <c r="AD86" s="31">
        <f t="shared" si="17"/>
        <v>0.05</v>
      </c>
      <c r="AE86" s="145">
        <f t="shared" si="225"/>
        <v>-7957.1849065130964</v>
      </c>
    </row>
    <row r="87" spans="2:31" x14ac:dyDescent="0.2">
      <c r="B87" s="20" t="s">
        <v>272</v>
      </c>
      <c r="C87" s="126">
        <f t="shared" ref="C87:P87" si="234">(C7-C10-C9)/C70</f>
        <v>0</v>
      </c>
      <c r="D87" s="126">
        <f t="shared" si="234"/>
        <v>0</v>
      </c>
      <c r="E87" s="126">
        <f t="shared" si="234"/>
        <v>0</v>
      </c>
      <c r="F87" s="143">
        <f t="shared" si="234"/>
        <v>0</v>
      </c>
      <c r="G87" s="143">
        <f t="shared" si="234"/>
        <v>-577.72727272727275</v>
      </c>
      <c r="H87" s="143">
        <f t="shared" si="234"/>
        <v>-444.65517241379308</v>
      </c>
      <c r="I87" s="143">
        <f t="shared" si="234"/>
        <v>-506.0344827586207</v>
      </c>
      <c r="J87" s="143">
        <f t="shared" si="234"/>
        <v>-538.58934169278996</v>
      </c>
      <c r="K87" s="143">
        <f t="shared" si="234"/>
        <v>-588.80877742946711</v>
      </c>
      <c r="L87" s="143">
        <f t="shared" si="234"/>
        <v>-629.07042253521126</v>
      </c>
      <c r="M87" s="143">
        <f t="shared" si="234"/>
        <v>-713.34146341463418</v>
      </c>
      <c r="N87" s="143">
        <f t="shared" si="234"/>
        <v>-770.75268817204301</v>
      </c>
      <c r="O87" s="143">
        <f t="shared" si="234"/>
        <v>-991.47751605995711</v>
      </c>
      <c r="P87" s="143">
        <f t="shared" si="234"/>
        <v>-1075.8846153846155</v>
      </c>
      <c r="Q87" s="118">
        <f>((P87/G87)^(1/($H$2-$H$1) ))-1</f>
        <v>7.1531046089616357E-2</v>
      </c>
      <c r="R87" s="127"/>
      <c r="S87" s="157">
        <f t="shared" ref="S87:AB87" si="235">(S7-S10-S9)/S70</f>
        <v>-1095.4461538461539</v>
      </c>
      <c r="T87" s="157">
        <f t="shared" si="235"/>
        <v>-1115.3633566433568</v>
      </c>
      <c r="U87" s="157">
        <f t="shared" si="235"/>
        <v>-1135.6426904005086</v>
      </c>
      <c r="V87" s="157">
        <f t="shared" si="235"/>
        <v>-1156.2907393168814</v>
      </c>
      <c r="W87" s="157">
        <f t="shared" si="235"/>
        <v>-1177.314207304461</v>
      </c>
      <c r="X87" s="157">
        <f t="shared" si="235"/>
        <v>-1198.7199201645421</v>
      </c>
      <c r="Y87" s="157">
        <f t="shared" si="235"/>
        <v>-1220.5148278038976</v>
      </c>
      <c r="Z87" s="157">
        <f t="shared" si="235"/>
        <v>-1242.7060064912412</v>
      </c>
      <c r="AA87" s="157">
        <f t="shared" si="235"/>
        <v>-1265.3006611547185</v>
      </c>
      <c r="AB87" s="157">
        <f t="shared" si="235"/>
        <v>-1288.3061277211677</v>
      </c>
      <c r="AC87" s="137">
        <f t="shared" si="224"/>
        <v>4.3113050860487112E-2</v>
      </c>
      <c r="AD87" s="31">
        <f t="shared" si="17"/>
        <v>0.05</v>
      </c>
      <c r="AE87" s="145">
        <f t="shared" si="225"/>
        <v>-7957.1849065130964</v>
      </c>
    </row>
    <row r="88" spans="2:31" x14ac:dyDescent="0.2">
      <c r="B88" s="20" t="s">
        <v>277</v>
      </c>
      <c r="C88" s="126">
        <f t="shared" ref="C88:P88" si="236">(C7+C17-C10-C9)/C70</f>
        <v>0</v>
      </c>
      <c r="D88" s="126">
        <f t="shared" si="236"/>
        <v>0</v>
      </c>
      <c r="E88" s="126">
        <f t="shared" si="236"/>
        <v>0</v>
      </c>
      <c r="F88" s="143">
        <f t="shared" si="236"/>
        <v>0</v>
      </c>
      <c r="G88" s="143">
        <f t="shared" si="236"/>
        <v>-577.72727272727275</v>
      </c>
      <c r="H88" s="143">
        <f t="shared" si="236"/>
        <v>-444.65517241379308</v>
      </c>
      <c r="I88" s="143">
        <f t="shared" si="236"/>
        <v>-506.0344827586207</v>
      </c>
      <c r="J88" s="143">
        <f t="shared" si="236"/>
        <v>-538.58934169278996</v>
      </c>
      <c r="K88" s="143">
        <f t="shared" si="236"/>
        <v>-588.80877742946711</v>
      </c>
      <c r="L88" s="143">
        <f t="shared" si="236"/>
        <v>-629.07042253521126</v>
      </c>
      <c r="M88" s="143">
        <f t="shared" si="236"/>
        <v>-713.34146341463418</v>
      </c>
      <c r="N88" s="143">
        <f t="shared" si="236"/>
        <v>-770.75268817204301</v>
      </c>
      <c r="O88" s="143">
        <f t="shared" si="236"/>
        <v>-991.47751605995711</v>
      </c>
      <c r="P88" s="143">
        <f t="shared" si="236"/>
        <v>-1075.8846153846155</v>
      </c>
      <c r="Q88" s="118">
        <f>((P88/G88)^(1/($H$2-$H$1) ))-1</f>
        <v>7.1531046089616357E-2</v>
      </c>
      <c r="R88" s="127"/>
      <c r="S88" s="157">
        <f t="shared" ref="S88:AB88" si="237">(S7+S17-S10-S9)/S70</f>
        <v>-1095.4461538461539</v>
      </c>
      <c r="T88" s="157">
        <f t="shared" si="237"/>
        <v>-1115.3633566433568</v>
      </c>
      <c r="U88" s="157">
        <f t="shared" si="237"/>
        <v>-1135.6426904005086</v>
      </c>
      <c r="V88" s="157">
        <f t="shared" si="237"/>
        <v>-1156.2907393168814</v>
      </c>
      <c r="W88" s="157">
        <f t="shared" si="237"/>
        <v>-1177.314207304461</v>
      </c>
      <c r="X88" s="157">
        <f t="shared" si="237"/>
        <v>-1198.7199201645421</v>
      </c>
      <c r="Y88" s="157">
        <f t="shared" si="237"/>
        <v>-1220.5148278038976</v>
      </c>
      <c r="Z88" s="157">
        <f t="shared" si="237"/>
        <v>-1242.7060064912412</v>
      </c>
      <c r="AA88" s="157">
        <f t="shared" si="237"/>
        <v>-1265.3006611547185</v>
      </c>
      <c r="AB88" s="157">
        <f t="shared" si="237"/>
        <v>-1288.3061277211677</v>
      </c>
      <c r="AC88" s="137">
        <f t="shared" si="224"/>
        <v>4.3113050860487112E-2</v>
      </c>
      <c r="AD88" s="31">
        <f t="shared" si="17"/>
        <v>0.05</v>
      </c>
      <c r="AE88" s="145">
        <f t="shared" si="225"/>
        <v>-7957.1849065130964</v>
      </c>
    </row>
    <row r="89" spans="2:31" x14ac:dyDescent="0.2">
      <c r="B89" s="20"/>
      <c r="C89" s="126"/>
      <c r="D89" s="126"/>
      <c r="E89" s="126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27"/>
      <c r="R89" s="127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38"/>
      <c r="AD89" s="136"/>
      <c r="AE89" s="154"/>
    </row>
    <row r="90" spans="2:31" x14ac:dyDescent="0.2">
      <c r="B90" s="20" t="s">
        <v>248</v>
      </c>
      <c r="C90" s="126">
        <f t="shared" ref="C90:P90" si="238">C12/C70</f>
        <v>0</v>
      </c>
      <c r="D90" s="126">
        <f t="shared" si="238"/>
        <v>0</v>
      </c>
      <c r="E90" s="126">
        <f t="shared" si="238"/>
        <v>0</v>
      </c>
      <c r="F90" s="143">
        <f t="shared" si="238"/>
        <v>0</v>
      </c>
      <c r="G90" s="143">
        <f t="shared" si="238"/>
        <v>0</v>
      </c>
      <c r="H90" s="143">
        <f t="shared" si="238"/>
        <v>0</v>
      </c>
      <c r="I90" s="143">
        <f t="shared" si="238"/>
        <v>0</v>
      </c>
      <c r="J90" s="143">
        <f t="shared" si="238"/>
        <v>0</v>
      </c>
      <c r="K90" s="143">
        <f t="shared" si="238"/>
        <v>0</v>
      </c>
      <c r="L90" s="143">
        <f t="shared" si="238"/>
        <v>0</v>
      </c>
      <c r="M90" s="143">
        <f t="shared" si="238"/>
        <v>0</v>
      </c>
      <c r="N90" s="143">
        <f t="shared" si="238"/>
        <v>0</v>
      </c>
      <c r="O90" s="143">
        <f t="shared" si="238"/>
        <v>0</v>
      </c>
      <c r="P90" s="143">
        <f t="shared" si="238"/>
        <v>0</v>
      </c>
      <c r="Q90" s="118" t="e">
        <f>((P90/G90)^(1/($H$2-$H$1) ))-1</f>
        <v>#DIV/0!</v>
      </c>
      <c r="R90" s="127"/>
      <c r="S90" s="157">
        <f t="shared" ref="S90:AB90" si="239">S12/S70</f>
        <v>0</v>
      </c>
      <c r="T90" s="157">
        <f t="shared" si="239"/>
        <v>0</v>
      </c>
      <c r="U90" s="157">
        <f t="shared" si="239"/>
        <v>0</v>
      </c>
      <c r="V90" s="157">
        <f t="shared" si="239"/>
        <v>0</v>
      </c>
      <c r="W90" s="157">
        <f t="shared" si="239"/>
        <v>0</v>
      </c>
      <c r="X90" s="157">
        <f t="shared" si="239"/>
        <v>0</v>
      </c>
      <c r="Y90" s="157">
        <f t="shared" si="239"/>
        <v>0</v>
      </c>
      <c r="Z90" s="157">
        <f t="shared" si="239"/>
        <v>0</v>
      </c>
      <c r="AA90" s="157">
        <f t="shared" si="239"/>
        <v>0</v>
      </c>
      <c r="AB90" s="157">
        <f t="shared" si="239"/>
        <v>0</v>
      </c>
      <c r="AC90" s="137" t="e">
        <f t="shared" si="224"/>
        <v>#DIV/0!</v>
      </c>
      <c r="AD90" s="31">
        <f t="shared" si="17"/>
        <v>0.05</v>
      </c>
      <c r="AE90" s="145">
        <f t="shared" si="225"/>
        <v>0</v>
      </c>
    </row>
    <row r="91" spans="2:31" x14ac:dyDescent="0.2">
      <c r="B91" s="20" t="s">
        <v>255</v>
      </c>
      <c r="C91" s="126">
        <f t="shared" ref="C91:P91" si="240">C15/C70</f>
        <v>0</v>
      </c>
      <c r="D91" s="126">
        <f t="shared" si="240"/>
        <v>0</v>
      </c>
      <c r="E91" s="126">
        <f t="shared" si="240"/>
        <v>0</v>
      </c>
      <c r="F91" s="143">
        <f t="shared" si="240"/>
        <v>0</v>
      </c>
      <c r="G91" s="143">
        <f t="shared" si="240"/>
        <v>180.5</v>
      </c>
      <c r="H91" s="143">
        <f t="shared" si="240"/>
        <v>140.31034482758622</v>
      </c>
      <c r="I91" s="143">
        <f t="shared" si="240"/>
        <v>186.51724137931035</v>
      </c>
      <c r="J91" s="143">
        <f t="shared" si="240"/>
        <v>184.67084639498432</v>
      </c>
      <c r="K91" s="143">
        <f t="shared" si="240"/>
        <v>207.80564263322884</v>
      </c>
      <c r="L91" s="143">
        <f t="shared" si="240"/>
        <v>227.69014084507043</v>
      </c>
      <c r="M91" s="143">
        <f t="shared" si="240"/>
        <v>253.6829268292683</v>
      </c>
      <c r="N91" s="143">
        <f t="shared" si="240"/>
        <v>291.39784946236557</v>
      </c>
      <c r="O91" s="143">
        <f t="shared" si="240"/>
        <v>312.01284796573873</v>
      </c>
      <c r="P91" s="143">
        <f t="shared" si="240"/>
        <v>377.96153846153845</v>
      </c>
      <c r="Q91" s="118">
        <f>((P91/G91)^(1/($H$2-$H$1) ))-1</f>
        <v>8.5583860471157402E-2</v>
      </c>
      <c r="R91" s="127"/>
      <c r="S91" s="157">
        <f t="shared" ref="S91:AB91" si="241">S15/S70</f>
        <v>384.83356643356649</v>
      </c>
      <c r="T91" s="157">
        <f t="shared" si="241"/>
        <v>391.83054036872221</v>
      </c>
      <c r="U91" s="157">
        <f t="shared" si="241"/>
        <v>398.95473201178987</v>
      </c>
      <c r="V91" s="157">
        <f t="shared" si="241"/>
        <v>406.20845441200424</v>
      </c>
      <c r="W91" s="157">
        <f t="shared" si="241"/>
        <v>413.59406267404063</v>
      </c>
      <c r="X91" s="157">
        <f t="shared" si="241"/>
        <v>421.11395472265957</v>
      </c>
      <c r="Y91" s="157">
        <f t="shared" si="241"/>
        <v>428.77057208125342</v>
      </c>
      <c r="Z91" s="157">
        <f t="shared" si="241"/>
        <v>436.56640066454895</v>
      </c>
      <c r="AA91" s="157">
        <f t="shared" si="241"/>
        <v>444.50397158572264</v>
      </c>
      <c r="AB91" s="157">
        <f t="shared" si="241"/>
        <v>452.58586197819034</v>
      </c>
      <c r="AC91" s="137">
        <f t="shared" si="224"/>
        <v>4.9570891827425578E-2</v>
      </c>
      <c r="AD91" s="31">
        <f t="shared" si="17"/>
        <v>0.05</v>
      </c>
      <c r="AE91" s="145">
        <f t="shared" si="225"/>
        <v>2795.3832651594116</v>
      </c>
    </row>
    <row r="92" spans="2:31" x14ac:dyDescent="0.2">
      <c r="B92" s="20" t="s">
        <v>256</v>
      </c>
      <c r="C92" s="126">
        <f>(C90+C91)</f>
        <v>0</v>
      </c>
      <c r="D92" s="126">
        <f t="shared" ref="D92:P92" si="242">(D90+D91)</f>
        <v>0</v>
      </c>
      <c r="E92" s="126">
        <f t="shared" si="242"/>
        <v>0</v>
      </c>
      <c r="F92" s="143">
        <f t="shared" si="242"/>
        <v>0</v>
      </c>
      <c r="G92" s="143">
        <f t="shared" si="242"/>
        <v>180.5</v>
      </c>
      <c r="H92" s="143">
        <f t="shared" si="242"/>
        <v>140.31034482758622</v>
      </c>
      <c r="I92" s="143">
        <f t="shared" si="242"/>
        <v>186.51724137931035</v>
      </c>
      <c r="J92" s="143">
        <f t="shared" si="242"/>
        <v>184.67084639498432</v>
      </c>
      <c r="K92" s="143">
        <f t="shared" si="242"/>
        <v>207.80564263322884</v>
      </c>
      <c r="L92" s="143">
        <f t="shared" si="242"/>
        <v>227.69014084507043</v>
      </c>
      <c r="M92" s="143">
        <f t="shared" si="242"/>
        <v>253.6829268292683</v>
      </c>
      <c r="N92" s="143">
        <f t="shared" si="242"/>
        <v>291.39784946236557</v>
      </c>
      <c r="O92" s="143">
        <f t="shared" ref="O92" si="243">(O90+O91)</f>
        <v>312.01284796573873</v>
      </c>
      <c r="P92" s="143">
        <f t="shared" si="242"/>
        <v>377.96153846153845</v>
      </c>
      <c r="Q92" s="118">
        <f>((P92/G92)^(1/($H$2-$H$1) ))-1</f>
        <v>8.5583860471157402E-2</v>
      </c>
      <c r="R92" s="127"/>
      <c r="S92" s="157">
        <f t="shared" ref="S92:AB92" si="244">(S90+S91)</f>
        <v>384.83356643356649</v>
      </c>
      <c r="T92" s="157">
        <f t="shared" si="244"/>
        <v>391.83054036872221</v>
      </c>
      <c r="U92" s="157">
        <f t="shared" si="244"/>
        <v>398.95473201178987</v>
      </c>
      <c r="V92" s="157">
        <f t="shared" si="244"/>
        <v>406.20845441200424</v>
      </c>
      <c r="W92" s="157">
        <f t="shared" si="244"/>
        <v>413.59406267404063</v>
      </c>
      <c r="X92" s="157">
        <f t="shared" si="244"/>
        <v>421.11395472265957</v>
      </c>
      <c r="Y92" s="157">
        <f t="shared" si="244"/>
        <v>428.77057208125342</v>
      </c>
      <c r="Z92" s="157">
        <f t="shared" si="244"/>
        <v>436.56640066454895</v>
      </c>
      <c r="AA92" s="157">
        <f t="shared" si="244"/>
        <v>444.50397158572264</v>
      </c>
      <c r="AB92" s="157">
        <f t="shared" si="244"/>
        <v>452.58586197819034</v>
      </c>
      <c r="AC92" s="137">
        <f t="shared" si="224"/>
        <v>4.9570891827425578E-2</v>
      </c>
      <c r="AD92" s="31">
        <f t="shared" si="17"/>
        <v>0.05</v>
      </c>
      <c r="AE92" s="145">
        <f t="shared" si="225"/>
        <v>2795.3832651594116</v>
      </c>
    </row>
    <row r="93" spans="2:31" x14ac:dyDescent="0.2">
      <c r="B93" s="20" t="s">
        <v>249</v>
      </c>
      <c r="C93" s="126">
        <f t="shared" ref="C93:P93" si="245">C17/C70</f>
        <v>0</v>
      </c>
      <c r="D93" s="126">
        <f t="shared" si="245"/>
        <v>0</v>
      </c>
      <c r="E93" s="126">
        <f t="shared" si="245"/>
        <v>0</v>
      </c>
      <c r="F93" s="143">
        <f t="shared" si="245"/>
        <v>0</v>
      </c>
      <c r="G93" s="143">
        <f t="shared" si="245"/>
        <v>0</v>
      </c>
      <c r="H93" s="143">
        <f t="shared" si="245"/>
        <v>0</v>
      </c>
      <c r="I93" s="143">
        <f t="shared" si="245"/>
        <v>0</v>
      </c>
      <c r="J93" s="143">
        <f t="shared" si="245"/>
        <v>0</v>
      </c>
      <c r="K93" s="143">
        <f t="shared" si="245"/>
        <v>0</v>
      </c>
      <c r="L93" s="143">
        <f t="shared" si="245"/>
        <v>0</v>
      </c>
      <c r="M93" s="143">
        <f t="shared" si="245"/>
        <v>0</v>
      </c>
      <c r="N93" s="143">
        <f t="shared" si="245"/>
        <v>0</v>
      </c>
      <c r="O93" s="143">
        <f t="shared" si="245"/>
        <v>0</v>
      </c>
      <c r="P93" s="143">
        <f t="shared" si="245"/>
        <v>0</v>
      </c>
      <c r="Q93" s="118" t="e">
        <f>((P93/G93)^(1/($H$2-$H$1) ))-1</f>
        <v>#DIV/0!</v>
      </c>
      <c r="R93" s="127"/>
      <c r="S93" s="157">
        <f t="shared" ref="S93:AB93" si="246">S17/S70</f>
        <v>0</v>
      </c>
      <c r="T93" s="157">
        <f t="shared" si="246"/>
        <v>0</v>
      </c>
      <c r="U93" s="157">
        <f t="shared" si="246"/>
        <v>0</v>
      </c>
      <c r="V93" s="157">
        <f t="shared" si="246"/>
        <v>0</v>
      </c>
      <c r="W93" s="157">
        <f t="shared" si="246"/>
        <v>0</v>
      </c>
      <c r="X93" s="157">
        <f t="shared" si="246"/>
        <v>0</v>
      </c>
      <c r="Y93" s="157">
        <f t="shared" si="246"/>
        <v>0</v>
      </c>
      <c r="Z93" s="157">
        <f t="shared" si="246"/>
        <v>0</v>
      </c>
      <c r="AA93" s="157">
        <f t="shared" si="246"/>
        <v>0</v>
      </c>
      <c r="AB93" s="157">
        <f t="shared" si="246"/>
        <v>0</v>
      </c>
      <c r="AC93" s="137" t="e">
        <f t="shared" si="224"/>
        <v>#DIV/0!</v>
      </c>
      <c r="AD93" s="31">
        <f t="shared" si="17"/>
        <v>0.05</v>
      </c>
      <c r="AE93" s="145">
        <f t="shared" si="225"/>
        <v>0</v>
      </c>
    </row>
    <row r="94" spans="2:31" x14ac:dyDescent="0.2">
      <c r="B94" s="20" t="s">
        <v>250</v>
      </c>
      <c r="C94" s="126">
        <f t="shared" ref="C94:P94" si="247">C18/C70</f>
        <v>0</v>
      </c>
      <c r="D94" s="126">
        <f t="shared" si="247"/>
        <v>0</v>
      </c>
      <c r="E94" s="126">
        <f t="shared" si="247"/>
        <v>0</v>
      </c>
      <c r="F94" s="143">
        <f t="shared" si="247"/>
        <v>0</v>
      </c>
      <c r="G94" s="143">
        <f t="shared" si="247"/>
        <v>0</v>
      </c>
      <c r="H94" s="143">
        <f t="shared" si="247"/>
        <v>0</v>
      </c>
      <c r="I94" s="143">
        <f t="shared" si="247"/>
        <v>0</v>
      </c>
      <c r="J94" s="143">
        <f t="shared" si="247"/>
        <v>0</v>
      </c>
      <c r="K94" s="143">
        <f t="shared" si="247"/>
        <v>0</v>
      </c>
      <c r="L94" s="143">
        <f t="shared" si="247"/>
        <v>0</v>
      </c>
      <c r="M94" s="143">
        <f t="shared" si="247"/>
        <v>0</v>
      </c>
      <c r="N94" s="143">
        <f t="shared" si="247"/>
        <v>0</v>
      </c>
      <c r="O94" s="143">
        <f t="shared" si="247"/>
        <v>0</v>
      </c>
      <c r="P94" s="143">
        <f t="shared" si="247"/>
        <v>0</v>
      </c>
      <c r="Q94" s="118" t="e">
        <f>((P94/G94)^(1/($H$2-$H$1) ))-1</f>
        <v>#DIV/0!</v>
      </c>
      <c r="R94" s="127"/>
      <c r="S94" s="157">
        <f t="shared" ref="S94:AB94" si="248">S18/S70</f>
        <v>0</v>
      </c>
      <c r="T94" s="157">
        <f t="shared" si="248"/>
        <v>0</v>
      </c>
      <c r="U94" s="157">
        <f t="shared" si="248"/>
        <v>0</v>
      </c>
      <c r="V94" s="157">
        <f t="shared" si="248"/>
        <v>0</v>
      </c>
      <c r="W94" s="157">
        <f t="shared" si="248"/>
        <v>0</v>
      </c>
      <c r="X94" s="157">
        <f t="shared" si="248"/>
        <v>0</v>
      </c>
      <c r="Y94" s="157">
        <f t="shared" si="248"/>
        <v>0</v>
      </c>
      <c r="Z94" s="157">
        <f t="shared" si="248"/>
        <v>0</v>
      </c>
      <c r="AA94" s="157">
        <f t="shared" si="248"/>
        <v>0</v>
      </c>
      <c r="AB94" s="157">
        <f t="shared" si="248"/>
        <v>0</v>
      </c>
      <c r="AC94" s="137" t="e">
        <f t="shared" si="224"/>
        <v>#DIV/0!</v>
      </c>
      <c r="AD94" s="31">
        <f t="shared" si="17"/>
        <v>0.05</v>
      </c>
      <c r="AE94" s="145">
        <f t="shared" si="225"/>
        <v>0</v>
      </c>
    </row>
    <row r="95" spans="2:31" x14ac:dyDescent="0.2">
      <c r="B95" s="20"/>
      <c r="C95" s="126"/>
      <c r="D95" s="126"/>
      <c r="E95" s="126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27"/>
      <c r="R95" s="127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38"/>
      <c r="AD95" s="138"/>
      <c r="AE95" s="145">
        <f t="shared" si="225"/>
        <v>0</v>
      </c>
    </row>
    <row r="96" spans="2:31" x14ac:dyDescent="0.2">
      <c r="B96" s="20" t="s">
        <v>283</v>
      </c>
      <c r="C96" s="159">
        <f>C72</f>
        <v>1</v>
      </c>
      <c r="D96" s="159">
        <f t="shared" ref="D96:P96" si="249">D72</f>
        <v>1</v>
      </c>
      <c r="E96" s="159">
        <f t="shared" si="249"/>
        <v>1</v>
      </c>
      <c r="F96" s="159">
        <f t="shared" si="249"/>
        <v>0</v>
      </c>
      <c r="G96" s="159">
        <f t="shared" si="249"/>
        <v>2.25</v>
      </c>
      <c r="H96" s="159">
        <f t="shared" si="249"/>
        <v>1.8</v>
      </c>
      <c r="I96" s="159">
        <f t="shared" si="249"/>
        <v>0</v>
      </c>
      <c r="J96" s="159">
        <f t="shared" si="249"/>
        <v>0.6</v>
      </c>
      <c r="K96" s="159">
        <f t="shared" si="249"/>
        <v>0.6</v>
      </c>
      <c r="L96" s="159">
        <f t="shared" si="249"/>
        <v>1.2</v>
      </c>
      <c r="M96" s="159">
        <f t="shared" si="249"/>
        <v>1.8</v>
      </c>
      <c r="N96" s="159">
        <f t="shared" si="249"/>
        <v>2</v>
      </c>
      <c r="O96" s="159">
        <f t="shared" si="249"/>
        <v>2.2000000000000002</v>
      </c>
      <c r="P96" s="159">
        <f t="shared" si="249"/>
        <v>3</v>
      </c>
      <c r="Q96" s="118">
        <f>((P96/G96)^(1/($H$2-$H$1) ))-1</f>
        <v>3.24810319761204E-2</v>
      </c>
      <c r="R96" s="127"/>
      <c r="S96" s="159">
        <f t="shared" ref="S96:AB96" si="250">S72</f>
        <v>3.1500000000000004</v>
      </c>
      <c r="T96" s="159">
        <f t="shared" si="250"/>
        <v>3.3075000000000006</v>
      </c>
      <c r="U96" s="159">
        <f t="shared" si="250"/>
        <v>3.4728750000000006</v>
      </c>
      <c r="V96" s="159">
        <f t="shared" si="250"/>
        <v>3.6465187500000007</v>
      </c>
      <c r="W96" s="159">
        <f t="shared" si="250"/>
        <v>3.8288446875000011</v>
      </c>
      <c r="X96" s="159">
        <f t="shared" si="250"/>
        <v>4.0202869218750017</v>
      </c>
      <c r="Y96" s="159">
        <f t="shared" si="250"/>
        <v>4.2213012679687516</v>
      </c>
      <c r="Z96" s="159">
        <f t="shared" si="250"/>
        <v>4.4323663313671897</v>
      </c>
      <c r="AA96" s="159">
        <f t="shared" si="250"/>
        <v>4.6539846479355491</v>
      </c>
      <c r="AB96" s="159">
        <f t="shared" si="250"/>
        <v>4.8866838803323267</v>
      </c>
      <c r="AC96" s="137">
        <f t="shared" ref="AC96" si="251">((AB96/G96)^(1/($AB$3-$H$1) ))-1</f>
        <v>4.1664792669517503E-2</v>
      </c>
      <c r="AD96" s="31">
        <f t="shared" si="17"/>
        <v>0.05</v>
      </c>
      <c r="AE96" s="145">
        <f t="shared" si="225"/>
        <v>30.18245926087614</v>
      </c>
    </row>
    <row r="97" spans="2:31" x14ac:dyDescent="0.2">
      <c r="B97" s="20"/>
      <c r="C97" s="126"/>
      <c r="D97" s="126"/>
      <c r="E97" s="126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27"/>
      <c r="R97" s="127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38"/>
      <c r="AD97" s="136"/>
      <c r="AE97" s="154"/>
    </row>
    <row r="98" spans="2:31" x14ac:dyDescent="0.2">
      <c r="B98" s="20" t="s">
        <v>318</v>
      </c>
      <c r="C98" s="126">
        <f t="shared" ref="C98:P98" si="252">C25+C26</f>
        <v>0</v>
      </c>
      <c r="D98" s="126">
        <f t="shared" si="252"/>
        <v>0</v>
      </c>
      <c r="E98" s="126">
        <f t="shared" si="252"/>
        <v>0</v>
      </c>
      <c r="F98" s="143">
        <f t="shared" si="252"/>
        <v>0</v>
      </c>
      <c r="G98" s="143">
        <f t="shared" si="252"/>
        <v>0</v>
      </c>
      <c r="H98" s="143">
        <f t="shared" si="252"/>
        <v>0</v>
      </c>
      <c r="I98" s="143">
        <f t="shared" si="252"/>
        <v>0</v>
      </c>
      <c r="J98" s="143">
        <f t="shared" si="252"/>
        <v>0</v>
      </c>
      <c r="K98" s="143">
        <f t="shared" si="252"/>
        <v>0</v>
      </c>
      <c r="L98" s="143">
        <f t="shared" si="252"/>
        <v>0</v>
      </c>
      <c r="M98" s="143">
        <f t="shared" si="252"/>
        <v>0</v>
      </c>
      <c r="N98" s="143">
        <f t="shared" si="252"/>
        <v>0</v>
      </c>
      <c r="O98" s="143">
        <f t="shared" si="252"/>
        <v>0</v>
      </c>
      <c r="P98" s="143">
        <f t="shared" si="252"/>
        <v>0</v>
      </c>
      <c r="Q98" s="118" t="e">
        <f>((P98/G98)^(1/($H$2-$H$1) ))-1</f>
        <v>#DIV/0!</v>
      </c>
      <c r="R98" s="127"/>
      <c r="S98" s="143">
        <f t="shared" ref="S98:AB98" si="253">S25+S26</f>
        <v>0</v>
      </c>
      <c r="T98" s="143">
        <f t="shared" si="253"/>
        <v>0</v>
      </c>
      <c r="U98" s="143">
        <f t="shared" si="253"/>
        <v>0</v>
      </c>
      <c r="V98" s="143">
        <f t="shared" si="253"/>
        <v>0</v>
      </c>
      <c r="W98" s="143">
        <f t="shared" si="253"/>
        <v>0</v>
      </c>
      <c r="X98" s="143">
        <f t="shared" si="253"/>
        <v>0</v>
      </c>
      <c r="Y98" s="143">
        <f t="shared" si="253"/>
        <v>0</v>
      </c>
      <c r="Z98" s="143">
        <f t="shared" si="253"/>
        <v>0</v>
      </c>
      <c r="AA98" s="143">
        <f t="shared" si="253"/>
        <v>0</v>
      </c>
      <c r="AB98" s="143">
        <f t="shared" si="253"/>
        <v>0</v>
      </c>
      <c r="AC98" s="137" t="e">
        <f t="shared" ref="AC98:AC103" si="254">((AB98/G98)^(1/($AB$3-$H$1) ))-1</f>
        <v>#DIV/0!</v>
      </c>
      <c r="AD98" s="31">
        <f t="shared" si="17"/>
        <v>0.05</v>
      </c>
      <c r="AE98" s="145">
        <f t="shared" si="225"/>
        <v>0</v>
      </c>
    </row>
    <row r="99" spans="2:31" x14ac:dyDescent="0.2">
      <c r="B99" s="20"/>
      <c r="C99" s="126"/>
      <c r="D99" s="126"/>
      <c r="E99" s="126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27"/>
      <c r="R99" s="127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38"/>
      <c r="AD99" s="136"/>
      <c r="AE99" s="145"/>
    </row>
    <row r="100" spans="2:31" x14ac:dyDescent="0.2">
      <c r="B100" s="20" t="s">
        <v>319</v>
      </c>
      <c r="C100" s="126">
        <f t="shared" ref="C100:P100" si="255">C98/C70</f>
        <v>0</v>
      </c>
      <c r="D100" s="126">
        <f t="shared" si="255"/>
        <v>0</v>
      </c>
      <c r="E100" s="126">
        <f t="shared" si="255"/>
        <v>0</v>
      </c>
      <c r="F100" s="143">
        <f t="shared" si="255"/>
        <v>0</v>
      </c>
      <c r="G100" s="143">
        <f t="shared" si="255"/>
        <v>0</v>
      </c>
      <c r="H100" s="143">
        <f t="shared" si="255"/>
        <v>0</v>
      </c>
      <c r="I100" s="143">
        <f t="shared" si="255"/>
        <v>0</v>
      </c>
      <c r="J100" s="143">
        <f t="shared" si="255"/>
        <v>0</v>
      </c>
      <c r="K100" s="143">
        <f t="shared" si="255"/>
        <v>0</v>
      </c>
      <c r="L100" s="143">
        <f t="shared" si="255"/>
        <v>0</v>
      </c>
      <c r="M100" s="143">
        <f t="shared" si="255"/>
        <v>0</v>
      </c>
      <c r="N100" s="143">
        <f t="shared" si="255"/>
        <v>0</v>
      </c>
      <c r="O100" s="143">
        <f t="shared" si="255"/>
        <v>0</v>
      </c>
      <c r="P100" s="143">
        <f t="shared" si="255"/>
        <v>0</v>
      </c>
      <c r="Q100" s="118" t="e">
        <f>((P100/G100)^(1/($H$2-$H$1) ))-1</f>
        <v>#DIV/0!</v>
      </c>
      <c r="R100" s="127"/>
      <c r="S100" s="145">
        <f t="shared" ref="S100:AB100" si="256">S98/S70</f>
        <v>0</v>
      </c>
      <c r="T100" s="145">
        <f t="shared" si="256"/>
        <v>0</v>
      </c>
      <c r="U100" s="145">
        <f t="shared" si="256"/>
        <v>0</v>
      </c>
      <c r="V100" s="145">
        <f t="shared" si="256"/>
        <v>0</v>
      </c>
      <c r="W100" s="145">
        <f t="shared" si="256"/>
        <v>0</v>
      </c>
      <c r="X100" s="145">
        <f t="shared" si="256"/>
        <v>0</v>
      </c>
      <c r="Y100" s="145">
        <f t="shared" si="256"/>
        <v>0</v>
      </c>
      <c r="Z100" s="145">
        <f t="shared" si="256"/>
        <v>0</v>
      </c>
      <c r="AA100" s="145">
        <f t="shared" si="256"/>
        <v>0</v>
      </c>
      <c r="AB100" s="145">
        <f t="shared" si="256"/>
        <v>0</v>
      </c>
      <c r="AC100" s="137" t="e">
        <f t="shared" si="254"/>
        <v>#DIV/0!</v>
      </c>
      <c r="AD100" s="31">
        <f t="shared" si="17"/>
        <v>0.05</v>
      </c>
      <c r="AE100" s="145">
        <f t="shared" si="225"/>
        <v>0</v>
      </c>
    </row>
    <row r="101" spans="2:31" x14ac:dyDescent="0.2">
      <c r="B101" s="20" t="s">
        <v>288</v>
      </c>
      <c r="C101" s="126">
        <f t="shared" ref="C101:P101" si="257">C25/C70</f>
        <v>0</v>
      </c>
      <c r="D101" s="126">
        <f t="shared" si="257"/>
        <v>0</v>
      </c>
      <c r="E101" s="126">
        <f t="shared" si="257"/>
        <v>0</v>
      </c>
      <c r="F101" s="143">
        <f t="shared" si="257"/>
        <v>0</v>
      </c>
      <c r="G101" s="143">
        <f t="shared" si="257"/>
        <v>0</v>
      </c>
      <c r="H101" s="143">
        <f t="shared" si="257"/>
        <v>0</v>
      </c>
      <c r="I101" s="143">
        <f t="shared" si="257"/>
        <v>0</v>
      </c>
      <c r="J101" s="143">
        <f t="shared" si="257"/>
        <v>0</v>
      </c>
      <c r="K101" s="143">
        <f t="shared" si="257"/>
        <v>0</v>
      </c>
      <c r="L101" s="143">
        <f t="shared" si="257"/>
        <v>0</v>
      </c>
      <c r="M101" s="143">
        <f t="shared" si="257"/>
        <v>0</v>
      </c>
      <c r="N101" s="143">
        <f t="shared" si="257"/>
        <v>0</v>
      </c>
      <c r="O101" s="143">
        <f t="shared" si="257"/>
        <v>0</v>
      </c>
      <c r="P101" s="143">
        <f t="shared" si="257"/>
        <v>0</v>
      </c>
      <c r="Q101" s="118" t="e">
        <f>((P101/G101)^(1/($H$2-$H$1) ))-1</f>
        <v>#DIV/0!</v>
      </c>
      <c r="R101" s="127"/>
      <c r="S101" s="145">
        <f t="shared" ref="S101:AB101" si="258">S25/S70</f>
        <v>0</v>
      </c>
      <c r="T101" s="145">
        <f t="shared" si="258"/>
        <v>0</v>
      </c>
      <c r="U101" s="145">
        <f t="shared" si="258"/>
        <v>0</v>
      </c>
      <c r="V101" s="145">
        <f t="shared" si="258"/>
        <v>0</v>
      </c>
      <c r="W101" s="145">
        <f t="shared" si="258"/>
        <v>0</v>
      </c>
      <c r="X101" s="145">
        <f t="shared" si="258"/>
        <v>0</v>
      </c>
      <c r="Y101" s="145">
        <f t="shared" si="258"/>
        <v>0</v>
      </c>
      <c r="Z101" s="145">
        <f t="shared" si="258"/>
        <v>0</v>
      </c>
      <c r="AA101" s="145">
        <f t="shared" si="258"/>
        <v>0</v>
      </c>
      <c r="AB101" s="145">
        <f t="shared" si="258"/>
        <v>0</v>
      </c>
      <c r="AC101" s="137" t="e">
        <f t="shared" si="254"/>
        <v>#DIV/0!</v>
      </c>
      <c r="AD101" s="31">
        <f t="shared" si="17"/>
        <v>0.05</v>
      </c>
      <c r="AE101" s="145">
        <f t="shared" si="225"/>
        <v>0</v>
      </c>
    </row>
    <row r="102" spans="2:31" x14ac:dyDescent="0.2">
      <c r="B102" s="20" t="s">
        <v>289</v>
      </c>
      <c r="C102" s="126">
        <f t="shared" ref="C102:P102" si="259">C26/C70</f>
        <v>0</v>
      </c>
      <c r="D102" s="126">
        <f t="shared" si="259"/>
        <v>0</v>
      </c>
      <c r="E102" s="126">
        <f t="shared" si="259"/>
        <v>0</v>
      </c>
      <c r="F102" s="143">
        <f t="shared" si="259"/>
        <v>0</v>
      </c>
      <c r="G102" s="143">
        <f t="shared" si="259"/>
        <v>0</v>
      </c>
      <c r="H102" s="143">
        <f t="shared" si="259"/>
        <v>0</v>
      </c>
      <c r="I102" s="143">
        <f t="shared" si="259"/>
        <v>0</v>
      </c>
      <c r="J102" s="143">
        <f t="shared" si="259"/>
        <v>0</v>
      </c>
      <c r="K102" s="143">
        <f t="shared" si="259"/>
        <v>0</v>
      </c>
      <c r="L102" s="143">
        <f t="shared" si="259"/>
        <v>0</v>
      </c>
      <c r="M102" s="143">
        <f t="shared" si="259"/>
        <v>0</v>
      </c>
      <c r="N102" s="143">
        <f t="shared" si="259"/>
        <v>0</v>
      </c>
      <c r="O102" s="143">
        <f t="shared" si="259"/>
        <v>0</v>
      </c>
      <c r="P102" s="143">
        <f t="shared" si="259"/>
        <v>0</v>
      </c>
      <c r="Q102" s="118" t="e">
        <f>((P102/G102)^(1/($H$2-$H$1) ))-1</f>
        <v>#DIV/0!</v>
      </c>
      <c r="R102" s="127"/>
      <c r="S102" s="145">
        <f t="shared" ref="S102:AB102" si="260">S26/S70</f>
        <v>0</v>
      </c>
      <c r="T102" s="145">
        <f t="shared" si="260"/>
        <v>0</v>
      </c>
      <c r="U102" s="145">
        <f t="shared" si="260"/>
        <v>0</v>
      </c>
      <c r="V102" s="145">
        <f t="shared" si="260"/>
        <v>0</v>
      </c>
      <c r="W102" s="145">
        <f t="shared" si="260"/>
        <v>0</v>
      </c>
      <c r="X102" s="145">
        <f t="shared" si="260"/>
        <v>0</v>
      </c>
      <c r="Y102" s="145">
        <f t="shared" si="260"/>
        <v>0</v>
      </c>
      <c r="Z102" s="145">
        <f t="shared" si="260"/>
        <v>0</v>
      </c>
      <c r="AA102" s="145">
        <f t="shared" si="260"/>
        <v>0</v>
      </c>
      <c r="AB102" s="145">
        <f t="shared" si="260"/>
        <v>0</v>
      </c>
      <c r="AC102" s="137" t="e">
        <f t="shared" si="254"/>
        <v>#DIV/0!</v>
      </c>
      <c r="AD102" s="31">
        <f t="shared" si="17"/>
        <v>0.05</v>
      </c>
      <c r="AE102" s="145">
        <f t="shared" si="225"/>
        <v>0</v>
      </c>
    </row>
    <row r="103" spans="2:31" x14ac:dyDescent="0.2">
      <c r="B103" s="20" t="s">
        <v>290</v>
      </c>
      <c r="C103" s="126">
        <f t="shared" ref="C103:P103" si="261">C27/C70</f>
        <v>0</v>
      </c>
      <c r="D103" s="126">
        <f t="shared" si="261"/>
        <v>0</v>
      </c>
      <c r="E103" s="126">
        <f t="shared" si="261"/>
        <v>0</v>
      </c>
      <c r="F103" s="143">
        <f t="shared" si="261"/>
        <v>0</v>
      </c>
      <c r="G103" s="143">
        <f t="shared" si="261"/>
        <v>0</v>
      </c>
      <c r="H103" s="143">
        <f t="shared" si="261"/>
        <v>0</v>
      </c>
      <c r="I103" s="143">
        <f t="shared" si="261"/>
        <v>0</v>
      </c>
      <c r="J103" s="143">
        <f t="shared" si="261"/>
        <v>0</v>
      </c>
      <c r="K103" s="143">
        <f t="shared" si="261"/>
        <v>0</v>
      </c>
      <c r="L103" s="143">
        <f t="shared" si="261"/>
        <v>0</v>
      </c>
      <c r="M103" s="143">
        <f t="shared" si="261"/>
        <v>0</v>
      </c>
      <c r="N103" s="143">
        <f t="shared" si="261"/>
        <v>0</v>
      </c>
      <c r="O103" s="143">
        <f t="shared" si="261"/>
        <v>0</v>
      </c>
      <c r="P103" s="143">
        <f t="shared" si="261"/>
        <v>0</v>
      </c>
      <c r="Q103" s="118" t="e">
        <f>((P103/G103)^(1/($H$2-$H$1) ))-1</f>
        <v>#DIV/0!</v>
      </c>
      <c r="R103" s="127"/>
      <c r="S103" s="145">
        <f t="shared" ref="S103:AB103" si="262">S27/S70</f>
        <v>0</v>
      </c>
      <c r="T103" s="145">
        <f t="shared" si="262"/>
        <v>0</v>
      </c>
      <c r="U103" s="145">
        <f t="shared" si="262"/>
        <v>0</v>
      </c>
      <c r="V103" s="145">
        <f t="shared" si="262"/>
        <v>0</v>
      </c>
      <c r="W103" s="145">
        <f t="shared" si="262"/>
        <v>0</v>
      </c>
      <c r="X103" s="145">
        <f t="shared" si="262"/>
        <v>0</v>
      </c>
      <c r="Y103" s="145">
        <f t="shared" si="262"/>
        <v>0</v>
      </c>
      <c r="Z103" s="145">
        <f t="shared" si="262"/>
        <v>0</v>
      </c>
      <c r="AA103" s="145">
        <f t="shared" si="262"/>
        <v>0</v>
      </c>
      <c r="AB103" s="145">
        <f t="shared" si="262"/>
        <v>0</v>
      </c>
      <c r="AC103" s="137" t="e">
        <f t="shared" si="254"/>
        <v>#DIV/0!</v>
      </c>
      <c r="AD103" s="31">
        <f t="shared" si="17"/>
        <v>0.05</v>
      </c>
      <c r="AE103" s="145">
        <f t="shared" si="225"/>
        <v>0</v>
      </c>
    </row>
    <row r="104" spans="2:31" x14ac:dyDescent="0.2">
      <c r="B104" s="20" t="s">
        <v>297</v>
      </c>
      <c r="C104" s="126">
        <f t="shared" ref="C104:P104" si="263">C28/C70</f>
        <v>0</v>
      </c>
      <c r="D104" s="126">
        <f t="shared" si="263"/>
        <v>0</v>
      </c>
      <c r="E104" s="126">
        <f t="shared" si="263"/>
        <v>0</v>
      </c>
      <c r="F104" s="143">
        <f t="shared" si="263"/>
        <v>0</v>
      </c>
      <c r="G104" s="143">
        <f t="shared" si="263"/>
        <v>0</v>
      </c>
      <c r="H104" s="143">
        <f t="shared" si="263"/>
        <v>0</v>
      </c>
      <c r="I104" s="143">
        <f t="shared" si="263"/>
        <v>0</v>
      </c>
      <c r="J104" s="143">
        <f t="shared" si="263"/>
        <v>0</v>
      </c>
      <c r="K104" s="143">
        <f t="shared" si="263"/>
        <v>0</v>
      </c>
      <c r="L104" s="143">
        <f t="shared" si="263"/>
        <v>0</v>
      </c>
      <c r="M104" s="143">
        <f t="shared" si="263"/>
        <v>0</v>
      </c>
      <c r="N104" s="143">
        <f t="shared" si="263"/>
        <v>0</v>
      </c>
      <c r="O104" s="143">
        <f t="shared" si="263"/>
        <v>0</v>
      </c>
      <c r="P104" s="143">
        <f t="shared" si="263"/>
        <v>0</v>
      </c>
      <c r="Q104" s="118" t="e">
        <f>((P104/G104)^(1/($H$2-$H$1) ))-1</f>
        <v>#DIV/0!</v>
      </c>
      <c r="R104" s="127"/>
      <c r="S104" s="145">
        <f t="shared" ref="S104:AB104" si="264">S28/S70</f>
        <v>0</v>
      </c>
      <c r="T104" s="145">
        <f t="shared" si="264"/>
        <v>0</v>
      </c>
      <c r="U104" s="145">
        <f t="shared" si="264"/>
        <v>0</v>
      </c>
      <c r="V104" s="145">
        <f t="shared" si="264"/>
        <v>0</v>
      </c>
      <c r="W104" s="145">
        <f t="shared" si="264"/>
        <v>0</v>
      </c>
      <c r="X104" s="145">
        <f t="shared" si="264"/>
        <v>0</v>
      </c>
      <c r="Y104" s="145">
        <f t="shared" si="264"/>
        <v>0</v>
      </c>
      <c r="Z104" s="145">
        <f t="shared" si="264"/>
        <v>0</v>
      </c>
      <c r="AA104" s="145">
        <f t="shared" si="264"/>
        <v>0</v>
      </c>
      <c r="AB104" s="145">
        <f t="shared" si="264"/>
        <v>0</v>
      </c>
      <c r="AC104" s="137" t="e">
        <f t="shared" ref="AC104" si="265">((AB104/G104)^(1/($AB$3-$H$1) ))-1</f>
        <v>#DIV/0!</v>
      </c>
      <c r="AD104" s="31">
        <f t="shared" si="17"/>
        <v>0.05</v>
      </c>
      <c r="AE104" s="145">
        <f t="shared" si="225"/>
        <v>0</v>
      </c>
    </row>
    <row r="105" spans="2:31" x14ac:dyDescent="0.2">
      <c r="B105" s="20"/>
      <c r="C105" s="126"/>
      <c r="D105" s="126"/>
      <c r="E105" s="126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27"/>
      <c r="R105" s="127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38"/>
      <c r="AD105" s="136"/>
      <c r="AE105" s="154"/>
    </row>
    <row r="106" spans="2:31" x14ac:dyDescent="0.2">
      <c r="B106" s="20" t="s">
        <v>312</v>
      </c>
      <c r="C106" s="143">
        <f t="shared" ref="C106:P106" si="266">C64/C70</f>
        <v>0</v>
      </c>
      <c r="D106" s="143">
        <f t="shared" si="266"/>
        <v>0</v>
      </c>
      <c r="E106" s="143">
        <f t="shared" si="266"/>
        <v>0</v>
      </c>
      <c r="F106" s="143">
        <f t="shared" si="266"/>
        <v>0</v>
      </c>
      <c r="G106" s="143">
        <f t="shared" si="266"/>
        <v>0</v>
      </c>
      <c r="H106" s="143">
        <f t="shared" si="266"/>
        <v>0</v>
      </c>
      <c r="I106" s="143">
        <f t="shared" si="266"/>
        <v>0</v>
      </c>
      <c r="J106" s="143">
        <f t="shared" si="266"/>
        <v>0</v>
      </c>
      <c r="K106" s="143">
        <f t="shared" si="266"/>
        <v>0</v>
      </c>
      <c r="L106" s="143">
        <f t="shared" si="266"/>
        <v>0</v>
      </c>
      <c r="M106" s="143">
        <f t="shared" si="266"/>
        <v>0</v>
      </c>
      <c r="N106" s="143">
        <f t="shared" si="266"/>
        <v>0</v>
      </c>
      <c r="O106" s="143">
        <f t="shared" si="266"/>
        <v>0</v>
      </c>
      <c r="P106" s="143">
        <f t="shared" si="266"/>
        <v>0</v>
      </c>
      <c r="Q106" s="118" t="e">
        <f>((P106/G106)^(1/($H$2-$H$1) ))-1</f>
        <v>#DIV/0!</v>
      </c>
      <c r="R106" s="127"/>
      <c r="S106" s="143">
        <f t="shared" ref="S106:AB106" si="267">S64/S70</f>
        <v>0</v>
      </c>
      <c r="T106" s="143">
        <f t="shared" si="267"/>
        <v>0</v>
      </c>
      <c r="U106" s="143">
        <f t="shared" si="267"/>
        <v>0</v>
      </c>
      <c r="V106" s="143">
        <f t="shared" si="267"/>
        <v>0</v>
      </c>
      <c r="W106" s="143">
        <f t="shared" si="267"/>
        <v>0</v>
      </c>
      <c r="X106" s="143">
        <f t="shared" si="267"/>
        <v>0</v>
      </c>
      <c r="Y106" s="143">
        <f t="shared" si="267"/>
        <v>0</v>
      </c>
      <c r="Z106" s="143">
        <f t="shared" si="267"/>
        <v>0</v>
      </c>
      <c r="AA106" s="143">
        <f t="shared" si="267"/>
        <v>0</v>
      </c>
      <c r="AB106" s="143">
        <f t="shared" si="267"/>
        <v>0</v>
      </c>
      <c r="AC106" s="137" t="e">
        <f t="shared" ref="AC106:AC108" si="268">((AB106/G106)^(1/($AB$3-$H$1) ))-1</f>
        <v>#DIV/0!</v>
      </c>
      <c r="AD106" s="31">
        <f t="shared" si="17"/>
        <v>0.05</v>
      </c>
      <c r="AE106" s="145">
        <f t="shared" si="225"/>
        <v>0</v>
      </c>
    </row>
    <row r="107" spans="2:31" x14ac:dyDescent="0.2">
      <c r="B107" s="20" t="s">
        <v>313</v>
      </c>
      <c r="C107" s="143">
        <f t="shared" ref="C107:P107" si="269">C68/C70</f>
        <v>0</v>
      </c>
      <c r="D107" s="143">
        <f t="shared" si="269"/>
        <v>0</v>
      </c>
      <c r="E107" s="143">
        <f t="shared" si="269"/>
        <v>0</v>
      </c>
      <c r="F107" s="143">
        <f t="shared" si="269"/>
        <v>0</v>
      </c>
      <c r="G107" s="143">
        <f t="shared" si="269"/>
        <v>10.863636363636363</v>
      </c>
      <c r="H107" s="143">
        <f t="shared" si="269"/>
        <v>7.2413793103448274</v>
      </c>
      <c r="I107" s="143">
        <f t="shared" si="269"/>
        <v>1.2696551724137932</v>
      </c>
      <c r="J107" s="143">
        <f t="shared" si="269"/>
        <v>2.1316614420062696</v>
      </c>
      <c r="K107" s="143">
        <f t="shared" si="269"/>
        <v>2.3510971786833856</v>
      </c>
      <c r="L107" s="143">
        <f t="shared" si="269"/>
        <v>4.169014084507042</v>
      </c>
      <c r="M107" s="143">
        <f t="shared" si="269"/>
        <v>8.536585365853659</v>
      </c>
      <c r="N107" s="143">
        <f t="shared" si="269"/>
        <v>12.408602150537634</v>
      </c>
      <c r="O107" s="143">
        <f t="shared" si="269"/>
        <v>17.173447537473233</v>
      </c>
      <c r="P107" s="143">
        <f t="shared" si="269"/>
        <v>20.403846153846153</v>
      </c>
      <c r="Q107" s="118">
        <f>((P107/G107)^(1/($H$2-$H$1) ))-1</f>
        <v>7.2544208774710794E-2</v>
      </c>
      <c r="R107" s="127"/>
      <c r="S107" s="143">
        <f t="shared" ref="S107:AB107" si="270">S68/S70</f>
        <v>20.774825174825178</v>
      </c>
      <c r="T107" s="143">
        <f t="shared" si="270"/>
        <v>21.152549268912907</v>
      </c>
      <c r="U107" s="143">
        <f t="shared" si="270"/>
        <v>21.537141073802232</v>
      </c>
      <c r="V107" s="143">
        <f t="shared" si="270"/>
        <v>21.928725456962269</v>
      </c>
      <c r="W107" s="143">
        <f t="shared" si="270"/>
        <v>22.327429556179766</v>
      </c>
      <c r="X107" s="143">
        <f t="shared" si="270"/>
        <v>22.73338282083758</v>
      </c>
      <c r="Y107" s="143">
        <f t="shared" si="270"/>
        <v>23.146717053943721</v>
      </c>
      <c r="Z107" s="143">
        <f t="shared" si="270"/>
        <v>23.567566454924517</v>
      </c>
      <c r="AA107" s="143">
        <f t="shared" si="270"/>
        <v>23.99606766319587</v>
      </c>
      <c r="AB107" s="143">
        <f t="shared" si="270"/>
        <v>24.432359802526708</v>
      </c>
      <c r="AC107" s="137">
        <f t="shared" si="268"/>
        <v>4.3580125934437497E-2</v>
      </c>
      <c r="AD107" s="31">
        <f t="shared" si="17"/>
        <v>0.05</v>
      </c>
      <c r="AE107" s="145">
        <f t="shared" si="225"/>
        <v>150.90575172148851</v>
      </c>
    </row>
    <row r="108" spans="2:31" x14ac:dyDescent="0.2">
      <c r="B108" s="20" t="s">
        <v>314</v>
      </c>
      <c r="C108" s="143">
        <f t="shared" ref="C108:P108" si="271">C6/C70</f>
        <v>0</v>
      </c>
      <c r="D108" s="143">
        <f t="shared" si="271"/>
        <v>0</v>
      </c>
      <c r="E108" s="143">
        <f t="shared" si="271"/>
        <v>0</v>
      </c>
      <c r="F108" s="143">
        <f t="shared" si="271"/>
        <v>0</v>
      </c>
      <c r="G108" s="143">
        <f t="shared" si="271"/>
        <v>23.181818181818183</v>
      </c>
      <c r="H108" s="143">
        <f t="shared" si="271"/>
        <v>18.551724137931036</v>
      </c>
      <c r="I108" s="143">
        <f t="shared" si="271"/>
        <v>19.827586206896552</v>
      </c>
      <c r="J108" s="143">
        <f t="shared" si="271"/>
        <v>23.072100313479623</v>
      </c>
      <c r="K108" s="143">
        <f t="shared" si="271"/>
        <v>24.733542319749219</v>
      </c>
      <c r="L108" s="143">
        <f t="shared" si="271"/>
        <v>30.197183098591548</v>
      </c>
      <c r="M108" s="143">
        <f t="shared" si="271"/>
        <v>42.731707317073173</v>
      </c>
      <c r="N108" s="143">
        <f t="shared" si="271"/>
        <v>72.043010752688176</v>
      </c>
      <c r="O108" s="143">
        <f t="shared" si="271"/>
        <v>86.573875802997847</v>
      </c>
      <c r="P108" s="143">
        <f t="shared" si="271"/>
        <v>136.46153846153845</v>
      </c>
      <c r="Q108" s="118">
        <f>((P108/G108)^(1/($H$2-$H$1) ))-1</f>
        <v>0.21770000423090008</v>
      </c>
      <c r="R108" s="127"/>
      <c r="S108" s="143">
        <f t="shared" ref="S108:AB108" si="272">S6/S70</f>
        <v>138.94265734265736</v>
      </c>
      <c r="T108" s="143">
        <f t="shared" si="272"/>
        <v>141.46888747616021</v>
      </c>
      <c r="U108" s="143">
        <f t="shared" si="272"/>
        <v>144.04104906663582</v>
      </c>
      <c r="V108" s="143">
        <f t="shared" si="272"/>
        <v>146.65997723148374</v>
      </c>
      <c r="W108" s="143">
        <f t="shared" si="272"/>
        <v>149.32652227205617</v>
      </c>
      <c r="X108" s="143">
        <f t="shared" si="272"/>
        <v>152.04154994972993</v>
      </c>
      <c r="Y108" s="143">
        <f t="shared" si="272"/>
        <v>154.80594176699776</v>
      </c>
      <c r="Z108" s="143">
        <f t="shared" si="272"/>
        <v>157.62059525367044</v>
      </c>
      <c r="AA108" s="143">
        <f t="shared" si="272"/>
        <v>160.48642425828265</v>
      </c>
      <c r="AB108" s="143">
        <f t="shared" si="272"/>
        <v>163.40435924479689</v>
      </c>
      <c r="AC108" s="137">
        <f t="shared" si="268"/>
        <v>0.10824987691759991</v>
      </c>
      <c r="AD108" s="31">
        <f t="shared" ref="AD108" si="273">$L$1</f>
        <v>0.05</v>
      </c>
      <c r="AE108" s="145">
        <f t="shared" si="225"/>
        <v>1009.2622188649221</v>
      </c>
    </row>
    <row r="109" spans="2:31" x14ac:dyDescent="0.2">
      <c r="B109" s="20"/>
      <c r="C109" s="126"/>
      <c r="D109" s="126"/>
      <c r="E109" s="126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27"/>
      <c r="R109" s="127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38"/>
      <c r="AD109" s="20"/>
      <c r="AE109" s="154"/>
    </row>
    <row r="110" spans="2:31" x14ac:dyDescent="0.2">
      <c r="B110" s="20"/>
      <c r="C110" s="126"/>
      <c r="D110" s="126"/>
      <c r="E110" s="126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27"/>
      <c r="R110" s="127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38"/>
      <c r="AD110" s="20"/>
      <c r="AE110" s="154"/>
    </row>
    <row r="111" spans="2:31" x14ac:dyDescent="0.2">
      <c r="B111" s="108" t="s">
        <v>311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 spans="2:31" x14ac:dyDescent="0.2">
      <c r="B112" s="20" t="s">
        <v>310</v>
      </c>
      <c r="C112" s="152" t="e">
        <f t="shared" ref="C112:P112" si="274">C64/C44</f>
        <v>#DIV/0!</v>
      </c>
      <c r="D112" s="152" t="e">
        <f t="shared" si="274"/>
        <v>#DIV/0!</v>
      </c>
      <c r="E112" s="152" t="e">
        <f t="shared" si="274"/>
        <v>#DIV/0!</v>
      </c>
      <c r="F112" s="152" t="e">
        <f t="shared" si="274"/>
        <v>#DIV/0!</v>
      </c>
      <c r="G112" s="152">
        <f t="shared" si="274"/>
        <v>0</v>
      </c>
      <c r="H112" s="152">
        <f t="shared" si="274"/>
        <v>0</v>
      </c>
      <c r="I112" s="152">
        <f t="shared" si="274"/>
        <v>0</v>
      </c>
      <c r="J112" s="152">
        <f t="shared" si="274"/>
        <v>0</v>
      </c>
      <c r="K112" s="152">
        <f t="shared" si="274"/>
        <v>0</v>
      </c>
      <c r="L112" s="152">
        <f t="shared" si="274"/>
        <v>0</v>
      </c>
      <c r="M112" s="152">
        <f t="shared" si="274"/>
        <v>0</v>
      </c>
      <c r="N112" s="152">
        <f t="shared" si="274"/>
        <v>0</v>
      </c>
      <c r="O112" s="152">
        <f t="shared" si="274"/>
        <v>0</v>
      </c>
      <c r="P112" s="152">
        <f t="shared" si="274"/>
        <v>0</v>
      </c>
      <c r="Q112" s="118" t="e">
        <f t="shared" ref="Q112:Q152" si="275">((P112/G112)^(1/($H$2-$H$1) ))-1</f>
        <v>#DIV/0!</v>
      </c>
      <c r="R112" s="152"/>
      <c r="S112" s="152">
        <f t="shared" ref="S112:AB112" si="276">S64/S44</f>
        <v>0</v>
      </c>
      <c r="T112" s="152">
        <f t="shared" si="276"/>
        <v>0</v>
      </c>
      <c r="U112" s="152">
        <f t="shared" si="276"/>
        <v>0</v>
      </c>
      <c r="V112" s="152">
        <f t="shared" si="276"/>
        <v>0</v>
      </c>
      <c r="W112" s="152">
        <f t="shared" si="276"/>
        <v>0</v>
      </c>
      <c r="X112" s="152">
        <f t="shared" si="276"/>
        <v>0</v>
      </c>
      <c r="Y112" s="152">
        <f t="shared" si="276"/>
        <v>0</v>
      </c>
      <c r="Z112" s="152">
        <f t="shared" si="276"/>
        <v>0</v>
      </c>
      <c r="AA112" s="152">
        <f t="shared" si="276"/>
        <v>0</v>
      </c>
      <c r="AB112" s="152">
        <f t="shared" si="276"/>
        <v>0</v>
      </c>
      <c r="AC112" s="137" t="e">
        <f t="shared" ref="AC112:AC139" si="277">((AB112/G112)^(1/($AB$3-$H$1) ))-1</f>
        <v>#DIV/0!</v>
      </c>
      <c r="AD112" s="145"/>
      <c r="AE112" s="145"/>
    </row>
    <row r="113" spans="2:31" x14ac:dyDescent="0.2">
      <c r="B113" s="20" t="s">
        <v>267</v>
      </c>
      <c r="C113" s="152" t="e">
        <f t="shared" ref="C113:P113" si="278">C68/C44</f>
        <v>#DIV/0!</v>
      </c>
      <c r="D113" s="152" t="e">
        <f t="shared" si="278"/>
        <v>#DIV/0!</v>
      </c>
      <c r="E113" s="152" t="e">
        <f t="shared" si="278"/>
        <v>#DIV/0!</v>
      </c>
      <c r="F113" s="152" t="e">
        <f t="shared" si="278"/>
        <v>#DIV/0!</v>
      </c>
      <c r="G113" s="152">
        <f t="shared" si="278"/>
        <v>0.18272171253822631</v>
      </c>
      <c r="H113" s="152">
        <f t="shared" si="278"/>
        <v>0.16228748068006182</v>
      </c>
      <c r="I113" s="152">
        <f t="shared" si="278"/>
        <v>2.7725903614457831E-2</v>
      </c>
      <c r="J113" s="152">
        <f t="shared" si="278"/>
        <v>3.811659192825112E-2</v>
      </c>
      <c r="K113" s="152">
        <f t="shared" si="278"/>
        <v>3.3829499323410013E-2</v>
      </c>
      <c r="L113" s="152">
        <f t="shared" si="278"/>
        <v>5.3526220614828209E-2</v>
      </c>
      <c r="M113" s="152">
        <f t="shared" si="278"/>
        <v>0.10736196319018405</v>
      </c>
      <c r="N113" s="152">
        <f t="shared" si="278"/>
        <v>0.13409249360910994</v>
      </c>
      <c r="O113" s="152">
        <f t="shared" si="278"/>
        <v>0.12590266875981163</v>
      </c>
      <c r="P113" s="152">
        <f t="shared" si="278"/>
        <v>0.12712676731368319</v>
      </c>
      <c r="Q113" s="118">
        <f t="shared" si="275"/>
        <v>-3.950724336894218E-2</v>
      </c>
      <c r="R113" s="152"/>
      <c r="S113" s="152">
        <f t="shared" ref="S113:AB113" si="279">S68/S44</f>
        <v>0.12712676731368322</v>
      </c>
      <c r="T113" s="152">
        <f t="shared" si="279"/>
        <v>0.12712676731368319</v>
      </c>
      <c r="U113" s="152">
        <f t="shared" si="279"/>
        <v>0.12712676731368322</v>
      </c>
      <c r="V113" s="152">
        <f t="shared" si="279"/>
        <v>0.12712676731368319</v>
      </c>
      <c r="W113" s="152">
        <f t="shared" si="279"/>
        <v>0.12712676731368319</v>
      </c>
      <c r="X113" s="152">
        <f t="shared" si="279"/>
        <v>0.12712676731368319</v>
      </c>
      <c r="Y113" s="152">
        <f t="shared" si="279"/>
        <v>0.12712676731368322</v>
      </c>
      <c r="Z113" s="152">
        <f t="shared" si="279"/>
        <v>0.12712676731368322</v>
      </c>
      <c r="AA113" s="152">
        <f t="shared" si="279"/>
        <v>0.12712676731368322</v>
      </c>
      <c r="AB113" s="152">
        <f t="shared" si="279"/>
        <v>0.12712676731368322</v>
      </c>
      <c r="AC113" s="137">
        <f t="shared" si="277"/>
        <v>-1.8912530839453101E-2</v>
      </c>
      <c r="AD113" s="145"/>
      <c r="AE113" s="145"/>
    </row>
    <row r="114" spans="2:31" x14ac:dyDescent="0.2">
      <c r="B114" s="20" t="s">
        <v>360</v>
      </c>
      <c r="C114" s="152" t="e">
        <f t="shared" ref="C114:P114" si="280">C68/C7</f>
        <v>#DIV/0!</v>
      </c>
      <c r="D114" s="152" t="e">
        <f t="shared" si="280"/>
        <v>#DIV/0!</v>
      </c>
      <c r="E114" s="152" t="e">
        <f t="shared" si="280"/>
        <v>#DIV/0!</v>
      </c>
      <c r="F114" s="152" t="e">
        <f t="shared" si="280"/>
        <v>#DIV/0!</v>
      </c>
      <c r="G114" s="152">
        <f t="shared" si="280"/>
        <v>0.29875000000000002</v>
      </c>
      <c r="H114" s="152">
        <f t="shared" si="280"/>
        <v>0.25331724969843183</v>
      </c>
      <c r="I114" s="152">
        <f t="shared" si="280"/>
        <v>4.251732101616628E-2</v>
      </c>
      <c r="J114" s="152">
        <f t="shared" si="280"/>
        <v>6.4393939393939392E-2</v>
      </c>
      <c r="K114" s="152">
        <f t="shared" si="280"/>
        <v>5.5596738324684952E-2</v>
      </c>
      <c r="L114" s="152">
        <f t="shared" si="280"/>
        <v>8.8942307692307696E-2</v>
      </c>
      <c r="M114" s="152">
        <f t="shared" si="280"/>
        <v>0.14601585314977056</v>
      </c>
      <c r="N114" s="152">
        <f t="shared" si="280"/>
        <v>0.14246913580246914</v>
      </c>
      <c r="O114" s="152">
        <f t="shared" si="280"/>
        <v>0.16916262391900444</v>
      </c>
      <c r="P114" s="152">
        <f t="shared" si="280"/>
        <v>0.13905635648754916</v>
      </c>
      <c r="Q114" s="118">
        <f t="shared" si="275"/>
        <v>-8.1459936297949787E-2</v>
      </c>
      <c r="R114" s="20"/>
      <c r="S114" s="152">
        <f t="shared" ref="S114:AB114" si="281">S68/S7</f>
        <v>0.13905635648754916</v>
      </c>
      <c r="T114" s="152">
        <f t="shared" si="281"/>
        <v>0.13905635648754913</v>
      </c>
      <c r="U114" s="152">
        <f t="shared" si="281"/>
        <v>0.13905635648754916</v>
      </c>
      <c r="V114" s="152">
        <f t="shared" si="281"/>
        <v>0.13905635648754916</v>
      </c>
      <c r="W114" s="152">
        <f t="shared" si="281"/>
        <v>0.13905635648754916</v>
      </c>
      <c r="X114" s="152">
        <f t="shared" si="281"/>
        <v>0.13905635648754916</v>
      </c>
      <c r="Y114" s="152">
        <f t="shared" si="281"/>
        <v>0.13905635648754916</v>
      </c>
      <c r="Z114" s="152">
        <f t="shared" si="281"/>
        <v>0.13905635648754916</v>
      </c>
      <c r="AA114" s="152">
        <f t="shared" si="281"/>
        <v>0.13905635648754916</v>
      </c>
      <c r="AB114" s="152">
        <f t="shared" si="281"/>
        <v>0.13905635648754919</v>
      </c>
      <c r="AC114" s="137">
        <f t="shared" si="277"/>
        <v>-3.9449606360567935E-2</v>
      </c>
      <c r="AD114" s="145"/>
      <c r="AE114" s="145"/>
    </row>
    <row r="115" spans="2:31" x14ac:dyDescent="0.2">
      <c r="B115" s="20" t="s">
        <v>361</v>
      </c>
      <c r="C115" s="152" t="e">
        <f t="shared" ref="C115:P115" si="282">(C68)/(C7+C10)</f>
        <v>#DIV/0!</v>
      </c>
      <c r="D115" s="152" t="e">
        <f t="shared" si="282"/>
        <v>#DIV/0!</v>
      </c>
      <c r="E115" s="152" t="e">
        <f t="shared" si="282"/>
        <v>#DIV/0!</v>
      </c>
      <c r="F115" s="152" t="e">
        <f t="shared" si="282"/>
        <v>#DIV/0!</v>
      </c>
      <c r="G115" s="152">
        <f t="shared" si="282"/>
        <v>1.6701607267645004E-2</v>
      </c>
      <c r="H115" s="152">
        <f t="shared" si="282"/>
        <v>1.443001443001443E-2</v>
      </c>
      <c r="I115" s="152">
        <f t="shared" si="282"/>
        <v>2.2441640763088927E-3</v>
      </c>
      <c r="J115" s="152">
        <f t="shared" si="282"/>
        <v>3.5245944124812109E-3</v>
      </c>
      <c r="K115" s="152">
        <f t="shared" si="282"/>
        <v>3.4914575671523671E-3</v>
      </c>
      <c r="L115" s="152">
        <f t="shared" si="282"/>
        <v>5.7677318784099766E-3</v>
      </c>
      <c r="M115" s="152">
        <f t="shared" si="282"/>
        <v>1.0281719103434095E-2</v>
      </c>
      <c r="N115" s="152">
        <f t="shared" si="282"/>
        <v>1.3131543013199819E-2</v>
      </c>
      <c r="O115" s="152">
        <f t="shared" si="282"/>
        <v>1.4376882260146278E-2</v>
      </c>
      <c r="P115" s="152">
        <f t="shared" si="282"/>
        <v>1.4900429739066932E-2</v>
      </c>
      <c r="Q115" s="118">
        <f t="shared" si="275"/>
        <v>-1.2599388455064364E-2</v>
      </c>
      <c r="R115" s="20"/>
      <c r="S115" s="152">
        <f t="shared" ref="S115:AB115" si="283">(S68)/(S7+S10)</f>
        <v>1.4900429739066932E-2</v>
      </c>
      <c r="T115" s="152">
        <f t="shared" si="283"/>
        <v>1.4900429739066932E-2</v>
      </c>
      <c r="U115" s="152">
        <f t="shared" si="283"/>
        <v>1.4900429739066932E-2</v>
      </c>
      <c r="V115" s="152">
        <f t="shared" si="283"/>
        <v>1.4900429739066932E-2</v>
      </c>
      <c r="W115" s="152">
        <f t="shared" si="283"/>
        <v>1.4900429739066932E-2</v>
      </c>
      <c r="X115" s="152">
        <f t="shared" si="283"/>
        <v>1.4900429739066931E-2</v>
      </c>
      <c r="Y115" s="152">
        <f t="shared" si="283"/>
        <v>1.4900429739066934E-2</v>
      </c>
      <c r="Z115" s="152">
        <f t="shared" si="283"/>
        <v>1.4900429739066932E-2</v>
      </c>
      <c r="AA115" s="152">
        <f t="shared" si="283"/>
        <v>1.4900429739066932E-2</v>
      </c>
      <c r="AB115" s="152">
        <f t="shared" si="283"/>
        <v>1.4900429739066934E-2</v>
      </c>
      <c r="AC115" s="137">
        <f t="shared" si="277"/>
        <v>-5.9880473446243254E-3</v>
      </c>
      <c r="AD115" s="145"/>
      <c r="AE115" s="145"/>
    </row>
    <row r="116" spans="2:31" x14ac:dyDescent="0.2">
      <c r="B116" s="176" t="s">
        <v>393</v>
      </c>
      <c r="C116" s="152"/>
      <c r="D116" s="152"/>
      <c r="E116" s="152"/>
      <c r="F116" s="152"/>
      <c r="G116" s="152">
        <f>G25/G44</f>
        <v>0</v>
      </c>
      <c r="H116" s="152">
        <f t="shared" ref="H116:P116" si="284">H25/H44</f>
        <v>0</v>
      </c>
      <c r="I116" s="152">
        <f t="shared" si="284"/>
        <v>0</v>
      </c>
      <c r="J116" s="152">
        <f t="shared" si="284"/>
        <v>0</v>
      </c>
      <c r="K116" s="152">
        <f t="shared" si="284"/>
        <v>0</v>
      </c>
      <c r="L116" s="152">
        <f t="shared" si="284"/>
        <v>0</v>
      </c>
      <c r="M116" s="152">
        <f t="shared" si="284"/>
        <v>0</v>
      </c>
      <c r="N116" s="152">
        <f t="shared" si="284"/>
        <v>0</v>
      </c>
      <c r="O116" s="152">
        <f t="shared" si="284"/>
        <v>0</v>
      </c>
      <c r="P116" s="152">
        <f t="shared" si="284"/>
        <v>0</v>
      </c>
      <c r="Q116" s="118" t="e">
        <f t="shared" si="275"/>
        <v>#DIV/0!</v>
      </c>
      <c r="R116" s="20"/>
      <c r="S116" s="152">
        <f t="shared" ref="S116:AB116" si="285">S25/S44</f>
        <v>0</v>
      </c>
      <c r="T116" s="152">
        <f t="shared" si="285"/>
        <v>0</v>
      </c>
      <c r="U116" s="152">
        <f t="shared" si="285"/>
        <v>0</v>
      </c>
      <c r="V116" s="152">
        <f t="shared" si="285"/>
        <v>0</v>
      </c>
      <c r="W116" s="152">
        <f t="shared" si="285"/>
        <v>0</v>
      </c>
      <c r="X116" s="152">
        <f t="shared" si="285"/>
        <v>0</v>
      </c>
      <c r="Y116" s="152">
        <f t="shared" si="285"/>
        <v>0</v>
      </c>
      <c r="Z116" s="152">
        <f t="shared" si="285"/>
        <v>0</v>
      </c>
      <c r="AA116" s="152">
        <f t="shared" si="285"/>
        <v>0</v>
      </c>
      <c r="AB116" s="152">
        <f t="shared" si="285"/>
        <v>0</v>
      </c>
      <c r="AC116" s="137" t="e">
        <f t="shared" si="277"/>
        <v>#DIV/0!</v>
      </c>
      <c r="AD116" s="145"/>
      <c r="AE116" s="145"/>
    </row>
    <row r="117" spans="2:31" x14ac:dyDescent="0.2">
      <c r="B117" s="20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20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45"/>
      <c r="AE117" s="145"/>
    </row>
    <row r="118" spans="2:31" x14ac:dyDescent="0.2">
      <c r="B118" s="20" t="s">
        <v>324</v>
      </c>
      <c r="C118" s="152"/>
      <c r="D118" s="152"/>
      <c r="E118" s="152"/>
      <c r="F118" s="152"/>
      <c r="G118" s="152">
        <f>G50/G44</f>
        <v>0.51146788990825687</v>
      </c>
      <c r="H118" s="152">
        <f t="shared" ref="H118:P118" si="286">H50/H44</f>
        <v>0.55564142194744981</v>
      </c>
      <c r="I118" s="152">
        <f t="shared" si="286"/>
        <v>0.65737951807228912</v>
      </c>
      <c r="J118" s="152">
        <f t="shared" si="286"/>
        <v>0.68834080717488788</v>
      </c>
      <c r="K118" s="152">
        <f t="shared" si="286"/>
        <v>0.71222372575552551</v>
      </c>
      <c r="L118" s="152">
        <f t="shared" si="286"/>
        <v>0.6690777576853526</v>
      </c>
      <c r="M118" s="152">
        <f t="shared" si="286"/>
        <v>0.55828220858895705</v>
      </c>
      <c r="N118" s="152">
        <f t="shared" si="286"/>
        <v>0.51405995816871952</v>
      </c>
      <c r="O118" s="152">
        <f t="shared" si="286"/>
        <v>0.57362637362637359</v>
      </c>
      <c r="P118" s="152">
        <f t="shared" si="286"/>
        <v>0.56913491492930746</v>
      </c>
      <c r="Q118" s="118">
        <f t="shared" si="275"/>
        <v>1.1941032475633717E-2</v>
      </c>
      <c r="R118" s="20"/>
      <c r="S118" s="152">
        <f t="shared" ref="S118:AB118" si="287">S50/S44</f>
        <v>0.56913491492930757</v>
      </c>
      <c r="T118" s="152">
        <f t="shared" si="287"/>
        <v>0.56913491492930746</v>
      </c>
      <c r="U118" s="152">
        <f t="shared" si="287"/>
        <v>0.56913491492930746</v>
      </c>
      <c r="V118" s="152">
        <f t="shared" si="287"/>
        <v>0.56913491492930746</v>
      </c>
      <c r="W118" s="152">
        <f t="shared" si="287"/>
        <v>0.56913491492930757</v>
      </c>
      <c r="X118" s="152">
        <f t="shared" si="287"/>
        <v>0.56913491492930746</v>
      </c>
      <c r="Y118" s="152">
        <f t="shared" si="287"/>
        <v>0.56913491492930757</v>
      </c>
      <c r="Z118" s="152">
        <f t="shared" si="287"/>
        <v>0.56913491492930746</v>
      </c>
      <c r="AA118" s="152">
        <f t="shared" si="287"/>
        <v>0.56913491492930757</v>
      </c>
      <c r="AB118" s="152">
        <f t="shared" si="287"/>
        <v>0.56913491492930757</v>
      </c>
      <c r="AC118" s="137">
        <f t="shared" si="277"/>
        <v>5.6386115567830242E-3</v>
      </c>
      <c r="AD118" s="145"/>
      <c r="AE118" s="145"/>
    </row>
    <row r="119" spans="2:31" x14ac:dyDescent="0.2">
      <c r="B119" s="20" t="s">
        <v>326</v>
      </c>
      <c r="C119" s="152"/>
      <c r="D119" s="152"/>
      <c r="E119" s="152"/>
      <c r="F119" s="152"/>
      <c r="G119" s="166" t="e">
        <f t="shared" ref="G119:P119" si="288">G50/G12</f>
        <v>#DIV/0!</v>
      </c>
      <c r="H119" s="166" t="e">
        <f t="shared" si="288"/>
        <v>#DIV/0!</v>
      </c>
      <c r="I119" s="166" t="e">
        <f t="shared" si="288"/>
        <v>#DIV/0!</v>
      </c>
      <c r="J119" s="166" t="e">
        <f t="shared" si="288"/>
        <v>#DIV/0!</v>
      </c>
      <c r="K119" s="166" t="e">
        <f t="shared" si="288"/>
        <v>#DIV/0!</v>
      </c>
      <c r="L119" s="166" t="e">
        <f t="shared" si="288"/>
        <v>#DIV/0!</v>
      </c>
      <c r="M119" s="166" t="e">
        <f t="shared" si="288"/>
        <v>#DIV/0!</v>
      </c>
      <c r="N119" s="166" t="e">
        <f t="shared" si="288"/>
        <v>#DIV/0!</v>
      </c>
      <c r="O119" s="166" t="e">
        <f t="shared" si="288"/>
        <v>#DIV/0!</v>
      </c>
      <c r="P119" s="166" t="e">
        <f t="shared" si="288"/>
        <v>#DIV/0!</v>
      </c>
      <c r="Q119" s="118" t="e">
        <f t="shared" si="275"/>
        <v>#DIV/0!</v>
      </c>
      <c r="R119" s="20"/>
      <c r="S119" s="152" t="e">
        <f t="shared" ref="S119:AB119" si="289">S50/S12</f>
        <v>#DIV/0!</v>
      </c>
      <c r="T119" s="152" t="e">
        <f t="shared" si="289"/>
        <v>#DIV/0!</v>
      </c>
      <c r="U119" s="152" t="e">
        <f t="shared" si="289"/>
        <v>#DIV/0!</v>
      </c>
      <c r="V119" s="152" t="e">
        <f t="shared" si="289"/>
        <v>#DIV/0!</v>
      </c>
      <c r="W119" s="152" t="e">
        <f t="shared" si="289"/>
        <v>#DIV/0!</v>
      </c>
      <c r="X119" s="152" t="e">
        <f t="shared" si="289"/>
        <v>#DIV/0!</v>
      </c>
      <c r="Y119" s="152" t="e">
        <f t="shared" si="289"/>
        <v>#DIV/0!</v>
      </c>
      <c r="Z119" s="152" t="e">
        <f t="shared" si="289"/>
        <v>#DIV/0!</v>
      </c>
      <c r="AA119" s="152" t="e">
        <f t="shared" si="289"/>
        <v>#DIV/0!</v>
      </c>
      <c r="AB119" s="152" t="e">
        <f t="shared" si="289"/>
        <v>#DIV/0!</v>
      </c>
      <c r="AC119" s="137" t="e">
        <f t="shared" si="277"/>
        <v>#DIV/0!</v>
      </c>
      <c r="AD119" s="145"/>
      <c r="AE119" s="145"/>
    </row>
    <row r="120" spans="2:31" s="177" customFormat="1" x14ac:dyDescent="0.2">
      <c r="B120" s="176"/>
      <c r="C120" s="181"/>
      <c r="D120" s="181"/>
      <c r="E120" s="181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78"/>
      <c r="R120" s="176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79"/>
      <c r="AD120" s="180"/>
      <c r="AE120" s="180"/>
    </row>
    <row r="121" spans="2:31" x14ac:dyDescent="0.2">
      <c r="B121" s="20" t="s">
        <v>327</v>
      </c>
      <c r="C121" s="152"/>
      <c r="D121" s="152"/>
      <c r="E121" s="152"/>
      <c r="F121" s="163">
        <f>F12+F15-F10</f>
        <v>0</v>
      </c>
      <c r="G121" s="163">
        <f>G12+G15-G10</f>
        <v>-9539</v>
      </c>
      <c r="H121" s="163">
        <f>H12+H15-H10</f>
        <v>-9655</v>
      </c>
      <c r="I121" s="163">
        <f>I12+I15-I10</f>
        <v>-10132</v>
      </c>
      <c r="J121" s="163">
        <f>J12+J15-J10</f>
        <v>-12346</v>
      </c>
      <c r="K121" s="163">
        <f>K12+K15-K10</f>
        <v>-13503</v>
      </c>
      <c r="L121" s="163">
        <f>L12+L15-L10</f>
        <v>-15913</v>
      </c>
      <c r="M121" s="163">
        <f>M12+M15-M10</f>
        <v>-21243</v>
      </c>
      <c r="N121" s="163">
        <f>N12+N15-N10</f>
        <v>-26340</v>
      </c>
      <c r="O121" s="163">
        <f>O12+O15-O10</f>
        <v>-36472</v>
      </c>
      <c r="P121" s="163">
        <f>P12+P15-P10</f>
        <v>-43922</v>
      </c>
      <c r="Q121" s="118">
        <f t="shared" si="275"/>
        <v>0.18491332753748391</v>
      </c>
      <c r="R121" s="20"/>
      <c r="S121" s="163">
        <f>S12+S15-S10</f>
        <v>-49192.640000000007</v>
      </c>
      <c r="T121" s="163">
        <f>T12+T15-T10</f>
        <v>-55095.75680000001</v>
      </c>
      <c r="U121" s="163">
        <f>U12+U15-U10</f>
        <v>-61707.247616000015</v>
      </c>
      <c r="V121" s="163">
        <f>V12+V15-V10</f>
        <v>-69112.117329920016</v>
      </c>
      <c r="W121" s="163">
        <f>W12+W15-W10</f>
        <v>-77405.571409510434</v>
      </c>
      <c r="X121" s="163">
        <f>X12+X15-X10</f>
        <v>-86694.239978651691</v>
      </c>
      <c r="Y121" s="163">
        <f>Y12+Y15-Y10</f>
        <v>-97097.548776089912</v>
      </c>
      <c r="Z121" s="163">
        <f>Z12+Z15-Z10</f>
        <v>-108749.2546292207</v>
      </c>
      <c r="AA121" s="163">
        <f>AA12+AA15-AA10</f>
        <v>-121799.1651847272</v>
      </c>
      <c r="AB121" s="163">
        <f>AB12+AB15-AB10</f>
        <v>-136415.06500689447</v>
      </c>
      <c r="AC121" s="137">
        <f t="shared" si="277"/>
        <v>0.15029278025160564</v>
      </c>
      <c r="AD121" s="145"/>
      <c r="AE121" s="145"/>
    </row>
    <row r="122" spans="2:31" ht="12" customHeight="1" x14ac:dyDescent="0.2">
      <c r="B122" s="20" t="s">
        <v>322</v>
      </c>
      <c r="C122" s="20"/>
      <c r="D122" s="20"/>
      <c r="E122" s="20"/>
      <c r="F122" s="20"/>
      <c r="G122" s="152">
        <f>G68/G23</f>
        <v>1</v>
      </c>
      <c r="H122" s="152">
        <f>H68/H23</f>
        <v>0.65015479876160986</v>
      </c>
      <c r="I122" s="152">
        <f>I68/I23</f>
        <v>0.10958333333333334</v>
      </c>
      <c r="J122" s="152">
        <f>J68/J23</f>
        <v>0.18888888888888888</v>
      </c>
      <c r="K122" s="152">
        <f>K68/K23</f>
        <v>0.12195121951219512</v>
      </c>
      <c r="L122" s="152">
        <f>L68/L23</f>
        <v>0.24302134646962234</v>
      </c>
      <c r="M122" s="152">
        <f>M68/M23</f>
        <v>0.55821371610845294</v>
      </c>
      <c r="N122" s="152">
        <f>N68/N23</f>
        <v>1.0087412587412588</v>
      </c>
      <c r="O122" s="152">
        <f>O68/O23</f>
        <v>1.3061889250814331</v>
      </c>
      <c r="P122" s="152">
        <f>P68/P23</f>
        <v>1.4337837837837837</v>
      </c>
      <c r="Q122" s="118">
        <f t="shared" si="275"/>
        <v>4.0847429003290303E-2</v>
      </c>
      <c r="R122" s="20"/>
      <c r="S122" s="152">
        <f>S68/S23</f>
        <v>1.4337837837837839</v>
      </c>
      <c r="T122" s="152">
        <f>T68/T23</f>
        <v>1.4337837837837837</v>
      </c>
      <c r="U122" s="152">
        <f>U68/U23</f>
        <v>1.4337837837837837</v>
      </c>
      <c r="V122" s="152">
        <f>V68/V23</f>
        <v>1.4337837837837835</v>
      </c>
      <c r="W122" s="152">
        <f>W68/W23</f>
        <v>1.4337837837837835</v>
      </c>
      <c r="X122" s="152">
        <f>X68/X23</f>
        <v>1.4337837837837835</v>
      </c>
      <c r="Y122" s="152">
        <f>Y68/Y23</f>
        <v>1.4337837837837837</v>
      </c>
      <c r="Z122" s="152">
        <f>Z68/Z23</f>
        <v>1.4337837837837837</v>
      </c>
      <c r="AA122" s="152">
        <f>AA68/AA23</f>
        <v>1.4337837837837837</v>
      </c>
      <c r="AB122" s="152">
        <f>AB68/AB23</f>
        <v>1.4337837837837837</v>
      </c>
      <c r="AC122" s="137">
        <f t="shared" si="277"/>
        <v>1.9145009825308534E-2</v>
      </c>
      <c r="AD122" s="20"/>
      <c r="AE122" s="20"/>
    </row>
    <row r="123" spans="2:31" x14ac:dyDescent="0.2">
      <c r="B123" s="20" t="s">
        <v>323</v>
      </c>
      <c r="C123" s="20"/>
      <c r="D123" s="20"/>
      <c r="E123" s="20"/>
      <c r="F123" s="20"/>
      <c r="G123" s="152">
        <f>G68/G44</f>
        <v>0.18272171253822631</v>
      </c>
      <c r="H123" s="152">
        <f>H68/H44</f>
        <v>0.16228748068006182</v>
      </c>
      <c r="I123" s="152">
        <f>I68/I44</f>
        <v>2.7725903614457831E-2</v>
      </c>
      <c r="J123" s="152">
        <f>J68/J44</f>
        <v>3.811659192825112E-2</v>
      </c>
      <c r="K123" s="152">
        <f>K68/K44</f>
        <v>3.3829499323410013E-2</v>
      </c>
      <c r="L123" s="152">
        <f>L68/L44</f>
        <v>5.3526220614828209E-2</v>
      </c>
      <c r="M123" s="152">
        <f>M68/M44</f>
        <v>0.10736196319018405</v>
      </c>
      <c r="N123" s="152">
        <f>N68/N44</f>
        <v>0.13409249360910994</v>
      </c>
      <c r="O123" s="152">
        <f>O68/O44</f>
        <v>0.12590266875981163</v>
      </c>
      <c r="P123" s="152">
        <f>P68/P44</f>
        <v>0.12712676731368319</v>
      </c>
      <c r="Q123" s="118">
        <f t="shared" si="275"/>
        <v>-3.950724336894218E-2</v>
      </c>
      <c r="R123" s="20"/>
      <c r="S123" s="152">
        <f>S68/S44</f>
        <v>0.12712676731368322</v>
      </c>
      <c r="T123" s="152">
        <f>T68/T44</f>
        <v>0.12712676731368319</v>
      </c>
      <c r="U123" s="152">
        <f>U68/U44</f>
        <v>0.12712676731368322</v>
      </c>
      <c r="V123" s="152">
        <f>V68/V44</f>
        <v>0.12712676731368319</v>
      </c>
      <c r="W123" s="152">
        <f>W68/W44</f>
        <v>0.12712676731368319</v>
      </c>
      <c r="X123" s="152">
        <f>X68/X44</f>
        <v>0.12712676731368319</v>
      </c>
      <c r="Y123" s="152">
        <f>Y68/Y44</f>
        <v>0.12712676731368322</v>
      </c>
      <c r="Z123" s="152">
        <f>Z68/Z44</f>
        <v>0.12712676731368322</v>
      </c>
      <c r="AA123" s="152">
        <f>AA68/AA44</f>
        <v>0.12712676731368322</v>
      </c>
      <c r="AB123" s="152">
        <f>AB68/AB44</f>
        <v>0.12712676731368322</v>
      </c>
      <c r="AC123" s="137">
        <f t="shared" si="277"/>
        <v>-1.8912530839453101E-2</v>
      </c>
      <c r="AD123" s="20"/>
      <c r="AE123" s="20"/>
    </row>
    <row r="124" spans="2:31" x14ac:dyDescent="0.2">
      <c r="B124" s="20" t="s">
        <v>349</v>
      </c>
      <c r="C124" s="20"/>
      <c r="D124" s="20"/>
      <c r="E124" s="152"/>
      <c r="F124" s="152"/>
      <c r="G124" s="152">
        <f>G44/G23</f>
        <v>5.472803347280335</v>
      </c>
      <c r="H124" s="152">
        <f>H44/H23</f>
        <v>4.0061919504643964</v>
      </c>
      <c r="I124" s="152">
        <f>I44/I23</f>
        <v>3.9523809523809526</v>
      </c>
      <c r="J124" s="152">
        <f>J44/J23</f>
        <v>4.9555555555555557</v>
      </c>
      <c r="K124" s="152">
        <f>K44/K23</f>
        <v>3.6048780487804879</v>
      </c>
      <c r="L124" s="152">
        <f>L44/L23</f>
        <v>4.5402298850574709</v>
      </c>
      <c r="M124" s="152">
        <f>M44/M23</f>
        <v>5.199362041467305</v>
      </c>
      <c r="N124" s="152">
        <f>N44/N23</f>
        <v>7.5227272727272725</v>
      </c>
      <c r="O124" s="152">
        <f>O44/O23</f>
        <v>10.374592833876221</v>
      </c>
      <c r="P124" s="152">
        <f>P44/P23</f>
        <v>11.278378378378378</v>
      </c>
      <c r="Q124" s="118">
        <f t="shared" si="275"/>
        <v>8.3659842114871985E-2</v>
      </c>
      <c r="R124" s="20"/>
      <c r="S124" s="152">
        <f>S44/S23</f>
        <v>11.278378378378378</v>
      </c>
      <c r="T124" s="152">
        <f>T44/T23</f>
        <v>11.278378378378379</v>
      </c>
      <c r="U124" s="152">
        <f>U44/U23</f>
        <v>11.278378378378378</v>
      </c>
      <c r="V124" s="152">
        <f>V44/V23</f>
        <v>11.278378378378376</v>
      </c>
      <c r="W124" s="152">
        <f>W44/W23</f>
        <v>11.278378378378376</v>
      </c>
      <c r="X124" s="152">
        <f>X44/X23</f>
        <v>11.278378378378376</v>
      </c>
      <c r="Y124" s="152">
        <f>Y44/Y23</f>
        <v>11.278378378378376</v>
      </c>
      <c r="Z124" s="152">
        <f>Z44/Z23</f>
        <v>11.278378378378376</v>
      </c>
      <c r="AA124" s="152">
        <f>AA44/AA23</f>
        <v>11.278378378378376</v>
      </c>
      <c r="AB124" s="152">
        <f>AB44/AB23</f>
        <v>11.278378378378376</v>
      </c>
      <c r="AC124" s="137">
        <f t="shared" si="277"/>
        <v>3.8791180053828533E-2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27"/>
      <c r="R125" s="20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27"/>
      <c r="AD125" s="20"/>
      <c r="AE125" s="20"/>
    </row>
    <row r="126" spans="2:31" x14ac:dyDescent="0.2">
      <c r="B126" s="20" t="s">
        <v>335</v>
      </c>
      <c r="C126" s="20"/>
      <c r="D126" s="20"/>
      <c r="E126" s="165">
        <f>E96*E70</f>
        <v>1</v>
      </c>
      <c r="F126" s="165">
        <f>F96*F70</f>
        <v>0</v>
      </c>
      <c r="G126" s="165">
        <f>G96*G70</f>
        <v>49.5</v>
      </c>
      <c r="H126" s="165">
        <f>H96*H70</f>
        <v>52.2</v>
      </c>
      <c r="I126" s="165">
        <f>I96*I70</f>
        <v>0</v>
      </c>
      <c r="J126" s="165">
        <f>J96*J70</f>
        <v>19.139999999999997</v>
      </c>
      <c r="K126" s="165">
        <f>K96*K70</f>
        <v>19.139999999999997</v>
      </c>
      <c r="L126" s="165">
        <f>L96*L70</f>
        <v>42.6</v>
      </c>
      <c r="M126" s="165">
        <f>M96*M70</f>
        <v>73.8</v>
      </c>
      <c r="N126" s="165">
        <f>N96*N70</f>
        <v>93</v>
      </c>
      <c r="O126" s="165">
        <f>O96*O70</f>
        <v>102.74000000000001</v>
      </c>
      <c r="P126" s="165">
        <f>P96*P70</f>
        <v>156</v>
      </c>
      <c r="Q126" s="118">
        <f t="shared" si="275"/>
        <v>0.13603325436028957</v>
      </c>
      <c r="R126" s="20"/>
      <c r="S126" s="165">
        <f>S96*S70</f>
        <v>180.18000000000004</v>
      </c>
      <c r="T126" s="165">
        <f>T96*T70</f>
        <v>208.10790000000006</v>
      </c>
      <c r="U126" s="165">
        <f>U96*U70</f>
        <v>240.3646245000001</v>
      </c>
      <c r="V126" s="165">
        <f>V96*V70</f>
        <v>277.62114129750017</v>
      </c>
      <c r="W126" s="165">
        <f>W96*W70</f>
        <v>320.65241819861279</v>
      </c>
      <c r="X126" s="165">
        <f>X96*X70</f>
        <v>370.35354301939782</v>
      </c>
      <c r="Y126" s="165">
        <f>Y96*Y70</f>
        <v>427.75834218740448</v>
      </c>
      <c r="Z126" s="165">
        <f>Z96*Z70</f>
        <v>494.06088522645229</v>
      </c>
      <c r="AA126" s="165">
        <f>AA96*AA70</f>
        <v>570.64032243655242</v>
      </c>
      <c r="AB126" s="165">
        <f>AB96*AB70</f>
        <v>659.08957241421808</v>
      </c>
      <c r="AC126" s="137">
        <f t="shared" si="277"/>
        <v>0.14597659951326869</v>
      </c>
      <c r="AD126" s="20"/>
      <c r="AE126" s="20"/>
    </row>
    <row r="127" spans="2:31" x14ac:dyDescent="0.2">
      <c r="B127" s="20" t="s">
        <v>336</v>
      </c>
      <c r="C127" s="20"/>
      <c r="D127" s="20"/>
      <c r="E127" s="165">
        <f>(E126*0.17)+E126</f>
        <v>1.17</v>
      </c>
      <c r="F127" s="165">
        <f>(F126*0.17)+F126</f>
        <v>0</v>
      </c>
      <c r="G127" s="165">
        <f t="shared" ref="G127:P127" si="290">(G126*0.17)+G126</f>
        <v>57.914999999999999</v>
      </c>
      <c r="H127" s="165">
        <f t="shared" si="290"/>
        <v>61.074000000000005</v>
      </c>
      <c r="I127" s="165">
        <f t="shared" si="290"/>
        <v>0</v>
      </c>
      <c r="J127" s="165">
        <f t="shared" si="290"/>
        <v>22.393799999999995</v>
      </c>
      <c r="K127" s="165">
        <f t="shared" si="290"/>
        <v>22.393799999999995</v>
      </c>
      <c r="L127" s="165">
        <f t="shared" si="290"/>
        <v>49.841999999999999</v>
      </c>
      <c r="M127" s="165">
        <f t="shared" si="290"/>
        <v>86.346000000000004</v>
      </c>
      <c r="N127" s="165">
        <f t="shared" si="290"/>
        <v>108.81</v>
      </c>
      <c r="O127" s="165">
        <f t="shared" si="290"/>
        <v>120.20580000000001</v>
      </c>
      <c r="P127" s="165">
        <f t="shared" si="290"/>
        <v>182.52</v>
      </c>
      <c r="Q127" s="118">
        <f t="shared" si="275"/>
        <v>0.13603325436028957</v>
      </c>
      <c r="R127" s="20"/>
      <c r="S127" s="165">
        <f t="shared" ref="S127:AB127" si="291">(S126*0.17)+S126</f>
        <v>210.81060000000005</v>
      </c>
      <c r="T127" s="165">
        <f t="shared" si="291"/>
        <v>243.48624300000006</v>
      </c>
      <c r="U127" s="165">
        <f t="shared" si="291"/>
        <v>281.22661066500012</v>
      </c>
      <c r="V127" s="165">
        <f t="shared" si="291"/>
        <v>324.81673531807519</v>
      </c>
      <c r="W127" s="165">
        <f t="shared" si="291"/>
        <v>375.16332929237694</v>
      </c>
      <c r="X127" s="165">
        <f t="shared" si="291"/>
        <v>433.31364533269544</v>
      </c>
      <c r="Y127" s="165">
        <f t="shared" si="291"/>
        <v>500.47726035926325</v>
      </c>
      <c r="Z127" s="165">
        <f t="shared" si="291"/>
        <v>578.05123571494914</v>
      </c>
      <c r="AA127" s="165">
        <f t="shared" si="291"/>
        <v>667.64917725076634</v>
      </c>
      <c r="AB127" s="165">
        <f t="shared" si="291"/>
        <v>771.13479972463517</v>
      </c>
      <c r="AC127" s="137">
        <f t="shared" si="277"/>
        <v>0.14597659951326869</v>
      </c>
      <c r="AD127" s="20"/>
      <c r="AE127" s="20"/>
    </row>
    <row r="128" spans="2:31" x14ac:dyDescent="0.2">
      <c r="B128" s="20" t="s">
        <v>337</v>
      </c>
      <c r="C128" s="20"/>
      <c r="D128" s="20"/>
      <c r="E128" s="20"/>
      <c r="F128" s="152" t="e">
        <f>F127/F68</f>
        <v>#DIV/0!</v>
      </c>
      <c r="G128" s="152">
        <f>G127/G68</f>
        <v>0.24232217573221757</v>
      </c>
      <c r="H128" s="152">
        <f>H127/H68</f>
        <v>0.29082857142857144</v>
      </c>
      <c r="I128" s="152">
        <f>I127/I68</f>
        <v>0</v>
      </c>
      <c r="J128" s="152">
        <f>J127/J68</f>
        <v>0.32932058823529403</v>
      </c>
      <c r="K128" s="152">
        <f>K127/K68</f>
        <v>0.29858399999999996</v>
      </c>
      <c r="L128" s="152">
        <f>L127/L68</f>
        <v>0.33677027027027029</v>
      </c>
      <c r="M128" s="152">
        <f>M127/M68</f>
        <v>0.24670285714285714</v>
      </c>
      <c r="N128" s="152">
        <f>N127/N68</f>
        <v>0.18857885615251299</v>
      </c>
      <c r="O128" s="152">
        <f>O127/O68</f>
        <v>0.14988254364089776</v>
      </c>
      <c r="P128" s="152">
        <f>P127/P68</f>
        <v>0.17202639019792648</v>
      </c>
      <c r="Q128" s="118">
        <f t="shared" si="275"/>
        <v>-3.7353403683340169E-2</v>
      </c>
      <c r="R128" s="20"/>
      <c r="S128" s="152">
        <f>S127/S68</f>
        <v>0.1774022148916117</v>
      </c>
      <c r="T128" s="152">
        <f>T127/T68</f>
        <v>0.18294603410697458</v>
      </c>
      <c r="U128" s="152">
        <f>U127/U68</f>
        <v>0.18866309767281753</v>
      </c>
      <c r="V128" s="152">
        <f>V127/V68</f>
        <v>0.1945588194750931</v>
      </c>
      <c r="W128" s="152">
        <f>W127/W68</f>
        <v>0.20063878258368981</v>
      </c>
      <c r="X128" s="152">
        <f>X127/X68</f>
        <v>0.20690874453943012</v>
      </c>
      <c r="Y128" s="152">
        <f>Y127/Y68</f>
        <v>0.21337464280628729</v>
      </c>
      <c r="Z128" s="152">
        <f>Z127/Z68</f>
        <v>0.22004260039398377</v>
      </c>
      <c r="AA128" s="152">
        <f>AA127/AA68</f>
        <v>0.22691893165629576</v>
      </c>
      <c r="AB128" s="152">
        <f>AB127/AB68</f>
        <v>0.234010148270555</v>
      </c>
      <c r="AC128" s="137">
        <f t="shared" si="277"/>
        <v>-1.8353485442288431E-3</v>
      </c>
      <c r="AD128" s="20"/>
      <c r="AE128" s="20"/>
    </row>
    <row r="129" spans="2:31" x14ac:dyDescent="0.2">
      <c r="B129" s="20" t="s">
        <v>330</v>
      </c>
      <c r="C129" s="20"/>
      <c r="D129" s="20"/>
      <c r="E129" s="20"/>
      <c r="F129" s="152" t="e">
        <f>1-F128</f>
        <v>#DIV/0!</v>
      </c>
      <c r="G129" s="152">
        <f>1-G128</f>
        <v>0.75767782426778241</v>
      </c>
      <c r="H129" s="152">
        <f t="shared" ref="H129:P129" si="292">1-H128</f>
        <v>0.70917142857142856</v>
      </c>
      <c r="I129" s="152">
        <f t="shared" si="292"/>
        <v>1</v>
      </c>
      <c r="J129" s="152">
        <f t="shared" si="292"/>
        <v>0.67067941176470591</v>
      </c>
      <c r="K129" s="152">
        <f t="shared" si="292"/>
        <v>0.70141600000000004</v>
      </c>
      <c r="L129" s="152">
        <f t="shared" si="292"/>
        <v>0.66322972972972971</v>
      </c>
      <c r="M129" s="152">
        <f t="shared" si="292"/>
        <v>0.75329714285714289</v>
      </c>
      <c r="N129" s="152">
        <f t="shared" si="292"/>
        <v>0.81142114384748698</v>
      </c>
      <c r="O129" s="152">
        <f t="shared" si="292"/>
        <v>0.8501174563591023</v>
      </c>
      <c r="P129" s="152">
        <f t="shared" si="292"/>
        <v>0.82797360980207357</v>
      </c>
      <c r="Q129" s="118">
        <f t="shared" si="275"/>
        <v>9.906864634769752E-3</v>
      </c>
      <c r="R129" s="20"/>
      <c r="S129" s="152">
        <f t="shared" ref="S129:AB129" si="293">1-S128</f>
        <v>0.82259778510838832</v>
      </c>
      <c r="T129" s="152">
        <f t="shared" si="293"/>
        <v>0.81705396589302537</v>
      </c>
      <c r="U129" s="152">
        <f t="shared" si="293"/>
        <v>0.81133690232718247</v>
      </c>
      <c r="V129" s="152">
        <f t="shared" si="293"/>
        <v>0.80544118052490687</v>
      </c>
      <c r="W129" s="152">
        <f t="shared" si="293"/>
        <v>0.79936121741631017</v>
      </c>
      <c r="X129" s="152">
        <f t="shared" si="293"/>
        <v>0.79309125546056991</v>
      </c>
      <c r="Y129" s="152">
        <f t="shared" si="293"/>
        <v>0.78662535719371274</v>
      </c>
      <c r="Z129" s="152">
        <f t="shared" si="293"/>
        <v>0.77995739960601629</v>
      </c>
      <c r="AA129" s="152">
        <f t="shared" si="293"/>
        <v>0.77308106834370427</v>
      </c>
      <c r="AB129" s="152">
        <f t="shared" si="293"/>
        <v>0.765989851729445</v>
      </c>
      <c r="AC129" s="137">
        <f t="shared" si="277"/>
        <v>5.7441016908521547E-4</v>
      </c>
      <c r="AD129" s="20"/>
      <c r="AE129" s="20"/>
    </row>
    <row r="130" spans="2:31" x14ac:dyDescent="0.2">
      <c r="B130" s="20"/>
      <c r="C130" s="20"/>
      <c r="D130" s="20"/>
      <c r="E130" s="20"/>
      <c r="F130" s="20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27"/>
      <c r="R130" s="20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27"/>
      <c r="AD130" s="20"/>
      <c r="AE130" s="20"/>
    </row>
    <row r="131" spans="2:31" x14ac:dyDescent="0.2">
      <c r="B131" s="20" t="s">
        <v>334</v>
      </c>
      <c r="C131" s="152"/>
      <c r="D131" s="152"/>
      <c r="E131" s="152"/>
      <c r="F131" s="152" t="e">
        <f>F52/F44</f>
        <v>#DIV/0!</v>
      </c>
      <c r="G131" s="152">
        <f>G52/G44</f>
        <v>0</v>
      </c>
      <c r="H131" s="152">
        <f>H52/H44</f>
        <v>0</v>
      </c>
      <c r="I131" s="152">
        <f>I52/I44</f>
        <v>0</v>
      </c>
      <c r="J131" s="152">
        <f>J52/J44</f>
        <v>0</v>
      </c>
      <c r="K131" s="152">
        <f>K52/K44</f>
        <v>0</v>
      </c>
      <c r="L131" s="152">
        <f>L52/L44</f>
        <v>0</v>
      </c>
      <c r="M131" s="152">
        <f>M52/M44</f>
        <v>0</v>
      </c>
      <c r="N131" s="152">
        <f>N52/N44</f>
        <v>0</v>
      </c>
      <c r="O131" s="152">
        <f>O52/O44</f>
        <v>0</v>
      </c>
      <c r="P131" s="152">
        <f>P52/P44</f>
        <v>0</v>
      </c>
      <c r="Q131" s="118" t="e">
        <f t="shared" si="275"/>
        <v>#DIV/0!</v>
      </c>
      <c r="R131" s="20"/>
      <c r="S131" s="152">
        <f>S52/S44</f>
        <v>0</v>
      </c>
      <c r="T131" s="152">
        <f>T52/T44</f>
        <v>0</v>
      </c>
      <c r="U131" s="152">
        <f>U52/U44</f>
        <v>0</v>
      </c>
      <c r="V131" s="152">
        <f>V52/V44</f>
        <v>0</v>
      </c>
      <c r="W131" s="152">
        <f>W52/W44</f>
        <v>0</v>
      </c>
      <c r="X131" s="152">
        <f>X52/X44</f>
        <v>0</v>
      </c>
      <c r="Y131" s="152">
        <f>Y52/Y44</f>
        <v>0</v>
      </c>
      <c r="Z131" s="152">
        <f>Z52/Z44</f>
        <v>0</v>
      </c>
      <c r="AA131" s="152">
        <f>AA52/AA44</f>
        <v>0</v>
      </c>
      <c r="AB131" s="152">
        <f>AB52/AB44</f>
        <v>0</v>
      </c>
      <c r="AC131" s="137" t="e">
        <f t="shared" si="277"/>
        <v>#DIV/0!</v>
      </c>
      <c r="AD131" s="20"/>
      <c r="AE131" s="20"/>
    </row>
    <row r="132" spans="2:31" x14ac:dyDescent="0.2">
      <c r="B132" s="20" t="s">
        <v>331</v>
      </c>
      <c r="C132" s="152"/>
      <c r="D132" s="152"/>
      <c r="E132" s="152"/>
      <c r="F132" s="152" t="e">
        <f>F53/F44</f>
        <v>#DIV/0!</v>
      </c>
      <c r="G132" s="152">
        <f>G53/G44</f>
        <v>0</v>
      </c>
      <c r="H132" s="152">
        <f>H53/H44</f>
        <v>0</v>
      </c>
      <c r="I132" s="152">
        <f>I53/I44</f>
        <v>0</v>
      </c>
      <c r="J132" s="152">
        <f>J53/J44</f>
        <v>0</v>
      </c>
      <c r="K132" s="152">
        <f>K53/K44</f>
        <v>0</v>
      </c>
      <c r="L132" s="152">
        <f>L53/L44</f>
        <v>0</v>
      </c>
      <c r="M132" s="152">
        <f>M53/M44</f>
        <v>0</v>
      </c>
      <c r="N132" s="152">
        <f>N53/N44</f>
        <v>0</v>
      </c>
      <c r="O132" s="152">
        <f>O53/O44</f>
        <v>0</v>
      </c>
      <c r="P132" s="152">
        <f>P53/P44</f>
        <v>0</v>
      </c>
      <c r="Q132" s="118" t="e">
        <f t="shared" si="275"/>
        <v>#DIV/0!</v>
      </c>
      <c r="R132" s="20"/>
      <c r="S132" s="152">
        <f>S53/S44</f>
        <v>0</v>
      </c>
      <c r="T132" s="152">
        <f>T53/T44</f>
        <v>0</v>
      </c>
      <c r="U132" s="152">
        <f>U53/U44</f>
        <v>0</v>
      </c>
      <c r="V132" s="152">
        <f>V53/V44</f>
        <v>0</v>
      </c>
      <c r="W132" s="152">
        <f>W53/W44</f>
        <v>0</v>
      </c>
      <c r="X132" s="152">
        <f>X53/X44</f>
        <v>0</v>
      </c>
      <c r="Y132" s="152">
        <f>Y53/Y44</f>
        <v>0</v>
      </c>
      <c r="Z132" s="152">
        <f>Z53/Z44</f>
        <v>0</v>
      </c>
      <c r="AA132" s="152">
        <f>AA53/AA44</f>
        <v>0</v>
      </c>
      <c r="AB132" s="152">
        <f>AB53/AB44</f>
        <v>0</v>
      </c>
      <c r="AC132" s="137" t="e">
        <f t="shared" si="277"/>
        <v>#DIV/0!</v>
      </c>
      <c r="AD132" s="20"/>
      <c r="AE132" s="20"/>
    </row>
    <row r="133" spans="2:31" x14ac:dyDescent="0.2">
      <c r="B133" s="20"/>
      <c r="C133" s="20"/>
      <c r="D133" s="20"/>
      <c r="E133" s="20"/>
      <c r="F133" s="20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27"/>
      <c r="R133" s="20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27"/>
      <c r="AD133" s="20"/>
      <c r="AE133" s="20"/>
    </row>
    <row r="134" spans="2:31" x14ac:dyDescent="0.2">
      <c r="B134" s="20" t="s">
        <v>355</v>
      </c>
      <c r="C134" s="20"/>
      <c r="D134" s="20"/>
      <c r="E134" s="20"/>
      <c r="F134" s="20"/>
      <c r="G134" s="152">
        <f>G46/G44</f>
        <v>0.81727828746177367</v>
      </c>
      <c r="H134" s="152">
        <f>H46/H44</f>
        <v>0.83771251931993818</v>
      </c>
      <c r="I134" s="152">
        <f>I46/I44</f>
        <v>0.97213855421686746</v>
      </c>
      <c r="J134" s="152">
        <f>J46/J44</f>
        <v>0.96188340807174888</v>
      </c>
      <c r="K134" s="152">
        <f>K46/K44</f>
        <v>0.96617050067658994</v>
      </c>
      <c r="L134" s="152">
        <f>L46/L44</f>
        <v>0.94647377938517174</v>
      </c>
      <c r="M134" s="152">
        <f>M46/M44</f>
        <v>0.8926380368098159</v>
      </c>
      <c r="N134" s="152">
        <f>N46/N44</f>
        <v>0.8656751103881013</v>
      </c>
      <c r="O134" s="152">
        <f>O46/O44</f>
        <v>0.8740973312401884</v>
      </c>
      <c r="P134" s="152">
        <f>P46/P44</f>
        <v>0.87287323268631678</v>
      </c>
      <c r="Q134" s="118">
        <f t="shared" si="275"/>
        <v>7.3390977396081691E-3</v>
      </c>
      <c r="R134" s="20"/>
      <c r="S134" s="152">
        <f>S46/S44</f>
        <v>0.87287323268631678</v>
      </c>
      <c r="T134" s="152">
        <f>T46/T44</f>
        <v>0.87287323268631678</v>
      </c>
      <c r="U134" s="152">
        <f>U46/U44</f>
        <v>0.87287323268631689</v>
      </c>
      <c r="V134" s="152">
        <f>V46/V44</f>
        <v>0.87287323268631689</v>
      </c>
      <c r="W134" s="152">
        <f>W46/W44</f>
        <v>0.872873232686317</v>
      </c>
      <c r="X134" s="152">
        <f>X46/X44</f>
        <v>0.872873232686317</v>
      </c>
      <c r="Y134" s="152">
        <f>Y46/Y44</f>
        <v>0.872873232686317</v>
      </c>
      <c r="Z134" s="152">
        <f>Z46/Z44</f>
        <v>0.872873232686317</v>
      </c>
      <c r="AA134" s="152">
        <f>AA46/AA44</f>
        <v>0.872873232686317</v>
      </c>
      <c r="AB134" s="152">
        <f>AB46/AB44</f>
        <v>0.872873232686317</v>
      </c>
      <c r="AC134" s="137">
        <f t="shared" si="277"/>
        <v>3.469725529223755E-3</v>
      </c>
      <c r="AD134" s="20"/>
      <c r="AE134" s="20"/>
    </row>
    <row r="135" spans="2:31" x14ac:dyDescent="0.2">
      <c r="B135" s="20" t="str">
        <f>B54</f>
        <v>Top Expenses ( Raw material )</v>
      </c>
      <c r="C135" s="20"/>
      <c r="D135" s="20"/>
      <c r="E135" s="20"/>
      <c r="F135" s="20"/>
      <c r="G135" s="152">
        <f>G54/G44</f>
        <v>0</v>
      </c>
      <c r="H135" s="152">
        <f>H54/H44</f>
        <v>0</v>
      </c>
      <c r="I135" s="152">
        <f>I54/I44</f>
        <v>0</v>
      </c>
      <c r="J135" s="152">
        <f>J54/J44</f>
        <v>0</v>
      </c>
      <c r="K135" s="152">
        <f>K54/K44</f>
        <v>0</v>
      </c>
      <c r="L135" s="152">
        <f>L54/L44</f>
        <v>0</v>
      </c>
      <c r="M135" s="152">
        <f>M54/M44</f>
        <v>0</v>
      </c>
      <c r="N135" s="152">
        <f>N54/N44</f>
        <v>0</v>
      </c>
      <c r="O135" s="152">
        <f>O54/O44</f>
        <v>0</v>
      </c>
      <c r="P135" s="152">
        <f>P54/P44</f>
        <v>0</v>
      </c>
      <c r="Q135" s="118" t="e">
        <f t="shared" si="275"/>
        <v>#DIV/0!</v>
      </c>
      <c r="R135" s="20"/>
      <c r="S135" s="152">
        <f>S54/S44</f>
        <v>0</v>
      </c>
      <c r="T135" s="152">
        <f>T54/T44</f>
        <v>0</v>
      </c>
      <c r="U135" s="152">
        <f>U54/U44</f>
        <v>0</v>
      </c>
      <c r="V135" s="152">
        <f>V54/V44</f>
        <v>0</v>
      </c>
      <c r="W135" s="152">
        <f>W54/W44</f>
        <v>0</v>
      </c>
      <c r="X135" s="152">
        <f>X54/X44</f>
        <v>0</v>
      </c>
      <c r="Y135" s="152">
        <f>Y54/Y44</f>
        <v>0</v>
      </c>
      <c r="Z135" s="152">
        <f>Z54/Z44</f>
        <v>0</v>
      </c>
      <c r="AA135" s="152">
        <f>AA54/AA44</f>
        <v>0</v>
      </c>
      <c r="AB135" s="152">
        <f>AB54/AB44</f>
        <v>0</v>
      </c>
      <c r="AC135" s="137" t="e">
        <f t="shared" si="277"/>
        <v>#DIV/0!</v>
      </c>
      <c r="AD135" s="20"/>
      <c r="AE135" s="20"/>
    </row>
    <row r="136" spans="2:31" x14ac:dyDescent="0.2">
      <c r="B136" s="20" t="str">
        <f>B55</f>
        <v>2nd highest Expenses Comp. ( Empl )</v>
      </c>
      <c r="C136" s="20"/>
      <c r="D136" s="20"/>
      <c r="E136" s="20"/>
      <c r="F136" s="20"/>
      <c r="G136" s="152">
        <f>G55/G44</f>
        <v>0</v>
      </c>
      <c r="H136" s="152">
        <f>H55/H44</f>
        <v>0</v>
      </c>
      <c r="I136" s="152">
        <f>I55/I44</f>
        <v>0</v>
      </c>
      <c r="J136" s="152">
        <f>J55/J44</f>
        <v>0</v>
      </c>
      <c r="K136" s="152">
        <f>K55/K44</f>
        <v>0</v>
      </c>
      <c r="L136" s="152">
        <f>L55/L44</f>
        <v>0</v>
      </c>
      <c r="M136" s="152">
        <f>M55/M44</f>
        <v>0</v>
      </c>
      <c r="N136" s="152">
        <f>N55/N44</f>
        <v>0</v>
      </c>
      <c r="O136" s="152">
        <f>O55/O44</f>
        <v>0</v>
      </c>
      <c r="P136" s="152">
        <f>P55/P44</f>
        <v>0</v>
      </c>
      <c r="Q136" s="118" t="e">
        <f t="shared" si="275"/>
        <v>#DIV/0!</v>
      </c>
      <c r="R136" s="20"/>
      <c r="S136" s="152">
        <f>S55/S44</f>
        <v>0</v>
      </c>
      <c r="T136" s="152">
        <f>T55/T44</f>
        <v>0</v>
      </c>
      <c r="U136" s="152">
        <f>U55/U44</f>
        <v>0</v>
      </c>
      <c r="V136" s="152">
        <f>V55/V44</f>
        <v>0</v>
      </c>
      <c r="W136" s="152">
        <f>W55/W44</f>
        <v>0</v>
      </c>
      <c r="X136" s="152">
        <f>X55/X44</f>
        <v>0</v>
      </c>
      <c r="Y136" s="152">
        <f>Y55/Y44</f>
        <v>0</v>
      </c>
      <c r="Z136" s="152">
        <f>Z55/Z44</f>
        <v>0</v>
      </c>
      <c r="AA136" s="152">
        <f>AA55/AA44</f>
        <v>0</v>
      </c>
      <c r="AB136" s="152">
        <f>AB55/AB44</f>
        <v>0</v>
      </c>
      <c r="AC136" s="137" t="e">
        <f t="shared" si="277"/>
        <v>#DIV/0!</v>
      </c>
      <c r="AD136" s="20"/>
      <c r="AE136" s="20"/>
    </row>
    <row r="137" spans="2:31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127"/>
      <c r="R137" s="127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38"/>
      <c r="AD137" s="20"/>
      <c r="AE137" s="20"/>
    </row>
    <row r="138" spans="2:31" x14ac:dyDescent="0.2">
      <c r="B138" s="108" t="s">
        <v>382</v>
      </c>
      <c r="C138" s="20"/>
      <c r="D138" s="20"/>
      <c r="E138" s="20"/>
      <c r="F138" s="20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127"/>
      <c r="R138" s="127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127"/>
      <c r="AD138" s="20"/>
      <c r="AE138" s="20"/>
    </row>
    <row r="139" spans="2:31" x14ac:dyDescent="0.2">
      <c r="B139" s="20" t="s">
        <v>383</v>
      </c>
      <c r="C139" s="20"/>
      <c r="D139" s="20"/>
      <c r="E139" s="20"/>
      <c r="F139" s="20"/>
      <c r="G139" s="20" t="e">
        <f>G17/G9</f>
        <v>#DIV/0!</v>
      </c>
      <c r="H139" s="20" t="e">
        <f>H17/H9</f>
        <v>#DIV/0!</v>
      </c>
      <c r="I139" s="20" t="e">
        <f>I17/I9</f>
        <v>#DIV/0!</v>
      </c>
      <c r="J139" s="20" t="e">
        <f>J17/J9</f>
        <v>#DIV/0!</v>
      </c>
      <c r="K139" s="20" t="e">
        <f>K17/K9</f>
        <v>#DIV/0!</v>
      </c>
      <c r="L139" s="20" t="e">
        <f>L17/L9</f>
        <v>#DIV/0!</v>
      </c>
      <c r="M139" s="20" t="e">
        <f>M17/M9</f>
        <v>#DIV/0!</v>
      </c>
      <c r="N139" s="20" t="e">
        <f>N17/N9</f>
        <v>#DIV/0!</v>
      </c>
      <c r="O139" s="20" t="e">
        <f>O17/O9</f>
        <v>#DIV/0!</v>
      </c>
      <c r="P139" s="20" t="e">
        <f>P17/P9</f>
        <v>#DIV/0!</v>
      </c>
      <c r="Q139" s="118" t="e">
        <f t="shared" si="275"/>
        <v>#DIV/0!</v>
      </c>
      <c r="R139" s="20"/>
      <c r="S139" s="20" t="e">
        <f>S17/S9</f>
        <v>#DIV/0!</v>
      </c>
      <c r="T139" s="20" t="e">
        <f>T17/T9</f>
        <v>#DIV/0!</v>
      </c>
      <c r="U139" s="20" t="e">
        <f>U17/U9</f>
        <v>#DIV/0!</v>
      </c>
      <c r="V139" s="20" t="e">
        <f>V17/V9</f>
        <v>#DIV/0!</v>
      </c>
      <c r="W139" s="20" t="e">
        <f>W17/W9</f>
        <v>#DIV/0!</v>
      </c>
      <c r="X139" s="20" t="e">
        <f>X17/X9</f>
        <v>#DIV/0!</v>
      </c>
      <c r="Y139" s="20" t="e">
        <f>Y17/Y9</f>
        <v>#DIV/0!</v>
      </c>
      <c r="Z139" s="20" t="e">
        <f>Z17/Z9</f>
        <v>#DIV/0!</v>
      </c>
      <c r="AA139" s="20" t="e">
        <f>AA17/AA9</f>
        <v>#DIV/0!</v>
      </c>
      <c r="AB139" s="20" t="e">
        <f>AB17/AB9</f>
        <v>#DIV/0!</v>
      </c>
      <c r="AC139" s="137" t="e">
        <f t="shared" si="277"/>
        <v>#DIV/0!</v>
      </c>
      <c r="AD139" s="20"/>
      <c r="AE139" s="20"/>
    </row>
    <row r="140" spans="2:31" x14ac:dyDescent="0.2">
      <c r="B140" s="20" t="s">
        <v>356</v>
      </c>
      <c r="C140" s="20"/>
      <c r="D140" s="20"/>
      <c r="E140" s="20"/>
      <c r="F140" s="20"/>
      <c r="G140" s="20" t="e">
        <f>G12/G9</f>
        <v>#DIV/0!</v>
      </c>
      <c r="H140" s="20" t="e">
        <f>H12/H9</f>
        <v>#DIV/0!</v>
      </c>
      <c r="I140" s="20" t="e">
        <f>I12/I9</f>
        <v>#DIV/0!</v>
      </c>
      <c r="J140" s="20" t="e">
        <f>J12/J9</f>
        <v>#DIV/0!</v>
      </c>
      <c r="K140" s="20" t="e">
        <f>K12/K9</f>
        <v>#DIV/0!</v>
      </c>
      <c r="L140" s="20" t="e">
        <f>L12/L9</f>
        <v>#DIV/0!</v>
      </c>
      <c r="M140" s="20" t="e">
        <f>M12/M9</f>
        <v>#DIV/0!</v>
      </c>
      <c r="N140" s="20" t="e">
        <f>N12/N9</f>
        <v>#DIV/0!</v>
      </c>
      <c r="O140" s="20" t="e">
        <f>O12/O9</f>
        <v>#DIV/0!</v>
      </c>
      <c r="P140" s="20" t="e">
        <f>P12/P9</f>
        <v>#DIV/0!</v>
      </c>
      <c r="Q140" s="118" t="e">
        <f t="shared" si="275"/>
        <v>#DIV/0!</v>
      </c>
      <c r="R140" s="127"/>
      <c r="S140" s="20" t="e">
        <f>S12/S9</f>
        <v>#DIV/0!</v>
      </c>
      <c r="T140" s="20" t="e">
        <f>T12/T9</f>
        <v>#DIV/0!</v>
      </c>
      <c r="U140" s="20" t="e">
        <f>U12/U9</f>
        <v>#DIV/0!</v>
      </c>
      <c r="V140" s="20" t="e">
        <f>V12/V9</f>
        <v>#DIV/0!</v>
      </c>
      <c r="W140" s="20" t="e">
        <f>W12/W9</f>
        <v>#DIV/0!</v>
      </c>
      <c r="X140" s="20" t="e">
        <f>X12/X9</f>
        <v>#DIV/0!</v>
      </c>
      <c r="Y140" s="20" t="e">
        <f>Y12/Y9</f>
        <v>#DIV/0!</v>
      </c>
      <c r="Z140" s="20" t="e">
        <f>Z12/Z9</f>
        <v>#DIV/0!</v>
      </c>
      <c r="AA140" s="20" t="e">
        <f>AA12/AA9</f>
        <v>#DIV/0!</v>
      </c>
      <c r="AB140" s="20" t="e">
        <f>AB12/AB9</f>
        <v>#DIV/0!</v>
      </c>
      <c r="AC140" s="118" t="e">
        <f t="shared" ref="AC140" si="294">((AB140/S140)^(1/($H$2-$H$1) ))-1</f>
        <v>#DIV/0!</v>
      </c>
      <c r="AD140" s="20"/>
      <c r="AE140" s="20"/>
    </row>
    <row r="141" spans="2:31" x14ac:dyDescent="0.2">
      <c r="B141" s="20" t="s">
        <v>358</v>
      </c>
      <c r="C141" s="20"/>
      <c r="D141" s="20"/>
      <c r="E141" s="20"/>
      <c r="F141" s="20"/>
      <c r="G141" s="25">
        <f>G44/360</f>
        <v>3.6333333333333333</v>
      </c>
      <c r="H141" s="25">
        <f>H44/360</f>
        <v>3.5944444444444446</v>
      </c>
      <c r="I141" s="25">
        <f>I44/360</f>
        <v>3.6888888888888891</v>
      </c>
      <c r="J141" s="25">
        <f>J44/360</f>
        <v>4.9555555555555557</v>
      </c>
      <c r="K141" s="25">
        <f>K44/360</f>
        <v>6.1583333333333332</v>
      </c>
      <c r="L141" s="25">
        <f>L44/360</f>
        <v>7.6805555555555554</v>
      </c>
      <c r="M141" s="25">
        <f>M44/360</f>
        <v>9.0555555555555554</v>
      </c>
      <c r="N141" s="25">
        <f>N44/360</f>
        <v>11.952777777777778</v>
      </c>
      <c r="O141" s="25">
        <f>O44/360</f>
        <v>17.694444444444443</v>
      </c>
      <c r="P141" s="25">
        <f>P44/360</f>
        <v>23.183333333333334</v>
      </c>
      <c r="Q141" s="118">
        <f t="shared" si="275"/>
        <v>0.22865533485166978</v>
      </c>
      <c r="R141" s="127"/>
      <c r="S141" s="25">
        <f>S44/360</f>
        <v>25.965333333333334</v>
      </c>
      <c r="T141" s="25">
        <f>T44/360</f>
        <v>29.081173333333339</v>
      </c>
      <c r="U141" s="25">
        <f>U44/360</f>
        <v>32.570914133333339</v>
      </c>
      <c r="V141" s="25">
        <f>V44/360</f>
        <v>36.479423829333349</v>
      </c>
      <c r="W141" s="25">
        <f>W44/360</f>
        <v>40.856954688853349</v>
      </c>
      <c r="X141" s="25">
        <f>X44/360</f>
        <v>45.759789251515755</v>
      </c>
      <c r="Y141" s="25">
        <f>Y44/360</f>
        <v>51.25096396169765</v>
      </c>
      <c r="Z141" s="25">
        <f>Z44/360</f>
        <v>57.401079637101375</v>
      </c>
      <c r="AA141" s="25">
        <f>AA44/360</f>
        <v>64.289209193553546</v>
      </c>
      <c r="AB141" s="25">
        <f>AB44/360</f>
        <v>72.003914296779982</v>
      </c>
      <c r="AC141" s="118">
        <f t="shared" ref="AC141:AC148" si="295">((AB141/S141)^(1/($H$2-$H$1) ))-1</f>
        <v>0.12000000000000011</v>
      </c>
      <c r="AD141" s="20"/>
      <c r="AE141" s="20"/>
    </row>
    <row r="142" spans="2:31" x14ac:dyDescent="0.2">
      <c r="B142" s="20" t="s">
        <v>357</v>
      </c>
      <c r="C142" s="20"/>
      <c r="D142" s="20"/>
      <c r="E142" s="20"/>
      <c r="F142" s="20"/>
      <c r="G142" s="25">
        <f>G46/360</f>
        <v>2.9694444444444446</v>
      </c>
      <c r="H142" s="25">
        <f>H46/360</f>
        <v>3.0111111111111111</v>
      </c>
      <c r="I142" s="25">
        <f>I46/360</f>
        <v>3.5861111111111112</v>
      </c>
      <c r="J142" s="25">
        <f>J46/360</f>
        <v>4.7666666666666666</v>
      </c>
      <c r="K142" s="25">
        <f>K46/360</f>
        <v>5.95</v>
      </c>
      <c r="L142" s="25">
        <f>L46/360</f>
        <v>7.2694444444444448</v>
      </c>
      <c r="M142" s="25">
        <f>M46/360</f>
        <v>8.0833333333333339</v>
      </c>
      <c r="N142" s="25">
        <f>N46/360</f>
        <v>10.347222222222221</v>
      </c>
      <c r="O142" s="25">
        <f>O46/360</f>
        <v>15.466666666666667</v>
      </c>
      <c r="P142" s="25">
        <f>P46/360</f>
        <v>20.236111111111111</v>
      </c>
      <c r="Q142" s="118">
        <f t="shared" si="275"/>
        <v>0.23767255644243712</v>
      </c>
      <c r="R142" s="127"/>
      <c r="S142" s="25">
        <f>S46/360</f>
        <v>22.664444444444445</v>
      </c>
      <c r="T142" s="25">
        <f>T46/360</f>
        <v>25.384177777777783</v>
      </c>
      <c r="U142" s="25">
        <f>U46/360</f>
        <v>28.430279111111123</v>
      </c>
      <c r="V142" s="25">
        <f>V46/360</f>
        <v>31.84191260444446</v>
      </c>
      <c r="W142" s="25">
        <f>W46/360</f>
        <v>35.662942116977803</v>
      </c>
      <c r="X142" s="25">
        <f>X46/360</f>
        <v>39.942495171015139</v>
      </c>
      <c r="Y142" s="25">
        <f>Y46/360</f>
        <v>44.735594591536966</v>
      </c>
      <c r="Z142" s="25">
        <f>Z46/360</f>
        <v>50.103865942521409</v>
      </c>
      <c r="AA142" s="25">
        <f>AA46/360</f>
        <v>56.116329855623981</v>
      </c>
      <c r="AB142" s="25">
        <f>AB46/360</f>
        <v>62.850289438298859</v>
      </c>
      <c r="AC142" s="118">
        <f t="shared" si="295"/>
        <v>0.12000000000000011</v>
      </c>
      <c r="AD142" s="20"/>
      <c r="AE142" s="20"/>
    </row>
    <row r="143" spans="2:31" x14ac:dyDescent="0.2">
      <c r="B143" s="20"/>
      <c r="C143" s="20"/>
      <c r="D143" s="20"/>
      <c r="E143" s="20"/>
      <c r="F143" s="20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127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127"/>
      <c r="AD143" s="20"/>
      <c r="AE143" s="20"/>
    </row>
    <row r="144" spans="2:31" x14ac:dyDescent="0.2">
      <c r="B144" s="20" t="s">
        <v>384</v>
      </c>
      <c r="C144" s="20"/>
      <c r="D144" s="20"/>
      <c r="E144" s="20"/>
      <c r="F144" s="20"/>
      <c r="G144" s="25">
        <f>G10/G7</f>
        <v>16.887499999999999</v>
      </c>
      <c r="H144" s="25">
        <f>H10/H7</f>
        <v>16.554885404101327</v>
      </c>
      <c r="I144" s="25">
        <f>I10/I7</f>
        <v>17.945727482678983</v>
      </c>
      <c r="J144" s="25">
        <f>J10/J7</f>
        <v>17.269886363636363</v>
      </c>
      <c r="K144" s="25">
        <f>K10/K7</f>
        <v>14.923647146034099</v>
      </c>
      <c r="L144" s="25">
        <f>L10/L7</f>
        <v>14.420673076923077</v>
      </c>
      <c r="M144" s="25">
        <f>M10/M7</f>
        <v>13.201501877346683</v>
      </c>
      <c r="N144" s="25">
        <f>N10/N7</f>
        <v>9.8493827160493819</v>
      </c>
      <c r="O144" s="25">
        <f>O10/O7</f>
        <v>10.766294030795191</v>
      </c>
      <c r="P144" s="25">
        <f>P10/P7</f>
        <v>8.3323722149410226</v>
      </c>
      <c r="Q144" s="118">
        <f t="shared" si="275"/>
        <v>-7.5490288030281905E-2</v>
      </c>
      <c r="R144" s="127"/>
      <c r="S144" s="25">
        <f>S10/S7</f>
        <v>8.3323722149410226</v>
      </c>
      <c r="T144" s="25">
        <f>T10/T7</f>
        <v>8.3323722149410226</v>
      </c>
      <c r="U144" s="25">
        <f>U10/U7</f>
        <v>8.3323722149410226</v>
      </c>
      <c r="V144" s="25">
        <f>V10/V7</f>
        <v>8.3323722149410226</v>
      </c>
      <c r="W144" s="25">
        <f>W10/W7</f>
        <v>8.3323722149410226</v>
      </c>
      <c r="X144" s="25">
        <f>X10/X7</f>
        <v>8.3323722149410226</v>
      </c>
      <c r="Y144" s="25">
        <f>Y10/Y7</f>
        <v>8.3323722149410226</v>
      </c>
      <c r="Z144" s="25">
        <f>Z10/Z7</f>
        <v>8.3323722149410226</v>
      </c>
      <c r="AA144" s="25">
        <f>AA10/AA7</f>
        <v>8.3323722149410244</v>
      </c>
      <c r="AB144" s="25">
        <f>AB10/AB7</f>
        <v>8.3323722149410226</v>
      </c>
      <c r="AC144" s="118">
        <f t="shared" si="295"/>
        <v>0</v>
      </c>
      <c r="AD144" s="20"/>
      <c r="AE144" s="20"/>
    </row>
    <row r="145" spans="2:31" x14ac:dyDescent="0.2">
      <c r="B145" s="20" t="s">
        <v>359</v>
      </c>
      <c r="C145" s="20"/>
      <c r="D145" s="20"/>
      <c r="E145" s="20"/>
      <c r="F145" s="20"/>
      <c r="G145" s="25">
        <f>G10/(G10+G7)</f>
        <v>0.94409503843466103</v>
      </c>
      <c r="H145" s="25">
        <f>H10/(H10+H7)</f>
        <v>0.94303580017865729</v>
      </c>
      <c r="I145" s="25">
        <f>I10/(I10+I7)</f>
        <v>0.94721765100262079</v>
      </c>
      <c r="J145" s="25">
        <f>J10/(J10+J7)</f>
        <v>0.94526512206499769</v>
      </c>
      <c r="K145" s="25">
        <f>K10/(K10+K7)</f>
        <v>0.93720031655881941</v>
      </c>
      <c r="L145" s="25">
        <f>L10/(L10+L7)</f>
        <v>0.93515198752922835</v>
      </c>
      <c r="M145" s="25">
        <f>M10/(M10+M7)</f>
        <v>0.92958491231162421</v>
      </c>
      <c r="N145" s="25">
        <f>N10/(N10+N7)</f>
        <v>0.90782885753299958</v>
      </c>
      <c r="O145" s="25">
        <f>O10/(O10+O7)</f>
        <v>0.91501147282374873</v>
      </c>
      <c r="P145" s="25">
        <f>P10/(P10+P7)</f>
        <v>0.89284610847400503</v>
      </c>
      <c r="Q145" s="118">
        <f t="shared" si="275"/>
        <v>-6.1822112592796463E-3</v>
      </c>
      <c r="R145" s="127"/>
      <c r="S145" s="25">
        <f>S10/(S10+S7)</f>
        <v>0.89284610847400492</v>
      </c>
      <c r="T145" s="25">
        <f>T10/(T10+T7)</f>
        <v>0.89284610847400503</v>
      </c>
      <c r="U145" s="25">
        <f>U10/(U10+U7)</f>
        <v>0.89284610847400503</v>
      </c>
      <c r="V145" s="25">
        <f>V10/(V10+V7)</f>
        <v>0.89284610847400503</v>
      </c>
      <c r="W145" s="25">
        <f>W10/(W10+W7)</f>
        <v>0.89284610847400503</v>
      </c>
      <c r="X145" s="25">
        <f>X10/(X10+X7)</f>
        <v>0.89284610847400492</v>
      </c>
      <c r="Y145" s="25">
        <f>Y10/(Y10+Y7)</f>
        <v>0.89284610847400503</v>
      </c>
      <c r="Z145" s="25">
        <f>Z10/(Z10+Z7)</f>
        <v>0.89284610847400492</v>
      </c>
      <c r="AA145" s="25">
        <f>AA10/(AA10+AA7)</f>
        <v>0.89284610847400503</v>
      </c>
      <c r="AB145" s="25">
        <f>AB10/(AB10+AB7)</f>
        <v>0.89284610847400503</v>
      </c>
      <c r="AC145" s="118">
        <f t="shared" si="295"/>
        <v>0</v>
      </c>
      <c r="AD145" s="20"/>
      <c r="AE145" s="20"/>
    </row>
    <row r="146" spans="2:31" x14ac:dyDescent="0.2">
      <c r="B146" s="20"/>
      <c r="C146" s="20"/>
      <c r="D146" s="20"/>
      <c r="E146" s="20"/>
      <c r="F146" s="20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127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127"/>
      <c r="AD146" s="20"/>
      <c r="AE146" s="20"/>
    </row>
    <row r="147" spans="2:31" x14ac:dyDescent="0.2">
      <c r="B147" s="20" t="s">
        <v>385</v>
      </c>
      <c r="C147" s="20"/>
      <c r="D147" s="20"/>
      <c r="E147" s="20"/>
      <c r="F147" s="20"/>
      <c r="G147" s="25">
        <f>G18</f>
        <v>0</v>
      </c>
      <c r="H147" s="25">
        <f>H18</f>
        <v>0</v>
      </c>
      <c r="I147" s="25">
        <f>I18</f>
        <v>0</v>
      </c>
      <c r="J147" s="25">
        <f>J18</f>
        <v>0</v>
      </c>
      <c r="K147" s="25">
        <f>K18</f>
        <v>0</v>
      </c>
      <c r="L147" s="25">
        <f>L18</f>
        <v>0</v>
      </c>
      <c r="M147" s="25">
        <f>M18</f>
        <v>0</v>
      </c>
      <c r="N147" s="25">
        <f>N18</f>
        <v>0</v>
      </c>
      <c r="O147" s="25">
        <f>O18</f>
        <v>0</v>
      </c>
      <c r="P147" s="25">
        <f>P18</f>
        <v>0</v>
      </c>
      <c r="Q147" s="118" t="e">
        <f t="shared" si="275"/>
        <v>#DIV/0!</v>
      </c>
      <c r="R147" s="127"/>
      <c r="S147" s="25">
        <f>S18</f>
        <v>0</v>
      </c>
      <c r="T147" s="25">
        <f>T18</f>
        <v>0</v>
      </c>
      <c r="U147" s="25">
        <f>U18</f>
        <v>0</v>
      </c>
      <c r="V147" s="25">
        <f>V18</f>
        <v>0</v>
      </c>
      <c r="W147" s="25">
        <f>W18</f>
        <v>0</v>
      </c>
      <c r="X147" s="25">
        <f>X18</f>
        <v>0</v>
      </c>
      <c r="Y147" s="25">
        <f>Y18</f>
        <v>0</v>
      </c>
      <c r="Z147" s="25">
        <f>Z18</f>
        <v>0</v>
      </c>
      <c r="AA147" s="25">
        <f>AA18</f>
        <v>0</v>
      </c>
      <c r="AB147" s="25">
        <f>AB18</f>
        <v>0</v>
      </c>
      <c r="AC147" s="118" t="e">
        <f t="shared" si="295"/>
        <v>#DIV/0!</v>
      </c>
      <c r="AD147" s="20"/>
      <c r="AE147" s="20"/>
    </row>
    <row r="148" spans="2:31" x14ac:dyDescent="0.2">
      <c r="B148" s="20" t="s">
        <v>386</v>
      </c>
      <c r="C148" s="20"/>
      <c r="D148" s="20"/>
      <c r="E148" s="20"/>
      <c r="F148" s="20"/>
      <c r="G148" s="119">
        <f>G147*365/G48</f>
        <v>0</v>
      </c>
      <c r="H148" s="119">
        <f>H147*365/H48</f>
        <v>0</v>
      </c>
      <c r="I148" s="119">
        <f>I147*365/I48</f>
        <v>0</v>
      </c>
      <c r="J148" s="119">
        <f>J147*365/J48</f>
        <v>0</v>
      </c>
      <c r="K148" s="119">
        <f>K147*365/K48</f>
        <v>0</v>
      </c>
      <c r="L148" s="119">
        <f>L147*365/L48</f>
        <v>0</v>
      </c>
      <c r="M148" s="119">
        <f>M147*365/M48</f>
        <v>0</v>
      </c>
      <c r="N148" s="119">
        <f>N147*365/N48</f>
        <v>0</v>
      </c>
      <c r="O148" s="119">
        <f>O147*365/O48</f>
        <v>0</v>
      </c>
      <c r="P148" s="119">
        <f>P147*365/P48</f>
        <v>0</v>
      </c>
      <c r="Q148" s="118" t="e">
        <f t="shared" si="275"/>
        <v>#DIV/0!</v>
      </c>
      <c r="R148" s="127"/>
      <c r="S148" s="119">
        <f>S147*365/S48</f>
        <v>0</v>
      </c>
      <c r="T148" s="119">
        <f>T147*365/T48</f>
        <v>0</v>
      </c>
      <c r="U148" s="119">
        <f>U147*365/U48</f>
        <v>0</v>
      </c>
      <c r="V148" s="119">
        <f>V147*365/V48</f>
        <v>0</v>
      </c>
      <c r="W148" s="119">
        <f>W147*365/W48</f>
        <v>0</v>
      </c>
      <c r="X148" s="119">
        <f>X147*365/X48</f>
        <v>0</v>
      </c>
      <c r="Y148" s="119">
        <f>Y147*365/Y48</f>
        <v>0</v>
      </c>
      <c r="Z148" s="119">
        <f>Z147*365/Z48</f>
        <v>0</v>
      </c>
      <c r="AA148" s="119">
        <f>AA147*365/AA48</f>
        <v>0</v>
      </c>
      <c r="AB148" s="119">
        <f>AB147*365/AB48</f>
        <v>0</v>
      </c>
      <c r="AC148" s="118" t="e">
        <f t="shared" si="295"/>
        <v>#DIV/0!</v>
      </c>
      <c r="AD148" s="20"/>
      <c r="AE148" s="20"/>
    </row>
    <row r="149" spans="2:31" x14ac:dyDescent="0.2">
      <c r="B149" s="20" t="s">
        <v>387</v>
      </c>
      <c r="C149" s="20"/>
      <c r="D149" s="20"/>
      <c r="E149" s="20"/>
      <c r="F149" s="20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118" t="e">
        <f t="shared" si="275"/>
        <v>#DIV/0!</v>
      </c>
      <c r="R149" s="127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127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127"/>
      <c r="AD150" s="20"/>
      <c r="AE150" s="20"/>
    </row>
    <row r="151" spans="2:31" x14ac:dyDescent="0.2">
      <c r="B151" s="20" t="s">
        <v>388</v>
      </c>
      <c r="C151" s="20"/>
      <c r="D151" s="20"/>
      <c r="E151" s="20"/>
      <c r="F151" s="20"/>
      <c r="G151" s="25">
        <f>G48/G44</f>
        <v>0.24617737003058104</v>
      </c>
      <c r="H151" s="25">
        <f>H48/H44</f>
        <v>0.12364760432766615</v>
      </c>
      <c r="I151" s="25">
        <f>I48/I44</f>
        <v>0.1052710843373494</v>
      </c>
      <c r="J151" s="25">
        <f>J48/J44</f>
        <v>0.15919282511210761</v>
      </c>
      <c r="K151" s="25">
        <f>K48/K44</f>
        <v>0.13396481732070364</v>
      </c>
      <c r="L151" s="25">
        <f>L48/L44</f>
        <v>0.16491862567811935</v>
      </c>
      <c r="M151" s="25">
        <f>M48/M44</f>
        <v>0.16963190184049079</v>
      </c>
      <c r="N151" s="25">
        <f>N48/N44</f>
        <v>0.16569834998838021</v>
      </c>
      <c r="O151" s="25">
        <f>O48/O44</f>
        <v>0.15871271585557301</v>
      </c>
      <c r="P151" s="25">
        <f>P48/P44</f>
        <v>0.16319194823867722</v>
      </c>
      <c r="Q151" s="118">
        <f t="shared" si="275"/>
        <v>-4.4652926179433283E-2</v>
      </c>
      <c r="R151" s="127"/>
      <c r="S151" s="25">
        <f>S48/S44</f>
        <v>0.16027780630584368</v>
      </c>
      <c r="T151" s="25">
        <f>T48/T44</f>
        <v>0.15741570262181076</v>
      </c>
      <c r="U151" s="25">
        <f>U48/U44</f>
        <v>0.15460470793213557</v>
      </c>
      <c r="V151" s="25">
        <f>V48/V44</f>
        <v>0.15184390957620456</v>
      </c>
      <c r="W151" s="25">
        <f>W48/W44</f>
        <v>0.14913241119091522</v>
      </c>
      <c r="X151" s="25">
        <f>X48/X44</f>
        <v>0.14646933241964885</v>
      </c>
      <c r="Y151" s="25">
        <f>Y48/Y44</f>
        <v>0.14385380862644084</v>
      </c>
      <c r="Z151" s="25">
        <f>Z48/Z44</f>
        <v>0.1412849906152544</v>
      </c>
      <c r="AA151" s="25">
        <f>AA48/AA44</f>
        <v>0.1387620443542677</v>
      </c>
      <c r="AB151" s="25">
        <f>AB48/AB44</f>
        <v>0.13628415070508434</v>
      </c>
      <c r="AC151" s="118">
        <f t="shared" ref="AC151:AC152" si="296">((AB151/S151)^(1/($H$2-$H$1) ))-1</f>
        <v>-1.7857142857142905E-2</v>
      </c>
      <c r="AD151" s="20"/>
      <c r="AE151" s="20"/>
    </row>
    <row r="152" spans="2:31" x14ac:dyDescent="0.2">
      <c r="B152" s="20" t="s">
        <v>389</v>
      </c>
      <c r="C152" s="20"/>
      <c r="D152" s="20"/>
      <c r="E152" s="20"/>
      <c r="F152" s="20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118" t="e">
        <f t="shared" si="275"/>
        <v>#DIV/0!</v>
      </c>
      <c r="R152" s="127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118" t="e">
        <f t="shared" si="296"/>
        <v>#DIV/0!</v>
      </c>
      <c r="AD152" s="20"/>
      <c r="AE152" s="20"/>
    </row>
    <row r="153" spans="2:31" x14ac:dyDescent="0.2">
      <c r="B153" s="20"/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127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127"/>
      <c r="AD153" s="20"/>
      <c r="AE153" s="20"/>
    </row>
    <row r="154" spans="2:31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127"/>
      <c r="R154" s="127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38"/>
      <c r="AD154" s="20"/>
      <c r="AE154" s="20"/>
    </row>
    <row r="155" spans="2:31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127"/>
      <c r="R155" s="127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38"/>
      <c r="AD155" s="20"/>
      <c r="AE155" s="20"/>
    </row>
    <row r="156" spans="2:31" x14ac:dyDescent="0.2">
      <c r="B156" s="108" t="s">
        <v>244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3"/>
      <c r="R156" s="23"/>
      <c r="S156" s="121" t="s">
        <v>66</v>
      </c>
      <c r="T156" s="20"/>
      <c r="U156" s="20"/>
      <c r="V156" s="20"/>
      <c r="W156" s="20"/>
      <c r="X156" s="20"/>
      <c r="Y156" s="20"/>
      <c r="Z156" s="20"/>
      <c r="AA156" s="20"/>
      <c r="AB156" s="20"/>
      <c r="AC156" s="136"/>
      <c r="AD156" s="20"/>
      <c r="AE156" s="20"/>
    </row>
    <row r="157" spans="2:31" x14ac:dyDescent="0.2">
      <c r="B157" s="23" t="s">
        <v>281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5"/>
      <c r="Q157" s="160">
        <f>AVERAGE(G81:P81)</f>
        <v>8.6548924759302359</v>
      </c>
      <c r="R157" s="23"/>
      <c r="S157" s="133"/>
      <c r="T157" s="20"/>
      <c r="U157" s="20"/>
      <c r="V157" s="20"/>
      <c r="W157" s="20"/>
      <c r="X157" s="20"/>
      <c r="Y157" s="20"/>
      <c r="Z157" s="20"/>
      <c r="AA157" s="20"/>
      <c r="AB157" s="20"/>
      <c r="AC157" s="136"/>
      <c r="AD157" s="20"/>
      <c r="AE157" s="20"/>
    </row>
    <row r="158" spans="2:31" x14ac:dyDescent="0.2">
      <c r="B158" s="20" t="s">
        <v>25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39">
        <f>S158+T158</f>
        <v>29.28450237851834</v>
      </c>
      <c r="S158" s="132">
        <f>PV($C$1, ($AB$3-$S$3), 0, -AB81)</f>
        <v>4.080627380613211</v>
      </c>
      <c r="T158" s="132">
        <f>PV($C$1, ($AB$3-$S$3), 0, -AE81)</f>
        <v>25.203874997905128</v>
      </c>
      <c r="U158" s="20"/>
      <c r="V158" s="20"/>
      <c r="W158" s="20"/>
      <c r="X158" s="20"/>
      <c r="Y158" s="20"/>
      <c r="Z158" s="20"/>
      <c r="AA158" s="20"/>
      <c r="AB158" s="20"/>
      <c r="AC158" s="136"/>
      <c r="AD158" s="20"/>
      <c r="AE158" s="20"/>
    </row>
    <row r="159" spans="2:31" x14ac:dyDescent="0.2">
      <c r="B159" s="20" t="s">
        <v>273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39">
        <f t="shared" ref="R159:R177" si="297">S159+T159</f>
        <v>210.59448930074919</v>
      </c>
      <c r="S159" s="132">
        <f>PV($C$1, ($AB$3-$S$3), 0, -AB82)</f>
        <v>29.34513375502242</v>
      </c>
      <c r="T159" s="132">
        <f>PV($C$1, ($AB$3-$S$3), 0, -AE82)</f>
        <v>181.24935554572676</v>
      </c>
      <c r="U159" s="20"/>
      <c r="V159" s="20"/>
      <c r="W159" s="20"/>
      <c r="X159" s="20"/>
      <c r="Y159" s="20"/>
      <c r="Z159" s="20"/>
      <c r="AA159" s="20"/>
      <c r="AB159" s="20"/>
      <c r="AC159" s="136"/>
      <c r="AD159" s="20"/>
      <c r="AE159" s="20"/>
    </row>
    <row r="160" spans="2:31" x14ac:dyDescent="0.2">
      <c r="B160" s="20" t="s">
        <v>274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39">
        <f t="shared" si="297"/>
        <v>195.85563513474659</v>
      </c>
      <c r="S160" s="132">
        <f>PV($C$1, ($AB$3-$S$3), 0, -AB83)</f>
        <v>27.291358994185995</v>
      </c>
      <c r="T160" s="132">
        <f>PV($C$1, ($AB$3-$S$3), 0, -AE83)</f>
        <v>168.56427614056059</v>
      </c>
      <c r="U160" s="20"/>
      <c r="V160" s="20"/>
      <c r="W160" s="20"/>
      <c r="X160" s="20"/>
      <c r="Y160" s="20"/>
      <c r="Z160" s="20"/>
      <c r="AA160" s="20"/>
      <c r="AB160" s="20"/>
      <c r="AC160" s="136"/>
      <c r="AD160" s="20"/>
      <c r="AE160" s="20"/>
    </row>
    <row r="161" spans="2:31" x14ac:dyDescent="0.2">
      <c r="B161" s="20" t="s">
        <v>275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39">
        <f t="shared" si="297"/>
        <v>1754.751671269257</v>
      </c>
      <c r="S161" s="132">
        <f>PV($C$1, ($AB$3-$S$3), 0, -AB84)</f>
        <v>244.51457714407678</v>
      </c>
      <c r="T161" s="132">
        <f>PV($C$1, ($AB$3-$S$3), 0, -AE84)</f>
        <v>1510.2370941251802</v>
      </c>
      <c r="U161" s="20"/>
      <c r="V161" s="20"/>
      <c r="W161" s="20"/>
      <c r="X161" s="20"/>
      <c r="Y161" s="20"/>
      <c r="Z161" s="20"/>
      <c r="AA161" s="20"/>
      <c r="AB161" s="20"/>
      <c r="AC161" s="136"/>
      <c r="AD161" s="20"/>
      <c r="AE161" s="20"/>
    </row>
    <row r="162" spans="2:31" x14ac:dyDescent="0.2">
      <c r="B162" s="20" t="s">
        <v>276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39">
        <f t="shared" si="297"/>
        <v>0</v>
      </c>
      <c r="S162" s="132">
        <f>PV($C$1, ($AB$3-$S$3), 0, -AB90)</f>
        <v>0</v>
      </c>
      <c r="T162" s="132">
        <f>PV($C$1, ($AB$3-$S$3), 0, -AE90)</f>
        <v>0</v>
      </c>
      <c r="U162" s="20"/>
      <c r="V162" s="20"/>
      <c r="W162" s="20"/>
      <c r="X162" s="20"/>
      <c r="Y162" s="20"/>
      <c r="Z162" s="20"/>
      <c r="AA162" s="20"/>
      <c r="AB162" s="20"/>
      <c r="AC162" s="136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39"/>
      <c r="S163" s="132"/>
      <c r="T163" s="20"/>
      <c r="U163" s="20"/>
      <c r="V163" s="20"/>
      <c r="W163" s="20"/>
      <c r="X163" s="20"/>
      <c r="Y163" s="20"/>
      <c r="Z163" s="20"/>
      <c r="AA163" s="20"/>
      <c r="AB163" s="20"/>
      <c r="AC163" s="136"/>
      <c r="AD163" s="20"/>
      <c r="AE163" s="20"/>
    </row>
    <row r="164" spans="2:31" x14ac:dyDescent="0.2">
      <c r="B164" s="20" t="s">
        <v>271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39">
        <f t="shared" si="297"/>
        <v>-1544.1571819685078</v>
      </c>
      <c r="S164" s="132">
        <f>PV($C$1, ($AB$3-$S$3), 0, -AB86)</f>
        <v>-215.16944338905432</v>
      </c>
      <c r="T164" s="132">
        <f>PV($C$1, ($AB$3-$S$3), 0, -$AE$86)</f>
        <v>-1328.9877385794534</v>
      </c>
      <c r="U164" s="20"/>
      <c r="V164" s="20"/>
      <c r="W164" s="20"/>
      <c r="X164" s="20"/>
      <c r="Y164" s="20"/>
      <c r="Z164" s="20"/>
      <c r="AA164" s="20"/>
      <c r="AB164" s="20"/>
      <c r="AC164" s="136"/>
      <c r="AD164" s="20"/>
      <c r="AE164" s="20"/>
    </row>
    <row r="165" spans="2:31" x14ac:dyDescent="0.2">
      <c r="B165" s="20" t="s">
        <v>272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39">
        <f t="shared" si="297"/>
        <v>-1544.1571819685078</v>
      </c>
      <c r="S165" s="132">
        <f>PV($C$1, ($AB$3-$S$3), 0, -AB87)</f>
        <v>-215.16944338905432</v>
      </c>
      <c r="T165" s="132">
        <f>PV($C$1, ($AB$3-$S$3), 0, -$AE$87)</f>
        <v>-1328.9877385794534</v>
      </c>
      <c r="U165" s="20"/>
      <c r="V165" s="20"/>
      <c r="W165" s="20"/>
      <c r="X165" s="20"/>
      <c r="Y165" s="20"/>
      <c r="Z165" s="20"/>
      <c r="AA165" s="20"/>
      <c r="AB165" s="20"/>
      <c r="AC165" s="136"/>
      <c r="AD165" s="20"/>
      <c r="AE165" s="20"/>
    </row>
    <row r="166" spans="2:31" x14ac:dyDescent="0.2">
      <c r="B166" s="20" t="s">
        <v>277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39">
        <f t="shared" si="297"/>
        <v>-1544.1571819685078</v>
      </c>
      <c r="S166" s="132">
        <f>PV($C$1, ($AB$3-$S$3), 0, -AB88)</f>
        <v>-215.16944338905432</v>
      </c>
      <c r="T166" s="132">
        <f>PV($C$1, ($AB$3-$S$3), 0, -$AE$88)</f>
        <v>-1328.9877385794534</v>
      </c>
      <c r="U166" s="20"/>
      <c r="V166" s="20"/>
      <c r="W166" s="20"/>
      <c r="X166" s="20"/>
      <c r="Y166" s="20"/>
      <c r="Z166" s="20"/>
      <c r="AA166" s="20"/>
      <c r="AB166" s="20"/>
      <c r="AC166" s="136"/>
      <c r="AD166" s="20"/>
      <c r="AE166" s="20"/>
    </row>
    <row r="167" spans="2:31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39"/>
      <c r="S167" s="132"/>
      <c r="T167" s="20"/>
      <c r="U167" s="20"/>
      <c r="V167" s="20"/>
      <c r="W167" s="20"/>
      <c r="X167" s="20"/>
      <c r="Y167" s="20"/>
      <c r="Z167" s="20"/>
      <c r="AA167" s="20"/>
      <c r="AB167" s="20"/>
      <c r="AC167" s="136"/>
      <c r="AD167" s="20"/>
      <c r="AE167" s="20"/>
    </row>
    <row r="168" spans="2:31" x14ac:dyDescent="0.2">
      <c r="B168" s="20" t="s">
        <v>249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39">
        <f t="shared" si="297"/>
        <v>0</v>
      </c>
      <c r="S168" s="132">
        <f>PV($C$1, ($AB$3-$S$3), 0, -AB93)</f>
        <v>0</v>
      </c>
      <c r="T168" s="132">
        <f>PV($C$1, ($AB$3-$S$3), 0, -AE93)</f>
        <v>0</v>
      </c>
      <c r="U168" s="20"/>
      <c r="V168" s="20"/>
      <c r="W168" s="20"/>
      <c r="X168" s="20"/>
      <c r="Y168" s="20"/>
      <c r="Z168" s="20"/>
      <c r="AA168" s="20"/>
      <c r="AB168" s="20"/>
      <c r="AC168" s="136"/>
      <c r="AD168" s="20"/>
      <c r="AE168" s="20"/>
    </row>
    <row r="169" spans="2:31" x14ac:dyDescent="0.2">
      <c r="B169" s="20" t="s">
        <v>250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39">
        <f t="shared" si="297"/>
        <v>0</v>
      </c>
      <c r="S169" s="132">
        <f>PV($C$1, ($AB$3-$S$3), 0, -AB94)</f>
        <v>0</v>
      </c>
      <c r="T169" s="132">
        <f>PV($C$1, ($AB$3-$S$3), 0, -AE94)</f>
        <v>0</v>
      </c>
      <c r="U169" s="20"/>
      <c r="V169" s="20"/>
      <c r="W169" s="20"/>
      <c r="X169" s="20"/>
      <c r="Y169" s="20"/>
      <c r="Z169" s="20"/>
      <c r="AA169" s="20"/>
      <c r="AB169" s="20"/>
      <c r="AC169" s="136"/>
      <c r="AD169" s="20"/>
      <c r="AE169" s="20"/>
    </row>
    <row r="170" spans="2:31" x14ac:dyDescent="0.2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39"/>
      <c r="S170" s="132"/>
      <c r="T170" s="132"/>
      <c r="U170" s="20"/>
      <c r="V170" s="20"/>
      <c r="W170" s="20"/>
      <c r="X170" s="20"/>
      <c r="Y170" s="20"/>
      <c r="Z170" s="20"/>
      <c r="AA170" s="20"/>
      <c r="AB170" s="20"/>
      <c r="AC170" s="136"/>
      <c r="AD170" s="20"/>
      <c r="AE170" s="20"/>
    </row>
    <row r="171" spans="2:31" x14ac:dyDescent="0.2">
      <c r="B171" s="20" t="s">
        <v>294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39">
        <f t="shared" ref="R171" si="298">S171+T171</f>
        <v>0</v>
      </c>
      <c r="S171" s="132">
        <f>PV($C$1, ($AB$3-$S$3), 0, -AB12)</f>
        <v>0</v>
      </c>
      <c r="T171" s="132">
        <f>PV($C$1, ($AB$3-$S$3), 0, -AE12)</f>
        <v>0</v>
      </c>
      <c r="U171" s="20"/>
      <c r="V171" s="20"/>
      <c r="W171" s="20"/>
      <c r="X171" s="20"/>
      <c r="Y171" s="20"/>
      <c r="Z171" s="20"/>
      <c r="AA171" s="20"/>
      <c r="AB171" s="20"/>
      <c r="AC171" s="136"/>
      <c r="AD171" s="20"/>
      <c r="AE171" s="20"/>
    </row>
    <row r="172" spans="2:31" x14ac:dyDescent="0.2">
      <c r="B172" s="20" t="s">
        <v>295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39">
        <f>S172+T172</f>
        <v>0</v>
      </c>
      <c r="S172" s="139">
        <f>S171/P70</f>
        <v>0</v>
      </c>
      <c r="T172" s="139">
        <f>T171/P70</f>
        <v>0</v>
      </c>
      <c r="U172" s="20"/>
      <c r="V172" s="20"/>
      <c r="W172" s="20"/>
      <c r="X172" s="20"/>
      <c r="Y172" s="20"/>
      <c r="Z172" s="20"/>
      <c r="AA172" s="20"/>
      <c r="AB172" s="20"/>
      <c r="AC172" s="136"/>
      <c r="AD172" s="20"/>
      <c r="AE172" s="20"/>
    </row>
    <row r="173" spans="2:31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39"/>
      <c r="S173" s="139"/>
      <c r="T173" s="139"/>
      <c r="U173" s="20"/>
      <c r="V173" s="20"/>
      <c r="W173" s="20"/>
      <c r="X173" s="20"/>
      <c r="Y173" s="20"/>
      <c r="Z173" s="20"/>
      <c r="AA173" s="20"/>
      <c r="AB173" s="20"/>
      <c r="AC173" s="136"/>
      <c r="AD173" s="20"/>
      <c r="AE173" s="20"/>
    </row>
    <row r="174" spans="2:31" x14ac:dyDescent="0.2">
      <c r="B174" s="108" t="s">
        <v>298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39"/>
      <c r="S174" s="132"/>
      <c r="T174" s="132"/>
      <c r="U174" s="20"/>
      <c r="V174" s="20"/>
      <c r="W174" s="20"/>
      <c r="X174" s="20"/>
      <c r="Y174" s="20"/>
      <c r="Z174" s="20"/>
      <c r="AA174" s="20"/>
      <c r="AB174" s="20"/>
      <c r="AC174" s="136"/>
      <c r="AD174" s="20"/>
      <c r="AE174" s="20"/>
    </row>
    <row r="175" spans="2:31" x14ac:dyDescent="0.2">
      <c r="B175" s="20" t="s">
        <v>283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39">
        <f t="shared" ref="R175" si="299">S175+T175</f>
        <v>28.430054809509279</v>
      </c>
      <c r="S175" s="132">
        <f>PV($C$1, ($AB$3-$S$3), 0, -AB96)+PV($C$1, ($AA$3-$S$3), 0, -AB96)+PV($C$1, ($Z$3-$S$3), 0, -AB96)+PV($C$1, ($Y$3-$S$3), 0, -AB96)+PV($C$1, ($X$3-$S$3), 0, -AB96)+PV($C$1, ($W$3-$S$3), 0, -AB96)+PV($C$1, ($V$3-$S$3), 0, -AB96)+PV($C$1, ($U$3-$S$3), 0, -AB96)+PV($C$1, ($T$3-$S$3), 0, -AB96)+PV($C$1, ($S$3-$S$3), 0, -AB96)</f>
        <v>23.389061198182517</v>
      </c>
      <c r="T175" s="132">
        <f>PV($C$1, ($AB$3-$S$3), 0, -AE96)</f>
        <v>5.0409936113267628</v>
      </c>
      <c r="U175" s="20"/>
      <c r="V175" s="20"/>
      <c r="W175" s="20"/>
      <c r="X175" s="20"/>
      <c r="Y175" s="20"/>
      <c r="Z175" s="20"/>
      <c r="AA175" s="20"/>
      <c r="AB175" s="20"/>
      <c r="AC175" s="136"/>
      <c r="AD175" s="20"/>
      <c r="AE175" s="20"/>
    </row>
    <row r="176" spans="2:31" x14ac:dyDescent="0.2">
      <c r="B176" s="23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39"/>
      <c r="S176" s="132"/>
      <c r="T176" s="132"/>
      <c r="U176" s="20"/>
      <c r="V176" s="20"/>
      <c r="W176" s="20"/>
      <c r="X176" s="20"/>
      <c r="Y176" s="20"/>
      <c r="Z176" s="20"/>
      <c r="AA176" s="20"/>
      <c r="AB176" s="20"/>
      <c r="AC176" s="136"/>
      <c r="AD176" s="20"/>
      <c r="AE176" s="20"/>
    </row>
    <row r="177" spans="2:31" x14ac:dyDescent="0.2">
      <c r="B177" s="20" t="s">
        <v>291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39">
        <f t="shared" si="297"/>
        <v>0</v>
      </c>
      <c r="S177" s="132">
        <f>PV($C$1, ($AB$3-$S$3), 0, -AB98)+PV($C$1, ($AA$3-$S$3), 0, -AB98)+PV($C$1, ($Z$3-$S$3), 0, -AB98)+PV($C$1, ($Y$3-$S$3), 0, -AB98)+PV($C$1, ($X$3-$S$3), 0, -AB98)+PV($C$1, ($W$3-$S$3), 0, -AB98)+PV($C$1, ($V$3-$S$3), 0, -AB98)+PV($C$1, ($U$3-$S$3), 0, -AB98)+PV($C$1, ($T$3-$S$3), 0, -AB98)+PV($C$1, ($S$3-$S$3), 0, -AB98)</f>
        <v>0</v>
      </c>
      <c r="T177" s="132">
        <f>PV($C$1, ($AB$3-$S$3), 0, -AE98)</f>
        <v>0</v>
      </c>
      <c r="U177" s="20"/>
      <c r="V177" s="20"/>
      <c r="W177" s="20"/>
      <c r="X177" s="20"/>
      <c r="Y177" s="20"/>
      <c r="Z177" s="20"/>
      <c r="AA177" s="20"/>
      <c r="AB177" s="20"/>
      <c r="AC177" s="136"/>
      <c r="AD177" s="20"/>
      <c r="AE177" s="20"/>
    </row>
    <row r="178" spans="2:31" x14ac:dyDescent="0.2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39"/>
      <c r="S178" s="132"/>
      <c r="T178" s="132"/>
      <c r="U178" s="20"/>
      <c r="V178" s="20"/>
      <c r="W178" s="20"/>
      <c r="X178" s="20"/>
      <c r="Y178" s="20"/>
      <c r="Z178" s="20"/>
      <c r="AA178" s="20"/>
      <c r="AB178" s="20"/>
      <c r="AC178" s="136"/>
      <c r="AD178" s="20"/>
      <c r="AE178" s="20"/>
    </row>
    <row r="179" spans="2:31" x14ac:dyDescent="0.2">
      <c r="B179" s="20" t="s">
        <v>287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39">
        <f t="shared" ref="R179:R182" si="300">S179+T179</f>
        <v>0</v>
      </c>
      <c r="S179" s="132">
        <f>PV($C$1, ($AB$3-$S$3), 0, -AB100)+PV($C$1, ($AA$3-$S$3), 0, -AB100)+PV($C$1, ($Z$3-$S$3), 0, -AB100)+PV($C$1, ($Y$3-$S$3), 0, -AB100)+PV($C$1, ($X$3-$S$3), 0, -AB100)+PV($C$1, ($W$3-$S$3), 0, -AB100)+PV($C$1, ($V$3-$S$3), 0, -AB100)+PV($C$1, ($U$3-$S$3), 0, -AB100)+PV($C$1, ($T$3-$S$3), 0, -AB100)+PV($C$1, ($S$3-$S$3), 0, -AB100)</f>
        <v>0</v>
      </c>
      <c r="T179" s="132">
        <f>PV($C$1, ($AB$3-$S$3), 0, -AE100)</f>
        <v>0</v>
      </c>
      <c r="U179" s="20"/>
      <c r="V179" s="20"/>
      <c r="W179" s="20"/>
      <c r="X179" s="20"/>
      <c r="Y179" s="20"/>
      <c r="Z179" s="20"/>
      <c r="AA179" s="20"/>
      <c r="AB179" s="20"/>
      <c r="AC179" s="136"/>
      <c r="AD179" s="20"/>
      <c r="AE179" s="20"/>
    </row>
    <row r="180" spans="2:31" x14ac:dyDescent="0.2">
      <c r="B180" s="20" t="s">
        <v>288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39">
        <f t="shared" si="300"/>
        <v>0</v>
      </c>
      <c r="S180" s="132">
        <f>PV($C$1, ($AB$3-$S$3), 0, -AB101)+PV($C$1, ($AA$3-$S$3), 0, -AB101)+PV($C$1, ($Z$3-$S$3), 0, -AB101)+PV($C$1, ($Y$3-$S$3), 0, -AB101)+PV($C$1, ($X$3-$S$3), 0, -AB101)+PV($C$1, ($W$3-$S$3), 0, -AB101)+PV($C$1, ($V$3-$S$3), 0, -AB101)+PV($C$1, ($U$3-$S$3), 0, -AB101)+PV($C$1, ($T$3-$S$3), 0, -AB101)+PV($C$1, ($S$3-$S$3), 0, -AB101)</f>
        <v>0</v>
      </c>
      <c r="T180" s="132">
        <f>PV($C$1, ($AB$3-$S$3), 0, -AE101)</f>
        <v>0</v>
      </c>
      <c r="U180" s="20"/>
      <c r="V180" s="20"/>
      <c r="W180" s="20"/>
      <c r="X180" s="20"/>
      <c r="Y180" s="20"/>
      <c r="Z180" s="20"/>
      <c r="AA180" s="20"/>
      <c r="AB180" s="20"/>
      <c r="AC180" s="136"/>
      <c r="AD180" s="20"/>
      <c r="AE180" s="20"/>
    </row>
    <row r="181" spans="2:31" x14ac:dyDescent="0.2">
      <c r="B181" s="20" t="s">
        <v>289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39">
        <f t="shared" si="300"/>
        <v>0</v>
      </c>
      <c r="S181" s="132">
        <f>PV($C$1, ($AB$3-$S$3), 0, -AB102)+PV($C$1, ($AA$3-$S$3), 0, -AB102)+PV($C$1, ($Z$3-$S$3), 0, -AB102)+PV($C$1, ($Y$3-$S$3), 0, -AB102)+PV($C$1, ($X$3-$S$3), 0, -AB102)+PV($C$1, ($W$3-$S$3), 0, -AB102)+PV($C$1, ($V$3-$S$3), 0, -AB102)+PV($C$1, ($U$3-$S$3), 0, -AB102)+PV($C$1, ($T$3-$S$3), 0, -AB102)+PV($C$1, ($S$3-$S$3), 0, -AB102)</f>
        <v>0</v>
      </c>
      <c r="T181" s="132">
        <f>PV($C$1, ($AB$3-$S$3), 0, -AE102)</f>
        <v>0</v>
      </c>
      <c r="U181" s="20"/>
      <c r="V181" s="20"/>
      <c r="W181" s="20"/>
      <c r="X181" s="20"/>
      <c r="Y181" s="20"/>
      <c r="Z181" s="20"/>
      <c r="AA181" s="20"/>
      <c r="AB181" s="20"/>
      <c r="AC181" s="136"/>
      <c r="AD181" s="20"/>
      <c r="AE181" s="20"/>
    </row>
    <row r="182" spans="2:31" x14ac:dyDescent="0.2">
      <c r="B182" s="20" t="s">
        <v>290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39">
        <f t="shared" si="300"/>
        <v>0</v>
      </c>
      <c r="S182" s="132">
        <f>PV($C$1, ($AB$3-$S$3), 0, -AB103)+PV($C$1, ($AA$3-$S$3), 0, -AB103)+PV($C$1, ($Z$3-$S$3), 0, -AB103)+PV($C$1, ($Y$3-$S$3), 0, -AB103)+PV($C$1, ($X$3-$S$3), 0, -AB103)+PV($C$1, ($W$3-$S$3), 0, -AB103)+PV($C$1, ($V$3-$S$3), 0, -AB103)+PV($C$1, ($U$3-$S$3), 0, -AB103)+PV($C$1, ($T$3-$S$3), 0, -AB103)+PV($C$1, ($S$3-$S$3), 0, -AB103)</f>
        <v>0</v>
      </c>
      <c r="T182" s="132">
        <f>PV($C$1, ($AB$3-$S$3), 0, -AE103)</f>
        <v>0</v>
      </c>
      <c r="U182" s="20"/>
      <c r="V182" s="20"/>
      <c r="W182" s="20"/>
      <c r="X182" s="20"/>
      <c r="Y182" s="20"/>
      <c r="Z182" s="20"/>
      <c r="AA182" s="20"/>
      <c r="AB182" s="20"/>
      <c r="AC182" s="136"/>
      <c r="AD182" s="20"/>
      <c r="AE182" s="20"/>
    </row>
    <row r="183" spans="2:31" x14ac:dyDescent="0.2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139"/>
      <c r="S183" s="132"/>
      <c r="T183" s="132"/>
      <c r="U183" s="20"/>
      <c r="V183" s="20"/>
      <c r="W183" s="20"/>
      <c r="X183" s="20"/>
      <c r="Y183" s="20"/>
      <c r="Z183" s="20"/>
      <c r="AA183" s="20"/>
      <c r="AB183" s="20"/>
      <c r="AC183" s="136"/>
      <c r="AD183" s="20"/>
      <c r="AE183" s="20"/>
    </row>
    <row r="184" spans="2:31" x14ac:dyDescent="0.2">
      <c r="B184" s="20" t="s">
        <v>299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139">
        <f>S184+T184</f>
        <v>0</v>
      </c>
      <c r="S184" s="132">
        <f>PV($C$1, ($AB$3-$S$3), 0, -AB104)+PV($C$1, ($AA$3-$S$3), 0, -AB104)+PV($C$1, ($Z$3-$S$3), 0, -AB104)+PV($C$1, ($Y$3-$S$3), 0, -AB104)+PV($C$1, ($X$3-$S$3), 0, -AB104)+PV($C$1, ($W$3-$S$3), 0, -AB104)+PV($C$1, ($V$3-$S$3), 0, -AB104)+PV($C$1, ($U$3-$S$3), 0, -AB104)+PV($C$1, ($T$3-$S$3), 0, -AB104)+PV($C$1, ($S$3-$S$3), 0, -AB104)</f>
        <v>0</v>
      </c>
      <c r="T184" s="132">
        <f>PV($C$1, ($AB$3-$S$3), 0, -AE104)</f>
        <v>0</v>
      </c>
      <c r="U184" s="20"/>
      <c r="V184" s="20"/>
      <c r="W184" s="20"/>
      <c r="X184" s="20"/>
      <c r="Y184" s="20"/>
      <c r="Z184" s="20"/>
      <c r="AA184" s="20"/>
      <c r="AB184" s="20"/>
      <c r="AC184" s="136"/>
      <c r="AD184" s="20"/>
      <c r="AE184" s="20"/>
    </row>
    <row r="185" spans="2:31" x14ac:dyDescent="0.2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88">
        <v>41729</v>
      </c>
      <c r="Q185" s="184">
        <v>380</v>
      </c>
      <c r="R185" s="184"/>
      <c r="S185" s="184"/>
      <c r="T185" s="20"/>
      <c r="U185" s="20"/>
      <c r="V185" s="20"/>
      <c r="W185" s="20"/>
      <c r="X185" s="20"/>
      <c r="Y185" s="20"/>
      <c r="Z185" s="20"/>
      <c r="AA185" s="20"/>
      <c r="AB185" s="20"/>
      <c r="AC185" s="136"/>
      <c r="AD185" s="20"/>
      <c r="AE185" s="20"/>
    </row>
    <row r="186" spans="2:31" x14ac:dyDescent="0.2">
      <c r="B186" s="108" t="s">
        <v>251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185" t="s">
        <v>395</v>
      </c>
      <c r="Q186" s="184">
        <v>495</v>
      </c>
      <c r="R186" s="184" t="s">
        <v>396</v>
      </c>
      <c r="S186" s="185" t="s">
        <v>397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136"/>
      <c r="AD186" s="20"/>
      <c r="AE186" s="20"/>
    </row>
    <row r="187" spans="2:31" x14ac:dyDescent="0.2">
      <c r="B187" s="20" t="s">
        <v>204</v>
      </c>
      <c r="C187" s="22">
        <v>0</v>
      </c>
      <c r="D187" s="22">
        <v>0</v>
      </c>
      <c r="E187" s="22">
        <v>0</v>
      </c>
      <c r="F187" s="22">
        <v>0</v>
      </c>
      <c r="G187" s="22">
        <v>34</v>
      </c>
      <c r="H187" s="22">
        <v>49</v>
      </c>
      <c r="I187" s="22">
        <v>43</v>
      </c>
      <c r="J187" s="22">
        <v>38</v>
      </c>
      <c r="K187" s="22">
        <v>69</v>
      </c>
      <c r="L187" s="22">
        <v>28</v>
      </c>
      <c r="M187" s="22">
        <v>154</v>
      </c>
      <c r="N187" s="22">
        <v>235</v>
      </c>
      <c r="O187" s="22">
        <v>290</v>
      </c>
      <c r="P187" s="22">
        <v>300</v>
      </c>
      <c r="Q187" s="118">
        <f t="shared" ref="Q187:Q192" si="301">((P187/G187)^(1/($H$2-$H$1) ))-1</f>
        <v>0.27371238247878704</v>
      </c>
      <c r="R187" s="31">
        <f>L2-3%</f>
        <v>0.09</v>
      </c>
      <c r="S187" s="119">
        <f t="shared" ref="S187" si="302">P187*(1+$R187)</f>
        <v>327</v>
      </c>
      <c r="T187" s="119">
        <f t="shared" ref="T187:AB187" si="303">S187*(1+$R187)</f>
        <v>356.43</v>
      </c>
      <c r="U187" s="119">
        <f t="shared" si="303"/>
        <v>388.50870000000003</v>
      </c>
      <c r="V187" s="119">
        <f t="shared" si="303"/>
        <v>423.47448300000008</v>
      </c>
      <c r="W187" s="119">
        <f t="shared" si="303"/>
        <v>461.58718647000012</v>
      </c>
      <c r="X187" s="119">
        <f t="shared" si="303"/>
        <v>503.13003325230017</v>
      </c>
      <c r="Y187" s="119">
        <f t="shared" si="303"/>
        <v>548.41173624500721</v>
      </c>
      <c r="Z187" s="119">
        <f t="shared" si="303"/>
        <v>597.76879250705792</v>
      </c>
      <c r="AA187" s="119">
        <f t="shared" si="303"/>
        <v>651.56798383269313</v>
      </c>
      <c r="AB187" s="119">
        <f t="shared" si="303"/>
        <v>710.20910237763553</v>
      </c>
      <c r="AC187" s="137">
        <f t="shared" ref="AC187:AC192" si="304">((AB187/G187)^(1/($AB$3-$H$1) ))-1</f>
        <v>0.17346139387970538</v>
      </c>
      <c r="AD187" s="31">
        <v>0.08</v>
      </c>
      <c r="AE187" s="126">
        <f t="shared" ref="AE187:AE193" si="305">(AB187*(1+AC187))/($C$1-AD187)</f>
        <v>5952.8783087293887</v>
      </c>
    </row>
    <row r="188" spans="2:31" x14ac:dyDescent="0.2">
      <c r="B188" s="20" t="s">
        <v>394</v>
      </c>
      <c r="C188" s="25" t="e">
        <f>C187/C78</f>
        <v>#DIV/0!</v>
      </c>
      <c r="D188" s="25" t="e">
        <f>D187/D78</f>
        <v>#DIV/0!</v>
      </c>
      <c r="E188" s="25" t="e">
        <f>E187/E78</f>
        <v>#DIV/0!</v>
      </c>
      <c r="F188" s="25" t="e">
        <f>F187/F78</f>
        <v>#DIV/0!</v>
      </c>
      <c r="G188" s="25">
        <f>G187/G78</f>
        <v>0.5718654434250765</v>
      </c>
      <c r="H188" s="25">
        <f>H187/H78</f>
        <v>1.0981452859350851</v>
      </c>
      <c r="I188" s="25">
        <f>I187/I78</f>
        <v>0.93900602409638545</v>
      </c>
      <c r="J188" s="25">
        <f>J187/J78</f>
        <v>0.67948430493273537</v>
      </c>
      <c r="K188" s="25">
        <f>K187/K78</f>
        <v>0.99282814614343706</v>
      </c>
      <c r="L188" s="25">
        <f>L187/L78</f>
        <v>0.35949367088607598</v>
      </c>
      <c r="M188" s="25">
        <f>M187/M78</f>
        <v>1.9368098159509202</v>
      </c>
      <c r="N188" s="25">
        <f>N187/N78</f>
        <v>2.5395073204740881</v>
      </c>
      <c r="O188" s="25">
        <f>O187/O78</f>
        <v>2.1260596546310833</v>
      </c>
      <c r="P188" s="25">
        <f>P187/P78</f>
        <v>1.8691588785046729</v>
      </c>
      <c r="Q188" s="118">
        <f t="shared" ref="Q188" si="306">((P188/G188)^(1/($H$2-$H$1) ))-1</f>
        <v>0.14064437381073702</v>
      </c>
      <c r="R188" s="127"/>
      <c r="S188" s="25">
        <f>S187/S78</f>
        <v>2.001001335113485</v>
      </c>
      <c r="T188" s="25">
        <f>T187/T78</f>
        <v>2.1421433935723821</v>
      </c>
      <c r="U188" s="25">
        <f>U187/U78</f>
        <v>2.2932410079404346</v>
      </c>
      <c r="V188" s="25">
        <f>V187/V78</f>
        <v>2.4549964004648044</v>
      </c>
      <c r="W188" s="25">
        <f>W187/W78</f>
        <v>2.6281613251404479</v>
      </c>
      <c r="X188" s="25">
        <f>X187/X78</f>
        <v>2.8135405614673181</v>
      </c>
      <c r="Y188" s="25">
        <f>Y187/Y78</f>
        <v>3.0119956546422455</v>
      </c>
      <c r="Z188" s="25">
        <f>Z187/Z78</f>
        <v>3.2244489195679038</v>
      </c>
      <c r="AA188" s="25">
        <f>AA187/AA78</f>
        <v>3.451887727287426</v>
      </c>
      <c r="AB188" s="25">
        <f>AB187/AB78</f>
        <v>3.6953690937657346</v>
      </c>
      <c r="AC188" s="137">
        <f t="shared" ref="AC188" si="307">((AB188/G188)^(1/($AB$3-$H$1) ))-1</f>
        <v>0.10319106359771335</v>
      </c>
      <c r="AD188" s="31">
        <v>0.08</v>
      </c>
      <c r="AE188" s="126">
        <f t="shared" ref="AE188" si="308">(AB188*(1+AC188))/($C$1-AD188)</f>
        <v>29.119272578125276</v>
      </c>
    </row>
    <row r="189" spans="2:31" x14ac:dyDescent="0.2">
      <c r="B189" s="20" t="s">
        <v>42</v>
      </c>
      <c r="C189" s="25" t="e">
        <f>C187/C81</f>
        <v>#DIV/0!</v>
      </c>
      <c r="D189" s="25" t="e">
        <f>D187/D81</f>
        <v>#DIV/0!</v>
      </c>
      <c r="E189" s="25" t="e">
        <f>E187/E81</f>
        <v>#DIV/0!</v>
      </c>
      <c r="F189" s="25" t="e">
        <f>F187/F81</f>
        <v>#DIV/0!</v>
      </c>
      <c r="G189" s="25">
        <f>G187/G81</f>
        <v>3.1297071129707112</v>
      </c>
      <c r="H189" s="25">
        <f>H187/H81</f>
        <v>6.7666666666666666</v>
      </c>
      <c r="I189" s="25">
        <f>I187/I81</f>
        <v>33.867463335143938</v>
      </c>
      <c r="J189" s="25">
        <f>J187/J81</f>
        <v>17.826470588235296</v>
      </c>
      <c r="K189" s="25">
        <f>K187/K81</f>
        <v>29.347999999999999</v>
      </c>
      <c r="L189" s="25">
        <f>L187/L81</f>
        <v>6.7162162162162167</v>
      </c>
      <c r="M189" s="25">
        <f>M187/M81</f>
        <v>18.04</v>
      </c>
      <c r="N189" s="25">
        <f>N187/N81</f>
        <v>18.93847487001733</v>
      </c>
      <c r="O189" s="25">
        <f>O187/O81</f>
        <v>16.886533665835412</v>
      </c>
      <c r="P189" s="25">
        <f>P187/P81</f>
        <v>14.70311027332705</v>
      </c>
      <c r="Q189" s="118">
        <f t="shared" si="301"/>
        <v>0.18756166138260477</v>
      </c>
      <c r="R189" s="127"/>
      <c r="S189" s="119">
        <f>S187/S81</f>
        <v>15.740204658677795</v>
      </c>
      <c r="T189" s="119">
        <f>T187/T81</f>
        <v>16.850451237280964</v>
      </c>
      <c r="U189" s="119">
        <f>U187/U81</f>
        <v>18.039009851339173</v>
      </c>
      <c r="V189" s="119">
        <f>V187/V81</f>
        <v>19.311404296210426</v>
      </c>
      <c r="W189" s="119">
        <f>W187/W81</f>
        <v>20.673547992103838</v>
      </c>
      <c r="X189" s="119">
        <f>X187/X81</f>
        <v>22.13177146654688</v>
      </c>
      <c r="Y189" s="119">
        <f>Y187/Y81</f>
        <v>23.69285177534795</v>
      </c>
      <c r="Z189" s="119">
        <f>Z187/Z81</f>
        <v>25.364043998787675</v>
      </c>
      <c r="AA189" s="119">
        <f>AA187/AA81</f>
        <v>27.153114959416452</v>
      </c>
      <c r="AB189" s="119">
        <f>AB187/AB81</f>
        <v>29.068379318161</v>
      </c>
      <c r="AC189" s="137">
        <f t="shared" si="304"/>
        <v>0.12445739883075113</v>
      </c>
      <c r="AD189" s="31">
        <v>0.08</v>
      </c>
      <c r="AE189" s="126">
        <f t="shared" si="305"/>
        <v>233.4725299737494</v>
      </c>
    </row>
    <row r="190" spans="2:31" x14ac:dyDescent="0.2">
      <c r="B190" s="20" t="s">
        <v>259</v>
      </c>
      <c r="C190" s="25" t="e">
        <f>C187/C83</f>
        <v>#DIV/0!</v>
      </c>
      <c r="D190" s="25" t="e">
        <f>D187/D83</f>
        <v>#DIV/0!</v>
      </c>
      <c r="E190" s="25" t="e">
        <f>E187/E83</f>
        <v>#DIV/0!</v>
      </c>
      <c r="F190" s="25" t="e">
        <f>F187/F83</f>
        <v>#DIV/0!</v>
      </c>
      <c r="G190" s="25">
        <f>G187/G83</f>
        <v>1.4666666666666666</v>
      </c>
      <c r="H190" s="25">
        <f>H187/H83</f>
        <v>2.6412639405204459</v>
      </c>
      <c r="I190" s="25">
        <f>I187/I83</f>
        <v>2.1686956521739131</v>
      </c>
      <c r="J190" s="25">
        <f>J187/J83</f>
        <v>1.6470108695652175</v>
      </c>
      <c r="K190" s="25">
        <f>K187/K83</f>
        <v>2.7897338403041823</v>
      </c>
      <c r="L190" s="25">
        <f>L187/L83</f>
        <v>0.92723880597014929</v>
      </c>
      <c r="M190" s="25">
        <f>M187/M83</f>
        <v>3.6038812785388128</v>
      </c>
      <c r="N190" s="25">
        <f>N187/N83</f>
        <v>3.2619402985074624</v>
      </c>
      <c r="O190" s="25">
        <f>O187/O83</f>
        <v>3.3497402918624788</v>
      </c>
      <c r="P190" s="25">
        <f>P187/P83</f>
        <v>2.1984216459977453</v>
      </c>
      <c r="Q190" s="118">
        <f t="shared" si="301"/>
        <v>4.5998503780300348E-2</v>
      </c>
      <c r="R190" s="127"/>
      <c r="S190" s="119">
        <f>S187/S83</f>
        <v>2.3534888870993718</v>
      </c>
      <c r="T190" s="119">
        <f>T187/T83</f>
        <v>2.5194939068144171</v>
      </c>
      <c r="U190" s="119">
        <f>U187/U83</f>
        <v>2.6972082091700771</v>
      </c>
      <c r="V190" s="119">
        <f>V187/V83</f>
        <v>2.8874577167811815</v>
      </c>
      <c r="W190" s="119">
        <f>W187/W83</f>
        <v>3.0911266093041401</v>
      </c>
      <c r="X190" s="119">
        <f>X187/X83</f>
        <v>3.3091614326389855</v>
      </c>
      <c r="Y190" s="119">
        <f>Y187/Y83</f>
        <v>3.5425754979769137</v>
      </c>
      <c r="Z190" s="119">
        <f>Z187/Z83</f>
        <v>3.7924535911377859</v>
      </c>
      <c r="AA190" s="119">
        <f>AA187/AA83</f>
        <v>4.0599570140841115</v>
      </c>
      <c r="AB190" s="119">
        <f>AB187/AB83</f>
        <v>4.3463289820418298</v>
      </c>
      <c r="AC190" s="137">
        <f t="shared" si="304"/>
        <v>5.8841889649904333E-2</v>
      </c>
      <c r="AD190" s="31">
        <v>0.08</v>
      </c>
      <c r="AE190" s="126">
        <f t="shared" si="305"/>
        <v>32.87196565989511</v>
      </c>
    </row>
    <row r="191" spans="2:31" x14ac:dyDescent="0.2">
      <c r="B191" s="20" t="s">
        <v>260</v>
      </c>
      <c r="C191" s="25" t="e">
        <f>C187/C92</f>
        <v>#DIV/0!</v>
      </c>
      <c r="D191" s="25" t="e">
        <f>D187/D92</f>
        <v>#DIV/0!</v>
      </c>
      <c r="E191" s="25" t="e">
        <f>E187/E92</f>
        <v>#DIV/0!</v>
      </c>
      <c r="F191" s="25" t="e">
        <f>F187/F92</f>
        <v>#DIV/0!</v>
      </c>
      <c r="G191" s="25">
        <f>G187/G92</f>
        <v>0.18836565096952909</v>
      </c>
      <c r="H191" s="25">
        <f>H187/H92</f>
        <v>0.34922585401818623</v>
      </c>
      <c r="I191" s="25">
        <f>I187/I92</f>
        <v>0.23054168977629877</v>
      </c>
      <c r="J191" s="25">
        <f>J187/J92</f>
        <v>0.20577151587166864</v>
      </c>
      <c r="K191" s="25">
        <f>K187/K92</f>
        <v>0.33204103182983857</v>
      </c>
      <c r="L191" s="25">
        <f>L187/L92</f>
        <v>0.12297414326363973</v>
      </c>
      <c r="M191" s="25">
        <f>M187/M92</f>
        <v>0.60705701374867804</v>
      </c>
      <c r="N191" s="25">
        <f>N187/N92</f>
        <v>0.80645756457564577</v>
      </c>
      <c r="O191" s="25">
        <f>O187/O92</f>
        <v>0.92944890535996161</v>
      </c>
      <c r="P191" s="25">
        <f>P187/P92</f>
        <v>0.79373155591737055</v>
      </c>
      <c r="Q191" s="118">
        <f t="shared" si="301"/>
        <v>0.17329708819176748</v>
      </c>
      <c r="R191" s="127"/>
      <c r="S191" s="119">
        <f>S187/S92</f>
        <v>0.84971797816511352</v>
      </c>
      <c r="T191" s="119">
        <f>T187/T92</f>
        <v>0.9096534426964028</v>
      </c>
      <c r="U191" s="119">
        <f>U187/U92</f>
        <v>0.9738164980294528</v>
      </c>
      <c r="V191" s="119">
        <f>V187/V92</f>
        <v>1.0425053403011733</v>
      </c>
      <c r="W191" s="119">
        <f>W187/W92</f>
        <v>1.1160391991259884</v>
      </c>
      <c r="X191" s="119">
        <f>X187/X92</f>
        <v>1.1947598212071964</v>
      </c>
      <c r="Y191" s="119">
        <f>Y187/Y92</f>
        <v>1.2790330585959182</v>
      </c>
      <c r="Z191" s="119">
        <f>Z187/Z92</f>
        <v>1.3692505689790233</v>
      </c>
      <c r="AA191" s="119">
        <f>AA187/AA92</f>
        <v>1.4658316358980792</v>
      </c>
      <c r="AB191" s="119">
        <f>AB187/AB92</f>
        <v>1.5692251173587473</v>
      </c>
      <c r="AC191" s="137">
        <f t="shared" si="304"/>
        <v>0.11803919393817397</v>
      </c>
      <c r="AD191" s="31">
        <v>0.08</v>
      </c>
      <c r="AE191" s="126">
        <f t="shared" si="305"/>
        <v>12.531822752280785</v>
      </c>
    </row>
    <row r="192" spans="2:31" x14ac:dyDescent="0.2">
      <c r="B192" s="20" t="s">
        <v>261</v>
      </c>
      <c r="C192" s="25" t="e">
        <f>C187/C94</f>
        <v>#DIV/0!</v>
      </c>
      <c r="D192" s="25" t="e">
        <f>D187/D94</f>
        <v>#DIV/0!</v>
      </c>
      <c r="E192" s="25" t="e">
        <f>E187/E94</f>
        <v>#DIV/0!</v>
      </c>
      <c r="F192" s="25" t="e">
        <f>F187/F94</f>
        <v>#DIV/0!</v>
      </c>
      <c r="G192" s="25" t="e">
        <f>G187/G94</f>
        <v>#DIV/0!</v>
      </c>
      <c r="H192" s="25" t="e">
        <f>H187/H94</f>
        <v>#DIV/0!</v>
      </c>
      <c r="I192" s="25" t="e">
        <f>I187/I94</f>
        <v>#DIV/0!</v>
      </c>
      <c r="J192" s="25" t="e">
        <f>J187/J94</f>
        <v>#DIV/0!</v>
      </c>
      <c r="K192" s="25" t="e">
        <f>K187/K94</f>
        <v>#DIV/0!</v>
      </c>
      <c r="L192" s="25" t="e">
        <f>L187/L94</f>
        <v>#DIV/0!</v>
      </c>
      <c r="M192" s="25" t="e">
        <f>M187/M94</f>
        <v>#DIV/0!</v>
      </c>
      <c r="N192" s="25" t="e">
        <f>N187/N94</f>
        <v>#DIV/0!</v>
      </c>
      <c r="O192" s="25" t="e">
        <f>O187/O94</f>
        <v>#DIV/0!</v>
      </c>
      <c r="P192" s="25" t="e">
        <f>P187/P94</f>
        <v>#DIV/0!</v>
      </c>
      <c r="Q192" s="118" t="e">
        <f t="shared" si="301"/>
        <v>#DIV/0!</v>
      </c>
      <c r="R192" s="127"/>
      <c r="S192" s="119" t="e">
        <f>S187/S94</f>
        <v>#DIV/0!</v>
      </c>
      <c r="T192" s="119" t="e">
        <f>T187/T94</f>
        <v>#DIV/0!</v>
      </c>
      <c r="U192" s="119" t="e">
        <f>U187/U94</f>
        <v>#DIV/0!</v>
      </c>
      <c r="V192" s="119" t="e">
        <f>V187/V94</f>
        <v>#DIV/0!</v>
      </c>
      <c r="W192" s="119" t="e">
        <f>W187/W94</f>
        <v>#DIV/0!</v>
      </c>
      <c r="X192" s="119" t="e">
        <f>X187/X94</f>
        <v>#DIV/0!</v>
      </c>
      <c r="Y192" s="119" t="e">
        <f>Y187/Y94</f>
        <v>#DIV/0!</v>
      </c>
      <c r="Z192" s="119" t="e">
        <f>Z187/Z94</f>
        <v>#DIV/0!</v>
      </c>
      <c r="AA192" s="119" t="e">
        <f>AA187/AA94</f>
        <v>#DIV/0!</v>
      </c>
      <c r="AB192" s="119" t="e">
        <f>AB187/AB94</f>
        <v>#DIV/0!</v>
      </c>
      <c r="AC192" s="137" t="e">
        <f t="shared" si="304"/>
        <v>#DIV/0!</v>
      </c>
      <c r="AD192" s="31">
        <v>0.08</v>
      </c>
      <c r="AE192" s="126" t="e">
        <f t="shared" si="305"/>
        <v>#DIV/0!</v>
      </c>
    </row>
    <row r="193" spans="2:48" x14ac:dyDescent="0.2">
      <c r="B193" s="20" t="s">
        <v>282</v>
      </c>
      <c r="C193" s="25" t="e">
        <f>C189/C137</f>
        <v>#DIV/0!</v>
      </c>
      <c r="D193" s="25" t="e">
        <f>D189/D137</f>
        <v>#DIV/0!</v>
      </c>
      <c r="E193" s="25" t="e">
        <f>E189/E137</f>
        <v>#DIV/0!</v>
      </c>
      <c r="F193" s="25" t="e">
        <f>F189/F137</f>
        <v>#DIV/0!</v>
      </c>
      <c r="G193" s="25">
        <f>G187/G88</f>
        <v>-5.8851298190401254E-2</v>
      </c>
      <c r="H193" s="25">
        <f>H187/H88</f>
        <v>-0.11019775106630478</v>
      </c>
      <c r="I193" s="25">
        <f>I187/I88</f>
        <v>-8.4974446337308343E-2</v>
      </c>
      <c r="J193" s="25">
        <f>J187/J88</f>
        <v>-7.0554682498108381E-2</v>
      </c>
      <c r="K193" s="25">
        <f>K187/K88</f>
        <v>-0.11718575307458871</v>
      </c>
      <c r="L193" s="25">
        <f>L187/L88</f>
        <v>-4.4510120007164609E-2</v>
      </c>
      <c r="M193" s="25">
        <f>M187/M88</f>
        <v>-0.21588538995452525</v>
      </c>
      <c r="N193" s="25">
        <f>N187/N88</f>
        <v>-0.30489676339285715</v>
      </c>
      <c r="O193" s="25">
        <f>O187/O88</f>
        <v>-0.29249276489136539</v>
      </c>
      <c r="P193" s="25">
        <f>P187/P88</f>
        <v>-0.27884031029921708</v>
      </c>
      <c r="Q193" s="118">
        <f t="shared" ref="Q193" si="309">((P193/G193)^(1/($H$2-$H$1) ))-1</f>
        <v>0.18868453427177823</v>
      </c>
      <c r="R193" s="127"/>
      <c r="S193" s="134">
        <f>S187/S88</f>
        <v>-0.29850851075782259</v>
      </c>
      <c r="T193" s="134">
        <f>T187/T88</f>
        <v>-0.31956402178449039</v>
      </c>
      <c r="U193" s="134">
        <f>U187/U88</f>
        <v>-0.34210469832107504</v>
      </c>
      <c r="V193" s="134">
        <f>V187/V88</f>
        <v>-0.36623529757765094</v>
      </c>
      <c r="W193" s="134">
        <f>W187/W88</f>
        <v>-0.39206796588893172</v>
      </c>
      <c r="X193" s="134">
        <f>X187/X88</f>
        <v>-0.41972275991145463</v>
      </c>
      <c r="Y193" s="134">
        <f>Y187/Y88</f>
        <v>-0.44932820458378042</v>
      </c>
      <c r="Z193" s="134">
        <f>Z187/Z88</f>
        <v>-0.48102189044281496</v>
      </c>
      <c r="AA193" s="134">
        <f>AA187/AA88</f>
        <v>-0.51495111307226349</v>
      </c>
      <c r="AB193" s="134">
        <f>AB187/AB88</f>
        <v>-0.55127355765503927</v>
      </c>
      <c r="AC193" s="137">
        <f t="shared" ref="AC193" si="310">((AB193/G193)^(1/($AB$3-$H$1) ))-1</f>
        <v>0.12496089749015327</v>
      </c>
      <c r="AD193" s="31">
        <v>0.08</v>
      </c>
      <c r="AE193" s="126">
        <f t="shared" si="305"/>
        <v>-4.4297228298728761</v>
      </c>
    </row>
    <row r="194" spans="2:48" x14ac:dyDescent="0.2">
      <c r="B194" s="183" t="s">
        <v>381</v>
      </c>
      <c r="C194" s="161" t="e">
        <f>C81/C187</f>
        <v>#DIV/0!</v>
      </c>
      <c r="D194" s="161" t="e">
        <f>D81/D187</f>
        <v>#DIV/0!</v>
      </c>
      <c r="E194" s="161" t="e">
        <f>E81/E187</f>
        <v>#DIV/0!</v>
      </c>
      <c r="F194" s="161" t="e">
        <f>F81/F187</f>
        <v>#DIV/0!</v>
      </c>
      <c r="G194" s="161">
        <f>G81/G187</f>
        <v>0.31951871657754011</v>
      </c>
      <c r="H194" s="161">
        <f>H81/H187</f>
        <v>0.14778325123152708</v>
      </c>
      <c r="I194" s="161">
        <f>I81/I187</f>
        <v>2.9526864474739376E-2</v>
      </c>
      <c r="J194" s="161">
        <f>J81/J187</f>
        <v>5.6096353737007096E-2</v>
      </c>
      <c r="K194" s="161">
        <f>K81/K187</f>
        <v>3.4073872154831673E-2</v>
      </c>
      <c r="L194" s="161">
        <f>L81/L187</f>
        <v>0.1488933601609658</v>
      </c>
      <c r="M194" s="161">
        <f>M81/M187</f>
        <v>5.543237250554324E-2</v>
      </c>
      <c r="N194" s="161">
        <f>N81/N187</f>
        <v>5.2802562342713334E-2</v>
      </c>
      <c r="O194" s="161">
        <f>O81/O187</f>
        <v>5.9218784611976667E-2</v>
      </c>
      <c r="P194" s="161">
        <f>P81/P187</f>
        <v>6.801282051282051E-2</v>
      </c>
      <c r="Q194" s="127"/>
      <c r="R194" s="127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7"/>
      <c r="AD194" s="31"/>
      <c r="AE194" s="126"/>
    </row>
    <row r="195" spans="2:48" x14ac:dyDescent="0.2">
      <c r="B195" s="20" t="s">
        <v>321</v>
      </c>
      <c r="C195" s="152" t="e">
        <f>C72/C187</f>
        <v>#DIV/0!</v>
      </c>
      <c r="D195" s="152" t="e">
        <f>D72/D187</f>
        <v>#DIV/0!</v>
      </c>
      <c r="E195" s="152" t="e">
        <f>E72/E187</f>
        <v>#DIV/0!</v>
      </c>
      <c r="F195" s="152" t="e">
        <f>F72/F187</f>
        <v>#DIV/0!</v>
      </c>
      <c r="G195" s="152">
        <f>G72/G187</f>
        <v>6.6176470588235295E-2</v>
      </c>
      <c r="H195" s="152">
        <f>H72/H187</f>
        <v>3.6734693877551024E-2</v>
      </c>
      <c r="I195" s="152">
        <f>I72/I187</f>
        <v>0</v>
      </c>
      <c r="J195" s="152">
        <f>J72/J187</f>
        <v>1.5789473684210527E-2</v>
      </c>
      <c r="K195" s="152">
        <f>K72/K187</f>
        <v>8.6956521739130436E-3</v>
      </c>
      <c r="L195" s="152">
        <f>L72/L187</f>
        <v>4.2857142857142858E-2</v>
      </c>
      <c r="M195" s="152">
        <f>M72/M187</f>
        <v>1.1688311688311689E-2</v>
      </c>
      <c r="N195" s="152">
        <f>N72/N187</f>
        <v>8.5106382978723406E-3</v>
      </c>
      <c r="O195" s="152">
        <f>O72/O187</f>
        <v>7.5862068965517251E-3</v>
      </c>
      <c r="P195" s="152">
        <f>P72/P187</f>
        <v>0.01</v>
      </c>
      <c r="Q195" s="127"/>
      <c r="R195" s="127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7"/>
      <c r="AD195" s="31"/>
      <c r="AE195" s="126"/>
    </row>
    <row r="196" spans="2:48" x14ac:dyDescent="0.2">
      <c r="B196" s="20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27"/>
      <c r="R196" s="127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7"/>
      <c r="AD196" s="31"/>
      <c r="AE196" s="126"/>
    </row>
    <row r="197" spans="2:48" x14ac:dyDescent="0.2">
      <c r="B197" s="20"/>
      <c r="C197" s="128"/>
      <c r="D197" s="128"/>
      <c r="E197" s="128"/>
      <c r="F197" s="128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27"/>
      <c r="R197" s="127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6"/>
      <c r="AD197" s="20"/>
      <c r="AE197" s="126"/>
    </row>
    <row r="198" spans="2:48" x14ac:dyDescent="0.2">
      <c r="B198" s="108" t="s">
        <v>302</v>
      </c>
      <c r="C198" s="20"/>
      <c r="D198" s="20"/>
      <c r="E198" s="20"/>
      <c r="F198" s="20"/>
      <c r="G198" s="20"/>
      <c r="H198" s="20"/>
      <c r="I198" s="20"/>
      <c r="J198" s="20"/>
      <c r="K198" s="230" t="s">
        <v>352</v>
      </c>
      <c r="L198" s="231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136"/>
      <c r="AD198" s="20"/>
      <c r="AE198" s="20"/>
    </row>
    <row r="199" spans="2:48" x14ac:dyDescent="0.2">
      <c r="B199" s="20" t="s">
        <v>300</v>
      </c>
      <c r="C199" s="20" t="s">
        <v>315</v>
      </c>
      <c r="D199" s="20"/>
      <c r="E199" s="20"/>
      <c r="F199" s="20"/>
      <c r="G199" s="20"/>
      <c r="H199" s="20"/>
      <c r="I199" s="20"/>
      <c r="J199" s="20"/>
      <c r="K199" s="20" t="s">
        <v>353</v>
      </c>
      <c r="L199" s="22">
        <v>1</v>
      </c>
      <c r="M199" s="20"/>
      <c r="N199" s="20"/>
      <c r="O199" s="20"/>
      <c r="P199" s="127">
        <f>(P187-R175)/P187</f>
        <v>0.90523315063496912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136"/>
      <c r="AD199" s="20"/>
      <c r="AE199" s="20"/>
    </row>
    <row r="200" spans="2:48" x14ac:dyDescent="0.2">
      <c r="B200" s="20" t="s">
        <v>350</v>
      </c>
      <c r="C200" s="20" t="s">
        <v>315</v>
      </c>
      <c r="D200" s="20"/>
      <c r="E200" s="20"/>
      <c r="F200" s="20"/>
      <c r="G200" s="20"/>
      <c r="H200" s="20"/>
      <c r="I200" s="20"/>
      <c r="J200" s="20"/>
      <c r="K200" s="167">
        <f>L199</f>
        <v>1</v>
      </c>
      <c r="L200" s="20"/>
      <c r="M200" s="127">
        <f>(P187-(K200*R166))/P187</f>
        <v>6.1471906065616926</v>
      </c>
      <c r="N200" s="20"/>
      <c r="O200" s="20"/>
      <c r="P200" s="127">
        <f>(P187-R166)/P187</f>
        <v>6.1471906065616926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136"/>
      <c r="AD200" s="20"/>
      <c r="AE200" s="20"/>
    </row>
    <row r="201" spans="2:48" x14ac:dyDescent="0.2">
      <c r="B201" s="20" t="s">
        <v>351</v>
      </c>
      <c r="C201" s="20" t="s">
        <v>315</v>
      </c>
      <c r="D201" s="20"/>
      <c r="E201" s="20"/>
      <c r="F201" s="20"/>
      <c r="G201" s="20"/>
      <c r="H201" s="20"/>
      <c r="I201" s="20"/>
      <c r="J201" s="20"/>
      <c r="K201" s="167">
        <f>L199</f>
        <v>1</v>
      </c>
      <c r="L201" s="20"/>
      <c r="M201" s="127">
        <f>(P187-(K200*R159))/P187</f>
        <v>0.29801836899750273</v>
      </c>
      <c r="N201" s="20"/>
      <c r="O201" s="20"/>
      <c r="P201" s="127">
        <f>(P187-R159)/P187</f>
        <v>0.29801836899750273</v>
      </c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136"/>
      <c r="AD201" s="20"/>
      <c r="AE201" s="20"/>
    </row>
    <row r="202" spans="2:48" x14ac:dyDescent="0.2">
      <c r="B202" s="20" t="s">
        <v>354</v>
      </c>
      <c r="C202" s="20" t="s">
        <v>315</v>
      </c>
      <c r="D202" s="20"/>
      <c r="E202" s="20"/>
      <c r="F202" s="20"/>
      <c r="G202" s="20"/>
      <c r="H202" s="20"/>
      <c r="I202" s="20"/>
      <c r="J202" s="20"/>
      <c r="K202" s="167">
        <f>L199</f>
        <v>1</v>
      </c>
      <c r="L202" s="20"/>
      <c r="M202" s="127">
        <f>(P187-(K200*R172))/P187</f>
        <v>1</v>
      </c>
      <c r="N202" s="20"/>
      <c r="O202" s="20"/>
      <c r="P202" s="127">
        <f>(P187-R172)/P187</f>
        <v>1</v>
      </c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136"/>
      <c r="AD202" s="20"/>
      <c r="AE202" s="20"/>
    </row>
    <row r="203" spans="2:48" x14ac:dyDescent="0.2">
      <c r="B203" s="20" t="s">
        <v>301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5">
        <f>P187/R158</f>
        <v>10.24432637175577</v>
      </c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136"/>
      <c r="AD203" s="20"/>
      <c r="AE203" s="20"/>
    </row>
    <row r="204" spans="2:48" x14ac:dyDescent="0.2">
      <c r="B204" s="20" t="s">
        <v>381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152">
        <f>1/P203</f>
        <v>9.7615007928394462E-2</v>
      </c>
      <c r="Q204" s="20"/>
      <c r="R204" s="20"/>
      <c r="S204" s="218" t="s">
        <v>11</v>
      </c>
      <c r="T204" s="218" t="s">
        <v>12</v>
      </c>
      <c r="U204" s="218" t="s">
        <v>13</v>
      </c>
      <c r="V204" s="218" t="s">
        <v>14</v>
      </c>
      <c r="W204" s="218" t="s">
        <v>15</v>
      </c>
      <c r="X204" s="218" t="s">
        <v>234</v>
      </c>
      <c r="Y204" s="218" t="s">
        <v>235</v>
      </c>
      <c r="Z204" s="218" t="s">
        <v>236</v>
      </c>
      <c r="AA204" s="218" t="s">
        <v>237</v>
      </c>
      <c r="AB204" s="218" t="s">
        <v>238</v>
      </c>
      <c r="AC204" s="218" t="s">
        <v>415</v>
      </c>
      <c r="AD204" s="218" t="s">
        <v>416</v>
      </c>
      <c r="AE204" s="218" t="s">
        <v>417</v>
      </c>
      <c r="AF204" s="218" t="s">
        <v>418</v>
      </c>
      <c r="AG204" s="218" t="s">
        <v>419</v>
      </c>
      <c r="AH204" s="218" t="s">
        <v>420</v>
      </c>
      <c r="AI204" s="218" t="s">
        <v>421</v>
      </c>
      <c r="AJ204" s="218" t="s">
        <v>422</v>
      </c>
      <c r="AK204" s="218" t="s">
        <v>423</v>
      </c>
      <c r="AL204" s="218" t="s">
        <v>424</v>
      </c>
      <c r="AM204" s="218" t="s">
        <v>425</v>
      </c>
      <c r="AN204" s="218" t="s">
        <v>426</v>
      </c>
      <c r="AO204" s="218" t="s">
        <v>427</v>
      </c>
      <c r="AP204" s="218" t="s">
        <v>428</v>
      </c>
      <c r="AQ204" s="218" t="s">
        <v>429</v>
      </c>
      <c r="AR204" s="218" t="s">
        <v>430</v>
      </c>
      <c r="AS204" s="218" t="s">
        <v>431</v>
      </c>
      <c r="AT204" s="218" t="s">
        <v>432</v>
      </c>
      <c r="AU204" s="218" t="s">
        <v>433</v>
      </c>
      <c r="AV204" s="218" t="s">
        <v>434</v>
      </c>
    </row>
    <row r="205" spans="2:48" x14ac:dyDescent="0.2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5"/>
      <c r="Q205" s="20"/>
      <c r="R205" s="20"/>
      <c r="S205" s="198">
        <f>$P$187-S206</f>
        <v>290.91236290027325</v>
      </c>
      <c r="T205" s="198">
        <f>S205-S206</f>
        <v>281.8247258005465</v>
      </c>
      <c r="U205" s="240">
        <f>T205-T206</f>
        <v>272.28270684583345</v>
      </c>
      <c r="V205" s="240">
        <f t="shared" ref="V205:AV205" si="311">U205-U206</f>
        <v>262.26358694338472</v>
      </c>
      <c r="W205" s="240">
        <f t="shared" si="311"/>
        <v>251.74351104581353</v>
      </c>
      <c r="X205" s="240">
        <f t="shared" si="311"/>
        <v>240.69743135336381</v>
      </c>
      <c r="Y205" s="240">
        <f t="shared" si="311"/>
        <v>229.09904767629158</v>
      </c>
      <c r="Z205" s="240">
        <f t="shared" si="311"/>
        <v>216.92074481536574</v>
      </c>
      <c r="AA205" s="240">
        <f t="shared" si="311"/>
        <v>204.13352681139361</v>
      </c>
      <c r="AB205" s="240">
        <f t="shared" si="311"/>
        <v>190.70694790722288</v>
      </c>
      <c r="AC205" s="240">
        <f t="shared" si="311"/>
        <v>176.6090400578436</v>
      </c>
      <c r="AD205" s="240">
        <f t="shared" si="311"/>
        <v>161.80623681599536</v>
      </c>
      <c r="AE205" s="240">
        <f t="shared" si="311"/>
        <v>146.26329341205471</v>
      </c>
      <c r="AF205" s="240">
        <f t="shared" si="311"/>
        <v>129.94320283791703</v>
      </c>
      <c r="AG205" s="240">
        <f t="shared" si="311"/>
        <v>112.80710773507246</v>
      </c>
      <c r="AH205" s="240">
        <f t="shared" si="311"/>
        <v>94.814207877085664</v>
      </c>
      <c r="AI205" s="240">
        <f t="shared" si="311"/>
        <v>75.921663026199525</v>
      </c>
      <c r="AJ205" s="240">
        <f t="shared" si="311"/>
        <v>56.084490932769086</v>
      </c>
      <c r="AK205" s="240">
        <f t="shared" si="311"/>
        <v>35.255460234667119</v>
      </c>
      <c r="AL205" s="240">
        <f t="shared" si="311"/>
        <v>13.384978001660052</v>
      </c>
      <c r="AM205" s="240">
        <f t="shared" si="311"/>
        <v>-9.5790283429973684</v>
      </c>
      <c r="AN205" s="240">
        <f t="shared" si="311"/>
        <v>-33.691235004887659</v>
      </c>
      <c r="AO205" s="240">
        <f t="shared" si="311"/>
        <v>-59.009051999872469</v>
      </c>
      <c r="AP205" s="240">
        <f t="shared" si="311"/>
        <v>-85.592759844606519</v>
      </c>
      <c r="AQ205" s="240">
        <f t="shared" si="311"/>
        <v>-113.50565308157726</v>
      </c>
      <c r="AR205" s="240">
        <f t="shared" si="311"/>
        <v>-142.81419098039655</v>
      </c>
      <c r="AS205" s="240">
        <f t="shared" si="311"/>
        <v>-173.5881557741568</v>
      </c>
      <c r="AT205" s="240">
        <f t="shared" si="311"/>
        <v>-205.90081880760508</v>
      </c>
      <c r="AU205" s="240">
        <f t="shared" si="311"/>
        <v>-239.82911499272575</v>
      </c>
      <c r="AV205" s="240">
        <f t="shared" si="311"/>
        <v>-275.45382598710245</v>
      </c>
    </row>
    <row r="206" spans="2:48" s="187" customFormat="1" x14ac:dyDescent="0.2">
      <c r="B206" s="189" t="s">
        <v>398</v>
      </c>
      <c r="C206" s="189"/>
      <c r="D206" s="189"/>
      <c r="E206" s="189"/>
      <c r="F206" s="189"/>
      <c r="G206" s="189"/>
      <c r="H206" s="189"/>
      <c r="I206" s="189"/>
      <c r="J206" s="189"/>
      <c r="K206" s="190">
        <v>0.05</v>
      </c>
      <c r="L206" s="184"/>
      <c r="M206" s="167">
        <v>13</v>
      </c>
      <c r="N206" s="184"/>
      <c r="O206" s="184"/>
      <c r="P206" s="186">
        <f>P187/Q157</f>
        <v>34.662475684627815</v>
      </c>
      <c r="Q206" s="184"/>
      <c r="R206" s="184"/>
      <c r="S206" s="198">
        <f>Q157*(1+$K$206)</f>
        <v>9.0876370997267486</v>
      </c>
      <c r="T206" s="198">
        <f>S206*(1+$K$206)</f>
        <v>9.542018954713086</v>
      </c>
      <c r="U206" s="198">
        <f t="shared" ref="U206:AE206" si="312">T206*(1+$K$206)</f>
        <v>10.019119902448741</v>
      </c>
      <c r="V206" s="198">
        <f t="shared" si="312"/>
        <v>10.520075897571179</v>
      </c>
      <c r="W206" s="198">
        <f t="shared" si="312"/>
        <v>11.046079692449737</v>
      </c>
      <c r="X206" s="198">
        <f t="shared" si="312"/>
        <v>11.598383677072224</v>
      </c>
      <c r="Y206" s="198">
        <f t="shared" si="312"/>
        <v>12.178302860925836</v>
      </c>
      <c r="Z206" s="198">
        <f t="shared" si="312"/>
        <v>12.787218003972129</v>
      </c>
      <c r="AA206" s="198">
        <f t="shared" si="312"/>
        <v>13.426578904170736</v>
      </c>
      <c r="AB206" s="198">
        <f t="shared" si="312"/>
        <v>14.097907849379274</v>
      </c>
      <c r="AC206" s="198">
        <f t="shared" si="312"/>
        <v>14.802803241848238</v>
      </c>
      <c r="AD206" s="198">
        <f t="shared" si="312"/>
        <v>15.542943403940651</v>
      </c>
      <c r="AE206" s="198">
        <f t="shared" si="312"/>
        <v>16.320090574137684</v>
      </c>
      <c r="AF206" s="198">
        <f t="shared" ref="AF206:AV206" si="313">AE206*(1+$K$206)</f>
        <v>17.136095102844568</v>
      </c>
      <c r="AG206" s="198">
        <f t="shared" si="313"/>
        <v>17.992899857986796</v>
      </c>
      <c r="AH206" s="198">
        <f t="shared" si="313"/>
        <v>18.892544850886136</v>
      </c>
      <c r="AI206" s="198">
        <f t="shared" si="313"/>
        <v>19.837172093430443</v>
      </c>
      <c r="AJ206" s="198">
        <f t="shared" si="313"/>
        <v>20.829030698101967</v>
      </c>
      <c r="AK206" s="198">
        <f t="shared" si="313"/>
        <v>21.870482233007067</v>
      </c>
      <c r="AL206" s="198">
        <f t="shared" si="313"/>
        <v>22.96400634465742</v>
      </c>
      <c r="AM206" s="198">
        <f t="shared" si="313"/>
        <v>24.112206661890291</v>
      </c>
      <c r="AN206" s="198">
        <f t="shared" si="313"/>
        <v>25.317816994984806</v>
      </c>
      <c r="AO206" s="198">
        <f t="shared" si="313"/>
        <v>26.583707844734047</v>
      </c>
      <c r="AP206" s="198">
        <f t="shared" si="313"/>
        <v>27.912893236970749</v>
      </c>
      <c r="AQ206" s="198">
        <f t="shared" si="313"/>
        <v>29.308537898819289</v>
      </c>
      <c r="AR206" s="198">
        <f t="shared" si="313"/>
        <v>30.773964793760253</v>
      </c>
      <c r="AS206" s="198">
        <f t="shared" si="313"/>
        <v>32.312663033448267</v>
      </c>
      <c r="AT206" s="198">
        <f t="shared" si="313"/>
        <v>33.928296185120679</v>
      </c>
      <c r="AU206" s="198">
        <f t="shared" si="313"/>
        <v>35.624710994376713</v>
      </c>
      <c r="AV206" s="198">
        <f t="shared" si="313"/>
        <v>37.405946544095549</v>
      </c>
    </row>
    <row r="207" spans="2:48" s="187" customFormat="1" x14ac:dyDescent="0.2">
      <c r="B207" s="189" t="s">
        <v>399</v>
      </c>
      <c r="C207" s="189"/>
      <c r="D207" s="189"/>
      <c r="E207" s="189"/>
      <c r="F207" s="189"/>
      <c r="G207" s="189"/>
      <c r="H207" s="189"/>
      <c r="I207" s="189"/>
      <c r="J207" s="189"/>
      <c r="K207" s="190">
        <v>0.05</v>
      </c>
      <c r="L207" s="184"/>
      <c r="M207" s="167">
        <v>6</v>
      </c>
      <c r="N207" s="184"/>
      <c r="O207" s="184"/>
      <c r="P207" s="186">
        <f>P187/P81</f>
        <v>14.70311027332705</v>
      </c>
      <c r="Q207" s="184"/>
      <c r="R207" s="184"/>
      <c r="S207" s="219">
        <f>P81*(1+$K$207)</f>
        <v>21.424038461538462</v>
      </c>
      <c r="T207" s="219">
        <f>S207*(1+$K$207)</f>
        <v>22.495240384615386</v>
      </c>
      <c r="U207" s="219">
        <f t="shared" ref="U207:AE207" si="314">T207*(1+$K$207)</f>
        <v>23.620002403846154</v>
      </c>
      <c r="V207" s="219">
        <f t="shared" si="314"/>
        <v>24.801002524038463</v>
      </c>
      <c r="W207" s="219">
        <f t="shared" si="314"/>
        <v>26.041052650240388</v>
      </c>
      <c r="X207" s="219">
        <f t="shared" si="314"/>
        <v>27.343105282752408</v>
      </c>
      <c r="Y207" s="219">
        <f t="shared" si="314"/>
        <v>28.71026054689003</v>
      </c>
      <c r="Z207" s="219">
        <f t="shared" si="314"/>
        <v>30.145773574234532</v>
      </c>
      <c r="AA207" s="219">
        <f t="shared" si="314"/>
        <v>31.65306225294626</v>
      </c>
      <c r="AB207" s="219">
        <f t="shared" si="314"/>
        <v>33.235715365593578</v>
      </c>
      <c r="AC207" s="219">
        <f t="shared" si="314"/>
        <v>34.897501133873256</v>
      </c>
      <c r="AD207" s="219">
        <f t="shared" si="314"/>
        <v>36.642376190566921</v>
      </c>
      <c r="AE207" s="219">
        <f t="shared" si="314"/>
        <v>38.474495000095267</v>
      </c>
      <c r="AF207" s="219">
        <f t="shared" ref="AF207:AV207" si="315">AE207*(1+$K$207)</f>
        <v>40.398219750100033</v>
      </c>
      <c r="AG207" s="219">
        <f t="shared" si="315"/>
        <v>42.41813073760504</v>
      </c>
      <c r="AH207" s="219">
        <f t="shared" si="315"/>
        <v>44.539037274485295</v>
      </c>
      <c r="AI207" s="219">
        <f t="shared" si="315"/>
        <v>46.765989138209562</v>
      </c>
      <c r="AJ207" s="219">
        <f t="shared" si="315"/>
        <v>49.104288595120039</v>
      </c>
      <c r="AK207" s="219">
        <f t="shared" si="315"/>
        <v>51.559503024876044</v>
      </c>
      <c r="AL207" s="219">
        <f t="shared" si="315"/>
        <v>54.137478176119849</v>
      </c>
      <c r="AM207" s="219">
        <f t="shared" si="315"/>
        <v>56.844352084925845</v>
      </c>
      <c r="AN207" s="219">
        <f t="shared" si="315"/>
        <v>59.686569689172138</v>
      </c>
      <c r="AO207" s="219">
        <f t="shared" si="315"/>
        <v>62.670898173630746</v>
      </c>
      <c r="AP207" s="219">
        <f t="shared" si="315"/>
        <v>65.804443082312289</v>
      </c>
      <c r="AQ207" s="219">
        <f t="shared" si="315"/>
        <v>69.0946652364279</v>
      </c>
      <c r="AR207" s="219">
        <f t="shared" si="315"/>
        <v>72.549398498249303</v>
      </c>
      <c r="AS207" s="219">
        <f t="shared" si="315"/>
        <v>76.176868423161778</v>
      </c>
      <c r="AT207" s="219">
        <f t="shared" si="315"/>
        <v>79.985711844319866</v>
      </c>
      <c r="AU207" s="219">
        <f t="shared" si="315"/>
        <v>83.984997436535863</v>
      </c>
      <c r="AV207" s="219">
        <f t="shared" si="315"/>
        <v>88.184247308362657</v>
      </c>
    </row>
    <row r="208" spans="2:48" x14ac:dyDescent="0.2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19">
        <f>$P$187-S207</f>
        <v>278.57596153846151</v>
      </c>
      <c r="T208" s="219">
        <f>S208-T207</f>
        <v>256.08072115384613</v>
      </c>
      <c r="U208" s="219">
        <f>T208-U207</f>
        <v>232.46071874999998</v>
      </c>
      <c r="V208" s="219">
        <f t="shared" ref="V208:AV208" si="316">U208-V207</f>
        <v>207.65971622596152</v>
      </c>
      <c r="W208" s="219">
        <f t="shared" si="316"/>
        <v>181.61866357572114</v>
      </c>
      <c r="X208" s="219">
        <f t="shared" si="316"/>
        <v>154.27555829296873</v>
      </c>
      <c r="Y208" s="219">
        <f t="shared" si="316"/>
        <v>125.5652977460787</v>
      </c>
      <c r="Z208" s="219">
        <f t="shared" si="316"/>
        <v>95.419524171844159</v>
      </c>
      <c r="AA208" s="219">
        <f t="shared" si="316"/>
        <v>63.766461918897903</v>
      </c>
      <c r="AB208" s="219">
        <f t="shared" si="316"/>
        <v>30.530746553304326</v>
      </c>
      <c r="AC208" s="219">
        <f t="shared" si="316"/>
        <v>-4.3667545805689301</v>
      </c>
      <c r="AD208" s="219">
        <f t="shared" si="316"/>
        <v>-41.009130771135851</v>
      </c>
      <c r="AE208" s="219">
        <f t="shared" si="316"/>
        <v>-79.483625771231118</v>
      </c>
      <c r="AF208" s="219">
        <f t="shared" si="316"/>
        <v>-119.88184552133114</v>
      </c>
      <c r="AG208" s="219">
        <f t="shared" si="316"/>
        <v>-162.29997625893617</v>
      </c>
      <c r="AH208" s="219">
        <f t="shared" si="316"/>
        <v>-206.83901353342145</v>
      </c>
      <c r="AI208" s="219">
        <f t="shared" si="316"/>
        <v>-253.60500267163101</v>
      </c>
      <c r="AJ208" s="219">
        <f t="shared" si="316"/>
        <v>-302.70929126675105</v>
      </c>
      <c r="AK208" s="219">
        <f t="shared" si="316"/>
        <v>-354.2687942916271</v>
      </c>
      <c r="AL208" s="219">
        <f t="shared" si="316"/>
        <v>-408.40627246774693</v>
      </c>
      <c r="AM208" s="219">
        <f t="shared" si="316"/>
        <v>-465.25062455267278</v>
      </c>
      <c r="AN208" s="219">
        <f t="shared" si="316"/>
        <v>-524.93719424184496</v>
      </c>
      <c r="AO208" s="219">
        <f t="shared" si="316"/>
        <v>-587.60809241547577</v>
      </c>
      <c r="AP208" s="219">
        <f t="shared" si="316"/>
        <v>-653.4125354977881</v>
      </c>
      <c r="AQ208" s="219">
        <f t="shared" si="316"/>
        <v>-722.50720073421598</v>
      </c>
      <c r="AR208" s="219">
        <f t="shared" si="316"/>
        <v>-795.05659923246526</v>
      </c>
      <c r="AS208" s="219">
        <f t="shared" si="316"/>
        <v>-871.23346765562701</v>
      </c>
      <c r="AT208" s="219">
        <f t="shared" si="316"/>
        <v>-951.2191794999469</v>
      </c>
      <c r="AU208" s="219">
        <f t="shared" si="316"/>
        <v>-1035.2041769364828</v>
      </c>
      <c r="AV208" s="219">
        <f t="shared" si="316"/>
        <v>-1123.3884242448455</v>
      </c>
    </row>
    <row r="209" spans="2:31" x14ac:dyDescent="0.2">
      <c r="B209" s="108" t="s">
        <v>303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 t="s">
        <v>306</v>
      </c>
      <c r="C210" s="25" t="e">
        <f>C10/C7</f>
        <v>#DIV/0!</v>
      </c>
      <c r="D210" s="25" t="e">
        <f>D10/D7</f>
        <v>#DIV/0!</v>
      </c>
      <c r="E210" s="25" t="e">
        <f>E10/E7</f>
        <v>#DIV/0!</v>
      </c>
      <c r="F210" s="25" t="e">
        <f>F10/F7</f>
        <v>#DIV/0!</v>
      </c>
      <c r="G210" s="25">
        <f>G10/G7</f>
        <v>16.887499999999999</v>
      </c>
      <c r="H210" s="25">
        <f>H10/H7</f>
        <v>16.554885404101327</v>
      </c>
      <c r="I210" s="25">
        <f>I10/I7</f>
        <v>17.945727482678983</v>
      </c>
      <c r="J210" s="25">
        <f>J10/J7</f>
        <v>17.269886363636363</v>
      </c>
      <c r="K210" s="25">
        <f>K10/K7</f>
        <v>14.923647146034099</v>
      </c>
      <c r="L210" s="25">
        <f>L10/L7</f>
        <v>14.420673076923077</v>
      </c>
      <c r="M210" s="25">
        <f>M10/M7</f>
        <v>13.201501877346683</v>
      </c>
      <c r="N210" s="25">
        <f>N10/N7</f>
        <v>9.8493827160493819</v>
      </c>
      <c r="O210" s="25">
        <f>O10/O7</f>
        <v>10.766294030795191</v>
      </c>
      <c r="P210" s="25">
        <f>P10/P7</f>
        <v>8.3323722149410226</v>
      </c>
      <c r="Q210" s="118">
        <f t="shared" ref="Q210:Q212" si="317">((P210/G210)^(1/($H$2-$H$1) ))-1</f>
        <v>-7.5490288030281905E-2</v>
      </c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 t="s">
        <v>307</v>
      </c>
      <c r="C211" s="112" t="e">
        <f>C10/C12</f>
        <v>#DIV/0!</v>
      </c>
      <c r="D211" s="112" t="e">
        <f>D10/D12</f>
        <v>#DIV/0!</v>
      </c>
      <c r="E211" s="112" t="e">
        <f>E10/E12</f>
        <v>#DIV/0!</v>
      </c>
      <c r="F211" s="112" t="e">
        <f>F10/F12</f>
        <v>#DIV/0!</v>
      </c>
      <c r="G211" s="112" t="e">
        <f>G10/G12</f>
        <v>#DIV/0!</v>
      </c>
      <c r="H211" s="112" t="e">
        <f>H10/H12</f>
        <v>#DIV/0!</v>
      </c>
      <c r="I211" s="112" t="e">
        <f>I10/I12</f>
        <v>#DIV/0!</v>
      </c>
      <c r="J211" s="112" t="e">
        <f>J10/J12</f>
        <v>#DIV/0!</v>
      </c>
      <c r="K211" s="112" t="e">
        <f>K10/K12</f>
        <v>#DIV/0!</v>
      </c>
      <c r="L211" s="112" t="e">
        <f>L10/L12</f>
        <v>#DIV/0!</v>
      </c>
      <c r="M211" s="112" t="e">
        <f>M10/M12</f>
        <v>#DIV/0!</v>
      </c>
      <c r="N211" s="112" t="e">
        <f>N10/N12</f>
        <v>#DIV/0!</v>
      </c>
      <c r="O211" s="112" t="e">
        <f>O10/O12</f>
        <v>#DIV/0!</v>
      </c>
      <c r="P211" s="112" t="e">
        <f>P10/P12</f>
        <v>#DIV/0!</v>
      </c>
      <c r="Q211" s="118" t="e">
        <f t="shared" si="317"/>
        <v>#DIV/0!</v>
      </c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 t="s">
        <v>308</v>
      </c>
      <c r="C212" s="25" t="e">
        <f>C10/(C12+C15)</f>
        <v>#DIV/0!</v>
      </c>
      <c r="D212" s="25" t="e">
        <f>D10/(D12+D15)</f>
        <v>#DIV/0!</v>
      </c>
      <c r="E212" s="25" t="e">
        <f>E10/(E12+E15)</f>
        <v>#DIV/0!</v>
      </c>
      <c r="F212" s="25" t="e">
        <f>F10/(F12+F15)</f>
        <v>#DIV/0!</v>
      </c>
      <c r="G212" s="25">
        <f>G10/(G12+G15)</f>
        <v>3.4021657013346762</v>
      </c>
      <c r="H212" s="25">
        <f>H10/(H12+H15)</f>
        <v>3.3728188744163186</v>
      </c>
      <c r="I212" s="25">
        <f>I10/(I12+I15)</f>
        <v>2.8731743390645219</v>
      </c>
      <c r="J212" s="25">
        <f>J10/(J12+J15)</f>
        <v>3.0957392632829741</v>
      </c>
      <c r="K212" s="25">
        <f>K10/(K12+K15)</f>
        <v>3.0369588173178457</v>
      </c>
      <c r="L212" s="25">
        <f>L10/(L12+L15)</f>
        <v>2.968699740195472</v>
      </c>
      <c r="M212" s="25">
        <f>M10/(M12+M15)</f>
        <v>3.0423997692529565</v>
      </c>
      <c r="N212" s="25">
        <f>N10/(N12+N15)</f>
        <v>2.943911439114391</v>
      </c>
      <c r="O212" s="25">
        <f>O10/(O12+O15)</f>
        <v>3.503054011392492</v>
      </c>
      <c r="P212" s="25">
        <f>P10/(P12+P15)</f>
        <v>3.2347613717309454</v>
      </c>
      <c r="Q212" s="118">
        <f t="shared" si="317"/>
        <v>-5.5906514972039467E-3</v>
      </c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8" t="s">
        <v>400</v>
      </c>
      <c r="D215" s="209"/>
      <c r="E215" s="209"/>
      <c r="F215" s="209"/>
      <c r="G215" s="209"/>
      <c r="H215" s="209"/>
      <c r="I215" s="209"/>
      <c r="J215" s="209"/>
      <c r="K215" s="193"/>
      <c r="L215" s="223" t="s">
        <v>338</v>
      </c>
      <c r="M215" s="224"/>
      <c r="N215" s="225"/>
      <c r="O215" s="196" t="s">
        <v>341</v>
      </c>
      <c r="P215" s="193"/>
      <c r="Q215" s="223" t="s">
        <v>339</v>
      </c>
      <c r="R215" s="224"/>
      <c r="S215" s="225"/>
      <c r="T215" s="196" t="s">
        <v>341</v>
      </c>
      <c r="U215" s="193"/>
      <c r="V215" s="193"/>
      <c r="W215" s="193"/>
      <c r="X215" s="193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2" t="s">
        <v>340</v>
      </c>
      <c r="D216" s="202" t="s">
        <v>0</v>
      </c>
      <c r="E216" s="202" t="s">
        <v>401</v>
      </c>
      <c r="F216" s="202" t="s">
        <v>402</v>
      </c>
      <c r="G216" s="202" t="s">
        <v>403</v>
      </c>
      <c r="H216" s="202" t="s">
        <v>404</v>
      </c>
      <c r="I216" s="202" t="s">
        <v>405</v>
      </c>
      <c r="J216" s="202" t="s">
        <v>406</v>
      </c>
      <c r="K216" s="193"/>
      <c r="L216" s="202" t="s">
        <v>340</v>
      </c>
      <c r="M216" s="202"/>
      <c r="N216" s="202" t="s">
        <v>0</v>
      </c>
      <c r="O216" s="202" t="s">
        <v>380</v>
      </c>
      <c r="P216" s="193"/>
      <c r="Q216" s="202" t="s">
        <v>340</v>
      </c>
      <c r="R216" s="202"/>
      <c r="S216" s="202" t="s">
        <v>0</v>
      </c>
      <c r="T216" s="202" t="s">
        <v>380</v>
      </c>
      <c r="U216" s="193"/>
      <c r="V216" s="193"/>
      <c r="W216" s="193"/>
      <c r="X216" s="193"/>
      <c r="Y216" s="20"/>
      <c r="Z216" s="20"/>
      <c r="AA216" s="20"/>
      <c r="AB216" s="20"/>
      <c r="AC216" s="20"/>
      <c r="AD216" s="20"/>
      <c r="AE216" s="20"/>
    </row>
    <row r="217" spans="2:31" x14ac:dyDescent="0.2">
      <c r="B217" s="20"/>
      <c r="C217" s="203" t="s">
        <v>342</v>
      </c>
      <c r="D217" s="194">
        <v>40</v>
      </c>
      <c r="E217" s="210" t="s">
        <v>407</v>
      </c>
      <c r="F217" s="195">
        <v>1</v>
      </c>
      <c r="G217" s="195">
        <v>1</v>
      </c>
      <c r="H217" s="215">
        <f>F217/G217</f>
        <v>1</v>
      </c>
      <c r="I217" s="216">
        <f>D218*H217</f>
        <v>1</v>
      </c>
      <c r="J217" s="216">
        <f>SUM(H217:I217)</f>
        <v>2</v>
      </c>
      <c r="K217" s="193"/>
      <c r="L217" s="203" t="s">
        <v>342</v>
      </c>
      <c r="M217" s="203"/>
      <c r="N217" s="194">
        <v>40</v>
      </c>
      <c r="O217" s="207">
        <f>N217</f>
        <v>40</v>
      </c>
      <c r="P217" s="193"/>
      <c r="Q217" s="203" t="s">
        <v>342</v>
      </c>
      <c r="R217" s="203"/>
      <c r="S217" s="194">
        <v>1</v>
      </c>
      <c r="T217" s="207">
        <v>1</v>
      </c>
      <c r="U217" s="193"/>
      <c r="V217" s="193"/>
      <c r="W217" s="193"/>
      <c r="X217" s="193"/>
      <c r="Y217" s="20"/>
      <c r="Z217" s="20"/>
      <c r="AA217" s="20"/>
      <c r="AB217" s="20"/>
      <c r="AC217" s="20"/>
      <c r="AD217" s="20"/>
      <c r="AE217" s="20"/>
    </row>
    <row r="218" spans="2:31" x14ac:dyDescent="0.2">
      <c r="B218" s="20"/>
      <c r="C218" s="203" t="s">
        <v>343</v>
      </c>
      <c r="D218" s="194">
        <v>1</v>
      </c>
      <c r="E218" s="210" t="s">
        <v>408</v>
      </c>
      <c r="F218" s="195">
        <v>1</v>
      </c>
      <c r="G218" s="195">
        <v>1</v>
      </c>
      <c r="H218" s="215">
        <f>F218/G218</f>
        <v>1</v>
      </c>
      <c r="I218" s="216">
        <f>H218*J217</f>
        <v>2</v>
      </c>
      <c r="J218" s="216">
        <f>I218+J217</f>
        <v>4</v>
      </c>
      <c r="K218" s="193"/>
      <c r="L218" s="203" t="s">
        <v>343</v>
      </c>
      <c r="M218" s="203"/>
      <c r="N218" s="194">
        <v>1</v>
      </c>
      <c r="O218" s="207">
        <f>N218</f>
        <v>1</v>
      </c>
      <c r="P218" s="193"/>
      <c r="Q218" s="203" t="s">
        <v>343</v>
      </c>
      <c r="R218" s="203"/>
      <c r="S218" s="194">
        <v>1</v>
      </c>
      <c r="T218" s="207">
        <v>1</v>
      </c>
      <c r="U218" s="193"/>
      <c r="V218" s="193"/>
      <c r="W218" s="193"/>
      <c r="X218" s="193"/>
      <c r="Y218" s="20"/>
      <c r="Z218" s="20"/>
      <c r="AA218" s="20"/>
      <c r="AB218" s="20"/>
      <c r="AC218" s="20"/>
      <c r="AD218" s="20"/>
      <c r="AE218" s="20"/>
    </row>
    <row r="219" spans="2:31" x14ac:dyDescent="0.2">
      <c r="B219" s="20"/>
      <c r="C219" s="203" t="s">
        <v>345</v>
      </c>
      <c r="D219" s="204">
        <f>D217*D218</f>
        <v>40</v>
      </c>
      <c r="E219" s="210" t="s">
        <v>409</v>
      </c>
      <c r="F219" s="195">
        <v>0</v>
      </c>
      <c r="G219" s="195">
        <v>2</v>
      </c>
      <c r="H219" s="215">
        <f>F219/G219</f>
        <v>0</v>
      </c>
      <c r="I219" s="216">
        <f>H219*J218</f>
        <v>0</v>
      </c>
      <c r="J219" s="216">
        <f>I219+J218</f>
        <v>4</v>
      </c>
      <c r="K219" s="193"/>
      <c r="L219" s="203" t="s">
        <v>344</v>
      </c>
      <c r="M219" s="203"/>
      <c r="N219" s="204">
        <f>N217*N218</f>
        <v>40</v>
      </c>
      <c r="O219" s="207">
        <f>N219</f>
        <v>40</v>
      </c>
      <c r="P219" s="193"/>
      <c r="Q219" s="203" t="s">
        <v>345</v>
      </c>
      <c r="R219" s="203"/>
      <c r="S219" s="204">
        <v>1</v>
      </c>
      <c r="T219" s="207">
        <v>1</v>
      </c>
      <c r="U219" s="193"/>
      <c r="V219" s="193"/>
      <c r="W219" s="193"/>
      <c r="X219" s="193"/>
      <c r="Y219" s="20"/>
      <c r="Z219" s="20"/>
      <c r="AA219" s="20"/>
      <c r="AB219" s="20"/>
      <c r="AC219" s="20"/>
      <c r="AD219" s="20"/>
      <c r="AE219" s="20"/>
    </row>
    <row r="220" spans="2:31" x14ac:dyDescent="0.2">
      <c r="B220" s="20"/>
      <c r="C220" s="203"/>
      <c r="D220" s="204"/>
      <c r="E220" s="210" t="s">
        <v>410</v>
      </c>
      <c r="F220" s="195">
        <v>10</v>
      </c>
      <c r="G220" s="195">
        <v>2</v>
      </c>
      <c r="H220" s="215">
        <f>F220/G220</f>
        <v>5</v>
      </c>
      <c r="I220" s="216">
        <f>H220*J219</f>
        <v>20</v>
      </c>
      <c r="J220" s="216">
        <f>I220</f>
        <v>20</v>
      </c>
      <c r="K220" s="193"/>
      <c r="L220" s="203" t="s">
        <v>346</v>
      </c>
      <c r="M220" s="203"/>
      <c r="N220" s="194">
        <v>495</v>
      </c>
      <c r="O220" s="194">
        <v>530</v>
      </c>
      <c r="P220" s="193"/>
      <c r="Q220" s="203" t="s">
        <v>346</v>
      </c>
      <c r="R220" s="203"/>
      <c r="S220" s="194">
        <v>1</v>
      </c>
      <c r="T220" s="194">
        <v>1</v>
      </c>
      <c r="U220" s="193"/>
      <c r="V220" s="193"/>
      <c r="W220" s="193"/>
      <c r="X220" s="193"/>
      <c r="Y220" s="20"/>
      <c r="Z220" s="20"/>
      <c r="AA220" s="20"/>
      <c r="AB220" s="20"/>
      <c r="AC220" s="20"/>
      <c r="AD220" s="20"/>
      <c r="AE220" s="20"/>
    </row>
    <row r="221" spans="2:31" x14ac:dyDescent="0.2">
      <c r="B221" s="20"/>
      <c r="C221" s="203" t="s">
        <v>346</v>
      </c>
      <c r="D221" s="194">
        <v>495</v>
      </c>
      <c r="E221" s="210"/>
      <c r="F221" s="203"/>
      <c r="G221" s="203"/>
      <c r="H221" s="205" t="s">
        <v>411</v>
      </c>
      <c r="I221" s="203"/>
      <c r="J221" s="216">
        <f>J220</f>
        <v>20</v>
      </c>
      <c r="K221" s="193"/>
      <c r="L221" s="203" t="s">
        <v>347</v>
      </c>
      <c r="M221" s="203"/>
      <c r="N221" s="204">
        <f>N220*N218</f>
        <v>495</v>
      </c>
      <c r="O221" s="204">
        <f>O220*O218</f>
        <v>530</v>
      </c>
      <c r="P221" s="193"/>
      <c r="Q221" s="203" t="s">
        <v>343</v>
      </c>
      <c r="R221" s="203"/>
      <c r="S221" s="194">
        <v>1</v>
      </c>
      <c r="T221" s="199">
        <v>1</v>
      </c>
      <c r="U221" s="193"/>
      <c r="V221" s="193"/>
      <c r="W221" s="193"/>
      <c r="X221" s="193"/>
      <c r="Y221" s="20"/>
      <c r="Z221" s="20"/>
      <c r="AA221" s="20"/>
      <c r="AB221" s="20"/>
      <c r="AC221" s="20"/>
      <c r="AD221" s="20"/>
      <c r="AE221" s="20"/>
    </row>
    <row r="222" spans="2:31" x14ac:dyDescent="0.2">
      <c r="B222" s="20"/>
      <c r="C222" s="203" t="s">
        <v>343</v>
      </c>
      <c r="D222" s="194">
        <v>1</v>
      </c>
      <c r="E222" s="210" t="s">
        <v>410</v>
      </c>
      <c r="F222" s="195">
        <v>10</v>
      </c>
      <c r="G222" s="195">
        <v>2</v>
      </c>
      <c r="H222" s="203">
        <f>F222/G222</f>
        <v>5</v>
      </c>
      <c r="I222" s="211">
        <f>H222*D218</f>
        <v>5</v>
      </c>
      <c r="J222" s="211">
        <f>I222</f>
        <v>5</v>
      </c>
      <c r="K222" s="193"/>
      <c r="L222" s="203"/>
      <c r="M222" s="203"/>
      <c r="N222" s="204"/>
      <c r="O222" s="204"/>
      <c r="P222" s="193"/>
      <c r="Q222" s="203" t="s">
        <v>345</v>
      </c>
      <c r="R222" s="203"/>
      <c r="S222" s="204">
        <v>1</v>
      </c>
      <c r="T222" s="204">
        <v>1</v>
      </c>
      <c r="U222" s="193"/>
      <c r="V222" s="193"/>
      <c r="W222" s="193"/>
      <c r="X222" s="193"/>
      <c r="Y222" s="20"/>
      <c r="Z222" s="20"/>
      <c r="AA222" s="20"/>
      <c r="AB222" s="20"/>
      <c r="AC222" s="20"/>
      <c r="AD222" s="20"/>
      <c r="AE222" s="20"/>
    </row>
    <row r="223" spans="2:31" x14ac:dyDescent="0.2">
      <c r="B223" s="20"/>
      <c r="C223" s="203" t="s">
        <v>345</v>
      </c>
      <c r="D223" s="204">
        <f>D221*D222</f>
        <v>495</v>
      </c>
      <c r="E223" s="203"/>
      <c r="F223" s="203"/>
      <c r="G223" s="203"/>
      <c r="H223" s="205" t="s">
        <v>411</v>
      </c>
      <c r="I223" s="203"/>
      <c r="J223" s="216">
        <f>J222</f>
        <v>5</v>
      </c>
      <c r="K223" s="193"/>
      <c r="L223" s="203"/>
      <c r="M223" s="203"/>
      <c r="N223" s="204"/>
      <c r="O223" s="204"/>
      <c r="P223" s="193"/>
      <c r="Q223" s="203"/>
      <c r="R223" s="203"/>
      <c r="S223" s="204"/>
      <c r="T223" s="204"/>
      <c r="U223" s="193"/>
      <c r="V223" s="193"/>
      <c r="W223" s="193"/>
      <c r="X223" s="193"/>
      <c r="Y223" s="20"/>
      <c r="Z223" s="20"/>
      <c r="AA223" s="20"/>
      <c r="AB223" s="20"/>
      <c r="AC223" s="20"/>
      <c r="AD223" s="20"/>
      <c r="AE223" s="20"/>
    </row>
    <row r="224" spans="2:31" x14ac:dyDescent="0.2">
      <c r="B224" s="20"/>
      <c r="C224" s="203"/>
      <c r="D224" s="204"/>
      <c r="E224" s="210" t="s">
        <v>410</v>
      </c>
      <c r="F224" s="195">
        <v>10</v>
      </c>
      <c r="G224" s="195">
        <v>2</v>
      </c>
      <c r="H224" s="203">
        <f>F224/G224</f>
        <v>5</v>
      </c>
      <c r="I224" s="216">
        <f>H224*J223</f>
        <v>25</v>
      </c>
      <c r="J224" s="216">
        <f>I224</f>
        <v>25</v>
      </c>
      <c r="K224" s="193"/>
      <c r="L224" s="205" t="s">
        <v>348</v>
      </c>
      <c r="M224" s="205"/>
      <c r="N224" s="206">
        <f>N221/N219</f>
        <v>12.375</v>
      </c>
      <c r="O224" s="206">
        <f>O221/O219</f>
        <v>13.25</v>
      </c>
      <c r="P224" s="193"/>
      <c r="Q224" s="205" t="s">
        <v>348</v>
      </c>
      <c r="R224" s="205"/>
      <c r="S224" s="206">
        <v>1</v>
      </c>
      <c r="T224" s="206">
        <v>1</v>
      </c>
      <c r="U224" s="193"/>
      <c r="V224" s="193"/>
      <c r="W224" s="193"/>
      <c r="X224" s="193"/>
      <c r="Y224" s="20"/>
      <c r="Z224" s="20"/>
      <c r="AA224" s="20"/>
      <c r="AB224" s="20"/>
      <c r="AC224" s="20"/>
      <c r="AD224" s="20"/>
      <c r="AE224" s="20"/>
    </row>
    <row r="225" spans="2:31" x14ac:dyDescent="0.2">
      <c r="B225" s="20"/>
      <c r="C225" s="205" t="s">
        <v>348</v>
      </c>
      <c r="D225" s="206">
        <v>1</v>
      </c>
      <c r="E225" s="210"/>
      <c r="F225" s="203"/>
      <c r="G225" s="203"/>
      <c r="H225" s="205" t="s">
        <v>411</v>
      </c>
      <c r="I225" s="203"/>
      <c r="J225" s="216">
        <f>J224</f>
        <v>25</v>
      </c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20"/>
      <c r="Z225" s="20"/>
      <c r="AA225" s="20"/>
      <c r="AB225" s="20"/>
      <c r="AC225" s="20"/>
      <c r="AD225" s="20"/>
      <c r="AE225" s="20"/>
    </row>
    <row r="226" spans="2:31" x14ac:dyDescent="0.2"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</row>
    <row r="227" spans="2:31" x14ac:dyDescent="0.2">
      <c r="B227" s="193"/>
      <c r="C227" s="193"/>
      <c r="D227" s="200"/>
      <c r="E227" s="212"/>
      <c r="F227" s="212"/>
      <c r="G227" s="213"/>
      <c r="H227" s="193"/>
      <c r="I227" s="200"/>
      <c r="J227" s="212"/>
      <c r="K227" s="213"/>
      <c r="L227" s="193"/>
      <c r="M227" s="193">
        <v>8</v>
      </c>
      <c r="N227" s="193">
        <v>12</v>
      </c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</row>
    <row r="228" spans="2:31" ht="14.25" x14ac:dyDescent="0.2">
      <c r="B228" s="193"/>
      <c r="C228" s="193"/>
      <c r="D228" s="220" t="s">
        <v>27</v>
      </c>
      <c r="E228" s="221"/>
      <c r="F228" s="221"/>
      <c r="G228" s="222"/>
      <c r="H228" s="193"/>
      <c r="I228" s="220" t="s">
        <v>412</v>
      </c>
      <c r="J228" s="221"/>
      <c r="K228" s="222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</row>
    <row r="229" spans="2:31" x14ac:dyDescent="0.2">
      <c r="B229" s="193"/>
      <c r="C229" s="193"/>
      <c r="D229" s="193" t="s">
        <v>28</v>
      </c>
      <c r="E229" s="199"/>
      <c r="F229" s="199"/>
      <c r="G229" s="194">
        <f>D219</f>
        <v>40</v>
      </c>
      <c r="H229" s="193"/>
      <c r="I229" s="193" t="s">
        <v>28</v>
      </c>
      <c r="J229" s="199"/>
      <c r="K229" s="194">
        <f>G229</f>
        <v>40</v>
      </c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</row>
    <row r="230" spans="2:31" x14ac:dyDescent="0.2">
      <c r="B230" s="193"/>
      <c r="C230" s="193"/>
      <c r="D230" s="193" t="s">
        <v>29</v>
      </c>
      <c r="E230" s="199"/>
      <c r="F230" s="199"/>
      <c r="G230" s="194">
        <f>D223</f>
        <v>495</v>
      </c>
      <c r="H230" s="193"/>
      <c r="I230" s="193" t="s">
        <v>29</v>
      </c>
      <c r="J230" s="193"/>
      <c r="K230" s="194">
        <f>G230</f>
        <v>495</v>
      </c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</row>
    <row r="231" spans="2:31" x14ac:dyDescent="0.2">
      <c r="B231" s="193"/>
      <c r="C231" s="193"/>
      <c r="D231" s="193" t="s">
        <v>30</v>
      </c>
      <c r="E231" s="193"/>
      <c r="F231" s="193"/>
      <c r="G231" s="195">
        <v>10</v>
      </c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</row>
    <row r="232" spans="2:31" x14ac:dyDescent="0.2">
      <c r="B232" s="193"/>
      <c r="C232" s="193"/>
      <c r="D232" s="196" t="s">
        <v>31</v>
      </c>
      <c r="E232" s="192"/>
      <c r="F232" s="192"/>
      <c r="G232" s="192">
        <f>((G230/G229)^(1/G231))-1</f>
        <v>0.28604013029477171</v>
      </c>
      <c r="H232" s="193"/>
      <c r="I232" s="196" t="s">
        <v>413</v>
      </c>
      <c r="J232" s="196"/>
      <c r="K232" s="214">
        <f>(K230-K229)/K229</f>
        <v>11.375</v>
      </c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</row>
    <row r="233" spans="2:31" x14ac:dyDescent="0.2">
      <c r="B233" s="193"/>
      <c r="C233" s="193"/>
      <c r="D233" s="196" t="s">
        <v>32</v>
      </c>
      <c r="E233" s="201"/>
      <c r="F233" s="201"/>
      <c r="G233" s="197">
        <f>G231*12</f>
        <v>120</v>
      </c>
      <c r="H233" s="193"/>
      <c r="I233" s="196" t="s">
        <v>414</v>
      </c>
      <c r="J233" s="196"/>
      <c r="K233" s="196">
        <f>K230/K229</f>
        <v>12.375</v>
      </c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</row>
    <row r="234" spans="2:31" x14ac:dyDescent="0.2">
      <c r="B234" s="193"/>
      <c r="C234" s="193"/>
      <c r="D234" s="193" t="s">
        <v>30</v>
      </c>
      <c r="E234" s="198"/>
      <c r="F234" s="198"/>
      <c r="G234" s="198">
        <f>G233/12</f>
        <v>10</v>
      </c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</row>
    <row r="235" spans="2:31" x14ac:dyDescent="0.2">
      <c r="B235" s="193"/>
      <c r="C235" s="193"/>
      <c r="D235" s="196" t="s">
        <v>33</v>
      </c>
      <c r="E235" s="192"/>
      <c r="F235" s="192"/>
      <c r="G235" s="192">
        <v>0</v>
      </c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</row>
    <row r="236" spans="2:31" x14ac:dyDescent="0.2"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</row>
    <row r="237" spans="2:31" ht="15" x14ac:dyDescent="0.25"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</row>
  </sheetData>
  <mergeCells count="7">
    <mergeCell ref="D228:G228"/>
    <mergeCell ref="I228:K228"/>
    <mergeCell ref="L215:N215"/>
    <mergeCell ref="Q215:S215"/>
    <mergeCell ref="AD2:AE2"/>
    <mergeCell ref="AD3:AE3"/>
    <mergeCell ref="K198:L198"/>
  </mergeCells>
  <pageMargins left="0.7" right="0.7" top="0.75" bottom="0.75" header="0.3" footer="0.3"/>
  <pageSetup orientation="portrait" r:id="rId1"/>
  <ignoredErrors>
    <ignoredError sqref="C189" evalError="1"/>
    <ignoredError sqref="T52 J223 J22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32" t="s">
        <v>27</v>
      </c>
      <c r="K5" s="232"/>
      <c r="M5" s="232" t="s">
        <v>65</v>
      </c>
      <c r="N5" s="23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32" t="s">
        <v>36</v>
      </c>
      <c r="K14" s="232"/>
      <c r="L14" s="23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32" t="s">
        <v>27</v>
      </c>
      <c r="S5" s="23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32" t="s">
        <v>36</v>
      </c>
      <c r="S14" s="232"/>
      <c r="T14" s="23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32" t="s">
        <v>27</v>
      </c>
      <c r="C2" s="232"/>
      <c r="E2" s="232" t="s">
        <v>65</v>
      </c>
      <c r="F2" s="232"/>
      <c r="H2" s="236" t="s">
        <v>36</v>
      </c>
      <c r="I2" s="237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33" t="s">
        <v>68</v>
      </c>
      <c r="E10" s="234"/>
      <c r="F10" s="234"/>
      <c r="G10" s="234"/>
      <c r="H10" s="235"/>
      <c r="I10" s="233" t="s">
        <v>72</v>
      </c>
      <c r="J10" s="234"/>
      <c r="K10" s="234"/>
      <c r="L10" s="23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2014-04-26T18:47:42Z</dcterms:modified>
</cp:coreProperties>
</file>
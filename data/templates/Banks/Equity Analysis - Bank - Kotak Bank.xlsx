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filterPrivacy="1" defaultThemeVersion="124226"/>
  <xr:revisionPtr revIDLastSave="3" documentId="11_B5B2CBBC1F1A6F7ADBC0E3F3762E8E5131F37954" xr6:coauthVersionLast="47" xr6:coauthVersionMax="47" xr10:uidLastSave="{460799A0-BFE2-AA4E-BC50-E6E9F259E777}"/>
  <bookViews>
    <workbookView xWindow="1440" yWindow="760" windowWidth="28800" windowHeight="18880" activeTab="2" xr2:uid="{00000000-000D-0000-FFFF-FFFF00000000}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8" l="1"/>
  <c r="P8" i="18"/>
  <c r="O8" i="18"/>
  <c r="N8" i="18"/>
  <c r="M8" i="18"/>
  <c r="L8" i="18"/>
  <c r="K8" i="18"/>
  <c r="J8" i="18"/>
  <c r="I8" i="18"/>
  <c r="H8" i="18"/>
  <c r="G8" i="18"/>
  <c r="H266" i="18"/>
  <c r="H268" i="18" s="1"/>
  <c r="H269" i="18" s="1"/>
  <c r="H265" i="18"/>
  <c r="H264" i="18"/>
  <c r="T201" i="18"/>
  <c r="T59" i="18"/>
  <c r="T57" i="18"/>
  <c r="T55" i="18"/>
  <c r="T47" i="18"/>
  <c r="T45" i="18"/>
  <c r="T41" i="18"/>
  <c r="T42" i="18"/>
  <c r="T43" i="18"/>
  <c r="T40" i="18"/>
  <c r="T38" i="18"/>
  <c r="T36" i="18"/>
  <c r="T29" i="18"/>
  <c r="T27" i="18"/>
  <c r="T25" i="18"/>
  <c r="T21" i="18"/>
  <c r="T22" i="18"/>
  <c r="T23" i="18"/>
  <c r="T20" i="18"/>
  <c r="T18" i="18"/>
  <c r="T10" i="18"/>
  <c r="T9" i="18"/>
  <c r="T7" i="18"/>
  <c r="T6" i="18"/>
  <c r="G241" i="18"/>
  <c r="H241" i="18"/>
  <c r="G211" i="18"/>
  <c r="H211" i="18"/>
  <c r="G212" i="18"/>
  <c r="H212" i="18"/>
  <c r="H11" i="18"/>
  <c r="G11" i="18"/>
  <c r="H13" i="18"/>
  <c r="G13" i="18" s="1"/>
  <c r="H26" i="18"/>
  <c r="G26" i="18"/>
  <c r="H28" i="18"/>
  <c r="G28" i="18"/>
  <c r="H30" i="18"/>
  <c r="G30" i="18"/>
  <c r="H37" i="18"/>
  <c r="G37" i="18"/>
  <c r="H39" i="18"/>
  <c r="G39" i="18"/>
  <c r="H44" i="18"/>
  <c r="G44" i="18"/>
  <c r="H46" i="18"/>
  <c r="G46" i="18"/>
  <c r="H48" i="18"/>
  <c r="G48" i="18"/>
  <c r="H56" i="18"/>
  <c r="G56" i="18"/>
  <c r="H58" i="18"/>
  <c r="G58" i="18"/>
  <c r="H60" i="18"/>
  <c r="G60" i="18"/>
  <c r="G66" i="18"/>
  <c r="H66" i="18"/>
  <c r="H202" i="18" s="1"/>
  <c r="G67" i="18"/>
  <c r="H67" i="18"/>
  <c r="G72" i="18"/>
  <c r="H72" i="18"/>
  <c r="H203" i="18" s="1"/>
  <c r="G73" i="18"/>
  <c r="H73" i="18"/>
  <c r="G74" i="18"/>
  <c r="H74" i="18"/>
  <c r="H75" i="18"/>
  <c r="H206" i="18" s="1"/>
  <c r="G76" i="18"/>
  <c r="H76" i="18"/>
  <c r="G78" i="18"/>
  <c r="H78" i="18"/>
  <c r="G79" i="18"/>
  <c r="H79" i="18"/>
  <c r="H83" i="18"/>
  <c r="G88" i="18"/>
  <c r="G139" i="18" s="1"/>
  <c r="G140" i="18" s="1"/>
  <c r="H88" i="18"/>
  <c r="H139" i="18" s="1"/>
  <c r="H140" i="18" s="1"/>
  <c r="G90" i="18"/>
  <c r="G92" i="18" s="1"/>
  <c r="H90" i="18"/>
  <c r="H92" i="18" s="1"/>
  <c r="G93" i="18"/>
  <c r="H93" i="18"/>
  <c r="G94" i="18"/>
  <c r="H94" i="18"/>
  <c r="G95" i="18"/>
  <c r="H95" i="18"/>
  <c r="G96" i="18"/>
  <c r="H96" i="18"/>
  <c r="G99" i="18"/>
  <c r="H99" i="18"/>
  <c r="H100" i="18"/>
  <c r="G102" i="18"/>
  <c r="H102" i="18"/>
  <c r="G106" i="18"/>
  <c r="H106" i="18"/>
  <c r="G107" i="18"/>
  <c r="H107" i="18"/>
  <c r="G108" i="18"/>
  <c r="H108" i="18"/>
  <c r="G109" i="18"/>
  <c r="H109" i="18"/>
  <c r="G112" i="18"/>
  <c r="H112" i="18"/>
  <c r="H118" i="18" s="1"/>
  <c r="G114" i="18"/>
  <c r="H114" i="18"/>
  <c r="G116" i="18"/>
  <c r="H116" i="18"/>
  <c r="H122" i="18" s="1"/>
  <c r="G118" i="18"/>
  <c r="G120" i="18"/>
  <c r="H120" i="18"/>
  <c r="G122" i="18"/>
  <c r="G124" i="18"/>
  <c r="H124" i="18"/>
  <c r="G125" i="18"/>
  <c r="H125" i="18"/>
  <c r="G126" i="18"/>
  <c r="H126" i="18"/>
  <c r="G127" i="18"/>
  <c r="H127" i="18"/>
  <c r="G128" i="18"/>
  <c r="H128" i="18"/>
  <c r="G129" i="18"/>
  <c r="H129" i="18"/>
  <c r="G131" i="18"/>
  <c r="H131" i="18"/>
  <c r="G132" i="18"/>
  <c r="H132" i="18"/>
  <c r="G135" i="18"/>
  <c r="H135" i="18"/>
  <c r="G136" i="18"/>
  <c r="H136" i="18"/>
  <c r="G137" i="18"/>
  <c r="H137" i="18"/>
  <c r="G149" i="18"/>
  <c r="H149" i="18"/>
  <c r="G156" i="18"/>
  <c r="H156" i="18"/>
  <c r="G157" i="18"/>
  <c r="H157" i="18"/>
  <c r="G159" i="18"/>
  <c r="H159" i="18"/>
  <c r="G160" i="18"/>
  <c r="H160" i="18"/>
  <c r="I34" i="18"/>
  <c r="H34" i="18" s="1"/>
  <c r="I33" i="18"/>
  <c r="H33" i="18" s="1"/>
  <c r="I13" i="18"/>
  <c r="T13" i="18" l="1"/>
  <c r="G83" i="18"/>
  <c r="H151" i="18"/>
  <c r="G34" i="18"/>
  <c r="G143" i="18"/>
  <c r="G141" i="18"/>
  <c r="G142" i="18" s="1"/>
  <c r="G33" i="18"/>
  <c r="H150" i="18"/>
  <c r="H141" i="18"/>
  <c r="H142" i="18" s="1"/>
  <c r="H143" i="18"/>
  <c r="H215" i="18"/>
  <c r="H216" i="18"/>
  <c r="H217" i="18" s="1"/>
  <c r="G214" i="18"/>
  <c r="G203" i="18"/>
  <c r="H214" i="18"/>
  <c r="G202" i="18"/>
  <c r="H267" i="18"/>
  <c r="H270" i="18"/>
  <c r="G100" i="18"/>
  <c r="G75" i="18"/>
  <c r="S129" i="18"/>
  <c r="T129" i="18" s="1"/>
  <c r="R129" i="18"/>
  <c r="Q129" i="18"/>
  <c r="P129" i="18"/>
  <c r="O129" i="18"/>
  <c r="N129" i="18"/>
  <c r="M129" i="18"/>
  <c r="L129" i="18"/>
  <c r="K129" i="18"/>
  <c r="J129" i="18"/>
  <c r="I129" i="18"/>
  <c r="AG47" i="18"/>
  <c r="U47" i="18"/>
  <c r="V47" i="18" s="1"/>
  <c r="W47" i="18" s="1"/>
  <c r="X47" i="18" s="1"/>
  <c r="Y47" i="18" s="1"/>
  <c r="Z47" i="18" s="1"/>
  <c r="AA47" i="18" s="1"/>
  <c r="AB47" i="18" s="1"/>
  <c r="AC47" i="18" s="1"/>
  <c r="AD47" i="18" s="1"/>
  <c r="AE47" i="18" s="1"/>
  <c r="S48" i="18"/>
  <c r="R48" i="18"/>
  <c r="Q48" i="18"/>
  <c r="P48" i="18"/>
  <c r="O48" i="18"/>
  <c r="N48" i="18"/>
  <c r="M48" i="18"/>
  <c r="L48" i="18"/>
  <c r="K48" i="18"/>
  <c r="J48" i="18"/>
  <c r="I48" i="18"/>
  <c r="S130" i="18"/>
  <c r="R130" i="18"/>
  <c r="Q130" i="18"/>
  <c r="P130" i="18"/>
  <c r="O130" i="18"/>
  <c r="N130" i="18"/>
  <c r="M130" i="18"/>
  <c r="L130" i="18"/>
  <c r="K130" i="18"/>
  <c r="J130" i="18"/>
  <c r="V57" i="18"/>
  <c r="G150" i="18" l="1"/>
  <c r="T33" i="18"/>
  <c r="T34" i="18"/>
  <c r="G151" i="18"/>
  <c r="G215" i="18"/>
  <c r="G216" i="18"/>
  <c r="G206" i="18"/>
  <c r="AF47" i="18"/>
  <c r="S126" i="18"/>
  <c r="T126" i="18" s="1"/>
  <c r="R126" i="18"/>
  <c r="Q126" i="18"/>
  <c r="P126" i="18"/>
  <c r="O126" i="18"/>
  <c r="N126" i="18"/>
  <c r="M126" i="18"/>
  <c r="L126" i="18"/>
  <c r="K126" i="18"/>
  <c r="J126" i="18"/>
  <c r="J46" i="18"/>
  <c r="U49" i="18"/>
  <c r="I49" i="18"/>
  <c r="S46" i="18"/>
  <c r="R46" i="18"/>
  <c r="Q46" i="18"/>
  <c r="P46" i="18"/>
  <c r="O46" i="18"/>
  <c r="N46" i="18"/>
  <c r="M46" i="18"/>
  <c r="L46" i="18"/>
  <c r="K46" i="18"/>
  <c r="I46" i="18"/>
  <c r="S44" i="18"/>
  <c r="R44" i="18"/>
  <c r="Q44" i="18"/>
  <c r="P44" i="18"/>
  <c r="O44" i="18"/>
  <c r="N44" i="18"/>
  <c r="M44" i="18"/>
  <c r="L44" i="18"/>
  <c r="K44" i="18"/>
  <c r="I44" i="18"/>
  <c r="S39" i="18"/>
  <c r="R39" i="18"/>
  <c r="Q39" i="18"/>
  <c r="P39" i="18"/>
  <c r="O39" i="18"/>
  <c r="N39" i="18"/>
  <c r="M39" i="18"/>
  <c r="L39" i="18"/>
  <c r="K39" i="18"/>
  <c r="J39" i="18"/>
  <c r="S37" i="18"/>
  <c r="R37" i="18"/>
  <c r="Q37" i="18"/>
  <c r="P37" i="18"/>
  <c r="O37" i="18"/>
  <c r="N37" i="18"/>
  <c r="M37" i="18"/>
  <c r="L37" i="18"/>
  <c r="K37" i="18"/>
  <c r="J44" i="18"/>
  <c r="I39" i="18"/>
  <c r="I126" i="18"/>
  <c r="I32" i="18"/>
  <c r="H32" i="18" s="1"/>
  <c r="I31" i="18"/>
  <c r="H31" i="18" s="1"/>
  <c r="I53" i="18"/>
  <c r="H53" i="18" s="1"/>
  <c r="I51" i="18"/>
  <c r="H51" i="18" s="1"/>
  <c r="I16" i="18"/>
  <c r="H16" i="18" s="1"/>
  <c r="I15" i="18"/>
  <c r="H15" i="18" s="1"/>
  <c r="I14" i="18"/>
  <c r="H14" i="18" s="1"/>
  <c r="I12" i="18"/>
  <c r="H12" i="18" s="1"/>
  <c r="G14" i="18" l="1"/>
  <c r="H167" i="18"/>
  <c r="H166" i="18"/>
  <c r="H70" i="18"/>
  <c r="H204" i="18" s="1"/>
  <c r="H113" i="18"/>
  <c r="H119" i="18" s="1"/>
  <c r="H105" i="18"/>
  <c r="H98" i="18"/>
  <c r="H164" i="18" s="1"/>
  <c r="G51" i="18"/>
  <c r="H80" i="18"/>
  <c r="H209" i="18" s="1"/>
  <c r="H85" i="18"/>
  <c r="H154" i="18"/>
  <c r="G15" i="18"/>
  <c r="H49" i="18"/>
  <c r="I130" i="18"/>
  <c r="H162" i="18"/>
  <c r="H163" i="18" s="1"/>
  <c r="G16" i="18"/>
  <c r="H86" i="18"/>
  <c r="H208" i="18" s="1"/>
  <c r="G53" i="18"/>
  <c r="H71" i="18"/>
  <c r="H205" i="18" s="1"/>
  <c r="H68" i="18"/>
  <c r="H110" i="18" s="1"/>
  <c r="H243" i="18"/>
  <c r="H82" i="18"/>
  <c r="H84" i="18" s="1"/>
  <c r="H207" i="18" s="1"/>
  <c r="H115" i="18"/>
  <c r="H121" i="18" s="1"/>
  <c r="H242" i="18"/>
  <c r="G12" i="18"/>
  <c r="H134" i="18"/>
  <c r="H155" i="18"/>
  <c r="H147" i="18"/>
  <c r="G31" i="18"/>
  <c r="H145" i="18"/>
  <c r="H146" i="18"/>
  <c r="G32" i="18"/>
  <c r="G217" i="18"/>
  <c r="I37" i="18"/>
  <c r="J37" i="18"/>
  <c r="S132" i="18"/>
  <c r="T132" i="18" s="1"/>
  <c r="S131" i="18"/>
  <c r="T131" i="18" s="1"/>
  <c r="S128" i="18"/>
  <c r="T128" i="18" s="1"/>
  <c r="S127" i="18"/>
  <c r="T127" i="18" s="1"/>
  <c r="R132" i="18"/>
  <c r="R131" i="18"/>
  <c r="R128" i="18"/>
  <c r="R127" i="18"/>
  <c r="Q132" i="18"/>
  <c r="Q131" i="18"/>
  <c r="Q128" i="18"/>
  <c r="Q127" i="18"/>
  <c r="P132" i="18"/>
  <c r="P131" i="18"/>
  <c r="P128" i="18"/>
  <c r="P127" i="18"/>
  <c r="O132" i="18"/>
  <c r="O131" i="18"/>
  <c r="O128" i="18"/>
  <c r="O127" i="18"/>
  <c r="N132" i="18"/>
  <c r="N131" i="18"/>
  <c r="N128" i="18"/>
  <c r="N127" i="18"/>
  <c r="M132" i="18"/>
  <c r="M131" i="18"/>
  <c r="M128" i="18"/>
  <c r="M127" i="18"/>
  <c r="L132" i="18"/>
  <c r="L131" i="18"/>
  <c r="L128" i="18"/>
  <c r="L127" i="18"/>
  <c r="K132" i="18"/>
  <c r="K131" i="18"/>
  <c r="K128" i="18"/>
  <c r="K127" i="18"/>
  <c r="J132" i="18"/>
  <c r="J131" i="18"/>
  <c r="J128" i="18"/>
  <c r="J127" i="18"/>
  <c r="I132" i="18"/>
  <c r="I128" i="18"/>
  <c r="I131" i="18"/>
  <c r="I127" i="18"/>
  <c r="S125" i="18"/>
  <c r="T125" i="18" s="1"/>
  <c r="R125" i="18"/>
  <c r="Q125" i="18"/>
  <c r="P125" i="18"/>
  <c r="O125" i="18"/>
  <c r="N125" i="18"/>
  <c r="M125" i="18"/>
  <c r="L125" i="18"/>
  <c r="K125" i="18"/>
  <c r="J125" i="18"/>
  <c r="I125" i="18"/>
  <c r="S124" i="18"/>
  <c r="T124" i="18" s="1"/>
  <c r="R124" i="18"/>
  <c r="Q124" i="18"/>
  <c r="P124" i="18"/>
  <c r="O124" i="18"/>
  <c r="N124" i="18"/>
  <c r="M124" i="18"/>
  <c r="L124" i="18"/>
  <c r="K124" i="18"/>
  <c r="J124" i="18"/>
  <c r="I124" i="18"/>
  <c r="AG49" i="18"/>
  <c r="AG45" i="18"/>
  <c r="AG43" i="18"/>
  <c r="AG42" i="18"/>
  <c r="AG41" i="18"/>
  <c r="AG40" i="18"/>
  <c r="AG38" i="18"/>
  <c r="AG36" i="18"/>
  <c r="U40" i="18"/>
  <c r="V40" i="18" s="1"/>
  <c r="W40" i="18" s="1"/>
  <c r="X40" i="18" s="1"/>
  <c r="Y40" i="18" s="1"/>
  <c r="Z40" i="18" s="1"/>
  <c r="AA40" i="18" s="1"/>
  <c r="AB40" i="18" s="1"/>
  <c r="AC40" i="18" s="1"/>
  <c r="AD40" i="18" s="1"/>
  <c r="AE40" i="18" s="1"/>
  <c r="V49" i="18"/>
  <c r="W49" i="18" s="1"/>
  <c r="X49" i="18" s="1"/>
  <c r="Y49" i="18" s="1"/>
  <c r="Z49" i="18" s="1"/>
  <c r="AA49" i="18" s="1"/>
  <c r="AB49" i="18" s="1"/>
  <c r="AC49" i="18" s="1"/>
  <c r="AD49" i="18" s="1"/>
  <c r="AE49" i="18" s="1"/>
  <c r="U45" i="18"/>
  <c r="V45" i="18" s="1"/>
  <c r="W45" i="18" s="1"/>
  <c r="X45" i="18" s="1"/>
  <c r="Y45" i="18" s="1"/>
  <c r="Z45" i="18" s="1"/>
  <c r="AA45" i="18" s="1"/>
  <c r="AB45" i="18" s="1"/>
  <c r="AC45" i="18" s="1"/>
  <c r="AD45" i="18" s="1"/>
  <c r="AE45" i="18" s="1"/>
  <c r="T32" i="18" l="1"/>
  <c r="G146" i="18"/>
  <c r="G86" i="18"/>
  <c r="G208" i="18" s="1"/>
  <c r="T16" i="18"/>
  <c r="G162" i="18"/>
  <c r="G163" i="18" s="1"/>
  <c r="G49" i="18"/>
  <c r="H130" i="18"/>
  <c r="H52" i="18"/>
  <c r="G98" i="18"/>
  <c r="G164" i="18" s="1"/>
  <c r="G105" i="18"/>
  <c r="T51" i="18"/>
  <c r="G52" i="18"/>
  <c r="G70" i="18"/>
  <c r="G204" i="18" s="1"/>
  <c r="G113" i="18"/>
  <c r="G119" i="18" s="1"/>
  <c r="H54" i="18"/>
  <c r="G54" i="18"/>
  <c r="G71" i="18"/>
  <c r="G205" i="18" s="1"/>
  <c r="G68" i="18"/>
  <c r="G110" i="18" s="1"/>
  <c r="T53" i="18"/>
  <c r="T31" i="18"/>
  <c r="G147" i="18"/>
  <c r="G145" i="18"/>
  <c r="G80" i="18"/>
  <c r="G209" i="18" s="1"/>
  <c r="G85" i="18"/>
  <c r="G154" i="18"/>
  <c r="T15" i="18"/>
  <c r="G82" i="18"/>
  <c r="G84" i="18" s="1"/>
  <c r="G207" i="18" s="1"/>
  <c r="G115" i="18"/>
  <c r="G121" i="18" s="1"/>
  <c r="G134" i="18"/>
  <c r="G155" i="18"/>
  <c r="G242" i="18"/>
  <c r="T12" i="18"/>
  <c r="G243" i="18"/>
  <c r="G166" i="18"/>
  <c r="T14" i="18"/>
  <c r="G167" i="18"/>
  <c r="AF49" i="18"/>
  <c r="AF45" i="18"/>
  <c r="AF40" i="18"/>
  <c r="U43" i="18"/>
  <c r="V43" i="18" s="1"/>
  <c r="W43" i="18" s="1"/>
  <c r="X43" i="18" s="1"/>
  <c r="Y43" i="18" s="1"/>
  <c r="Z43" i="18" s="1"/>
  <c r="AA43" i="18" s="1"/>
  <c r="AB43" i="18" s="1"/>
  <c r="AC43" i="18" s="1"/>
  <c r="AD43" i="18" s="1"/>
  <c r="AE43" i="18" s="1"/>
  <c r="AF43" i="18" s="1"/>
  <c r="U42" i="18"/>
  <c r="V42" i="18" s="1"/>
  <c r="W42" i="18" s="1"/>
  <c r="X42" i="18" s="1"/>
  <c r="Y42" i="18" s="1"/>
  <c r="Z42" i="18" s="1"/>
  <c r="AA42" i="18" s="1"/>
  <c r="AB42" i="18" s="1"/>
  <c r="AC42" i="18" s="1"/>
  <c r="AD42" i="18" s="1"/>
  <c r="AE42" i="18" s="1"/>
  <c r="AF42" i="18" s="1"/>
  <c r="U41" i="18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U38" i="18"/>
  <c r="V38" i="18" s="1"/>
  <c r="U36" i="18"/>
  <c r="V36" i="18" s="1"/>
  <c r="T49" i="18" l="1"/>
  <c r="G130" i="18"/>
  <c r="T130" i="18" s="1"/>
  <c r="W38" i="18"/>
  <c r="V127" i="18"/>
  <c r="W36" i="18"/>
  <c r="V126" i="18"/>
  <c r="V128" i="18"/>
  <c r="AF41" i="18"/>
  <c r="B215" i="18"/>
  <c r="AG227" i="18"/>
  <c r="AG224" i="18"/>
  <c r="AG226" i="18"/>
  <c r="AG225" i="18"/>
  <c r="AG222" i="18"/>
  <c r="AG221" i="18"/>
  <c r="AG220" i="18"/>
  <c r="AG219" i="18"/>
  <c r="AG214" i="18"/>
  <c r="AG217" i="18"/>
  <c r="AG216" i="18"/>
  <c r="AG215" i="18"/>
  <c r="AG212" i="18"/>
  <c r="AG211" i="18"/>
  <c r="AG208" i="18"/>
  <c r="AG207" i="18"/>
  <c r="AG210" i="18"/>
  <c r="AG209" i="18"/>
  <c r="AG206" i="18"/>
  <c r="AG205" i="18"/>
  <c r="AG204" i="18"/>
  <c r="AG203" i="18"/>
  <c r="AG202" i="18"/>
  <c r="AG201" i="18"/>
  <c r="AH224" i="18"/>
  <c r="X38" i="18" l="1"/>
  <c r="W127" i="18"/>
  <c r="X36" i="18"/>
  <c r="W126" i="18"/>
  <c r="W128" i="18"/>
  <c r="AH225" i="18"/>
  <c r="S212" i="18"/>
  <c r="T212" i="18" s="1"/>
  <c r="R212" i="18"/>
  <c r="Q212" i="18"/>
  <c r="P212" i="18"/>
  <c r="O212" i="18"/>
  <c r="N212" i="18"/>
  <c r="M212" i="18"/>
  <c r="L212" i="18"/>
  <c r="K212" i="18"/>
  <c r="J212" i="18"/>
  <c r="I212" i="18"/>
  <c r="Y38" i="18" l="1"/>
  <c r="X127" i="18"/>
  <c r="Y36" i="18"/>
  <c r="X128" i="18"/>
  <c r="X126" i="18"/>
  <c r="S60" i="18"/>
  <c r="R60" i="18"/>
  <c r="Q60" i="18"/>
  <c r="P60" i="18"/>
  <c r="O60" i="18"/>
  <c r="N60" i="18"/>
  <c r="M60" i="18"/>
  <c r="L60" i="18"/>
  <c r="K60" i="18"/>
  <c r="J60" i="18"/>
  <c r="I60" i="18"/>
  <c r="S58" i="18"/>
  <c r="R58" i="18"/>
  <c r="Q58" i="18"/>
  <c r="P58" i="18"/>
  <c r="O58" i="18"/>
  <c r="N58" i="18"/>
  <c r="M58" i="18"/>
  <c r="L58" i="18"/>
  <c r="K58" i="18"/>
  <c r="J58" i="18"/>
  <c r="I58" i="18"/>
  <c r="S56" i="18"/>
  <c r="R56" i="18"/>
  <c r="Q56" i="18"/>
  <c r="P56" i="18"/>
  <c r="O56" i="18"/>
  <c r="N56" i="18"/>
  <c r="M56" i="18"/>
  <c r="L56" i="18"/>
  <c r="K56" i="18"/>
  <c r="J56" i="18"/>
  <c r="I56" i="18"/>
  <c r="S54" i="18"/>
  <c r="R54" i="18"/>
  <c r="Q54" i="18"/>
  <c r="P54" i="18"/>
  <c r="O54" i="18"/>
  <c r="N54" i="18"/>
  <c r="M54" i="18"/>
  <c r="L54" i="18"/>
  <c r="K54" i="18"/>
  <c r="J54" i="18"/>
  <c r="I54" i="18"/>
  <c r="S52" i="18"/>
  <c r="R52" i="18"/>
  <c r="Q52" i="18"/>
  <c r="P52" i="18"/>
  <c r="O52" i="18"/>
  <c r="N52" i="18"/>
  <c r="M52" i="18"/>
  <c r="L52" i="18"/>
  <c r="K52" i="18"/>
  <c r="J52" i="18"/>
  <c r="I52" i="18"/>
  <c r="S30" i="18"/>
  <c r="R30" i="18"/>
  <c r="Q30" i="18"/>
  <c r="P30" i="18"/>
  <c r="O30" i="18"/>
  <c r="N30" i="18"/>
  <c r="M30" i="18"/>
  <c r="L30" i="18"/>
  <c r="K30" i="18"/>
  <c r="J30" i="18"/>
  <c r="I30" i="18"/>
  <c r="S28" i="18"/>
  <c r="R28" i="18"/>
  <c r="Q28" i="18"/>
  <c r="P28" i="18"/>
  <c r="O28" i="18"/>
  <c r="N28" i="18"/>
  <c r="M28" i="18"/>
  <c r="L28" i="18"/>
  <c r="K28" i="18"/>
  <c r="J28" i="18"/>
  <c r="I28" i="18"/>
  <c r="S26" i="18"/>
  <c r="R26" i="18"/>
  <c r="Q26" i="18"/>
  <c r="P26" i="18"/>
  <c r="O26" i="18"/>
  <c r="N26" i="18"/>
  <c r="M26" i="18"/>
  <c r="L26" i="18"/>
  <c r="K26" i="18"/>
  <c r="J26" i="18"/>
  <c r="I26" i="18"/>
  <c r="S11" i="18"/>
  <c r="R11" i="18"/>
  <c r="Q11" i="18"/>
  <c r="P11" i="18"/>
  <c r="O11" i="18"/>
  <c r="N11" i="18"/>
  <c r="M11" i="18"/>
  <c r="L11" i="18"/>
  <c r="K11" i="18"/>
  <c r="J11" i="18"/>
  <c r="I11" i="18"/>
  <c r="S8" i="18"/>
  <c r="R8" i="18"/>
  <c r="Z38" i="18" l="1"/>
  <c r="Y127" i="18"/>
  <c r="Z36" i="18"/>
  <c r="Y128" i="18"/>
  <c r="Y126" i="18"/>
  <c r="S102" i="18"/>
  <c r="T102" i="18" s="1"/>
  <c r="R102" i="18"/>
  <c r="Q102" i="18"/>
  <c r="P102" i="18"/>
  <c r="O102" i="18"/>
  <c r="N102" i="18"/>
  <c r="M102" i="18"/>
  <c r="L102" i="18"/>
  <c r="K102" i="18"/>
  <c r="J102" i="18"/>
  <c r="I102" i="18"/>
  <c r="AA38" i="18" l="1"/>
  <c r="Z127" i="18"/>
  <c r="AA36" i="18"/>
  <c r="Z126" i="18"/>
  <c r="Z128" i="18"/>
  <c r="U170" i="18"/>
  <c r="S170" i="18"/>
  <c r="C1" i="18"/>
  <c r="AH47" i="18" s="1"/>
  <c r="V220" i="18" l="1"/>
  <c r="H220" i="18"/>
  <c r="G220" i="18"/>
  <c r="V225" i="18"/>
  <c r="V226" i="18" s="1"/>
  <c r="V227" i="18" s="1"/>
  <c r="H225" i="18"/>
  <c r="G225" i="18"/>
  <c r="AB38" i="18"/>
  <c r="AA127" i="18"/>
  <c r="AB36" i="18"/>
  <c r="AA126" i="18"/>
  <c r="AA128" i="18"/>
  <c r="AH45" i="18"/>
  <c r="AH40" i="18"/>
  <c r="AH49" i="18"/>
  <c r="AH41" i="18"/>
  <c r="AH42" i="18"/>
  <c r="AH43" i="18"/>
  <c r="M225" i="18"/>
  <c r="M226" i="18" s="1"/>
  <c r="M227" i="18" s="1"/>
  <c r="V221" i="18"/>
  <c r="V222" i="18" s="1"/>
  <c r="V219" i="18"/>
  <c r="S225" i="18"/>
  <c r="R225" i="18"/>
  <c r="R224" i="18" s="1"/>
  <c r="V224" i="18"/>
  <c r="Q225" i="18"/>
  <c r="L225" i="18"/>
  <c r="K225" i="18"/>
  <c r="P225" i="18"/>
  <c r="J225" i="18"/>
  <c r="O225" i="18"/>
  <c r="I225" i="18"/>
  <c r="N225" i="18"/>
  <c r="R237" i="18"/>
  <c r="O220" i="18"/>
  <c r="R220" i="18"/>
  <c r="R219" i="18" s="1"/>
  <c r="N220" i="18"/>
  <c r="J220" i="18"/>
  <c r="Q220" i="18"/>
  <c r="M220" i="18"/>
  <c r="I220" i="18"/>
  <c r="P220" i="18"/>
  <c r="L220" i="18"/>
  <c r="S220" i="18"/>
  <c r="T220" i="18" s="1"/>
  <c r="K220" i="18"/>
  <c r="AG71" i="18"/>
  <c r="AG70" i="18"/>
  <c r="AG68" i="18"/>
  <c r="I71" i="18"/>
  <c r="I205" i="18" s="1"/>
  <c r="J71" i="18"/>
  <c r="J205" i="18" s="1"/>
  <c r="K71" i="18"/>
  <c r="K205" i="18" s="1"/>
  <c r="L71" i="18"/>
  <c r="L205" i="18" s="1"/>
  <c r="M71" i="18"/>
  <c r="M205" i="18" s="1"/>
  <c r="N71" i="18"/>
  <c r="N205" i="18" s="1"/>
  <c r="O71" i="18"/>
  <c r="O205" i="18" s="1"/>
  <c r="P71" i="18"/>
  <c r="P205" i="18" s="1"/>
  <c r="Q71" i="18"/>
  <c r="Q205" i="18" s="1"/>
  <c r="R71" i="18"/>
  <c r="S71" i="18"/>
  <c r="I70" i="18"/>
  <c r="I204" i="18" s="1"/>
  <c r="J70" i="18"/>
  <c r="J204" i="18" s="1"/>
  <c r="K70" i="18"/>
  <c r="K204" i="18" s="1"/>
  <c r="L70" i="18"/>
  <c r="L204" i="18" s="1"/>
  <c r="M70" i="18"/>
  <c r="M204" i="18" s="1"/>
  <c r="N70" i="18"/>
  <c r="N204" i="18" s="1"/>
  <c r="O70" i="18"/>
  <c r="O204" i="18" s="1"/>
  <c r="P70" i="18"/>
  <c r="P204" i="18" s="1"/>
  <c r="Q70" i="18"/>
  <c r="Q204" i="18" s="1"/>
  <c r="R70" i="18"/>
  <c r="R204" i="18" s="1"/>
  <c r="S70" i="18"/>
  <c r="S205" i="18" l="1"/>
  <c r="T205" i="18" s="1"/>
  <c r="T71" i="18"/>
  <c r="S204" i="18"/>
  <c r="T204" i="18" s="1"/>
  <c r="T70" i="18"/>
  <c r="H224" i="18"/>
  <c r="H226" i="18"/>
  <c r="H227" i="18" s="1"/>
  <c r="G219" i="18"/>
  <c r="G221" i="18"/>
  <c r="T225" i="18"/>
  <c r="G224" i="18"/>
  <c r="G226" i="18"/>
  <c r="H219" i="18"/>
  <c r="H221" i="18"/>
  <c r="H222" i="18" s="1"/>
  <c r="AC38" i="18"/>
  <c r="AB127" i="18"/>
  <c r="AC36" i="18"/>
  <c r="AB128" i="18"/>
  <c r="AB126" i="18"/>
  <c r="M224" i="18"/>
  <c r="R226" i="18"/>
  <c r="R227" i="18" s="1"/>
  <c r="L221" i="18"/>
  <c r="L222" i="18" s="1"/>
  <c r="L219" i="18"/>
  <c r="Q221" i="18"/>
  <c r="Q222" i="18" s="1"/>
  <c r="Q219" i="18"/>
  <c r="O221" i="18"/>
  <c r="O222" i="18" s="1"/>
  <c r="O219" i="18"/>
  <c r="N226" i="18"/>
  <c r="N227" i="18" s="1"/>
  <c r="N224" i="18"/>
  <c r="P226" i="18"/>
  <c r="P227" i="18" s="1"/>
  <c r="P224" i="18"/>
  <c r="P221" i="18"/>
  <c r="P222" i="18" s="1"/>
  <c r="P219" i="18"/>
  <c r="J221" i="18"/>
  <c r="J222" i="18" s="1"/>
  <c r="J219" i="18"/>
  <c r="I226" i="18"/>
  <c r="I227" i="18" s="1"/>
  <c r="I224" i="18"/>
  <c r="K226" i="18"/>
  <c r="K227" i="18" s="1"/>
  <c r="K224" i="18"/>
  <c r="K221" i="18"/>
  <c r="K222" i="18" s="1"/>
  <c r="K219" i="18"/>
  <c r="I221" i="18"/>
  <c r="I222" i="18" s="1"/>
  <c r="I219" i="18"/>
  <c r="N221" i="18"/>
  <c r="N222" i="18" s="1"/>
  <c r="N219" i="18"/>
  <c r="O226" i="18"/>
  <c r="O227" i="18" s="1"/>
  <c r="O224" i="18"/>
  <c r="L226" i="18"/>
  <c r="L227" i="18" s="1"/>
  <c r="L224" i="18"/>
  <c r="S221" i="18"/>
  <c r="S222" i="18" s="1"/>
  <c r="S219" i="18"/>
  <c r="M221" i="18"/>
  <c r="M222" i="18" s="1"/>
  <c r="M219" i="18"/>
  <c r="J226" i="18"/>
  <c r="J227" i="18" s="1"/>
  <c r="J224" i="18"/>
  <c r="Q226" i="18"/>
  <c r="Q227" i="18" s="1"/>
  <c r="Q224" i="18"/>
  <c r="S226" i="18"/>
  <c r="S227" i="18" s="1"/>
  <c r="S224" i="18"/>
  <c r="R221" i="18"/>
  <c r="R205" i="18"/>
  <c r="T226" i="18" l="1"/>
  <c r="G227" i="18"/>
  <c r="T227" i="18" s="1"/>
  <c r="T219" i="18"/>
  <c r="T221" i="18"/>
  <c r="G222" i="18"/>
  <c r="T222" i="18" s="1"/>
  <c r="T224" i="18"/>
  <c r="AD38" i="18"/>
  <c r="AC127" i="18"/>
  <c r="AD36" i="18"/>
  <c r="AC128" i="18"/>
  <c r="AC126" i="18"/>
  <c r="R222" i="18"/>
  <c r="I147" i="18"/>
  <c r="J147" i="18"/>
  <c r="K147" i="18"/>
  <c r="L147" i="18"/>
  <c r="M147" i="18"/>
  <c r="N147" i="18"/>
  <c r="O147" i="18"/>
  <c r="P147" i="18"/>
  <c r="Q147" i="18"/>
  <c r="R147" i="18"/>
  <c r="S147" i="18"/>
  <c r="T147" i="18" s="1"/>
  <c r="S146" i="18"/>
  <c r="T146" i="18" s="1"/>
  <c r="AE38" i="18" l="1"/>
  <c r="AD127" i="18"/>
  <c r="AE36" i="18"/>
  <c r="AD126" i="18"/>
  <c r="AD128" i="18"/>
  <c r="J254" i="18"/>
  <c r="J251" i="18"/>
  <c r="J252" i="18"/>
  <c r="J253" i="18"/>
  <c r="AF38" i="18" l="1"/>
  <c r="AE127" i="18"/>
  <c r="AF127" i="18" s="1"/>
  <c r="AH38" i="18"/>
  <c r="AE126" i="18"/>
  <c r="AF126" i="18" s="1"/>
  <c r="AE128" i="18"/>
  <c r="AF128" i="18" s="1"/>
  <c r="AF36" i="18"/>
  <c r="AH36" i="18"/>
  <c r="S243" i="18"/>
  <c r="S242" i="18"/>
  <c r="S241" i="18"/>
  <c r="S211" i="18"/>
  <c r="T211" i="18" s="1"/>
  <c r="S66" i="18"/>
  <c r="S67" i="18"/>
  <c r="T67" i="18" s="1"/>
  <c r="S68" i="18"/>
  <c r="S72" i="18"/>
  <c r="S73" i="18"/>
  <c r="T73" i="18" s="1"/>
  <c r="S74" i="18"/>
  <c r="T74" i="18" s="1"/>
  <c r="S75" i="18"/>
  <c r="S76" i="18"/>
  <c r="T76" i="18" s="1"/>
  <c r="S78" i="18"/>
  <c r="T78" i="18" s="1"/>
  <c r="S79" i="18"/>
  <c r="T79" i="18" s="1"/>
  <c r="S80" i="18"/>
  <c r="S82" i="18"/>
  <c r="T82" i="18" s="1"/>
  <c r="S83" i="18"/>
  <c r="T83" i="18" s="1"/>
  <c r="S85" i="18"/>
  <c r="T85" i="18" s="1"/>
  <c r="S86" i="18"/>
  <c r="S88" i="18"/>
  <c r="S90" i="18"/>
  <c r="S93" i="18"/>
  <c r="T93" i="18" s="1"/>
  <c r="S94" i="18"/>
  <c r="T94" i="18" s="1"/>
  <c r="S95" i="18"/>
  <c r="T95" i="18" s="1"/>
  <c r="S96" i="18"/>
  <c r="T96" i="18" s="1"/>
  <c r="S98" i="18"/>
  <c r="S99" i="18"/>
  <c r="T99" i="18" s="1"/>
  <c r="S100" i="18"/>
  <c r="T100" i="18" s="1"/>
  <c r="S105" i="18"/>
  <c r="T105" i="18" s="1"/>
  <c r="S106" i="18"/>
  <c r="T106" i="18" s="1"/>
  <c r="S107" i="18"/>
  <c r="T107" i="18" s="1"/>
  <c r="S108" i="18"/>
  <c r="T108" i="18" s="1"/>
  <c r="S109" i="18"/>
  <c r="T109" i="18" s="1"/>
  <c r="S112" i="18"/>
  <c r="S113" i="18"/>
  <c r="S114" i="18"/>
  <c r="S115" i="18"/>
  <c r="S116" i="18"/>
  <c r="S134" i="18"/>
  <c r="T134" i="18" s="1"/>
  <c r="S135" i="18"/>
  <c r="T135" i="18" s="1"/>
  <c r="S136" i="18"/>
  <c r="T136" i="18" s="1"/>
  <c r="S137" i="18"/>
  <c r="T137" i="18" s="1"/>
  <c r="S145" i="18"/>
  <c r="T145" i="18" s="1"/>
  <c r="S149" i="18"/>
  <c r="T149" i="18" s="1"/>
  <c r="S150" i="18"/>
  <c r="T150" i="18" s="1"/>
  <c r="S151" i="18"/>
  <c r="T151" i="18" s="1"/>
  <c r="S154" i="18"/>
  <c r="T154" i="18" s="1"/>
  <c r="S155" i="18"/>
  <c r="T155" i="18" s="1"/>
  <c r="S156" i="18"/>
  <c r="T156" i="18" s="1"/>
  <c r="S157" i="18"/>
  <c r="T157" i="18" s="1"/>
  <c r="S159" i="18"/>
  <c r="T159" i="18" s="1"/>
  <c r="S160" i="18"/>
  <c r="T160" i="18" s="1"/>
  <c r="S162" i="18"/>
  <c r="S166" i="18"/>
  <c r="T166" i="18" s="1"/>
  <c r="S167" i="18"/>
  <c r="T167" i="18" s="1"/>
  <c r="V17" i="18"/>
  <c r="V19" i="18"/>
  <c r="V24" i="18"/>
  <c r="S163" i="18" l="1"/>
  <c r="T163" i="18" s="1"/>
  <c r="T162" i="18"/>
  <c r="S119" i="18"/>
  <c r="T119" i="18" s="1"/>
  <c r="T113" i="18"/>
  <c r="S121" i="18"/>
  <c r="T121" i="18" s="1"/>
  <c r="T115" i="18"/>
  <c r="S118" i="18"/>
  <c r="T118" i="18" s="1"/>
  <c r="T112" i="18"/>
  <c r="S122" i="18"/>
  <c r="T122" i="18" s="1"/>
  <c r="T116" i="18"/>
  <c r="S92" i="18"/>
  <c r="T92" i="18" s="1"/>
  <c r="T90" i="18"/>
  <c r="S139" i="18"/>
  <c r="T88" i="18"/>
  <c r="S208" i="18"/>
  <c r="T208" i="18" s="1"/>
  <c r="T86" i="18"/>
  <c r="S202" i="18"/>
  <c r="T202" i="18" s="1"/>
  <c r="T66" i="18"/>
  <c r="S164" i="18"/>
  <c r="T164" i="18" s="1"/>
  <c r="T98" i="18"/>
  <c r="S140" i="18"/>
  <c r="T140" i="18" s="1"/>
  <c r="T139" i="18"/>
  <c r="S120" i="18"/>
  <c r="T120" i="18" s="1"/>
  <c r="T114" i="18"/>
  <c r="S214" i="18"/>
  <c r="T214" i="18" s="1"/>
  <c r="T72" i="18"/>
  <c r="S110" i="18"/>
  <c r="T110" i="18" s="1"/>
  <c r="T68" i="18"/>
  <c r="S209" i="18"/>
  <c r="T209" i="18" s="1"/>
  <c r="T80" i="18"/>
  <c r="S206" i="18"/>
  <c r="T206" i="18" s="1"/>
  <c r="T75" i="18"/>
  <c r="R238" i="18"/>
  <c r="S203" i="18"/>
  <c r="S84" i="18"/>
  <c r="S143" i="18"/>
  <c r="T143" i="18" s="1"/>
  <c r="J68" i="18"/>
  <c r="J110" i="18" s="1"/>
  <c r="K68" i="18"/>
  <c r="K110" i="18" s="1"/>
  <c r="L68" i="18"/>
  <c r="L110" i="18" s="1"/>
  <c r="M68" i="18"/>
  <c r="M110" i="18" s="1"/>
  <c r="N68" i="18"/>
  <c r="N110" i="18" s="1"/>
  <c r="O68" i="18"/>
  <c r="O110" i="18" s="1"/>
  <c r="P68" i="18"/>
  <c r="P110" i="18" s="1"/>
  <c r="Q68" i="18"/>
  <c r="Q110" i="18" s="1"/>
  <c r="R68" i="18"/>
  <c r="R110" i="18" s="1"/>
  <c r="I68" i="18"/>
  <c r="I110" i="18" s="1"/>
  <c r="S141" i="18" l="1"/>
  <c r="S142" i="18" s="1"/>
  <c r="T142" i="18" s="1"/>
  <c r="T203" i="18"/>
  <c r="S207" i="18"/>
  <c r="T207" i="18" s="1"/>
  <c r="T84" i="18"/>
  <c r="S216" i="18"/>
  <c r="S215" i="18"/>
  <c r="T215" i="18" s="1"/>
  <c r="U59" i="18"/>
  <c r="V59" i="18" s="1"/>
  <c r="T141" i="18" l="1"/>
  <c r="S217" i="18"/>
  <c r="T217" i="18" s="1"/>
  <c r="T216" i="18"/>
  <c r="M234" i="18"/>
  <c r="M233" i="18"/>
  <c r="M232" i="18"/>
  <c r="M231" i="18"/>
  <c r="AG53" i="18" l="1"/>
  <c r="U53" i="18"/>
  <c r="V53" i="18" l="1"/>
  <c r="W53" i="18" l="1"/>
  <c r="V238" i="18"/>
  <c r="V239" i="18" s="1"/>
  <c r="M237" i="18"/>
  <c r="X53" i="18" l="1"/>
  <c r="W252" i="18"/>
  <c r="W253" i="18" s="1"/>
  <c r="D250" i="18"/>
  <c r="I264" i="18" s="1"/>
  <c r="M264" i="18" s="1"/>
  <c r="J250" i="18"/>
  <c r="N134" i="18"/>
  <c r="L134" i="18"/>
  <c r="J134" i="18"/>
  <c r="I134" i="18"/>
  <c r="K134" i="18"/>
  <c r="M134" i="18"/>
  <c r="O134" i="18"/>
  <c r="P134" i="18"/>
  <c r="Q134" i="18"/>
  <c r="R134" i="18"/>
  <c r="J167" i="18"/>
  <c r="K167" i="18"/>
  <c r="L167" i="18"/>
  <c r="M167" i="18"/>
  <c r="N167" i="18"/>
  <c r="O167" i="18"/>
  <c r="P167" i="18"/>
  <c r="Q167" i="18"/>
  <c r="R167" i="18"/>
  <c r="J166" i="18"/>
  <c r="K166" i="18"/>
  <c r="L166" i="18"/>
  <c r="M166" i="18"/>
  <c r="N166" i="18"/>
  <c r="O166" i="18"/>
  <c r="P166" i="18"/>
  <c r="Q166" i="18"/>
  <c r="R166" i="18"/>
  <c r="I268" i="18"/>
  <c r="I269" i="18" s="1"/>
  <c r="AG73" i="18"/>
  <c r="J73" i="18"/>
  <c r="K73" i="18"/>
  <c r="L73" i="18"/>
  <c r="M73" i="18"/>
  <c r="N73" i="18"/>
  <c r="O73" i="18"/>
  <c r="P73" i="18"/>
  <c r="Q73" i="18"/>
  <c r="R73" i="18"/>
  <c r="I73" i="18"/>
  <c r="J259" i="18"/>
  <c r="D258" i="18"/>
  <c r="I265" i="18" s="1"/>
  <c r="M265" i="18" s="1"/>
  <c r="J257" i="18"/>
  <c r="K257" i="18" s="1"/>
  <c r="L257" i="18" s="1"/>
  <c r="L258" i="18" s="1"/>
  <c r="J255" i="18"/>
  <c r="J249" i="18"/>
  <c r="J248" i="18"/>
  <c r="K248" i="18" s="1"/>
  <c r="L248" i="18" s="1"/>
  <c r="Y53" i="18" l="1"/>
  <c r="I270" i="18"/>
  <c r="I267" i="18"/>
  <c r="D260" i="18"/>
  <c r="M268" i="18"/>
  <c r="M267" i="18"/>
  <c r="K249" i="18"/>
  <c r="L249" i="18" s="1"/>
  <c r="K259" i="18"/>
  <c r="L259" i="18" s="1"/>
  <c r="L260" i="18" s="1"/>
  <c r="J109" i="18"/>
  <c r="K109" i="18"/>
  <c r="L109" i="18"/>
  <c r="M109" i="18"/>
  <c r="N109" i="18"/>
  <c r="O109" i="18"/>
  <c r="P109" i="18"/>
  <c r="Q109" i="18"/>
  <c r="R109" i="18"/>
  <c r="I109" i="18"/>
  <c r="I167" i="18"/>
  <c r="I166" i="18"/>
  <c r="AG14" i="18"/>
  <c r="U14" i="18"/>
  <c r="W249" i="18"/>
  <c r="W248" i="18"/>
  <c r="Q249" i="18"/>
  <c r="Q252" i="18" s="1"/>
  <c r="Q248" i="18"/>
  <c r="J116" i="18"/>
  <c r="J122" i="18" s="1"/>
  <c r="K116" i="18"/>
  <c r="K122" i="18" s="1"/>
  <c r="L116" i="18"/>
  <c r="L122" i="18" s="1"/>
  <c r="M116" i="18"/>
  <c r="M122" i="18" s="1"/>
  <c r="N116" i="18"/>
  <c r="N122" i="18" s="1"/>
  <c r="O116" i="18"/>
  <c r="O122" i="18" s="1"/>
  <c r="P116" i="18"/>
  <c r="P122" i="18" s="1"/>
  <c r="Q116" i="18"/>
  <c r="Q122" i="18" s="1"/>
  <c r="R116" i="18"/>
  <c r="R122" i="18" s="1"/>
  <c r="I116" i="18"/>
  <c r="I122" i="18" s="1"/>
  <c r="J113" i="18"/>
  <c r="J119" i="18" s="1"/>
  <c r="K113" i="18"/>
  <c r="K119" i="18" s="1"/>
  <c r="L113" i="18"/>
  <c r="L119" i="18" s="1"/>
  <c r="M113" i="18"/>
  <c r="M119" i="18" s="1"/>
  <c r="N113" i="18"/>
  <c r="N119" i="18" s="1"/>
  <c r="O113" i="18"/>
  <c r="O119" i="18" s="1"/>
  <c r="P113" i="18"/>
  <c r="P119" i="18" s="1"/>
  <c r="Q113" i="18"/>
  <c r="Q119" i="18" s="1"/>
  <c r="R113" i="18"/>
  <c r="R119" i="18" s="1"/>
  <c r="I113" i="18"/>
  <c r="I119" i="18" s="1"/>
  <c r="J114" i="18"/>
  <c r="J120" i="18" s="1"/>
  <c r="K114" i="18"/>
  <c r="K120" i="18" s="1"/>
  <c r="L114" i="18"/>
  <c r="L120" i="18" s="1"/>
  <c r="M114" i="18"/>
  <c r="M120" i="18" s="1"/>
  <c r="N114" i="18"/>
  <c r="N120" i="18" s="1"/>
  <c r="O114" i="18"/>
  <c r="O120" i="18" s="1"/>
  <c r="P114" i="18"/>
  <c r="P120" i="18" s="1"/>
  <c r="Q114" i="18"/>
  <c r="Q120" i="18" s="1"/>
  <c r="R114" i="18"/>
  <c r="R120" i="18" s="1"/>
  <c r="I114" i="18"/>
  <c r="I120" i="18" s="1"/>
  <c r="J162" i="18"/>
  <c r="J163" i="18" s="1"/>
  <c r="K162" i="18"/>
  <c r="K163" i="18" s="1"/>
  <c r="L162" i="18"/>
  <c r="L163" i="18" s="1"/>
  <c r="M162" i="18"/>
  <c r="M163" i="18" s="1"/>
  <c r="N162" i="18"/>
  <c r="N163" i="18" s="1"/>
  <c r="O162" i="18"/>
  <c r="O163" i="18" s="1"/>
  <c r="P162" i="18"/>
  <c r="P163" i="18" s="1"/>
  <c r="Q162" i="18"/>
  <c r="Q163" i="18" s="1"/>
  <c r="R162" i="18"/>
  <c r="R163" i="18" s="1"/>
  <c r="I162" i="18"/>
  <c r="I163" i="18" s="1"/>
  <c r="Z53" i="18" l="1"/>
  <c r="V14" i="18"/>
  <c r="W14" i="18" s="1"/>
  <c r="X14" i="18" s="1"/>
  <c r="Y14" i="18" s="1"/>
  <c r="Z14" i="18" s="1"/>
  <c r="AA14" i="18" s="1"/>
  <c r="AB14" i="18" s="1"/>
  <c r="AC14" i="18" s="1"/>
  <c r="AD14" i="18" s="1"/>
  <c r="AE14" i="18" s="1"/>
  <c r="K250" i="18"/>
  <c r="L250" i="18" s="1"/>
  <c r="R108" i="18"/>
  <c r="R107" i="18"/>
  <c r="J108" i="18"/>
  <c r="K108" i="18"/>
  <c r="L108" i="18"/>
  <c r="M108" i="18"/>
  <c r="N108" i="18"/>
  <c r="O108" i="18"/>
  <c r="P108" i="18"/>
  <c r="Q108" i="18"/>
  <c r="I108" i="18"/>
  <c r="I107" i="18"/>
  <c r="J160" i="18"/>
  <c r="K160" i="18"/>
  <c r="L160" i="18"/>
  <c r="M160" i="18"/>
  <c r="N160" i="18"/>
  <c r="O160" i="18"/>
  <c r="P160" i="18"/>
  <c r="Q160" i="18"/>
  <c r="R160" i="18"/>
  <c r="I160" i="18"/>
  <c r="J159" i="18"/>
  <c r="K159" i="18"/>
  <c r="L159" i="18"/>
  <c r="M159" i="18"/>
  <c r="N159" i="18"/>
  <c r="O159" i="18"/>
  <c r="P159" i="18"/>
  <c r="Q159" i="18"/>
  <c r="R159" i="18"/>
  <c r="I159" i="18"/>
  <c r="J156" i="18"/>
  <c r="K156" i="18"/>
  <c r="L156" i="18"/>
  <c r="M156" i="18"/>
  <c r="N156" i="18"/>
  <c r="O156" i="18"/>
  <c r="P156" i="18"/>
  <c r="Q156" i="18"/>
  <c r="R156" i="18"/>
  <c r="I156" i="18"/>
  <c r="J157" i="18"/>
  <c r="K157" i="18"/>
  <c r="L157" i="18"/>
  <c r="M157" i="18"/>
  <c r="N157" i="18"/>
  <c r="O157" i="18"/>
  <c r="P157" i="18"/>
  <c r="Q157" i="18"/>
  <c r="R157" i="18"/>
  <c r="I157" i="18"/>
  <c r="J155" i="18"/>
  <c r="K155" i="18"/>
  <c r="L155" i="18"/>
  <c r="M155" i="18"/>
  <c r="N155" i="18"/>
  <c r="O155" i="18"/>
  <c r="P155" i="18"/>
  <c r="Q155" i="18"/>
  <c r="R155" i="18"/>
  <c r="I155" i="18"/>
  <c r="J154" i="18"/>
  <c r="K154" i="18"/>
  <c r="L154" i="18"/>
  <c r="M154" i="18"/>
  <c r="N154" i="18"/>
  <c r="O154" i="18"/>
  <c r="P154" i="18"/>
  <c r="Q154" i="18"/>
  <c r="R154" i="18"/>
  <c r="I154" i="18"/>
  <c r="J151" i="18"/>
  <c r="K151" i="18"/>
  <c r="L151" i="18"/>
  <c r="M151" i="18"/>
  <c r="N151" i="18"/>
  <c r="O151" i="18"/>
  <c r="P151" i="18"/>
  <c r="Q151" i="18"/>
  <c r="R151" i="18"/>
  <c r="I151" i="18"/>
  <c r="J150" i="18"/>
  <c r="K150" i="18"/>
  <c r="L150" i="18"/>
  <c r="M150" i="18"/>
  <c r="N150" i="18"/>
  <c r="O150" i="18"/>
  <c r="P150" i="18"/>
  <c r="Q150" i="18"/>
  <c r="R150" i="18"/>
  <c r="I150" i="18"/>
  <c r="J149" i="18"/>
  <c r="K149" i="18"/>
  <c r="L149" i="18"/>
  <c r="M149" i="18"/>
  <c r="N149" i="18"/>
  <c r="O149" i="18"/>
  <c r="P149" i="18"/>
  <c r="Q149" i="18"/>
  <c r="R149" i="18"/>
  <c r="I149" i="18"/>
  <c r="B151" i="18"/>
  <c r="B150" i="18"/>
  <c r="AG32" i="18"/>
  <c r="U32" i="18"/>
  <c r="I137" i="18"/>
  <c r="J137" i="18"/>
  <c r="K137" i="18"/>
  <c r="L137" i="18"/>
  <c r="M137" i="18"/>
  <c r="N137" i="18"/>
  <c r="O137" i="18"/>
  <c r="P137" i="18"/>
  <c r="Q137" i="18"/>
  <c r="R137" i="18"/>
  <c r="V253" i="18"/>
  <c r="P252" i="18"/>
  <c r="V250" i="18"/>
  <c r="W250" i="18" s="1"/>
  <c r="W255" i="18" s="1"/>
  <c r="P250" i="18"/>
  <c r="Q250" i="18" s="1"/>
  <c r="Q255" i="18" s="1"/>
  <c r="J146" i="18"/>
  <c r="K146" i="18"/>
  <c r="L146" i="18"/>
  <c r="M146" i="18"/>
  <c r="N146" i="18"/>
  <c r="O146" i="18"/>
  <c r="P146" i="18"/>
  <c r="Q146" i="18"/>
  <c r="R146" i="18"/>
  <c r="I146" i="18"/>
  <c r="J145" i="18"/>
  <c r="K145" i="18"/>
  <c r="L145" i="18"/>
  <c r="M145" i="18"/>
  <c r="N145" i="18"/>
  <c r="O145" i="18"/>
  <c r="P145" i="18"/>
  <c r="Q145" i="18"/>
  <c r="R145" i="18"/>
  <c r="I145" i="18"/>
  <c r="K251" i="18" l="1"/>
  <c r="L251" i="18" s="1"/>
  <c r="K252" i="18" s="1"/>
  <c r="L252" i="18" s="1"/>
  <c r="K253" i="18" s="1"/>
  <c r="L253" i="18" s="1"/>
  <c r="K254" i="18" s="1"/>
  <c r="L254" i="18" s="1"/>
  <c r="K255" i="18" s="1"/>
  <c r="L255" i="18" s="1"/>
  <c r="L256" i="18" s="1"/>
  <c r="AA53" i="18"/>
  <c r="AF14" i="18"/>
  <c r="AH14" i="18"/>
  <c r="V32" i="18"/>
  <c r="W32" i="18" s="1"/>
  <c r="X32" i="18" s="1"/>
  <c r="Y32" i="18" s="1"/>
  <c r="Z32" i="18" s="1"/>
  <c r="AA32" i="18" s="1"/>
  <c r="AB32" i="18" s="1"/>
  <c r="AC32" i="18" s="1"/>
  <c r="AD32" i="18" s="1"/>
  <c r="AE32" i="18" s="1"/>
  <c r="AF32" i="18" s="1"/>
  <c r="P255" i="18"/>
  <c r="V255" i="18"/>
  <c r="U9" i="18"/>
  <c r="V9" i="18" s="1"/>
  <c r="U10" i="18"/>
  <c r="V10" i="18" s="1"/>
  <c r="U12" i="18"/>
  <c r="V12" i="18" s="1"/>
  <c r="U13" i="18"/>
  <c r="V13" i="18" s="1"/>
  <c r="U15" i="18"/>
  <c r="V15" i="18" s="1"/>
  <c r="U16" i="18"/>
  <c r="V16" i="18" s="1"/>
  <c r="U18" i="18"/>
  <c r="V18" i="18" s="1"/>
  <c r="U20" i="18"/>
  <c r="V20" i="18" s="1"/>
  <c r="U21" i="18"/>
  <c r="V21" i="18" s="1"/>
  <c r="U22" i="18"/>
  <c r="V22" i="18" s="1"/>
  <c r="U23" i="18"/>
  <c r="V23" i="18" s="1"/>
  <c r="U25" i="18"/>
  <c r="V25" i="18" s="1"/>
  <c r="V129" i="18" s="1"/>
  <c r="U27" i="18"/>
  <c r="V27" i="18" s="1"/>
  <c r="U29" i="18"/>
  <c r="V29" i="18" s="1"/>
  <c r="U31" i="18"/>
  <c r="U33" i="18"/>
  <c r="V33" i="18" s="1"/>
  <c r="U34" i="18"/>
  <c r="V34" i="18" s="1"/>
  <c r="U51" i="18"/>
  <c r="V51" i="18" s="1"/>
  <c r="U55" i="18"/>
  <c r="V55" i="18" s="1"/>
  <c r="V130" i="18" s="1"/>
  <c r="U7" i="18"/>
  <c r="V7" i="18" s="1"/>
  <c r="U6" i="18"/>
  <c r="V6" i="18" s="1"/>
  <c r="AG9" i="18"/>
  <c r="AG10" i="18"/>
  <c r="AG11" i="18"/>
  <c r="AG12" i="18"/>
  <c r="AG13" i="18"/>
  <c r="AG15" i="18"/>
  <c r="AG16" i="18"/>
  <c r="AG18" i="18"/>
  <c r="AG20" i="18"/>
  <c r="AG21" i="18"/>
  <c r="AG22" i="18"/>
  <c r="AG23" i="18"/>
  <c r="AG25" i="18"/>
  <c r="AG27" i="18"/>
  <c r="AG29" i="18"/>
  <c r="AG31" i="18"/>
  <c r="AG33" i="18"/>
  <c r="AG34" i="18"/>
  <c r="AG51" i="18"/>
  <c r="AG55" i="18"/>
  <c r="AG57" i="18"/>
  <c r="AG59" i="18"/>
  <c r="AG66" i="18"/>
  <c r="AG67" i="18"/>
  <c r="AG72" i="18"/>
  <c r="AG74" i="18"/>
  <c r="AG75" i="18"/>
  <c r="AG76" i="18"/>
  <c r="AG78" i="18"/>
  <c r="AG79" i="18"/>
  <c r="AG80" i="18"/>
  <c r="AG82" i="18"/>
  <c r="AG83" i="18"/>
  <c r="AG84" i="18"/>
  <c r="AG85" i="18"/>
  <c r="AG87" i="18"/>
  <c r="AG88" i="18"/>
  <c r="AG90" i="18"/>
  <c r="AG92" i="18"/>
  <c r="AG93" i="18"/>
  <c r="AG94" i="18"/>
  <c r="AG95" i="18"/>
  <c r="AG96" i="18"/>
  <c r="AG98" i="18"/>
  <c r="AG99" i="18"/>
  <c r="AG100" i="18"/>
  <c r="AG7" i="18"/>
  <c r="AG6" i="18"/>
  <c r="V132" i="18" l="1"/>
  <c r="V131" i="18"/>
  <c r="V124" i="18"/>
  <c r="V125" i="18"/>
  <c r="V68" i="18"/>
  <c r="V110" i="18" s="1"/>
  <c r="AB53" i="18"/>
  <c r="AH32" i="18"/>
  <c r="V31" i="18"/>
  <c r="J112" i="18"/>
  <c r="J118" i="18" s="1"/>
  <c r="K112" i="18"/>
  <c r="K118" i="18" s="1"/>
  <c r="L112" i="18"/>
  <c r="L118" i="18" s="1"/>
  <c r="M112" i="18"/>
  <c r="M118" i="18" s="1"/>
  <c r="N112" i="18"/>
  <c r="N118" i="18" s="1"/>
  <c r="O112" i="18"/>
  <c r="O118" i="18" s="1"/>
  <c r="P112" i="18"/>
  <c r="P118" i="18" s="1"/>
  <c r="Q112" i="18"/>
  <c r="Q118" i="18" s="1"/>
  <c r="R112" i="18"/>
  <c r="R118" i="18" s="1"/>
  <c r="J115" i="18"/>
  <c r="J121" i="18" s="1"/>
  <c r="K115" i="18"/>
  <c r="K121" i="18" s="1"/>
  <c r="L115" i="18"/>
  <c r="L121" i="18" s="1"/>
  <c r="M115" i="18"/>
  <c r="M121" i="18" s="1"/>
  <c r="N115" i="18"/>
  <c r="N121" i="18" s="1"/>
  <c r="O115" i="18"/>
  <c r="O121" i="18" s="1"/>
  <c r="P115" i="18"/>
  <c r="P121" i="18" s="1"/>
  <c r="Q115" i="18"/>
  <c r="Q121" i="18" s="1"/>
  <c r="R115" i="18"/>
  <c r="R121" i="18" s="1"/>
  <c r="I115" i="18"/>
  <c r="I121" i="18" s="1"/>
  <c r="I112" i="18"/>
  <c r="I118" i="18" s="1"/>
  <c r="AC53" i="18" l="1"/>
  <c r="W31" i="18"/>
  <c r="V147" i="18"/>
  <c r="W29" i="18"/>
  <c r="J136" i="18"/>
  <c r="K136" i="18"/>
  <c r="L136" i="18"/>
  <c r="M136" i="18"/>
  <c r="N136" i="18"/>
  <c r="O136" i="18"/>
  <c r="P136" i="18"/>
  <c r="Q136" i="18"/>
  <c r="R136" i="18"/>
  <c r="I136" i="18"/>
  <c r="J135" i="18"/>
  <c r="K135" i="18"/>
  <c r="L135" i="18"/>
  <c r="M135" i="18"/>
  <c r="N135" i="18"/>
  <c r="O135" i="18"/>
  <c r="P135" i="18"/>
  <c r="Q135" i="18"/>
  <c r="R135" i="18"/>
  <c r="I135" i="18"/>
  <c r="AD53" i="18" l="1"/>
  <c r="X31" i="18"/>
  <c r="X29" i="18"/>
  <c r="AH87" i="18"/>
  <c r="AE53" i="18" l="1"/>
  <c r="Y31" i="18"/>
  <c r="Y29" i="18"/>
  <c r="I211" i="18"/>
  <c r="J211" i="18"/>
  <c r="K211" i="18"/>
  <c r="L211" i="18"/>
  <c r="M211" i="18"/>
  <c r="N211" i="18"/>
  <c r="O211" i="18"/>
  <c r="P211" i="18"/>
  <c r="Q211" i="18"/>
  <c r="R211" i="18"/>
  <c r="C9" i="15"/>
  <c r="I88" i="18"/>
  <c r="I139" i="18" s="1"/>
  <c r="I140" i="18" s="1"/>
  <c r="I143" i="18" s="1"/>
  <c r="J88" i="18"/>
  <c r="J139" i="18" s="1"/>
  <c r="J140" i="18" s="1"/>
  <c r="J143" i="18" s="1"/>
  <c r="K88" i="18"/>
  <c r="K139" i="18" s="1"/>
  <c r="K140" i="18" s="1"/>
  <c r="K143" i="18" s="1"/>
  <c r="L88" i="18"/>
  <c r="L139" i="18" s="1"/>
  <c r="L140" i="18" s="1"/>
  <c r="L143" i="18" s="1"/>
  <c r="M88" i="18"/>
  <c r="M139" i="18" s="1"/>
  <c r="M140" i="18" s="1"/>
  <c r="M143" i="18" s="1"/>
  <c r="N88" i="18"/>
  <c r="N139" i="18" s="1"/>
  <c r="N140" i="18" s="1"/>
  <c r="N143" i="18" s="1"/>
  <c r="O88" i="18"/>
  <c r="O139" i="18" s="1"/>
  <c r="O140" i="18" s="1"/>
  <c r="O143" i="18" s="1"/>
  <c r="P88" i="18"/>
  <c r="P139" i="18" s="1"/>
  <c r="P140" i="18" s="1"/>
  <c r="P143" i="18" s="1"/>
  <c r="Q88" i="18"/>
  <c r="Q139" i="18" s="1"/>
  <c r="Q140" i="18" s="1"/>
  <c r="Q143" i="18" s="1"/>
  <c r="R88" i="18"/>
  <c r="R139" i="18" s="1"/>
  <c r="AF53" i="18" l="1"/>
  <c r="AH53" i="18"/>
  <c r="Z31" i="18"/>
  <c r="V88" i="18"/>
  <c r="Z29" i="18"/>
  <c r="P141" i="18"/>
  <c r="P142" i="18" s="1"/>
  <c r="L141" i="18"/>
  <c r="L142" i="18" s="1"/>
  <c r="N141" i="18"/>
  <c r="N142" i="18" s="1"/>
  <c r="J141" i="18"/>
  <c r="J142" i="18" s="1"/>
  <c r="O141" i="18"/>
  <c r="O142" i="18" s="1"/>
  <c r="K141" i="18"/>
  <c r="K142" i="18" s="1"/>
  <c r="Q141" i="18"/>
  <c r="Q142" i="18" s="1"/>
  <c r="M141" i="18"/>
  <c r="M142" i="18" s="1"/>
  <c r="I141" i="18"/>
  <c r="I142" i="18" s="1"/>
  <c r="R140" i="18"/>
  <c r="R143" i="18" s="1"/>
  <c r="W59" i="18"/>
  <c r="AA31" i="18" l="1"/>
  <c r="X59" i="18"/>
  <c r="AA29" i="18"/>
  <c r="R141" i="18"/>
  <c r="W88" i="18"/>
  <c r="I98" i="18"/>
  <c r="I164" i="18" s="1"/>
  <c r="J98" i="18"/>
  <c r="J164" i="18" s="1"/>
  <c r="K98" i="18"/>
  <c r="K164" i="18" s="1"/>
  <c r="L98" i="18"/>
  <c r="L164" i="18" s="1"/>
  <c r="M98" i="18"/>
  <c r="M164" i="18" s="1"/>
  <c r="N98" i="18"/>
  <c r="N164" i="18" s="1"/>
  <c r="O98" i="18"/>
  <c r="O164" i="18" s="1"/>
  <c r="P98" i="18"/>
  <c r="P164" i="18" s="1"/>
  <c r="Q98" i="18"/>
  <c r="Q164" i="18" s="1"/>
  <c r="I99" i="18"/>
  <c r="J99" i="18"/>
  <c r="K99" i="18"/>
  <c r="L99" i="18"/>
  <c r="M99" i="18"/>
  <c r="N99" i="18"/>
  <c r="O99" i="18"/>
  <c r="P99" i="18"/>
  <c r="Q99" i="18"/>
  <c r="I100" i="18"/>
  <c r="J100" i="18"/>
  <c r="K100" i="18"/>
  <c r="L100" i="18"/>
  <c r="M100" i="18"/>
  <c r="N100" i="18"/>
  <c r="O100" i="18"/>
  <c r="P100" i="18"/>
  <c r="Q100" i="18"/>
  <c r="R100" i="18"/>
  <c r="R99" i="18"/>
  <c r="R98" i="18"/>
  <c r="R164" i="18" s="1"/>
  <c r="J107" i="18"/>
  <c r="K107" i="18"/>
  <c r="L107" i="18"/>
  <c r="M107" i="18"/>
  <c r="N107" i="18"/>
  <c r="O107" i="18"/>
  <c r="P107" i="18"/>
  <c r="Q107" i="18"/>
  <c r="I106" i="18"/>
  <c r="J106" i="18"/>
  <c r="K106" i="18"/>
  <c r="L106" i="18"/>
  <c r="M106" i="18"/>
  <c r="N106" i="18"/>
  <c r="O106" i="18"/>
  <c r="P106" i="18"/>
  <c r="Q106" i="18"/>
  <c r="I105" i="18"/>
  <c r="J105" i="18"/>
  <c r="K105" i="18"/>
  <c r="L105" i="18"/>
  <c r="M105" i="18"/>
  <c r="N105" i="18"/>
  <c r="O105" i="18"/>
  <c r="P105" i="18"/>
  <c r="Q105" i="18"/>
  <c r="R106" i="18"/>
  <c r="AB31" i="18" l="1"/>
  <c r="Y59" i="18"/>
  <c r="X88" i="18"/>
  <c r="AB29" i="18"/>
  <c r="R105" i="18"/>
  <c r="J243" i="18"/>
  <c r="K243" i="18"/>
  <c r="L243" i="18"/>
  <c r="M243" i="18"/>
  <c r="N243" i="18"/>
  <c r="O243" i="18"/>
  <c r="P243" i="18"/>
  <c r="Q243" i="18"/>
  <c r="R243" i="18"/>
  <c r="I243" i="18"/>
  <c r="J242" i="18"/>
  <c r="K242" i="18"/>
  <c r="L242" i="18"/>
  <c r="M242" i="18"/>
  <c r="N242" i="18"/>
  <c r="O242" i="18"/>
  <c r="P242" i="18"/>
  <c r="Q242" i="18"/>
  <c r="R242" i="18"/>
  <c r="I242" i="18"/>
  <c r="J241" i="18"/>
  <c r="K241" i="18"/>
  <c r="L241" i="18"/>
  <c r="M241" i="18"/>
  <c r="N241" i="18"/>
  <c r="O241" i="18"/>
  <c r="P241" i="18"/>
  <c r="Q241" i="18"/>
  <c r="R241" i="18"/>
  <c r="I241" i="18"/>
  <c r="J67" i="18"/>
  <c r="K67" i="18"/>
  <c r="L67" i="18"/>
  <c r="M67" i="18"/>
  <c r="N67" i="18"/>
  <c r="O67" i="18"/>
  <c r="P67" i="18"/>
  <c r="Q67" i="18"/>
  <c r="R67" i="18"/>
  <c r="I67" i="18"/>
  <c r="I72" i="18"/>
  <c r="I214" i="18" s="1"/>
  <c r="J66" i="18"/>
  <c r="J202" i="18" s="1"/>
  <c r="K66" i="18"/>
  <c r="K202" i="18" s="1"/>
  <c r="L66" i="18"/>
  <c r="L202" i="18" s="1"/>
  <c r="M66" i="18"/>
  <c r="M202" i="18" s="1"/>
  <c r="N66" i="18"/>
  <c r="N202" i="18" s="1"/>
  <c r="O66" i="18"/>
  <c r="O202" i="18" s="1"/>
  <c r="P66" i="18"/>
  <c r="P202" i="18" s="1"/>
  <c r="Q66" i="18"/>
  <c r="Q202" i="18" s="1"/>
  <c r="R66" i="18"/>
  <c r="R202" i="18" s="1"/>
  <c r="I66" i="18"/>
  <c r="I202" i="18" s="1"/>
  <c r="V113" i="18"/>
  <c r="V119" i="18" s="1"/>
  <c r="AC31" i="18" l="1"/>
  <c r="Z59" i="18"/>
  <c r="Y88" i="18"/>
  <c r="AC29" i="18"/>
  <c r="W51" i="18"/>
  <c r="T243" i="18"/>
  <c r="T242" i="18"/>
  <c r="T241" i="18"/>
  <c r="W113" i="18" l="1"/>
  <c r="W119" i="18" s="1"/>
  <c r="AD31" i="18"/>
  <c r="AA59" i="18"/>
  <c r="Z88" i="18"/>
  <c r="AD29" i="18"/>
  <c r="X51" i="18"/>
  <c r="K95" i="18"/>
  <c r="L95" i="18"/>
  <c r="M95" i="18"/>
  <c r="N95" i="18"/>
  <c r="O95" i="18"/>
  <c r="P95" i="18"/>
  <c r="Q95" i="18"/>
  <c r="R95" i="18"/>
  <c r="K96" i="18"/>
  <c r="L96" i="18"/>
  <c r="M96" i="18"/>
  <c r="N96" i="18"/>
  <c r="O96" i="18"/>
  <c r="P96" i="18"/>
  <c r="Q96" i="18"/>
  <c r="R96" i="18"/>
  <c r="K90" i="18"/>
  <c r="K92" i="18" s="1"/>
  <c r="L90" i="18"/>
  <c r="L92" i="18" s="1"/>
  <c r="M90" i="18"/>
  <c r="M92" i="18" s="1"/>
  <c r="N90" i="18"/>
  <c r="N92" i="18" s="1"/>
  <c r="O90" i="18"/>
  <c r="O92" i="18" s="1"/>
  <c r="P90" i="18"/>
  <c r="P92" i="18" s="1"/>
  <c r="Q90" i="18"/>
  <c r="Q92" i="18" s="1"/>
  <c r="R90" i="18"/>
  <c r="R92" i="18" s="1"/>
  <c r="K93" i="18"/>
  <c r="L93" i="18"/>
  <c r="M93" i="18"/>
  <c r="N93" i="18"/>
  <c r="O93" i="18"/>
  <c r="P93" i="18"/>
  <c r="Q93" i="18"/>
  <c r="R93" i="18"/>
  <c r="K94" i="18"/>
  <c r="L94" i="18"/>
  <c r="M94" i="18"/>
  <c r="N94" i="18"/>
  <c r="O94" i="18"/>
  <c r="P94" i="18"/>
  <c r="Q94" i="18"/>
  <c r="R94" i="18"/>
  <c r="I93" i="18"/>
  <c r="I94" i="18"/>
  <c r="I95" i="18"/>
  <c r="I96" i="18"/>
  <c r="J96" i="18"/>
  <c r="J95" i="18"/>
  <c r="W22" i="18"/>
  <c r="X22" i="18" s="1"/>
  <c r="Y22" i="18" s="1"/>
  <c r="Z22" i="18" s="1"/>
  <c r="AA22" i="18" s="1"/>
  <c r="AB22" i="18" s="1"/>
  <c r="AC22" i="18" s="1"/>
  <c r="AD22" i="18" s="1"/>
  <c r="AE22" i="18" s="1"/>
  <c r="I90" i="18"/>
  <c r="I92" i="18" s="1"/>
  <c r="J90" i="18"/>
  <c r="J92" i="18" s="1"/>
  <c r="J94" i="18"/>
  <c r="J93" i="18"/>
  <c r="X113" i="18" l="1"/>
  <c r="X119" i="18" s="1"/>
  <c r="AE31" i="18"/>
  <c r="AF31" i="18" s="1"/>
  <c r="AB59" i="18"/>
  <c r="AA88" i="18"/>
  <c r="W23" i="18"/>
  <c r="V116" i="18"/>
  <c r="V122" i="18" s="1"/>
  <c r="AE29" i="18"/>
  <c r="AF22" i="18"/>
  <c r="AH22" i="18"/>
  <c r="Y51" i="18"/>
  <c r="W21" i="18"/>
  <c r="AH31" i="18" l="1"/>
  <c r="Y113" i="18"/>
  <c r="Y119" i="18" s="1"/>
  <c r="AB88" i="18"/>
  <c r="AC59" i="18"/>
  <c r="X23" i="18"/>
  <c r="W116" i="18"/>
  <c r="W122" i="18" s="1"/>
  <c r="AH29" i="18"/>
  <c r="AF29" i="18"/>
  <c r="W20" i="18"/>
  <c r="V90" i="18"/>
  <c r="X21" i="18"/>
  <c r="C19" i="15"/>
  <c r="W9" i="18"/>
  <c r="X9" i="18" s="1"/>
  <c r="Y9" i="18" s="1"/>
  <c r="Z9" i="18" s="1"/>
  <c r="AA9" i="18" s="1"/>
  <c r="AB9" i="18" s="1"/>
  <c r="AC9" i="18" s="1"/>
  <c r="AD9" i="18" s="1"/>
  <c r="AE9" i="18" s="1"/>
  <c r="AH9" i="18" s="1"/>
  <c r="V109" i="18"/>
  <c r="W33" i="18"/>
  <c r="X33" i="18" s="1"/>
  <c r="Y33" i="18" s="1"/>
  <c r="Z33" i="18" s="1"/>
  <c r="AA33" i="18" s="1"/>
  <c r="AB33" i="18" s="1"/>
  <c r="AC33" i="18" s="1"/>
  <c r="AD33" i="18" s="1"/>
  <c r="AE33" i="18" s="1"/>
  <c r="AH33" i="18" s="1"/>
  <c r="W34" i="18"/>
  <c r="X34" i="18" s="1"/>
  <c r="Y34" i="18" s="1"/>
  <c r="Z34" i="18" s="1"/>
  <c r="AA34" i="18" s="1"/>
  <c r="AB34" i="18" s="1"/>
  <c r="AC34" i="18" s="1"/>
  <c r="AD34" i="18" s="1"/>
  <c r="AE34" i="18" s="1"/>
  <c r="AH34" i="18" s="1"/>
  <c r="Z51" i="18"/>
  <c r="Q86" i="18"/>
  <c r="Q208" i="18" s="1"/>
  <c r="Q85" i="18"/>
  <c r="Q83" i="18"/>
  <c r="Q82" i="18"/>
  <c r="Q80" i="18"/>
  <c r="Q209" i="18" s="1"/>
  <c r="Q79" i="18"/>
  <c r="Q78" i="18"/>
  <c r="Q76" i="18"/>
  <c r="Q75" i="18"/>
  <c r="Q206" i="18" s="1"/>
  <c r="Q74" i="18"/>
  <c r="Q72" i="18"/>
  <c r="Q214" i="18" s="1"/>
  <c r="Z113" i="18" l="1"/>
  <c r="Z119" i="18" s="1"/>
  <c r="AC88" i="18"/>
  <c r="AD59" i="18"/>
  <c r="W90" i="18"/>
  <c r="V156" i="18"/>
  <c r="V166" i="18"/>
  <c r="V157" i="18"/>
  <c r="V167" i="18"/>
  <c r="Y23" i="18"/>
  <c r="X116" i="18"/>
  <c r="X122" i="18" s="1"/>
  <c r="V150" i="18"/>
  <c r="V151" i="18"/>
  <c r="V149" i="18"/>
  <c r="V137" i="18"/>
  <c r="R142" i="18"/>
  <c r="V112" i="18"/>
  <c r="V118" i="18" s="1"/>
  <c r="V146" i="18"/>
  <c r="V145" i="18"/>
  <c r="W18" i="18"/>
  <c r="Q203" i="18"/>
  <c r="X20" i="18"/>
  <c r="W27" i="18"/>
  <c r="AA51" i="18"/>
  <c r="W25" i="18"/>
  <c r="W129" i="18" s="1"/>
  <c r="V105" i="18"/>
  <c r="Y21" i="18"/>
  <c r="AF33" i="18"/>
  <c r="AF34" i="18"/>
  <c r="AF9" i="18"/>
  <c r="Q84" i="18"/>
  <c r="Q207" i="18" s="1"/>
  <c r="I80" i="18"/>
  <c r="I209" i="18" s="1"/>
  <c r="J80" i="18"/>
  <c r="J209" i="18" s="1"/>
  <c r="K80" i="18"/>
  <c r="K209" i="18" s="1"/>
  <c r="L80" i="18"/>
  <c r="L209" i="18" s="1"/>
  <c r="M80" i="18"/>
  <c r="M209" i="18" s="1"/>
  <c r="N80" i="18"/>
  <c r="N209" i="18" s="1"/>
  <c r="O80" i="18"/>
  <c r="O209" i="18" s="1"/>
  <c r="P80" i="18"/>
  <c r="P209" i="18" s="1"/>
  <c r="R80" i="18"/>
  <c r="W124" i="18" l="1"/>
  <c r="W125" i="18"/>
  <c r="Q216" i="18"/>
  <c r="Q217" i="18" s="1"/>
  <c r="Q215" i="18"/>
  <c r="AA113" i="18"/>
  <c r="AA119" i="18" s="1"/>
  <c r="W109" i="18"/>
  <c r="W147" i="18"/>
  <c r="AE59" i="18"/>
  <c r="AD88" i="18"/>
  <c r="W157" i="18"/>
  <c r="W167" i="18"/>
  <c r="W156" i="18"/>
  <c r="W166" i="18"/>
  <c r="Z23" i="18"/>
  <c r="Y116" i="18"/>
  <c r="Y122" i="18" s="1"/>
  <c r="W149" i="18"/>
  <c r="W151" i="18"/>
  <c r="W150" i="18"/>
  <c r="W137" i="18"/>
  <c r="W112" i="18"/>
  <c r="W118" i="18" s="1"/>
  <c r="W146" i="18"/>
  <c r="W145" i="18"/>
  <c r="X18" i="18"/>
  <c r="Y20" i="18"/>
  <c r="X90" i="18"/>
  <c r="X27" i="18"/>
  <c r="X25" i="18"/>
  <c r="W105" i="18"/>
  <c r="AB51" i="18"/>
  <c r="Z21" i="18"/>
  <c r="R209" i="18"/>
  <c r="I79" i="18"/>
  <c r="J79" i="18"/>
  <c r="K79" i="18"/>
  <c r="L79" i="18"/>
  <c r="M79" i="18"/>
  <c r="N79" i="18"/>
  <c r="O79" i="18"/>
  <c r="P79" i="18"/>
  <c r="R79" i="18"/>
  <c r="I78" i="18"/>
  <c r="J78" i="18"/>
  <c r="K78" i="18"/>
  <c r="L78" i="18"/>
  <c r="M78" i="18"/>
  <c r="N78" i="18"/>
  <c r="O78" i="18"/>
  <c r="P78" i="18"/>
  <c r="R78" i="18"/>
  <c r="X125" i="18" l="1"/>
  <c r="X129" i="18"/>
  <c r="X147" i="18"/>
  <c r="X124" i="18"/>
  <c r="AB113" i="18"/>
  <c r="AB119" i="18" s="1"/>
  <c r="AH59" i="18"/>
  <c r="AE88" i="18"/>
  <c r="AF59" i="18"/>
  <c r="X156" i="18"/>
  <c r="X166" i="18"/>
  <c r="X157" i="18"/>
  <c r="X167" i="18"/>
  <c r="X109" i="18"/>
  <c r="AA23" i="18"/>
  <c r="Z116" i="18"/>
  <c r="Z122" i="18" s="1"/>
  <c r="X151" i="18"/>
  <c r="X150" i="18"/>
  <c r="X149" i="18"/>
  <c r="X137" i="18"/>
  <c r="X112" i="18"/>
  <c r="X118" i="18" s="1"/>
  <c r="X146" i="18"/>
  <c r="X145" i="18"/>
  <c r="Y18" i="18"/>
  <c r="Z20" i="18"/>
  <c r="Y90" i="18"/>
  <c r="Y27" i="18"/>
  <c r="Y25" i="18"/>
  <c r="Y129" i="18" s="1"/>
  <c r="X105" i="18"/>
  <c r="AC51" i="18"/>
  <c r="AA21" i="18"/>
  <c r="C46" i="15"/>
  <c r="Y124" i="18" l="1"/>
  <c r="Y125" i="18"/>
  <c r="AC113" i="18"/>
  <c r="AC119" i="18" s="1"/>
  <c r="Y109" i="18"/>
  <c r="Y147" i="18"/>
  <c r="V188" i="18"/>
  <c r="S230" i="18" s="1"/>
  <c r="AH88" i="18"/>
  <c r="W188" i="18" s="1"/>
  <c r="AF88" i="18"/>
  <c r="Y157" i="18"/>
  <c r="Y167" i="18"/>
  <c r="Y156" i="18"/>
  <c r="Y166" i="18"/>
  <c r="AB23" i="18"/>
  <c r="AA116" i="18"/>
  <c r="AA122" i="18" s="1"/>
  <c r="Y137" i="18"/>
  <c r="Y151" i="18"/>
  <c r="Y150" i="18"/>
  <c r="Y149" i="18"/>
  <c r="Y112" i="18"/>
  <c r="Y118" i="18" s="1"/>
  <c r="Y146" i="18"/>
  <c r="Y145" i="18"/>
  <c r="Z18" i="18"/>
  <c r="AA20" i="18"/>
  <c r="Z90" i="18"/>
  <c r="Z27" i="18"/>
  <c r="Z25" i="18"/>
  <c r="Y105" i="18"/>
  <c r="AD51" i="18"/>
  <c r="AB21" i="18"/>
  <c r="J72" i="18"/>
  <c r="J214" i="18" s="1"/>
  <c r="K72" i="18"/>
  <c r="K214" i="18" s="1"/>
  <c r="L72" i="18"/>
  <c r="L214" i="18" s="1"/>
  <c r="M72" i="18"/>
  <c r="M214" i="18" s="1"/>
  <c r="N72" i="18"/>
  <c r="N214" i="18" s="1"/>
  <c r="O72" i="18"/>
  <c r="O214" i="18" s="1"/>
  <c r="P72" i="18"/>
  <c r="P214" i="18" s="1"/>
  <c r="R72" i="18"/>
  <c r="R214" i="18" s="1"/>
  <c r="I86" i="18"/>
  <c r="J86" i="18"/>
  <c r="J208" i="18" s="1"/>
  <c r="K86" i="18"/>
  <c r="K208" i="18" s="1"/>
  <c r="L86" i="18"/>
  <c r="L208" i="18" s="1"/>
  <c r="M86" i="18"/>
  <c r="M208" i="18" s="1"/>
  <c r="N86" i="18"/>
  <c r="N208" i="18" s="1"/>
  <c r="O86" i="18"/>
  <c r="O208" i="18" s="1"/>
  <c r="P86" i="18"/>
  <c r="R86" i="18"/>
  <c r="I85" i="18"/>
  <c r="J85" i="18"/>
  <c r="K85" i="18"/>
  <c r="L85" i="18"/>
  <c r="M85" i="18"/>
  <c r="N85" i="18"/>
  <c r="O85" i="18"/>
  <c r="P85" i="18"/>
  <c r="R85" i="18"/>
  <c r="I83" i="18"/>
  <c r="J83" i="18"/>
  <c r="K83" i="18"/>
  <c r="L83" i="18"/>
  <c r="M83" i="18"/>
  <c r="N83" i="18"/>
  <c r="O83" i="18"/>
  <c r="P83" i="18"/>
  <c r="R83" i="18"/>
  <c r="I82" i="18"/>
  <c r="J82" i="18"/>
  <c r="K82" i="18"/>
  <c r="L82" i="18"/>
  <c r="M82" i="18"/>
  <c r="N82" i="18"/>
  <c r="O82" i="18"/>
  <c r="P82" i="18"/>
  <c r="R82" i="18"/>
  <c r="I76" i="18"/>
  <c r="J76" i="18"/>
  <c r="K76" i="18"/>
  <c r="L76" i="18"/>
  <c r="M76" i="18"/>
  <c r="N76" i="18"/>
  <c r="O76" i="18"/>
  <c r="P76" i="18"/>
  <c r="R76" i="18"/>
  <c r="I75" i="18"/>
  <c r="J75" i="18"/>
  <c r="J206" i="18" s="1"/>
  <c r="K75" i="18"/>
  <c r="K206" i="18" s="1"/>
  <c r="L75" i="18"/>
  <c r="L206" i="18" s="1"/>
  <c r="M75" i="18"/>
  <c r="M206" i="18" s="1"/>
  <c r="N75" i="18"/>
  <c r="N206" i="18" s="1"/>
  <c r="O75" i="18"/>
  <c r="O206" i="18" s="1"/>
  <c r="P75" i="18"/>
  <c r="R75" i="18"/>
  <c r="I74" i="18"/>
  <c r="J74" i="18"/>
  <c r="K74" i="18"/>
  <c r="L74" i="18"/>
  <c r="M74" i="18"/>
  <c r="N74" i="18"/>
  <c r="O74" i="18"/>
  <c r="P74" i="18"/>
  <c r="R74" i="18"/>
  <c r="V154" i="18"/>
  <c r="V162" i="18"/>
  <c r="V163" i="18" s="1"/>
  <c r="V114" i="18"/>
  <c r="V120" i="18" s="1"/>
  <c r="Z125" i="18" l="1"/>
  <c r="Z129" i="18"/>
  <c r="Z147" i="18"/>
  <c r="Z124" i="18"/>
  <c r="T170" i="18"/>
  <c r="V237" i="18" s="1"/>
  <c r="V236" i="18" s="1"/>
  <c r="V211" i="18"/>
  <c r="AD113" i="18"/>
  <c r="AD119" i="18" s="1"/>
  <c r="V134" i="18"/>
  <c r="U188" i="18"/>
  <c r="R230" i="18" s="1"/>
  <c r="Z156" i="18"/>
  <c r="Z166" i="18"/>
  <c r="Z109" i="18"/>
  <c r="Z157" i="18"/>
  <c r="Z167" i="18"/>
  <c r="AC23" i="18"/>
  <c r="AB116" i="18"/>
  <c r="AB122" i="18" s="1"/>
  <c r="V107" i="18"/>
  <c r="V108" i="18"/>
  <c r="V160" i="18"/>
  <c r="V159" i="18"/>
  <c r="V115" i="18"/>
  <c r="V121" i="18" s="1"/>
  <c r="V155" i="18"/>
  <c r="J203" i="18"/>
  <c r="Z137" i="18"/>
  <c r="Z150" i="18"/>
  <c r="Z149" i="18"/>
  <c r="Z151" i="18"/>
  <c r="V136" i="18"/>
  <c r="Z112" i="18"/>
  <c r="Z118" i="18" s="1"/>
  <c r="Z146" i="18"/>
  <c r="Z145" i="18"/>
  <c r="V135" i="18"/>
  <c r="AA18" i="18"/>
  <c r="R203" i="18"/>
  <c r="M203" i="18"/>
  <c r="L203" i="18"/>
  <c r="O203" i="18"/>
  <c r="K203" i="18"/>
  <c r="AB20" i="18"/>
  <c r="AA90" i="18"/>
  <c r="J84" i="18"/>
  <c r="J207" i="18" s="1"/>
  <c r="AA27" i="18"/>
  <c r="W12" i="18"/>
  <c r="W15" i="18"/>
  <c r="W154" i="18" s="1"/>
  <c r="W13" i="18"/>
  <c r="W10" i="18"/>
  <c r="W16" i="18"/>
  <c r="W162" i="18" s="1"/>
  <c r="W163" i="18" s="1"/>
  <c r="W6" i="18"/>
  <c r="W7" i="18"/>
  <c r="AA25" i="18"/>
  <c r="AA129" i="18" s="1"/>
  <c r="Z105" i="18"/>
  <c r="W55" i="18"/>
  <c r="W130" i="18" s="1"/>
  <c r="V106" i="18"/>
  <c r="AE51" i="18"/>
  <c r="N84" i="18"/>
  <c r="N207" i="18" s="1"/>
  <c r="M84" i="18"/>
  <c r="M207" i="18" s="1"/>
  <c r="L84" i="18"/>
  <c r="L207" i="18" s="1"/>
  <c r="AC21" i="18"/>
  <c r="W201" i="18"/>
  <c r="K84" i="18"/>
  <c r="K207" i="18" s="1"/>
  <c r="I206" i="18"/>
  <c r="I203" i="18"/>
  <c r="I208" i="18"/>
  <c r="I84" i="18"/>
  <c r="P206" i="18"/>
  <c r="P203" i="18"/>
  <c r="P208" i="18"/>
  <c r="R206" i="18"/>
  <c r="N203" i="18"/>
  <c r="P84" i="18"/>
  <c r="O84" i="18"/>
  <c r="O207" i="18" s="1"/>
  <c r="R208" i="18"/>
  <c r="R84" i="18"/>
  <c r="C6" i="12"/>
  <c r="C26" i="15"/>
  <c r="C58" i="15"/>
  <c r="C57" i="15"/>
  <c r="C54" i="15"/>
  <c r="C53" i="15"/>
  <c r="C50" i="15"/>
  <c r="C49" i="15"/>
  <c r="C45" i="15"/>
  <c r="W132" i="18" l="1"/>
  <c r="W131" i="18"/>
  <c r="AA124" i="18"/>
  <c r="AA125" i="18"/>
  <c r="W211" i="18"/>
  <c r="W220" i="18"/>
  <c r="W225" i="18"/>
  <c r="I216" i="18"/>
  <c r="I217" i="18" s="1"/>
  <c r="I215" i="18"/>
  <c r="O216" i="18"/>
  <c r="O217" i="18" s="1"/>
  <c r="O215" i="18"/>
  <c r="M216" i="18"/>
  <c r="M217" i="18" s="1"/>
  <c r="M215" i="18"/>
  <c r="P216" i="18"/>
  <c r="P217" i="18" s="1"/>
  <c r="P215" i="18"/>
  <c r="J216" i="18"/>
  <c r="J217" i="18" s="1"/>
  <c r="J215" i="18"/>
  <c r="K216" i="18"/>
  <c r="K217" i="18" s="1"/>
  <c r="K215" i="18"/>
  <c r="L216" i="18"/>
  <c r="L217" i="18" s="1"/>
  <c r="L215" i="18"/>
  <c r="R216" i="18"/>
  <c r="R217" i="18" s="1"/>
  <c r="R215" i="18"/>
  <c r="N216" i="18"/>
  <c r="N217" i="18" s="1"/>
  <c r="N215" i="18"/>
  <c r="AA109" i="18"/>
  <c r="AA147" i="18"/>
  <c r="W114" i="18"/>
  <c r="W120" i="18" s="1"/>
  <c r="W68" i="18"/>
  <c r="W110" i="18" s="1"/>
  <c r="W238" i="18"/>
  <c r="X238" i="18" s="1"/>
  <c r="Y238" i="18" s="1"/>
  <c r="Z238" i="18" s="1"/>
  <c r="AA238" i="18" s="1"/>
  <c r="AB238" i="18" s="1"/>
  <c r="AC238" i="18" s="1"/>
  <c r="AD238" i="18" s="1"/>
  <c r="AE238" i="18" s="1"/>
  <c r="AF238" i="18" s="1"/>
  <c r="AG238" i="18" s="1"/>
  <c r="AH238" i="18" s="1"/>
  <c r="AI238" i="18" s="1"/>
  <c r="AJ238" i="18" s="1"/>
  <c r="AK238" i="18" s="1"/>
  <c r="AL238" i="18" s="1"/>
  <c r="AM238" i="18" s="1"/>
  <c r="AN238" i="18" s="1"/>
  <c r="AO238" i="18" s="1"/>
  <c r="AP238" i="18" s="1"/>
  <c r="AQ238" i="18" s="1"/>
  <c r="AR238" i="18" s="1"/>
  <c r="AS238" i="18" s="1"/>
  <c r="AT238" i="18" s="1"/>
  <c r="AU238" i="18" s="1"/>
  <c r="AV238" i="18" s="1"/>
  <c r="W134" i="18"/>
  <c r="AA156" i="18"/>
  <c r="AA166" i="18"/>
  <c r="AA157" i="18"/>
  <c r="AA167" i="18"/>
  <c r="AH51" i="18"/>
  <c r="AE113" i="18"/>
  <c r="AD23" i="18"/>
  <c r="AC116" i="18"/>
  <c r="AC122" i="18" s="1"/>
  <c r="W160" i="18"/>
  <c r="W159" i="18"/>
  <c r="W115" i="18"/>
  <c r="W121" i="18" s="1"/>
  <c r="W155" i="18"/>
  <c r="W108" i="18"/>
  <c r="AA149" i="18"/>
  <c r="AA150" i="18"/>
  <c r="AA151" i="18"/>
  <c r="AA137" i="18"/>
  <c r="AA112" i="18"/>
  <c r="AA118" i="18" s="1"/>
  <c r="AA146" i="18"/>
  <c r="AA145" i="18"/>
  <c r="W135" i="18"/>
  <c r="W136" i="18"/>
  <c r="AB18" i="18"/>
  <c r="AC20" i="18"/>
  <c r="AB90" i="18"/>
  <c r="AB27" i="18"/>
  <c r="X15" i="18"/>
  <c r="X154" i="18" s="1"/>
  <c r="X13" i="18"/>
  <c r="X12" i="18"/>
  <c r="X16" i="18"/>
  <c r="X162" i="18" s="1"/>
  <c r="X163" i="18" s="1"/>
  <c r="X10" i="18"/>
  <c r="X7" i="18"/>
  <c r="X6" i="18"/>
  <c r="AF51" i="18"/>
  <c r="AB25" i="18"/>
  <c r="AB129" i="18" s="1"/>
  <c r="AA105" i="18"/>
  <c r="X55" i="18"/>
  <c r="X130" i="18" s="1"/>
  <c r="W107" i="18"/>
  <c r="W106" i="18"/>
  <c r="AD21" i="18"/>
  <c r="X201" i="18"/>
  <c r="I207" i="18"/>
  <c r="P207" i="18"/>
  <c r="R207" i="18"/>
  <c r="C16" i="15"/>
  <c r="C21" i="15"/>
  <c r="C10" i="15"/>
  <c r="X131" i="18" l="1"/>
  <c r="X132" i="18"/>
  <c r="AB124" i="18"/>
  <c r="AB125" i="18"/>
  <c r="W226" i="18"/>
  <c r="W227" i="18" s="1"/>
  <c r="W224" i="18"/>
  <c r="W221" i="18"/>
  <c r="W222" i="18" s="1"/>
  <c r="W219" i="18"/>
  <c r="X211" i="18"/>
  <c r="X225" i="18"/>
  <c r="X220" i="18"/>
  <c r="AB109" i="18"/>
  <c r="AB147" i="18"/>
  <c r="X114" i="18"/>
  <c r="X120" i="18" s="1"/>
  <c r="X68" i="18"/>
  <c r="X110" i="18" s="1"/>
  <c r="W239" i="18"/>
  <c r="X239" i="18" s="1"/>
  <c r="Y239" i="18" s="1"/>
  <c r="Z239" i="18" s="1"/>
  <c r="AA239" i="18" s="1"/>
  <c r="AB239" i="18" s="1"/>
  <c r="AC239" i="18" s="1"/>
  <c r="AD239" i="18" s="1"/>
  <c r="AE239" i="18" s="1"/>
  <c r="AF239" i="18" s="1"/>
  <c r="AG239" i="18" s="1"/>
  <c r="AH239" i="18" s="1"/>
  <c r="AI239" i="18" s="1"/>
  <c r="AJ239" i="18" s="1"/>
  <c r="AK239" i="18" s="1"/>
  <c r="AL239" i="18" s="1"/>
  <c r="AM239" i="18" s="1"/>
  <c r="AN239" i="18" s="1"/>
  <c r="AO239" i="18" s="1"/>
  <c r="AP239" i="18" s="1"/>
  <c r="AQ239" i="18" s="1"/>
  <c r="AR239" i="18" s="1"/>
  <c r="AS239" i="18" s="1"/>
  <c r="AT239" i="18" s="1"/>
  <c r="AU239" i="18" s="1"/>
  <c r="AV239" i="18" s="1"/>
  <c r="AF113" i="18"/>
  <c r="AE119" i="18"/>
  <c r="AF119" i="18" s="1"/>
  <c r="W237" i="18"/>
  <c r="X237" i="18" s="1"/>
  <c r="Y237" i="18" s="1"/>
  <c r="Z237" i="18" s="1"/>
  <c r="AA237" i="18" s="1"/>
  <c r="AB237" i="18" s="1"/>
  <c r="AC237" i="18" s="1"/>
  <c r="AD237" i="18" s="1"/>
  <c r="AE237" i="18" s="1"/>
  <c r="AF237" i="18" s="1"/>
  <c r="X134" i="18"/>
  <c r="AB156" i="18"/>
  <c r="AB166" i="18"/>
  <c r="AB157" i="18"/>
  <c r="AB167" i="18"/>
  <c r="AE23" i="18"/>
  <c r="AD116" i="18"/>
  <c r="AD122" i="18" s="1"/>
  <c r="X115" i="18"/>
  <c r="X121" i="18" s="1"/>
  <c r="X155" i="18"/>
  <c r="X160" i="18"/>
  <c r="X159" i="18"/>
  <c r="X108" i="18"/>
  <c r="AB151" i="18"/>
  <c r="AB150" i="18"/>
  <c r="AB149" i="18"/>
  <c r="AB137" i="18"/>
  <c r="AB112" i="18"/>
  <c r="AB118" i="18" s="1"/>
  <c r="AB146" i="18"/>
  <c r="AB145" i="18"/>
  <c r="X135" i="18"/>
  <c r="X136" i="18"/>
  <c r="AC18" i="18"/>
  <c r="AD20" i="18"/>
  <c r="AC90" i="18"/>
  <c r="AC27" i="18"/>
  <c r="Y13" i="18"/>
  <c r="Y12" i="18"/>
  <c r="Y15" i="18"/>
  <c r="Y154" i="18" s="1"/>
  <c r="Y10" i="18"/>
  <c r="Y16" i="18"/>
  <c r="Y162" i="18" s="1"/>
  <c r="Y163" i="18" s="1"/>
  <c r="Y6" i="18"/>
  <c r="Y7" i="18"/>
  <c r="Y55" i="18"/>
  <c r="Y130" i="18" s="1"/>
  <c r="X107" i="18"/>
  <c r="X106" i="18"/>
  <c r="AC25" i="18"/>
  <c r="AC129" i="18" s="1"/>
  <c r="AB105" i="18"/>
  <c r="AE21" i="18"/>
  <c r="AH21" i="18" s="1"/>
  <c r="Y201" i="18"/>
  <c r="D31" i="8"/>
  <c r="D29" i="8"/>
  <c r="D28" i="8"/>
  <c r="D13" i="8"/>
  <c r="D30" i="8" s="1"/>
  <c r="E14" i="8"/>
  <c r="F14" i="8" s="1"/>
  <c r="G14" i="8" s="1"/>
  <c r="H14" i="8" s="1"/>
  <c r="I14" i="8" s="1"/>
  <c r="Y132" i="18" l="1"/>
  <c r="Y131" i="18"/>
  <c r="AC124" i="18"/>
  <c r="AC125" i="18"/>
  <c r="X221" i="18"/>
  <c r="X222" i="18" s="1"/>
  <c r="X219" i="18"/>
  <c r="X226" i="18"/>
  <c r="X227" i="18" s="1"/>
  <c r="X224" i="18"/>
  <c r="Y211" i="18"/>
  <c r="Y220" i="18"/>
  <c r="Y225" i="18"/>
  <c r="AC109" i="18"/>
  <c r="AC147" i="18"/>
  <c r="Y114" i="18"/>
  <c r="Y120" i="18" s="1"/>
  <c r="Y68" i="18"/>
  <c r="Y110" i="18" s="1"/>
  <c r="W236" i="18"/>
  <c r="X236" i="18" s="1"/>
  <c r="Y236" i="18" s="1"/>
  <c r="Z236" i="18" s="1"/>
  <c r="AA236" i="18" s="1"/>
  <c r="AB236" i="18" s="1"/>
  <c r="AC236" i="18" s="1"/>
  <c r="AD236" i="18" s="1"/>
  <c r="AE236" i="18" s="1"/>
  <c r="AF236" i="18" s="1"/>
  <c r="AG237" i="18"/>
  <c r="AH237" i="18" s="1"/>
  <c r="AI237" i="18" s="1"/>
  <c r="AJ237" i="18" s="1"/>
  <c r="AK237" i="18" s="1"/>
  <c r="AL237" i="18" s="1"/>
  <c r="AM237" i="18" s="1"/>
  <c r="AN237" i="18" s="1"/>
  <c r="AO237" i="18" s="1"/>
  <c r="AP237" i="18" s="1"/>
  <c r="AQ237" i="18" s="1"/>
  <c r="AR237" i="18" s="1"/>
  <c r="AS237" i="18" s="1"/>
  <c r="AT237" i="18" s="1"/>
  <c r="AU237" i="18" s="1"/>
  <c r="AV237" i="18" s="1"/>
  <c r="Y134" i="18"/>
  <c r="AC156" i="18"/>
  <c r="AC166" i="18"/>
  <c r="AC157" i="18"/>
  <c r="AC167" i="18"/>
  <c r="AH23" i="18"/>
  <c r="AE116" i="18"/>
  <c r="AF23" i="18"/>
  <c r="Y108" i="18"/>
  <c r="Y159" i="18"/>
  <c r="Y160" i="18"/>
  <c r="Y115" i="18"/>
  <c r="Y121" i="18" s="1"/>
  <c r="Y155" i="18"/>
  <c r="AC151" i="18"/>
  <c r="AC150" i="18"/>
  <c r="AC149" i="18"/>
  <c r="AC137" i="18"/>
  <c r="AC112" i="18"/>
  <c r="AC118" i="18" s="1"/>
  <c r="AC146" i="18"/>
  <c r="AC145" i="18"/>
  <c r="Y136" i="18"/>
  <c r="Y135" i="18"/>
  <c r="AD18" i="18"/>
  <c r="AE20" i="18"/>
  <c r="AD90" i="18"/>
  <c r="AD27" i="18"/>
  <c r="Z12" i="18"/>
  <c r="Z15" i="18"/>
  <c r="Z154" i="18" s="1"/>
  <c r="Z13" i="18"/>
  <c r="Z16" i="18"/>
  <c r="Z162" i="18" s="1"/>
  <c r="Z163" i="18" s="1"/>
  <c r="Z10" i="18"/>
  <c r="Z7" i="18"/>
  <c r="Z6" i="18"/>
  <c r="AD25" i="18"/>
  <c r="AC105" i="18"/>
  <c r="Z55" i="18"/>
  <c r="Z130" i="18" s="1"/>
  <c r="Y106" i="18"/>
  <c r="Y107" i="18"/>
  <c r="AF21" i="18"/>
  <c r="Z201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D125" i="18" l="1"/>
  <c r="AD129" i="18"/>
  <c r="Z132" i="18"/>
  <c r="Z131" i="18"/>
  <c r="AD147" i="18"/>
  <c r="AD124" i="18"/>
  <c r="Y226" i="18"/>
  <c r="Y227" i="18" s="1"/>
  <c r="Y224" i="18"/>
  <c r="Y221" i="18"/>
  <c r="Y222" i="18" s="1"/>
  <c r="Y219" i="18"/>
  <c r="Z211" i="18"/>
  <c r="Z225" i="18"/>
  <c r="Z220" i="18"/>
  <c r="Z114" i="18"/>
  <c r="Z120" i="18" s="1"/>
  <c r="Z68" i="18"/>
  <c r="Z110" i="18" s="1"/>
  <c r="AG236" i="18"/>
  <c r="AH236" i="18" s="1"/>
  <c r="AI236" i="18" s="1"/>
  <c r="AJ236" i="18" s="1"/>
  <c r="AK236" i="18" s="1"/>
  <c r="AL236" i="18" s="1"/>
  <c r="AM236" i="18" s="1"/>
  <c r="AN236" i="18" s="1"/>
  <c r="AO236" i="18" s="1"/>
  <c r="AP236" i="18" s="1"/>
  <c r="AQ236" i="18" s="1"/>
  <c r="AR236" i="18" s="1"/>
  <c r="AS236" i="18" s="1"/>
  <c r="AT236" i="18" s="1"/>
  <c r="AU236" i="18" s="1"/>
  <c r="AV236" i="18" s="1"/>
  <c r="AF116" i="18"/>
  <c r="AE122" i="18"/>
  <c r="AF122" i="18" s="1"/>
  <c r="Z134" i="18"/>
  <c r="AD156" i="18"/>
  <c r="AD166" i="18"/>
  <c r="AD157" i="18"/>
  <c r="AD167" i="18"/>
  <c r="AH20" i="18"/>
  <c r="AD109" i="18"/>
  <c r="Z160" i="18"/>
  <c r="Z159" i="18"/>
  <c r="Z115" i="18"/>
  <c r="Z121" i="18" s="1"/>
  <c r="Z155" i="18"/>
  <c r="Z108" i="18"/>
  <c r="AD150" i="18"/>
  <c r="AD149" i="18"/>
  <c r="AD151" i="18"/>
  <c r="AD137" i="18"/>
  <c r="AD112" i="18"/>
  <c r="AD118" i="18" s="1"/>
  <c r="AD146" i="18"/>
  <c r="AD145" i="18"/>
  <c r="Z136" i="18"/>
  <c r="Z135" i="18"/>
  <c r="AE18" i="18"/>
  <c r="AF20" i="18"/>
  <c r="AE90" i="18"/>
  <c r="AE27" i="18"/>
  <c r="AE167" i="18" s="1"/>
  <c r="AF167" i="18" s="1"/>
  <c r="AA15" i="18"/>
  <c r="AA154" i="18" s="1"/>
  <c r="AA13" i="18"/>
  <c r="AA12" i="18"/>
  <c r="AA10" i="18"/>
  <c r="AA16" i="18"/>
  <c r="AA162" i="18" s="1"/>
  <c r="AA163" i="18" s="1"/>
  <c r="AA6" i="18"/>
  <c r="AA7" i="18"/>
  <c r="AA55" i="18"/>
  <c r="AA130" i="18" s="1"/>
  <c r="Z107" i="18"/>
  <c r="Z106" i="18"/>
  <c r="AE25" i="18"/>
  <c r="AE129" i="18" s="1"/>
  <c r="AF129" i="18" s="1"/>
  <c r="AD105" i="18"/>
  <c r="AA201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AA132" i="18" l="1"/>
  <c r="AA131" i="18"/>
  <c r="AE124" i="18"/>
  <c r="AF124" i="18" s="1"/>
  <c r="AE125" i="18"/>
  <c r="AF125" i="18" s="1"/>
  <c r="Z221" i="18"/>
  <c r="Z222" i="18" s="1"/>
  <c r="Z219" i="18"/>
  <c r="Z226" i="18"/>
  <c r="Z227" i="18" s="1"/>
  <c r="Z224" i="18"/>
  <c r="AA211" i="18"/>
  <c r="AA225" i="18"/>
  <c r="AA220" i="18"/>
  <c r="AE109" i="18"/>
  <c r="AF109" i="18" s="1"/>
  <c r="AE147" i="18"/>
  <c r="AF147" i="18" s="1"/>
  <c r="AA114" i="18"/>
  <c r="AA120" i="18" s="1"/>
  <c r="AA68" i="18"/>
  <c r="AA110" i="18" s="1"/>
  <c r="AA134" i="18"/>
  <c r="AE156" i="18"/>
  <c r="AF156" i="18" s="1"/>
  <c r="AE166" i="18"/>
  <c r="AF166" i="18" s="1"/>
  <c r="AA115" i="18"/>
  <c r="AA121" i="18" s="1"/>
  <c r="AA155" i="18"/>
  <c r="AA160" i="18"/>
  <c r="AA159" i="18"/>
  <c r="AH27" i="18"/>
  <c r="AE157" i="18"/>
  <c r="AF157" i="18" s="1"/>
  <c r="AA108" i="18"/>
  <c r="AE149" i="18"/>
  <c r="AF149" i="18" s="1"/>
  <c r="AE151" i="18"/>
  <c r="AF151" i="18" s="1"/>
  <c r="AE150" i="18"/>
  <c r="AF150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E137" i="18"/>
  <c r="AF137" i="18" s="1"/>
  <c r="AE112" i="18"/>
  <c r="AE146" i="18"/>
  <c r="AF146" i="18" s="1"/>
  <c r="AE145" i="18"/>
  <c r="AF145" i="18" s="1"/>
  <c r="AA136" i="18"/>
  <c r="AA135" i="18"/>
  <c r="AH25" i="18"/>
  <c r="AH18" i="18"/>
  <c r="AF18" i="18"/>
  <c r="V190" i="18"/>
  <c r="AH90" i="18"/>
  <c r="AF90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AF27" i="18"/>
  <c r="AB12" i="18"/>
  <c r="AB15" i="18"/>
  <c r="AB154" i="18" s="1"/>
  <c r="AB13" i="18"/>
  <c r="AB10" i="18"/>
  <c r="AB16" i="18"/>
  <c r="AB162" i="18" s="1"/>
  <c r="AB163" i="18" s="1"/>
  <c r="AB7" i="18"/>
  <c r="AB6" i="18"/>
  <c r="AF25" i="18"/>
  <c r="AE105" i="18"/>
  <c r="AF105" i="18" s="1"/>
  <c r="AB55" i="18"/>
  <c r="AB130" i="18" s="1"/>
  <c r="AA107" i="18"/>
  <c r="AA106" i="18"/>
  <c r="O31" i="9"/>
  <c r="O32" i="9" s="1"/>
  <c r="AB201" i="18"/>
  <c r="P31" i="11"/>
  <c r="N32" i="11"/>
  <c r="T19" i="9"/>
  <c r="D22" i="9"/>
  <c r="AB131" i="18" l="1"/>
  <c r="AB132" i="18"/>
  <c r="AA221" i="18"/>
  <c r="AA222" i="18" s="1"/>
  <c r="AA219" i="18"/>
  <c r="AA226" i="18"/>
  <c r="AA227" i="18" s="1"/>
  <c r="AA224" i="18"/>
  <c r="AB211" i="18"/>
  <c r="AB220" i="18"/>
  <c r="AB225" i="18"/>
  <c r="AB114" i="18"/>
  <c r="AB120" i="18" s="1"/>
  <c r="AB68" i="18"/>
  <c r="AB110" i="18" s="1"/>
  <c r="AF112" i="18"/>
  <c r="AE118" i="18"/>
  <c r="AF118" i="18" s="1"/>
  <c r="AB134" i="18"/>
  <c r="AB160" i="18"/>
  <c r="AB159" i="18"/>
  <c r="AB115" i="18"/>
  <c r="AB121" i="18" s="1"/>
  <c r="AB155" i="18"/>
  <c r="AB108" i="18"/>
  <c r="AB135" i="18"/>
  <c r="AB136" i="18"/>
  <c r="W190" i="18"/>
  <c r="U190" i="18" s="1"/>
  <c r="AC13" i="18"/>
  <c r="AC12" i="18"/>
  <c r="AC15" i="18"/>
  <c r="AC154" i="18" s="1"/>
  <c r="AC10" i="18"/>
  <c r="AC16" i="18"/>
  <c r="AC162" i="18" s="1"/>
  <c r="AC163" i="18" s="1"/>
  <c r="AC6" i="18"/>
  <c r="AC7" i="18"/>
  <c r="AC55" i="18"/>
  <c r="AC130" i="18" s="1"/>
  <c r="AB107" i="18"/>
  <c r="AB106" i="18"/>
  <c r="AC201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C132" i="18" l="1"/>
  <c r="AC131" i="18"/>
  <c r="AB226" i="18"/>
  <c r="AB227" i="18" s="1"/>
  <c r="AB224" i="18"/>
  <c r="AB221" i="18"/>
  <c r="AB222" i="18" s="1"/>
  <c r="AB219" i="18"/>
  <c r="AC211" i="18"/>
  <c r="AC225" i="18"/>
  <c r="AC220" i="18"/>
  <c r="AC114" i="18"/>
  <c r="AC120" i="18" s="1"/>
  <c r="AC68" i="18"/>
  <c r="AC110" i="18" s="1"/>
  <c r="AC134" i="18"/>
  <c r="AC115" i="18"/>
  <c r="AC121" i="18" s="1"/>
  <c r="AC155" i="18"/>
  <c r="AC159" i="18"/>
  <c r="AC160" i="18"/>
  <c r="AC108" i="18"/>
  <c r="AC135" i="18"/>
  <c r="AC136" i="18"/>
  <c r="AD12" i="18"/>
  <c r="AD15" i="18"/>
  <c r="AD154" i="18" s="1"/>
  <c r="AD13" i="18"/>
  <c r="AD10" i="18"/>
  <c r="AD16" i="18"/>
  <c r="AD162" i="18" s="1"/>
  <c r="AD163" i="18" s="1"/>
  <c r="AD7" i="18"/>
  <c r="AD6" i="18"/>
  <c r="AD55" i="18"/>
  <c r="AD130" i="18" s="1"/>
  <c r="AC106" i="18"/>
  <c r="AC107" i="18"/>
  <c r="AD201" i="18"/>
  <c r="N34" i="11"/>
  <c r="O33" i="11"/>
  <c r="D25" i="8"/>
  <c r="D23" i="8"/>
  <c r="AD132" i="18" l="1"/>
  <c r="AD131" i="18"/>
  <c r="AC221" i="18"/>
  <c r="AC222" i="18" s="1"/>
  <c r="AC219" i="18"/>
  <c r="AC226" i="18"/>
  <c r="AC227" i="18" s="1"/>
  <c r="AC224" i="18"/>
  <c r="AD211" i="18"/>
  <c r="AD225" i="18"/>
  <c r="AD220" i="18"/>
  <c r="AD114" i="18"/>
  <c r="AD120" i="18" s="1"/>
  <c r="AD68" i="18"/>
  <c r="AD110" i="18" s="1"/>
  <c r="AD134" i="18"/>
  <c r="AD108" i="18"/>
  <c r="AD159" i="18"/>
  <c r="AD160" i="18"/>
  <c r="AD115" i="18"/>
  <c r="AD121" i="18" s="1"/>
  <c r="AD155" i="18"/>
  <c r="AD135" i="18"/>
  <c r="AD136" i="18"/>
  <c r="AE15" i="18"/>
  <c r="AE13" i="18"/>
  <c r="AH13" i="18" s="1"/>
  <c r="AE12" i="18"/>
  <c r="AE155" i="18" s="1"/>
  <c r="AF155" i="18" s="1"/>
  <c r="AE10" i="18"/>
  <c r="AE16" i="18"/>
  <c r="AE6" i="18"/>
  <c r="AH6" i="18" s="1"/>
  <c r="AE7" i="18"/>
  <c r="AH7" i="18" s="1"/>
  <c r="AE55" i="18"/>
  <c r="AE130" i="18" s="1"/>
  <c r="AF130" i="18" s="1"/>
  <c r="AD107" i="18"/>
  <c r="AD106" i="18"/>
  <c r="AE201" i="18"/>
  <c r="N35" i="11"/>
  <c r="O34" i="11"/>
  <c r="D35" i="8"/>
  <c r="E5" i="8"/>
  <c r="E18" i="8" s="1"/>
  <c r="D18" i="8"/>
  <c r="D19" i="8"/>
  <c r="D21" i="8"/>
  <c r="D20" i="8"/>
  <c r="AE132" i="18" l="1"/>
  <c r="AF132" i="18" s="1"/>
  <c r="AE131" i="18"/>
  <c r="AF131" i="18" s="1"/>
  <c r="AD221" i="18"/>
  <c r="AD222" i="18" s="1"/>
  <c r="AD219" i="18"/>
  <c r="AD226" i="18"/>
  <c r="AD227" i="18" s="1"/>
  <c r="AD224" i="18"/>
  <c r="AE211" i="18"/>
  <c r="AF211" i="18" s="1"/>
  <c r="AH211" i="18" s="1"/>
  <c r="AH227" i="18" s="1"/>
  <c r="AE225" i="18"/>
  <c r="AE224" i="18" s="1"/>
  <c r="AF224" i="18" s="1"/>
  <c r="AE220" i="18"/>
  <c r="AE219" i="18" s="1"/>
  <c r="AF219" i="18" s="1"/>
  <c r="AE114" i="18"/>
  <c r="AE120" i="18" s="1"/>
  <c r="AF120" i="18" s="1"/>
  <c r="AE68" i="18"/>
  <c r="AE134" i="18"/>
  <c r="AF134" i="18" s="1"/>
  <c r="AH16" i="18"/>
  <c r="AE162" i="18"/>
  <c r="AE160" i="18"/>
  <c r="AF160" i="18" s="1"/>
  <c r="AE159" i="18"/>
  <c r="AF159" i="18" s="1"/>
  <c r="AH15" i="18"/>
  <c r="AE154" i="18"/>
  <c r="AF154" i="18" s="1"/>
  <c r="AE108" i="18"/>
  <c r="AF108" i="18" s="1"/>
  <c r="AH10" i="18"/>
  <c r="AH12" i="18"/>
  <c r="AE115" i="18"/>
  <c r="AH55" i="18"/>
  <c r="AE135" i="18"/>
  <c r="AF135" i="18" s="1"/>
  <c r="AE136" i="18"/>
  <c r="AF136" i="18" s="1"/>
  <c r="AF15" i="18"/>
  <c r="AF13" i="18"/>
  <c r="V184" i="18"/>
  <c r="AF12" i="18"/>
  <c r="AF10" i="18"/>
  <c r="AF16" i="18"/>
  <c r="AF7" i="18"/>
  <c r="AF6" i="18"/>
  <c r="AE107" i="18"/>
  <c r="AF107" i="18" s="1"/>
  <c r="AE106" i="18"/>
  <c r="AF106" i="18" s="1"/>
  <c r="AF55" i="18"/>
  <c r="AF201" i="18"/>
  <c r="AH201" i="18" s="1"/>
  <c r="N36" i="11"/>
  <c r="O35" i="11"/>
  <c r="F5" i="8"/>
  <c r="G5" i="8" s="1"/>
  <c r="H5" i="8" s="1"/>
  <c r="I5" i="8" s="1"/>
  <c r="AE221" i="18" l="1"/>
  <c r="AF220" i="18"/>
  <c r="AF225" i="18"/>
  <c r="AE226" i="18"/>
  <c r="AF68" i="18"/>
  <c r="AH68" i="18"/>
  <c r="AF114" i="18"/>
  <c r="AE110" i="18"/>
  <c r="AF110" i="18" s="1"/>
  <c r="AF115" i="18"/>
  <c r="AE121" i="18"/>
  <c r="AF121" i="18" s="1"/>
  <c r="AF162" i="18"/>
  <c r="AE163" i="18"/>
  <c r="AF163" i="18" s="1"/>
  <c r="W184" i="18"/>
  <c r="W185" i="18" s="1"/>
  <c r="V185" i="18"/>
  <c r="S233" i="18" s="1"/>
  <c r="N37" i="11"/>
  <c r="O36" i="11"/>
  <c r="F18" i="8"/>
  <c r="G18" i="8"/>
  <c r="AF221" i="18" l="1"/>
  <c r="AE222" i="18"/>
  <c r="AF222" i="18" s="1"/>
  <c r="AE227" i="18"/>
  <c r="AF227" i="18" s="1"/>
  <c r="AF226" i="18"/>
  <c r="U184" i="18"/>
  <c r="U185" i="18"/>
  <c r="N38" i="11"/>
  <c r="O37" i="11"/>
  <c r="H18" i="8"/>
  <c r="O233" i="18" l="1"/>
  <c r="R233" i="18"/>
  <c r="N39" i="11"/>
  <c r="O38" i="11"/>
  <c r="I18" i="8"/>
  <c r="N40" i="11" l="1"/>
  <c r="O39" i="11"/>
  <c r="N41" i="11" l="1"/>
  <c r="O40" i="11"/>
  <c r="N42" i="11" l="1"/>
  <c r="O41" i="11"/>
  <c r="V212" i="18"/>
  <c r="V93" i="18"/>
  <c r="V74" i="18"/>
  <c r="V79" i="18"/>
  <c r="V100" i="18"/>
  <c r="V102" i="18"/>
  <c r="V95" i="18"/>
  <c r="V92" i="18"/>
  <c r="V78" i="18"/>
  <c r="V73" i="18"/>
  <c r="V67" i="18"/>
  <c r="V85" i="18"/>
  <c r="V99" i="18"/>
  <c r="V83" i="18"/>
  <c r="V76" i="18"/>
  <c r="V94" i="18"/>
  <c r="V96" i="18"/>
  <c r="V80" i="18"/>
  <c r="V209" i="18" s="1"/>
  <c r="V66" i="18"/>
  <c r="V202" i="18" s="1"/>
  <c r="V71" i="18"/>
  <c r="V205" i="18" s="1"/>
  <c r="V86" i="18"/>
  <c r="V208" i="18" s="1"/>
  <c r="V98" i="18"/>
  <c r="V164" i="18" s="1"/>
  <c r="V70" i="18"/>
  <c r="V204" i="18" s="1"/>
  <c r="V82" i="18"/>
  <c r="V139" i="18"/>
  <c r="V140" i="18" s="1"/>
  <c r="V72" i="18"/>
  <c r="V214" i="18" s="1"/>
  <c r="V75" i="18"/>
  <c r="V206" i="18" s="1"/>
  <c r="W57" i="18"/>
  <c r="V84" i="18" l="1"/>
  <c r="V207" i="18" s="1"/>
  <c r="W76" i="18"/>
  <c r="W99" i="18"/>
  <c r="W83" i="18"/>
  <c r="W95" i="18"/>
  <c r="W79" i="18"/>
  <c r="W78" i="18"/>
  <c r="W212" i="18"/>
  <c r="W94" i="18"/>
  <c r="W74" i="18"/>
  <c r="W98" i="18"/>
  <c r="W164" i="18" s="1"/>
  <c r="W86" i="18"/>
  <c r="W208" i="18" s="1"/>
  <c r="W70" i="18"/>
  <c r="W204" i="18" s="1"/>
  <c r="W139" i="18"/>
  <c r="W140" i="18" s="1"/>
  <c r="W92" i="18"/>
  <c r="W73" i="18"/>
  <c r="W102" i="18"/>
  <c r="W85" i="18"/>
  <c r="W100" i="18"/>
  <c r="W93" i="18"/>
  <c r="W96" i="18"/>
  <c r="W67" i="18"/>
  <c r="W75" i="18"/>
  <c r="W206" i="18" s="1"/>
  <c r="W66" i="18"/>
  <c r="W202" i="18" s="1"/>
  <c r="W80" i="18"/>
  <c r="W209" i="18" s="1"/>
  <c r="W71" i="18"/>
  <c r="W205" i="18" s="1"/>
  <c r="W72" i="18"/>
  <c r="W214" i="18" s="1"/>
  <c r="X57" i="18"/>
  <c r="W82" i="18"/>
  <c r="V141" i="18"/>
  <c r="V142" i="18" s="1"/>
  <c r="V143" i="18"/>
  <c r="V203" i="18"/>
  <c r="W84" i="18" l="1"/>
  <c r="W207" i="18" s="1"/>
  <c r="V216" i="18"/>
  <c r="V217" i="18" s="1"/>
  <c r="V215" i="18"/>
  <c r="X93" i="18"/>
  <c r="X70" i="18"/>
  <c r="X204" i="18" s="1"/>
  <c r="X94" i="18"/>
  <c r="X95" i="18"/>
  <c r="X99" i="18"/>
  <c r="X79" i="18"/>
  <c r="X76" i="18"/>
  <c r="X102" i="18"/>
  <c r="X85" i="18"/>
  <c r="X83" i="18"/>
  <c r="X66" i="18"/>
  <c r="X202" i="18" s="1"/>
  <c r="X75" i="18"/>
  <c r="X206" i="18" s="1"/>
  <c r="X71" i="18"/>
  <c r="X205" i="18" s="1"/>
  <c r="X74" i="18"/>
  <c r="X73" i="18"/>
  <c r="X92" i="18"/>
  <c r="X96" i="18"/>
  <c r="X67" i="18"/>
  <c r="X80" i="18"/>
  <c r="X209" i="18" s="1"/>
  <c r="X100" i="18"/>
  <c r="X78" i="18"/>
  <c r="X212" i="18"/>
  <c r="X98" i="18"/>
  <c r="X164" i="18" s="1"/>
  <c r="X86" i="18"/>
  <c r="X208" i="18" s="1"/>
  <c r="X82" i="18"/>
  <c r="X139" i="18"/>
  <c r="X140" i="18" s="1"/>
  <c r="X72" i="18"/>
  <c r="X214" i="18" s="1"/>
  <c r="Y57" i="18"/>
  <c r="W203" i="18"/>
  <c r="W143" i="18"/>
  <c r="W141" i="18"/>
  <c r="W142" i="18" s="1"/>
  <c r="W216" i="18" l="1"/>
  <c r="W217" i="18" s="1"/>
  <c r="W215" i="18"/>
  <c r="Y93" i="18"/>
  <c r="Y212" i="18"/>
  <c r="Y67" i="18"/>
  <c r="Y94" i="18"/>
  <c r="Y79" i="18"/>
  <c r="Y74" i="18"/>
  <c r="Y78" i="18"/>
  <c r="Y92" i="18"/>
  <c r="Y98" i="18"/>
  <c r="Y164" i="18" s="1"/>
  <c r="Y70" i="18"/>
  <c r="Y204" i="18" s="1"/>
  <c r="Y71" i="18"/>
  <c r="Y205" i="18" s="1"/>
  <c r="Y86" i="18"/>
  <c r="Y208" i="18" s="1"/>
  <c r="Y102" i="18"/>
  <c r="Y73" i="18"/>
  <c r="Y96" i="18"/>
  <c r="Y100" i="18"/>
  <c r="Y99" i="18"/>
  <c r="Y76" i="18"/>
  <c r="Y95" i="18"/>
  <c r="Y85" i="18"/>
  <c r="Y83" i="18"/>
  <c r="Y80" i="18"/>
  <c r="Y209" i="18" s="1"/>
  <c r="Y66" i="18"/>
  <c r="Y202" i="18" s="1"/>
  <c r="Y139" i="18"/>
  <c r="Y140" i="18" s="1"/>
  <c r="Y72" i="18"/>
  <c r="Y214" i="18" s="1"/>
  <c r="Y75" i="18"/>
  <c r="Y206" i="18" s="1"/>
  <c r="Z57" i="18"/>
  <c r="Y82" i="18"/>
  <c r="X203" i="18"/>
  <c r="X141" i="18"/>
  <c r="X142" i="18" s="1"/>
  <c r="X143" i="18"/>
  <c r="X84" i="18"/>
  <c r="X207" i="18" s="1"/>
  <c r="X216" i="18" l="1"/>
  <c r="X217" i="18" s="1"/>
  <c r="X215" i="18"/>
  <c r="Y203" i="18"/>
  <c r="Y84" i="18"/>
  <c r="Y207" i="18" s="1"/>
  <c r="Y143" i="18"/>
  <c r="Y141" i="18"/>
  <c r="Y142" i="18" s="1"/>
  <c r="Z73" i="18"/>
  <c r="Z94" i="18"/>
  <c r="Z83" i="18"/>
  <c r="Z93" i="18"/>
  <c r="Z92" i="18"/>
  <c r="Z78" i="18"/>
  <c r="Z67" i="18"/>
  <c r="Z76" i="18"/>
  <c r="Z75" i="18"/>
  <c r="Z206" i="18" s="1"/>
  <c r="Z66" i="18"/>
  <c r="Z202" i="18" s="1"/>
  <c r="Z98" i="18"/>
  <c r="Z164" i="18" s="1"/>
  <c r="Z212" i="18"/>
  <c r="Z96" i="18"/>
  <c r="Z74" i="18"/>
  <c r="Z102" i="18"/>
  <c r="Z95" i="18"/>
  <c r="Z79" i="18"/>
  <c r="Z85" i="18"/>
  <c r="Z99" i="18"/>
  <c r="Z100" i="18"/>
  <c r="Z70" i="18"/>
  <c r="Z204" i="18" s="1"/>
  <c r="Z71" i="18"/>
  <c r="Z205" i="18" s="1"/>
  <c r="Z86" i="18"/>
  <c r="Z208" i="18" s="1"/>
  <c r="Z80" i="18"/>
  <c r="Z209" i="18" s="1"/>
  <c r="Z82" i="18"/>
  <c r="Z72" i="18"/>
  <c r="Z214" i="18" s="1"/>
  <c r="Z139" i="18"/>
  <c r="Z140" i="18" s="1"/>
  <c r="AA57" i="18"/>
  <c r="Z84" i="18" l="1"/>
  <c r="Z207" i="18" s="1"/>
  <c r="Y216" i="18"/>
  <c r="Y217" i="18" s="1"/>
  <c r="Y215" i="18"/>
  <c r="AA73" i="18"/>
  <c r="AA76" i="18"/>
  <c r="AA78" i="18"/>
  <c r="AA67" i="18"/>
  <c r="AA80" i="18"/>
  <c r="AA209" i="18" s="1"/>
  <c r="AA92" i="18"/>
  <c r="AA85" i="18"/>
  <c r="AA93" i="18"/>
  <c r="AA83" i="18"/>
  <c r="AA71" i="18"/>
  <c r="AA205" i="18" s="1"/>
  <c r="AA66" i="18"/>
  <c r="AA202" i="18" s="1"/>
  <c r="AA75" i="18"/>
  <c r="AA206" i="18" s="1"/>
  <c r="AA95" i="18"/>
  <c r="AA94" i="18"/>
  <c r="AA74" i="18"/>
  <c r="AA100" i="18"/>
  <c r="AA86" i="18"/>
  <c r="AA208" i="18" s="1"/>
  <c r="AA102" i="18"/>
  <c r="AA212" i="18"/>
  <c r="AA99" i="18"/>
  <c r="AA96" i="18"/>
  <c r="AA79" i="18"/>
  <c r="AA98" i="18"/>
  <c r="AA164" i="18" s="1"/>
  <c r="AA70" i="18"/>
  <c r="AA204" i="18" s="1"/>
  <c r="AB57" i="18"/>
  <c r="AA139" i="18"/>
  <c r="AA140" i="18" s="1"/>
  <c r="AA82" i="18"/>
  <c r="AA72" i="18"/>
  <c r="AA214" i="18" s="1"/>
  <c r="Z141" i="18"/>
  <c r="Z142" i="18" s="1"/>
  <c r="Z143" i="18"/>
  <c r="Z203" i="18"/>
  <c r="Z216" i="18" l="1"/>
  <c r="Z217" i="18" s="1"/>
  <c r="Z215" i="18"/>
  <c r="AA84" i="18"/>
  <c r="AA207" i="18" s="1"/>
  <c r="AB92" i="18"/>
  <c r="AB79" i="18"/>
  <c r="AB212" i="18"/>
  <c r="AB78" i="18"/>
  <c r="AB80" i="18"/>
  <c r="AB209" i="18" s="1"/>
  <c r="AB95" i="18"/>
  <c r="AB67" i="18"/>
  <c r="AB83" i="18"/>
  <c r="AB100" i="18"/>
  <c r="AB98" i="18"/>
  <c r="AB164" i="18" s="1"/>
  <c r="AB66" i="18"/>
  <c r="AB202" i="18" s="1"/>
  <c r="AB99" i="18"/>
  <c r="AB74" i="18"/>
  <c r="AB76" i="18"/>
  <c r="AB96" i="18"/>
  <c r="AB86" i="18"/>
  <c r="AB208" i="18" s="1"/>
  <c r="AB73" i="18"/>
  <c r="AB102" i="18"/>
  <c r="AB94" i="18"/>
  <c r="AB93" i="18"/>
  <c r="AB85" i="18"/>
  <c r="AB70" i="18"/>
  <c r="AB204" i="18" s="1"/>
  <c r="AB71" i="18"/>
  <c r="AB205" i="18" s="1"/>
  <c r="AB75" i="18"/>
  <c r="AB206" i="18" s="1"/>
  <c r="AB139" i="18"/>
  <c r="AB140" i="18" s="1"/>
  <c r="AB72" i="18"/>
  <c r="AB214" i="18" s="1"/>
  <c r="AB82" i="18"/>
  <c r="AC57" i="18"/>
  <c r="AA203" i="18"/>
  <c r="AA141" i="18"/>
  <c r="AA142" i="18" s="1"/>
  <c r="AA143" i="18"/>
  <c r="AA216" i="18" l="1"/>
  <c r="AA217" i="18" s="1"/>
  <c r="AA215" i="18"/>
  <c r="AB84" i="18"/>
  <c r="AB207" i="18" s="1"/>
  <c r="AB143" i="18"/>
  <c r="AB141" i="18"/>
  <c r="AB142" i="18" s="1"/>
  <c r="AC92" i="18"/>
  <c r="AC94" i="18"/>
  <c r="AC76" i="18"/>
  <c r="AC96" i="18"/>
  <c r="AC66" i="18"/>
  <c r="AC202" i="18" s="1"/>
  <c r="AC74" i="18"/>
  <c r="AC83" i="18"/>
  <c r="AC100" i="18"/>
  <c r="AC95" i="18"/>
  <c r="AC70" i="18"/>
  <c r="AC204" i="18" s="1"/>
  <c r="AC80" i="18"/>
  <c r="AC209" i="18" s="1"/>
  <c r="AC85" i="18"/>
  <c r="AC79" i="18"/>
  <c r="AC212" i="18"/>
  <c r="AC99" i="18"/>
  <c r="AC102" i="18"/>
  <c r="AC93" i="18"/>
  <c r="AC67" i="18"/>
  <c r="AC73" i="18"/>
  <c r="AC78" i="18"/>
  <c r="AC71" i="18"/>
  <c r="AC205" i="18" s="1"/>
  <c r="AC86" i="18"/>
  <c r="AC208" i="18" s="1"/>
  <c r="AC98" i="18"/>
  <c r="AC164" i="18" s="1"/>
  <c r="AC75" i="18"/>
  <c r="AC206" i="18" s="1"/>
  <c r="AC139" i="18"/>
  <c r="AC140" i="18" s="1"/>
  <c r="AC82" i="18"/>
  <c r="AC72" i="18"/>
  <c r="AC214" i="18" s="1"/>
  <c r="AD57" i="18"/>
  <c r="AB203" i="18"/>
  <c r="AB216" i="18" l="1"/>
  <c r="AB217" i="18" s="1"/>
  <c r="AB215" i="18"/>
  <c r="AC203" i="18"/>
  <c r="AC84" i="18"/>
  <c r="AC207" i="18" s="1"/>
  <c r="AC141" i="18"/>
  <c r="AC142" i="18" s="1"/>
  <c r="AC143" i="18"/>
  <c r="AD79" i="18"/>
  <c r="AD92" i="18"/>
  <c r="AD83" i="18"/>
  <c r="AD73" i="18"/>
  <c r="AD98" i="18"/>
  <c r="AD164" i="18" s="1"/>
  <c r="AD100" i="18"/>
  <c r="AD93" i="18"/>
  <c r="AD99" i="18"/>
  <c r="AD76" i="18"/>
  <c r="AD66" i="18"/>
  <c r="AD202" i="18" s="1"/>
  <c r="AD86" i="18"/>
  <c r="AD208" i="18" s="1"/>
  <c r="AD96" i="18"/>
  <c r="AD71" i="18"/>
  <c r="AD205" i="18" s="1"/>
  <c r="AD102" i="18"/>
  <c r="AD94" i="18"/>
  <c r="AD95" i="18"/>
  <c r="AD85" i="18"/>
  <c r="AD78" i="18"/>
  <c r="AD67" i="18"/>
  <c r="AD212" i="18"/>
  <c r="AD74" i="18"/>
  <c r="AD70" i="18"/>
  <c r="AD204" i="18" s="1"/>
  <c r="AD80" i="18"/>
  <c r="AD209" i="18" s="1"/>
  <c r="AD75" i="18"/>
  <c r="AD206" i="18" s="1"/>
  <c r="AD139" i="18"/>
  <c r="AD140" i="18" s="1"/>
  <c r="AD72" i="18"/>
  <c r="AD214" i="18" s="1"/>
  <c r="AE57" i="18"/>
  <c r="AD82" i="18"/>
  <c r="AC216" i="18" l="1"/>
  <c r="AC217" i="18" s="1"/>
  <c r="AC215" i="18"/>
  <c r="AD84" i="18"/>
  <c r="AD207" i="18" s="1"/>
  <c r="AD203" i="18"/>
  <c r="AE212" i="18"/>
  <c r="AE99" i="18"/>
  <c r="AE100" i="18"/>
  <c r="AE67" i="18"/>
  <c r="AF57" i="18"/>
  <c r="AE73" i="18"/>
  <c r="AH57" i="18"/>
  <c r="AE102" i="18"/>
  <c r="AE98" i="18"/>
  <c r="AE70" i="18"/>
  <c r="AE66" i="18"/>
  <c r="AE71" i="18"/>
  <c r="AE75" i="18"/>
  <c r="AE85" i="18"/>
  <c r="AE72" i="18"/>
  <c r="AE214" i="18" s="1"/>
  <c r="AE86" i="18"/>
  <c r="AE93" i="18"/>
  <c r="AE95" i="18"/>
  <c r="AE80" i="18"/>
  <c r="AE82" i="18"/>
  <c r="AE78" i="18"/>
  <c r="AE83" i="18"/>
  <c r="AE94" i="18"/>
  <c r="AE92" i="18"/>
  <c r="AE76" i="18"/>
  <c r="AE96" i="18"/>
  <c r="AE139" i="18"/>
  <c r="AE74" i="18"/>
  <c r="AE79" i="18"/>
  <c r="AD143" i="18"/>
  <c r="AD141" i="18"/>
  <c r="AD142" i="18" s="1"/>
  <c r="AD216" i="18" l="1"/>
  <c r="AD217" i="18" s="1"/>
  <c r="AD215" i="18"/>
  <c r="AE140" i="18"/>
  <c r="AF139" i="18"/>
  <c r="AF94" i="18"/>
  <c r="V194" i="18"/>
  <c r="AH94" i="18"/>
  <c r="W194" i="18" s="1"/>
  <c r="AH80" i="18"/>
  <c r="W179" i="18" s="1"/>
  <c r="AE209" i="18"/>
  <c r="AF80" i="18"/>
  <c r="V179" i="18"/>
  <c r="AF72" i="18"/>
  <c r="AH72" i="18"/>
  <c r="W171" i="18" s="1"/>
  <c r="V171" i="18"/>
  <c r="AE203" i="18"/>
  <c r="AE215" i="18" s="1"/>
  <c r="AF215" i="18" s="1"/>
  <c r="AH66" i="18"/>
  <c r="AF66" i="18"/>
  <c r="AE202" i="18"/>
  <c r="AF100" i="18"/>
  <c r="AH100" i="18"/>
  <c r="V198" i="18"/>
  <c r="AH96" i="18"/>
  <c r="W198" i="18" s="1"/>
  <c r="AF96" i="18"/>
  <c r="AH83" i="18"/>
  <c r="AF83" i="18"/>
  <c r="AH95" i="18"/>
  <c r="W195" i="18" s="1"/>
  <c r="AF95" i="18"/>
  <c r="V195" i="18"/>
  <c r="AF85" i="18"/>
  <c r="V181" i="18"/>
  <c r="AH85" i="18"/>
  <c r="W181" i="18" s="1"/>
  <c r="AF70" i="18"/>
  <c r="AH70" i="18"/>
  <c r="AE204" i="18"/>
  <c r="AF73" i="18"/>
  <c r="AH73" i="18"/>
  <c r="AH99" i="18"/>
  <c r="AF99" i="18"/>
  <c r="AF79" i="18"/>
  <c r="AH79" i="18"/>
  <c r="W178" i="18" s="1"/>
  <c r="V178" i="18"/>
  <c r="AF76" i="18"/>
  <c r="V174" i="18"/>
  <c r="AH76" i="18"/>
  <c r="W174" i="18" s="1"/>
  <c r="V177" i="18"/>
  <c r="AF78" i="18"/>
  <c r="AH78" i="18"/>
  <c r="W177" i="18" s="1"/>
  <c r="AF93" i="18"/>
  <c r="V193" i="18"/>
  <c r="AH93" i="18"/>
  <c r="W193" i="18" s="1"/>
  <c r="AF75" i="18"/>
  <c r="AH75" i="18"/>
  <c r="W173" i="18" s="1"/>
  <c r="AE206" i="18"/>
  <c r="V173" i="18"/>
  <c r="AH98" i="18"/>
  <c r="AF98" i="18"/>
  <c r="AE164" i="18"/>
  <c r="AF164" i="18" s="1"/>
  <c r="AF212" i="18"/>
  <c r="AH212" i="18" s="1"/>
  <c r="V172" i="18"/>
  <c r="AH74" i="18"/>
  <c r="W172" i="18" s="1"/>
  <c r="AF74" i="18"/>
  <c r="AF92" i="18"/>
  <c r="V192" i="18"/>
  <c r="AH92" i="18"/>
  <c r="W192" i="18" s="1"/>
  <c r="AF82" i="18"/>
  <c r="AH82" i="18"/>
  <c r="W175" i="18" s="1"/>
  <c r="V175" i="18"/>
  <c r="AE84" i="18"/>
  <c r="AF86" i="18"/>
  <c r="AE208" i="18"/>
  <c r="V182" i="18"/>
  <c r="AH86" i="18"/>
  <c r="W182" i="18" s="1"/>
  <c r="AF71" i="18"/>
  <c r="AH71" i="18"/>
  <c r="AE205" i="18"/>
  <c r="AF67" i="18"/>
  <c r="AH67" i="18"/>
  <c r="U175" i="18" l="1"/>
  <c r="W196" i="18"/>
  <c r="AF214" i="18"/>
  <c r="AH214" i="18" s="1"/>
  <c r="U192" i="18"/>
  <c r="U177" i="18"/>
  <c r="U173" i="18"/>
  <c r="U181" i="18"/>
  <c r="AH84" i="18"/>
  <c r="AE207" i="18"/>
  <c r="AF84" i="18"/>
  <c r="AF206" i="18"/>
  <c r="AH206" i="18" s="1"/>
  <c r="V196" i="18"/>
  <c r="U193" i="18"/>
  <c r="U178" i="18"/>
  <c r="S234" i="18"/>
  <c r="U198" i="18"/>
  <c r="AH226" i="18"/>
  <c r="U194" i="18"/>
  <c r="AF205" i="18"/>
  <c r="AH205" i="18" s="1"/>
  <c r="U182" i="18"/>
  <c r="S232" i="18"/>
  <c r="U172" i="18"/>
  <c r="U195" i="18"/>
  <c r="AF209" i="18"/>
  <c r="AH209" i="18" s="1"/>
  <c r="AF208" i="18"/>
  <c r="AH208" i="18" s="1"/>
  <c r="AH222" i="18" s="1"/>
  <c r="U174" i="18"/>
  <c r="AE216" i="18"/>
  <c r="AF203" i="18"/>
  <c r="AH203" i="18" s="1"/>
  <c r="AH216" i="18" s="1"/>
  <c r="AF204" i="18"/>
  <c r="AH204" i="18" s="1"/>
  <c r="AH217" i="18" s="1"/>
  <c r="AF202" i="18"/>
  <c r="AH202" i="18" s="1"/>
  <c r="AH215" i="18" s="1"/>
  <c r="U171" i="18"/>
  <c r="R235" i="18" s="1"/>
  <c r="R236" i="18" s="1"/>
  <c r="S235" i="18"/>
  <c r="S236" i="18" s="1"/>
  <c r="U179" i="18"/>
  <c r="S231" i="18"/>
  <c r="AE143" i="18"/>
  <c r="AF140" i="18"/>
  <c r="AE141" i="18"/>
  <c r="AH220" i="18" l="1"/>
  <c r="AH219" i="18"/>
  <c r="AF216" i="18"/>
  <c r="AE217" i="18"/>
  <c r="AF217" i="18" s="1"/>
  <c r="U196" i="18"/>
  <c r="AF141" i="18"/>
  <c r="AE142" i="18"/>
  <c r="AF142" i="18" s="1"/>
  <c r="R231" i="18"/>
  <c r="O231" i="18"/>
  <c r="O232" i="18"/>
  <c r="R232" i="18"/>
  <c r="O234" i="18"/>
  <c r="R234" i="18"/>
  <c r="AF207" i="18"/>
  <c r="AH207" i="18" s="1"/>
  <c r="AH221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6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0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U170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B203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<sst xmlns="http://schemas.openxmlformats.org/spreadsheetml/2006/main" count="701" uniqueCount="499">
  <si>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</si>
  <si>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</si>
  <si>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</si>
  <si>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</si>
  <si>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</si>
  <si>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</si>
  <si>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</si>
  <si>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</si>
  <si>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</si>
  <si>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</si>
  <si>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</si>
  <si>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</si>
  <si>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</si>
  <si>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</si>
  <si>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</si>
  <si>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</si>
  <si>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</si>
  <si>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</si>
  <si>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</si>
  <si>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</si>
  <si>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</si>
  <si>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</si>
  <si>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</si>
  <si>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</si>
  <si>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</si>
  <si>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</si>
  <si>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</si>
  <si>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</si>
  <si>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</si>
  <si>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</si>
  <si>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</si>
  <si>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</si>
  <si>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</si>
  <si>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</si>
  <si>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</si>
  <si>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</si>
  <si>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</si>
  <si>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</si>
  <si>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</si>
  <si>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</si>
  <si>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</si>
  <si>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</si>
  <si>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</si>
  <si>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</si>
  <si>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</si>
  <si>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</si>
  <si>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</si>
  <si>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</si>
  <si>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</si>
  <si>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</si>
  <si>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</si>
  <si>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</si>
  <si>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</si>
  <si>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</si>
  <si>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</si>
  <si>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</si>
  <si>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</si>
  <si>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</si>
  <si>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</si>
  <si>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</si>
  <si>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</si>
  <si>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</si>
  <si>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</si>
  <si>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</si>
  <si>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</si>
  <si>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</si>
  <si>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</si>
  <si>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</si>
  <si>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</si>
  <si>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</si>
  <si>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</si>
  <si>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</si>
  <si>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</si>
  <si>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</si>
  <si>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</si>
  <si>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</si>
  <si>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</si>
  <si>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</si>
  <si>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</si>
  <si>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</si>
  <si>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</si>
  <si>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</si>
  <si>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</si>
  <si>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</si>
  <si>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</si>
  <si>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</si>
  <si>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</si>
  <si>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</si>
  <si>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</si>
  <si>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</si>
  <si>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</si>
  <si>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</si>
  <si>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</si>
  <si>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</si>
  <si>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</si>
  <si>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</si>
  <si>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</si>
  <si>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</si>
  <si>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</si>
  <si>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</si>
  <si>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</si>
  <si>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</si>
  <si>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</si>
  <si>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</si>
  <si>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</si>
  <si>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</si>
  <si>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</si>
  <si>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</si>
  <si>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</si>
  <si>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</si>
  <si>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</si>
  <si>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</si>
  <si>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</si>
  <si>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</si>
  <si>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</si>
  <si>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</si>
  <si>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</si>
  <si>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</si>
  <si>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</si>
  <si>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</si>
  <si>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</si>
  <si>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</si>
  <si>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</si>
  <si>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</si>
  <si>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</si>
  <si>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</si>
  <si>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</si>
  <si>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</si>
  <si>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</si>
  <si>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</si>
  <si>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</si>
  <si>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</si>
  <si>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</si>
  <si>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</si>
  <si>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</si>
  <si>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</si>
  <si>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</si>
  <si>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</si>
  <si>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</si>
  <si>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</si>
  <si>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</si>
  <si>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</si>
  <si>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</si>
  <si>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</si>
  <si>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</si>
  <si>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</si>
  <si>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</si>
  <si>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</si>
  <si>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</si>
  <si>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</si>
  <si>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</si>
  <si>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</si>
  <si>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</si>
  <si>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</si>
  <si>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</si>
  <si>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</si>
  <si>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</si>
  <si>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</si>
  <si>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</si>
  <si>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</si>
  <si>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</si>
  <si>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</si>
  <si>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</si>
  <si>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</si>
  <si>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</si>
  <si>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</si>
  <si>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</si>
  <si>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</si>
  <si>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</si>
  <si>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</si>
  <si>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</si>
  <si>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</si>
  <si>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</si>
  <si>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</si>
  <si>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</si>
  <si>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</si>
  <si>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</si>
  <si>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</si>
  <si>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</si>
  <si>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</si>
  <si>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</si>
  <si>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</si>
  <si>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</si>
  <si>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</si>
  <si>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</si>
  <si>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</si>
  <si>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</si>
  <si>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</si>
  <si>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</si>
  <si>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</si>
  <si>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</si>
  <si>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</si>
  <si>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</si>
  <si>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</si>
  <si>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</si>
  <si>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</si>
  <si>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</si>
  <si>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</si>
  <si>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</si>
  <si>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</si>
  <si>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</si>
  <si>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</si>
  <si>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</si>
  <si>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</si>
  <si>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</si>
  <si>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</si>
  <si>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</si>
  <si>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</si>
  <si>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</si>
  <si>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</si>
  <si>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</si>
  <si>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</si>
  <si>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</si>
  <si>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</si>
  <si>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</si>
  <si>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</si>
  <si>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</si>
  <si>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</si>
  <si>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</si>
  <si>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</si>
  <si>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</si>
  <si>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</si>
  <si>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</si>
  <si>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</si>
  <si>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</si>
  <si>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</si>
  <si>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</si>
  <si>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</si>
  <si>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</si>
  <si>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</si>
  <si>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</si>
  <si>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</si>
  <si>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</si>
  <si>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</si>
  <si>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</si>
  <si>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</si>
  <si>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</si>
  <si>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</si>
  <si>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</si>
  <si>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</si>
  <si>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</si>
  <si>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</si>
  <si>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</si>
  <si>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</si>
  <si>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</si>
  <si>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</si>
  <si>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</si>
  <si>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</si>
  <si>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</si>
  <si>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</si>
  <si>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</si>
  <si>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</si>
  <si>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</si>
  <si>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</si>
  <si>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</si>
  <si>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</si>
  <si>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</si>
  <si>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</si>
  <si>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</si>
  <si>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</si>
  <si>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</si>
  <si>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</si>
  <si>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</si>
  <si>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</si>
  <si>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</si>
  <si>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</si>
  <si>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</si>
  <si>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</si>
  <si>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</si>
  <si>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</si>
  <si>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</si>
  <si>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</si>
  <si>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</si>
  <si>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</si>
  <si>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</si>
  <si>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</si>
  <si>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</si>
  <si>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</si>
  <si>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</si>
  <si>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</si>
  <si>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</si>
  <si>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</si>
  <si>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</si>
  <si>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</si>
  <si>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</si>
  <si>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</si>
  <si>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</si>
  <si>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</si>
  <si>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</si>
  <si>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</si>
  <si>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</si>
  <si>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</si>
  <si>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</si>
  <si>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</si>
  <si>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</si>
  <si>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</si>
  <si>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</si>
  <si>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</si>
  <si>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</si>
  <si>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</si>
  <si>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</si>
  <si>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</si>
  <si>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</si>
  <si>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</si>
  <si>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</si>
  <si>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</si>
  <si>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</si>
  <si>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</si>
  <si>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</si>
  <si>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</si>
  <si>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</si>
  <si>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</si>
  <si>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</si>
  <si>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</si>
  <si>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</si>
  <si>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</si>
  <si>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</si>
  <si>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</si>
  <si>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</si>
  <si>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</si>
  <si>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</si>
  <si>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</si>
  <si>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</si>
  <si>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</si>
  <si>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</si>
  <si>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</si>
  <si>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</si>
  <si>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</si>
  <si>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</si>
  <si>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</si>
  <si>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</si>
  <si>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</si>
  <si>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</si>
  <si>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</si>
  <si>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</si>
  <si>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</si>
  <si>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</si>
  <si>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</si>
  <si>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</si>
  <si>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</si>
  <si>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</si>
  <si>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</si>
  <si>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</si>
  <si>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</si>
  <si>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</si>
  <si>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</si>
  <si>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</si>
  <si>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</si>
  <si>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</si>
  <si>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</si>
  <si>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</si>
  <si>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</si>
  <si>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</si>
  <si>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</si>
  <si>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</si>
  <si>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</si>
  <si>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</si>
  <si>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</si>
  <si>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</si>
  <si>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</si>
  <si>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</si>
  <si>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</si>
  <si>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</si>
  <si>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</si>
  <si>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</si>
  <si>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</si>
  <si>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</si>
  <si>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</si>
  <si>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</si>
  <si>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</si>
  <si>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</si>
  <si>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</si>
  <si>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</si>
  <si>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</si>
  <si>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</si>
  <si>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</si>
  <si>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</si>
  <si>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</si>
  <si>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</si>
  <si>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</si>
  <si>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</si>
  <si>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</si>
  <si>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</si>
  <si>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</si>
  <si>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</si>
  <si>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</si>
  <si>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</si>
  <si>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</si>
  <si>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</si>
  <si>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</si>
  <si>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</si>
  <si>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</si>
  <si>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</si>
  <si>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</si>
  <si>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</si>
  <si>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</si>
  <si>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</si>
  <si>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</si>
  <si>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</si>
  <si>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</si>
  <si>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</si>
  <si>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</si>
  <si>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</si>
  <si>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</si>
  <si>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</si>
  <si>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</si>
  <si>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</si>
  <si>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</si>
  <si>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</si>
  <si>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</si>
  <si>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</si>
  <si>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</si>
  <si>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</si>
  <si>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</si>
  <si>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</si>
  <si>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</si>
  <si>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</si>
  <si>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</si>
  <si>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</si>
  <si>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</si>
  <si>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</si>
  <si>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</si>
  <si>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</si>
  <si>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</si>
  <si>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</si>
  <si>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</si>
  <si>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</si>
  <si>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</si>
  <si>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</si>
  <si>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</si>
  <si>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</si>
  <si>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</si>
  <si>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</si>
  <si>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</si>
  <si>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</si>
  <si>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</si>
  <si>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</si>
  <si>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</si>
  <si>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</si>
  <si>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</si>
  <si>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</si>
  <si>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</si>
  <si>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</si>
  <si>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</si>
  <si>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</si>
  <si>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</si>
  <si>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</si>
  <si>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</si>
  <si>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</si>
  <si>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</si>
  <si>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</si>
  <si>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</si>
  <si>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</si>
  <si>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</si>
  <si>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</si>
  <si>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</si>
  <si>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</si>
  <si>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</si>
  <si>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</si>
  <si>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</si>
  <si>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</si>
  <si>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</si>
  <si>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</si>
  <si>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</si>
  <si>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</si>
  <si>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PEG (avg)</t>
  </si>
  <si>
    <t>Discount/Prem to PEG (avg)</t>
  </si>
  <si>
    <t>Temp</t>
  </si>
  <si>
    <t>Avg 5 yrs</t>
  </si>
  <si>
    <t>Avg 10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</si>
  <si>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</si>
  <si>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</si>
  <si>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</si>
  <si>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</si>
  <si>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</si>
  <si>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</si>
  <si>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</si>
  <si>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</si>
  <si>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</si>
  <si>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</si>
  <si>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</si>
  <si>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</si>
  <si>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</si>
  <si>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</si>
  <si>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</si>
  <si>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</si>
  <si>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Top Expenses ( Interest Out gol 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</si>
  <si>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</si>
  <si>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</si>
  <si>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</si>
  <si>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</si>
  <si>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</si>
  <si>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</si>
  <si>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</si>
  <si>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10x5</t>
  </si>
  <si>
    <t>1x1</t>
  </si>
  <si>
    <t>3x2</t>
  </si>
  <si>
    <t>for Preferred price</t>
  </si>
  <si>
    <t>for Actual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</si>
</sst>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0"/>
      <color theme="3" tint="0.39997558519241921"/>
      <name val="Cambria"/>
      <family val="1"/>
      <scheme val="major"/>
    </font>
    <font>
      <b/>
      <sz val="10"/>
      <color theme="5" tint="-0.249977111117893"/>
      <name val="Cambria"/>
      <family val="1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4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Font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6" fillId="5" borderId="1" xfId="0" applyFont="1" applyFill="1" applyBorder="1" applyAlignment="1">
      <alignment horizontal="right"/>
    </xf>
    <xf numFmtId="0" fontId="19" fillId="5" borderId="1" xfId="0" applyFont="1" applyFill="1" applyBorder="1"/>
    <xf numFmtId="0" fontId="4" fillId="14" borderId="0" xfId="0" applyFont="1" applyFill="1" applyAlignment="1">
      <alignment horizontal="center" vertical="center" wrapText="1"/>
    </xf>
    <xf numFmtId="9" fontId="4" fillId="5" borderId="4" xfId="1" applyFont="1" applyFill="1" applyBorder="1"/>
    <xf numFmtId="164" fontId="8" fillId="5" borderId="1" xfId="2" applyNumberFormat="1" applyFont="1" applyFill="1" applyBorder="1"/>
    <xf numFmtId="0" fontId="4" fillId="5" borderId="1" xfId="1" applyNumberFormat="1" applyFont="1" applyFill="1" applyBorder="1"/>
    <xf numFmtId="0" fontId="8" fillId="5" borderId="1" xfId="2" applyNumberFormat="1" applyFont="1" applyFill="1" applyBorder="1"/>
    <xf numFmtId="0" fontId="20" fillId="5" borderId="1" xfId="2" applyNumberFormat="1" applyFont="1" applyFill="1" applyBorder="1"/>
    <xf numFmtId="9" fontId="21" fillId="5" borderId="1" xfId="1" applyFont="1" applyFill="1" applyBorder="1"/>
    <xf numFmtId="175" fontId="20" fillId="5" borderId="1" xfId="2" applyNumberFormat="1" applyFont="1" applyFill="1" applyBorder="1"/>
    <xf numFmtId="2" fontId="8" fillId="5" borderId="1" xfId="2" applyNumberFormat="1" applyFont="1" applyFill="1" applyBorder="1"/>
    <xf numFmtId="172" fontId="8" fillId="5" borderId="1" xfId="2" applyNumberFormat="1" applyFont="1" applyFill="1" applyBorder="1"/>
    <xf numFmtId="172" fontId="20" fillId="5" borderId="1" xfId="2" applyNumberFormat="1" applyFont="1" applyFill="1" applyBorder="1"/>
    <xf numFmtId="1" fontId="20" fillId="5" borderId="1" xfId="2" applyNumberFormat="1" applyFont="1" applyFill="1" applyBorder="1"/>
    <xf numFmtId="174" fontId="8" fillId="5" borderId="1" xfId="2" applyNumberFormat="1" applyFont="1" applyFill="1" applyBorder="1"/>
    <xf numFmtId="174" fontId="20" fillId="5" borderId="1" xfId="2" applyNumberFormat="1" applyFont="1" applyFill="1" applyBorder="1"/>
    <xf numFmtId="2" fontId="4" fillId="6" borderId="1" xfId="0" applyNumberFormat="1" applyFont="1" applyFill="1" applyBorder="1" applyAlignment="1">
      <alignment horizontal="center"/>
    </xf>
    <xf numFmtId="0" fontId="4" fillId="14" borderId="18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D3-4F4A-9F9D-162A65729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797632"/>
        <c:axId val="55799168"/>
      </c:lineChart>
      <c:catAx>
        <c:axId val="55797632"/>
        <c:scaling>
          <c:orientation val="minMax"/>
        </c:scaling>
        <c:delete val="0"/>
        <c:axPos val="b"/>
        <c:majorTickMark val="out"/>
        <c:minorTickMark val="none"/>
        <c:tickLblPos val="nextTo"/>
        <c:crossAx val="55799168"/>
        <c:crosses val="autoZero"/>
        <c:auto val="1"/>
        <c:lblAlgn val="ctr"/>
        <c:lblOffset val="100"/>
        <c:noMultiLvlLbl val="0"/>
      </c:catAx>
      <c:valAx>
        <c:axId val="55799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579763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588" l="0.70000000000000062" r="0.70000000000000062" t="0.7500000000000058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08"/>
  <sheetViews>
    <sheetView zoomScale="80" zoomScaleNormal="80" workbookViewId="0">
      <selection activeCell="D21" sqref="D21"/>
    </sheetView>
  </sheetViews>
  <sheetFormatPr baseColWidth="10" defaultColWidth="9.1640625" defaultRowHeight="13" x14ac:dyDescent="0.15"/>
  <cols>
    <col min="1" max="1" width="9.1640625" style="104"/>
    <col min="2" max="2" width="9.1640625" style="105"/>
    <col min="3" max="3" width="24.33203125" style="104" bestFit="1" customWidth="1"/>
    <col min="4" max="4" width="39.33203125" style="104" bestFit="1" customWidth="1"/>
    <col min="5" max="5" width="39.5" style="104" customWidth="1"/>
    <col min="6" max="6" width="56" style="104" bestFit="1" customWidth="1"/>
    <col min="7" max="16384" width="9.1640625" style="104"/>
  </cols>
  <sheetData>
    <row r="3" spans="2:6" x14ac:dyDescent="0.15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15">
      <c r="B4" s="103"/>
      <c r="C4" s="20"/>
      <c r="D4" s="20"/>
      <c r="E4" s="20"/>
      <c r="F4" s="20"/>
    </row>
    <row r="5" spans="2:6" x14ac:dyDescent="0.15">
      <c r="B5" s="103"/>
      <c r="C5" s="108" t="s">
        <v>126</v>
      </c>
      <c r="D5" s="20"/>
      <c r="E5" s="20"/>
      <c r="F5" s="20"/>
    </row>
    <row r="6" spans="2:6" x14ac:dyDescent="0.15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15">
      <c r="B7" s="103"/>
      <c r="C7" s="20"/>
      <c r="D7" s="20" t="s">
        <v>129</v>
      </c>
      <c r="E7" s="20"/>
      <c r="F7" s="20"/>
    </row>
    <row r="8" spans="2:6" x14ac:dyDescent="0.15">
      <c r="B8" s="103"/>
      <c r="C8" s="20"/>
      <c r="D8" s="20" t="s">
        <v>135</v>
      </c>
      <c r="E8" s="20"/>
      <c r="F8" s="20"/>
    </row>
    <row r="9" spans="2:6" x14ac:dyDescent="0.15">
      <c r="B9" s="103"/>
      <c r="C9" s="20"/>
      <c r="D9" s="20"/>
      <c r="E9" s="20"/>
      <c r="F9" s="20"/>
    </row>
    <row r="10" spans="2:6" x14ac:dyDescent="0.15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15">
      <c r="B11" s="103"/>
      <c r="C11" s="20"/>
      <c r="D11" s="20" t="s">
        <v>131</v>
      </c>
      <c r="E11" s="20"/>
      <c r="F11" s="20"/>
    </row>
    <row r="12" spans="2:6" x14ac:dyDescent="0.15">
      <c r="B12" s="103"/>
      <c r="C12" s="20"/>
      <c r="D12" s="20"/>
      <c r="E12" s="20"/>
      <c r="F12" s="20"/>
    </row>
    <row r="13" spans="2:6" x14ac:dyDescent="0.15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15">
      <c r="B14" s="103"/>
      <c r="C14" s="20"/>
      <c r="D14" s="20" t="s">
        <v>136</v>
      </c>
      <c r="E14" s="20" t="s">
        <v>139</v>
      </c>
      <c r="F14" s="20"/>
    </row>
    <row r="15" spans="2:6" x14ac:dyDescent="0.15">
      <c r="B15" s="103"/>
      <c r="C15" s="20"/>
      <c r="D15" s="20"/>
      <c r="E15" s="20" t="s">
        <v>140</v>
      </c>
      <c r="F15" s="20"/>
    </row>
    <row r="16" spans="2:6" x14ac:dyDescent="0.15">
      <c r="B16" s="103"/>
      <c r="C16" s="20"/>
      <c r="D16" s="20"/>
      <c r="E16" s="20"/>
      <c r="F16" s="20"/>
    </row>
    <row r="17" spans="2:6" x14ac:dyDescent="0.15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15">
      <c r="B18" s="103"/>
      <c r="C18" s="20"/>
      <c r="D18" s="20" t="s">
        <v>143</v>
      </c>
      <c r="E18" s="20"/>
      <c r="F18" s="20"/>
    </row>
    <row r="19" spans="2:6" x14ac:dyDescent="0.15">
      <c r="B19" s="103"/>
      <c r="C19" s="20"/>
      <c r="D19" s="20" t="s">
        <v>144</v>
      </c>
      <c r="E19" s="20"/>
      <c r="F19" s="20"/>
    </row>
    <row r="20" spans="2:6" x14ac:dyDescent="0.15">
      <c r="B20" s="103"/>
      <c r="C20" s="20"/>
      <c r="D20" s="20" t="s">
        <v>145</v>
      </c>
      <c r="E20" s="20"/>
      <c r="F20" s="20"/>
    </row>
    <row r="21" spans="2:6" x14ac:dyDescent="0.15">
      <c r="B21" s="103"/>
      <c r="C21" s="20"/>
      <c r="D21" s="20"/>
      <c r="E21" s="20"/>
      <c r="F21" s="20"/>
    </row>
    <row r="22" spans="2:6" x14ac:dyDescent="0.15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15">
      <c r="B23" s="103"/>
      <c r="C23" s="20"/>
      <c r="D23" s="20" t="s">
        <v>148</v>
      </c>
      <c r="E23" s="20"/>
      <c r="F23" s="20"/>
    </row>
    <row r="24" spans="2:6" ht="28" x14ac:dyDescent="0.15">
      <c r="B24" s="103"/>
      <c r="C24" s="20"/>
      <c r="D24" s="20" t="s">
        <v>149</v>
      </c>
      <c r="E24" s="106" t="s">
        <v>150</v>
      </c>
      <c r="F24" s="20"/>
    </row>
    <row r="25" spans="2:6" x14ac:dyDescent="0.15">
      <c r="B25" s="103"/>
      <c r="C25" s="20"/>
      <c r="D25" s="20"/>
      <c r="E25" s="20"/>
      <c r="F25" s="20"/>
    </row>
    <row r="26" spans="2:6" x14ac:dyDescent="0.15">
      <c r="B26" s="103"/>
      <c r="C26" s="20"/>
      <c r="D26" s="20"/>
      <c r="E26" s="20"/>
      <c r="F26" s="20"/>
    </row>
    <row r="27" spans="2:6" x14ac:dyDescent="0.15">
      <c r="B27" s="103"/>
      <c r="C27" s="108" t="s">
        <v>88</v>
      </c>
      <c r="D27" s="20"/>
      <c r="E27" s="20"/>
      <c r="F27" s="20"/>
    </row>
    <row r="28" spans="2:6" x14ac:dyDescent="0.15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15">
      <c r="B29" s="103"/>
      <c r="C29" s="20"/>
      <c r="D29" s="20" t="s">
        <v>92</v>
      </c>
      <c r="E29" s="20" t="s">
        <v>94</v>
      </c>
      <c r="F29" s="20"/>
    </row>
    <row r="30" spans="2:6" x14ac:dyDescent="0.15">
      <c r="B30" s="103"/>
      <c r="C30" s="20"/>
      <c r="D30" s="20"/>
      <c r="E30" s="20"/>
      <c r="F30" s="20"/>
    </row>
    <row r="31" spans="2:6" x14ac:dyDescent="0.15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15">
      <c r="B32" s="103"/>
      <c r="C32" s="20"/>
      <c r="D32" s="20" t="s">
        <v>25</v>
      </c>
      <c r="E32" s="20"/>
      <c r="F32" s="20"/>
    </row>
    <row r="33" spans="2:6" x14ac:dyDescent="0.15">
      <c r="B33" s="103"/>
      <c r="C33" s="20"/>
      <c r="D33" s="20" t="s">
        <v>100</v>
      </c>
      <c r="E33" s="20"/>
      <c r="F33" s="20"/>
    </row>
    <row r="34" spans="2:6" x14ac:dyDescent="0.15">
      <c r="B34" s="103"/>
      <c r="C34" s="20"/>
      <c r="D34" s="20"/>
      <c r="E34" s="20"/>
      <c r="F34" s="20"/>
    </row>
    <row r="35" spans="2:6" x14ac:dyDescent="0.15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15">
      <c r="B36" s="103"/>
      <c r="C36" s="20"/>
      <c r="D36" s="20" t="s">
        <v>102</v>
      </c>
      <c r="E36" s="20"/>
      <c r="F36" s="20"/>
    </row>
    <row r="37" spans="2:6" x14ac:dyDescent="0.15">
      <c r="B37" s="103"/>
      <c r="C37" s="20"/>
      <c r="D37" s="20" t="s">
        <v>103</v>
      </c>
      <c r="E37" s="20"/>
      <c r="F37" s="20"/>
    </row>
    <row r="38" spans="2:6" x14ac:dyDescent="0.15">
      <c r="B38" s="103"/>
      <c r="C38" s="20"/>
      <c r="D38" s="20" t="s">
        <v>104</v>
      </c>
      <c r="E38" s="20"/>
      <c r="F38" s="20"/>
    </row>
    <row r="39" spans="2:6" x14ac:dyDescent="0.15">
      <c r="B39" s="103"/>
      <c r="C39" s="20"/>
      <c r="D39" s="20"/>
      <c r="E39" s="20"/>
      <c r="F39" s="20"/>
    </row>
    <row r="40" spans="2:6" x14ac:dyDescent="0.15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15">
      <c r="B41" s="103"/>
      <c r="C41" s="20"/>
      <c r="D41" s="20" t="s">
        <v>106</v>
      </c>
      <c r="E41" s="20"/>
      <c r="F41" s="20"/>
    </row>
    <row r="42" spans="2:6" x14ac:dyDescent="0.15">
      <c r="B42" s="103"/>
      <c r="C42" s="20"/>
      <c r="D42" s="20" t="s">
        <v>110</v>
      </c>
      <c r="E42" s="20" t="s">
        <v>111</v>
      </c>
      <c r="F42" s="20" t="s">
        <v>108</v>
      </c>
    </row>
    <row r="43" spans="2:6" ht="14" x14ac:dyDescent="0.15">
      <c r="B43" s="103"/>
      <c r="C43" s="20"/>
      <c r="D43" s="20"/>
      <c r="E43" s="106" t="s">
        <v>125</v>
      </c>
      <c r="F43" s="20"/>
    </row>
    <row r="44" spans="2:6" x14ac:dyDescent="0.15">
      <c r="B44" s="103"/>
      <c r="C44" s="20"/>
      <c r="D44" s="20"/>
      <c r="E44" s="20"/>
      <c r="F44" s="20"/>
    </row>
    <row r="45" spans="2:6" ht="14" x14ac:dyDescent="0.15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15">
      <c r="B46" s="103"/>
      <c r="C46" s="20" t="s">
        <v>113</v>
      </c>
      <c r="D46" s="20" t="s">
        <v>115</v>
      </c>
      <c r="E46" s="20"/>
      <c r="F46" s="20"/>
    </row>
    <row r="47" spans="2:6" x14ac:dyDescent="0.15">
      <c r="B47" s="103"/>
      <c r="C47" s="20"/>
      <c r="D47" s="20" t="s">
        <v>116</v>
      </c>
      <c r="E47" s="20"/>
      <c r="F47" s="20"/>
    </row>
    <row r="48" spans="2:6" x14ac:dyDescent="0.15">
      <c r="B48" s="103"/>
      <c r="C48" s="20"/>
      <c r="D48" s="20"/>
      <c r="E48" s="20"/>
      <c r="F48" s="20"/>
    </row>
    <row r="49" spans="2:6" x14ac:dyDescent="0.15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15">
      <c r="B50" s="103"/>
      <c r="C50" s="20"/>
      <c r="D50" s="20" t="s">
        <v>121</v>
      </c>
      <c r="E50" s="20"/>
      <c r="F50" s="20"/>
    </row>
    <row r="51" spans="2:6" x14ac:dyDescent="0.15">
      <c r="B51" s="103"/>
      <c r="C51" s="20"/>
      <c r="D51" s="20"/>
      <c r="E51" s="20"/>
      <c r="F51" s="20"/>
    </row>
    <row r="52" spans="2:6" x14ac:dyDescent="0.15">
      <c r="B52" s="103">
        <v>7</v>
      </c>
      <c r="C52" s="20" t="s">
        <v>122</v>
      </c>
      <c r="D52" s="20" t="s">
        <v>124</v>
      </c>
      <c r="E52" s="20"/>
      <c r="F52" s="20"/>
    </row>
    <row r="53" spans="2:6" ht="28" x14ac:dyDescent="0.15">
      <c r="B53" s="103"/>
      <c r="C53" s="20"/>
      <c r="D53" s="106" t="s">
        <v>123</v>
      </c>
      <c r="E53" s="20"/>
      <c r="F53" s="20"/>
    </row>
    <row r="54" spans="2:6" x14ac:dyDescent="0.15">
      <c r="B54" s="103"/>
      <c r="C54" s="20"/>
      <c r="D54" s="20"/>
      <c r="E54" s="20"/>
      <c r="F54" s="20"/>
    </row>
    <row r="55" spans="2:6" x14ac:dyDescent="0.15">
      <c r="B55" s="103"/>
      <c r="C55" s="20"/>
      <c r="D55" s="20"/>
      <c r="E55" s="20"/>
      <c r="F55" s="20"/>
    </row>
    <row r="56" spans="2:6" x14ac:dyDescent="0.15">
      <c r="B56" s="103"/>
      <c r="C56" s="108" t="s">
        <v>151</v>
      </c>
      <c r="D56" s="20"/>
      <c r="E56" s="20"/>
      <c r="F56" s="20"/>
    </row>
    <row r="57" spans="2:6" x14ac:dyDescent="0.15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15">
      <c r="B58" s="103"/>
      <c r="C58" s="20"/>
      <c r="D58" s="20" t="s">
        <v>154</v>
      </c>
      <c r="E58" s="20"/>
      <c r="F58" s="20"/>
    </row>
    <row r="59" spans="2:6" x14ac:dyDescent="0.15">
      <c r="B59" s="103"/>
      <c r="C59" s="20"/>
      <c r="D59" s="20" t="s">
        <v>155</v>
      </c>
      <c r="E59" s="20"/>
      <c r="F59" s="20"/>
    </row>
    <row r="60" spans="2:6" x14ac:dyDescent="0.15">
      <c r="B60" s="103"/>
      <c r="C60" s="20"/>
      <c r="D60" s="20"/>
      <c r="E60" s="20"/>
      <c r="F60" s="20"/>
    </row>
    <row r="61" spans="2:6" x14ac:dyDescent="0.15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15">
      <c r="B62" s="103"/>
      <c r="C62" s="20"/>
      <c r="D62" s="20"/>
      <c r="E62" s="20"/>
      <c r="F62" s="20"/>
    </row>
    <row r="63" spans="2:6" x14ac:dyDescent="0.15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15">
      <c r="B64" s="103"/>
      <c r="C64" s="20"/>
      <c r="D64" s="20"/>
      <c r="E64" s="20"/>
      <c r="F64" s="20"/>
    </row>
    <row r="65" spans="2:6" ht="28" x14ac:dyDescent="0.1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15">
      <c r="B66" s="103"/>
      <c r="C66" s="20"/>
      <c r="D66" s="20" t="s">
        <v>162</v>
      </c>
      <c r="E66" s="20" t="s">
        <v>168</v>
      </c>
      <c r="F66" s="20"/>
    </row>
    <row r="67" spans="2:6" x14ac:dyDescent="0.15">
      <c r="B67" s="103"/>
      <c r="C67" s="20"/>
      <c r="D67" s="20" t="s">
        <v>163</v>
      </c>
      <c r="E67" s="20"/>
      <c r="F67" s="20"/>
    </row>
    <row r="68" spans="2:6" x14ac:dyDescent="0.15">
      <c r="B68" s="103"/>
      <c r="C68" s="20"/>
      <c r="D68" s="20" t="s">
        <v>164</v>
      </c>
      <c r="E68" s="20"/>
      <c r="F68" s="20"/>
    </row>
    <row r="69" spans="2:6" x14ac:dyDescent="0.15">
      <c r="B69" s="103"/>
      <c r="C69" s="20"/>
      <c r="D69" s="20" t="s">
        <v>165</v>
      </c>
      <c r="E69" s="20"/>
      <c r="F69" s="20"/>
    </row>
    <row r="70" spans="2:6" x14ac:dyDescent="0.15">
      <c r="B70" s="103"/>
      <c r="C70" s="20"/>
      <c r="D70" s="20"/>
      <c r="E70" s="20"/>
      <c r="F70" s="20"/>
    </row>
    <row r="71" spans="2:6" x14ac:dyDescent="0.15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15">
      <c r="B72" s="103"/>
      <c r="C72" s="20"/>
      <c r="D72" s="20" t="s">
        <v>171</v>
      </c>
      <c r="E72" s="20"/>
      <c r="F72" s="20"/>
    </row>
    <row r="73" spans="2:6" x14ac:dyDescent="0.15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15">
      <c r="B74" s="103"/>
      <c r="C74" s="20"/>
      <c r="D74" s="20" t="s">
        <v>175</v>
      </c>
      <c r="E74" s="20"/>
      <c r="F74" s="20"/>
    </row>
    <row r="75" spans="2:6" x14ac:dyDescent="0.15">
      <c r="B75" s="103"/>
      <c r="C75" s="20"/>
      <c r="D75" s="20"/>
      <c r="E75" s="20"/>
      <c r="F75" s="20"/>
    </row>
    <row r="76" spans="2:6" x14ac:dyDescent="0.15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15">
      <c r="B77" s="103"/>
      <c r="C77" s="20"/>
      <c r="D77" s="20" t="s">
        <v>178</v>
      </c>
      <c r="E77" s="20"/>
      <c r="F77" s="20"/>
    </row>
    <row r="78" spans="2:6" x14ac:dyDescent="0.15">
      <c r="B78" s="103"/>
      <c r="C78" s="20"/>
      <c r="D78" s="20"/>
      <c r="E78" s="20"/>
      <c r="F78" s="20"/>
    </row>
    <row r="79" spans="2:6" x14ac:dyDescent="0.15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15">
      <c r="B80" s="103"/>
      <c r="C80" s="20"/>
      <c r="D80" s="20" t="s">
        <v>181</v>
      </c>
      <c r="E80" s="20"/>
      <c r="F80" s="20"/>
    </row>
    <row r="81" spans="2:6" x14ac:dyDescent="0.15">
      <c r="B81" s="103"/>
      <c r="C81" s="20"/>
      <c r="D81" s="20"/>
      <c r="E81" s="20"/>
      <c r="F81" s="20"/>
    </row>
    <row r="82" spans="2:6" x14ac:dyDescent="0.15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15">
      <c r="B83" s="103"/>
      <c r="C83" s="20"/>
      <c r="D83" s="20" t="s">
        <v>184</v>
      </c>
      <c r="E83" s="20" t="s">
        <v>186</v>
      </c>
      <c r="F83" s="20"/>
    </row>
    <row r="84" spans="2:6" x14ac:dyDescent="0.15">
      <c r="B84" s="103"/>
      <c r="C84" s="20"/>
      <c r="D84" s="20"/>
      <c r="E84" s="20"/>
      <c r="F84" s="20"/>
    </row>
    <row r="85" spans="2:6" x14ac:dyDescent="0.15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15">
      <c r="B86" s="103"/>
      <c r="C86" s="20"/>
      <c r="D86" s="20" t="s">
        <v>189</v>
      </c>
      <c r="E86" s="20"/>
      <c r="F86" s="20"/>
    </row>
    <row r="87" spans="2:6" x14ac:dyDescent="0.15">
      <c r="B87" s="103"/>
      <c r="C87" s="20"/>
      <c r="D87" s="20" t="s">
        <v>190</v>
      </c>
      <c r="E87" s="20"/>
      <c r="F87" s="20"/>
    </row>
    <row r="88" spans="2:6" ht="28" x14ac:dyDescent="0.15">
      <c r="B88" s="103"/>
      <c r="C88" s="20"/>
      <c r="D88" s="109" t="s">
        <v>210</v>
      </c>
      <c r="E88" s="23" t="s">
        <v>211</v>
      </c>
      <c r="F88" s="20"/>
    </row>
    <row r="89" spans="2:6" x14ac:dyDescent="0.15">
      <c r="B89" s="103"/>
      <c r="C89" s="20"/>
      <c r="D89" s="20" t="s">
        <v>191</v>
      </c>
      <c r="E89" s="20"/>
      <c r="F89" s="20"/>
    </row>
    <row r="90" spans="2:6" x14ac:dyDescent="0.15">
      <c r="B90" s="103"/>
      <c r="C90" s="20"/>
      <c r="D90" s="20"/>
      <c r="E90" s="20"/>
      <c r="F90" s="20"/>
    </row>
    <row r="91" spans="2:6" x14ac:dyDescent="0.15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15">
      <c r="B92" s="103"/>
      <c r="C92" s="20"/>
      <c r="D92" s="20"/>
      <c r="E92" s="20"/>
      <c r="F92" s="20"/>
    </row>
    <row r="93" spans="2:6" x14ac:dyDescent="0.15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15">
      <c r="B94" s="103"/>
      <c r="C94" s="20"/>
      <c r="D94" s="20"/>
      <c r="E94" s="20"/>
      <c r="F94" s="20"/>
    </row>
    <row r="95" spans="2:6" x14ac:dyDescent="0.15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15">
      <c r="B96" s="103"/>
      <c r="C96" s="20"/>
      <c r="D96" s="20" t="s">
        <v>204</v>
      </c>
      <c r="E96" s="20" t="s">
        <v>207</v>
      </c>
      <c r="F96" s="20"/>
    </row>
    <row r="97" spans="2:6" x14ac:dyDescent="0.15">
      <c r="B97" s="103"/>
      <c r="C97" s="20"/>
      <c r="D97" s="20"/>
      <c r="E97" s="20" t="s">
        <v>205</v>
      </c>
      <c r="F97" s="20"/>
    </row>
    <row r="98" spans="2:6" x14ac:dyDescent="0.15">
      <c r="B98" s="103"/>
      <c r="C98" s="20"/>
      <c r="D98" s="20"/>
      <c r="E98" s="20"/>
      <c r="F98" s="20"/>
    </row>
    <row r="99" spans="2:6" x14ac:dyDescent="0.15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15">
      <c r="B100" s="103"/>
      <c r="C100" s="20"/>
      <c r="D100" s="20" t="s">
        <v>198</v>
      </c>
      <c r="E100" s="20"/>
      <c r="F100" s="20"/>
    </row>
    <row r="101" spans="2:6" x14ac:dyDescent="0.15">
      <c r="B101" s="103"/>
      <c r="C101" s="20"/>
      <c r="D101" s="20" t="s">
        <v>199</v>
      </c>
      <c r="E101" s="20"/>
      <c r="F101" s="20"/>
    </row>
    <row r="102" spans="2:6" x14ac:dyDescent="0.15">
      <c r="B102" s="103"/>
      <c r="C102" s="20"/>
      <c r="D102" s="20"/>
      <c r="E102" s="20"/>
      <c r="F102" s="20"/>
    </row>
    <row r="103" spans="2:6" x14ac:dyDescent="0.15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15">
      <c r="B104" s="103"/>
      <c r="C104" s="20"/>
      <c r="D104" s="20" t="s">
        <v>202</v>
      </c>
      <c r="E104" s="20"/>
      <c r="F104" s="20"/>
    </row>
    <row r="105" spans="2:6" x14ac:dyDescent="0.15">
      <c r="B105" s="103"/>
      <c r="C105" s="20"/>
      <c r="D105" s="20"/>
      <c r="E105" s="20"/>
      <c r="F105" s="20"/>
    </row>
    <row r="106" spans="2:6" x14ac:dyDescent="0.15">
      <c r="B106" s="103"/>
      <c r="C106" s="20"/>
      <c r="D106" s="20"/>
      <c r="E106" s="20"/>
      <c r="F106" s="20"/>
    </row>
    <row r="107" spans="2:6" x14ac:dyDescent="0.15">
      <c r="B107" s="103"/>
      <c r="C107" s="20"/>
      <c r="D107" s="20"/>
      <c r="E107" s="20"/>
      <c r="F107" s="20"/>
    </row>
    <row r="108" spans="2:6" x14ac:dyDescent="0.15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64"/>
  <sheetViews>
    <sheetView zoomScale="80" zoomScaleNormal="80" workbookViewId="0">
      <selection activeCell="C9" sqref="C9"/>
    </sheetView>
  </sheetViews>
  <sheetFormatPr baseColWidth="10" defaultColWidth="9.1640625" defaultRowHeight="13" x14ac:dyDescent="0.15"/>
  <cols>
    <col min="1" max="1" width="9.1640625" style="104"/>
    <col min="2" max="2" width="59.5" style="104" bestFit="1" customWidth="1"/>
    <col min="3" max="3" width="12.33203125" style="104" bestFit="1" customWidth="1"/>
    <col min="4" max="4" width="40" style="104" bestFit="1" customWidth="1"/>
    <col min="5" max="16384" width="9.1640625" style="104"/>
  </cols>
  <sheetData>
    <row r="2" spans="2:7" ht="18" x14ac:dyDescent="0.2">
      <c r="B2" s="125" t="s">
        <v>279</v>
      </c>
    </row>
    <row r="3" spans="2:7" x14ac:dyDescent="0.15">
      <c r="B3" s="20"/>
      <c r="C3" s="20"/>
      <c r="D3" s="20"/>
      <c r="E3" s="20"/>
      <c r="F3" s="20"/>
      <c r="G3" s="20"/>
    </row>
    <row r="4" spans="2:7" x14ac:dyDescent="0.15">
      <c r="B4" s="20" t="s">
        <v>114</v>
      </c>
      <c r="C4" s="113">
        <v>5</v>
      </c>
      <c r="D4" s="20"/>
      <c r="E4" s="20"/>
      <c r="F4" s="20"/>
      <c r="G4" s="20"/>
    </row>
    <row r="5" spans="2:7" x14ac:dyDescent="0.15">
      <c r="B5" s="20"/>
      <c r="C5" s="20"/>
      <c r="D5" s="20"/>
      <c r="E5" s="20"/>
      <c r="F5" s="20"/>
      <c r="G5" s="20"/>
    </row>
    <row r="6" spans="2:7" x14ac:dyDescent="0.15">
      <c r="B6" s="108" t="s">
        <v>98</v>
      </c>
      <c r="C6" s="20"/>
      <c r="D6" s="20"/>
      <c r="E6" s="20"/>
      <c r="F6" s="20"/>
      <c r="G6" s="20"/>
    </row>
    <row r="7" spans="2:7" x14ac:dyDescent="0.15">
      <c r="B7" s="20" t="s">
        <v>99</v>
      </c>
      <c r="C7" s="129">
        <v>14</v>
      </c>
      <c r="D7" s="20"/>
      <c r="E7" s="20"/>
      <c r="F7" s="20"/>
      <c r="G7" s="20"/>
    </row>
    <row r="8" spans="2:7" x14ac:dyDescent="0.15">
      <c r="B8" s="20" t="s">
        <v>25</v>
      </c>
      <c r="C8" s="129">
        <v>5</v>
      </c>
      <c r="D8" s="20"/>
      <c r="E8" s="20"/>
      <c r="F8" s="20"/>
      <c r="G8" s="20"/>
    </row>
    <row r="9" spans="2:7" x14ac:dyDescent="0.15">
      <c r="B9" s="20" t="s">
        <v>315</v>
      </c>
      <c r="C9" s="149">
        <f>C8/C7</f>
        <v>0.35714285714285715</v>
      </c>
      <c r="D9" s="20"/>
      <c r="E9" s="20"/>
      <c r="F9" s="20"/>
      <c r="G9" s="20"/>
    </row>
    <row r="10" spans="2:7" x14ac:dyDescent="0.15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15">
      <c r="B11" s="20"/>
      <c r="C11" s="20"/>
      <c r="D11" s="20"/>
      <c r="E11" s="20"/>
      <c r="F11" s="20"/>
      <c r="G11" s="20"/>
    </row>
    <row r="12" spans="2:7" x14ac:dyDescent="0.15">
      <c r="B12" s="108" t="s">
        <v>101</v>
      </c>
      <c r="C12" s="20"/>
      <c r="D12" s="20"/>
      <c r="E12" s="20"/>
      <c r="F12" s="20"/>
      <c r="G12" s="20"/>
    </row>
    <row r="13" spans="2:7" x14ac:dyDescent="0.15">
      <c r="B13" s="20" t="s">
        <v>25</v>
      </c>
      <c r="C13" s="129">
        <v>-2.66</v>
      </c>
      <c r="D13" s="20"/>
      <c r="E13" s="20"/>
      <c r="F13" s="20"/>
      <c r="G13" s="20"/>
    </row>
    <row r="14" spans="2:7" x14ac:dyDescent="0.15">
      <c r="B14" s="20" t="s">
        <v>102</v>
      </c>
      <c r="C14" s="129">
        <v>28</v>
      </c>
      <c r="D14" s="20"/>
      <c r="E14" s="20"/>
      <c r="F14" s="20"/>
      <c r="G14" s="20"/>
    </row>
    <row r="15" spans="2:7" x14ac:dyDescent="0.15">
      <c r="B15" s="20" t="s">
        <v>103</v>
      </c>
      <c r="C15" s="129">
        <v>1000</v>
      </c>
      <c r="D15" s="20"/>
      <c r="E15" s="20"/>
      <c r="F15" s="20"/>
      <c r="G15" s="20"/>
    </row>
    <row r="16" spans="2:7" x14ac:dyDescent="0.15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15">
      <c r="B17" s="20"/>
      <c r="C17" s="20"/>
      <c r="D17" s="20"/>
      <c r="E17" s="20"/>
      <c r="F17" s="20"/>
      <c r="G17" s="20"/>
    </row>
    <row r="18" spans="2:7" x14ac:dyDescent="0.15">
      <c r="B18" s="108" t="s">
        <v>112</v>
      </c>
      <c r="C18" s="20"/>
      <c r="D18" s="20"/>
      <c r="E18" s="20"/>
      <c r="F18" s="20"/>
      <c r="G18" s="20"/>
    </row>
    <row r="19" spans="2:7" x14ac:dyDescent="0.15">
      <c r="B19" s="20" t="s">
        <v>114</v>
      </c>
      <c r="C19" s="129">
        <f>C4</f>
        <v>5</v>
      </c>
      <c r="D19" s="20"/>
      <c r="E19" s="20"/>
      <c r="F19" s="20"/>
      <c r="G19" s="20"/>
    </row>
    <row r="20" spans="2:7" x14ac:dyDescent="0.15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15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15">
      <c r="B22" s="20"/>
      <c r="C22" s="20"/>
      <c r="D22" s="20"/>
      <c r="E22" s="20"/>
      <c r="F22" s="20"/>
      <c r="G22" s="20"/>
    </row>
    <row r="23" spans="2:7" x14ac:dyDescent="0.15">
      <c r="B23" s="108" t="s">
        <v>227</v>
      </c>
      <c r="C23" s="20"/>
      <c r="D23" s="20"/>
      <c r="E23" s="20"/>
      <c r="F23" s="20"/>
      <c r="G23" s="20"/>
    </row>
    <row r="24" spans="2:7" x14ac:dyDescent="0.15">
      <c r="B24" s="20" t="s">
        <v>99</v>
      </c>
      <c r="C24" s="129">
        <v>14</v>
      </c>
      <c r="D24" s="20"/>
      <c r="E24" s="20"/>
      <c r="F24" s="20"/>
      <c r="G24" s="20"/>
    </row>
    <row r="25" spans="2:7" x14ac:dyDescent="0.15">
      <c r="B25" s="20" t="s">
        <v>114</v>
      </c>
      <c r="C25" s="129">
        <v>-2.66</v>
      </c>
      <c r="D25" s="20"/>
      <c r="E25" s="20"/>
      <c r="F25" s="20"/>
      <c r="G25" s="20"/>
    </row>
    <row r="26" spans="2:7" x14ac:dyDescent="0.15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15">
      <c r="B27" s="20" t="s">
        <v>77</v>
      </c>
      <c r="C27" s="129">
        <v>15</v>
      </c>
      <c r="D27" s="20"/>
      <c r="E27" s="20"/>
      <c r="F27" s="20"/>
      <c r="G27" s="20"/>
    </row>
    <row r="28" spans="2:7" x14ac:dyDescent="0.15">
      <c r="B28" s="20" t="s">
        <v>229</v>
      </c>
      <c r="C28" s="130">
        <v>1</v>
      </c>
      <c r="D28" s="20"/>
      <c r="E28" s="20"/>
      <c r="F28" s="20"/>
      <c r="G28" s="20"/>
    </row>
    <row r="29" spans="2:7" x14ac:dyDescent="0.15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15">
      <c r="B30" s="20" t="s">
        <v>231</v>
      </c>
      <c r="C30" s="131">
        <v>2.5499999999999998E-2</v>
      </c>
      <c r="D30" s="20"/>
      <c r="E30" s="20"/>
      <c r="F30" s="20"/>
      <c r="G30" s="20"/>
    </row>
    <row r="31" spans="2:7" x14ac:dyDescent="0.15">
      <c r="B31" s="20" t="s">
        <v>232</v>
      </c>
      <c r="C31" s="131">
        <v>3.1899999999999998E-2</v>
      </c>
      <c r="D31" s="20"/>
      <c r="E31" s="20"/>
      <c r="F31" s="20"/>
      <c r="G31" s="20"/>
    </row>
    <row r="32" spans="2:7" x14ac:dyDescent="0.15">
      <c r="B32" s="20" t="s">
        <v>233</v>
      </c>
      <c r="C32" s="131"/>
      <c r="D32" s="20"/>
      <c r="E32" s="20"/>
      <c r="F32" s="20"/>
      <c r="G32" s="20"/>
    </row>
    <row r="33" spans="2:7" x14ac:dyDescent="0.15">
      <c r="B33" s="20" t="s">
        <v>267</v>
      </c>
      <c r="C33" s="131">
        <v>3.44E-2</v>
      </c>
      <c r="D33" s="20"/>
      <c r="E33" s="20"/>
      <c r="F33" s="20"/>
      <c r="G33" s="20"/>
    </row>
    <row r="34" spans="2:7" x14ac:dyDescent="0.15">
      <c r="B34" s="20" t="s">
        <v>266</v>
      </c>
      <c r="C34" s="131">
        <v>0.1241</v>
      </c>
      <c r="D34" s="20"/>
      <c r="E34" s="20"/>
      <c r="F34" s="20"/>
      <c r="G34" s="20"/>
    </row>
    <row r="35" spans="2:7" x14ac:dyDescent="0.15">
      <c r="B35" s="20"/>
      <c r="C35" s="20"/>
      <c r="D35" s="20"/>
      <c r="E35" s="20"/>
      <c r="F35" s="20"/>
      <c r="G35" s="20"/>
    </row>
    <row r="36" spans="2:7" x14ac:dyDescent="0.15">
      <c r="B36" s="20"/>
      <c r="C36" s="20"/>
      <c r="D36" s="20"/>
      <c r="E36" s="20"/>
      <c r="F36" s="20"/>
      <c r="G36" s="20"/>
    </row>
    <row r="37" spans="2:7" x14ac:dyDescent="0.15">
      <c r="B37" s="108" t="s">
        <v>187</v>
      </c>
      <c r="C37" s="20"/>
      <c r="D37" s="20"/>
      <c r="E37" s="20"/>
      <c r="F37" s="20"/>
      <c r="G37" s="20"/>
    </row>
    <row r="38" spans="2:7" x14ac:dyDescent="0.15">
      <c r="B38" s="20" t="s">
        <v>215</v>
      </c>
      <c r="C38" s="129">
        <v>3141.2</v>
      </c>
      <c r="D38" s="20"/>
      <c r="E38" s="20"/>
      <c r="F38" s="20"/>
      <c r="G38" s="20"/>
    </row>
    <row r="39" spans="2:7" x14ac:dyDescent="0.15">
      <c r="B39" s="20" t="s">
        <v>216</v>
      </c>
      <c r="C39" s="129">
        <v>3384.26</v>
      </c>
      <c r="D39" s="20"/>
      <c r="E39" s="20"/>
      <c r="F39" s="20"/>
      <c r="G39" s="20"/>
    </row>
    <row r="40" spans="2:7" x14ac:dyDescent="0.15">
      <c r="B40" s="20" t="s">
        <v>34</v>
      </c>
      <c r="C40" s="129">
        <v>92.03</v>
      </c>
      <c r="D40" s="20"/>
      <c r="E40" s="20"/>
      <c r="F40" s="20"/>
      <c r="G40" s="20"/>
    </row>
    <row r="41" spans="2:7" x14ac:dyDescent="0.15">
      <c r="B41" s="20" t="s">
        <v>217</v>
      </c>
      <c r="C41" s="129">
        <v>31.09</v>
      </c>
      <c r="D41" s="20"/>
      <c r="E41" s="20"/>
      <c r="F41" s="20"/>
      <c r="G41" s="20"/>
    </row>
    <row r="42" spans="2:7" x14ac:dyDescent="0.15">
      <c r="B42" s="20" t="s">
        <v>218</v>
      </c>
      <c r="C42" s="129">
        <v>1005.03</v>
      </c>
      <c r="D42" s="20"/>
      <c r="E42" s="20"/>
      <c r="F42" s="20"/>
      <c r="G42" s="20"/>
    </row>
    <row r="43" spans="2:7" x14ac:dyDescent="0.15">
      <c r="B43" s="20"/>
      <c r="C43" s="20"/>
      <c r="D43" s="20"/>
      <c r="E43" s="20"/>
      <c r="F43" s="20"/>
      <c r="G43" s="20"/>
    </row>
    <row r="44" spans="2:7" x14ac:dyDescent="0.15">
      <c r="B44" s="23" t="s">
        <v>212</v>
      </c>
      <c r="C44" s="129">
        <v>281.95</v>
      </c>
      <c r="D44" s="20"/>
      <c r="E44" s="20"/>
      <c r="F44" s="20"/>
      <c r="G44" s="20"/>
    </row>
    <row r="45" spans="2:7" x14ac:dyDescent="0.15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15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15">
      <c r="B47" s="20"/>
      <c r="C47" s="25"/>
      <c r="D47" s="20"/>
      <c r="E47" s="20"/>
      <c r="F47" s="20"/>
      <c r="G47" s="20"/>
    </row>
    <row r="48" spans="2:7" x14ac:dyDescent="0.15">
      <c r="B48" s="23" t="s">
        <v>213</v>
      </c>
      <c r="C48" s="129">
        <v>171.6</v>
      </c>
      <c r="D48" s="20"/>
      <c r="E48" s="20"/>
      <c r="F48" s="20"/>
      <c r="G48" s="20"/>
    </row>
    <row r="49" spans="2:7" x14ac:dyDescent="0.15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15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15">
      <c r="B51" s="20"/>
      <c r="C51" s="25"/>
      <c r="D51" s="20"/>
      <c r="E51" s="20"/>
      <c r="F51" s="20"/>
      <c r="G51" s="20"/>
    </row>
    <row r="52" spans="2:7" x14ac:dyDescent="0.15">
      <c r="B52" s="23" t="s">
        <v>214</v>
      </c>
      <c r="C52" s="129">
        <v>110.33</v>
      </c>
      <c r="D52" s="20"/>
      <c r="E52" s="20"/>
      <c r="F52" s="20"/>
      <c r="G52" s="20"/>
    </row>
    <row r="53" spans="2:7" x14ac:dyDescent="0.15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15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15">
      <c r="B55" s="20"/>
      <c r="C55" s="20"/>
      <c r="D55" s="20"/>
      <c r="E55" s="20"/>
      <c r="F55" s="20"/>
      <c r="G55" s="20"/>
    </row>
    <row r="56" spans="2:7" x14ac:dyDescent="0.15">
      <c r="B56" s="23" t="s">
        <v>219</v>
      </c>
      <c r="C56" s="129">
        <v>1320.99</v>
      </c>
      <c r="D56" s="20"/>
      <c r="E56" s="20"/>
      <c r="F56" s="20"/>
      <c r="G56" s="20"/>
    </row>
    <row r="57" spans="2:7" x14ac:dyDescent="0.15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15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15">
      <c r="B59" s="20"/>
      <c r="C59" s="20"/>
      <c r="D59" s="20"/>
      <c r="E59" s="20"/>
      <c r="F59" s="20"/>
      <c r="G59" s="20"/>
    </row>
    <row r="60" spans="2:7" x14ac:dyDescent="0.15">
      <c r="B60" s="20"/>
      <c r="C60" s="25"/>
      <c r="D60" s="20"/>
      <c r="E60" s="20"/>
      <c r="F60" s="20"/>
      <c r="G60" s="20"/>
    </row>
    <row r="61" spans="2:7" x14ac:dyDescent="0.15">
      <c r="B61" s="20"/>
      <c r="C61" s="25"/>
      <c r="D61" s="20"/>
      <c r="E61" s="20"/>
      <c r="F61" s="20"/>
      <c r="G61" s="20"/>
    </row>
    <row r="62" spans="2:7" x14ac:dyDescent="0.15">
      <c r="B62" s="20"/>
      <c r="C62" s="20"/>
      <c r="D62" s="20"/>
      <c r="E62" s="20"/>
      <c r="F62" s="20"/>
      <c r="G62" s="20"/>
    </row>
    <row r="63" spans="2:7" x14ac:dyDescent="0.15">
      <c r="B63" s="20"/>
      <c r="C63" s="20"/>
      <c r="D63" s="20"/>
      <c r="E63" s="20"/>
      <c r="F63" s="20"/>
      <c r="G63" s="20"/>
    </row>
    <row r="64" spans="2:7" x14ac:dyDescent="0.15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272"/>
  <sheetViews>
    <sheetView tabSelected="1" zoomScaleNormal="100" workbookViewId="0">
      <pane xSplit="2" ySplit="3" topLeftCell="G171" activePane="bottomRight" state="frozen"/>
      <selection pane="topRight" activeCell="C1" sqref="C1"/>
      <selection pane="bottomLeft" activeCell="A5" sqref="A5"/>
      <selection pane="bottomRight" activeCell="P201" sqref="P201"/>
    </sheetView>
  </sheetViews>
  <sheetFormatPr baseColWidth="10" defaultColWidth="9.1640625" defaultRowHeight="13" x14ac:dyDescent="0.15"/>
  <cols>
    <col min="1" max="1" width="4.6640625" style="104" customWidth="1"/>
    <col min="2" max="2" width="37.1640625" style="104" customWidth="1"/>
    <col min="3" max="3" width="7.83203125" style="104" customWidth="1"/>
    <col min="4" max="4" width="11.33203125" style="104" customWidth="1"/>
    <col min="5" max="5" width="8.5" style="104" bestFit="1" customWidth="1"/>
    <col min="6" max="6" width="8.5" style="104" customWidth="1"/>
    <col min="7" max="7" width="9.6640625" style="104" customWidth="1"/>
    <col min="8" max="8" width="9" style="104" bestFit="1" customWidth="1"/>
    <col min="9" max="9" width="13.5" style="104" bestFit="1" customWidth="1"/>
    <col min="10" max="10" width="11.33203125" style="104" bestFit="1" customWidth="1"/>
    <col min="11" max="18" width="12.33203125" style="104" bestFit="1" customWidth="1"/>
    <col min="19" max="19" width="10.6640625" style="104" customWidth="1"/>
    <col min="20" max="20" width="9.5" style="104" bestFit="1" customWidth="1"/>
    <col min="21" max="21" width="10.83203125" style="104" bestFit="1" customWidth="1"/>
    <col min="22" max="23" width="9.6640625" style="104" bestFit="1" customWidth="1"/>
    <col min="24" max="30" width="8" style="104" bestFit="1" customWidth="1"/>
    <col min="31" max="31" width="11.33203125" style="104" bestFit="1" customWidth="1"/>
    <col min="32" max="32" width="9.33203125" style="104" bestFit="1" customWidth="1"/>
    <col min="33" max="33" width="9" style="104" customWidth="1"/>
    <col min="34" max="34" width="10.6640625" style="104" customWidth="1"/>
    <col min="35" max="16384" width="9.1640625" style="104"/>
  </cols>
  <sheetData>
    <row r="1" spans="2:34" x14ac:dyDescent="0.15">
      <c r="B1" s="123" t="s">
        <v>241</v>
      </c>
      <c r="C1" s="124">
        <f>R2</f>
        <v>0.22</v>
      </c>
      <c r="H1" s="104" t="s">
        <v>252</v>
      </c>
      <c r="J1" s="126">
        <v>2004</v>
      </c>
      <c r="L1" s="104" t="s">
        <v>323</v>
      </c>
      <c r="N1" s="161">
        <v>0.05</v>
      </c>
      <c r="P1" s="104" t="s">
        <v>394</v>
      </c>
      <c r="R1" s="161">
        <v>0.05</v>
      </c>
    </row>
    <row r="2" spans="2:34" x14ac:dyDescent="0.15">
      <c r="B2" s="150" t="s">
        <v>312</v>
      </c>
      <c r="C2" s="120"/>
      <c r="H2" s="104" t="s">
        <v>253</v>
      </c>
      <c r="J2" s="126">
        <v>2016</v>
      </c>
      <c r="L2" s="104" t="s">
        <v>324</v>
      </c>
      <c r="N2" s="161">
        <v>0.12</v>
      </c>
      <c r="P2" s="104" t="s">
        <v>461</v>
      </c>
      <c r="R2" s="161">
        <v>0.22</v>
      </c>
      <c r="V2" s="115" t="s">
        <v>11</v>
      </c>
      <c r="W2" s="115" t="s">
        <v>12</v>
      </c>
      <c r="X2" s="115" t="s">
        <v>13</v>
      </c>
      <c r="Y2" s="115" t="s">
        <v>14</v>
      </c>
      <c r="Z2" s="115" t="s">
        <v>15</v>
      </c>
      <c r="AA2" s="115" t="s">
        <v>234</v>
      </c>
      <c r="AB2" s="115" t="s">
        <v>235</v>
      </c>
      <c r="AC2" s="115" t="s">
        <v>236</v>
      </c>
      <c r="AD2" s="115" t="s">
        <v>237</v>
      </c>
      <c r="AE2" s="115" t="s">
        <v>238</v>
      </c>
      <c r="AG2" s="217" t="s">
        <v>290</v>
      </c>
      <c r="AH2" s="218"/>
    </row>
    <row r="3" spans="2:34" x14ac:dyDescent="0.15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4">
        <v>2015</v>
      </c>
      <c r="S3" s="114">
        <v>2016</v>
      </c>
      <c r="T3" s="116" t="s">
        <v>1</v>
      </c>
      <c r="U3" s="116" t="s">
        <v>254</v>
      </c>
      <c r="V3" s="115">
        <v>2016</v>
      </c>
      <c r="W3" s="115">
        <v>2017</v>
      </c>
      <c r="X3" s="115">
        <v>2018</v>
      </c>
      <c r="Y3" s="115">
        <v>2019</v>
      </c>
      <c r="Z3" s="115">
        <v>2020</v>
      </c>
      <c r="AA3" s="115">
        <v>2021</v>
      </c>
      <c r="AB3" s="115">
        <v>2022</v>
      </c>
      <c r="AC3" s="115">
        <v>2023</v>
      </c>
      <c r="AD3" s="115">
        <v>2024</v>
      </c>
      <c r="AE3" s="115">
        <v>2025</v>
      </c>
      <c r="AF3" s="134" t="s">
        <v>1</v>
      </c>
      <c r="AG3" s="219" t="s">
        <v>291</v>
      </c>
      <c r="AH3" s="220"/>
    </row>
    <row r="4" spans="2:34" x14ac:dyDescent="0.15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35"/>
      <c r="AG4" s="20"/>
      <c r="AH4" s="20"/>
    </row>
    <row r="5" spans="2:34" x14ac:dyDescent="0.15">
      <c r="B5" s="108" t="s">
        <v>242</v>
      </c>
      <c r="C5" s="20"/>
      <c r="D5" s="20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20"/>
      <c r="U5" s="20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35"/>
      <c r="AG5" s="20"/>
      <c r="AH5" s="151"/>
    </row>
    <row r="6" spans="2:34" x14ac:dyDescent="0.15">
      <c r="B6" s="20" t="s">
        <v>16</v>
      </c>
      <c r="C6" s="139"/>
      <c r="D6" s="139"/>
      <c r="E6" s="145"/>
      <c r="F6" s="145"/>
      <c r="G6" s="202">
        <v>1176</v>
      </c>
      <c r="H6" s="202">
        <v>1343</v>
      </c>
      <c r="I6" s="202">
        <v>1949</v>
      </c>
      <c r="J6" s="202">
        <v>2935</v>
      </c>
      <c r="K6" s="202">
        <v>5479</v>
      </c>
      <c r="L6" s="202">
        <v>6268</v>
      </c>
      <c r="M6" s="202">
        <v>7617</v>
      </c>
      <c r="N6" s="202">
        <v>10594</v>
      </c>
      <c r="O6" s="202">
        <v>12530</v>
      </c>
      <c r="P6" s="202">
        <v>14876</v>
      </c>
      <c r="Q6" s="203">
        <v>18690</v>
      </c>
      <c r="R6" s="200">
        <v>21752</v>
      </c>
      <c r="S6" s="200">
        <v>32443</v>
      </c>
      <c r="T6" s="118">
        <f>((S6/G6)^(1/($J$2-$J$1) ))-1</f>
        <v>0.31843727739045669</v>
      </c>
      <c r="U6" s="31">
        <f>$N$2</f>
        <v>0.12</v>
      </c>
      <c r="V6" s="151">
        <f>S6*(1+$U6)</f>
        <v>36336.160000000003</v>
      </c>
      <c r="W6" s="151">
        <f>V6*(1+$U6)</f>
        <v>40696.499200000006</v>
      </c>
      <c r="X6" s="151">
        <f t="shared" ref="X6:AE6" si="0">W6*(1+$U6)</f>
        <v>45580.079104000011</v>
      </c>
      <c r="Y6" s="151">
        <f t="shared" si="0"/>
        <v>51049.688596480017</v>
      </c>
      <c r="Z6" s="151">
        <f t="shared" si="0"/>
        <v>57175.651228057621</v>
      </c>
      <c r="AA6" s="151">
        <f t="shared" si="0"/>
        <v>64036.72937542454</v>
      </c>
      <c r="AB6" s="151">
        <f t="shared" si="0"/>
        <v>71721.136900475496</v>
      </c>
      <c r="AC6" s="151">
        <f t="shared" si="0"/>
        <v>80327.673328532561</v>
      </c>
      <c r="AD6" s="151">
        <f t="shared" si="0"/>
        <v>89966.994127956481</v>
      </c>
      <c r="AE6" s="151">
        <f t="shared" si="0"/>
        <v>100763.03342331127</v>
      </c>
      <c r="AF6" s="136">
        <f>((AE6/I6)^(1/($AE$3-$J$1) ))-1</f>
        <v>0.20668727529445508</v>
      </c>
      <c r="AG6" s="31">
        <f>$N$1</f>
        <v>0.05</v>
      </c>
      <c r="AH6" s="144">
        <f t="shared" ref="AH6:AH59" si="1">(AE6*(1+AG6))/($C$1-AG6)</f>
        <v>622359.91232045204</v>
      </c>
    </row>
    <row r="7" spans="2:34" x14ac:dyDescent="0.15">
      <c r="B7" s="20" t="s">
        <v>240</v>
      </c>
      <c r="C7" s="139"/>
      <c r="D7" s="139"/>
      <c r="E7" s="145"/>
      <c r="F7" s="145"/>
      <c r="G7" s="202">
        <v>1236</v>
      </c>
      <c r="H7" s="202">
        <v>1472</v>
      </c>
      <c r="I7" s="202">
        <v>2258</v>
      </c>
      <c r="J7" s="202">
        <v>3261</v>
      </c>
      <c r="K7" s="202">
        <v>5882</v>
      </c>
      <c r="L7" s="202">
        <v>6614</v>
      </c>
      <c r="M7" s="202">
        <v>7965</v>
      </c>
      <c r="N7" s="202">
        <v>10999</v>
      </c>
      <c r="O7" s="202">
        <v>12935</v>
      </c>
      <c r="P7" s="202">
        <v>15267</v>
      </c>
      <c r="Q7" s="203">
        <v>19084</v>
      </c>
      <c r="R7" s="200">
        <v>22141</v>
      </c>
      <c r="S7" s="200">
        <v>33364</v>
      </c>
      <c r="T7" s="118">
        <f>((S7/G7)^(1/($J$2-$J$1) ))-1</f>
        <v>0.31604771908067364</v>
      </c>
      <c r="U7" s="31">
        <f>$N$2</f>
        <v>0.12</v>
      </c>
      <c r="V7" s="151">
        <f t="shared" ref="V7:V59" si="2">S7*(1+$U7)</f>
        <v>37367.68</v>
      </c>
      <c r="W7" s="151">
        <f t="shared" ref="W7:AE7" si="3">V7*(1+$U7)</f>
        <v>41851.801600000006</v>
      </c>
      <c r="X7" s="151">
        <f t="shared" si="3"/>
        <v>46874.017792000013</v>
      </c>
      <c r="Y7" s="151">
        <f t="shared" si="3"/>
        <v>52498.899927040016</v>
      </c>
      <c r="Z7" s="151">
        <f t="shared" si="3"/>
        <v>58798.767918284822</v>
      </c>
      <c r="AA7" s="151">
        <f t="shared" si="3"/>
        <v>65854.620068479009</v>
      </c>
      <c r="AB7" s="151">
        <f t="shared" si="3"/>
        <v>73757.174476696498</v>
      </c>
      <c r="AC7" s="151">
        <f t="shared" si="3"/>
        <v>82608.035413900085</v>
      </c>
      <c r="AD7" s="151">
        <f t="shared" si="3"/>
        <v>92520.999663568102</v>
      </c>
      <c r="AE7" s="151">
        <f t="shared" si="3"/>
        <v>103623.51962319629</v>
      </c>
      <c r="AF7" s="136">
        <f>((AE7/I7)^(1/($AE$3-$J$1) ))-1</f>
        <v>0.19985898937415514</v>
      </c>
      <c r="AG7" s="31">
        <f>$N$1</f>
        <v>0.05</v>
      </c>
      <c r="AH7" s="144">
        <f t="shared" si="1"/>
        <v>640027.62120209483</v>
      </c>
    </row>
    <row r="8" spans="2:34" x14ac:dyDescent="0.15">
      <c r="B8" s="20"/>
      <c r="C8" s="139"/>
      <c r="D8" s="139"/>
      <c r="E8" s="145"/>
      <c r="F8" s="145"/>
      <c r="G8" s="148">
        <f>(G7-F7)/G7</f>
        <v>1</v>
      </c>
      <c r="H8" s="148">
        <f>(H7-G7)/H7</f>
        <v>0.16032608695652173</v>
      </c>
      <c r="I8" s="148">
        <f t="shared" ref="I8:Q8" si="4">(I7-H7)/I7</f>
        <v>0.34809565987599644</v>
      </c>
      <c r="J8" s="148">
        <f t="shared" si="4"/>
        <v>0.30757436369211899</v>
      </c>
      <c r="K8" s="148">
        <f t="shared" si="4"/>
        <v>0.44559673580414827</v>
      </c>
      <c r="L8" s="148">
        <f t="shared" si="4"/>
        <v>0.1106743271847596</v>
      </c>
      <c r="M8" s="148">
        <f t="shared" si="4"/>
        <v>0.16961707470182047</v>
      </c>
      <c r="N8" s="148">
        <f t="shared" si="4"/>
        <v>0.27584325847804347</v>
      </c>
      <c r="O8" s="148">
        <f t="shared" si="4"/>
        <v>0.14967143409354464</v>
      </c>
      <c r="P8" s="148">
        <f t="shared" si="4"/>
        <v>0.1527477565992009</v>
      </c>
      <c r="Q8" s="204">
        <f t="shared" si="4"/>
        <v>0.20001047998323201</v>
      </c>
      <c r="R8" s="148">
        <f t="shared" ref="R8:S8" si="5">(R7-Q7)/Q7</f>
        <v>0.16018654370153007</v>
      </c>
      <c r="S8" s="148">
        <f t="shared" si="5"/>
        <v>0.50688767445011518</v>
      </c>
      <c r="T8" s="128"/>
      <c r="U8" s="20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35"/>
      <c r="AG8" s="135"/>
      <c r="AH8" s="144"/>
    </row>
    <row r="9" spans="2:34" x14ac:dyDescent="0.15">
      <c r="B9" s="20" t="s">
        <v>269</v>
      </c>
      <c r="C9" s="139"/>
      <c r="D9" s="139"/>
      <c r="E9" s="145"/>
      <c r="F9" s="145"/>
      <c r="G9" s="202">
        <v>0</v>
      </c>
      <c r="H9" s="202">
        <v>0</v>
      </c>
      <c r="I9" s="202">
        <v>0</v>
      </c>
      <c r="J9" s="202">
        <v>0</v>
      </c>
      <c r="K9" s="202">
        <v>0</v>
      </c>
      <c r="L9" s="202">
        <v>0</v>
      </c>
      <c r="M9" s="202">
        <v>0</v>
      </c>
      <c r="N9" s="202">
        <v>0</v>
      </c>
      <c r="O9" s="202">
        <v>0</v>
      </c>
      <c r="P9" s="202">
        <v>0</v>
      </c>
      <c r="Q9" s="203">
        <v>0</v>
      </c>
      <c r="R9" s="200">
        <v>0</v>
      </c>
      <c r="S9" s="200">
        <v>0</v>
      </c>
      <c r="T9" s="118" t="e">
        <f>((S9/G9)^(1/($J$2-$J$1) ))-1</f>
        <v>#DIV/0!</v>
      </c>
      <c r="U9" s="31">
        <f t="shared" ref="U9:U55" si="6">$N$2</f>
        <v>0.12</v>
      </c>
      <c r="V9" s="151">
        <f t="shared" si="2"/>
        <v>0</v>
      </c>
      <c r="W9" s="151">
        <f t="shared" ref="W9" si="7">V9*(1+$U9)</f>
        <v>0</v>
      </c>
      <c r="X9" s="151">
        <f t="shared" ref="X9" si="8">W9*(1+$U9)</f>
        <v>0</v>
      </c>
      <c r="Y9" s="151">
        <f t="shared" ref="Y9" si="9">X9*(1+$U9)</f>
        <v>0</v>
      </c>
      <c r="Z9" s="151">
        <f t="shared" ref="Z9" si="10">Y9*(1+$U9)</f>
        <v>0</v>
      </c>
      <c r="AA9" s="151">
        <f t="shared" ref="AA9" si="11">Z9*(1+$U9)</f>
        <v>0</v>
      </c>
      <c r="AB9" s="151">
        <f t="shared" ref="AB9" si="12">AA9*(1+$U9)</f>
        <v>0</v>
      </c>
      <c r="AC9" s="151">
        <f t="shared" ref="AC9" si="13">AB9*(1+$U9)</f>
        <v>0</v>
      </c>
      <c r="AD9" s="151">
        <f t="shared" ref="AD9" si="14">AC9*(1+$U9)</f>
        <v>0</v>
      </c>
      <c r="AE9" s="151">
        <f t="shared" ref="AE9" si="15">AD9*(1+$U9)</f>
        <v>0</v>
      </c>
      <c r="AF9" s="136" t="e">
        <f>((AE9/I9)^(1/($AE$3-$J$1) ))-1</f>
        <v>#DIV/0!</v>
      </c>
      <c r="AG9" s="31">
        <f t="shared" ref="AG9:AG99" si="16">$N$1</f>
        <v>0.05</v>
      </c>
      <c r="AH9" s="144">
        <f t="shared" si="1"/>
        <v>0</v>
      </c>
    </row>
    <row r="10" spans="2:34" x14ac:dyDescent="0.15">
      <c r="B10" s="20" t="s">
        <v>4</v>
      </c>
      <c r="C10" s="139"/>
      <c r="D10" s="139"/>
      <c r="E10" s="145"/>
      <c r="F10" s="145"/>
      <c r="G10" s="202">
        <v>7324</v>
      </c>
      <c r="H10" s="202">
        <v>7556</v>
      </c>
      <c r="I10" s="202">
        <v>11414</v>
      </c>
      <c r="J10" s="202">
        <v>19646</v>
      </c>
      <c r="K10" s="202">
        <v>26464</v>
      </c>
      <c r="L10" s="202">
        <v>24882</v>
      </c>
      <c r="M10" s="202">
        <v>35704</v>
      </c>
      <c r="N10" s="202">
        <v>49386</v>
      </c>
      <c r="O10" s="202">
        <v>65655</v>
      </c>
      <c r="P10" s="202">
        <v>86561</v>
      </c>
      <c r="Q10" s="203">
        <v>85396</v>
      </c>
      <c r="R10" s="200">
        <v>104258</v>
      </c>
      <c r="S10" s="200">
        <v>179678</v>
      </c>
      <c r="T10" s="118">
        <f>((S10/G10)^(1/($J$2-$J$1) ))-1</f>
        <v>0.30560623104353657</v>
      </c>
      <c r="U10" s="31">
        <f t="shared" si="6"/>
        <v>0.12</v>
      </c>
      <c r="V10" s="151">
        <f t="shared" si="2"/>
        <v>201239.36000000002</v>
      </c>
      <c r="W10" s="151">
        <f t="shared" ref="W10:AE10" si="17">V10*(1+$U10)</f>
        <v>225388.08320000005</v>
      </c>
      <c r="X10" s="151">
        <f t="shared" si="17"/>
        <v>252434.65318400008</v>
      </c>
      <c r="Y10" s="151">
        <f t="shared" si="17"/>
        <v>282726.81156608014</v>
      </c>
      <c r="Z10" s="151">
        <f t="shared" si="17"/>
        <v>316654.02895400982</v>
      </c>
      <c r="AA10" s="151">
        <f t="shared" si="17"/>
        <v>354652.51242849103</v>
      </c>
      <c r="AB10" s="151">
        <f t="shared" si="17"/>
        <v>397210.81391991</v>
      </c>
      <c r="AC10" s="151">
        <f t="shared" si="17"/>
        <v>444876.11159029923</v>
      </c>
      <c r="AD10" s="151">
        <f t="shared" si="17"/>
        <v>498261.24498113518</v>
      </c>
      <c r="AE10" s="151">
        <f t="shared" si="17"/>
        <v>558052.59437887149</v>
      </c>
      <c r="AF10" s="136">
        <f t="shared" ref="AF10:AF57" si="18">((AE10/I10)^(1/($AE$3-$J$1) ))-1</f>
        <v>0.20348274983795989</v>
      </c>
      <c r="AG10" s="31">
        <f t="shared" si="16"/>
        <v>0.05</v>
      </c>
      <c r="AH10" s="144">
        <f t="shared" si="1"/>
        <v>3446795.435869501</v>
      </c>
    </row>
    <row r="11" spans="2:34" x14ac:dyDescent="0.15">
      <c r="B11" s="20"/>
      <c r="C11" s="139"/>
      <c r="D11" s="139"/>
      <c r="E11" s="145"/>
      <c r="F11" s="145"/>
      <c r="G11" s="148" t="e">
        <f t="shared" ref="G11" si="19">(G10-F10)/F10</f>
        <v>#DIV/0!</v>
      </c>
      <c r="H11" s="148">
        <f t="shared" ref="H11" si="20">(H10-G10)/G10</f>
        <v>3.1676679410158386E-2</v>
      </c>
      <c r="I11" s="148">
        <f t="shared" ref="I11:S11" si="21">(I10-H10)/H10</f>
        <v>0.51058761249338269</v>
      </c>
      <c r="J11" s="148">
        <f t="shared" si="21"/>
        <v>0.72121955493253898</v>
      </c>
      <c r="K11" s="148">
        <f t="shared" si="21"/>
        <v>0.34704265499338288</v>
      </c>
      <c r="L11" s="148">
        <f t="shared" si="21"/>
        <v>-5.9779322853688026E-2</v>
      </c>
      <c r="M11" s="148">
        <f t="shared" si="21"/>
        <v>0.43493288320874529</v>
      </c>
      <c r="N11" s="148">
        <f t="shared" si="21"/>
        <v>0.38320636343266862</v>
      </c>
      <c r="O11" s="148">
        <f t="shared" si="21"/>
        <v>0.3294253432146762</v>
      </c>
      <c r="P11" s="148">
        <f t="shared" si="21"/>
        <v>0.31842205467976542</v>
      </c>
      <c r="Q11" s="148">
        <f t="shared" si="21"/>
        <v>-1.3458716974156952E-2</v>
      </c>
      <c r="R11" s="148">
        <f t="shared" si="21"/>
        <v>0.22087685605883178</v>
      </c>
      <c r="S11" s="148">
        <f t="shared" si="21"/>
        <v>0.72339772487482978</v>
      </c>
      <c r="T11" s="128"/>
      <c r="U11" s="20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19"/>
      <c r="AG11" s="31">
        <f t="shared" si="16"/>
        <v>0.05</v>
      </c>
      <c r="AH11" s="151"/>
    </row>
    <row r="12" spans="2:34" x14ac:dyDescent="0.15">
      <c r="B12" s="20" t="s">
        <v>2</v>
      </c>
      <c r="C12" s="139"/>
      <c r="D12" s="139"/>
      <c r="E12" s="145"/>
      <c r="F12" s="145"/>
      <c r="G12" s="200">
        <f t="shared" ref="G12:H12" si="22">H12</f>
        <v>0</v>
      </c>
      <c r="H12" s="200">
        <f t="shared" si="22"/>
        <v>0</v>
      </c>
      <c r="I12" s="200">
        <f>J12</f>
        <v>0</v>
      </c>
      <c r="J12" s="200">
        <v>0</v>
      </c>
      <c r="K12" s="200">
        <v>0</v>
      </c>
      <c r="L12" s="200">
        <v>0</v>
      </c>
      <c r="M12" s="200">
        <v>0</v>
      </c>
      <c r="N12" s="200">
        <v>0</v>
      </c>
      <c r="O12" s="200">
        <v>0</v>
      </c>
      <c r="P12" s="200">
        <v>0</v>
      </c>
      <c r="Q12" s="200">
        <v>0</v>
      </c>
      <c r="R12" s="200">
        <v>0</v>
      </c>
      <c r="S12" s="200">
        <v>0</v>
      </c>
      <c r="T12" s="118" t="e">
        <f>((S12/G12)^(1/($J$2-$J$1) ))-1</f>
        <v>#DIV/0!</v>
      </c>
      <c r="U12" s="31">
        <f t="shared" si="6"/>
        <v>0.12</v>
      </c>
      <c r="V12" s="151">
        <f t="shared" si="2"/>
        <v>0</v>
      </c>
      <c r="W12" s="151">
        <f t="shared" ref="W12:AE12" si="23">V12*(1+$U12)</f>
        <v>0</v>
      </c>
      <c r="X12" s="151">
        <f t="shared" si="23"/>
        <v>0</v>
      </c>
      <c r="Y12" s="151">
        <f t="shared" si="23"/>
        <v>0</v>
      </c>
      <c r="Z12" s="151">
        <f t="shared" si="23"/>
        <v>0</v>
      </c>
      <c r="AA12" s="151">
        <f t="shared" si="23"/>
        <v>0</v>
      </c>
      <c r="AB12" s="151">
        <f t="shared" si="23"/>
        <v>0</v>
      </c>
      <c r="AC12" s="151">
        <f t="shared" si="23"/>
        <v>0</v>
      </c>
      <c r="AD12" s="151">
        <f t="shared" si="23"/>
        <v>0</v>
      </c>
      <c r="AE12" s="151">
        <f t="shared" si="23"/>
        <v>0</v>
      </c>
      <c r="AF12" s="136" t="e">
        <f t="shared" si="18"/>
        <v>#DIV/0!</v>
      </c>
      <c r="AG12" s="31">
        <f t="shared" si="16"/>
        <v>0.05</v>
      </c>
      <c r="AH12" s="144">
        <f t="shared" si="1"/>
        <v>0</v>
      </c>
    </row>
    <row r="13" spans="2:34" x14ac:dyDescent="0.15">
      <c r="B13" s="20" t="s">
        <v>218</v>
      </c>
      <c r="C13" s="139"/>
      <c r="D13" s="139"/>
      <c r="E13" s="145"/>
      <c r="F13" s="145"/>
      <c r="G13" s="200">
        <f t="shared" ref="G13:H13" si="24">H13</f>
        <v>0</v>
      </c>
      <c r="H13" s="200">
        <f t="shared" si="24"/>
        <v>0</v>
      </c>
      <c r="I13" s="200">
        <f>J13</f>
        <v>0</v>
      </c>
      <c r="J13" s="200">
        <v>0</v>
      </c>
      <c r="K13" s="200">
        <v>0</v>
      </c>
      <c r="L13" s="200">
        <v>0</v>
      </c>
      <c r="M13" s="200">
        <v>0</v>
      </c>
      <c r="N13" s="200">
        <v>0</v>
      </c>
      <c r="O13" s="200">
        <v>0</v>
      </c>
      <c r="P13" s="200">
        <v>0</v>
      </c>
      <c r="Q13" s="200">
        <v>0</v>
      </c>
      <c r="R13" s="200">
        <v>0</v>
      </c>
      <c r="S13" s="200">
        <v>0</v>
      </c>
      <c r="T13" s="118" t="e">
        <f t="shared" ref="T13:T59" si="25">((S13/G13)^(1/($J$2-$J$1) ))-1</f>
        <v>#DIV/0!</v>
      </c>
      <c r="U13" s="31">
        <f t="shared" si="6"/>
        <v>0.12</v>
      </c>
      <c r="V13" s="151">
        <f t="shared" si="2"/>
        <v>0</v>
      </c>
      <c r="W13" s="151">
        <f t="shared" ref="W13:AE13" si="26">V13*(1+$U13)</f>
        <v>0</v>
      </c>
      <c r="X13" s="151">
        <f t="shared" si="26"/>
        <v>0</v>
      </c>
      <c r="Y13" s="151">
        <f t="shared" si="26"/>
        <v>0</v>
      </c>
      <c r="Z13" s="151">
        <f t="shared" si="26"/>
        <v>0</v>
      </c>
      <c r="AA13" s="151">
        <f t="shared" si="26"/>
        <v>0</v>
      </c>
      <c r="AB13" s="151">
        <f t="shared" si="26"/>
        <v>0</v>
      </c>
      <c r="AC13" s="151">
        <f t="shared" si="26"/>
        <v>0</v>
      </c>
      <c r="AD13" s="151">
        <f t="shared" si="26"/>
        <v>0</v>
      </c>
      <c r="AE13" s="151">
        <f t="shared" si="26"/>
        <v>0</v>
      </c>
      <c r="AF13" s="136" t="e">
        <f t="shared" si="18"/>
        <v>#DIV/0!</v>
      </c>
      <c r="AG13" s="31">
        <f t="shared" si="16"/>
        <v>0.05</v>
      </c>
      <c r="AH13" s="144">
        <f t="shared" si="1"/>
        <v>0</v>
      </c>
    </row>
    <row r="14" spans="2:34" x14ac:dyDescent="0.15">
      <c r="B14" s="20" t="s">
        <v>369</v>
      </c>
      <c r="C14" s="139"/>
      <c r="D14" s="139"/>
      <c r="E14" s="145"/>
      <c r="F14" s="145"/>
      <c r="G14" s="200">
        <f t="shared" ref="G14:H14" si="27">H14</f>
        <v>0</v>
      </c>
      <c r="H14" s="200">
        <f t="shared" si="27"/>
        <v>0</v>
      </c>
      <c r="I14" s="200">
        <f>J14</f>
        <v>0</v>
      </c>
      <c r="J14" s="200">
        <v>0</v>
      </c>
      <c r="K14" s="200">
        <v>0</v>
      </c>
      <c r="L14" s="200">
        <v>0</v>
      </c>
      <c r="M14" s="200">
        <v>0</v>
      </c>
      <c r="N14" s="200">
        <v>0</v>
      </c>
      <c r="O14" s="200">
        <v>0</v>
      </c>
      <c r="P14" s="200">
        <v>0</v>
      </c>
      <c r="Q14" s="200">
        <v>0</v>
      </c>
      <c r="R14" s="200">
        <v>0</v>
      </c>
      <c r="S14" s="200">
        <v>0</v>
      </c>
      <c r="T14" s="118" t="e">
        <f t="shared" si="25"/>
        <v>#DIV/0!</v>
      </c>
      <c r="U14" s="31">
        <f t="shared" si="6"/>
        <v>0.12</v>
      </c>
      <c r="V14" s="151">
        <f t="shared" si="2"/>
        <v>0</v>
      </c>
      <c r="W14" s="151">
        <f t="shared" ref="W14" si="28">V14*(1+$U14)</f>
        <v>0</v>
      </c>
      <c r="X14" s="151">
        <f t="shared" ref="X14" si="29">W14*(1+$U14)</f>
        <v>0</v>
      </c>
      <c r="Y14" s="151">
        <f t="shared" ref="Y14" si="30">X14*(1+$U14)</f>
        <v>0</v>
      </c>
      <c r="Z14" s="151">
        <f t="shared" ref="Z14" si="31">Y14*(1+$U14)</f>
        <v>0</v>
      </c>
      <c r="AA14" s="151">
        <f t="shared" ref="AA14" si="32">Z14*(1+$U14)</f>
        <v>0</v>
      </c>
      <c r="AB14" s="151">
        <f t="shared" ref="AB14" si="33">AA14*(1+$U14)</f>
        <v>0</v>
      </c>
      <c r="AC14" s="151">
        <f t="shared" ref="AC14" si="34">AB14*(1+$U14)</f>
        <v>0</v>
      </c>
      <c r="AD14" s="151">
        <f t="shared" ref="AD14" si="35">AC14*(1+$U14)</f>
        <v>0</v>
      </c>
      <c r="AE14" s="151">
        <f t="shared" ref="AE14" si="36">AD14*(1+$U14)</f>
        <v>0</v>
      </c>
      <c r="AF14" s="136" t="e">
        <f t="shared" ref="AF14" si="37">((AE14/I14)^(1/($AE$3-$J$1) ))-1</f>
        <v>#DIV/0!</v>
      </c>
      <c r="AG14" s="31">
        <f t="shared" si="16"/>
        <v>0.05</v>
      </c>
      <c r="AH14" s="144">
        <f t="shared" ref="AH14" si="38">(AE14*(1+AG14))/($C$1-AG14)</f>
        <v>0</v>
      </c>
    </row>
    <row r="15" spans="2:34" x14ac:dyDescent="0.15">
      <c r="B15" s="20" t="s">
        <v>19</v>
      </c>
      <c r="C15" s="139"/>
      <c r="D15" s="139"/>
      <c r="E15" s="145"/>
      <c r="F15" s="145"/>
      <c r="G15" s="200">
        <f t="shared" ref="G15:H15" si="39">H15</f>
        <v>0</v>
      </c>
      <c r="H15" s="200">
        <f t="shared" si="39"/>
        <v>0</v>
      </c>
      <c r="I15" s="200">
        <f>J15</f>
        <v>0</v>
      </c>
      <c r="J15" s="200">
        <v>0</v>
      </c>
      <c r="K15" s="200">
        <v>0</v>
      </c>
      <c r="L15" s="200">
        <v>0</v>
      </c>
      <c r="M15" s="200">
        <v>0</v>
      </c>
      <c r="N15" s="200">
        <v>0</v>
      </c>
      <c r="O15" s="200">
        <v>0</v>
      </c>
      <c r="P15" s="200">
        <v>0</v>
      </c>
      <c r="Q15" s="200">
        <v>0</v>
      </c>
      <c r="R15" s="200">
        <v>0</v>
      </c>
      <c r="S15" s="200">
        <v>0</v>
      </c>
      <c r="T15" s="118" t="e">
        <f t="shared" si="25"/>
        <v>#DIV/0!</v>
      </c>
      <c r="U15" s="31">
        <f t="shared" si="6"/>
        <v>0.12</v>
      </c>
      <c r="V15" s="151">
        <f t="shared" si="2"/>
        <v>0</v>
      </c>
      <c r="W15" s="151">
        <f t="shared" ref="W15:AE15" si="40">V15*(1+$U15)</f>
        <v>0</v>
      </c>
      <c r="X15" s="151">
        <f t="shared" si="40"/>
        <v>0</v>
      </c>
      <c r="Y15" s="151">
        <f t="shared" si="40"/>
        <v>0</v>
      </c>
      <c r="Z15" s="151">
        <f t="shared" si="40"/>
        <v>0</v>
      </c>
      <c r="AA15" s="151">
        <f t="shared" si="40"/>
        <v>0</v>
      </c>
      <c r="AB15" s="151">
        <f t="shared" si="40"/>
        <v>0</v>
      </c>
      <c r="AC15" s="151">
        <f t="shared" si="40"/>
        <v>0</v>
      </c>
      <c r="AD15" s="151">
        <f t="shared" si="40"/>
        <v>0</v>
      </c>
      <c r="AE15" s="151">
        <f t="shared" si="40"/>
        <v>0</v>
      </c>
      <c r="AF15" s="136" t="e">
        <f t="shared" si="18"/>
        <v>#DIV/0!</v>
      </c>
      <c r="AG15" s="31">
        <f t="shared" si="16"/>
        <v>0.05</v>
      </c>
      <c r="AH15" s="144">
        <f t="shared" si="1"/>
        <v>0</v>
      </c>
    </row>
    <row r="16" spans="2:34" x14ac:dyDescent="0.15">
      <c r="B16" s="20" t="s">
        <v>23</v>
      </c>
      <c r="C16" s="139"/>
      <c r="D16" s="139"/>
      <c r="E16" s="145"/>
      <c r="F16" s="145"/>
      <c r="G16" s="200">
        <f t="shared" ref="G16:H16" si="41">H16</f>
        <v>0</v>
      </c>
      <c r="H16" s="200">
        <f t="shared" si="41"/>
        <v>0</v>
      </c>
      <c r="I16" s="200">
        <f>J16</f>
        <v>0</v>
      </c>
      <c r="J16" s="200">
        <v>0</v>
      </c>
      <c r="K16" s="200">
        <v>0</v>
      </c>
      <c r="L16" s="200">
        <v>0</v>
      </c>
      <c r="M16" s="200">
        <v>0</v>
      </c>
      <c r="N16" s="200">
        <v>0</v>
      </c>
      <c r="O16" s="200">
        <v>0</v>
      </c>
      <c r="P16" s="200">
        <v>0</v>
      </c>
      <c r="Q16" s="200">
        <v>0</v>
      </c>
      <c r="R16" s="200">
        <v>0</v>
      </c>
      <c r="S16" s="200">
        <v>0</v>
      </c>
      <c r="T16" s="118" t="e">
        <f t="shared" si="25"/>
        <v>#DIV/0!</v>
      </c>
      <c r="U16" s="31">
        <f t="shared" si="6"/>
        <v>0.12</v>
      </c>
      <c r="V16" s="151">
        <f t="shared" si="2"/>
        <v>0</v>
      </c>
      <c r="W16" s="151">
        <f t="shared" ref="W16:AE16" si="42">V16*(1+$U16)</f>
        <v>0</v>
      </c>
      <c r="X16" s="151">
        <f t="shared" si="42"/>
        <v>0</v>
      </c>
      <c r="Y16" s="151">
        <f t="shared" si="42"/>
        <v>0</v>
      </c>
      <c r="Z16" s="151">
        <f t="shared" si="42"/>
        <v>0</v>
      </c>
      <c r="AA16" s="151">
        <f t="shared" si="42"/>
        <v>0</v>
      </c>
      <c r="AB16" s="151">
        <f t="shared" si="42"/>
        <v>0</v>
      </c>
      <c r="AC16" s="151">
        <f t="shared" si="42"/>
        <v>0</v>
      </c>
      <c r="AD16" s="151">
        <f t="shared" si="42"/>
        <v>0</v>
      </c>
      <c r="AE16" s="151">
        <f t="shared" si="42"/>
        <v>0</v>
      </c>
      <c r="AF16" s="136" t="e">
        <f t="shared" si="18"/>
        <v>#DIV/0!</v>
      </c>
      <c r="AG16" s="31">
        <f t="shared" si="16"/>
        <v>0.05</v>
      </c>
      <c r="AH16" s="144">
        <f t="shared" si="1"/>
        <v>0</v>
      </c>
    </row>
    <row r="17" spans="2:34" x14ac:dyDescent="0.15">
      <c r="B17" s="20"/>
      <c r="C17" s="139"/>
      <c r="D17" s="139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28"/>
      <c r="U17" s="20"/>
      <c r="V17" s="151">
        <f t="shared" si="2"/>
        <v>0</v>
      </c>
      <c r="W17" s="151"/>
      <c r="X17" s="151"/>
      <c r="Y17" s="151"/>
      <c r="Z17" s="151"/>
      <c r="AA17" s="151"/>
      <c r="AB17" s="151"/>
      <c r="AC17" s="151"/>
      <c r="AD17" s="151"/>
      <c r="AE17" s="151"/>
      <c r="AF17" s="137"/>
      <c r="AG17" s="135"/>
      <c r="AH17" s="151"/>
    </row>
    <row r="18" spans="2:34" x14ac:dyDescent="0.15">
      <c r="B18" s="20" t="s">
        <v>277</v>
      </c>
      <c r="C18" s="139"/>
      <c r="D18" s="139"/>
      <c r="E18" s="145"/>
      <c r="F18" s="145"/>
      <c r="G18" s="202">
        <v>141</v>
      </c>
      <c r="H18" s="202">
        <v>159</v>
      </c>
      <c r="I18" s="202">
        <v>179</v>
      </c>
      <c r="J18" s="202">
        <v>239</v>
      </c>
      <c r="K18" s="202">
        <v>336</v>
      </c>
      <c r="L18" s="202">
        <v>341</v>
      </c>
      <c r="M18" s="202">
        <v>614</v>
      </c>
      <c r="N18" s="202">
        <v>600</v>
      </c>
      <c r="O18" s="202">
        <v>615</v>
      </c>
      <c r="P18" s="202">
        <v>620</v>
      </c>
      <c r="Q18" s="203">
        <v>1264</v>
      </c>
      <c r="R18" s="200">
        <v>1369</v>
      </c>
      <c r="S18" s="200">
        <v>1761</v>
      </c>
      <c r="T18" s="118">
        <f t="shared" si="25"/>
        <v>0.23417957161456604</v>
      </c>
      <c r="U18" s="31">
        <f t="shared" si="6"/>
        <v>0.12</v>
      </c>
      <c r="V18" s="151">
        <f t="shared" si="2"/>
        <v>1972.3200000000002</v>
      </c>
      <c r="W18" s="151">
        <f t="shared" ref="W18:W34" si="43">V18*(1+$U18)</f>
        <v>2208.9984000000004</v>
      </c>
      <c r="X18" s="151">
        <f t="shared" ref="X18:X34" si="44">W18*(1+$U18)</f>
        <v>2474.0782080000008</v>
      </c>
      <c r="Y18" s="151">
        <f t="shared" ref="Y18:Y34" si="45">X18*(1+$U18)</f>
        <v>2770.9675929600012</v>
      </c>
      <c r="Z18" s="151">
        <f t="shared" ref="Z18:Z51" si="46">Y18*(1+$U18)</f>
        <v>3103.4837041152018</v>
      </c>
      <c r="AA18" s="151">
        <f t="shared" ref="AA18:AA51" si="47">Z18*(1+$U18)</f>
        <v>3475.9017486090265</v>
      </c>
      <c r="AB18" s="151">
        <f t="shared" ref="AB18:AB51" si="48">AA18*(1+$U18)</f>
        <v>3893.00995844211</v>
      </c>
      <c r="AC18" s="151">
        <f t="shared" ref="AC18:AC51" si="49">AB18*(1+$U18)</f>
        <v>4360.1711534551632</v>
      </c>
      <c r="AD18" s="151">
        <f t="shared" ref="AD18:AD51" si="50">AC18*(1+$U18)</f>
        <v>4883.3916918697832</v>
      </c>
      <c r="AE18" s="151">
        <f t="shared" ref="AE18:AE51" si="51">AD18*(1+$U18)</f>
        <v>5469.3986948941574</v>
      </c>
      <c r="AF18" s="136">
        <f t="shared" si="18"/>
        <v>0.17684267150344346</v>
      </c>
      <c r="AG18" s="31">
        <f t="shared" si="16"/>
        <v>0.05</v>
      </c>
      <c r="AH18" s="144">
        <f t="shared" si="1"/>
        <v>33781.580174346273</v>
      </c>
    </row>
    <row r="19" spans="2:34" x14ac:dyDescent="0.15">
      <c r="B19" s="20"/>
      <c r="C19" s="139"/>
      <c r="D19" s="139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28"/>
      <c r="U19" s="20"/>
      <c r="V19" s="151">
        <f t="shared" si="2"/>
        <v>0</v>
      </c>
      <c r="W19" s="151"/>
      <c r="X19" s="151"/>
      <c r="Y19" s="151"/>
      <c r="Z19" s="151"/>
      <c r="AA19" s="151"/>
      <c r="AB19" s="151"/>
      <c r="AC19" s="151"/>
      <c r="AD19" s="151"/>
      <c r="AE19" s="151"/>
      <c r="AF19" s="137"/>
      <c r="AG19" s="135"/>
      <c r="AH19" s="151"/>
    </row>
    <row r="20" spans="2:34" x14ac:dyDescent="0.15">
      <c r="B20" s="20" t="s">
        <v>283</v>
      </c>
      <c r="C20" s="139"/>
      <c r="D20" s="139"/>
      <c r="E20" s="145"/>
      <c r="F20" s="145"/>
      <c r="G20" s="145">
        <v>81</v>
      </c>
      <c r="H20" s="145">
        <v>-263</v>
      </c>
      <c r="I20" s="145">
        <v>118</v>
      </c>
      <c r="J20" s="145">
        <v>384</v>
      </c>
      <c r="K20" s="145">
        <v>-655</v>
      </c>
      <c r="L20" s="145">
        <v>-833</v>
      </c>
      <c r="M20" s="145">
        <v>1572</v>
      </c>
      <c r="N20" s="145">
        <v>-1474</v>
      </c>
      <c r="O20" s="145">
        <v>-1338</v>
      </c>
      <c r="P20" s="145">
        <v>-1405</v>
      </c>
      <c r="Q20" s="145">
        <v>9001</v>
      </c>
      <c r="R20" s="145">
        <v>5121</v>
      </c>
      <c r="S20" s="145">
        <v>6133</v>
      </c>
      <c r="T20" s="118">
        <f t="shared" si="25"/>
        <v>0.4341645902013771</v>
      </c>
      <c r="U20" s="31">
        <f t="shared" si="6"/>
        <v>0.12</v>
      </c>
      <c r="V20" s="151">
        <f t="shared" si="2"/>
        <v>6868.9600000000009</v>
      </c>
      <c r="W20" s="151">
        <f t="shared" ref="W20:W22" si="52">V20*(1+$U20)</f>
        <v>7693.2352000000019</v>
      </c>
      <c r="X20" s="151">
        <f t="shared" ref="X20:X22" si="53">W20*(1+$U20)</f>
        <v>8616.4234240000023</v>
      </c>
      <c r="Y20" s="151">
        <f t="shared" ref="Y20:Y22" si="54">X20*(1+$U20)</f>
        <v>9650.3942348800028</v>
      </c>
      <c r="Z20" s="151">
        <f t="shared" ref="Z20:Z22" si="55">Y20*(1+$U20)</f>
        <v>10808.441543065604</v>
      </c>
      <c r="AA20" s="151">
        <f t="shared" ref="AA20:AA22" si="56">Z20*(1+$U20)</f>
        <v>12105.454528233478</v>
      </c>
      <c r="AB20" s="151">
        <f t="shared" ref="AB20:AB22" si="57">AA20*(1+$U20)</f>
        <v>13558.109071621497</v>
      </c>
      <c r="AC20" s="151">
        <f t="shared" ref="AC20:AC22" si="58">AB20*(1+$U20)</f>
        <v>15185.082160216078</v>
      </c>
      <c r="AD20" s="151">
        <f t="shared" ref="AD20:AD22" si="59">AC20*(1+$U20)</f>
        <v>17007.292019442008</v>
      </c>
      <c r="AE20" s="151">
        <f t="shared" ref="AE20:AE22" si="60">AD20*(1+$U20)</f>
        <v>19048.16706177505</v>
      </c>
      <c r="AF20" s="136">
        <f t="shared" ref="AF20:AF22" si="61">((AE20/I20)^(1/($AE$3-$J$1) ))-1</f>
        <v>0.27391803190456998</v>
      </c>
      <c r="AG20" s="31">
        <f t="shared" si="16"/>
        <v>0.05</v>
      </c>
      <c r="AH20" s="144">
        <f t="shared" si="1"/>
        <v>117650.44361684592</v>
      </c>
    </row>
    <row r="21" spans="2:34" x14ac:dyDescent="0.15">
      <c r="B21" s="20" t="s">
        <v>284</v>
      </c>
      <c r="C21" s="139"/>
      <c r="D21" s="139"/>
      <c r="E21" s="145"/>
      <c r="F21" s="145"/>
      <c r="G21" s="145">
        <v>29</v>
      </c>
      <c r="H21" s="145">
        <v>-55</v>
      </c>
      <c r="I21" s="145">
        <v>56</v>
      </c>
      <c r="J21" s="145">
        <v>-125</v>
      </c>
      <c r="K21" s="145">
        <v>-180</v>
      </c>
      <c r="L21" s="145">
        <v>-95</v>
      </c>
      <c r="M21" s="145">
        <v>-275</v>
      </c>
      <c r="N21" s="145">
        <v>-79</v>
      </c>
      <c r="O21" s="145">
        <v>-131</v>
      </c>
      <c r="P21" s="145">
        <v>-1478</v>
      </c>
      <c r="Q21" s="145">
        <v>-549</v>
      </c>
      <c r="R21" s="145">
        <v>-4112</v>
      </c>
      <c r="S21" s="145">
        <v>-6363</v>
      </c>
      <c r="T21" s="118" t="e">
        <f t="shared" si="25"/>
        <v>#NUM!</v>
      </c>
      <c r="U21" s="31">
        <f t="shared" si="6"/>
        <v>0.12</v>
      </c>
      <c r="V21" s="151">
        <f t="shared" si="2"/>
        <v>-7126.56</v>
      </c>
      <c r="W21" s="151">
        <f t="shared" si="52"/>
        <v>-7981.7472000000016</v>
      </c>
      <c r="X21" s="151">
        <f t="shared" si="53"/>
        <v>-8939.556864000002</v>
      </c>
      <c r="Y21" s="151">
        <f t="shared" si="54"/>
        <v>-10012.303687680003</v>
      </c>
      <c r="Z21" s="151">
        <f t="shared" si="55"/>
        <v>-11213.780130201605</v>
      </c>
      <c r="AA21" s="151">
        <f t="shared" si="56"/>
        <v>-12559.4337458258</v>
      </c>
      <c r="AB21" s="151">
        <f t="shared" si="57"/>
        <v>-14066.565795324897</v>
      </c>
      <c r="AC21" s="151">
        <f t="shared" si="58"/>
        <v>-15754.553690763887</v>
      </c>
      <c r="AD21" s="151">
        <f t="shared" si="59"/>
        <v>-17645.100133655556</v>
      </c>
      <c r="AE21" s="151">
        <f t="shared" si="60"/>
        <v>-19762.512149694227</v>
      </c>
      <c r="AF21" s="136">
        <f t="shared" si="61"/>
        <v>-2.3222600085463574</v>
      </c>
      <c r="AG21" s="31">
        <f t="shared" si="16"/>
        <v>0.05</v>
      </c>
      <c r="AH21" s="144">
        <f t="shared" si="1"/>
        <v>-122062.57504222906</v>
      </c>
    </row>
    <row r="22" spans="2:34" x14ac:dyDescent="0.15">
      <c r="B22" s="20" t="s">
        <v>285</v>
      </c>
      <c r="C22" s="139"/>
      <c r="D22" s="139"/>
      <c r="E22" s="145"/>
      <c r="F22" s="145"/>
      <c r="G22" s="145">
        <v>-12</v>
      </c>
      <c r="H22" s="145">
        <v>62</v>
      </c>
      <c r="I22" s="145">
        <v>-12</v>
      </c>
      <c r="J22" s="145">
        <v>437</v>
      </c>
      <c r="K22" s="145">
        <v>1689</v>
      </c>
      <c r="L22" s="145">
        <v>-36</v>
      </c>
      <c r="M22" s="145">
        <v>-137</v>
      </c>
      <c r="N22" s="145">
        <v>1724</v>
      </c>
      <c r="O22" s="145">
        <v>1633</v>
      </c>
      <c r="P22" s="145">
        <v>3938</v>
      </c>
      <c r="Q22" s="145">
        <v>-6161</v>
      </c>
      <c r="R22" s="145">
        <v>-727</v>
      </c>
      <c r="S22" s="145">
        <v>-1463</v>
      </c>
      <c r="T22" s="118">
        <f t="shared" si="25"/>
        <v>0.4922397003311394</v>
      </c>
      <c r="U22" s="31">
        <f t="shared" si="6"/>
        <v>0.12</v>
      </c>
      <c r="V22" s="151">
        <f t="shared" si="2"/>
        <v>-1638.5600000000002</v>
      </c>
      <c r="W22" s="151">
        <f t="shared" si="52"/>
        <v>-1835.1872000000003</v>
      </c>
      <c r="X22" s="151">
        <f t="shared" si="53"/>
        <v>-2055.4096640000007</v>
      </c>
      <c r="Y22" s="151">
        <f t="shared" si="54"/>
        <v>-2302.0588236800008</v>
      </c>
      <c r="Z22" s="151">
        <f t="shared" si="55"/>
        <v>-2578.3058825216012</v>
      </c>
      <c r="AA22" s="151">
        <f t="shared" si="56"/>
        <v>-2887.7025884241934</v>
      </c>
      <c r="AB22" s="151">
        <f t="shared" si="57"/>
        <v>-3234.2268990350972</v>
      </c>
      <c r="AC22" s="151">
        <f t="shared" si="58"/>
        <v>-3622.3341269193093</v>
      </c>
      <c r="AD22" s="151">
        <f t="shared" si="59"/>
        <v>-4057.0142221496267</v>
      </c>
      <c r="AE22" s="151">
        <f t="shared" si="60"/>
        <v>-4543.8559288075821</v>
      </c>
      <c r="AF22" s="136">
        <f t="shared" si="61"/>
        <v>0.32670232675250044</v>
      </c>
      <c r="AG22" s="31">
        <f t="shared" si="16"/>
        <v>0.05</v>
      </c>
      <c r="AH22" s="144">
        <f t="shared" si="1"/>
        <v>-28064.992501458601</v>
      </c>
    </row>
    <row r="23" spans="2:34" x14ac:dyDescent="0.15">
      <c r="B23" s="20" t="s">
        <v>294</v>
      </c>
      <c r="C23" s="139"/>
      <c r="D23" s="139"/>
      <c r="E23" s="145"/>
      <c r="F23" s="145"/>
      <c r="G23" s="145">
        <v>69</v>
      </c>
      <c r="H23" s="145">
        <v>419</v>
      </c>
      <c r="I23" s="145">
        <v>581</v>
      </c>
      <c r="J23" s="145">
        <v>1278</v>
      </c>
      <c r="K23" s="145">
        <v>2131</v>
      </c>
      <c r="L23" s="145">
        <v>1140</v>
      </c>
      <c r="M23" s="145">
        <v>2300</v>
      </c>
      <c r="N23" s="145">
        <v>2470</v>
      </c>
      <c r="O23" s="145">
        <v>2634</v>
      </c>
      <c r="P23" s="145">
        <v>3689</v>
      </c>
      <c r="Q23" s="145">
        <v>5979</v>
      </c>
      <c r="R23" s="145">
        <v>6262</v>
      </c>
      <c r="S23" s="145">
        <v>10879</v>
      </c>
      <c r="T23" s="118">
        <f t="shared" si="25"/>
        <v>0.52456164827487228</v>
      </c>
      <c r="U23" s="31">
        <f t="shared" si="6"/>
        <v>0.12</v>
      </c>
      <c r="V23" s="151">
        <f t="shared" si="2"/>
        <v>12184.480000000001</v>
      </c>
      <c r="W23" s="151">
        <f t="shared" ref="W23" si="62">V23*(1+$U23)</f>
        <v>13646.617600000003</v>
      </c>
      <c r="X23" s="151">
        <f t="shared" ref="X23" si="63">W23*(1+$U23)</f>
        <v>15284.211712000006</v>
      </c>
      <c r="Y23" s="151">
        <f t="shared" ref="Y23" si="64">X23*(1+$U23)</f>
        <v>17118.317117440009</v>
      </c>
      <c r="Z23" s="151">
        <f t="shared" ref="Z23" si="65">Y23*(1+$U23)</f>
        <v>19172.51517153281</v>
      </c>
      <c r="AA23" s="151">
        <f t="shared" ref="AA23" si="66">Z23*(1+$U23)</f>
        <v>21473.216992116748</v>
      </c>
      <c r="AB23" s="151">
        <f t="shared" ref="AB23" si="67">AA23*(1+$U23)</f>
        <v>24050.00303117076</v>
      </c>
      <c r="AC23" s="151">
        <f t="shared" ref="AC23" si="68">AB23*(1+$U23)</f>
        <v>26936.003394911255</v>
      </c>
      <c r="AD23" s="151">
        <f t="shared" ref="AD23" si="69">AC23*(1+$U23)</f>
        <v>30168.323802300609</v>
      </c>
      <c r="AE23" s="151">
        <f t="shared" ref="AE23" si="70">AD23*(1+$U23)</f>
        <v>33788.522658576687</v>
      </c>
      <c r="AF23" s="136">
        <f t="shared" ref="AF23" si="71">((AE23/I23)^(1/($AE$3-$J$1) ))-1</f>
        <v>0.21346775777750504</v>
      </c>
      <c r="AG23" s="31">
        <f t="shared" si="16"/>
        <v>0.05</v>
      </c>
      <c r="AH23" s="144">
        <f t="shared" si="1"/>
        <v>208693.81642062074</v>
      </c>
    </row>
    <row r="24" spans="2:34" x14ac:dyDescent="0.15">
      <c r="B24" s="20"/>
      <c r="C24" s="139"/>
      <c r="D24" s="139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28"/>
      <c r="U24" s="20"/>
      <c r="V24" s="151">
        <f t="shared" si="2"/>
        <v>0</v>
      </c>
      <c r="W24" s="151"/>
      <c r="X24" s="151"/>
      <c r="Y24" s="151"/>
      <c r="Z24" s="151"/>
      <c r="AA24" s="151"/>
      <c r="AB24" s="151"/>
      <c r="AC24" s="151"/>
      <c r="AD24" s="151"/>
      <c r="AE24" s="151"/>
      <c r="AF24" s="119"/>
      <c r="AG24" s="135"/>
      <c r="AH24" s="151"/>
    </row>
    <row r="25" spans="2:34" x14ac:dyDescent="0.15">
      <c r="B25" s="20" t="s">
        <v>89</v>
      </c>
      <c r="C25" s="139"/>
      <c r="D25" s="139"/>
      <c r="E25" s="145"/>
      <c r="F25" s="145"/>
      <c r="G25" s="206">
        <v>1164</v>
      </c>
      <c r="H25" s="206">
        <v>1752</v>
      </c>
      <c r="I25" s="206">
        <v>2984</v>
      </c>
      <c r="J25" s="141">
        <v>4335</v>
      </c>
      <c r="K25" s="141">
        <v>7677</v>
      </c>
      <c r="L25" s="207">
        <v>7181</v>
      </c>
      <c r="M25" s="207">
        <v>9315</v>
      </c>
      <c r="N25" s="207">
        <v>11062</v>
      </c>
      <c r="O25" s="207">
        <v>13013</v>
      </c>
      <c r="P25" s="207">
        <v>15950</v>
      </c>
      <c r="Q25" s="208">
        <v>17268</v>
      </c>
      <c r="R25" s="200">
        <v>21471</v>
      </c>
      <c r="S25" s="200">
        <v>28032</v>
      </c>
      <c r="T25" s="118">
        <f t="shared" si="25"/>
        <v>0.3035922164090008</v>
      </c>
      <c r="U25" s="31">
        <f t="shared" si="6"/>
        <v>0.12</v>
      </c>
      <c r="V25" s="151">
        <f t="shared" si="2"/>
        <v>31395.840000000004</v>
      </c>
      <c r="W25" s="151">
        <f t="shared" si="43"/>
        <v>35163.340800000005</v>
      </c>
      <c r="X25" s="151">
        <f t="shared" si="44"/>
        <v>39382.941696000009</v>
      </c>
      <c r="Y25" s="151">
        <f t="shared" si="45"/>
        <v>44108.894699520017</v>
      </c>
      <c r="Z25" s="151">
        <f t="shared" si="46"/>
        <v>49401.962063462423</v>
      </c>
      <c r="AA25" s="151">
        <f t="shared" si="47"/>
        <v>55330.197511077917</v>
      </c>
      <c r="AB25" s="151">
        <f t="shared" si="48"/>
        <v>61969.821212407274</v>
      </c>
      <c r="AC25" s="151">
        <f t="shared" si="49"/>
        <v>69406.19975789616</v>
      </c>
      <c r="AD25" s="151">
        <f t="shared" si="50"/>
        <v>77734.943728843704</v>
      </c>
      <c r="AE25" s="151">
        <f t="shared" si="51"/>
        <v>87063.136976304959</v>
      </c>
      <c r="AF25" s="136">
        <f t="shared" si="18"/>
        <v>0.17425818181434072</v>
      </c>
      <c r="AG25" s="31">
        <f t="shared" si="16"/>
        <v>0.05</v>
      </c>
      <c r="AH25" s="144">
        <f t="shared" si="1"/>
        <v>537742.90485364839</v>
      </c>
    </row>
    <row r="26" spans="2:34" s="123" customFormat="1" x14ac:dyDescent="0.15">
      <c r="B26" s="23"/>
      <c r="C26" s="146"/>
      <c r="D26" s="146"/>
      <c r="E26" s="147"/>
      <c r="F26" s="147"/>
      <c r="G26" s="148" t="e">
        <f t="shared" ref="G26" si="72">(G25-F25)/F25</f>
        <v>#DIV/0!</v>
      </c>
      <c r="H26" s="148">
        <f t="shared" ref="H26" si="73">(H25-G25)/G25</f>
        <v>0.50515463917525771</v>
      </c>
      <c r="I26" s="148">
        <f t="shared" ref="I26:S26" si="74">(I25-H25)/H25</f>
        <v>0.70319634703196343</v>
      </c>
      <c r="J26" s="148">
        <f t="shared" si="74"/>
        <v>0.45274798927613941</v>
      </c>
      <c r="K26" s="148">
        <f t="shared" si="74"/>
        <v>0.77093425605536336</v>
      </c>
      <c r="L26" s="148">
        <f t="shared" si="74"/>
        <v>-6.4608571056402234E-2</v>
      </c>
      <c r="M26" s="148">
        <f t="shared" si="74"/>
        <v>0.29717309566912686</v>
      </c>
      <c r="N26" s="148">
        <f t="shared" si="74"/>
        <v>0.18754696725711217</v>
      </c>
      <c r="O26" s="148">
        <f t="shared" si="74"/>
        <v>0.17636955342614355</v>
      </c>
      <c r="P26" s="148">
        <f t="shared" si="74"/>
        <v>0.22569737954353339</v>
      </c>
      <c r="Q26" s="148">
        <f t="shared" si="74"/>
        <v>8.2633228840125389E-2</v>
      </c>
      <c r="R26" s="148">
        <f t="shared" si="74"/>
        <v>0.24339819318971509</v>
      </c>
      <c r="S26" s="148">
        <f t="shared" si="74"/>
        <v>0.30557496157607938</v>
      </c>
      <c r="T26" s="128"/>
      <c r="U26" s="20"/>
      <c r="V26" s="151"/>
      <c r="W26" s="152"/>
      <c r="X26" s="152"/>
      <c r="Y26" s="152"/>
      <c r="Z26" s="152"/>
      <c r="AA26" s="152"/>
      <c r="AB26" s="152"/>
      <c r="AC26" s="152"/>
      <c r="AD26" s="152"/>
      <c r="AE26" s="152"/>
      <c r="AF26" s="119"/>
      <c r="AG26" s="135"/>
      <c r="AH26" s="151"/>
    </row>
    <row r="27" spans="2:34" x14ac:dyDescent="0.15">
      <c r="B27" s="20" t="s">
        <v>261</v>
      </c>
      <c r="C27" s="139"/>
      <c r="D27" s="139"/>
      <c r="E27" s="145"/>
      <c r="F27" s="145"/>
      <c r="G27" s="206">
        <v>964</v>
      </c>
      <c r="H27" s="206">
        <v>1558</v>
      </c>
      <c r="I27" s="206">
        <v>2455</v>
      </c>
      <c r="J27" s="141">
        <v>3810</v>
      </c>
      <c r="K27" s="141">
        <v>6718</v>
      </c>
      <c r="L27" s="207">
        <v>6528</v>
      </c>
      <c r="M27" s="207">
        <v>7987</v>
      </c>
      <c r="N27" s="207">
        <v>9493</v>
      </c>
      <c r="O27" s="207">
        <v>11163</v>
      </c>
      <c r="P27" s="207">
        <v>13746</v>
      </c>
      <c r="Q27" s="208">
        <v>14756</v>
      </c>
      <c r="R27" s="200">
        <v>18406</v>
      </c>
      <c r="S27" s="200">
        <v>24601</v>
      </c>
      <c r="T27" s="118">
        <f t="shared" si="25"/>
        <v>0.30990452962375992</v>
      </c>
      <c r="U27" s="31">
        <f t="shared" si="6"/>
        <v>0.12</v>
      </c>
      <c r="V27" s="151">
        <f t="shared" si="2"/>
        <v>27553.120000000003</v>
      </c>
      <c r="W27" s="151">
        <f t="shared" si="43"/>
        <v>30859.494400000007</v>
      </c>
      <c r="X27" s="151">
        <f t="shared" si="44"/>
        <v>34562.633728000008</v>
      </c>
      <c r="Y27" s="151">
        <f t="shared" si="45"/>
        <v>38710.149775360012</v>
      </c>
      <c r="Z27" s="151">
        <f t="shared" si="46"/>
        <v>43355.367748403216</v>
      </c>
      <c r="AA27" s="151">
        <f t="shared" si="47"/>
        <v>48558.011878211604</v>
      </c>
      <c r="AB27" s="151">
        <f t="shared" si="48"/>
        <v>54384.973303596998</v>
      </c>
      <c r="AC27" s="151">
        <f t="shared" si="49"/>
        <v>60911.170100028641</v>
      </c>
      <c r="AD27" s="151">
        <f t="shared" si="50"/>
        <v>68220.51051203208</v>
      </c>
      <c r="AE27" s="151">
        <f t="shared" si="51"/>
        <v>76406.971773475932</v>
      </c>
      <c r="AF27" s="136">
        <f t="shared" si="18"/>
        <v>0.17787476812140302</v>
      </c>
      <c r="AG27" s="31">
        <f t="shared" si="16"/>
        <v>0.05</v>
      </c>
      <c r="AH27" s="144">
        <f t="shared" si="1"/>
        <v>471925.41389499849</v>
      </c>
    </row>
    <row r="28" spans="2:34" s="123" customFormat="1" x14ac:dyDescent="0.15">
      <c r="B28" s="23"/>
      <c r="C28" s="146"/>
      <c r="D28" s="146"/>
      <c r="E28" s="147"/>
      <c r="F28" s="147"/>
      <c r="G28" s="148" t="e">
        <f t="shared" ref="G28" si="75">(G27-F27)/F27</f>
        <v>#DIV/0!</v>
      </c>
      <c r="H28" s="148">
        <f t="shared" ref="H28" si="76">(H27-G27)/G27</f>
        <v>0.61618257261410792</v>
      </c>
      <c r="I28" s="148">
        <f t="shared" ref="I28:S28" si="77">(I27-H27)/H27</f>
        <v>0.57573812580231065</v>
      </c>
      <c r="J28" s="148">
        <f t="shared" si="77"/>
        <v>0.55193482688391038</v>
      </c>
      <c r="K28" s="148">
        <f t="shared" si="77"/>
        <v>0.76325459317585298</v>
      </c>
      <c r="L28" s="148">
        <f t="shared" si="77"/>
        <v>-2.8282226853230129E-2</v>
      </c>
      <c r="M28" s="148">
        <f t="shared" si="77"/>
        <v>0.22349877450980393</v>
      </c>
      <c r="N28" s="148">
        <f t="shared" si="77"/>
        <v>0.18855640415675473</v>
      </c>
      <c r="O28" s="148">
        <f t="shared" si="77"/>
        <v>0.17591909828294533</v>
      </c>
      <c r="P28" s="148">
        <f t="shared" si="77"/>
        <v>0.23138941144853534</v>
      </c>
      <c r="Q28" s="148">
        <f t="shared" si="77"/>
        <v>7.347592026771424E-2</v>
      </c>
      <c r="R28" s="148">
        <f t="shared" si="77"/>
        <v>0.24735700731905666</v>
      </c>
      <c r="S28" s="148">
        <f t="shared" si="77"/>
        <v>0.33657502988156035</v>
      </c>
      <c r="T28" s="128"/>
      <c r="U28" s="20"/>
      <c r="V28" s="151"/>
      <c r="W28" s="152"/>
      <c r="X28" s="152"/>
      <c r="Y28" s="152"/>
      <c r="Z28" s="152"/>
      <c r="AA28" s="152"/>
      <c r="AB28" s="152"/>
      <c r="AC28" s="152"/>
      <c r="AD28" s="152"/>
      <c r="AE28" s="152"/>
      <c r="AF28" s="119"/>
      <c r="AG28" s="135"/>
      <c r="AH28" s="151"/>
    </row>
    <row r="29" spans="2:34" s="123" customFormat="1" x14ac:dyDescent="0.15">
      <c r="B29" s="20" t="s">
        <v>320</v>
      </c>
      <c r="C29" s="146"/>
      <c r="D29" s="146"/>
      <c r="E29" s="147"/>
      <c r="F29" s="147"/>
      <c r="G29" s="145">
        <v>252</v>
      </c>
      <c r="H29" s="145">
        <v>328</v>
      </c>
      <c r="I29" s="145">
        <v>519</v>
      </c>
      <c r="J29" s="145">
        <v>977</v>
      </c>
      <c r="K29" s="145">
        <v>1816</v>
      </c>
      <c r="L29" s="145">
        <v>1992</v>
      </c>
      <c r="M29" s="145">
        <v>1772</v>
      </c>
      <c r="N29" s="145">
        <v>2668</v>
      </c>
      <c r="O29" s="145">
        <v>4541</v>
      </c>
      <c r="P29" s="145">
        <v>6024</v>
      </c>
      <c r="Q29" s="205">
        <v>6312</v>
      </c>
      <c r="R29" s="200">
        <v>6966</v>
      </c>
      <c r="S29" s="200">
        <v>11122</v>
      </c>
      <c r="T29" s="118">
        <f t="shared" si="25"/>
        <v>0.37108757693855687</v>
      </c>
      <c r="U29" s="31">
        <f t="shared" si="6"/>
        <v>0.12</v>
      </c>
      <c r="V29" s="151">
        <f t="shared" si="2"/>
        <v>12456.640000000001</v>
      </c>
      <c r="W29" s="151">
        <f t="shared" ref="W29" si="78">V29*(1+$U29)</f>
        <v>13951.436800000003</v>
      </c>
      <c r="X29" s="151">
        <f t="shared" ref="X29" si="79">W29*(1+$U29)</f>
        <v>15625.609216000004</v>
      </c>
      <c r="Y29" s="151">
        <f t="shared" ref="Y29" si="80">X29*(1+$U29)</f>
        <v>17500.682321920005</v>
      </c>
      <c r="Z29" s="151">
        <f t="shared" ref="Z29" si="81">Y29*(1+$U29)</f>
        <v>19600.764200550406</v>
      </c>
      <c r="AA29" s="151">
        <f t="shared" ref="AA29" si="82">Z29*(1+$U29)</f>
        <v>21952.855904616456</v>
      </c>
      <c r="AB29" s="151">
        <f t="shared" ref="AB29" si="83">AA29*(1+$U29)</f>
        <v>24587.198613170433</v>
      </c>
      <c r="AC29" s="151">
        <f t="shared" ref="AC29" si="84">AB29*(1+$U29)</f>
        <v>27537.662446750888</v>
      </c>
      <c r="AD29" s="151">
        <f t="shared" ref="AD29" si="85">AC29*(1+$U29)</f>
        <v>30842.181940360999</v>
      </c>
      <c r="AE29" s="151">
        <f t="shared" ref="AE29" si="86">AD29*(1+$U29)</f>
        <v>34543.243773204325</v>
      </c>
      <c r="AF29" s="136">
        <f t="shared" ref="AF29" si="87">((AE29/I29)^(1/($AE$3-$J$1) ))-1</f>
        <v>0.22129012545480786</v>
      </c>
      <c r="AG29" s="31">
        <f t="shared" si="16"/>
        <v>0.05</v>
      </c>
      <c r="AH29" s="144">
        <f t="shared" ref="AH29" si="88">(AE29*(1+AG29))/($C$1-AG29)</f>
        <v>213355.3291874385</v>
      </c>
    </row>
    <row r="30" spans="2:34" s="123" customFormat="1" x14ac:dyDescent="0.15">
      <c r="B30" s="23"/>
      <c r="C30" s="146"/>
      <c r="D30" s="146"/>
      <c r="E30" s="147"/>
      <c r="F30" s="147"/>
      <c r="G30" s="148" t="e">
        <f t="shared" ref="G30" si="89">(G29-F29)/F29</f>
        <v>#DIV/0!</v>
      </c>
      <c r="H30" s="148">
        <f t="shared" ref="H30" si="90">(H29-G29)/G29</f>
        <v>0.30158730158730157</v>
      </c>
      <c r="I30" s="148">
        <f t="shared" ref="I30:S30" si="91">(I29-H29)/H29</f>
        <v>0.58231707317073167</v>
      </c>
      <c r="J30" s="148">
        <f t="shared" si="91"/>
        <v>0.88246628131021199</v>
      </c>
      <c r="K30" s="148">
        <f t="shared" si="91"/>
        <v>0.85875127942681684</v>
      </c>
      <c r="L30" s="148">
        <f t="shared" si="91"/>
        <v>9.6916299559471369E-2</v>
      </c>
      <c r="M30" s="148">
        <f t="shared" si="91"/>
        <v>-0.11044176706827309</v>
      </c>
      <c r="N30" s="148">
        <f t="shared" si="91"/>
        <v>0.50564334085778784</v>
      </c>
      <c r="O30" s="148">
        <f t="shared" si="91"/>
        <v>0.70202398800599697</v>
      </c>
      <c r="P30" s="148">
        <f t="shared" si="91"/>
        <v>0.32658004844747851</v>
      </c>
      <c r="Q30" s="148">
        <f t="shared" si="91"/>
        <v>4.7808764940239043E-2</v>
      </c>
      <c r="R30" s="148">
        <f t="shared" si="91"/>
        <v>0.10361216730038023</v>
      </c>
      <c r="S30" s="148">
        <f t="shared" si="91"/>
        <v>0.59661211599196096</v>
      </c>
      <c r="T30" s="128"/>
      <c r="U30" s="20"/>
      <c r="V30" s="151"/>
      <c r="W30" s="152"/>
      <c r="X30" s="152"/>
      <c r="Y30" s="152"/>
      <c r="Z30" s="152"/>
      <c r="AA30" s="152"/>
      <c r="AB30" s="152"/>
      <c r="AC30" s="152"/>
      <c r="AD30" s="152"/>
      <c r="AE30" s="152"/>
      <c r="AF30" s="159"/>
      <c r="AG30" s="135"/>
      <c r="AH30" s="151"/>
    </row>
    <row r="31" spans="2:34" x14ac:dyDescent="0.15">
      <c r="B31" s="20" t="s">
        <v>328</v>
      </c>
      <c r="C31" s="139"/>
      <c r="D31" s="139"/>
      <c r="E31" s="145"/>
      <c r="F31" s="145"/>
      <c r="G31" s="200">
        <f t="shared" ref="G31:H31" si="92">H31</f>
        <v>0</v>
      </c>
      <c r="H31" s="200">
        <f t="shared" si="92"/>
        <v>0</v>
      </c>
      <c r="I31" s="200">
        <f>J31</f>
        <v>0</v>
      </c>
      <c r="J31" s="200">
        <v>0</v>
      </c>
      <c r="K31" s="200">
        <v>0</v>
      </c>
      <c r="L31" s="200">
        <v>0</v>
      </c>
      <c r="M31" s="200">
        <v>0</v>
      </c>
      <c r="N31" s="200">
        <v>0</v>
      </c>
      <c r="O31" s="200">
        <v>0</v>
      </c>
      <c r="P31" s="200">
        <v>0</v>
      </c>
      <c r="Q31" s="200">
        <v>0</v>
      </c>
      <c r="R31" s="200">
        <v>0</v>
      </c>
      <c r="S31" s="200">
        <v>0</v>
      </c>
      <c r="T31" s="118" t="e">
        <f t="shared" si="25"/>
        <v>#DIV/0!</v>
      </c>
      <c r="U31" s="31">
        <f t="shared" si="6"/>
        <v>0.12</v>
      </c>
      <c r="V31" s="151">
        <f t="shared" si="2"/>
        <v>0</v>
      </c>
      <c r="W31" s="151">
        <f>V31*(1+$U31)</f>
        <v>0</v>
      </c>
      <c r="X31" s="151">
        <f t="shared" ref="X31:AE32" si="93">W31*(1+$U31)</f>
        <v>0</v>
      </c>
      <c r="Y31" s="151">
        <f t="shared" si="93"/>
        <v>0</v>
      </c>
      <c r="Z31" s="151">
        <f t="shared" si="93"/>
        <v>0</v>
      </c>
      <c r="AA31" s="151">
        <f t="shared" si="93"/>
        <v>0</v>
      </c>
      <c r="AB31" s="151">
        <f t="shared" si="93"/>
        <v>0</v>
      </c>
      <c r="AC31" s="151">
        <f t="shared" si="93"/>
        <v>0</v>
      </c>
      <c r="AD31" s="151">
        <f t="shared" si="93"/>
        <v>0</v>
      </c>
      <c r="AE31" s="151">
        <f t="shared" si="93"/>
        <v>0</v>
      </c>
      <c r="AF31" s="136" t="e">
        <f t="shared" ref="AF31" si="94">((AE31/I31)^(1/($AE$3-$J$1) ))-1</f>
        <v>#DIV/0!</v>
      </c>
      <c r="AG31" s="31">
        <f t="shared" si="16"/>
        <v>0.05</v>
      </c>
      <c r="AH31" s="144">
        <f t="shared" si="1"/>
        <v>0</v>
      </c>
    </row>
    <row r="32" spans="2:34" x14ac:dyDescent="0.15">
      <c r="B32" s="20" t="s">
        <v>327</v>
      </c>
      <c r="C32" s="139"/>
      <c r="D32" s="139"/>
      <c r="E32" s="145"/>
      <c r="F32" s="145"/>
      <c r="G32" s="200">
        <f t="shared" ref="G32:H32" si="95">H32</f>
        <v>0</v>
      </c>
      <c r="H32" s="200">
        <f t="shared" si="95"/>
        <v>0</v>
      </c>
      <c r="I32" s="200">
        <f>J32</f>
        <v>0</v>
      </c>
      <c r="J32" s="200">
        <v>0</v>
      </c>
      <c r="K32" s="200">
        <v>0</v>
      </c>
      <c r="L32" s="200">
        <v>0</v>
      </c>
      <c r="M32" s="200">
        <v>0</v>
      </c>
      <c r="N32" s="200">
        <v>0</v>
      </c>
      <c r="O32" s="200">
        <v>0</v>
      </c>
      <c r="P32" s="200">
        <v>0</v>
      </c>
      <c r="Q32" s="200">
        <v>0</v>
      </c>
      <c r="R32" s="200">
        <v>0</v>
      </c>
      <c r="S32" s="200">
        <v>0</v>
      </c>
      <c r="T32" s="118" t="e">
        <f t="shared" si="25"/>
        <v>#DIV/0!</v>
      </c>
      <c r="U32" s="31">
        <f t="shared" si="6"/>
        <v>0.12</v>
      </c>
      <c r="V32" s="151">
        <f t="shared" si="2"/>
        <v>0</v>
      </c>
      <c r="W32" s="151">
        <f>V32*(1+$U32)</f>
        <v>0</v>
      </c>
      <c r="X32" s="151">
        <f t="shared" si="93"/>
        <v>0</v>
      </c>
      <c r="Y32" s="151">
        <f t="shared" si="93"/>
        <v>0</v>
      </c>
      <c r="Z32" s="151">
        <f t="shared" si="93"/>
        <v>0</v>
      </c>
      <c r="AA32" s="151">
        <f t="shared" si="93"/>
        <v>0</v>
      </c>
      <c r="AB32" s="151">
        <f t="shared" si="93"/>
        <v>0</v>
      </c>
      <c r="AC32" s="151">
        <f t="shared" si="93"/>
        <v>0</v>
      </c>
      <c r="AD32" s="151">
        <f t="shared" si="93"/>
        <v>0</v>
      </c>
      <c r="AE32" s="151">
        <f t="shared" si="93"/>
        <v>0</v>
      </c>
      <c r="AF32" s="136" t="e">
        <f t="shared" ref="AF32" si="96">((AE32/I32)^(1/($AE$3-$J$1) ))-1</f>
        <v>#DIV/0!</v>
      </c>
      <c r="AG32" s="31">
        <f t="shared" si="16"/>
        <v>0.05</v>
      </c>
      <c r="AH32" s="144">
        <f t="shared" si="1"/>
        <v>0</v>
      </c>
    </row>
    <row r="33" spans="1:34" x14ac:dyDescent="0.15">
      <c r="B33" s="20" t="s">
        <v>486</v>
      </c>
      <c r="C33" s="139"/>
      <c r="D33" s="139"/>
      <c r="E33" s="145"/>
      <c r="F33" s="145"/>
      <c r="G33" s="200">
        <f t="shared" ref="G33:H33" si="97">H33</f>
        <v>0</v>
      </c>
      <c r="H33" s="200">
        <f t="shared" si="97"/>
        <v>0</v>
      </c>
      <c r="I33" s="200">
        <f>J33</f>
        <v>0</v>
      </c>
      <c r="J33" s="200">
        <v>0</v>
      </c>
      <c r="K33" s="200">
        <v>0</v>
      </c>
      <c r="L33" s="200">
        <v>0</v>
      </c>
      <c r="M33" s="200">
        <v>0</v>
      </c>
      <c r="N33" s="200">
        <v>0</v>
      </c>
      <c r="O33" s="200">
        <v>0</v>
      </c>
      <c r="P33" s="200">
        <v>0</v>
      </c>
      <c r="Q33" s="200">
        <v>0</v>
      </c>
      <c r="R33" s="200">
        <v>0</v>
      </c>
      <c r="S33" s="200">
        <v>0</v>
      </c>
      <c r="T33" s="118" t="e">
        <f t="shared" si="25"/>
        <v>#DIV/0!</v>
      </c>
      <c r="U33" s="31">
        <f t="shared" si="6"/>
        <v>0.12</v>
      </c>
      <c r="V33" s="151">
        <f t="shared" si="2"/>
        <v>0</v>
      </c>
      <c r="W33" s="151">
        <f t="shared" si="43"/>
        <v>0</v>
      </c>
      <c r="X33" s="151">
        <f t="shared" si="44"/>
        <v>0</v>
      </c>
      <c r="Y33" s="151">
        <f t="shared" si="45"/>
        <v>0</v>
      </c>
      <c r="Z33" s="151">
        <f t="shared" si="46"/>
        <v>0</v>
      </c>
      <c r="AA33" s="151">
        <f t="shared" si="47"/>
        <v>0</v>
      </c>
      <c r="AB33" s="151">
        <f t="shared" si="48"/>
        <v>0</v>
      </c>
      <c r="AC33" s="151">
        <f t="shared" si="49"/>
        <v>0</v>
      </c>
      <c r="AD33" s="151">
        <f t="shared" si="50"/>
        <v>0</v>
      </c>
      <c r="AE33" s="151">
        <f t="shared" si="51"/>
        <v>0</v>
      </c>
      <c r="AF33" s="136" t="e">
        <f t="shared" si="18"/>
        <v>#DIV/0!</v>
      </c>
      <c r="AG33" s="31">
        <f t="shared" si="16"/>
        <v>0.05</v>
      </c>
      <c r="AH33" s="144">
        <f t="shared" si="1"/>
        <v>0</v>
      </c>
    </row>
    <row r="34" spans="1:34" x14ac:dyDescent="0.15">
      <c r="B34" s="20" t="s">
        <v>307</v>
      </c>
      <c r="C34" s="139"/>
      <c r="D34" s="139"/>
      <c r="E34" s="145"/>
      <c r="F34" s="145"/>
      <c r="G34" s="200">
        <f t="shared" ref="G34:H34" si="98">H34</f>
        <v>0</v>
      </c>
      <c r="H34" s="200">
        <f t="shared" si="98"/>
        <v>0</v>
      </c>
      <c r="I34" s="200">
        <f>J34</f>
        <v>0</v>
      </c>
      <c r="J34" s="200">
        <v>0</v>
      </c>
      <c r="K34" s="200">
        <v>0</v>
      </c>
      <c r="L34" s="200">
        <v>0</v>
      </c>
      <c r="M34" s="200">
        <v>0</v>
      </c>
      <c r="N34" s="200">
        <v>0</v>
      </c>
      <c r="O34" s="200">
        <v>0</v>
      </c>
      <c r="P34" s="200">
        <v>0</v>
      </c>
      <c r="Q34" s="200">
        <v>0</v>
      </c>
      <c r="R34" s="200">
        <v>0</v>
      </c>
      <c r="S34" s="200">
        <v>0</v>
      </c>
      <c r="T34" s="118" t="e">
        <f t="shared" si="25"/>
        <v>#DIV/0!</v>
      </c>
      <c r="U34" s="31">
        <f t="shared" si="6"/>
        <v>0.12</v>
      </c>
      <c r="V34" s="151">
        <f t="shared" si="2"/>
        <v>0</v>
      </c>
      <c r="W34" s="151">
        <f t="shared" si="43"/>
        <v>0</v>
      </c>
      <c r="X34" s="151">
        <f t="shared" si="44"/>
        <v>0</v>
      </c>
      <c r="Y34" s="151">
        <f t="shared" si="45"/>
        <v>0</v>
      </c>
      <c r="Z34" s="151">
        <f t="shared" si="46"/>
        <v>0</v>
      </c>
      <c r="AA34" s="151">
        <f t="shared" si="47"/>
        <v>0</v>
      </c>
      <c r="AB34" s="151">
        <f t="shared" si="48"/>
        <v>0</v>
      </c>
      <c r="AC34" s="151">
        <f t="shared" si="49"/>
        <v>0</v>
      </c>
      <c r="AD34" s="151">
        <f t="shared" si="50"/>
        <v>0</v>
      </c>
      <c r="AE34" s="151">
        <f t="shared" si="51"/>
        <v>0</v>
      </c>
      <c r="AF34" s="136" t="e">
        <f t="shared" si="18"/>
        <v>#DIV/0!</v>
      </c>
      <c r="AG34" s="31">
        <f t="shared" si="16"/>
        <v>0.05</v>
      </c>
      <c r="AH34" s="144">
        <f t="shared" si="1"/>
        <v>0</v>
      </c>
    </row>
    <row r="35" spans="1:34" x14ac:dyDescent="0.15">
      <c r="B35" s="20"/>
      <c r="C35" s="139"/>
      <c r="D35" s="139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37"/>
      <c r="AG35" s="135"/>
      <c r="AH35" s="151"/>
    </row>
    <row r="36" spans="1:34" x14ac:dyDescent="0.15">
      <c r="A36" s="213" t="s">
        <v>479</v>
      </c>
      <c r="B36" s="197" t="s">
        <v>473</v>
      </c>
      <c r="C36" s="139"/>
      <c r="D36" s="139"/>
      <c r="E36" s="145"/>
      <c r="F36" s="145"/>
      <c r="G36" s="145">
        <v>4220</v>
      </c>
      <c r="H36" s="145">
        <v>3832</v>
      </c>
      <c r="I36" s="145">
        <v>5616</v>
      </c>
      <c r="J36" s="145">
        <v>9660</v>
      </c>
      <c r="K36" s="145">
        <v>13691</v>
      </c>
      <c r="L36" s="145">
        <v>13822</v>
      </c>
      <c r="M36" s="145">
        <v>21819</v>
      </c>
      <c r="N36" s="145">
        <v>27312</v>
      </c>
      <c r="O36" s="145">
        <v>36460</v>
      </c>
      <c r="P36" s="145">
        <v>49389</v>
      </c>
      <c r="Q36" s="205">
        <v>56292</v>
      </c>
      <c r="R36" s="200">
        <v>72843</v>
      </c>
      <c r="S36" s="200">
        <v>135948</v>
      </c>
      <c r="T36" s="118">
        <f t="shared" si="25"/>
        <v>0.335585506880133</v>
      </c>
      <c r="U36" s="31">
        <f t="shared" si="6"/>
        <v>0.12</v>
      </c>
      <c r="V36" s="151">
        <f t="shared" ref="V36:V49" si="99">S36*(1+$U36)</f>
        <v>152261.76000000001</v>
      </c>
      <c r="W36" s="151">
        <f t="shared" ref="W36:W49" si="100">V36*(1+$U36)</f>
        <v>170533.17120000004</v>
      </c>
      <c r="X36" s="151">
        <f t="shared" ref="X36:X49" si="101">W36*(1+$U36)</f>
        <v>190997.15174400006</v>
      </c>
      <c r="Y36" s="151">
        <f t="shared" ref="Y36:Y49" si="102">X36*(1+$U36)</f>
        <v>213916.80995328008</v>
      </c>
      <c r="Z36" s="151">
        <f t="shared" ref="Z36:Z49" si="103">Y36*(1+$U36)</f>
        <v>239586.82714767373</v>
      </c>
      <c r="AA36" s="151">
        <f t="shared" ref="AA36:AA49" si="104">Z36*(1+$U36)</f>
        <v>268337.24640539457</v>
      </c>
      <c r="AB36" s="151">
        <f t="shared" ref="AB36:AB49" si="105">AA36*(1+$U36)</f>
        <v>300537.71597404196</v>
      </c>
      <c r="AC36" s="151">
        <f t="shared" ref="AC36:AC49" si="106">AB36*(1+$U36)</f>
        <v>336602.24189092702</v>
      </c>
      <c r="AD36" s="151">
        <f t="shared" ref="AD36:AD49" si="107">AC36*(1+$U36)</f>
        <v>376994.51091783831</v>
      </c>
      <c r="AE36" s="151">
        <f t="shared" ref="AE36:AE49" si="108">AD36*(1+$U36)</f>
        <v>422233.85222797893</v>
      </c>
      <c r="AF36" s="136">
        <f t="shared" ref="AF36:AF49" si="109">((AE36/I36)^(1/($AE$3-$J$1) ))-1</f>
        <v>0.22839865137844551</v>
      </c>
      <c r="AG36" s="31">
        <f t="shared" si="16"/>
        <v>0.05</v>
      </c>
      <c r="AH36" s="144">
        <f t="shared" ref="AH36:AH49" si="110">(AE36*(1+AG36))/($C$1-AG36)</f>
        <v>2607914.9696433996</v>
      </c>
    </row>
    <row r="37" spans="1:34" x14ac:dyDescent="0.15">
      <c r="A37" s="213"/>
      <c r="B37" s="197"/>
      <c r="C37" s="139"/>
      <c r="D37" s="139"/>
      <c r="E37" s="145"/>
      <c r="F37" s="145"/>
      <c r="G37" s="148" t="e">
        <f t="shared" ref="G37" si="111">(G36-F36)/F36</f>
        <v>#DIV/0!</v>
      </c>
      <c r="H37" s="148">
        <f t="shared" ref="H37" si="112">(H36-G36)/G36</f>
        <v>-9.1943127962085314E-2</v>
      </c>
      <c r="I37" s="148">
        <f t="shared" ref="I37" si="113">(I36-H36)/H36</f>
        <v>0.46555323590814196</v>
      </c>
      <c r="J37" s="148">
        <f t="shared" ref="J37" si="114">(J36-I36)/I36</f>
        <v>0.72008547008547008</v>
      </c>
      <c r="K37" s="148">
        <f t="shared" ref="K37" si="115">(K36-J36)/J36</f>
        <v>0.417287784679089</v>
      </c>
      <c r="L37" s="148">
        <f t="shared" ref="L37" si="116">(L36-K36)/K36</f>
        <v>9.568329559564678E-3</v>
      </c>
      <c r="M37" s="148">
        <f t="shared" ref="M37" si="117">(M36-L36)/L36</f>
        <v>0.57857039502242802</v>
      </c>
      <c r="N37" s="148">
        <f t="shared" ref="N37" si="118">(N36-M36)/M36</f>
        <v>0.25175305926027775</v>
      </c>
      <c r="O37" s="148">
        <f t="shared" ref="O37" si="119">(O36-N36)/N36</f>
        <v>0.3349443468072642</v>
      </c>
      <c r="P37" s="148">
        <f t="shared" ref="P37" si="120">(P36-O36)/O36</f>
        <v>0.35460778935820075</v>
      </c>
      <c r="Q37" s="148">
        <f t="shared" ref="Q37" si="121">(Q36-P36)/P36</f>
        <v>0.13976796452651399</v>
      </c>
      <c r="R37" s="148">
        <f t="shared" ref="R37" si="122">(R36-Q36)/Q36</f>
        <v>0.29402046471967597</v>
      </c>
      <c r="S37" s="148">
        <f t="shared" ref="S37" si="123">(S36-R36)/R36</f>
        <v>0.86631522589679177</v>
      </c>
      <c r="T37" s="128"/>
      <c r="U37" s="20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44"/>
    </row>
    <row r="38" spans="1:34" x14ac:dyDescent="0.15">
      <c r="A38" s="213"/>
      <c r="B38" s="197" t="s">
        <v>474</v>
      </c>
      <c r="C38" s="139"/>
      <c r="D38" s="139"/>
      <c r="E38" s="145"/>
      <c r="F38" s="145"/>
      <c r="G38" s="145">
        <v>3103</v>
      </c>
      <c r="H38" s="145">
        <v>3723</v>
      </c>
      <c r="I38" s="145">
        <v>5797</v>
      </c>
      <c r="J38" s="145">
        <v>9985</v>
      </c>
      <c r="K38" s="145">
        <v>12772</v>
      </c>
      <c r="L38" s="145">
        <v>11059</v>
      </c>
      <c r="M38" s="145">
        <v>13885</v>
      </c>
      <c r="N38" s="145">
        <v>22073</v>
      </c>
      <c r="O38" s="145">
        <v>29194</v>
      </c>
      <c r="P38" s="145">
        <v>36171</v>
      </c>
      <c r="Q38" s="205">
        <v>29007</v>
      </c>
      <c r="R38" s="200">
        <v>31414</v>
      </c>
      <c r="S38" s="200">
        <v>43729</v>
      </c>
      <c r="T38" s="118">
        <f t="shared" si="25"/>
        <v>0.24666274372456098</v>
      </c>
      <c r="U38" s="31">
        <f t="shared" si="6"/>
        <v>0.12</v>
      </c>
      <c r="V38" s="151">
        <f t="shared" si="99"/>
        <v>48976.480000000003</v>
      </c>
      <c r="W38" s="151">
        <f t="shared" si="100"/>
        <v>54853.657600000006</v>
      </c>
      <c r="X38" s="151">
        <f t="shared" si="101"/>
        <v>61436.096512000011</v>
      </c>
      <c r="Y38" s="151">
        <f t="shared" si="102"/>
        <v>68808.428093440016</v>
      </c>
      <c r="Z38" s="151">
        <f t="shared" si="103"/>
        <v>77065.439464652824</v>
      </c>
      <c r="AA38" s="151">
        <f t="shared" si="104"/>
        <v>86313.292200411175</v>
      </c>
      <c r="AB38" s="151">
        <f t="shared" si="105"/>
        <v>96670.887264460529</v>
      </c>
      <c r="AC38" s="151">
        <f t="shared" si="106"/>
        <v>108271.39373619581</v>
      </c>
      <c r="AD38" s="151">
        <f t="shared" si="107"/>
        <v>121263.96098453931</v>
      </c>
      <c r="AE38" s="151">
        <f t="shared" si="108"/>
        <v>135815.63630268406</v>
      </c>
      <c r="AF38" s="136">
        <f t="shared" si="109"/>
        <v>0.1620532308486542</v>
      </c>
      <c r="AG38" s="31">
        <f t="shared" si="16"/>
        <v>0.05</v>
      </c>
      <c r="AH38" s="144">
        <f t="shared" si="110"/>
        <v>838861.28304598993</v>
      </c>
    </row>
    <row r="39" spans="1:34" x14ac:dyDescent="0.15">
      <c r="A39" s="213"/>
      <c r="B39" s="197"/>
      <c r="C39" s="139"/>
      <c r="D39" s="139"/>
      <c r="E39" s="145"/>
      <c r="F39" s="145"/>
      <c r="G39" s="148" t="e">
        <f t="shared" ref="G39" si="124">(G38-F38)/F38</f>
        <v>#DIV/0!</v>
      </c>
      <c r="H39" s="148">
        <f t="shared" ref="H39" si="125">(H38-G38)/G38</f>
        <v>0.19980663873670643</v>
      </c>
      <c r="I39" s="148">
        <f t="shared" ref="I39" si="126">(I38-H38)/H38</f>
        <v>0.55707762557077622</v>
      </c>
      <c r="J39" s="148">
        <f t="shared" ref="J39" si="127">(J38-I38)/I38</f>
        <v>0.72244264274624803</v>
      </c>
      <c r="K39" s="148">
        <f t="shared" ref="K39" si="128">(K38-J38)/J38</f>
        <v>0.27911867801702556</v>
      </c>
      <c r="L39" s="148">
        <f t="shared" ref="L39" si="129">(L38-K38)/K38</f>
        <v>-0.13412151581584716</v>
      </c>
      <c r="M39" s="148">
        <f t="shared" ref="M39" si="130">(M38-L38)/L38</f>
        <v>0.25553847544985986</v>
      </c>
      <c r="N39" s="148">
        <f t="shared" ref="N39" si="131">(N38-M38)/M38</f>
        <v>0.5897011163125675</v>
      </c>
      <c r="O39" s="148">
        <f t="shared" ref="O39" si="132">(O38-N38)/N38</f>
        <v>0.32261133511529921</v>
      </c>
      <c r="P39" s="148">
        <f t="shared" ref="P39" si="133">(P38-O38)/O38</f>
        <v>0.23898746317736522</v>
      </c>
      <c r="Q39" s="148">
        <f t="shared" ref="Q39" si="134">(Q38-P38)/P38</f>
        <v>-0.19805921871112217</v>
      </c>
      <c r="R39" s="148">
        <f t="shared" ref="R39" si="135">(R38-Q38)/Q38</f>
        <v>8.2979970351983998E-2</v>
      </c>
      <c r="S39" s="148">
        <f t="shared" ref="S39" si="136">(S38-R38)/R38</f>
        <v>0.39202266505379768</v>
      </c>
      <c r="T39" s="128"/>
      <c r="U39" s="20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44"/>
    </row>
    <row r="40" spans="1:34" x14ac:dyDescent="0.15">
      <c r="A40" s="213"/>
      <c r="B40" s="197" t="s">
        <v>478</v>
      </c>
      <c r="C40" s="139"/>
      <c r="D40" s="139"/>
      <c r="E40" s="145"/>
      <c r="F40" s="145"/>
      <c r="G40" s="145">
        <v>927</v>
      </c>
      <c r="H40" s="145">
        <v>1565</v>
      </c>
      <c r="I40" s="145">
        <v>2983</v>
      </c>
      <c r="J40" s="145">
        <v>4011</v>
      </c>
      <c r="K40" s="145">
        <v>5357</v>
      </c>
      <c r="L40" s="145">
        <v>4935</v>
      </c>
      <c r="M40" s="145">
        <v>4992</v>
      </c>
      <c r="N40" s="145">
        <v>5042</v>
      </c>
      <c r="O40" s="145">
        <v>4586</v>
      </c>
      <c r="P40" s="145">
        <v>4720</v>
      </c>
      <c r="Q40" s="205">
        <v>5929</v>
      </c>
      <c r="R40" s="200">
        <v>8032</v>
      </c>
      <c r="S40" s="200">
        <v>12217</v>
      </c>
      <c r="T40" s="118">
        <f t="shared" si="25"/>
        <v>0.2397203683861171</v>
      </c>
      <c r="U40" s="31">
        <f t="shared" si="6"/>
        <v>0.12</v>
      </c>
      <c r="V40" s="151">
        <f t="shared" si="99"/>
        <v>13683.04</v>
      </c>
      <c r="W40" s="151">
        <f t="shared" si="100"/>
        <v>15325.004800000002</v>
      </c>
      <c r="X40" s="151">
        <f t="shared" si="101"/>
        <v>17164.005376000005</v>
      </c>
      <c r="Y40" s="151">
        <f t="shared" si="102"/>
        <v>19223.686021120007</v>
      </c>
      <c r="Z40" s="151">
        <f t="shared" si="103"/>
        <v>21530.528343654409</v>
      </c>
      <c r="AA40" s="151">
        <f t="shared" si="104"/>
        <v>24114.191744892942</v>
      </c>
      <c r="AB40" s="151">
        <f t="shared" si="105"/>
        <v>27007.894754280096</v>
      </c>
      <c r="AC40" s="151">
        <f t="shared" si="106"/>
        <v>30248.842124793711</v>
      </c>
      <c r="AD40" s="151">
        <f t="shared" si="107"/>
        <v>33878.703179768963</v>
      </c>
      <c r="AE40" s="151">
        <f t="shared" si="108"/>
        <v>37944.14756134124</v>
      </c>
      <c r="AF40" s="136">
        <f t="shared" si="109"/>
        <v>0.128742390704214</v>
      </c>
      <c r="AG40" s="31">
        <f t="shared" si="16"/>
        <v>0.05</v>
      </c>
      <c r="AH40" s="144">
        <f t="shared" si="110"/>
        <v>234360.91140828416</v>
      </c>
    </row>
    <row r="41" spans="1:34" x14ac:dyDescent="0.15">
      <c r="A41" s="213"/>
      <c r="B41" s="197" t="s">
        <v>475</v>
      </c>
      <c r="C41" s="139"/>
      <c r="D41" s="139"/>
      <c r="E41" s="145"/>
      <c r="F41" s="145"/>
      <c r="G41" s="145">
        <v>127</v>
      </c>
      <c r="H41" s="145">
        <v>239</v>
      </c>
      <c r="I41" s="145">
        <v>449</v>
      </c>
      <c r="J41" s="145">
        <v>791</v>
      </c>
      <c r="K41" s="145">
        <v>1764</v>
      </c>
      <c r="L41" s="145">
        <v>1007</v>
      </c>
      <c r="M41" s="145">
        <v>2094</v>
      </c>
      <c r="N41" s="145">
        <v>2114</v>
      </c>
      <c r="O41" s="145">
        <v>2030</v>
      </c>
      <c r="P41" s="145">
        <v>2220</v>
      </c>
      <c r="Q41" s="205">
        <v>2960</v>
      </c>
      <c r="R41" s="200">
        <v>3945</v>
      </c>
      <c r="S41" s="200">
        <v>6924</v>
      </c>
      <c r="T41" s="118">
        <f t="shared" si="25"/>
        <v>0.39544517442956395</v>
      </c>
      <c r="U41" s="31">
        <f t="shared" si="6"/>
        <v>0.12</v>
      </c>
      <c r="V41" s="151">
        <f t="shared" si="99"/>
        <v>7754.880000000001</v>
      </c>
      <c r="W41" s="151">
        <f t="shared" si="100"/>
        <v>8685.4656000000014</v>
      </c>
      <c r="X41" s="151">
        <f t="shared" si="101"/>
        <v>9727.7214720000029</v>
      </c>
      <c r="Y41" s="151">
        <f t="shared" si="102"/>
        <v>10895.048048640005</v>
      </c>
      <c r="Z41" s="151">
        <f t="shared" si="103"/>
        <v>12202.453814476807</v>
      </c>
      <c r="AA41" s="151">
        <f t="shared" si="104"/>
        <v>13666.748272214025</v>
      </c>
      <c r="AB41" s="151">
        <f t="shared" si="105"/>
        <v>15306.758064879708</v>
      </c>
      <c r="AC41" s="151">
        <f t="shared" si="106"/>
        <v>17143.569032665277</v>
      </c>
      <c r="AD41" s="151">
        <f t="shared" si="107"/>
        <v>19200.797316585111</v>
      </c>
      <c r="AE41" s="151">
        <f t="shared" si="108"/>
        <v>21504.892994575326</v>
      </c>
      <c r="AF41" s="136">
        <f t="shared" si="109"/>
        <v>0.20230278891846543</v>
      </c>
      <c r="AG41" s="31">
        <f t="shared" si="16"/>
        <v>0.05</v>
      </c>
      <c r="AH41" s="144">
        <f t="shared" si="110"/>
        <v>132824.33908414174</v>
      </c>
    </row>
    <row r="42" spans="1:34" x14ac:dyDescent="0.15">
      <c r="A42" s="213"/>
      <c r="B42" s="197" t="s">
        <v>477</v>
      </c>
      <c r="C42" s="139"/>
      <c r="D42" s="139"/>
      <c r="E42" s="145"/>
      <c r="F42" s="145"/>
      <c r="G42" s="145">
        <v>777</v>
      </c>
      <c r="H42" s="145">
        <v>494</v>
      </c>
      <c r="I42" s="145">
        <v>617</v>
      </c>
      <c r="J42" s="145">
        <v>1350</v>
      </c>
      <c r="K42" s="145">
        <v>1605</v>
      </c>
      <c r="L42" s="145">
        <v>430</v>
      </c>
      <c r="M42" s="145">
        <v>412</v>
      </c>
      <c r="N42" s="145">
        <v>879</v>
      </c>
      <c r="O42" s="145">
        <v>1545</v>
      </c>
      <c r="P42" s="145">
        <v>2297</v>
      </c>
      <c r="Q42" s="205">
        <v>3682</v>
      </c>
      <c r="R42" s="200">
        <v>2958</v>
      </c>
      <c r="S42" s="200">
        <v>4674</v>
      </c>
      <c r="T42" s="118">
        <f t="shared" si="25"/>
        <v>0.16128542166320514</v>
      </c>
      <c r="U42" s="31">
        <f t="shared" si="6"/>
        <v>0.12</v>
      </c>
      <c r="V42" s="151">
        <f t="shared" si="99"/>
        <v>5234.88</v>
      </c>
      <c r="W42" s="151">
        <f t="shared" si="100"/>
        <v>5863.0656000000008</v>
      </c>
      <c r="X42" s="151">
        <f t="shared" si="101"/>
        <v>6566.6334720000013</v>
      </c>
      <c r="Y42" s="151">
        <f t="shared" si="102"/>
        <v>7354.6294886400019</v>
      </c>
      <c r="Z42" s="151">
        <f t="shared" si="103"/>
        <v>8237.1850272768024</v>
      </c>
      <c r="AA42" s="151">
        <f t="shared" si="104"/>
        <v>9225.6472305500192</v>
      </c>
      <c r="AB42" s="151">
        <f t="shared" si="105"/>
        <v>10332.724898216022</v>
      </c>
      <c r="AC42" s="151">
        <f t="shared" si="106"/>
        <v>11572.651886001946</v>
      </c>
      <c r="AD42" s="151">
        <f t="shared" si="107"/>
        <v>12961.37011232218</v>
      </c>
      <c r="AE42" s="151">
        <f t="shared" si="108"/>
        <v>14516.734525800843</v>
      </c>
      <c r="AF42" s="136">
        <f t="shared" si="109"/>
        <v>0.16228735481184642</v>
      </c>
      <c r="AG42" s="31">
        <f t="shared" si="16"/>
        <v>0.05</v>
      </c>
      <c r="AH42" s="144">
        <f t="shared" si="110"/>
        <v>89662.18383582875</v>
      </c>
    </row>
    <row r="43" spans="1:34" x14ac:dyDescent="0.15">
      <c r="A43" s="213"/>
      <c r="B43" s="197" t="s">
        <v>476</v>
      </c>
      <c r="C43" s="139"/>
      <c r="D43" s="139"/>
      <c r="E43" s="145"/>
      <c r="F43" s="145"/>
      <c r="G43" s="145">
        <v>4650</v>
      </c>
      <c r="H43" s="145">
        <v>7142</v>
      </c>
      <c r="I43" s="145">
        <v>10419</v>
      </c>
      <c r="J43" s="145">
        <v>15573</v>
      </c>
      <c r="K43" s="145">
        <v>21984</v>
      </c>
      <c r="L43" s="145">
        <v>22497</v>
      </c>
      <c r="M43" s="145">
        <v>29724</v>
      </c>
      <c r="N43" s="145">
        <v>41241</v>
      </c>
      <c r="O43" s="145">
        <v>53141</v>
      </c>
      <c r="P43" s="145">
        <v>66257</v>
      </c>
      <c r="Q43" s="205">
        <v>71692</v>
      </c>
      <c r="R43" s="200">
        <v>88632</v>
      </c>
      <c r="S43" s="200">
        <v>144792</v>
      </c>
      <c r="T43" s="118">
        <f t="shared" si="25"/>
        <v>0.33180600220025092</v>
      </c>
      <c r="U43" s="31">
        <f t="shared" si="6"/>
        <v>0.12</v>
      </c>
      <c r="V43" s="151">
        <f t="shared" si="99"/>
        <v>162167.04000000001</v>
      </c>
      <c r="W43" s="151">
        <f t="shared" si="100"/>
        <v>181627.08480000004</v>
      </c>
      <c r="X43" s="151">
        <f t="shared" si="101"/>
        <v>203422.33497600007</v>
      </c>
      <c r="Y43" s="151">
        <f t="shared" si="102"/>
        <v>227833.0151731201</v>
      </c>
      <c r="Z43" s="151">
        <f t="shared" si="103"/>
        <v>255172.97699389455</v>
      </c>
      <c r="AA43" s="151">
        <f t="shared" si="104"/>
        <v>285793.7342331619</v>
      </c>
      <c r="AB43" s="151">
        <f t="shared" si="105"/>
        <v>320088.98234114138</v>
      </c>
      <c r="AC43" s="151">
        <f t="shared" si="106"/>
        <v>358499.66022207838</v>
      </c>
      <c r="AD43" s="151">
        <f t="shared" si="107"/>
        <v>401519.61944872781</v>
      </c>
      <c r="AE43" s="151">
        <f t="shared" si="108"/>
        <v>449701.97378257517</v>
      </c>
      <c r="AF43" s="136">
        <f t="shared" si="109"/>
        <v>0.19635989376642615</v>
      </c>
      <c r="AG43" s="31">
        <f t="shared" si="16"/>
        <v>0.05</v>
      </c>
      <c r="AH43" s="144">
        <f t="shared" si="110"/>
        <v>2777571.014539435</v>
      </c>
    </row>
    <row r="44" spans="1:34" x14ac:dyDescent="0.15">
      <c r="A44" s="213"/>
      <c r="B44" s="197"/>
      <c r="C44" s="139"/>
      <c r="D44" s="139"/>
      <c r="E44" s="145"/>
      <c r="F44" s="145"/>
      <c r="G44" s="148" t="e">
        <f t="shared" ref="G44" si="137">(G43-F43)/F43</f>
        <v>#DIV/0!</v>
      </c>
      <c r="H44" s="148">
        <f t="shared" ref="H44" si="138">(H43-G43)/G43</f>
        <v>0.53591397849462363</v>
      </c>
      <c r="I44" s="148">
        <f t="shared" ref="I44" si="139">(I43-H43)/H43</f>
        <v>0.45883506020722487</v>
      </c>
      <c r="J44" s="148">
        <f t="shared" ref="J44" si="140">(J43-I43)/I43</f>
        <v>0.49467319320472214</v>
      </c>
      <c r="K44" s="148">
        <f t="shared" ref="K44" si="141">(K43-J43)/J43</f>
        <v>0.41167405124253514</v>
      </c>
      <c r="L44" s="148">
        <f t="shared" ref="L44" si="142">(L43-K43)/K43</f>
        <v>2.3335152838427946E-2</v>
      </c>
      <c r="M44" s="148">
        <f t="shared" ref="M44" si="143">(M43-L43)/L43</f>
        <v>0.32124283237765033</v>
      </c>
      <c r="N44" s="148">
        <f t="shared" ref="N44" si="144">(N43-M43)/M43</f>
        <v>0.38746467501009285</v>
      </c>
      <c r="O44" s="148">
        <f t="shared" ref="O44" si="145">(O43-N43)/N43</f>
        <v>0.28854780436943817</v>
      </c>
      <c r="P44" s="148">
        <f t="shared" ref="P44" si="146">(P43-O43)/O43</f>
        <v>0.24681507687096593</v>
      </c>
      <c r="Q44" s="148">
        <f t="shared" ref="Q44" si="147">(Q43-P43)/P43</f>
        <v>8.2029068626711138E-2</v>
      </c>
      <c r="R44" s="148">
        <f t="shared" ref="R44" si="148">(R43-Q43)/Q43</f>
        <v>0.23628856776209339</v>
      </c>
      <c r="S44" s="148">
        <f t="shared" ref="S44" si="149">(S43-R43)/R43</f>
        <v>0.6336311941510967</v>
      </c>
      <c r="T44" s="128"/>
      <c r="U44" s="20"/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  <c r="AF44" s="151"/>
      <c r="AG44" s="151"/>
      <c r="AH44" s="144"/>
    </row>
    <row r="45" spans="1:34" x14ac:dyDescent="0.15">
      <c r="A45" s="213"/>
      <c r="B45" s="197" t="s">
        <v>218</v>
      </c>
      <c r="C45" s="139"/>
      <c r="D45" s="139"/>
      <c r="E45" s="145"/>
      <c r="F45" s="145"/>
      <c r="G45" s="202">
        <v>3609</v>
      </c>
      <c r="H45" s="202">
        <v>2705</v>
      </c>
      <c r="I45" s="202">
        <v>5048</v>
      </c>
      <c r="J45" s="202">
        <v>9128</v>
      </c>
      <c r="K45" s="202">
        <v>12569</v>
      </c>
      <c r="L45" s="202">
        <v>13313</v>
      </c>
      <c r="M45" s="202">
        <v>19484</v>
      </c>
      <c r="N45" s="202">
        <v>26048</v>
      </c>
      <c r="O45" s="202">
        <v>31658</v>
      </c>
      <c r="P45" s="202">
        <v>40907</v>
      </c>
      <c r="Q45" s="203">
        <v>38791</v>
      </c>
      <c r="R45" s="200">
        <v>47350</v>
      </c>
      <c r="S45" s="200">
        <v>70273</v>
      </c>
      <c r="T45" s="118">
        <f t="shared" si="25"/>
        <v>0.28070803531901434</v>
      </c>
      <c r="U45" s="31">
        <f t="shared" si="6"/>
        <v>0.12</v>
      </c>
      <c r="V45" s="151">
        <f t="shared" si="99"/>
        <v>78705.760000000009</v>
      </c>
      <c r="W45" s="151">
        <f t="shared" si="100"/>
        <v>88150.451200000025</v>
      </c>
      <c r="X45" s="151">
        <f t="shared" si="101"/>
        <v>98728.505344000034</v>
      </c>
      <c r="Y45" s="151">
        <f t="shared" si="102"/>
        <v>110575.92598528005</v>
      </c>
      <c r="Z45" s="151">
        <f t="shared" si="103"/>
        <v>123845.03710351366</v>
      </c>
      <c r="AA45" s="151">
        <f t="shared" si="104"/>
        <v>138706.44155593531</v>
      </c>
      <c r="AB45" s="151">
        <f t="shared" si="105"/>
        <v>155351.21454264756</v>
      </c>
      <c r="AC45" s="151">
        <f t="shared" si="106"/>
        <v>173993.36028776527</v>
      </c>
      <c r="AD45" s="151">
        <f t="shared" si="107"/>
        <v>194872.56352229713</v>
      </c>
      <c r="AE45" s="151">
        <f t="shared" si="108"/>
        <v>218257.27114497282</v>
      </c>
      <c r="AF45" s="136">
        <f t="shared" si="109"/>
        <v>0.19645836189229415</v>
      </c>
      <c r="AG45" s="31">
        <f t="shared" si="16"/>
        <v>0.05</v>
      </c>
      <c r="AH45" s="144">
        <f t="shared" si="110"/>
        <v>1348059.6158954205</v>
      </c>
    </row>
    <row r="46" spans="1:34" x14ac:dyDescent="0.15">
      <c r="A46" s="198"/>
      <c r="B46" s="197"/>
      <c r="C46" s="139"/>
      <c r="D46" s="139"/>
      <c r="E46" s="145"/>
      <c r="F46" s="145"/>
      <c r="G46" s="148" t="e">
        <f t="shared" ref="G46" si="150">(G45-F45)/F45</f>
        <v>#DIV/0!</v>
      </c>
      <c r="H46" s="148">
        <f t="shared" ref="H46" si="151">(H45-G45)/G45</f>
        <v>-0.25048489886395126</v>
      </c>
      <c r="I46" s="148">
        <f t="shared" ref="I46" si="152">(I45-H45)/H45</f>
        <v>0.86617375231053606</v>
      </c>
      <c r="J46" s="148">
        <f t="shared" ref="J46" si="153">(J45-I45)/I45</f>
        <v>0.80824088748019018</v>
      </c>
      <c r="K46" s="148">
        <f t="shared" ref="K46" si="154">(K45-J45)/J45</f>
        <v>0.37697195442594217</v>
      </c>
      <c r="L46" s="148">
        <f t="shared" ref="L46" si="155">(L45-K45)/K45</f>
        <v>5.9193253242103588E-2</v>
      </c>
      <c r="M46" s="148">
        <f t="shared" ref="M46" si="156">(M45-L45)/L45</f>
        <v>0.46353188612634266</v>
      </c>
      <c r="N46" s="148">
        <f t="shared" ref="N46" si="157">(N45-M45)/M45</f>
        <v>0.33689180866351881</v>
      </c>
      <c r="O46" s="148">
        <f t="shared" ref="O46" si="158">(O45-N45)/N45</f>
        <v>0.21537162162162163</v>
      </c>
      <c r="P46" s="148">
        <f t="shared" ref="P46" si="159">(P45-O45)/O45</f>
        <v>0.29215364204940297</v>
      </c>
      <c r="Q46" s="148">
        <f t="shared" ref="Q46" si="160">(Q45-P45)/P45</f>
        <v>-5.172708827340064E-2</v>
      </c>
      <c r="R46" s="148">
        <f t="shared" ref="R46" si="161">(R45-Q45)/Q45</f>
        <v>0.22064396380603749</v>
      </c>
      <c r="S46" s="148">
        <f t="shared" ref="S46" si="162">(S45-R45)/R45</f>
        <v>0.48411826821541709</v>
      </c>
      <c r="T46" s="128"/>
      <c r="U46" s="20"/>
      <c r="V46" s="151"/>
      <c r="W46" s="151"/>
      <c r="X46" s="151"/>
      <c r="Y46" s="151"/>
      <c r="Z46" s="151"/>
      <c r="AA46" s="151"/>
      <c r="AB46" s="151"/>
      <c r="AC46" s="151"/>
      <c r="AD46" s="151"/>
      <c r="AE46" s="151"/>
      <c r="AF46" s="151"/>
      <c r="AG46" s="151"/>
      <c r="AH46" s="144"/>
    </row>
    <row r="47" spans="1:34" x14ac:dyDescent="0.15">
      <c r="A47" s="198"/>
      <c r="B47" s="197" t="s">
        <v>490</v>
      </c>
      <c r="C47" s="139"/>
      <c r="D47" s="139"/>
      <c r="E47" s="145"/>
      <c r="F47" s="145"/>
      <c r="G47" s="145">
        <v>528</v>
      </c>
      <c r="H47" s="145">
        <v>976</v>
      </c>
      <c r="I47" s="145">
        <v>1800</v>
      </c>
      <c r="J47" s="145">
        <v>2353</v>
      </c>
      <c r="K47" s="145">
        <v>4029</v>
      </c>
      <c r="L47" s="145">
        <v>2814</v>
      </c>
      <c r="M47" s="145">
        <v>4714</v>
      </c>
      <c r="N47" s="145">
        <v>5089</v>
      </c>
      <c r="O47" s="145">
        <v>4543</v>
      </c>
      <c r="P47" s="145">
        <v>5112</v>
      </c>
      <c r="Q47" s="205">
        <v>5282</v>
      </c>
      <c r="R47" s="200">
        <v>8152</v>
      </c>
      <c r="S47" s="200">
        <v>7630</v>
      </c>
      <c r="T47" s="118">
        <f t="shared" si="25"/>
        <v>0.24927356791342525</v>
      </c>
      <c r="U47" s="31">
        <f t="shared" si="6"/>
        <v>0.12</v>
      </c>
      <c r="V47" s="151">
        <f t="shared" ref="V47" si="163">S47*(1+$U47)</f>
        <v>8545.6</v>
      </c>
      <c r="W47" s="151">
        <f t="shared" ref="W47" si="164">V47*(1+$U47)</f>
        <v>9571.0720000000019</v>
      </c>
      <c r="X47" s="151">
        <f t="shared" ref="X47" si="165">W47*(1+$U47)</f>
        <v>10719.600640000002</v>
      </c>
      <c r="Y47" s="151">
        <f t="shared" ref="Y47" si="166">X47*(1+$U47)</f>
        <v>12005.952716800004</v>
      </c>
      <c r="Z47" s="151">
        <f t="shared" ref="Z47" si="167">Y47*(1+$U47)</f>
        <v>13446.667042816005</v>
      </c>
      <c r="AA47" s="151">
        <f t="shared" ref="AA47" si="168">Z47*(1+$U47)</f>
        <v>15060.267087953927</v>
      </c>
      <c r="AB47" s="151">
        <f t="shared" ref="AB47" si="169">AA47*(1+$U47)</f>
        <v>16867.499138508399</v>
      </c>
      <c r="AC47" s="151">
        <f t="shared" ref="AC47" si="170">AB47*(1+$U47)</f>
        <v>18891.599035129409</v>
      </c>
      <c r="AD47" s="151">
        <f t="shared" ref="AD47" si="171">AC47*(1+$U47)</f>
        <v>21158.590919344941</v>
      </c>
      <c r="AE47" s="151">
        <f t="shared" ref="AE47" si="172">AD47*(1+$U47)</f>
        <v>23697.621829666336</v>
      </c>
      <c r="AF47" s="136">
        <f t="shared" ref="AF47" si="173">((AE47/I47)^(1/($AE$3-$J$1) ))-1</f>
        <v>0.13059301522991462</v>
      </c>
      <c r="AG47" s="31">
        <f t="shared" si="16"/>
        <v>0.05</v>
      </c>
      <c r="AH47" s="144">
        <f t="shared" si="110"/>
        <v>146367.66424205681</v>
      </c>
    </row>
    <row r="48" spans="1:34" x14ac:dyDescent="0.15">
      <c r="A48" s="198"/>
      <c r="B48" s="197"/>
      <c r="C48" s="139"/>
      <c r="D48" s="139"/>
      <c r="E48" s="145"/>
      <c r="F48" s="145"/>
      <c r="G48" s="148" t="e">
        <f t="shared" ref="G48" si="174">(G47-F47)/F47</f>
        <v>#DIV/0!</v>
      </c>
      <c r="H48" s="148">
        <f t="shared" ref="H48" si="175">(H47-G47)/G47</f>
        <v>0.84848484848484851</v>
      </c>
      <c r="I48" s="148">
        <f t="shared" ref="I48" si="176">(I47-H47)/H47</f>
        <v>0.84426229508196726</v>
      </c>
      <c r="J48" s="148">
        <f t="shared" ref="J48" si="177">(J47-I47)/I47</f>
        <v>0.30722222222222223</v>
      </c>
      <c r="K48" s="148">
        <f t="shared" ref="K48" si="178">(K47-J47)/J47</f>
        <v>0.71228219294517636</v>
      </c>
      <c r="L48" s="148">
        <f t="shared" ref="L48" si="179">(L47-K47)/K47</f>
        <v>-0.30156366344005958</v>
      </c>
      <c r="M48" s="148">
        <f t="shared" ref="M48" si="180">(M47-L47)/L47</f>
        <v>0.67519545131485426</v>
      </c>
      <c r="N48" s="148">
        <f t="shared" ref="N48" si="181">(N47-M47)/M47</f>
        <v>7.9550275774289345E-2</v>
      </c>
      <c r="O48" s="148">
        <f t="shared" ref="O48" si="182">(O47-N47)/N47</f>
        <v>-0.10729023383768914</v>
      </c>
      <c r="P48" s="148">
        <f t="shared" ref="P48" si="183">(P47-O47)/O47</f>
        <v>0.12524763372220998</v>
      </c>
      <c r="Q48" s="148">
        <f t="shared" ref="Q48" si="184">(Q47-P47)/P47</f>
        <v>3.3255086071987482E-2</v>
      </c>
      <c r="R48" s="148">
        <f t="shared" ref="R48" si="185">(R47-Q47)/Q47</f>
        <v>0.54335478985232866</v>
      </c>
      <c r="S48" s="148">
        <f t="shared" ref="S48" si="186">(S47-R47)/R47</f>
        <v>-6.4033366045142301E-2</v>
      </c>
      <c r="T48" s="128"/>
      <c r="U48" s="20"/>
      <c r="V48" s="151"/>
      <c r="W48" s="151"/>
      <c r="X48" s="151"/>
      <c r="Y48" s="151"/>
      <c r="Z48" s="151"/>
      <c r="AA48" s="151"/>
      <c r="AB48" s="151"/>
      <c r="AC48" s="151"/>
      <c r="AD48" s="151"/>
      <c r="AE48" s="151"/>
      <c r="AF48" s="151"/>
      <c r="AG48" s="151"/>
      <c r="AH48" s="144"/>
    </row>
    <row r="49" spans="1:34" x14ac:dyDescent="0.15">
      <c r="A49" s="198"/>
      <c r="B49" s="197" t="s">
        <v>480</v>
      </c>
      <c r="C49" s="139"/>
      <c r="D49" s="139"/>
      <c r="E49" s="145"/>
      <c r="F49" s="145"/>
      <c r="G49" s="200">
        <f t="shared" ref="G49:H49" si="187">H49</f>
        <v>0</v>
      </c>
      <c r="H49" s="200">
        <f t="shared" si="187"/>
        <v>0</v>
      </c>
      <c r="I49" s="200">
        <f>J49</f>
        <v>0</v>
      </c>
      <c r="J49" s="200">
        <v>0</v>
      </c>
      <c r="K49" s="200">
        <v>0</v>
      </c>
      <c r="L49" s="200">
        <v>0</v>
      </c>
      <c r="M49" s="200">
        <v>0</v>
      </c>
      <c r="N49" s="200">
        <v>0</v>
      </c>
      <c r="O49" s="200">
        <v>0</v>
      </c>
      <c r="P49" s="200">
        <v>0</v>
      </c>
      <c r="Q49" s="200">
        <v>0</v>
      </c>
      <c r="R49" s="200">
        <v>0</v>
      </c>
      <c r="S49" s="200">
        <v>0</v>
      </c>
      <c r="T49" s="118" t="e">
        <f t="shared" si="25"/>
        <v>#DIV/0!</v>
      </c>
      <c r="U49" s="31">
        <f t="shared" si="6"/>
        <v>0.12</v>
      </c>
      <c r="V49" s="151">
        <f t="shared" si="99"/>
        <v>0</v>
      </c>
      <c r="W49" s="151">
        <f t="shared" si="100"/>
        <v>0</v>
      </c>
      <c r="X49" s="151">
        <f t="shared" si="101"/>
        <v>0</v>
      </c>
      <c r="Y49" s="151">
        <f t="shared" si="102"/>
        <v>0</v>
      </c>
      <c r="Z49" s="151">
        <f t="shared" si="103"/>
        <v>0</v>
      </c>
      <c r="AA49" s="151">
        <f t="shared" si="104"/>
        <v>0</v>
      </c>
      <c r="AB49" s="151">
        <f t="shared" si="105"/>
        <v>0</v>
      </c>
      <c r="AC49" s="151">
        <f t="shared" si="106"/>
        <v>0</v>
      </c>
      <c r="AD49" s="151">
        <f t="shared" si="107"/>
        <v>0</v>
      </c>
      <c r="AE49" s="151">
        <f t="shared" si="108"/>
        <v>0</v>
      </c>
      <c r="AF49" s="136" t="e">
        <f t="shared" si="109"/>
        <v>#DIV/0!</v>
      </c>
      <c r="AG49" s="31">
        <f t="shared" si="16"/>
        <v>0.05</v>
      </c>
      <c r="AH49" s="144">
        <f t="shared" si="110"/>
        <v>0</v>
      </c>
    </row>
    <row r="50" spans="1:34" x14ac:dyDescent="0.15">
      <c r="B50" s="20"/>
      <c r="C50" s="139"/>
      <c r="D50" s="139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28"/>
      <c r="U50" s="20"/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37"/>
      <c r="AG50" s="135"/>
      <c r="AH50" s="151"/>
    </row>
    <row r="51" spans="1:34" x14ac:dyDescent="0.15">
      <c r="B51" s="20" t="s">
        <v>278</v>
      </c>
      <c r="C51" s="139"/>
      <c r="D51" s="139"/>
      <c r="E51" s="145"/>
      <c r="F51" s="145"/>
      <c r="G51" s="200">
        <f t="shared" ref="G51:H51" si="188">H51</f>
        <v>0</v>
      </c>
      <c r="H51" s="200">
        <f t="shared" si="188"/>
        <v>0</v>
      </c>
      <c r="I51" s="200">
        <f>J51</f>
        <v>0</v>
      </c>
      <c r="J51" s="200">
        <v>0</v>
      </c>
      <c r="K51" s="200">
        <v>0</v>
      </c>
      <c r="L51" s="200">
        <v>0</v>
      </c>
      <c r="M51" s="200">
        <v>0</v>
      </c>
      <c r="N51" s="200">
        <v>0</v>
      </c>
      <c r="O51" s="200">
        <v>0</v>
      </c>
      <c r="P51" s="200">
        <v>0</v>
      </c>
      <c r="Q51" s="200">
        <v>0</v>
      </c>
      <c r="R51" s="200">
        <v>0</v>
      </c>
      <c r="S51" s="200">
        <v>0</v>
      </c>
      <c r="T51" s="118" t="e">
        <f t="shared" si="25"/>
        <v>#DIV/0!</v>
      </c>
      <c r="U51" s="31">
        <f t="shared" si="6"/>
        <v>0.12</v>
      </c>
      <c r="V51" s="151">
        <f t="shared" si="2"/>
        <v>0</v>
      </c>
      <c r="W51" s="151">
        <f t="shared" ref="W51" si="189">V51*(1+$U51)</f>
        <v>0</v>
      </c>
      <c r="X51" s="151">
        <f t="shared" ref="X51" si="190">W51*(1+$U51)</f>
        <v>0</v>
      </c>
      <c r="Y51" s="151">
        <f t="shared" ref="Y51" si="191">X51*(1+$U51)</f>
        <v>0</v>
      </c>
      <c r="Z51" s="151">
        <f t="shared" si="46"/>
        <v>0</v>
      </c>
      <c r="AA51" s="151">
        <f t="shared" si="47"/>
        <v>0</v>
      </c>
      <c r="AB51" s="151">
        <f t="shared" si="48"/>
        <v>0</v>
      </c>
      <c r="AC51" s="151">
        <f t="shared" si="49"/>
        <v>0</v>
      </c>
      <c r="AD51" s="151">
        <f t="shared" si="50"/>
        <v>0</v>
      </c>
      <c r="AE51" s="151">
        <f t="shared" si="51"/>
        <v>0</v>
      </c>
      <c r="AF51" s="136" t="e">
        <f t="shared" si="18"/>
        <v>#DIV/0!</v>
      </c>
      <c r="AG51" s="31">
        <f t="shared" si="16"/>
        <v>0.05</v>
      </c>
      <c r="AH51" s="144">
        <f t="shared" si="1"/>
        <v>0</v>
      </c>
    </row>
    <row r="52" spans="1:34" s="123" customFormat="1" x14ac:dyDescent="0.15">
      <c r="B52" s="23"/>
      <c r="C52" s="146"/>
      <c r="D52" s="146"/>
      <c r="E52" s="147"/>
      <c r="F52" s="147"/>
      <c r="G52" s="148" t="e">
        <f t="shared" ref="G52" si="192">(G51-F51)/F51</f>
        <v>#DIV/0!</v>
      </c>
      <c r="H52" s="148" t="e">
        <f t="shared" ref="H52" si="193">(H51-G51)/G51</f>
        <v>#DIV/0!</v>
      </c>
      <c r="I52" s="148" t="e">
        <f t="shared" ref="I52:S52" si="194">(I51-H51)/H51</f>
        <v>#DIV/0!</v>
      </c>
      <c r="J52" s="148" t="e">
        <f t="shared" si="194"/>
        <v>#DIV/0!</v>
      </c>
      <c r="K52" s="148" t="e">
        <f t="shared" si="194"/>
        <v>#DIV/0!</v>
      </c>
      <c r="L52" s="148" t="e">
        <f t="shared" si="194"/>
        <v>#DIV/0!</v>
      </c>
      <c r="M52" s="148" t="e">
        <f t="shared" si="194"/>
        <v>#DIV/0!</v>
      </c>
      <c r="N52" s="148" t="e">
        <f t="shared" si="194"/>
        <v>#DIV/0!</v>
      </c>
      <c r="O52" s="148" t="e">
        <f t="shared" si="194"/>
        <v>#DIV/0!</v>
      </c>
      <c r="P52" s="148" t="e">
        <f t="shared" si="194"/>
        <v>#DIV/0!</v>
      </c>
      <c r="Q52" s="148" t="e">
        <f t="shared" si="194"/>
        <v>#DIV/0!</v>
      </c>
      <c r="R52" s="148" t="e">
        <f t="shared" si="194"/>
        <v>#DIV/0!</v>
      </c>
      <c r="S52" s="148" t="e">
        <f t="shared" si="194"/>
        <v>#DIV/0!</v>
      </c>
      <c r="T52" s="128"/>
      <c r="U52" s="20"/>
      <c r="V52" s="151"/>
      <c r="W52" s="152"/>
      <c r="X52" s="152"/>
      <c r="Y52" s="152"/>
      <c r="Z52" s="152"/>
      <c r="AA52" s="152"/>
      <c r="AB52" s="152"/>
      <c r="AC52" s="152"/>
      <c r="AD52" s="152"/>
      <c r="AE52" s="152"/>
      <c r="AF52" s="137"/>
      <c r="AG52" s="135"/>
      <c r="AH52" s="153"/>
    </row>
    <row r="53" spans="1:34" s="123" customFormat="1" x14ac:dyDescent="0.15">
      <c r="B53" s="20" t="s">
        <v>396</v>
      </c>
      <c r="C53" s="146"/>
      <c r="D53" s="146"/>
      <c r="E53" s="147"/>
      <c r="F53" s="147"/>
      <c r="G53" s="200">
        <f t="shared" ref="G53:H53" si="195">H53</f>
        <v>0</v>
      </c>
      <c r="H53" s="200">
        <f t="shared" si="195"/>
        <v>0</v>
      </c>
      <c r="I53" s="200">
        <f>J53</f>
        <v>0</v>
      </c>
      <c r="J53" s="200">
        <v>0</v>
      </c>
      <c r="K53" s="200">
        <v>0</v>
      </c>
      <c r="L53" s="200">
        <v>0</v>
      </c>
      <c r="M53" s="200">
        <v>0</v>
      </c>
      <c r="N53" s="200">
        <v>0</v>
      </c>
      <c r="O53" s="200">
        <v>0</v>
      </c>
      <c r="P53" s="200">
        <v>0</v>
      </c>
      <c r="Q53" s="200">
        <v>0</v>
      </c>
      <c r="R53" s="200">
        <v>0</v>
      </c>
      <c r="S53" s="200">
        <v>0</v>
      </c>
      <c r="T53" s="118" t="e">
        <f t="shared" si="25"/>
        <v>#DIV/0!</v>
      </c>
      <c r="U53" s="31">
        <f t="shared" si="6"/>
        <v>0.12</v>
      </c>
      <c r="V53" s="151">
        <f t="shared" si="2"/>
        <v>0</v>
      </c>
      <c r="W53" s="151">
        <f t="shared" ref="W53" si="196">V53*(1+$U53)</f>
        <v>0</v>
      </c>
      <c r="X53" s="151">
        <f t="shared" ref="X53" si="197">W53*(1+$U53)</f>
        <v>0</v>
      </c>
      <c r="Y53" s="151">
        <f t="shared" ref="Y53" si="198">X53*(1+$U53)</f>
        <v>0</v>
      </c>
      <c r="Z53" s="151">
        <f t="shared" ref="Z53" si="199">Y53*(1+$U53)</f>
        <v>0</v>
      </c>
      <c r="AA53" s="151">
        <f t="shared" ref="AA53" si="200">Z53*(1+$U53)</f>
        <v>0</v>
      </c>
      <c r="AB53" s="151">
        <f t="shared" ref="AB53" si="201">AA53*(1+$U53)</f>
        <v>0</v>
      </c>
      <c r="AC53" s="151">
        <f t="shared" ref="AC53" si="202">AB53*(1+$U53)</f>
        <v>0</v>
      </c>
      <c r="AD53" s="151">
        <f t="shared" ref="AD53" si="203">AC53*(1+$U53)</f>
        <v>0</v>
      </c>
      <c r="AE53" s="151">
        <f t="shared" ref="AE53" si="204">AD53*(1+$U53)</f>
        <v>0</v>
      </c>
      <c r="AF53" s="136" t="e">
        <f t="shared" ref="AF53" si="205">((AE53/I53)^(1/($AE$3-$J$1) ))-1</f>
        <v>#DIV/0!</v>
      </c>
      <c r="AG53" s="31">
        <f t="shared" si="16"/>
        <v>0.05</v>
      </c>
      <c r="AH53" s="144">
        <f t="shared" ref="AH53" si="206">(AE53*(1+AG53))/($C$1-AG53)</f>
        <v>0</v>
      </c>
    </row>
    <row r="54" spans="1:34" s="123" customFormat="1" x14ac:dyDescent="0.15">
      <c r="B54" s="23"/>
      <c r="C54" s="146"/>
      <c r="D54" s="146"/>
      <c r="E54" s="147"/>
      <c r="F54" s="147"/>
      <c r="G54" s="148" t="e">
        <f t="shared" ref="G54" si="207">(G53-F53)/F53</f>
        <v>#DIV/0!</v>
      </c>
      <c r="H54" s="148" t="e">
        <f t="shared" ref="H54" si="208">(H53-G53)/G53</f>
        <v>#DIV/0!</v>
      </c>
      <c r="I54" s="148" t="e">
        <f t="shared" ref="I54:S54" si="209">(I53-H53)/H53</f>
        <v>#DIV/0!</v>
      </c>
      <c r="J54" s="148" t="e">
        <f t="shared" si="209"/>
        <v>#DIV/0!</v>
      </c>
      <c r="K54" s="148" t="e">
        <f t="shared" si="209"/>
        <v>#DIV/0!</v>
      </c>
      <c r="L54" s="148" t="e">
        <f t="shared" si="209"/>
        <v>#DIV/0!</v>
      </c>
      <c r="M54" s="148" t="e">
        <f t="shared" si="209"/>
        <v>#DIV/0!</v>
      </c>
      <c r="N54" s="148" t="e">
        <f t="shared" si="209"/>
        <v>#DIV/0!</v>
      </c>
      <c r="O54" s="148" t="e">
        <f t="shared" si="209"/>
        <v>#DIV/0!</v>
      </c>
      <c r="P54" s="148" t="e">
        <f t="shared" si="209"/>
        <v>#DIV/0!</v>
      </c>
      <c r="Q54" s="148" t="e">
        <f t="shared" si="209"/>
        <v>#DIV/0!</v>
      </c>
      <c r="R54" s="148" t="e">
        <f t="shared" si="209"/>
        <v>#DIV/0!</v>
      </c>
      <c r="S54" s="148" t="e">
        <f t="shared" si="209"/>
        <v>#DIV/0!</v>
      </c>
      <c r="T54" s="128"/>
      <c r="U54" s="20"/>
      <c r="V54" s="151"/>
      <c r="W54" s="152"/>
      <c r="X54" s="152"/>
      <c r="Y54" s="152"/>
      <c r="Z54" s="152"/>
      <c r="AA54" s="152"/>
      <c r="AB54" s="152"/>
      <c r="AC54" s="152"/>
      <c r="AD54" s="152"/>
      <c r="AE54" s="152"/>
      <c r="AF54" s="137"/>
      <c r="AG54" s="135"/>
      <c r="AH54" s="153"/>
    </row>
    <row r="55" spans="1:34" x14ac:dyDescent="0.15">
      <c r="B55" s="20" t="s">
        <v>397</v>
      </c>
      <c r="C55" s="139"/>
      <c r="D55" s="139"/>
      <c r="E55" s="145"/>
      <c r="F55" s="145"/>
      <c r="G55" s="141">
        <v>200.4</v>
      </c>
      <c r="H55" s="141">
        <v>194</v>
      </c>
      <c r="I55" s="141">
        <v>529</v>
      </c>
      <c r="J55" s="141">
        <v>524</v>
      </c>
      <c r="K55" s="141">
        <v>958</v>
      </c>
      <c r="L55" s="141">
        <v>652</v>
      </c>
      <c r="M55" s="141">
        <v>1327</v>
      </c>
      <c r="N55" s="141">
        <v>1569</v>
      </c>
      <c r="O55" s="141">
        <v>1850</v>
      </c>
      <c r="P55" s="141">
        <v>2204</v>
      </c>
      <c r="Q55" s="209">
        <v>2511</v>
      </c>
      <c r="R55" s="200">
        <v>3065</v>
      </c>
      <c r="S55" s="200">
        <v>3431</v>
      </c>
      <c r="T55" s="118">
        <f t="shared" si="25"/>
        <v>0.26704950451322573</v>
      </c>
      <c r="U55" s="31">
        <f t="shared" si="6"/>
        <v>0.12</v>
      </c>
      <c r="V55" s="151">
        <f t="shared" si="2"/>
        <v>3842.7200000000003</v>
      </c>
      <c r="W55" s="151">
        <f t="shared" ref="W55:AE55" si="210">V55*(1+$U55)</f>
        <v>4303.8464000000004</v>
      </c>
      <c r="X55" s="151">
        <f t="shared" si="210"/>
        <v>4820.307968000001</v>
      </c>
      <c r="Y55" s="151">
        <f t="shared" si="210"/>
        <v>5398.7449241600016</v>
      </c>
      <c r="Z55" s="151">
        <f t="shared" si="210"/>
        <v>6046.594315059202</v>
      </c>
      <c r="AA55" s="151">
        <f t="shared" si="210"/>
        <v>6772.1856328663071</v>
      </c>
      <c r="AB55" s="151">
        <f t="shared" si="210"/>
        <v>7584.8479088102649</v>
      </c>
      <c r="AC55" s="151">
        <f t="shared" si="210"/>
        <v>8495.029657867497</v>
      </c>
      <c r="AD55" s="151">
        <f t="shared" si="210"/>
        <v>9514.433216811598</v>
      </c>
      <c r="AE55" s="151">
        <f t="shared" si="210"/>
        <v>10656.16520282899</v>
      </c>
      <c r="AF55" s="136">
        <f t="shared" si="18"/>
        <v>0.15372460791962661</v>
      </c>
      <c r="AG55" s="31">
        <f t="shared" si="16"/>
        <v>0.05</v>
      </c>
      <c r="AH55" s="144">
        <f t="shared" si="1"/>
        <v>65817.490958649651</v>
      </c>
    </row>
    <row r="56" spans="1:34" s="123" customFormat="1" x14ac:dyDescent="0.15">
      <c r="B56" s="23"/>
      <c r="C56" s="146"/>
      <c r="D56" s="146"/>
      <c r="E56" s="147"/>
      <c r="F56" s="147"/>
      <c r="G56" s="148" t="e">
        <f t="shared" ref="G56" si="211">(G55-F55)/F55</f>
        <v>#DIV/0!</v>
      </c>
      <c r="H56" s="148">
        <f t="shared" ref="H56" si="212">(H55-G55)/G55</f>
        <v>-3.1936127744511003E-2</v>
      </c>
      <c r="I56" s="148">
        <f t="shared" ref="I56:S56" si="213">(I55-H55)/H55</f>
        <v>1.7268041237113403</v>
      </c>
      <c r="J56" s="148">
        <f t="shared" si="213"/>
        <v>-9.4517958412098299E-3</v>
      </c>
      <c r="K56" s="148">
        <f t="shared" si="213"/>
        <v>0.8282442748091603</v>
      </c>
      <c r="L56" s="148">
        <f t="shared" si="213"/>
        <v>-0.31941544885177453</v>
      </c>
      <c r="M56" s="148">
        <f t="shared" si="213"/>
        <v>1.0352760736196318</v>
      </c>
      <c r="N56" s="148">
        <f t="shared" si="213"/>
        <v>0.18236623963828183</v>
      </c>
      <c r="O56" s="148">
        <f t="shared" si="213"/>
        <v>0.17909496494582536</v>
      </c>
      <c r="P56" s="148">
        <f t="shared" si="213"/>
        <v>0.19135135135135134</v>
      </c>
      <c r="Q56" s="148">
        <f t="shared" si="213"/>
        <v>0.13929219600725953</v>
      </c>
      <c r="R56" s="148">
        <f t="shared" si="213"/>
        <v>0.22062923138191956</v>
      </c>
      <c r="S56" s="148">
        <f t="shared" si="213"/>
        <v>0.11941272430668842</v>
      </c>
      <c r="T56" s="128"/>
      <c r="U56" s="20"/>
      <c r="V56" s="151"/>
      <c r="W56" s="152"/>
      <c r="X56" s="152"/>
      <c r="Y56" s="152"/>
      <c r="Z56" s="152"/>
      <c r="AA56" s="152"/>
      <c r="AB56" s="152"/>
      <c r="AC56" s="152"/>
      <c r="AD56" s="152"/>
      <c r="AE56" s="152"/>
      <c r="AF56" s="137"/>
      <c r="AG56" s="135"/>
      <c r="AH56" s="153"/>
    </row>
    <row r="57" spans="1:34" x14ac:dyDescent="0.15">
      <c r="B57" s="20" t="s">
        <v>239</v>
      </c>
      <c r="C57" s="140"/>
      <c r="D57" s="140"/>
      <c r="E57" s="143"/>
      <c r="F57" s="143"/>
      <c r="G57" s="206">
        <v>5.95</v>
      </c>
      <c r="H57" s="206">
        <v>12.33</v>
      </c>
      <c r="I57" s="206">
        <v>30.99</v>
      </c>
      <c r="J57" s="206">
        <v>32.61</v>
      </c>
      <c r="K57" s="141">
        <v>34.46</v>
      </c>
      <c r="L57" s="141">
        <v>34.56</v>
      </c>
      <c r="M57" s="207">
        <v>34.81</v>
      </c>
      <c r="N57" s="207">
        <v>73.686999999999998</v>
      </c>
      <c r="O57" s="207">
        <v>74.068899999999999</v>
      </c>
      <c r="P57" s="207">
        <v>74.665999999999997</v>
      </c>
      <c r="Q57" s="208">
        <v>77</v>
      </c>
      <c r="R57" s="200">
        <v>77.2</v>
      </c>
      <c r="S57" s="200">
        <v>183.43</v>
      </c>
      <c r="T57" s="118">
        <f t="shared" si="25"/>
        <v>0.33069783417196397</v>
      </c>
      <c r="U57" s="31">
        <v>0.05</v>
      </c>
      <c r="V57" s="151">
        <f t="shared" si="2"/>
        <v>192.60150000000002</v>
      </c>
      <c r="W57" s="151">
        <f>V57*(1+$U57)</f>
        <v>202.23157500000002</v>
      </c>
      <c r="X57" s="151">
        <f t="shared" ref="X57:AE57" si="214">W57*(1+$U57)</f>
        <v>212.34315375000003</v>
      </c>
      <c r="Y57" s="151">
        <f t="shared" si="214"/>
        <v>222.96031143750002</v>
      </c>
      <c r="Z57" s="151">
        <f t="shared" si="214"/>
        <v>234.10832700937505</v>
      </c>
      <c r="AA57" s="151">
        <f t="shared" si="214"/>
        <v>245.81374335984381</v>
      </c>
      <c r="AB57" s="151">
        <f t="shared" si="214"/>
        <v>258.10443052783603</v>
      </c>
      <c r="AC57" s="151">
        <f t="shared" si="214"/>
        <v>271.00965205422784</v>
      </c>
      <c r="AD57" s="151">
        <f t="shared" si="214"/>
        <v>284.56013465693923</v>
      </c>
      <c r="AE57" s="151">
        <f t="shared" si="214"/>
        <v>298.78814138978618</v>
      </c>
      <c r="AF57" s="136">
        <f t="shared" si="18"/>
        <v>0.11394537404783445</v>
      </c>
      <c r="AG57" s="31">
        <f t="shared" si="16"/>
        <v>0.05</v>
      </c>
      <c r="AH57" s="144">
        <f t="shared" si="1"/>
        <v>1845.4561674075032</v>
      </c>
    </row>
    <row r="58" spans="1:34" x14ac:dyDescent="0.15">
      <c r="B58" s="20"/>
      <c r="C58" s="140"/>
      <c r="D58" s="140"/>
      <c r="E58" s="141"/>
      <c r="F58" s="141"/>
      <c r="G58" s="148" t="e">
        <f t="shared" ref="G58" si="215">(G57-F57)/F57</f>
        <v>#DIV/0!</v>
      </c>
      <c r="H58" s="148">
        <f t="shared" ref="H58" si="216">(H57-G57)/G57</f>
        <v>1.0722689075630252</v>
      </c>
      <c r="I58" s="148">
        <f t="shared" ref="I58:S58" si="217">(I57-H57)/H57</f>
        <v>1.5133819951338197</v>
      </c>
      <c r="J58" s="148">
        <f t="shared" si="217"/>
        <v>5.2274927395934208E-2</v>
      </c>
      <c r="K58" s="148">
        <f t="shared" si="217"/>
        <v>5.6731064090769751E-2</v>
      </c>
      <c r="L58" s="148">
        <f t="shared" si="217"/>
        <v>2.9019152640743302E-3</v>
      </c>
      <c r="M58" s="148">
        <f t="shared" si="217"/>
        <v>7.2337962962962955E-3</v>
      </c>
      <c r="N58" s="148">
        <f t="shared" si="217"/>
        <v>1.1168342430336109</v>
      </c>
      <c r="O58" s="148">
        <f t="shared" si="217"/>
        <v>5.182732367988949E-3</v>
      </c>
      <c r="P58" s="148">
        <f t="shared" si="217"/>
        <v>8.0614130897042821E-3</v>
      </c>
      <c r="Q58" s="148">
        <f t="shared" si="217"/>
        <v>3.1259207671497112E-2</v>
      </c>
      <c r="R58" s="148">
        <f t="shared" si="217"/>
        <v>2.5974025974026343E-3</v>
      </c>
      <c r="S58" s="148">
        <f t="shared" si="217"/>
        <v>1.3760362694300519</v>
      </c>
      <c r="T58" s="128"/>
      <c r="U58" s="20"/>
      <c r="V58" s="151"/>
      <c r="W58" s="151"/>
      <c r="X58" s="151"/>
      <c r="Y58" s="151"/>
      <c r="Z58" s="151"/>
      <c r="AA58" s="151"/>
      <c r="AB58" s="151"/>
      <c r="AC58" s="151"/>
      <c r="AD58" s="151"/>
      <c r="AE58" s="151"/>
      <c r="AF58" s="137"/>
      <c r="AG58" s="135"/>
      <c r="AH58" s="144"/>
    </row>
    <row r="59" spans="1:34" x14ac:dyDescent="0.15">
      <c r="B59" s="20" t="s">
        <v>282</v>
      </c>
      <c r="C59" s="143"/>
      <c r="D59" s="143"/>
      <c r="E59" s="143"/>
      <c r="F59" s="143"/>
      <c r="G59" s="210">
        <v>2.4</v>
      </c>
      <c r="H59" s="210">
        <v>1.25</v>
      </c>
      <c r="I59" s="210">
        <v>0.6</v>
      </c>
      <c r="J59" s="210">
        <v>0.7</v>
      </c>
      <c r="K59" s="210">
        <v>0.75</v>
      </c>
      <c r="L59" s="210">
        <v>0.75</v>
      </c>
      <c r="M59" s="210">
        <v>0.85</v>
      </c>
      <c r="N59" s="210">
        <v>0.5</v>
      </c>
      <c r="O59" s="210">
        <v>0.6</v>
      </c>
      <c r="P59" s="210">
        <v>0.7</v>
      </c>
      <c r="Q59" s="211">
        <v>0.8</v>
      </c>
      <c r="R59" s="143">
        <v>0.9</v>
      </c>
      <c r="S59" s="143">
        <v>0.5</v>
      </c>
      <c r="T59" s="118">
        <f t="shared" si="25"/>
        <v>-0.12253480931105409</v>
      </c>
      <c r="U59" s="31">
        <f>R1</f>
        <v>0.05</v>
      </c>
      <c r="V59" s="151">
        <f t="shared" si="2"/>
        <v>0.52500000000000002</v>
      </c>
      <c r="W59" s="151">
        <f t="shared" ref="W59" si="218">V59*(1+$U59)</f>
        <v>0.55125000000000002</v>
      </c>
      <c r="X59" s="151">
        <f t="shared" ref="X59" si="219">W59*(1+$U59)</f>
        <v>0.57881250000000006</v>
      </c>
      <c r="Y59" s="151">
        <f t="shared" ref="Y59" si="220">X59*(1+$U59)</f>
        <v>0.60775312500000012</v>
      </c>
      <c r="Z59" s="151">
        <f t="shared" ref="Z59" si="221">Y59*(1+$U59)</f>
        <v>0.63814078125000018</v>
      </c>
      <c r="AA59" s="151">
        <f t="shared" ref="AA59" si="222">Z59*(1+$U59)</f>
        <v>0.67004782031250021</v>
      </c>
      <c r="AB59" s="151">
        <f t="shared" ref="AB59" si="223">AA59*(1+$U59)</f>
        <v>0.70355021132812523</v>
      </c>
      <c r="AC59" s="151">
        <f t="shared" ref="AC59" si="224">AB59*(1+$U59)</f>
        <v>0.73872772189453151</v>
      </c>
      <c r="AD59" s="151">
        <f t="shared" ref="AD59" si="225">AC59*(1+$U59)</f>
        <v>0.77566410798925811</v>
      </c>
      <c r="AE59" s="151">
        <f t="shared" ref="AE59" si="226">AD59*(1+$U59)</f>
        <v>0.81444731338872101</v>
      </c>
      <c r="AF59" s="136">
        <f t="shared" ref="AF59" si="227">((AE59/I59)^(1/($AE$3-$J$1) ))-1</f>
        <v>1.4657820113689102E-2</v>
      </c>
      <c r="AG59" s="31">
        <f t="shared" si="16"/>
        <v>0.05</v>
      </c>
      <c r="AH59" s="144">
        <f t="shared" si="1"/>
        <v>5.0304098768126897</v>
      </c>
    </row>
    <row r="60" spans="1:34" x14ac:dyDescent="0.15">
      <c r="B60" s="20"/>
      <c r="C60" s="143"/>
      <c r="D60" s="143"/>
      <c r="E60" s="143"/>
      <c r="F60" s="143"/>
      <c r="G60" s="148" t="e">
        <f t="shared" ref="G60" si="228">(G59-F59)/F59</f>
        <v>#DIV/0!</v>
      </c>
      <c r="H60" s="148">
        <f t="shared" ref="H60" si="229">(H59-G59)/G59</f>
        <v>-0.47916666666666663</v>
      </c>
      <c r="I60" s="148">
        <f t="shared" ref="I60:S60" si="230">(I59-H59)/H59</f>
        <v>-0.52</v>
      </c>
      <c r="J60" s="148">
        <f t="shared" si="230"/>
        <v>0.16666666666666663</v>
      </c>
      <c r="K60" s="148">
        <f t="shared" si="230"/>
        <v>7.1428571428571494E-2</v>
      </c>
      <c r="L60" s="148">
        <f t="shared" si="230"/>
        <v>0</v>
      </c>
      <c r="M60" s="148">
        <f t="shared" si="230"/>
        <v>0.1333333333333333</v>
      </c>
      <c r="N60" s="148">
        <f t="shared" si="230"/>
        <v>-0.41176470588235292</v>
      </c>
      <c r="O60" s="148">
        <f t="shared" si="230"/>
        <v>0.19999999999999996</v>
      </c>
      <c r="P60" s="148">
        <f t="shared" si="230"/>
        <v>0.16666666666666663</v>
      </c>
      <c r="Q60" s="148">
        <f t="shared" si="230"/>
        <v>0.14285714285714299</v>
      </c>
      <c r="R60" s="148">
        <f t="shared" si="230"/>
        <v>0.12499999999999997</v>
      </c>
      <c r="S60" s="148">
        <f t="shared" si="230"/>
        <v>-0.44444444444444448</v>
      </c>
      <c r="T60" s="128"/>
      <c r="U60" s="20"/>
      <c r="V60" s="151"/>
      <c r="W60" s="151"/>
      <c r="X60" s="151"/>
      <c r="Y60" s="151"/>
      <c r="Z60" s="151"/>
      <c r="AA60" s="151"/>
      <c r="AB60" s="151"/>
      <c r="AC60" s="151"/>
      <c r="AD60" s="151"/>
      <c r="AE60" s="151"/>
      <c r="AF60" s="137"/>
      <c r="AG60" s="135"/>
      <c r="AH60" s="144"/>
    </row>
    <row r="61" spans="1:34" x14ac:dyDescent="0.15">
      <c r="B61" s="20" t="s">
        <v>422</v>
      </c>
      <c r="C61" s="20"/>
      <c r="D61" s="20"/>
      <c r="E61" s="127"/>
      <c r="F61" s="127"/>
      <c r="G61" s="145">
        <v>0</v>
      </c>
      <c r="H61" s="145">
        <v>0</v>
      </c>
      <c r="I61" s="145">
        <v>0</v>
      </c>
      <c r="J61" s="145">
        <v>0</v>
      </c>
      <c r="K61" s="145">
        <v>0</v>
      </c>
      <c r="L61" s="145">
        <v>0</v>
      </c>
      <c r="M61" s="145">
        <v>0</v>
      </c>
      <c r="N61" s="145" t="s">
        <v>494</v>
      </c>
      <c r="O61" s="145">
        <v>0</v>
      </c>
      <c r="P61" s="145">
        <v>0</v>
      </c>
      <c r="Q61" s="205">
        <v>0</v>
      </c>
      <c r="R61" s="145">
        <v>0</v>
      </c>
      <c r="S61" s="145">
        <v>0</v>
      </c>
      <c r="T61" s="145">
        <v>0</v>
      </c>
      <c r="U61" s="128"/>
      <c r="V61" s="145">
        <v>0</v>
      </c>
      <c r="W61" s="145">
        <v>0</v>
      </c>
      <c r="X61" s="145">
        <v>0</v>
      </c>
      <c r="Y61" s="145">
        <v>0</v>
      </c>
      <c r="Z61" s="145">
        <v>0</v>
      </c>
      <c r="AA61" s="145">
        <v>0</v>
      </c>
      <c r="AB61" s="145">
        <v>0</v>
      </c>
      <c r="AC61" s="145">
        <v>0</v>
      </c>
      <c r="AD61" s="145">
        <v>0</v>
      </c>
      <c r="AE61" s="145">
        <v>0</v>
      </c>
      <c r="AF61" s="137"/>
      <c r="AG61" s="135"/>
      <c r="AH61" s="151"/>
    </row>
    <row r="62" spans="1:34" x14ac:dyDescent="0.15">
      <c r="B62" s="20" t="s">
        <v>420</v>
      </c>
      <c r="C62" s="20"/>
      <c r="D62" s="20"/>
      <c r="E62" s="127"/>
      <c r="F62" s="127"/>
      <c r="G62" s="145">
        <v>0</v>
      </c>
      <c r="H62" s="145" t="s">
        <v>495</v>
      </c>
      <c r="I62" s="145" t="s">
        <v>496</v>
      </c>
      <c r="J62" s="145">
        <v>0</v>
      </c>
      <c r="K62" s="145">
        <v>0</v>
      </c>
      <c r="L62" s="145">
        <v>0</v>
      </c>
      <c r="M62" s="145">
        <v>0</v>
      </c>
      <c r="N62" s="145">
        <v>0</v>
      </c>
      <c r="O62" s="145">
        <v>0</v>
      </c>
      <c r="P62" s="145">
        <v>0</v>
      </c>
      <c r="Q62" s="205">
        <v>0</v>
      </c>
      <c r="R62" s="145">
        <v>0</v>
      </c>
      <c r="S62" s="145" t="s">
        <v>495</v>
      </c>
      <c r="T62" s="145">
        <v>0</v>
      </c>
      <c r="U62" s="128"/>
      <c r="V62" s="145">
        <v>0</v>
      </c>
      <c r="W62" s="145">
        <v>0</v>
      </c>
      <c r="X62" s="145">
        <v>0</v>
      </c>
      <c r="Y62" s="145">
        <v>0</v>
      </c>
      <c r="Z62" s="145">
        <v>0</v>
      </c>
      <c r="AA62" s="145">
        <v>0</v>
      </c>
      <c r="AB62" s="145">
        <v>0</v>
      </c>
      <c r="AC62" s="145">
        <v>0</v>
      </c>
      <c r="AD62" s="145">
        <v>0</v>
      </c>
      <c r="AE62" s="145">
        <v>0</v>
      </c>
      <c r="AF62" s="137"/>
      <c r="AG62" s="135"/>
      <c r="AH62" s="151"/>
    </row>
    <row r="63" spans="1:34" x14ac:dyDescent="0.15">
      <c r="B63" s="20" t="s">
        <v>421</v>
      </c>
      <c r="C63" s="20"/>
      <c r="D63" s="20"/>
      <c r="E63" s="127"/>
      <c r="F63" s="127"/>
      <c r="G63" s="145">
        <v>0</v>
      </c>
      <c r="H63" s="145">
        <v>0</v>
      </c>
      <c r="I63" s="145">
        <v>0</v>
      </c>
      <c r="J63" s="145">
        <v>0</v>
      </c>
      <c r="K63" s="145">
        <v>0</v>
      </c>
      <c r="L63" s="145">
        <v>0</v>
      </c>
      <c r="M63" s="145">
        <v>0</v>
      </c>
      <c r="N63" s="145">
        <v>0</v>
      </c>
      <c r="O63" s="145">
        <v>0</v>
      </c>
      <c r="P63" s="145">
        <v>0</v>
      </c>
      <c r="Q63" s="205">
        <v>0</v>
      </c>
      <c r="R63" s="145">
        <v>0</v>
      </c>
      <c r="S63" s="145">
        <v>0</v>
      </c>
      <c r="T63" s="145">
        <v>0</v>
      </c>
      <c r="U63" s="128"/>
      <c r="V63" s="145">
        <v>0</v>
      </c>
      <c r="W63" s="145">
        <v>0</v>
      </c>
      <c r="X63" s="145">
        <v>0</v>
      </c>
      <c r="Y63" s="145">
        <v>0</v>
      </c>
      <c r="Z63" s="145">
        <v>0</v>
      </c>
      <c r="AA63" s="145">
        <v>0</v>
      </c>
      <c r="AB63" s="145">
        <v>0</v>
      </c>
      <c r="AC63" s="145">
        <v>0</v>
      </c>
      <c r="AD63" s="145">
        <v>0</v>
      </c>
      <c r="AE63" s="145">
        <v>0</v>
      </c>
      <c r="AF63" s="137"/>
      <c r="AG63" s="135"/>
      <c r="AH63" s="151"/>
    </row>
    <row r="64" spans="1:34" x14ac:dyDescent="0.15">
      <c r="B64" s="20"/>
      <c r="C64" s="20"/>
      <c r="D64" s="20"/>
      <c r="E64" s="127"/>
      <c r="F64" s="127"/>
      <c r="G64" s="127"/>
      <c r="H64" s="127"/>
      <c r="I64" s="127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128"/>
      <c r="U64" s="128"/>
      <c r="V64" s="151"/>
      <c r="W64" s="151"/>
      <c r="X64" s="151"/>
      <c r="Y64" s="151"/>
      <c r="Z64" s="151"/>
      <c r="AA64" s="151"/>
      <c r="AB64" s="151"/>
      <c r="AC64" s="151"/>
      <c r="AD64" s="151"/>
      <c r="AE64" s="151"/>
      <c r="AF64" s="137"/>
      <c r="AG64" s="135"/>
      <c r="AH64" s="151"/>
    </row>
    <row r="65" spans="2:34" x14ac:dyDescent="0.15">
      <c r="B65" s="108" t="s">
        <v>243</v>
      </c>
      <c r="C65" s="20"/>
      <c r="D65" s="20"/>
      <c r="E65" s="127"/>
      <c r="F65" s="127"/>
      <c r="G65" s="127"/>
      <c r="H65" s="127"/>
      <c r="I65" s="127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128"/>
      <c r="U65" s="128"/>
      <c r="V65" s="151"/>
      <c r="W65" s="151"/>
      <c r="X65" s="151"/>
      <c r="Y65" s="151"/>
      <c r="Z65" s="151"/>
      <c r="AA65" s="151"/>
      <c r="AB65" s="151"/>
      <c r="AC65" s="151"/>
      <c r="AD65" s="151"/>
      <c r="AE65" s="151"/>
      <c r="AF65" s="137"/>
      <c r="AG65" s="135"/>
      <c r="AH65" s="151"/>
    </row>
    <row r="66" spans="2:34" x14ac:dyDescent="0.15">
      <c r="B66" s="20" t="s">
        <v>302</v>
      </c>
      <c r="C66" s="132"/>
      <c r="D66" s="132"/>
      <c r="E66" s="132"/>
      <c r="F66" s="132"/>
      <c r="G66" s="132">
        <f t="shared" ref="G66:H66" si="231">G25/G57</f>
        <v>195.63025210084032</v>
      </c>
      <c r="H66" s="132">
        <f t="shared" si="231"/>
        <v>142.09245742092457</v>
      </c>
      <c r="I66" s="132">
        <f t="shared" ref="I66:R66" si="232">I25/I57</f>
        <v>96.289125524362703</v>
      </c>
      <c r="J66" s="132">
        <f t="shared" si="232"/>
        <v>132.9346826126955</v>
      </c>
      <c r="K66" s="132">
        <f t="shared" si="232"/>
        <v>222.78003482298317</v>
      </c>
      <c r="L66" s="132">
        <f t="shared" si="232"/>
        <v>207.78356481481481</v>
      </c>
      <c r="M66" s="132">
        <f t="shared" si="232"/>
        <v>267.59551852915826</v>
      </c>
      <c r="N66" s="132">
        <f t="shared" si="232"/>
        <v>150.12145968759754</v>
      </c>
      <c r="O66" s="132">
        <f t="shared" si="232"/>
        <v>175.68777179085959</v>
      </c>
      <c r="P66" s="132">
        <f t="shared" si="232"/>
        <v>213.61797873195297</v>
      </c>
      <c r="Q66" s="132">
        <f t="shared" si="232"/>
        <v>224.25974025974025</v>
      </c>
      <c r="R66" s="132">
        <f t="shared" si="232"/>
        <v>278.12176165803106</v>
      </c>
      <c r="S66" s="132">
        <f t="shared" ref="S66" si="233">S25/S57</f>
        <v>152.82123970997111</v>
      </c>
      <c r="T66" s="118">
        <f t="shared" ref="T66:T68" si="234">((S66/G66)^(1/($J$2-$J$1) ))-1</f>
        <v>-2.0369476125156272E-2</v>
      </c>
      <c r="U66" s="128"/>
      <c r="V66" s="155">
        <f t="shared" ref="V66:AE66" si="235">V25/V57</f>
        <v>163.00932235730252</v>
      </c>
      <c r="W66" s="155">
        <f t="shared" si="235"/>
        <v>173.87661051445602</v>
      </c>
      <c r="X66" s="155">
        <f t="shared" si="235"/>
        <v>185.46838454875311</v>
      </c>
      <c r="Y66" s="155">
        <f t="shared" si="235"/>
        <v>197.83294351867002</v>
      </c>
      <c r="Z66" s="155">
        <f t="shared" si="235"/>
        <v>211.02180641991467</v>
      </c>
      <c r="AA66" s="155">
        <f t="shared" si="235"/>
        <v>225.089926847909</v>
      </c>
      <c r="AB66" s="155">
        <f t="shared" si="235"/>
        <v>240.09592197110291</v>
      </c>
      <c r="AC66" s="155">
        <f t="shared" si="235"/>
        <v>256.10231676917647</v>
      </c>
      <c r="AD66" s="155">
        <f t="shared" si="235"/>
        <v>273.17580455378828</v>
      </c>
      <c r="AE66" s="155">
        <f t="shared" si="235"/>
        <v>291.38752485737422</v>
      </c>
      <c r="AF66" s="136">
        <f t="shared" ref="AF66" si="236">((AE66/I66)^(1/($AE$3-$J$1) ))-1</f>
        <v>5.4143415980393073E-2</v>
      </c>
      <c r="AG66" s="31">
        <f t="shared" si="16"/>
        <v>0.05</v>
      </c>
      <c r="AH66" s="144">
        <f t="shared" ref="AH66:AH67" si="237">(AE66*(1+AG66))/($C$1-AG66)</f>
        <v>1799.7464770602528</v>
      </c>
    </row>
    <row r="67" spans="2:34" x14ac:dyDescent="0.15">
      <c r="B67" s="20" t="s">
        <v>303</v>
      </c>
      <c r="C67" s="132"/>
      <c r="D67" s="132"/>
      <c r="E67" s="132"/>
      <c r="F67" s="132"/>
      <c r="G67" s="132">
        <f t="shared" ref="G67:H67" si="238">G27/G57</f>
        <v>162.01680672268907</v>
      </c>
      <c r="H67" s="132">
        <f t="shared" si="238"/>
        <v>126.35847526358475</v>
      </c>
      <c r="I67" s="132">
        <f t="shared" ref="I67:R67" si="239">I27/I57</f>
        <v>79.219102936431113</v>
      </c>
      <c r="J67" s="132">
        <f t="shared" si="239"/>
        <v>116.83532658693653</v>
      </c>
      <c r="K67" s="132">
        <f t="shared" si="239"/>
        <v>194.95066744051073</v>
      </c>
      <c r="L67" s="132">
        <f t="shared" si="239"/>
        <v>188.88888888888889</v>
      </c>
      <c r="M67" s="132">
        <f t="shared" si="239"/>
        <v>229.44556162022405</v>
      </c>
      <c r="N67" s="132">
        <f t="shared" si="239"/>
        <v>128.82869434228562</v>
      </c>
      <c r="O67" s="132">
        <f t="shared" si="239"/>
        <v>150.71102716524749</v>
      </c>
      <c r="P67" s="132">
        <f t="shared" si="239"/>
        <v>184.09985803444675</v>
      </c>
      <c r="Q67" s="132">
        <f t="shared" si="239"/>
        <v>191.63636363636363</v>
      </c>
      <c r="R67" s="132">
        <f t="shared" si="239"/>
        <v>238.41968911917098</v>
      </c>
      <c r="S67" s="132">
        <f t="shared" ref="S67" si="240">S27/S57</f>
        <v>134.1165567246361</v>
      </c>
      <c r="T67" s="118">
        <f t="shared" si="234"/>
        <v>-1.5625864876486095E-2</v>
      </c>
      <c r="U67" s="128"/>
      <c r="V67" s="155">
        <f t="shared" ref="V67:AE67" si="241">V27/V57</f>
        <v>143.05766050627852</v>
      </c>
      <c r="W67" s="155">
        <f t="shared" si="241"/>
        <v>152.59483787336376</v>
      </c>
      <c r="X67" s="155">
        <f t="shared" si="241"/>
        <v>162.76782706492133</v>
      </c>
      <c r="Y67" s="155">
        <f t="shared" si="241"/>
        <v>173.61901553591611</v>
      </c>
      <c r="Z67" s="155">
        <f t="shared" si="241"/>
        <v>185.19361657164384</v>
      </c>
      <c r="AA67" s="155">
        <f t="shared" si="241"/>
        <v>197.5398576764201</v>
      </c>
      <c r="AB67" s="155">
        <f t="shared" si="241"/>
        <v>210.70918152151475</v>
      </c>
      <c r="AC67" s="155">
        <f t="shared" si="241"/>
        <v>224.75646028961575</v>
      </c>
      <c r="AD67" s="155">
        <f t="shared" si="241"/>
        <v>239.74022430892347</v>
      </c>
      <c r="AE67" s="155">
        <f t="shared" si="241"/>
        <v>255.72290592951839</v>
      </c>
      <c r="AF67" s="136">
        <f t="shared" ref="AF67" si="242">((AE67/I67)^(1/($AE$3-$J$1) ))-1</f>
        <v>5.7390061993132679E-2</v>
      </c>
      <c r="AG67" s="31">
        <f t="shared" si="16"/>
        <v>0.05</v>
      </c>
      <c r="AH67" s="144">
        <f t="shared" si="237"/>
        <v>1579.4650072117313</v>
      </c>
    </row>
    <row r="68" spans="2:34" x14ac:dyDescent="0.15">
      <c r="B68" s="20" t="s">
        <v>423</v>
      </c>
      <c r="C68" s="132"/>
      <c r="D68" s="132"/>
      <c r="E68" s="132"/>
      <c r="F68" s="132"/>
      <c r="G68" s="132">
        <f t="shared" ref="G68:H68" si="243">G53-G55</f>
        <v>-200.4</v>
      </c>
      <c r="H68" s="132">
        <f t="shared" si="243"/>
        <v>-194</v>
      </c>
      <c r="I68" s="132">
        <f>I53-I55</f>
        <v>-529</v>
      </c>
      <c r="J68" s="132">
        <f t="shared" ref="J68:R68" si="244">J53-J55</f>
        <v>-524</v>
      </c>
      <c r="K68" s="132">
        <f t="shared" si="244"/>
        <v>-958</v>
      </c>
      <c r="L68" s="132">
        <f t="shared" si="244"/>
        <v>-652</v>
      </c>
      <c r="M68" s="132">
        <f t="shared" si="244"/>
        <v>-1327</v>
      </c>
      <c r="N68" s="132">
        <f t="shared" si="244"/>
        <v>-1569</v>
      </c>
      <c r="O68" s="132">
        <f t="shared" si="244"/>
        <v>-1850</v>
      </c>
      <c r="P68" s="132">
        <f t="shared" si="244"/>
        <v>-2204</v>
      </c>
      <c r="Q68" s="132">
        <f t="shared" si="244"/>
        <v>-2511</v>
      </c>
      <c r="R68" s="132">
        <f t="shared" si="244"/>
        <v>-3065</v>
      </c>
      <c r="S68" s="132">
        <f t="shared" ref="S68" si="245">S53-S55</f>
        <v>-3431</v>
      </c>
      <c r="T68" s="118">
        <f t="shared" si="234"/>
        <v>0.26704950451322573</v>
      </c>
      <c r="U68" s="128"/>
      <c r="V68" s="132">
        <f t="shared" ref="V68:AE68" si="246">V53-V55</f>
        <v>-3842.7200000000003</v>
      </c>
      <c r="W68" s="132">
        <f t="shared" si="246"/>
        <v>-4303.8464000000004</v>
      </c>
      <c r="X68" s="132">
        <f t="shared" si="246"/>
        <v>-4820.307968000001</v>
      </c>
      <c r="Y68" s="132">
        <f t="shared" si="246"/>
        <v>-5398.7449241600016</v>
      </c>
      <c r="Z68" s="132">
        <f t="shared" si="246"/>
        <v>-6046.594315059202</v>
      </c>
      <c r="AA68" s="132">
        <f t="shared" si="246"/>
        <v>-6772.1856328663071</v>
      </c>
      <c r="AB68" s="132">
        <f t="shared" si="246"/>
        <v>-7584.8479088102649</v>
      </c>
      <c r="AC68" s="132">
        <f t="shared" si="246"/>
        <v>-8495.029657867497</v>
      </c>
      <c r="AD68" s="132">
        <f t="shared" si="246"/>
        <v>-9514.433216811598</v>
      </c>
      <c r="AE68" s="132">
        <f t="shared" si="246"/>
        <v>-10656.16520282899</v>
      </c>
      <c r="AF68" s="136">
        <f t="shared" ref="AF68" si="247">((AE68/I68)^(1/($AE$3-$J$1) ))-1</f>
        <v>0.15372460791962661</v>
      </c>
      <c r="AG68" s="31">
        <f t="shared" si="16"/>
        <v>0.05</v>
      </c>
      <c r="AH68" s="144">
        <f t="shared" ref="AH68" si="248">(AE68*(1+AG68))/($C$1-AG68)</f>
        <v>-65817.490958649651</v>
      </c>
    </row>
    <row r="69" spans="2:34" x14ac:dyDescent="0.15">
      <c r="B69" s="20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28"/>
      <c r="U69" s="128"/>
      <c r="V69" s="155"/>
      <c r="W69" s="155"/>
      <c r="X69" s="155"/>
      <c r="Y69" s="155"/>
      <c r="Z69" s="155"/>
      <c r="AA69" s="155"/>
      <c r="AB69" s="155"/>
      <c r="AC69" s="155"/>
      <c r="AD69" s="155"/>
      <c r="AE69" s="155"/>
      <c r="AF69" s="119"/>
      <c r="AG69" s="135"/>
      <c r="AH69" s="144"/>
    </row>
    <row r="70" spans="2:34" x14ac:dyDescent="0.15">
      <c r="B70" s="20" t="s">
        <v>457</v>
      </c>
      <c r="C70" s="132"/>
      <c r="D70" s="132"/>
      <c r="E70" s="132"/>
      <c r="F70" s="132"/>
      <c r="G70" s="25">
        <f t="shared" ref="G70:H70" si="249">G51/G57</f>
        <v>0</v>
      </c>
      <c r="H70" s="25">
        <f t="shared" si="249"/>
        <v>0</v>
      </c>
      <c r="I70" s="25">
        <f t="shared" ref="I70:R70" si="250">I51/I57</f>
        <v>0</v>
      </c>
      <c r="J70" s="25">
        <f t="shared" si="250"/>
        <v>0</v>
      </c>
      <c r="K70" s="25">
        <f t="shared" si="250"/>
        <v>0</v>
      </c>
      <c r="L70" s="25">
        <f t="shared" si="250"/>
        <v>0</v>
      </c>
      <c r="M70" s="25">
        <f t="shared" si="250"/>
        <v>0</v>
      </c>
      <c r="N70" s="25">
        <f t="shared" si="250"/>
        <v>0</v>
      </c>
      <c r="O70" s="25">
        <f t="shared" si="250"/>
        <v>0</v>
      </c>
      <c r="P70" s="25">
        <f t="shared" si="250"/>
        <v>0</v>
      </c>
      <c r="Q70" s="25">
        <f t="shared" si="250"/>
        <v>0</v>
      </c>
      <c r="R70" s="25">
        <f t="shared" si="250"/>
        <v>0</v>
      </c>
      <c r="S70" s="25">
        <f>S51/S57</f>
        <v>0</v>
      </c>
      <c r="T70" s="118" t="e">
        <f t="shared" ref="T70:T134" si="251">((S70/G70)^(1/($J$2-$J$1) ))-1</f>
        <v>#DIV/0!</v>
      </c>
      <c r="U70" s="128"/>
      <c r="V70" s="112">
        <f>V51/V57</f>
        <v>0</v>
      </c>
      <c r="W70" s="112">
        <f t="shared" ref="W70:AE70" si="252">W51/W57</f>
        <v>0</v>
      </c>
      <c r="X70" s="112">
        <f t="shared" si="252"/>
        <v>0</v>
      </c>
      <c r="Y70" s="112">
        <f t="shared" si="252"/>
        <v>0</v>
      </c>
      <c r="Z70" s="112">
        <f t="shared" si="252"/>
        <v>0</v>
      </c>
      <c r="AA70" s="112">
        <f t="shared" si="252"/>
        <v>0</v>
      </c>
      <c r="AB70" s="112">
        <f t="shared" si="252"/>
        <v>0</v>
      </c>
      <c r="AC70" s="112">
        <f t="shared" si="252"/>
        <v>0</v>
      </c>
      <c r="AD70" s="112">
        <f t="shared" si="252"/>
        <v>0</v>
      </c>
      <c r="AE70" s="112">
        <f t="shared" si="252"/>
        <v>0</v>
      </c>
      <c r="AF70" s="136" t="e">
        <f t="shared" ref="AF70:AF71" si="253">((AE70/I70)^(1/($AE$3-$J$1) ))-1</f>
        <v>#DIV/0!</v>
      </c>
      <c r="AG70" s="31">
        <f t="shared" si="16"/>
        <v>0.05</v>
      </c>
      <c r="AH70" s="144">
        <f t="shared" ref="AH70:AH71" si="254">(AE70*(1+AG70))/($C$1-AG70)</f>
        <v>0</v>
      </c>
    </row>
    <row r="71" spans="2:34" x14ac:dyDescent="0.15">
      <c r="B71" s="20" t="s">
        <v>458</v>
      </c>
      <c r="C71" s="132"/>
      <c r="D71" s="132"/>
      <c r="E71" s="132"/>
      <c r="F71" s="132"/>
      <c r="G71" s="25">
        <f t="shared" ref="G71:H71" si="255">G53/G57</f>
        <v>0</v>
      </c>
      <c r="H71" s="25">
        <f t="shared" si="255"/>
        <v>0</v>
      </c>
      <c r="I71" s="25">
        <f t="shared" ref="I71:R71" si="256">I53/I57</f>
        <v>0</v>
      </c>
      <c r="J71" s="25">
        <f t="shared" si="256"/>
        <v>0</v>
      </c>
      <c r="K71" s="25">
        <f t="shared" si="256"/>
        <v>0</v>
      </c>
      <c r="L71" s="25">
        <f t="shared" si="256"/>
        <v>0</v>
      </c>
      <c r="M71" s="25">
        <f t="shared" si="256"/>
        <v>0</v>
      </c>
      <c r="N71" s="25">
        <f t="shared" si="256"/>
        <v>0</v>
      </c>
      <c r="O71" s="25">
        <f t="shared" si="256"/>
        <v>0</v>
      </c>
      <c r="P71" s="25">
        <f t="shared" si="256"/>
        <v>0</v>
      </c>
      <c r="Q71" s="25">
        <f t="shared" si="256"/>
        <v>0</v>
      </c>
      <c r="R71" s="25">
        <f t="shared" si="256"/>
        <v>0</v>
      </c>
      <c r="S71" s="25">
        <f>S53/S57</f>
        <v>0</v>
      </c>
      <c r="T71" s="118" t="e">
        <f t="shared" si="251"/>
        <v>#DIV/0!</v>
      </c>
      <c r="U71" s="128"/>
      <c r="V71" s="112">
        <f>V53/V57</f>
        <v>0</v>
      </c>
      <c r="W71" s="112">
        <f t="shared" ref="W71:AE71" si="257">W53/W57</f>
        <v>0</v>
      </c>
      <c r="X71" s="112">
        <f t="shared" si="257"/>
        <v>0</v>
      </c>
      <c r="Y71" s="112">
        <f t="shared" si="257"/>
        <v>0</v>
      </c>
      <c r="Z71" s="112">
        <f t="shared" si="257"/>
        <v>0</v>
      </c>
      <c r="AA71" s="112">
        <f t="shared" si="257"/>
        <v>0</v>
      </c>
      <c r="AB71" s="112">
        <f t="shared" si="257"/>
        <v>0</v>
      </c>
      <c r="AC71" s="112">
        <f t="shared" si="257"/>
        <v>0</v>
      </c>
      <c r="AD71" s="112">
        <f t="shared" si="257"/>
        <v>0</v>
      </c>
      <c r="AE71" s="112">
        <f t="shared" si="257"/>
        <v>0</v>
      </c>
      <c r="AF71" s="136" t="e">
        <f t="shared" si="253"/>
        <v>#DIV/0!</v>
      </c>
      <c r="AG71" s="31">
        <f t="shared" si="16"/>
        <v>0.05</v>
      </c>
      <c r="AH71" s="144">
        <f t="shared" si="254"/>
        <v>0</v>
      </c>
    </row>
    <row r="72" spans="2:34" x14ac:dyDescent="0.15">
      <c r="B72" s="20" t="s">
        <v>257</v>
      </c>
      <c r="C72" s="25"/>
      <c r="D72" s="25"/>
      <c r="E72" s="25"/>
      <c r="F72" s="25"/>
      <c r="G72" s="132">
        <f t="shared" ref="G72:H72" si="258">G55/G57</f>
        <v>33.680672268907564</v>
      </c>
      <c r="H72" s="132">
        <f t="shared" si="258"/>
        <v>15.733982157339822</v>
      </c>
      <c r="I72" s="132">
        <f t="shared" ref="I72:R72" si="259">I55/I57</f>
        <v>17.070022587931593</v>
      </c>
      <c r="J72" s="132">
        <f t="shared" si="259"/>
        <v>16.068690585709906</v>
      </c>
      <c r="K72" s="132">
        <f t="shared" si="259"/>
        <v>27.800348229831688</v>
      </c>
      <c r="L72" s="132">
        <f t="shared" si="259"/>
        <v>18.86574074074074</v>
      </c>
      <c r="M72" s="132">
        <f t="shared" si="259"/>
        <v>38.121229531743751</v>
      </c>
      <c r="N72" s="132">
        <f t="shared" si="259"/>
        <v>21.292765345311928</v>
      </c>
      <c r="O72" s="132">
        <f t="shared" si="259"/>
        <v>24.976744625612099</v>
      </c>
      <c r="P72" s="132">
        <f t="shared" si="259"/>
        <v>29.51812069750623</v>
      </c>
      <c r="Q72" s="132">
        <f t="shared" si="259"/>
        <v>32.61038961038961</v>
      </c>
      <c r="R72" s="132">
        <f t="shared" si="259"/>
        <v>39.702072538860101</v>
      </c>
      <c r="S72" s="132">
        <f t="shared" ref="S72" si="260">S55/S57</f>
        <v>18.704682985335005</v>
      </c>
      <c r="T72" s="118">
        <f t="shared" si="251"/>
        <v>-4.783079075073704E-2</v>
      </c>
      <c r="U72" s="128"/>
      <c r="V72" s="155">
        <f t="shared" ref="V72:AE72" si="261">V55/V57</f>
        <v>19.951661851024006</v>
      </c>
      <c r="W72" s="155">
        <f t="shared" si="261"/>
        <v>21.281772641092271</v>
      </c>
      <c r="X72" s="155">
        <f t="shared" si="261"/>
        <v>22.700557483831759</v>
      </c>
      <c r="Y72" s="155">
        <f t="shared" si="261"/>
        <v>24.21392798275388</v>
      </c>
      <c r="Z72" s="155">
        <f t="shared" si="261"/>
        <v>25.828189848270803</v>
      </c>
      <c r="AA72" s="155">
        <f t="shared" si="261"/>
        <v>27.550069171488857</v>
      </c>
      <c r="AB72" s="155">
        <f t="shared" si="261"/>
        <v>29.386740449588117</v>
      </c>
      <c r="AC72" s="155">
        <f t="shared" si="261"/>
        <v>31.345856479560656</v>
      </c>
      <c r="AD72" s="155">
        <f t="shared" si="261"/>
        <v>33.43558024486471</v>
      </c>
      <c r="AE72" s="155">
        <f t="shared" si="261"/>
        <v>35.664618927855692</v>
      </c>
      <c r="AF72" s="136">
        <f t="shared" ref="AF72:AF86" si="262">((AE72/I72)^(1/($AE$3-$J$1) ))-1</f>
        <v>3.571021954805853E-2</v>
      </c>
      <c r="AG72" s="31">
        <f t="shared" si="16"/>
        <v>0.05</v>
      </c>
      <c r="AH72" s="144">
        <f t="shared" ref="AH72:AH100" si="263">(AE72*(1+AG72))/($C$1-AG72)</f>
        <v>220.28146984852046</v>
      </c>
    </row>
    <row r="73" spans="2:34" x14ac:dyDescent="0.15">
      <c r="B73" s="20" t="s">
        <v>384</v>
      </c>
      <c r="C73" s="132"/>
      <c r="D73" s="132"/>
      <c r="E73" s="132"/>
      <c r="F73" s="132"/>
      <c r="G73" s="132">
        <f t="shared" ref="G73:H73" si="264">G20/G57</f>
        <v>13.61344537815126</v>
      </c>
      <c r="H73" s="132">
        <f t="shared" si="264"/>
        <v>-21.330089213300891</v>
      </c>
      <c r="I73" s="132">
        <f>I20/I57</f>
        <v>3.8076798967408845</v>
      </c>
      <c r="J73" s="132">
        <f t="shared" ref="J73:R73" si="265">J20/J57</f>
        <v>11.775528978840846</v>
      </c>
      <c r="K73" s="132">
        <f t="shared" si="265"/>
        <v>-19.007544979686593</v>
      </c>
      <c r="L73" s="132">
        <f t="shared" si="265"/>
        <v>-24.103009259259256</v>
      </c>
      <c r="M73" s="132">
        <f t="shared" si="265"/>
        <v>45.159436943407066</v>
      </c>
      <c r="N73" s="132">
        <f t="shared" si="265"/>
        <v>-20.003528437851998</v>
      </c>
      <c r="O73" s="132">
        <f t="shared" si="265"/>
        <v>-18.06426178868594</v>
      </c>
      <c r="P73" s="132">
        <f t="shared" si="265"/>
        <v>-18.81713229582407</v>
      </c>
      <c r="Q73" s="132">
        <f t="shared" si="265"/>
        <v>116.8961038961039</v>
      </c>
      <c r="R73" s="132">
        <f t="shared" si="265"/>
        <v>66.334196891191709</v>
      </c>
      <c r="S73" s="132">
        <f t="shared" ref="S73" si="266">S20/S57</f>
        <v>33.435097857493318</v>
      </c>
      <c r="T73" s="118">
        <f t="shared" si="251"/>
        <v>7.7753756993071299E-2</v>
      </c>
      <c r="U73" s="128"/>
      <c r="V73" s="132">
        <f t="shared" ref="V73:AE73" si="267">V20/V57</f>
        <v>35.664104381326212</v>
      </c>
      <c r="W73" s="132">
        <f t="shared" si="267"/>
        <v>38.041711340081299</v>
      </c>
      <c r="X73" s="132">
        <f t="shared" si="267"/>
        <v>40.577825429420052</v>
      </c>
      <c r="Y73" s="132">
        <f t="shared" si="267"/>
        <v>43.283013791381386</v>
      </c>
      <c r="Z73" s="132">
        <f t="shared" si="267"/>
        <v>46.168548044140145</v>
      </c>
      <c r="AA73" s="132">
        <f t="shared" si="267"/>
        <v>49.246451247082824</v>
      </c>
      <c r="AB73" s="132">
        <f t="shared" si="267"/>
        <v>52.529547996888347</v>
      </c>
      <c r="AC73" s="132">
        <f t="shared" si="267"/>
        <v>56.031517863347574</v>
      </c>
      <c r="AD73" s="132">
        <f t="shared" si="267"/>
        <v>59.766952387570747</v>
      </c>
      <c r="AE73" s="132">
        <f t="shared" si="267"/>
        <v>63.75141588007547</v>
      </c>
      <c r="AF73" s="136">
        <f t="shared" ref="AF73" si="268">((AE73/I73)^(1/($AE$3-$J$1) ))-1</f>
        <v>0.14360906879610247</v>
      </c>
      <c r="AG73" s="31">
        <f t="shared" si="16"/>
        <v>0.05</v>
      </c>
      <c r="AH73" s="144">
        <f t="shared" si="263"/>
        <v>393.75874514164263</v>
      </c>
    </row>
    <row r="74" spans="2:34" x14ac:dyDescent="0.15">
      <c r="B74" s="20" t="s">
        <v>245</v>
      </c>
      <c r="C74" s="25"/>
      <c r="D74" s="25"/>
      <c r="E74" s="25"/>
      <c r="F74" s="25"/>
      <c r="G74" s="132">
        <f t="shared" ref="G74:H74" si="269">G7/G57</f>
        <v>207.73109243697479</v>
      </c>
      <c r="H74" s="132">
        <f t="shared" si="269"/>
        <v>119.38361719383617</v>
      </c>
      <c r="I74" s="132">
        <f t="shared" ref="I74:R74" si="270">I7/I57</f>
        <v>72.862213617295907</v>
      </c>
      <c r="J74" s="132">
        <f t="shared" si="270"/>
        <v>100</v>
      </c>
      <c r="K74" s="132">
        <f t="shared" si="270"/>
        <v>170.69065583284967</v>
      </c>
      <c r="L74" s="132">
        <f t="shared" si="270"/>
        <v>191.37731481481481</v>
      </c>
      <c r="M74" s="132">
        <f t="shared" si="270"/>
        <v>228.81355932203388</v>
      </c>
      <c r="N74" s="132">
        <f t="shared" si="270"/>
        <v>149.26649205422939</v>
      </c>
      <c r="O74" s="132">
        <f t="shared" si="270"/>
        <v>174.63469823367163</v>
      </c>
      <c r="P74" s="132">
        <f t="shared" si="270"/>
        <v>204.47057563013956</v>
      </c>
      <c r="Q74" s="132">
        <f t="shared" si="270"/>
        <v>247.84415584415584</v>
      </c>
      <c r="R74" s="132">
        <f t="shared" si="270"/>
        <v>286.80051813471499</v>
      </c>
      <c r="S74" s="132">
        <f t="shared" ref="S74" si="271">S7/S57</f>
        <v>181.88954914681349</v>
      </c>
      <c r="T74" s="118">
        <f t="shared" si="251"/>
        <v>-1.1009347663368252E-2</v>
      </c>
      <c r="U74" s="128"/>
      <c r="V74" s="155">
        <f t="shared" ref="V74:AE74" si="272">V7/V57</f>
        <v>194.01551908993437</v>
      </c>
      <c r="W74" s="155">
        <f t="shared" si="272"/>
        <v>206.94988702926338</v>
      </c>
      <c r="X74" s="155">
        <f t="shared" si="272"/>
        <v>220.74654616454762</v>
      </c>
      <c r="Y74" s="155">
        <f t="shared" si="272"/>
        <v>235.46298257551746</v>
      </c>
      <c r="Z74" s="155">
        <f t="shared" si="272"/>
        <v>251.16051474721863</v>
      </c>
      <c r="AA74" s="155">
        <f t="shared" si="272"/>
        <v>267.9045490636999</v>
      </c>
      <c r="AB74" s="155">
        <f t="shared" si="272"/>
        <v>285.76485233461324</v>
      </c>
      <c r="AC74" s="155">
        <f t="shared" si="272"/>
        <v>304.81584249025411</v>
      </c>
      <c r="AD74" s="155">
        <f t="shared" si="272"/>
        <v>325.13689865627106</v>
      </c>
      <c r="AE74" s="155">
        <f t="shared" si="272"/>
        <v>346.81269190002257</v>
      </c>
      <c r="AF74" s="136">
        <f t="shared" si="262"/>
        <v>7.7125519193216308E-2</v>
      </c>
      <c r="AG74" s="31">
        <f t="shared" si="16"/>
        <v>0.05</v>
      </c>
      <c r="AH74" s="144">
        <f t="shared" si="263"/>
        <v>2142.0783911471985</v>
      </c>
    </row>
    <row r="75" spans="2:34" x14ac:dyDescent="0.15">
      <c r="B75" s="20" t="s">
        <v>246</v>
      </c>
      <c r="C75" s="127"/>
      <c r="D75" s="127"/>
      <c r="E75" s="127"/>
      <c r="F75" s="127"/>
      <c r="G75" s="142">
        <f t="shared" ref="G75:H75" si="273">G6/G57</f>
        <v>197.64705882352939</v>
      </c>
      <c r="H75" s="142">
        <f t="shared" si="273"/>
        <v>108.9213300892133</v>
      </c>
      <c r="I75" s="142">
        <f t="shared" ref="I75:R75" si="274">I6/I57</f>
        <v>62.891255243626979</v>
      </c>
      <c r="J75" s="142">
        <f t="shared" si="274"/>
        <v>90.003066544004909</v>
      </c>
      <c r="K75" s="142">
        <f t="shared" si="274"/>
        <v>158.9959373186303</v>
      </c>
      <c r="L75" s="142">
        <f t="shared" si="274"/>
        <v>181.36574074074073</v>
      </c>
      <c r="M75" s="142">
        <f t="shared" si="274"/>
        <v>218.81643205975294</v>
      </c>
      <c r="N75" s="142">
        <f t="shared" si="274"/>
        <v>143.77027155400546</v>
      </c>
      <c r="O75" s="142">
        <f t="shared" si="274"/>
        <v>169.16681630211872</v>
      </c>
      <c r="P75" s="142">
        <f t="shared" si="274"/>
        <v>199.23392173144404</v>
      </c>
      <c r="Q75" s="142">
        <f t="shared" si="274"/>
        <v>242.72727272727272</v>
      </c>
      <c r="R75" s="142">
        <f t="shared" si="274"/>
        <v>281.76165803108807</v>
      </c>
      <c r="S75" s="142">
        <f t="shared" ref="S75" si="275">S6/S57</f>
        <v>176.86856021370551</v>
      </c>
      <c r="T75" s="118">
        <f t="shared" si="251"/>
        <v>-9.213629470687712E-3</v>
      </c>
      <c r="U75" s="128"/>
      <c r="V75" s="154">
        <f t="shared" ref="V75:AE75" si="276">V6/V57</f>
        <v>188.65979756128587</v>
      </c>
      <c r="W75" s="154">
        <f t="shared" si="276"/>
        <v>201.23711739870492</v>
      </c>
      <c r="X75" s="154">
        <f t="shared" si="276"/>
        <v>214.65292522528529</v>
      </c>
      <c r="Y75" s="154">
        <f t="shared" si="276"/>
        <v>228.96312024030431</v>
      </c>
      <c r="Z75" s="154">
        <f t="shared" si="276"/>
        <v>244.2273282563246</v>
      </c>
      <c r="AA75" s="154">
        <f t="shared" si="276"/>
        <v>260.50915014007956</v>
      </c>
      <c r="AB75" s="154">
        <f t="shared" si="276"/>
        <v>277.87642681608492</v>
      </c>
      <c r="AC75" s="154">
        <f t="shared" si="276"/>
        <v>296.40152193715721</v>
      </c>
      <c r="AD75" s="154">
        <f t="shared" si="276"/>
        <v>316.16162339963444</v>
      </c>
      <c r="AE75" s="154">
        <f t="shared" si="276"/>
        <v>337.23906495961012</v>
      </c>
      <c r="AF75" s="136">
        <f t="shared" si="262"/>
        <v>8.3255340349066564E-2</v>
      </c>
      <c r="AG75" s="31">
        <f t="shared" si="16"/>
        <v>0.05</v>
      </c>
      <c r="AH75" s="144">
        <f t="shared" si="263"/>
        <v>2082.9471659270039</v>
      </c>
    </row>
    <row r="76" spans="2:34" x14ac:dyDescent="0.15">
      <c r="B76" s="20" t="s">
        <v>247</v>
      </c>
      <c r="C76" s="127"/>
      <c r="D76" s="127"/>
      <c r="E76" s="127"/>
      <c r="F76" s="127"/>
      <c r="G76" s="142">
        <f t="shared" ref="G76:H76" si="277">G10/G57</f>
        <v>1230.9243697478992</v>
      </c>
      <c r="H76" s="142">
        <f t="shared" si="277"/>
        <v>612.81427412814276</v>
      </c>
      <c r="I76" s="142">
        <f t="shared" ref="I76:R76" si="278">I10/I57</f>
        <v>368.31235882542757</v>
      </c>
      <c r="J76" s="142">
        <f t="shared" si="278"/>
        <v>602.45323520392515</v>
      </c>
      <c r="K76" s="142">
        <f t="shared" si="278"/>
        <v>767.96285548461981</v>
      </c>
      <c r="L76" s="142">
        <f t="shared" si="278"/>
        <v>719.96527777777771</v>
      </c>
      <c r="M76" s="142">
        <f t="shared" si="278"/>
        <v>1025.6822752082735</v>
      </c>
      <c r="N76" s="142">
        <f t="shared" si="278"/>
        <v>670.2131990717495</v>
      </c>
      <c r="O76" s="142">
        <f t="shared" si="278"/>
        <v>886.40441534841204</v>
      </c>
      <c r="P76" s="142">
        <f t="shared" si="278"/>
        <v>1159.3094581201619</v>
      </c>
      <c r="Q76" s="142">
        <f t="shared" si="278"/>
        <v>1109.0389610389611</v>
      </c>
      <c r="R76" s="142">
        <f t="shared" si="278"/>
        <v>1350.4922279792745</v>
      </c>
      <c r="S76" s="142">
        <f t="shared" ref="S76" si="279">S10/S57</f>
        <v>979.54533064384225</v>
      </c>
      <c r="T76" s="118">
        <f t="shared" si="251"/>
        <v>-1.8855973523125735E-2</v>
      </c>
      <c r="U76" s="128"/>
      <c r="V76" s="154">
        <f t="shared" ref="V76:AE76" si="280">V10/V57</f>
        <v>1044.8483526867651</v>
      </c>
      <c r="W76" s="154">
        <f t="shared" si="280"/>
        <v>1114.5049095325496</v>
      </c>
      <c r="X76" s="154">
        <f t="shared" si="280"/>
        <v>1188.8052368347196</v>
      </c>
      <c r="Y76" s="154">
        <f t="shared" si="280"/>
        <v>1268.0589192903678</v>
      </c>
      <c r="Z76" s="154">
        <f t="shared" si="280"/>
        <v>1352.5961805763925</v>
      </c>
      <c r="AA76" s="154">
        <f t="shared" si="280"/>
        <v>1442.7692592814856</v>
      </c>
      <c r="AB76" s="154">
        <f t="shared" si="280"/>
        <v>1538.9538765669179</v>
      </c>
      <c r="AC76" s="154">
        <f t="shared" si="280"/>
        <v>1641.5508016713791</v>
      </c>
      <c r="AD76" s="154">
        <f t="shared" si="280"/>
        <v>1750.9875217828046</v>
      </c>
      <c r="AE76" s="154">
        <f t="shared" si="280"/>
        <v>1867.7200232349919</v>
      </c>
      <c r="AF76" s="136">
        <f t="shared" si="262"/>
        <v>8.0378605518838242E-2</v>
      </c>
      <c r="AG76" s="31">
        <f t="shared" si="16"/>
        <v>0.05</v>
      </c>
      <c r="AH76" s="144">
        <f t="shared" si="263"/>
        <v>11535.917790569069</v>
      </c>
    </row>
    <row r="77" spans="2:34" x14ac:dyDescent="0.15">
      <c r="B77" s="20"/>
      <c r="C77" s="127"/>
      <c r="D77" s="127"/>
      <c r="E77" s="127"/>
      <c r="F77" s="127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28"/>
      <c r="U77" s="128"/>
      <c r="V77" s="154"/>
      <c r="W77" s="154"/>
      <c r="X77" s="154"/>
      <c r="Y77" s="154"/>
      <c r="Z77" s="154"/>
      <c r="AA77" s="154"/>
      <c r="AB77" s="154"/>
      <c r="AC77" s="154"/>
      <c r="AD77" s="154"/>
      <c r="AE77" s="154"/>
      <c r="AF77" s="137"/>
      <c r="AG77" s="135"/>
      <c r="AH77" s="144"/>
    </row>
    <row r="78" spans="2:34" x14ac:dyDescent="0.15">
      <c r="B78" s="20" t="s">
        <v>270</v>
      </c>
      <c r="C78" s="127"/>
      <c r="D78" s="127"/>
      <c r="E78" s="127"/>
      <c r="F78" s="127"/>
      <c r="G78" s="142">
        <f t="shared" ref="G78:H78" si="281">(G7-G10)/G57</f>
        <v>-1023.1932773109244</v>
      </c>
      <c r="H78" s="142">
        <f t="shared" si="281"/>
        <v>-493.43065693430657</v>
      </c>
      <c r="I78" s="142">
        <f t="shared" ref="I78:R78" si="282">(I7-I10)/I57</f>
        <v>-295.45014520813169</v>
      </c>
      <c r="J78" s="142">
        <f t="shared" si="282"/>
        <v>-502.4532352039252</v>
      </c>
      <c r="K78" s="142">
        <f t="shared" si="282"/>
        <v>-597.27219965177017</v>
      </c>
      <c r="L78" s="142">
        <f t="shared" si="282"/>
        <v>-528.58796296296293</v>
      </c>
      <c r="M78" s="142">
        <f t="shared" si="282"/>
        <v>-796.86871588623956</v>
      </c>
      <c r="N78" s="142">
        <f t="shared" si="282"/>
        <v>-520.94670701752011</v>
      </c>
      <c r="O78" s="142">
        <f t="shared" si="282"/>
        <v>-711.7697171147405</v>
      </c>
      <c r="P78" s="142">
        <f t="shared" si="282"/>
        <v>-954.83888249002223</v>
      </c>
      <c r="Q78" s="142">
        <f t="shared" si="282"/>
        <v>-861.19480519480521</v>
      </c>
      <c r="R78" s="142">
        <f t="shared" si="282"/>
        <v>-1063.6917098445595</v>
      </c>
      <c r="S78" s="142">
        <f t="shared" ref="S78" si="283">(S7-S10)/S57</f>
        <v>-797.65578149702878</v>
      </c>
      <c r="T78" s="118">
        <f t="shared" si="251"/>
        <v>-2.0536732840996885E-2</v>
      </c>
      <c r="U78" s="128"/>
      <c r="V78" s="154">
        <f t="shared" ref="V78:AE78" si="284">(V7-V10)/V57</f>
        <v>-850.83283359683082</v>
      </c>
      <c r="W78" s="154">
        <f t="shared" si="284"/>
        <v>-907.5550225032863</v>
      </c>
      <c r="X78" s="154">
        <f t="shared" si="284"/>
        <v>-968.05869067017215</v>
      </c>
      <c r="Y78" s="154">
        <f t="shared" si="284"/>
        <v>-1032.5959367148505</v>
      </c>
      <c r="Z78" s="154">
        <f t="shared" si="284"/>
        <v>-1101.435665829174</v>
      </c>
      <c r="AA78" s="154">
        <f t="shared" si="284"/>
        <v>-1174.8647102177856</v>
      </c>
      <c r="AB78" s="154">
        <f t="shared" si="284"/>
        <v>-1253.1890242323045</v>
      </c>
      <c r="AC78" s="154">
        <f t="shared" si="284"/>
        <v>-1336.7349591811249</v>
      </c>
      <c r="AD78" s="154">
        <f t="shared" si="284"/>
        <v>-1425.8506231265335</v>
      </c>
      <c r="AE78" s="154">
        <f t="shared" si="284"/>
        <v>-1520.9073313349695</v>
      </c>
      <c r="AF78" s="136">
        <f t="shared" si="262"/>
        <v>8.1151605086433598E-2</v>
      </c>
      <c r="AG78" s="31">
        <f t="shared" si="16"/>
        <v>0.05</v>
      </c>
      <c r="AH78" s="144">
        <f t="shared" si="263"/>
        <v>-9393.8393994218713</v>
      </c>
    </row>
    <row r="79" spans="2:34" x14ac:dyDescent="0.15">
      <c r="B79" s="20" t="s">
        <v>271</v>
      </c>
      <c r="C79" s="127"/>
      <c r="D79" s="127"/>
      <c r="E79" s="127"/>
      <c r="F79" s="127"/>
      <c r="G79" s="142">
        <f t="shared" ref="G79:H79" si="285">(G7-G10-G9)/G57</f>
        <v>-1023.1932773109244</v>
      </c>
      <c r="H79" s="142">
        <f t="shared" si="285"/>
        <v>-493.43065693430657</v>
      </c>
      <c r="I79" s="142">
        <f t="shared" ref="I79:R79" si="286">(I7-I10-I9)/I57</f>
        <v>-295.45014520813169</v>
      </c>
      <c r="J79" s="142">
        <f t="shared" si="286"/>
        <v>-502.4532352039252</v>
      </c>
      <c r="K79" s="142">
        <f t="shared" si="286"/>
        <v>-597.27219965177017</v>
      </c>
      <c r="L79" s="142">
        <f t="shared" si="286"/>
        <v>-528.58796296296293</v>
      </c>
      <c r="M79" s="142">
        <f t="shared" si="286"/>
        <v>-796.86871588623956</v>
      </c>
      <c r="N79" s="142">
        <f t="shared" si="286"/>
        <v>-520.94670701752011</v>
      </c>
      <c r="O79" s="142">
        <f t="shared" si="286"/>
        <v>-711.7697171147405</v>
      </c>
      <c r="P79" s="142">
        <f t="shared" si="286"/>
        <v>-954.83888249002223</v>
      </c>
      <c r="Q79" s="142">
        <f t="shared" si="286"/>
        <v>-861.19480519480521</v>
      </c>
      <c r="R79" s="142">
        <f t="shared" si="286"/>
        <v>-1063.6917098445595</v>
      </c>
      <c r="S79" s="142">
        <f t="shared" ref="S79" si="287">(S7-S10-S9)/S57</f>
        <v>-797.65578149702878</v>
      </c>
      <c r="T79" s="118">
        <f t="shared" si="251"/>
        <v>-2.0536732840996885E-2</v>
      </c>
      <c r="U79" s="128"/>
      <c r="V79" s="154">
        <f t="shared" ref="V79:AE79" si="288">(V7-V10-V9)/V57</f>
        <v>-850.83283359683082</v>
      </c>
      <c r="W79" s="154">
        <f t="shared" si="288"/>
        <v>-907.5550225032863</v>
      </c>
      <c r="X79" s="154">
        <f t="shared" si="288"/>
        <v>-968.05869067017215</v>
      </c>
      <c r="Y79" s="154">
        <f t="shared" si="288"/>
        <v>-1032.5959367148505</v>
      </c>
      <c r="Z79" s="154">
        <f t="shared" si="288"/>
        <v>-1101.435665829174</v>
      </c>
      <c r="AA79" s="154">
        <f t="shared" si="288"/>
        <v>-1174.8647102177856</v>
      </c>
      <c r="AB79" s="154">
        <f t="shared" si="288"/>
        <v>-1253.1890242323045</v>
      </c>
      <c r="AC79" s="154">
        <f t="shared" si="288"/>
        <v>-1336.7349591811249</v>
      </c>
      <c r="AD79" s="154">
        <f t="shared" si="288"/>
        <v>-1425.8506231265335</v>
      </c>
      <c r="AE79" s="154">
        <f t="shared" si="288"/>
        <v>-1520.9073313349695</v>
      </c>
      <c r="AF79" s="136">
        <f t="shared" si="262"/>
        <v>8.1151605086433598E-2</v>
      </c>
      <c r="AG79" s="31">
        <f t="shared" si="16"/>
        <v>0.05</v>
      </c>
      <c r="AH79" s="144">
        <f t="shared" si="263"/>
        <v>-9393.8393994218713</v>
      </c>
    </row>
    <row r="80" spans="2:34" x14ac:dyDescent="0.15">
      <c r="B80" s="20" t="s">
        <v>276</v>
      </c>
      <c r="C80" s="127"/>
      <c r="D80" s="127"/>
      <c r="E80" s="127"/>
      <c r="F80" s="127"/>
      <c r="G80" s="142">
        <f t="shared" ref="G80:H80" si="289">(G7+G15-G10-G9)/G57</f>
        <v>-1023.1932773109244</v>
      </c>
      <c r="H80" s="142">
        <f t="shared" si="289"/>
        <v>-493.43065693430657</v>
      </c>
      <c r="I80" s="142">
        <f t="shared" ref="I80:R80" si="290">(I7+I15-I10-I9)/I57</f>
        <v>-295.45014520813169</v>
      </c>
      <c r="J80" s="142">
        <f t="shared" si="290"/>
        <v>-502.4532352039252</v>
      </c>
      <c r="K80" s="142">
        <f t="shared" si="290"/>
        <v>-597.27219965177017</v>
      </c>
      <c r="L80" s="142">
        <f t="shared" si="290"/>
        <v>-528.58796296296293</v>
      </c>
      <c r="M80" s="142">
        <f t="shared" si="290"/>
        <v>-796.86871588623956</v>
      </c>
      <c r="N80" s="142">
        <f t="shared" si="290"/>
        <v>-520.94670701752011</v>
      </c>
      <c r="O80" s="142">
        <f t="shared" si="290"/>
        <v>-711.7697171147405</v>
      </c>
      <c r="P80" s="142">
        <f t="shared" si="290"/>
        <v>-954.83888249002223</v>
      </c>
      <c r="Q80" s="142">
        <f t="shared" si="290"/>
        <v>-861.19480519480521</v>
      </c>
      <c r="R80" s="142">
        <f t="shared" si="290"/>
        <v>-1063.6917098445595</v>
      </c>
      <c r="S80" s="142">
        <f t="shared" ref="S80" si="291">(S7+S15-S10-S9)/S57</f>
        <v>-797.65578149702878</v>
      </c>
      <c r="T80" s="118">
        <f t="shared" si="251"/>
        <v>-2.0536732840996885E-2</v>
      </c>
      <c r="U80" s="128"/>
      <c r="V80" s="154">
        <f t="shared" ref="V80:AE80" si="292">(V7+V15-V10-V9)/V57</f>
        <v>-850.83283359683082</v>
      </c>
      <c r="W80" s="154">
        <f t="shared" si="292"/>
        <v>-907.5550225032863</v>
      </c>
      <c r="X80" s="154">
        <f t="shared" si="292"/>
        <v>-968.05869067017215</v>
      </c>
      <c r="Y80" s="154">
        <f t="shared" si="292"/>
        <v>-1032.5959367148505</v>
      </c>
      <c r="Z80" s="154">
        <f t="shared" si="292"/>
        <v>-1101.435665829174</v>
      </c>
      <c r="AA80" s="154">
        <f t="shared" si="292"/>
        <v>-1174.8647102177856</v>
      </c>
      <c r="AB80" s="154">
        <f t="shared" si="292"/>
        <v>-1253.1890242323045</v>
      </c>
      <c r="AC80" s="154">
        <f t="shared" si="292"/>
        <v>-1336.7349591811249</v>
      </c>
      <c r="AD80" s="154">
        <f t="shared" si="292"/>
        <v>-1425.8506231265335</v>
      </c>
      <c r="AE80" s="154">
        <f t="shared" si="292"/>
        <v>-1520.9073313349695</v>
      </c>
      <c r="AF80" s="136">
        <f t="shared" si="262"/>
        <v>8.1151605086433598E-2</v>
      </c>
      <c r="AG80" s="31">
        <f t="shared" si="16"/>
        <v>0.05</v>
      </c>
      <c r="AH80" s="144">
        <f t="shared" si="263"/>
        <v>-9393.8393994218713</v>
      </c>
    </row>
    <row r="81" spans="2:34" x14ac:dyDescent="0.15">
      <c r="B81" s="20"/>
      <c r="C81" s="127"/>
      <c r="D81" s="127"/>
      <c r="E81" s="127"/>
      <c r="F81" s="127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28"/>
      <c r="U81" s="128"/>
      <c r="V81" s="151"/>
      <c r="W81" s="151"/>
      <c r="X81" s="151"/>
      <c r="Y81" s="151"/>
      <c r="Z81" s="151"/>
      <c r="AA81" s="151"/>
      <c r="AB81" s="151"/>
      <c r="AC81" s="151"/>
      <c r="AD81" s="151"/>
      <c r="AE81" s="151"/>
      <c r="AF81" s="137"/>
      <c r="AG81" s="135"/>
      <c r="AH81" s="151"/>
    </row>
    <row r="82" spans="2:34" x14ac:dyDescent="0.15">
      <c r="B82" s="20" t="s">
        <v>248</v>
      </c>
      <c r="C82" s="127"/>
      <c r="D82" s="127"/>
      <c r="E82" s="127"/>
      <c r="F82" s="127"/>
      <c r="G82" s="142">
        <f t="shared" ref="G82:H82" si="293">G12/G57</f>
        <v>0</v>
      </c>
      <c r="H82" s="142">
        <f t="shared" si="293"/>
        <v>0</v>
      </c>
      <c r="I82" s="142">
        <f t="shared" ref="I82:R82" si="294">I12/I57</f>
        <v>0</v>
      </c>
      <c r="J82" s="142">
        <f t="shared" si="294"/>
        <v>0</v>
      </c>
      <c r="K82" s="142">
        <f t="shared" si="294"/>
        <v>0</v>
      </c>
      <c r="L82" s="142">
        <f t="shared" si="294"/>
        <v>0</v>
      </c>
      <c r="M82" s="142">
        <f t="shared" si="294"/>
        <v>0</v>
      </c>
      <c r="N82" s="142">
        <f t="shared" si="294"/>
        <v>0</v>
      </c>
      <c r="O82" s="142">
        <f t="shared" si="294"/>
        <v>0</v>
      </c>
      <c r="P82" s="142">
        <f t="shared" si="294"/>
        <v>0</v>
      </c>
      <c r="Q82" s="142">
        <f t="shared" si="294"/>
        <v>0</v>
      </c>
      <c r="R82" s="142">
        <f t="shared" si="294"/>
        <v>0</v>
      </c>
      <c r="S82" s="142">
        <f t="shared" ref="S82" si="295">S12/S57</f>
        <v>0</v>
      </c>
      <c r="T82" s="118" t="e">
        <f t="shared" si="251"/>
        <v>#DIV/0!</v>
      </c>
      <c r="U82" s="128"/>
      <c r="V82" s="154">
        <f t="shared" ref="V82:AE82" si="296">V12/V57</f>
        <v>0</v>
      </c>
      <c r="W82" s="154">
        <f t="shared" si="296"/>
        <v>0</v>
      </c>
      <c r="X82" s="154">
        <f t="shared" si="296"/>
        <v>0</v>
      </c>
      <c r="Y82" s="154">
        <f t="shared" si="296"/>
        <v>0</v>
      </c>
      <c r="Z82" s="154">
        <f t="shared" si="296"/>
        <v>0</v>
      </c>
      <c r="AA82" s="154">
        <f t="shared" si="296"/>
        <v>0</v>
      </c>
      <c r="AB82" s="154">
        <f t="shared" si="296"/>
        <v>0</v>
      </c>
      <c r="AC82" s="154">
        <f t="shared" si="296"/>
        <v>0</v>
      </c>
      <c r="AD82" s="154">
        <f t="shared" si="296"/>
        <v>0</v>
      </c>
      <c r="AE82" s="154">
        <f t="shared" si="296"/>
        <v>0</v>
      </c>
      <c r="AF82" s="136" t="e">
        <f t="shared" si="262"/>
        <v>#DIV/0!</v>
      </c>
      <c r="AG82" s="31">
        <f t="shared" si="16"/>
        <v>0.05</v>
      </c>
      <c r="AH82" s="144">
        <f t="shared" si="263"/>
        <v>0</v>
      </c>
    </row>
    <row r="83" spans="2:34" x14ac:dyDescent="0.15">
      <c r="B83" s="20" t="s">
        <v>255</v>
      </c>
      <c r="C83" s="127"/>
      <c r="D83" s="127"/>
      <c r="E83" s="127"/>
      <c r="F83" s="127"/>
      <c r="G83" s="142">
        <f t="shared" ref="G83:H83" si="297">G13/G57</f>
        <v>0</v>
      </c>
      <c r="H83" s="142">
        <f t="shared" si="297"/>
        <v>0</v>
      </c>
      <c r="I83" s="142">
        <f t="shared" ref="I83:R83" si="298">I13/I57</f>
        <v>0</v>
      </c>
      <c r="J83" s="142">
        <f t="shared" si="298"/>
        <v>0</v>
      </c>
      <c r="K83" s="142">
        <f t="shared" si="298"/>
        <v>0</v>
      </c>
      <c r="L83" s="142">
        <f t="shared" si="298"/>
        <v>0</v>
      </c>
      <c r="M83" s="142">
        <f t="shared" si="298"/>
        <v>0</v>
      </c>
      <c r="N83" s="142">
        <f t="shared" si="298"/>
        <v>0</v>
      </c>
      <c r="O83" s="142">
        <f t="shared" si="298"/>
        <v>0</v>
      </c>
      <c r="P83" s="142">
        <f t="shared" si="298"/>
        <v>0</v>
      </c>
      <c r="Q83" s="142">
        <f t="shared" si="298"/>
        <v>0</v>
      </c>
      <c r="R83" s="142">
        <f t="shared" si="298"/>
        <v>0</v>
      </c>
      <c r="S83" s="142">
        <f t="shared" ref="S83" si="299">S13/S57</f>
        <v>0</v>
      </c>
      <c r="T83" s="118" t="e">
        <f t="shared" si="251"/>
        <v>#DIV/0!</v>
      </c>
      <c r="U83" s="128"/>
      <c r="V83" s="154">
        <f t="shared" ref="V83:AE83" si="300">V13/V57</f>
        <v>0</v>
      </c>
      <c r="W83" s="154">
        <f t="shared" si="300"/>
        <v>0</v>
      </c>
      <c r="X83" s="154">
        <f t="shared" si="300"/>
        <v>0</v>
      </c>
      <c r="Y83" s="154">
        <f t="shared" si="300"/>
        <v>0</v>
      </c>
      <c r="Z83" s="154">
        <f t="shared" si="300"/>
        <v>0</v>
      </c>
      <c r="AA83" s="154">
        <f t="shared" si="300"/>
        <v>0</v>
      </c>
      <c r="AB83" s="154">
        <f t="shared" si="300"/>
        <v>0</v>
      </c>
      <c r="AC83" s="154">
        <f t="shared" si="300"/>
        <v>0</v>
      </c>
      <c r="AD83" s="154">
        <f t="shared" si="300"/>
        <v>0</v>
      </c>
      <c r="AE83" s="154">
        <f t="shared" si="300"/>
        <v>0</v>
      </c>
      <c r="AF83" s="136" t="e">
        <f t="shared" si="262"/>
        <v>#DIV/0!</v>
      </c>
      <c r="AG83" s="31">
        <f t="shared" si="16"/>
        <v>0.05</v>
      </c>
      <c r="AH83" s="144">
        <f t="shared" si="263"/>
        <v>0</v>
      </c>
    </row>
    <row r="84" spans="2:34" x14ac:dyDescent="0.15">
      <c r="B84" s="20" t="s">
        <v>256</v>
      </c>
      <c r="C84" s="127"/>
      <c r="D84" s="127"/>
      <c r="E84" s="127"/>
      <c r="F84" s="127"/>
      <c r="G84" s="142">
        <f t="shared" ref="G84:H84" si="301">(G82+G83)</f>
        <v>0</v>
      </c>
      <c r="H84" s="142">
        <f t="shared" si="301"/>
        <v>0</v>
      </c>
      <c r="I84" s="142">
        <f t="shared" ref="I84:R84" si="302">(I82+I83)</f>
        <v>0</v>
      </c>
      <c r="J84" s="142">
        <f t="shared" si="302"/>
        <v>0</v>
      </c>
      <c r="K84" s="142">
        <f t="shared" si="302"/>
        <v>0</v>
      </c>
      <c r="L84" s="142">
        <f t="shared" si="302"/>
        <v>0</v>
      </c>
      <c r="M84" s="142">
        <f t="shared" si="302"/>
        <v>0</v>
      </c>
      <c r="N84" s="142">
        <f t="shared" si="302"/>
        <v>0</v>
      </c>
      <c r="O84" s="142">
        <f t="shared" si="302"/>
        <v>0</v>
      </c>
      <c r="P84" s="142">
        <f t="shared" si="302"/>
        <v>0</v>
      </c>
      <c r="Q84" s="142">
        <f t="shared" ref="Q84" si="303">(Q82+Q83)</f>
        <v>0</v>
      </c>
      <c r="R84" s="142">
        <f t="shared" si="302"/>
        <v>0</v>
      </c>
      <c r="S84" s="142">
        <f t="shared" ref="S84" si="304">(S82+S83)</f>
        <v>0</v>
      </c>
      <c r="T84" s="118" t="e">
        <f t="shared" si="251"/>
        <v>#DIV/0!</v>
      </c>
      <c r="U84" s="128"/>
      <c r="V84" s="154">
        <f t="shared" ref="V84:AE84" si="305">(V82+V83)</f>
        <v>0</v>
      </c>
      <c r="W84" s="154">
        <f t="shared" si="305"/>
        <v>0</v>
      </c>
      <c r="X84" s="154">
        <f t="shared" si="305"/>
        <v>0</v>
      </c>
      <c r="Y84" s="154">
        <f t="shared" si="305"/>
        <v>0</v>
      </c>
      <c r="Z84" s="154">
        <f t="shared" si="305"/>
        <v>0</v>
      </c>
      <c r="AA84" s="154">
        <f t="shared" si="305"/>
        <v>0</v>
      </c>
      <c r="AB84" s="154">
        <f t="shared" si="305"/>
        <v>0</v>
      </c>
      <c r="AC84" s="154">
        <f t="shared" si="305"/>
        <v>0</v>
      </c>
      <c r="AD84" s="154">
        <f t="shared" si="305"/>
        <v>0</v>
      </c>
      <c r="AE84" s="154">
        <f t="shared" si="305"/>
        <v>0</v>
      </c>
      <c r="AF84" s="136" t="e">
        <f t="shared" si="262"/>
        <v>#DIV/0!</v>
      </c>
      <c r="AG84" s="31">
        <f t="shared" si="16"/>
        <v>0.05</v>
      </c>
      <c r="AH84" s="144">
        <f t="shared" si="263"/>
        <v>0</v>
      </c>
    </row>
    <row r="85" spans="2:34" x14ac:dyDescent="0.15">
      <c r="B85" s="20" t="s">
        <v>249</v>
      </c>
      <c r="C85" s="127"/>
      <c r="D85" s="127"/>
      <c r="E85" s="127"/>
      <c r="F85" s="127"/>
      <c r="G85" s="142">
        <f t="shared" ref="G85:H85" si="306">G15/G57</f>
        <v>0</v>
      </c>
      <c r="H85" s="142">
        <f t="shared" si="306"/>
        <v>0</v>
      </c>
      <c r="I85" s="142">
        <f t="shared" ref="I85:R85" si="307">I15/I57</f>
        <v>0</v>
      </c>
      <c r="J85" s="142">
        <f t="shared" si="307"/>
        <v>0</v>
      </c>
      <c r="K85" s="142">
        <f t="shared" si="307"/>
        <v>0</v>
      </c>
      <c r="L85" s="142">
        <f t="shared" si="307"/>
        <v>0</v>
      </c>
      <c r="M85" s="142">
        <f t="shared" si="307"/>
        <v>0</v>
      </c>
      <c r="N85" s="142">
        <f t="shared" si="307"/>
        <v>0</v>
      </c>
      <c r="O85" s="142">
        <f t="shared" si="307"/>
        <v>0</v>
      </c>
      <c r="P85" s="142">
        <f t="shared" si="307"/>
        <v>0</v>
      </c>
      <c r="Q85" s="142">
        <f t="shared" si="307"/>
        <v>0</v>
      </c>
      <c r="R85" s="142">
        <f t="shared" si="307"/>
        <v>0</v>
      </c>
      <c r="S85" s="142">
        <f t="shared" ref="S85" si="308">S15/S57</f>
        <v>0</v>
      </c>
      <c r="T85" s="118" t="e">
        <f t="shared" si="251"/>
        <v>#DIV/0!</v>
      </c>
      <c r="U85" s="128"/>
      <c r="V85" s="154">
        <f t="shared" ref="V85:AE85" si="309">V15/V57</f>
        <v>0</v>
      </c>
      <c r="W85" s="154">
        <f t="shared" si="309"/>
        <v>0</v>
      </c>
      <c r="X85" s="154">
        <f t="shared" si="309"/>
        <v>0</v>
      </c>
      <c r="Y85" s="154">
        <f t="shared" si="309"/>
        <v>0</v>
      </c>
      <c r="Z85" s="154">
        <f t="shared" si="309"/>
        <v>0</v>
      </c>
      <c r="AA85" s="154">
        <f t="shared" si="309"/>
        <v>0</v>
      </c>
      <c r="AB85" s="154">
        <f t="shared" si="309"/>
        <v>0</v>
      </c>
      <c r="AC85" s="154">
        <f t="shared" si="309"/>
        <v>0</v>
      </c>
      <c r="AD85" s="154">
        <f t="shared" si="309"/>
        <v>0</v>
      </c>
      <c r="AE85" s="154">
        <f t="shared" si="309"/>
        <v>0</v>
      </c>
      <c r="AF85" s="136" t="e">
        <f t="shared" si="262"/>
        <v>#DIV/0!</v>
      </c>
      <c r="AG85" s="31">
        <f t="shared" si="16"/>
        <v>0.05</v>
      </c>
      <c r="AH85" s="144">
        <f t="shared" si="263"/>
        <v>0</v>
      </c>
    </row>
    <row r="86" spans="2:34" x14ac:dyDescent="0.15">
      <c r="B86" s="20" t="s">
        <v>250</v>
      </c>
      <c r="C86" s="127"/>
      <c r="D86" s="127"/>
      <c r="E86" s="127"/>
      <c r="F86" s="127"/>
      <c r="G86" s="142">
        <f t="shared" ref="G86:H86" si="310">G16/G57</f>
        <v>0</v>
      </c>
      <c r="H86" s="142">
        <f t="shared" si="310"/>
        <v>0</v>
      </c>
      <c r="I86" s="142">
        <f t="shared" ref="I86:R86" si="311">I16/I57</f>
        <v>0</v>
      </c>
      <c r="J86" s="142">
        <f t="shared" si="311"/>
        <v>0</v>
      </c>
      <c r="K86" s="142">
        <f t="shared" si="311"/>
        <v>0</v>
      </c>
      <c r="L86" s="142">
        <f t="shared" si="311"/>
        <v>0</v>
      </c>
      <c r="M86" s="142">
        <f t="shared" si="311"/>
        <v>0</v>
      </c>
      <c r="N86" s="142">
        <f t="shared" si="311"/>
        <v>0</v>
      </c>
      <c r="O86" s="142">
        <f t="shared" si="311"/>
        <v>0</v>
      </c>
      <c r="P86" s="142">
        <f t="shared" si="311"/>
        <v>0</v>
      </c>
      <c r="Q86" s="142">
        <f t="shared" si="311"/>
        <v>0</v>
      </c>
      <c r="R86" s="142">
        <f t="shared" si="311"/>
        <v>0</v>
      </c>
      <c r="S86" s="142">
        <f t="shared" ref="S86" si="312">S16/S57</f>
        <v>0</v>
      </c>
      <c r="T86" s="118" t="e">
        <f t="shared" si="251"/>
        <v>#DIV/0!</v>
      </c>
      <c r="U86" s="128"/>
      <c r="V86" s="154">
        <f t="shared" ref="V86:AE86" si="313">V16/V57</f>
        <v>0</v>
      </c>
      <c r="W86" s="154">
        <f t="shared" si="313"/>
        <v>0</v>
      </c>
      <c r="X86" s="154">
        <f t="shared" si="313"/>
        <v>0</v>
      </c>
      <c r="Y86" s="154">
        <f t="shared" si="313"/>
        <v>0</v>
      </c>
      <c r="Z86" s="154">
        <f t="shared" si="313"/>
        <v>0</v>
      </c>
      <c r="AA86" s="154">
        <f t="shared" si="313"/>
        <v>0</v>
      </c>
      <c r="AB86" s="154">
        <f t="shared" si="313"/>
        <v>0</v>
      </c>
      <c r="AC86" s="154">
        <f t="shared" si="313"/>
        <v>0</v>
      </c>
      <c r="AD86" s="154">
        <f t="shared" si="313"/>
        <v>0</v>
      </c>
      <c r="AE86" s="154">
        <f t="shared" si="313"/>
        <v>0</v>
      </c>
      <c r="AF86" s="136" t="e">
        <f t="shared" si="262"/>
        <v>#DIV/0!</v>
      </c>
      <c r="AG86" s="135"/>
      <c r="AH86" s="144">
        <f t="shared" si="263"/>
        <v>0</v>
      </c>
    </row>
    <row r="87" spans="2:34" x14ac:dyDescent="0.15">
      <c r="B87" s="20"/>
      <c r="C87" s="127"/>
      <c r="D87" s="127"/>
      <c r="E87" s="127"/>
      <c r="F87" s="127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28"/>
      <c r="U87" s="128"/>
      <c r="V87" s="151"/>
      <c r="W87" s="151"/>
      <c r="X87" s="151"/>
      <c r="Y87" s="151"/>
      <c r="Z87" s="151"/>
      <c r="AA87" s="151"/>
      <c r="AB87" s="151"/>
      <c r="AC87" s="151"/>
      <c r="AD87" s="151"/>
      <c r="AE87" s="151"/>
      <c r="AF87" s="137"/>
      <c r="AG87" s="31">
        <f t="shared" si="16"/>
        <v>0.05</v>
      </c>
      <c r="AH87" s="144">
        <f t="shared" si="263"/>
        <v>0</v>
      </c>
    </row>
    <row r="88" spans="2:34" x14ac:dyDescent="0.15">
      <c r="B88" s="20" t="s">
        <v>282</v>
      </c>
      <c r="C88" s="156"/>
      <c r="D88" s="156"/>
      <c r="E88" s="156"/>
      <c r="F88" s="156"/>
      <c r="G88" s="156">
        <f t="shared" ref="G88:H88" si="314">G59</f>
        <v>2.4</v>
      </c>
      <c r="H88" s="156">
        <f t="shared" si="314"/>
        <v>1.25</v>
      </c>
      <c r="I88" s="156">
        <f t="shared" ref="I88:R88" si="315">I59</f>
        <v>0.6</v>
      </c>
      <c r="J88" s="156">
        <f t="shared" si="315"/>
        <v>0.7</v>
      </c>
      <c r="K88" s="156">
        <f t="shared" si="315"/>
        <v>0.75</v>
      </c>
      <c r="L88" s="156">
        <f t="shared" si="315"/>
        <v>0.75</v>
      </c>
      <c r="M88" s="156">
        <f t="shared" si="315"/>
        <v>0.85</v>
      </c>
      <c r="N88" s="156">
        <f t="shared" si="315"/>
        <v>0.5</v>
      </c>
      <c r="O88" s="156">
        <f t="shared" si="315"/>
        <v>0.6</v>
      </c>
      <c r="P88" s="156">
        <f t="shared" si="315"/>
        <v>0.7</v>
      </c>
      <c r="Q88" s="156">
        <f t="shared" si="315"/>
        <v>0.8</v>
      </c>
      <c r="R88" s="156">
        <f t="shared" si="315"/>
        <v>0.9</v>
      </c>
      <c r="S88" s="156">
        <f t="shared" ref="S88" si="316">S59</f>
        <v>0.5</v>
      </c>
      <c r="T88" s="118">
        <f t="shared" si="251"/>
        <v>-0.12253480931105409</v>
      </c>
      <c r="U88" s="128"/>
      <c r="V88" s="156">
        <f t="shared" ref="V88:AE88" si="317">V59</f>
        <v>0.52500000000000002</v>
      </c>
      <c r="W88" s="156">
        <f t="shared" si="317"/>
        <v>0.55125000000000002</v>
      </c>
      <c r="X88" s="156">
        <f t="shared" si="317"/>
        <v>0.57881250000000006</v>
      </c>
      <c r="Y88" s="156">
        <f t="shared" si="317"/>
        <v>0.60775312500000012</v>
      </c>
      <c r="Z88" s="156">
        <f t="shared" si="317"/>
        <v>0.63814078125000018</v>
      </c>
      <c r="AA88" s="156">
        <f t="shared" si="317"/>
        <v>0.67004782031250021</v>
      </c>
      <c r="AB88" s="156">
        <f t="shared" si="317"/>
        <v>0.70355021132812523</v>
      </c>
      <c r="AC88" s="156">
        <f t="shared" si="317"/>
        <v>0.73872772189453151</v>
      </c>
      <c r="AD88" s="156">
        <f t="shared" si="317"/>
        <v>0.77566410798925811</v>
      </c>
      <c r="AE88" s="156">
        <f t="shared" si="317"/>
        <v>0.81444731338872101</v>
      </c>
      <c r="AF88" s="136">
        <f t="shared" ref="AF88" si="318">((AE88/I88)^(1/($AE$3-$J$1) ))-1</f>
        <v>1.4657820113689102E-2</v>
      </c>
      <c r="AG88" s="31">
        <f t="shared" si="16"/>
        <v>0.05</v>
      </c>
      <c r="AH88" s="144">
        <f t="shared" si="263"/>
        <v>5.0304098768126897</v>
      </c>
    </row>
    <row r="89" spans="2:34" x14ac:dyDescent="0.15">
      <c r="B89" s="20"/>
      <c r="C89" s="127"/>
      <c r="D89" s="127"/>
      <c r="E89" s="127"/>
      <c r="F89" s="127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28"/>
      <c r="U89" s="128"/>
      <c r="V89" s="151"/>
      <c r="W89" s="151"/>
      <c r="X89" s="151"/>
      <c r="Y89" s="151"/>
      <c r="Z89" s="151"/>
      <c r="AA89" s="151"/>
      <c r="AB89" s="151"/>
      <c r="AC89" s="151"/>
      <c r="AD89" s="151"/>
      <c r="AE89" s="151"/>
      <c r="AF89" s="137"/>
      <c r="AG89" s="135"/>
      <c r="AH89" s="151"/>
    </row>
    <row r="90" spans="2:34" x14ac:dyDescent="0.15">
      <c r="B90" s="20" t="s">
        <v>313</v>
      </c>
      <c r="C90" s="127"/>
      <c r="D90" s="127"/>
      <c r="E90" s="127"/>
      <c r="F90" s="127"/>
      <c r="G90" s="142">
        <f t="shared" ref="G90:H90" si="319">G20+G21</f>
        <v>110</v>
      </c>
      <c r="H90" s="142">
        <f t="shared" si="319"/>
        <v>-318</v>
      </c>
      <c r="I90" s="142">
        <f t="shared" ref="I90:R90" si="320">I20+I21</f>
        <v>174</v>
      </c>
      <c r="J90" s="142">
        <f t="shared" si="320"/>
        <v>259</v>
      </c>
      <c r="K90" s="142">
        <f t="shared" si="320"/>
        <v>-835</v>
      </c>
      <c r="L90" s="142">
        <f t="shared" si="320"/>
        <v>-928</v>
      </c>
      <c r="M90" s="142">
        <f t="shared" si="320"/>
        <v>1297</v>
      </c>
      <c r="N90" s="142">
        <f t="shared" si="320"/>
        <v>-1553</v>
      </c>
      <c r="O90" s="142">
        <f t="shared" si="320"/>
        <v>-1469</v>
      </c>
      <c r="P90" s="142">
        <f t="shared" si="320"/>
        <v>-2883</v>
      </c>
      <c r="Q90" s="142">
        <f t="shared" si="320"/>
        <v>8452</v>
      </c>
      <c r="R90" s="142">
        <f t="shared" si="320"/>
        <v>1009</v>
      </c>
      <c r="S90" s="142">
        <f t="shared" ref="S90" si="321">S20+S21</f>
        <v>-230</v>
      </c>
      <c r="T90" s="118" t="e">
        <f t="shared" si="251"/>
        <v>#NUM!</v>
      </c>
      <c r="U90" s="128"/>
      <c r="V90" s="142">
        <f t="shared" ref="V90:AE90" si="322">V20+V21</f>
        <v>-257.59999999999945</v>
      </c>
      <c r="W90" s="142">
        <f t="shared" si="322"/>
        <v>-288.51199999999972</v>
      </c>
      <c r="X90" s="142">
        <f t="shared" si="322"/>
        <v>-323.13343999999961</v>
      </c>
      <c r="Y90" s="142">
        <f t="shared" si="322"/>
        <v>-361.90945280000051</v>
      </c>
      <c r="Z90" s="142">
        <f t="shared" si="322"/>
        <v>-405.33858713600057</v>
      </c>
      <c r="AA90" s="142">
        <f t="shared" si="322"/>
        <v>-453.97921759232122</v>
      </c>
      <c r="AB90" s="142">
        <f t="shared" si="322"/>
        <v>-508.45672370340071</v>
      </c>
      <c r="AC90" s="142">
        <f t="shared" si="322"/>
        <v>-569.47153054780938</v>
      </c>
      <c r="AD90" s="142">
        <f t="shared" si="322"/>
        <v>-637.80811421354883</v>
      </c>
      <c r="AE90" s="142">
        <f t="shared" si="322"/>
        <v>-714.34508791917688</v>
      </c>
      <c r="AF90" s="136">
        <f t="shared" ref="AF90:AF95" si="323">((AE90/I90)^(1/($AE$3-$J$1) ))-1</f>
        <v>-2.0695659353033884</v>
      </c>
      <c r="AG90" s="31">
        <f t="shared" si="16"/>
        <v>0.05</v>
      </c>
      <c r="AH90" s="144">
        <f t="shared" si="263"/>
        <v>-4412.1314253831524</v>
      </c>
    </row>
    <row r="91" spans="2:34" x14ac:dyDescent="0.15">
      <c r="B91" s="20"/>
      <c r="C91" s="127"/>
      <c r="D91" s="127"/>
      <c r="E91" s="127"/>
      <c r="F91" s="127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28"/>
      <c r="U91" s="128"/>
      <c r="V91" s="144"/>
      <c r="W91" s="144"/>
      <c r="X91" s="144"/>
      <c r="Y91" s="144"/>
      <c r="Z91" s="144"/>
      <c r="AA91" s="144"/>
      <c r="AB91" s="144"/>
      <c r="AC91" s="144"/>
      <c r="AD91" s="144"/>
      <c r="AE91" s="144"/>
      <c r="AF91" s="137"/>
      <c r="AG91" s="135"/>
      <c r="AH91" s="144"/>
    </row>
    <row r="92" spans="2:34" x14ac:dyDescent="0.15">
      <c r="B92" s="20" t="s">
        <v>314</v>
      </c>
      <c r="C92" s="127"/>
      <c r="D92" s="127"/>
      <c r="E92" s="127"/>
      <c r="F92" s="127"/>
      <c r="G92" s="142">
        <f t="shared" ref="G92:H92" si="324">G90/G57</f>
        <v>18.487394957983192</v>
      </c>
      <c r="H92" s="142">
        <f t="shared" si="324"/>
        <v>-25.790754257907544</v>
      </c>
      <c r="I92" s="142">
        <f t="shared" ref="I92:R92" si="325">I90/I57</f>
        <v>5.6147144240077447</v>
      </c>
      <c r="J92" s="142">
        <f t="shared" si="325"/>
        <v>7.9423489727077587</v>
      </c>
      <c r="K92" s="142">
        <f t="shared" si="325"/>
        <v>-24.230992455020314</v>
      </c>
      <c r="L92" s="142">
        <f t="shared" si="325"/>
        <v>-26.851851851851851</v>
      </c>
      <c r="M92" s="142">
        <f t="shared" si="325"/>
        <v>37.259408216029875</v>
      </c>
      <c r="N92" s="142">
        <f t="shared" si="325"/>
        <v>-21.075630708266043</v>
      </c>
      <c r="O92" s="142">
        <f t="shared" si="325"/>
        <v>-19.832885327040096</v>
      </c>
      <c r="P92" s="142">
        <f t="shared" si="325"/>
        <v>-38.611951892427612</v>
      </c>
      <c r="Q92" s="142">
        <f t="shared" si="325"/>
        <v>109.76623376623377</v>
      </c>
      <c r="R92" s="142">
        <f t="shared" si="325"/>
        <v>13.069948186528498</v>
      </c>
      <c r="S92" s="142">
        <f t="shared" ref="S92" si="326">S90/S57</f>
        <v>-1.2538843155427137</v>
      </c>
      <c r="T92" s="118" t="e">
        <f t="shared" si="251"/>
        <v>#NUM!</v>
      </c>
      <c r="U92" s="128"/>
      <c r="V92" s="144">
        <f t="shared" ref="V92:AE92" si="327">V90/V57</f>
        <v>-1.3374766032455585</v>
      </c>
      <c r="W92" s="144">
        <f t="shared" si="327"/>
        <v>-1.4266417101285973</v>
      </c>
      <c r="X92" s="144">
        <f t="shared" si="327"/>
        <v>-1.5217511574705034</v>
      </c>
      <c r="Y92" s="144">
        <f t="shared" si="327"/>
        <v>-1.6232012346352078</v>
      </c>
      <c r="Z92" s="144">
        <f t="shared" si="327"/>
        <v>-1.7314146502775549</v>
      </c>
      <c r="AA92" s="144">
        <f t="shared" si="327"/>
        <v>-1.8468422936293942</v>
      </c>
      <c r="AB92" s="144">
        <f t="shared" si="327"/>
        <v>-1.9699651132046907</v>
      </c>
      <c r="AC92" s="144">
        <f t="shared" si="327"/>
        <v>-2.1012961207516723</v>
      </c>
      <c r="AD92" s="144">
        <f t="shared" si="327"/>
        <v>-2.2413825288017919</v>
      </c>
      <c r="AE92" s="144">
        <f t="shared" si="327"/>
        <v>-2.3908080307219186</v>
      </c>
      <c r="AF92" s="136">
        <f t="shared" si="323"/>
        <v>-1.9601601301299181</v>
      </c>
      <c r="AG92" s="31">
        <f t="shared" si="16"/>
        <v>0.05</v>
      </c>
      <c r="AH92" s="144">
        <f t="shared" si="263"/>
        <v>-14.766755483870677</v>
      </c>
    </row>
    <row r="93" spans="2:34" x14ac:dyDescent="0.15">
      <c r="B93" s="20" t="s">
        <v>286</v>
      </c>
      <c r="C93" s="127"/>
      <c r="D93" s="127"/>
      <c r="E93" s="127"/>
      <c r="F93" s="127"/>
      <c r="G93" s="142">
        <f t="shared" ref="G93:H93" si="328">G20/G57</f>
        <v>13.61344537815126</v>
      </c>
      <c r="H93" s="142">
        <f t="shared" si="328"/>
        <v>-21.330089213300891</v>
      </c>
      <c r="I93" s="142">
        <f t="shared" ref="I93:R93" si="329">I20/I57</f>
        <v>3.8076798967408845</v>
      </c>
      <c r="J93" s="142">
        <f t="shared" si="329"/>
        <v>11.775528978840846</v>
      </c>
      <c r="K93" s="142">
        <f t="shared" si="329"/>
        <v>-19.007544979686593</v>
      </c>
      <c r="L93" s="142">
        <f t="shared" si="329"/>
        <v>-24.103009259259256</v>
      </c>
      <c r="M93" s="142">
        <f t="shared" si="329"/>
        <v>45.159436943407066</v>
      </c>
      <c r="N93" s="142">
        <f t="shared" si="329"/>
        <v>-20.003528437851998</v>
      </c>
      <c r="O93" s="142">
        <f t="shared" si="329"/>
        <v>-18.06426178868594</v>
      </c>
      <c r="P93" s="142">
        <f t="shared" si="329"/>
        <v>-18.81713229582407</v>
      </c>
      <c r="Q93" s="142">
        <f t="shared" si="329"/>
        <v>116.8961038961039</v>
      </c>
      <c r="R93" s="142">
        <f t="shared" si="329"/>
        <v>66.334196891191709</v>
      </c>
      <c r="S93" s="142">
        <f t="shared" ref="S93" si="330">S20/S57</f>
        <v>33.435097857493318</v>
      </c>
      <c r="T93" s="118">
        <f t="shared" si="251"/>
        <v>7.7753756993071299E-2</v>
      </c>
      <c r="U93" s="128"/>
      <c r="V93" s="144">
        <f t="shared" ref="V93:AE93" si="331">V20/V57</f>
        <v>35.664104381326212</v>
      </c>
      <c r="W93" s="144">
        <f t="shared" si="331"/>
        <v>38.041711340081299</v>
      </c>
      <c r="X93" s="144">
        <f t="shared" si="331"/>
        <v>40.577825429420052</v>
      </c>
      <c r="Y93" s="144">
        <f t="shared" si="331"/>
        <v>43.283013791381386</v>
      </c>
      <c r="Z93" s="144">
        <f t="shared" si="331"/>
        <v>46.168548044140145</v>
      </c>
      <c r="AA93" s="144">
        <f t="shared" si="331"/>
        <v>49.246451247082824</v>
      </c>
      <c r="AB93" s="144">
        <f t="shared" si="331"/>
        <v>52.529547996888347</v>
      </c>
      <c r="AC93" s="144">
        <f t="shared" si="331"/>
        <v>56.031517863347574</v>
      </c>
      <c r="AD93" s="144">
        <f t="shared" si="331"/>
        <v>59.766952387570747</v>
      </c>
      <c r="AE93" s="144">
        <f t="shared" si="331"/>
        <v>63.75141588007547</v>
      </c>
      <c r="AF93" s="136">
        <f t="shared" si="323"/>
        <v>0.14360906879610247</v>
      </c>
      <c r="AG93" s="31">
        <f t="shared" si="16"/>
        <v>0.05</v>
      </c>
      <c r="AH93" s="144">
        <f t="shared" si="263"/>
        <v>393.75874514164263</v>
      </c>
    </row>
    <row r="94" spans="2:34" x14ac:dyDescent="0.15">
      <c r="B94" s="20" t="s">
        <v>287</v>
      </c>
      <c r="C94" s="127"/>
      <c r="D94" s="127"/>
      <c r="E94" s="127"/>
      <c r="F94" s="127"/>
      <c r="G94" s="142">
        <f t="shared" ref="G94:H94" si="332">G21/G57</f>
        <v>4.8739495798319323</v>
      </c>
      <c r="H94" s="142">
        <f t="shared" si="332"/>
        <v>-4.4606650446066505</v>
      </c>
      <c r="I94" s="142">
        <f t="shared" ref="I94:R94" si="333">I21/I57</f>
        <v>1.8070345272668604</v>
      </c>
      <c r="J94" s="142">
        <f t="shared" si="333"/>
        <v>-3.8331800061330883</v>
      </c>
      <c r="K94" s="142">
        <f t="shared" si="333"/>
        <v>-5.2234474753337201</v>
      </c>
      <c r="L94" s="142">
        <f t="shared" si="333"/>
        <v>-2.7488425925925926</v>
      </c>
      <c r="M94" s="142">
        <f t="shared" si="333"/>
        <v>-7.9000287273771903</v>
      </c>
      <c r="N94" s="142">
        <f t="shared" si="333"/>
        <v>-1.0721022704140486</v>
      </c>
      <c r="O94" s="142">
        <f t="shared" si="333"/>
        <v>-1.768623538354154</v>
      </c>
      <c r="P94" s="142">
        <f t="shared" si="333"/>
        <v>-19.794819596603542</v>
      </c>
      <c r="Q94" s="142">
        <f t="shared" si="333"/>
        <v>-7.1298701298701301</v>
      </c>
      <c r="R94" s="142">
        <f t="shared" si="333"/>
        <v>-53.26424870466321</v>
      </c>
      <c r="S94" s="142">
        <f t="shared" ref="S94" si="334">S21/S57</f>
        <v>-34.688982173036031</v>
      </c>
      <c r="T94" s="118" t="e">
        <f t="shared" si="251"/>
        <v>#NUM!</v>
      </c>
      <c r="U94" s="128"/>
      <c r="V94" s="144">
        <f t="shared" ref="V94:AE94" si="335">V21/V57</f>
        <v>-37.001580984571767</v>
      </c>
      <c r="W94" s="144">
        <f t="shared" si="335"/>
        <v>-39.468353050209892</v>
      </c>
      <c r="X94" s="144">
        <f t="shared" si="335"/>
        <v>-42.099576586890549</v>
      </c>
      <c r="Y94" s="144">
        <f t="shared" si="335"/>
        <v>-44.906215026016596</v>
      </c>
      <c r="Z94" s="144">
        <f t="shared" si="335"/>
        <v>-47.899962694417702</v>
      </c>
      <c r="AA94" s="144">
        <f t="shared" si="335"/>
        <v>-51.093293540712224</v>
      </c>
      <c r="AB94" s="144">
        <f t="shared" si="335"/>
        <v>-54.499513110093041</v>
      </c>
      <c r="AC94" s="144">
        <f t="shared" si="335"/>
        <v>-58.132813984099243</v>
      </c>
      <c r="AD94" s="144">
        <f t="shared" si="335"/>
        <v>-62.00833491637254</v>
      </c>
      <c r="AE94" s="144">
        <f t="shared" si="335"/>
        <v>-66.142223910797384</v>
      </c>
      <c r="AF94" s="136">
        <f t="shared" si="323"/>
        <v>-2.1870061489115518</v>
      </c>
      <c r="AG94" s="31">
        <f t="shared" si="16"/>
        <v>0.05</v>
      </c>
      <c r="AH94" s="144">
        <f t="shared" si="263"/>
        <v>-408.5255006255133</v>
      </c>
    </row>
    <row r="95" spans="2:34" x14ac:dyDescent="0.15">
      <c r="B95" s="20" t="s">
        <v>288</v>
      </c>
      <c r="C95" s="127"/>
      <c r="D95" s="127"/>
      <c r="E95" s="127"/>
      <c r="F95" s="127"/>
      <c r="G95" s="142">
        <f t="shared" ref="G95:H95" si="336">G22/G57</f>
        <v>-2.0168067226890756</v>
      </c>
      <c r="H95" s="142">
        <f t="shared" si="336"/>
        <v>5.0283860502838609</v>
      </c>
      <c r="I95" s="142">
        <f t="shared" ref="I95:R95" si="337">I22/I57</f>
        <v>-0.38722168441432719</v>
      </c>
      <c r="J95" s="142">
        <f t="shared" si="337"/>
        <v>13.400797301441276</v>
      </c>
      <c r="K95" s="142">
        <f t="shared" si="337"/>
        <v>49.013348810214744</v>
      </c>
      <c r="L95" s="142">
        <f t="shared" si="337"/>
        <v>-1.0416666666666665</v>
      </c>
      <c r="M95" s="142">
        <f t="shared" si="337"/>
        <v>-3.9356506750933637</v>
      </c>
      <c r="N95" s="142">
        <f t="shared" si="337"/>
        <v>23.396257141693923</v>
      </c>
      <c r="O95" s="142">
        <f t="shared" si="337"/>
        <v>22.047039985743005</v>
      </c>
      <c r="P95" s="142">
        <f t="shared" si="337"/>
        <v>52.741542335199426</v>
      </c>
      <c r="Q95" s="142">
        <f t="shared" si="337"/>
        <v>-80.012987012987011</v>
      </c>
      <c r="R95" s="142">
        <f t="shared" si="337"/>
        <v>-9.4170984455958546</v>
      </c>
      <c r="S95" s="142">
        <f t="shared" ref="S95" si="338">S22/S57</f>
        <v>-7.9757945810390884</v>
      </c>
      <c r="T95" s="118">
        <f t="shared" si="251"/>
        <v>0.12139635461246234</v>
      </c>
      <c r="U95" s="128"/>
      <c r="V95" s="144">
        <f t="shared" ref="V95:AE95" si="339">V22/V57</f>
        <v>-8.5075142197750271</v>
      </c>
      <c r="W95" s="144">
        <f t="shared" si="339"/>
        <v>-9.0746818344266966</v>
      </c>
      <c r="X95" s="144">
        <f t="shared" si="339"/>
        <v>-9.6796606233884788</v>
      </c>
      <c r="Y95" s="144">
        <f t="shared" si="339"/>
        <v>-10.324971331614377</v>
      </c>
      <c r="Z95" s="144">
        <f t="shared" si="339"/>
        <v>-11.013302753722002</v>
      </c>
      <c r="AA95" s="144">
        <f t="shared" si="339"/>
        <v>-11.747522937303469</v>
      </c>
      <c r="AB95" s="144">
        <f t="shared" si="339"/>
        <v>-12.530691133123701</v>
      </c>
      <c r="AC95" s="144">
        <f t="shared" si="339"/>
        <v>-13.366070541998615</v>
      </c>
      <c r="AD95" s="144">
        <f t="shared" si="339"/>
        <v>-14.25714191146519</v>
      </c>
      <c r="AE95" s="144">
        <f t="shared" si="339"/>
        <v>-15.207618038896205</v>
      </c>
      <c r="AF95" s="136">
        <f t="shared" si="323"/>
        <v>0.19099406278025444</v>
      </c>
      <c r="AG95" s="31">
        <f t="shared" si="16"/>
        <v>0.05</v>
      </c>
      <c r="AH95" s="144">
        <f t="shared" si="263"/>
        <v>-93.929405534358935</v>
      </c>
    </row>
    <row r="96" spans="2:34" x14ac:dyDescent="0.15">
      <c r="B96" s="20" t="s">
        <v>295</v>
      </c>
      <c r="C96" s="127"/>
      <c r="D96" s="127"/>
      <c r="E96" s="127"/>
      <c r="F96" s="127"/>
      <c r="G96" s="142">
        <f t="shared" ref="G96:H96" si="340">G23/G57</f>
        <v>11.596638655462185</v>
      </c>
      <c r="H96" s="142">
        <f t="shared" si="340"/>
        <v>33.982157339821576</v>
      </c>
      <c r="I96" s="142">
        <f t="shared" ref="I96:R96" si="341">I23/I57</f>
        <v>18.747983220393678</v>
      </c>
      <c r="J96" s="142">
        <f t="shared" si="341"/>
        <v>39.190432382704692</v>
      </c>
      <c r="K96" s="142">
        <f t="shared" si="341"/>
        <v>61.839814277423095</v>
      </c>
      <c r="L96" s="142">
        <f t="shared" si="341"/>
        <v>32.986111111111107</v>
      </c>
      <c r="M96" s="142">
        <f t="shared" si="341"/>
        <v>66.072967538063764</v>
      </c>
      <c r="N96" s="142">
        <f t="shared" si="341"/>
        <v>33.520159593958233</v>
      </c>
      <c r="O96" s="142">
        <f t="shared" si="341"/>
        <v>35.561483969655278</v>
      </c>
      <c r="P96" s="142">
        <f t="shared" si="341"/>
        <v>49.406691131170817</v>
      </c>
      <c r="Q96" s="142">
        <f t="shared" si="341"/>
        <v>77.649350649350652</v>
      </c>
      <c r="R96" s="142">
        <f t="shared" si="341"/>
        <v>81.113989637305693</v>
      </c>
      <c r="S96" s="142">
        <f t="shared" ref="S96" si="342">S23/S57</f>
        <v>59.308728125170362</v>
      </c>
      <c r="T96" s="118">
        <f t="shared" si="251"/>
        <v>0.14568582673281449</v>
      </c>
      <c r="U96" s="128"/>
      <c r="V96" s="144">
        <f t="shared" ref="V96:AE96" si="343">V23/V57</f>
        <v>63.262643333515058</v>
      </c>
      <c r="W96" s="144">
        <f t="shared" si="343"/>
        <v>67.480152889082731</v>
      </c>
      <c r="X96" s="144">
        <f t="shared" si="343"/>
        <v>71.978829748354926</v>
      </c>
      <c r="Y96" s="144">
        <f t="shared" si="343"/>
        <v>76.77741839824526</v>
      </c>
      <c r="Z96" s="144">
        <f t="shared" si="343"/>
        <v>81.895912958128278</v>
      </c>
      <c r="AA96" s="144">
        <f t="shared" si="343"/>
        <v>87.355640488670161</v>
      </c>
      <c r="AB96" s="144">
        <f t="shared" si="343"/>
        <v>93.179349854581503</v>
      </c>
      <c r="AC96" s="144">
        <f t="shared" si="343"/>
        <v>99.391306511553609</v>
      </c>
      <c r="AD96" s="144">
        <f t="shared" si="343"/>
        <v>106.01739361232387</v>
      </c>
      <c r="AE96" s="144">
        <f t="shared" si="343"/>
        <v>113.08521985314547</v>
      </c>
      <c r="AF96" s="136">
        <f t="shared" ref="AF96" si="344">((AE96/I96)^(1/($AE$3-$J$1) ))-1</f>
        <v>8.9342247877046477E-2</v>
      </c>
      <c r="AG96" s="31">
        <f t="shared" si="16"/>
        <v>0.05</v>
      </c>
      <c r="AH96" s="144">
        <f t="shared" si="263"/>
        <v>698.46753438707515</v>
      </c>
    </row>
    <row r="97" spans="2:34" x14ac:dyDescent="0.15">
      <c r="B97" s="20"/>
      <c r="C97" s="127"/>
      <c r="D97" s="127"/>
      <c r="E97" s="127"/>
      <c r="F97" s="127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28"/>
      <c r="U97" s="128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37"/>
      <c r="AG97" s="135"/>
      <c r="AH97" s="151"/>
    </row>
    <row r="98" spans="2:34" x14ac:dyDescent="0.15">
      <c r="B98" s="20" t="s">
        <v>492</v>
      </c>
      <c r="C98" s="142"/>
      <c r="D98" s="142"/>
      <c r="E98" s="142"/>
      <c r="F98" s="142"/>
      <c r="G98" s="142">
        <f t="shared" ref="G98:H98" si="345">G51/G57</f>
        <v>0</v>
      </c>
      <c r="H98" s="142">
        <f t="shared" si="345"/>
        <v>0</v>
      </c>
      <c r="I98" s="142">
        <f t="shared" ref="I98:R98" si="346">I51/I57</f>
        <v>0</v>
      </c>
      <c r="J98" s="142">
        <f t="shared" si="346"/>
        <v>0</v>
      </c>
      <c r="K98" s="142">
        <f t="shared" si="346"/>
        <v>0</v>
      </c>
      <c r="L98" s="142">
        <f t="shared" si="346"/>
        <v>0</v>
      </c>
      <c r="M98" s="142">
        <f t="shared" si="346"/>
        <v>0</v>
      </c>
      <c r="N98" s="142">
        <f t="shared" si="346"/>
        <v>0</v>
      </c>
      <c r="O98" s="142">
        <f t="shared" si="346"/>
        <v>0</v>
      </c>
      <c r="P98" s="142">
        <f t="shared" si="346"/>
        <v>0</v>
      </c>
      <c r="Q98" s="142">
        <f t="shared" si="346"/>
        <v>0</v>
      </c>
      <c r="R98" s="142">
        <f t="shared" si="346"/>
        <v>0</v>
      </c>
      <c r="S98" s="142">
        <f t="shared" ref="S98" si="347">S51/S57</f>
        <v>0</v>
      </c>
      <c r="T98" s="118" t="e">
        <f t="shared" si="251"/>
        <v>#DIV/0!</v>
      </c>
      <c r="U98" s="128"/>
      <c r="V98" s="142">
        <f t="shared" ref="V98:AE98" si="348">V51/V57</f>
        <v>0</v>
      </c>
      <c r="W98" s="142">
        <f t="shared" si="348"/>
        <v>0</v>
      </c>
      <c r="X98" s="142">
        <f t="shared" si="348"/>
        <v>0</v>
      </c>
      <c r="Y98" s="142">
        <f t="shared" si="348"/>
        <v>0</v>
      </c>
      <c r="Z98" s="142">
        <f t="shared" si="348"/>
        <v>0</v>
      </c>
      <c r="AA98" s="142">
        <f t="shared" si="348"/>
        <v>0</v>
      </c>
      <c r="AB98" s="142">
        <f t="shared" si="348"/>
        <v>0</v>
      </c>
      <c r="AC98" s="142">
        <f t="shared" si="348"/>
        <v>0</v>
      </c>
      <c r="AD98" s="142">
        <f t="shared" si="348"/>
        <v>0</v>
      </c>
      <c r="AE98" s="142">
        <f t="shared" si="348"/>
        <v>0</v>
      </c>
      <c r="AF98" s="136" t="e">
        <f t="shared" ref="AF98:AF100" si="349">((AE98/I98)^(1/($AE$3-$J$1) ))-1</f>
        <v>#DIV/0!</v>
      </c>
      <c r="AG98" s="31">
        <f t="shared" si="16"/>
        <v>0.05</v>
      </c>
      <c r="AH98" s="144">
        <f t="shared" si="263"/>
        <v>0</v>
      </c>
    </row>
    <row r="99" spans="2:34" x14ac:dyDescent="0.15">
      <c r="B99" s="20" t="s">
        <v>493</v>
      </c>
      <c r="C99" s="142"/>
      <c r="D99" s="142"/>
      <c r="E99" s="142"/>
      <c r="F99" s="142"/>
      <c r="G99" s="142">
        <f t="shared" ref="G99:H99" si="350">G55/G57</f>
        <v>33.680672268907564</v>
      </c>
      <c r="H99" s="142">
        <f t="shared" si="350"/>
        <v>15.733982157339822</v>
      </c>
      <c r="I99" s="142">
        <f t="shared" ref="I99:R99" si="351">I55/I57</f>
        <v>17.070022587931593</v>
      </c>
      <c r="J99" s="142">
        <f t="shared" si="351"/>
        <v>16.068690585709906</v>
      </c>
      <c r="K99" s="142">
        <f t="shared" si="351"/>
        <v>27.800348229831688</v>
      </c>
      <c r="L99" s="142">
        <f t="shared" si="351"/>
        <v>18.86574074074074</v>
      </c>
      <c r="M99" s="142">
        <f t="shared" si="351"/>
        <v>38.121229531743751</v>
      </c>
      <c r="N99" s="142">
        <f t="shared" si="351"/>
        <v>21.292765345311928</v>
      </c>
      <c r="O99" s="142">
        <f t="shared" si="351"/>
        <v>24.976744625612099</v>
      </c>
      <c r="P99" s="142">
        <f t="shared" si="351"/>
        <v>29.51812069750623</v>
      </c>
      <c r="Q99" s="142">
        <f t="shared" si="351"/>
        <v>32.61038961038961</v>
      </c>
      <c r="R99" s="142">
        <f t="shared" si="351"/>
        <v>39.702072538860101</v>
      </c>
      <c r="S99" s="142">
        <f t="shared" ref="S99" si="352">S55/S57</f>
        <v>18.704682985335005</v>
      </c>
      <c r="T99" s="118">
        <f t="shared" si="251"/>
        <v>-4.783079075073704E-2</v>
      </c>
      <c r="U99" s="128"/>
      <c r="V99" s="142">
        <f t="shared" ref="V99:AE99" si="353">V55/V57</f>
        <v>19.951661851024006</v>
      </c>
      <c r="W99" s="142">
        <f t="shared" si="353"/>
        <v>21.281772641092271</v>
      </c>
      <c r="X99" s="142">
        <f t="shared" si="353"/>
        <v>22.700557483831759</v>
      </c>
      <c r="Y99" s="142">
        <f t="shared" si="353"/>
        <v>24.21392798275388</v>
      </c>
      <c r="Z99" s="142">
        <f t="shared" si="353"/>
        <v>25.828189848270803</v>
      </c>
      <c r="AA99" s="142">
        <f t="shared" si="353"/>
        <v>27.550069171488857</v>
      </c>
      <c r="AB99" s="142">
        <f t="shared" si="353"/>
        <v>29.386740449588117</v>
      </c>
      <c r="AC99" s="142">
        <f t="shared" si="353"/>
        <v>31.345856479560656</v>
      </c>
      <c r="AD99" s="142">
        <f t="shared" si="353"/>
        <v>33.43558024486471</v>
      </c>
      <c r="AE99" s="142">
        <f t="shared" si="353"/>
        <v>35.664618927855692</v>
      </c>
      <c r="AF99" s="136">
        <f t="shared" si="349"/>
        <v>3.571021954805853E-2</v>
      </c>
      <c r="AG99" s="31">
        <f t="shared" si="16"/>
        <v>0.05</v>
      </c>
      <c r="AH99" s="144">
        <f t="shared" si="263"/>
        <v>220.28146984852046</v>
      </c>
    </row>
    <row r="100" spans="2:34" x14ac:dyDescent="0.15">
      <c r="B100" s="20" t="s">
        <v>310</v>
      </c>
      <c r="C100" s="142"/>
      <c r="D100" s="142"/>
      <c r="E100" s="142"/>
      <c r="F100" s="142"/>
      <c r="G100" s="142">
        <f t="shared" ref="G100:H100" si="354">G6/G57</f>
        <v>197.64705882352939</v>
      </c>
      <c r="H100" s="142">
        <f t="shared" si="354"/>
        <v>108.9213300892133</v>
      </c>
      <c r="I100" s="142">
        <f t="shared" ref="I100:R100" si="355">I6/I57</f>
        <v>62.891255243626979</v>
      </c>
      <c r="J100" s="142">
        <f t="shared" si="355"/>
        <v>90.003066544004909</v>
      </c>
      <c r="K100" s="142">
        <f t="shared" si="355"/>
        <v>158.9959373186303</v>
      </c>
      <c r="L100" s="142">
        <f t="shared" si="355"/>
        <v>181.36574074074073</v>
      </c>
      <c r="M100" s="142">
        <f t="shared" si="355"/>
        <v>218.81643205975294</v>
      </c>
      <c r="N100" s="142">
        <f t="shared" si="355"/>
        <v>143.77027155400546</v>
      </c>
      <c r="O100" s="142">
        <f t="shared" si="355"/>
        <v>169.16681630211872</v>
      </c>
      <c r="P100" s="142">
        <f t="shared" si="355"/>
        <v>199.23392173144404</v>
      </c>
      <c r="Q100" s="142">
        <f t="shared" si="355"/>
        <v>242.72727272727272</v>
      </c>
      <c r="R100" s="142">
        <f t="shared" si="355"/>
        <v>281.76165803108807</v>
      </c>
      <c r="S100" s="142">
        <f t="shared" ref="S100" si="356">S6/S57</f>
        <v>176.86856021370551</v>
      </c>
      <c r="T100" s="118">
        <f t="shared" si="251"/>
        <v>-9.213629470687712E-3</v>
      </c>
      <c r="U100" s="128"/>
      <c r="V100" s="142">
        <f t="shared" ref="V100:AE100" si="357">V6/V57</f>
        <v>188.65979756128587</v>
      </c>
      <c r="W100" s="142">
        <f t="shared" si="357"/>
        <v>201.23711739870492</v>
      </c>
      <c r="X100" s="142">
        <f t="shared" si="357"/>
        <v>214.65292522528529</v>
      </c>
      <c r="Y100" s="142">
        <f t="shared" si="357"/>
        <v>228.96312024030431</v>
      </c>
      <c r="Z100" s="142">
        <f t="shared" si="357"/>
        <v>244.2273282563246</v>
      </c>
      <c r="AA100" s="142">
        <f t="shared" si="357"/>
        <v>260.50915014007956</v>
      </c>
      <c r="AB100" s="142">
        <f t="shared" si="357"/>
        <v>277.87642681608492</v>
      </c>
      <c r="AC100" s="142">
        <f t="shared" si="357"/>
        <v>296.40152193715721</v>
      </c>
      <c r="AD100" s="142">
        <f t="shared" si="357"/>
        <v>316.16162339963444</v>
      </c>
      <c r="AE100" s="142">
        <f t="shared" si="357"/>
        <v>337.23906495961012</v>
      </c>
      <c r="AF100" s="136">
        <f t="shared" si="349"/>
        <v>8.3255340349066564E-2</v>
      </c>
      <c r="AG100" s="31">
        <f t="shared" ref="AG100" si="358">$N$1</f>
        <v>0.05</v>
      </c>
      <c r="AH100" s="144">
        <f t="shared" si="263"/>
        <v>2082.9471659270039</v>
      </c>
    </row>
    <row r="101" spans="2:34" x14ac:dyDescent="0.15">
      <c r="B101" s="20"/>
      <c r="C101" s="127"/>
      <c r="D101" s="127"/>
      <c r="E101" s="127"/>
      <c r="F101" s="127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28"/>
      <c r="U101" s="128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37"/>
      <c r="AG101" s="20"/>
      <c r="AH101" s="151"/>
    </row>
    <row r="102" spans="2:34" x14ac:dyDescent="0.15">
      <c r="B102" s="20" t="s">
        <v>462</v>
      </c>
      <c r="C102" s="127"/>
      <c r="D102" s="127"/>
      <c r="E102" s="127"/>
      <c r="F102" s="127"/>
      <c r="G102" s="142">
        <f t="shared" ref="G102:H102" si="359">G55/$S$57</f>
        <v>1.0925148558033038</v>
      </c>
      <c r="H102" s="142">
        <f t="shared" si="359"/>
        <v>1.0576241618055933</v>
      </c>
      <c r="I102" s="142">
        <f t="shared" ref="I102:S102" si="360">I55/$S$57</f>
        <v>2.8839339257482419</v>
      </c>
      <c r="J102" s="142">
        <f t="shared" si="360"/>
        <v>2.8566755710625307</v>
      </c>
      <c r="K102" s="142">
        <f t="shared" si="360"/>
        <v>5.2227007577822597</v>
      </c>
      <c r="L102" s="142">
        <f t="shared" si="360"/>
        <v>3.5544894510167366</v>
      </c>
      <c r="M102" s="142">
        <f t="shared" si="360"/>
        <v>7.2343673335877448</v>
      </c>
      <c r="N102" s="142">
        <f t="shared" si="360"/>
        <v>8.5536717003761655</v>
      </c>
      <c r="O102" s="142">
        <f t="shared" si="360"/>
        <v>10.085591233713133</v>
      </c>
      <c r="P102" s="142">
        <f t="shared" si="360"/>
        <v>12.015482745461483</v>
      </c>
      <c r="Q102" s="142">
        <f t="shared" si="360"/>
        <v>13.689145723164149</v>
      </c>
      <c r="R102" s="142">
        <f t="shared" si="360"/>
        <v>16.709371422340947</v>
      </c>
      <c r="S102" s="142">
        <f t="shared" si="360"/>
        <v>18.704682985335005</v>
      </c>
      <c r="T102" s="118">
        <f t="shared" si="251"/>
        <v>0.26704950451322573</v>
      </c>
      <c r="U102" s="128"/>
      <c r="V102" s="142">
        <f t="shared" ref="V102:AE102" si="361">V55/V57</f>
        <v>19.951661851024006</v>
      </c>
      <c r="W102" s="142">
        <f t="shared" si="361"/>
        <v>21.281772641092271</v>
      </c>
      <c r="X102" s="142">
        <f t="shared" si="361"/>
        <v>22.700557483831759</v>
      </c>
      <c r="Y102" s="142">
        <f t="shared" si="361"/>
        <v>24.21392798275388</v>
      </c>
      <c r="Z102" s="142">
        <f t="shared" si="361"/>
        <v>25.828189848270803</v>
      </c>
      <c r="AA102" s="142">
        <f t="shared" si="361"/>
        <v>27.550069171488857</v>
      </c>
      <c r="AB102" s="142">
        <f t="shared" si="361"/>
        <v>29.386740449588117</v>
      </c>
      <c r="AC102" s="142">
        <f t="shared" si="361"/>
        <v>31.345856479560656</v>
      </c>
      <c r="AD102" s="142">
        <f t="shared" si="361"/>
        <v>33.43558024486471</v>
      </c>
      <c r="AE102" s="142">
        <f t="shared" si="361"/>
        <v>35.664618927855692</v>
      </c>
      <c r="AF102" s="137"/>
      <c r="AG102" s="20"/>
      <c r="AH102" s="151"/>
    </row>
    <row r="103" spans="2:34" x14ac:dyDescent="0.15">
      <c r="B103" s="20"/>
      <c r="C103" s="127"/>
      <c r="D103" s="127"/>
      <c r="E103" s="127"/>
      <c r="F103" s="12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28"/>
      <c r="U103" s="128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37"/>
      <c r="AG103" s="20"/>
      <c r="AH103" s="151"/>
    </row>
    <row r="104" spans="2:34" x14ac:dyDescent="0.15">
      <c r="B104" s="108" t="s">
        <v>309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128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 spans="2:34" x14ac:dyDescent="0.15">
      <c r="B105" s="20" t="s">
        <v>308</v>
      </c>
      <c r="C105" s="149"/>
      <c r="D105" s="149"/>
      <c r="E105" s="149"/>
      <c r="F105" s="149"/>
      <c r="G105" s="149">
        <f t="shared" ref="G105:H105" si="362">G51/G25</f>
        <v>0</v>
      </c>
      <c r="H105" s="149">
        <f t="shared" si="362"/>
        <v>0</v>
      </c>
      <c r="I105" s="149">
        <f t="shared" ref="I105:R105" si="363">I51/I25</f>
        <v>0</v>
      </c>
      <c r="J105" s="149">
        <f t="shared" si="363"/>
        <v>0</v>
      </c>
      <c r="K105" s="149">
        <f t="shared" si="363"/>
        <v>0</v>
      </c>
      <c r="L105" s="149">
        <f t="shared" si="363"/>
        <v>0</v>
      </c>
      <c r="M105" s="149">
        <f t="shared" si="363"/>
        <v>0</v>
      </c>
      <c r="N105" s="149">
        <f t="shared" si="363"/>
        <v>0</v>
      </c>
      <c r="O105" s="149">
        <f t="shared" si="363"/>
        <v>0</v>
      </c>
      <c r="P105" s="149">
        <f t="shared" si="363"/>
        <v>0</v>
      </c>
      <c r="Q105" s="149">
        <f t="shared" si="363"/>
        <v>0</v>
      </c>
      <c r="R105" s="149">
        <f t="shared" si="363"/>
        <v>0</v>
      </c>
      <c r="S105" s="149">
        <f t="shared" ref="S105" si="364">S51/S25</f>
        <v>0</v>
      </c>
      <c r="T105" s="118" t="e">
        <f t="shared" si="251"/>
        <v>#DIV/0!</v>
      </c>
      <c r="U105" s="149"/>
      <c r="V105" s="149">
        <f t="shared" ref="V105:AE105" si="365">V51/V25</f>
        <v>0</v>
      </c>
      <c r="W105" s="149">
        <f t="shared" si="365"/>
        <v>0</v>
      </c>
      <c r="X105" s="149">
        <f t="shared" si="365"/>
        <v>0</v>
      </c>
      <c r="Y105" s="149">
        <f t="shared" si="365"/>
        <v>0</v>
      </c>
      <c r="Z105" s="149">
        <f t="shared" si="365"/>
        <v>0</v>
      </c>
      <c r="AA105" s="149">
        <f t="shared" si="365"/>
        <v>0</v>
      </c>
      <c r="AB105" s="149">
        <f t="shared" si="365"/>
        <v>0</v>
      </c>
      <c r="AC105" s="149">
        <f t="shared" si="365"/>
        <v>0</v>
      </c>
      <c r="AD105" s="149">
        <f t="shared" si="365"/>
        <v>0</v>
      </c>
      <c r="AE105" s="149">
        <f t="shared" si="365"/>
        <v>0</v>
      </c>
      <c r="AF105" s="136" t="e">
        <f t="shared" ref="AF105:AF154" si="366">((AE105/I105)^(1/($AE$3-$J$1) ))-1</f>
        <v>#DIV/0!</v>
      </c>
      <c r="AG105" s="144"/>
      <c r="AH105" s="144"/>
    </row>
    <row r="106" spans="2:34" x14ac:dyDescent="0.15">
      <c r="B106" s="20" t="s">
        <v>266</v>
      </c>
      <c r="C106" s="149"/>
      <c r="D106" s="149"/>
      <c r="E106" s="149"/>
      <c r="F106" s="149"/>
      <c r="G106" s="149">
        <f t="shared" ref="G106:H106" si="367">G55/G25</f>
        <v>0.17216494845360825</v>
      </c>
      <c r="H106" s="149">
        <f t="shared" si="367"/>
        <v>0.11073059360730593</v>
      </c>
      <c r="I106" s="149">
        <f t="shared" ref="I106:R106" si="368">I55/I25</f>
        <v>0.17727882037533513</v>
      </c>
      <c r="J106" s="149">
        <f t="shared" si="368"/>
        <v>0.12087658592848904</v>
      </c>
      <c r="K106" s="149">
        <f t="shared" si="368"/>
        <v>0.12478832877426078</v>
      </c>
      <c r="L106" s="149">
        <f t="shared" si="368"/>
        <v>9.079515387828993E-2</v>
      </c>
      <c r="M106" s="149">
        <f t="shared" si="368"/>
        <v>0.14245840042941493</v>
      </c>
      <c r="N106" s="149">
        <f t="shared" si="368"/>
        <v>0.14183691918278793</v>
      </c>
      <c r="O106" s="149">
        <f t="shared" si="368"/>
        <v>0.14216552678091141</v>
      </c>
      <c r="P106" s="149">
        <f t="shared" si="368"/>
        <v>0.13818181818181818</v>
      </c>
      <c r="Q106" s="149">
        <f t="shared" si="368"/>
        <v>0.14541348158443362</v>
      </c>
      <c r="R106" s="149">
        <f t="shared" si="368"/>
        <v>0.14275068697312654</v>
      </c>
      <c r="S106" s="149">
        <f t="shared" ref="S106" si="369">S55/S25</f>
        <v>0.12239583333333333</v>
      </c>
      <c r="T106" s="118">
        <f t="shared" si="251"/>
        <v>-2.8032318263175315E-2</v>
      </c>
      <c r="U106" s="149"/>
      <c r="V106" s="149">
        <f t="shared" ref="V106:AE106" si="370">V55/V25</f>
        <v>0.12239583333333333</v>
      </c>
      <c r="W106" s="149">
        <f t="shared" si="370"/>
        <v>0.12239583333333333</v>
      </c>
      <c r="X106" s="149">
        <f t="shared" si="370"/>
        <v>0.12239583333333333</v>
      </c>
      <c r="Y106" s="149">
        <f t="shared" si="370"/>
        <v>0.12239583333333333</v>
      </c>
      <c r="Z106" s="149">
        <f t="shared" si="370"/>
        <v>0.12239583333333331</v>
      </c>
      <c r="AA106" s="149">
        <f t="shared" si="370"/>
        <v>0.12239583333333333</v>
      </c>
      <c r="AB106" s="149">
        <f t="shared" si="370"/>
        <v>0.12239583333333333</v>
      </c>
      <c r="AC106" s="149">
        <f t="shared" si="370"/>
        <v>0.12239583333333331</v>
      </c>
      <c r="AD106" s="149">
        <f t="shared" si="370"/>
        <v>0.12239583333333331</v>
      </c>
      <c r="AE106" s="149">
        <f t="shared" si="370"/>
        <v>0.1223958333333333</v>
      </c>
      <c r="AF106" s="136">
        <f t="shared" si="366"/>
        <v>-1.7486421821637177E-2</v>
      </c>
      <c r="AG106" s="144"/>
      <c r="AH106" s="144"/>
    </row>
    <row r="107" spans="2:34" x14ac:dyDescent="0.15">
      <c r="B107" s="20" t="s">
        <v>355</v>
      </c>
      <c r="C107" s="149"/>
      <c r="D107" s="149"/>
      <c r="E107" s="149"/>
      <c r="F107" s="149"/>
      <c r="G107" s="149">
        <f t="shared" ref="G107:H107" si="371">G55/G7</f>
        <v>0.1621359223300971</v>
      </c>
      <c r="H107" s="149">
        <f t="shared" si="371"/>
        <v>0.13179347826086957</v>
      </c>
      <c r="I107" s="149">
        <f>I55/I7</f>
        <v>0.23427812223206376</v>
      </c>
      <c r="J107" s="149">
        <f t="shared" ref="J107:Q107" si="372">J55/J7</f>
        <v>0.16068690585709905</v>
      </c>
      <c r="K107" s="149">
        <f t="shared" si="372"/>
        <v>0.16286977218633117</v>
      </c>
      <c r="L107" s="149">
        <f t="shared" si="372"/>
        <v>9.8578772301179313E-2</v>
      </c>
      <c r="M107" s="149">
        <f t="shared" si="372"/>
        <v>0.16660389202762085</v>
      </c>
      <c r="N107" s="149">
        <f t="shared" si="372"/>
        <v>0.1426493317574325</v>
      </c>
      <c r="O107" s="149">
        <f t="shared" si="372"/>
        <v>0.14302280633938924</v>
      </c>
      <c r="P107" s="149">
        <f t="shared" si="372"/>
        <v>0.1443636601820921</v>
      </c>
      <c r="Q107" s="149">
        <f t="shared" si="372"/>
        <v>0.13157618947809682</v>
      </c>
      <c r="R107" s="149">
        <f t="shared" ref="R107:S107" si="373">R55/R7</f>
        <v>0.13843096517772457</v>
      </c>
      <c r="S107" s="149">
        <f t="shared" si="373"/>
        <v>0.10283539143987531</v>
      </c>
      <c r="T107" s="118">
        <f t="shared" si="251"/>
        <v>-3.7231335807242361E-2</v>
      </c>
      <c r="U107" s="20"/>
      <c r="V107" s="149">
        <f t="shared" ref="V107" si="374">V55/V7</f>
        <v>0.10283539143987531</v>
      </c>
      <c r="W107" s="149">
        <f t="shared" ref="W107:AE107" si="375">W55/W7</f>
        <v>0.10283539143987531</v>
      </c>
      <c r="X107" s="149">
        <f t="shared" si="375"/>
        <v>0.1028353914398753</v>
      </c>
      <c r="Y107" s="149">
        <f t="shared" si="375"/>
        <v>0.10283539143987531</v>
      </c>
      <c r="Z107" s="149">
        <f t="shared" si="375"/>
        <v>0.10283539143987531</v>
      </c>
      <c r="AA107" s="149">
        <f t="shared" si="375"/>
        <v>0.10283539143987531</v>
      </c>
      <c r="AB107" s="149">
        <f t="shared" si="375"/>
        <v>0.10283539143987531</v>
      </c>
      <c r="AC107" s="149">
        <f t="shared" si="375"/>
        <v>0.1028353914398753</v>
      </c>
      <c r="AD107" s="149">
        <f t="shared" si="375"/>
        <v>0.10283539143987531</v>
      </c>
      <c r="AE107" s="149">
        <f t="shared" si="375"/>
        <v>0.1028353914398753</v>
      </c>
      <c r="AF107" s="136">
        <f t="shared" si="366"/>
        <v>-3.8449836074980981E-2</v>
      </c>
      <c r="AG107" s="144"/>
      <c r="AH107" s="144"/>
    </row>
    <row r="108" spans="2:34" x14ac:dyDescent="0.15">
      <c r="B108" s="20" t="s">
        <v>356</v>
      </c>
      <c r="C108" s="149"/>
      <c r="D108" s="149"/>
      <c r="E108" s="149"/>
      <c r="F108" s="149"/>
      <c r="G108" s="149">
        <f t="shared" ref="G108:H108" si="376">(G55)/(G7+G10)</f>
        <v>2.3411214953271028E-2</v>
      </c>
      <c r="H108" s="149">
        <f t="shared" si="376"/>
        <v>2.1488701816570668E-2</v>
      </c>
      <c r="I108" s="149">
        <f>(I55)/(I7+I10)</f>
        <v>3.8692217671152718E-2</v>
      </c>
      <c r="J108" s="149">
        <f t="shared" ref="J108:Q108" si="377">(J55)/(J7+J10)</f>
        <v>2.2875103680097788E-2</v>
      </c>
      <c r="K108" s="149">
        <f t="shared" si="377"/>
        <v>2.9617263340134793E-2</v>
      </c>
      <c r="L108" s="149">
        <f t="shared" si="377"/>
        <v>2.0701041402082804E-2</v>
      </c>
      <c r="M108" s="149">
        <f t="shared" si="377"/>
        <v>3.038768920744693E-2</v>
      </c>
      <c r="N108" s="149">
        <f t="shared" si="377"/>
        <v>2.5983273991885401E-2</v>
      </c>
      <c r="O108" s="149">
        <f t="shared" si="377"/>
        <v>2.3539890571319506E-2</v>
      </c>
      <c r="P108" s="149">
        <f t="shared" si="377"/>
        <v>2.1644341438504144E-2</v>
      </c>
      <c r="Q108" s="149">
        <f t="shared" si="377"/>
        <v>2.4033307810107197E-2</v>
      </c>
      <c r="R108" s="149">
        <f t="shared" ref="R108:S108" si="378">(R55)/(R7+R10)</f>
        <v>2.4248609561784509E-2</v>
      </c>
      <c r="S108" s="149">
        <f t="shared" si="378"/>
        <v>1.6104805625181889E-2</v>
      </c>
      <c r="T108" s="118">
        <f t="shared" si="251"/>
        <v>-3.0693865585062818E-2</v>
      </c>
      <c r="U108" s="20"/>
      <c r="V108" s="149">
        <f t="shared" ref="V108:AE108" si="379">(V55)/(V7+V10)</f>
        <v>1.6104805625181889E-2</v>
      </c>
      <c r="W108" s="149">
        <f t="shared" si="379"/>
        <v>1.6104805625181885E-2</v>
      </c>
      <c r="X108" s="149">
        <f t="shared" si="379"/>
        <v>1.6104805625181889E-2</v>
      </c>
      <c r="Y108" s="149">
        <f t="shared" si="379"/>
        <v>1.6104805625181885E-2</v>
      </c>
      <c r="Z108" s="149">
        <f t="shared" si="379"/>
        <v>1.6104805625181885E-2</v>
      </c>
      <c r="AA108" s="149">
        <f t="shared" si="379"/>
        <v>1.6104805625181885E-2</v>
      </c>
      <c r="AB108" s="149">
        <f t="shared" si="379"/>
        <v>1.6104805625181885E-2</v>
      </c>
      <c r="AC108" s="149">
        <f t="shared" si="379"/>
        <v>1.6104805625181885E-2</v>
      </c>
      <c r="AD108" s="149">
        <f t="shared" si="379"/>
        <v>1.6104805625181882E-2</v>
      </c>
      <c r="AE108" s="149">
        <f t="shared" si="379"/>
        <v>1.6104805625181882E-2</v>
      </c>
      <c r="AF108" s="136">
        <f t="shared" si="366"/>
        <v>-4.0880002709241303E-2</v>
      </c>
      <c r="AG108" s="144"/>
      <c r="AH108" s="144"/>
    </row>
    <row r="109" spans="2:34" x14ac:dyDescent="0.15">
      <c r="B109" s="20" t="s">
        <v>372</v>
      </c>
      <c r="C109" s="149"/>
      <c r="D109" s="149"/>
      <c r="E109" s="149"/>
      <c r="F109" s="149"/>
      <c r="G109" s="149">
        <f t="shared" ref="G109:H109" si="380">G20/G25</f>
        <v>6.9587628865979384E-2</v>
      </c>
      <c r="H109" s="149">
        <f t="shared" si="380"/>
        <v>-0.15011415525114155</v>
      </c>
      <c r="I109" s="149">
        <f>I20/I25</f>
        <v>3.9544235924932974E-2</v>
      </c>
      <c r="J109" s="149">
        <f t="shared" ref="J109:R109" si="381">J20/J25</f>
        <v>8.8581314878892731E-2</v>
      </c>
      <c r="K109" s="149">
        <f t="shared" si="381"/>
        <v>-8.531978637488602E-2</v>
      </c>
      <c r="L109" s="149">
        <f t="shared" si="381"/>
        <v>-0.11600055702548391</v>
      </c>
      <c r="M109" s="149">
        <f t="shared" si="381"/>
        <v>0.16876006441223831</v>
      </c>
      <c r="N109" s="149">
        <f t="shared" si="381"/>
        <v>-0.13324896040499007</v>
      </c>
      <c r="O109" s="149">
        <f t="shared" si="381"/>
        <v>-0.10282025666641051</v>
      </c>
      <c r="P109" s="149">
        <f t="shared" si="381"/>
        <v>-8.8087774294670851E-2</v>
      </c>
      <c r="Q109" s="149">
        <f t="shared" si="381"/>
        <v>0.52125318508223306</v>
      </c>
      <c r="R109" s="149">
        <f t="shared" si="381"/>
        <v>0.23850775464580132</v>
      </c>
      <c r="S109" s="149">
        <f t="shared" ref="S109" si="382">S20/S25</f>
        <v>0.21878567351598174</v>
      </c>
      <c r="T109" s="118">
        <f t="shared" si="251"/>
        <v>0.10016351137172586</v>
      </c>
      <c r="U109" s="20"/>
      <c r="V109" s="149">
        <f t="shared" ref="V109:AE109" si="383">V20/V25</f>
        <v>0.21878567351598174</v>
      </c>
      <c r="W109" s="149">
        <f t="shared" si="383"/>
        <v>0.21878567351598174</v>
      </c>
      <c r="X109" s="149">
        <f t="shared" si="383"/>
        <v>0.21878567351598174</v>
      </c>
      <c r="Y109" s="149">
        <f t="shared" si="383"/>
        <v>0.21878567351598172</v>
      </c>
      <c r="Z109" s="149">
        <f t="shared" si="383"/>
        <v>0.21878567351598172</v>
      </c>
      <c r="AA109" s="149">
        <f t="shared" si="383"/>
        <v>0.21878567351598174</v>
      </c>
      <c r="AB109" s="149">
        <f t="shared" si="383"/>
        <v>0.21878567351598172</v>
      </c>
      <c r="AC109" s="149">
        <f t="shared" si="383"/>
        <v>0.21878567351598172</v>
      </c>
      <c r="AD109" s="149">
        <f t="shared" si="383"/>
        <v>0.21878567351598169</v>
      </c>
      <c r="AE109" s="149">
        <f t="shared" si="383"/>
        <v>0.21878567351598169</v>
      </c>
      <c r="AF109" s="136">
        <f t="shared" si="366"/>
        <v>8.4870475363642006E-2</v>
      </c>
      <c r="AG109" s="144"/>
      <c r="AH109" s="144"/>
    </row>
    <row r="110" spans="2:34" x14ac:dyDescent="0.15">
      <c r="B110" s="20" t="s">
        <v>424</v>
      </c>
      <c r="C110" s="149"/>
      <c r="D110" s="149"/>
      <c r="E110" s="149"/>
      <c r="F110" s="149"/>
      <c r="G110" s="149">
        <f t="shared" ref="G110:H110" si="384">G68/G25</f>
        <v>-0.17216494845360825</v>
      </c>
      <c r="H110" s="149">
        <f t="shared" si="384"/>
        <v>-0.11073059360730593</v>
      </c>
      <c r="I110" s="149">
        <f>I68/I25</f>
        <v>-0.17727882037533513</v>
      </c>
      <c r="J110" s="149">
        <f t="shared" ref="J110:R110" si="385">J68/J25</f>
        <v>-0.12087658592848904</v>
      </c>
      <c r="K110" s="149">
        <f t="shared" si="385"/>
        <v>-0.12478832877426078</v>
      </c>
      <c r="L110" s="149">
        <f t="shared" si="385"/>
        <v>-9.079515387828993E-2</v>
      </c>
      <c r="M110" s="149">
        <f t="shared" si="385"/>
        <v>-0.14245840042941493</v>
      </c>
      <c r="N110" s="149">
        <f t="shared" si="385"/>
        <v>-0.14183691918278793</v>
      </c>
      <c r="O110" s="149">
        <f t="shared" si="385"/>
        <v>-0.14216552678091141</v>
      </c>
      <c r="P110" s="149">
        <f t="shared" si="385"/>
        <v>-0.13818181818181818</v>
      </c>
      <c r="Q110" s="149">
        <f t="shared" si="385"/>
        <v>-0.14541348158443362</v>
      </c>
      <c r="R110" s="149">
        <f t="shared" si="385"/>
        <v>-0.14275068697312654</v>
      </c>
      <c r="S110" s="149">
        <f t="shared" ref="S110" si="386">S68/S25</f>
        <v>-0.12239583333333333</v>
      </c>
      <c r="T110" s="118">
        <f t="shared" si="251"/>
        <v>-2.8032318263175315E-2</v>
      </c>
      <c r="U110" s="20"/>
      <c r="V110" s="149">
        <f t="shared" ref="V110:AE110" si="387">V68/V25</f>
        <v>-0.12239583333333333</v>
      </c>
      <c r="W110" s="149">
        <f t="shared" si="387"/>
        <v>-0.12239583333333333</v>
      </c>
      <c r="X110" s="149">
        <f t="shared" si="387"/>
        <v>-0.12239583333333333</v>
      </c>
      <c r="Y110" s="149">
        <f t="shared" si="387"/>
        <v>-0.12239583333333333</v>
      </c>
      <c r="Z110" s="149">
        <f t="shared" si="387"/>
        <v>-0.12239583333333331</v>
      </c>
      <c r="AA110" s="149">
        <f t="shared" si="387"/>
        <v>-0.12239583333333333</v>
      </c>
      <c r="AB110" s="149">
        <f t="shared" si="387"/>
        <v>-0.12239583333333333</v>
      </c>
      <c r="AC110" s="149">
        <f t="shared" si="387"/>
        <v>-0.12239583333333331</v>
      </c>
      <c r="AD110" s="149">
        <f t="shared" si="387"/>
        <v>-0.12239583333333331</v>
      </c>
      <c r="AE110" s="149">
        <f t="shared" si="387"/>
        <v>-0.1223958333333333</v>
      </c>
      <c r="AF110" s="136">
        <f t="shared" si="366"/>
        <v>-1.7486421821637177E-2</v>
      </c>
      <c r="AG110" s="144"/>
      <c r="AH110" s="144"/>
    </row>
    <row r="111" spans="2:34" x14ac:dyDescent="0.15">
      <c r="B111" s="20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28"/>
      <c r="U111" s="20"/>
      <c r="V111" s="149"/>
      <c r="W111" s="149"/>
      <c r="X111" s="149"/>
      <c r="Y111" s="149"/>
      <c r="Z111" s="149"/>
      <c r="AA111" s="149"/>
      <c r="AB111" s="149"/>
      <c r="AC111" s="149"/>
      <c r="AD111" s="149"/>
      <c r="AE111" s="149"/>
      <c r="AF111" s="3"/>
      <c r="AG111" s="144"/>
      <c r="AH111" s="144"/>
    </row>
    <row r="112" spans="2:34" x14ac:dyDescent="0.15">
      <c r="B112" s="20" t="s">
        <v>319</v>
      </c>
      <c r="C112" s="149"/>
      <c r="D112" s="149"/>
      <c r="E112" s="149"/>
      <c r="F112" s="149"/>
      <c r="G112" s="149">
        <f t="shared" ref="G112:H112" si="388">G29/G25</f>
        <v>0.21649484536082475</v>
      </c>
      <c r="H112" s="149">
        <f t="shared" si="388"/>
        <v>0.18721461187214611</v>
      </c>
      <c r="I112" s="149">
        <f>I29/I25</f>
        <v>0.17392761394101877</v>
      </c>
      <c r="J112" s="149">
        <f t="shared" ref="J112:R112" si="389">J29/J25</f>
        <v>0.22537485582468281</v>
      </c>
      <c r="K112" s="149">
        <f t="shared" si="389"/>
        <v>0.23655073596456949</v>
      </c>
      <c r="L112" s="149">
        <f t="shared" si="389"/>
        <v>0.27739869099011277</v>
      </c>
      <c r="M112" s="149">
        <f t="shared" si="389"/>
        <v>0.19023081052066559</v>
      </c>
      <c r="N112" s="149">
        <f t="shared" si="389"/>
        <v>0.24118604230699692</v>
      </c>
      <c r="O112" s="149">
        <f t="shared" si="389"/>
        <v>0.34895873357411816</v>
      </c>
      <c r="P112" s="149">
        <f t="shared" si="389"/>
        <v>0.37768025078369905</v>
      </c>
      <c r="Q112" s="149">
        <f t="shared" si="389"/>
        <v>0.36553161917998611</v>
      </c>
      <c r="R112" s="149">
        <f t="shared" si="389"/>
        <v>0.32443761352522005</v>
      </c>
      <c r="S112" s="149">
        <f t="shared" ref="S112" si="390">S29/S25</f>
        <v>0.39676084474885842</v>
      </c>
      <c r="T112" s="118">
        <f t="shared" si="251"/>
        <v>5.1776437201723313E-2</v>
      </c>
      <c r="U112" s="20"/>
      <c r="V112" s="149">
        <f t="shared" ref="V112:AE112" si="391">V29/V25</f>
        <v>0.39676084474885842</v>
      </c>
      <c r="W112" s="149">
        <f t="shared" si="391"/>
        <v>0.39676084474885848</v>
      </c>
      <c r="X112" s="149">
        <f t="shared" si="391"/>
        <v>0.39676084474885848</v>
      </c>
      <c r="Y112" s="149">
        <f t="shared" si="391"/>
        <v>0.39676084474885842</v>
      </c>
      <c r="Z112" s="149">
        <f t="shared" si="391"/>
        <v>0.39676084474885837</v>
      </c>
      <c r="AA112" s="149">
        <f t="shared" si="391"/>
        <v>0.39676084474885837</v>
      </c>
      <c r="AB112" s="149">
        <f t="shared" si="391"/>
        <v>0.39676084474885837</v>
      </c>
      <c r="AC112" s="149">
        <f t="shared" si="391"/>
        <v>0.39676084474885837</v>
      </c>
      <c r="AD112" s="149">
        <f t="shared" si="391"/>
        <v>0.39676084474885837</v>
      </c>
      <c r="AE112" s="149">
        <f t="shared" si="391"/>
        <v>0.39676084474885842</v>
      </c>
      <c r="AF112" s="136">
        <f t="shared" si="366"/>
        <v>4.0052472589799715E-2</v>
      </c>
      <c r="AG112" s="144"/>
      <c r="AH112" s="144"/>
    </row>
    <row r="113" spans="1:34" x14ac:dyDescent="0.15">
      <c r="B113" s="20" t="s">
        <v>365</v>
      </c>
      <c r="C113" s="149"/>
      <c r="D113" s="149"/>
      <c r="E113" s="149"/>
      <c r="F113" s="149"/>
      <c r="G113" s="149" t="e">
        <f t="shared" ref="G113:H113" si="392">G29/G51</f>
        <v>#DIV/0!</v>
      </c>
      <c r="H113" s="149" t="e">
        <f t="shared" si="392"/>
        <v>#DIV/0!</v>
      </c>
      <c r="I113" s="149" t="e">
        <f>I29/I51</f>
        <v>#DIV/0!</v>
      </c>
      <c r="J113" s="149" t="e">
        <f t="shared" ref="J113:R113" si="393">J29/J51</f>
        <v>#DIV/0!</v>
      </c>
      <c r="K113" s="149" t="e">
        <f t="shared" si="393"/>
        <v>#DIV/0!</v>
      </c>
      <c r="L113" s="149" t="e">
        <f t="shared" si="393"/>
        <v>#DIV/0!</v>
      </c>
      <c r="M113" s="149" t="e">
        <f t="shared" si="393"/>
        <v>#DIV/0!</v>
      </c>
      <c r="N113" s="149" t="e">
        <f t="shared" si="393"/>
        <v>#DIV/0!</v>
      </c>
      <c r="O113" s="149" t="e">
        <f t="shared" si="393"/>
        <v>#DIV/0!</v>
      </c>
      <c r="P113" s="149" t="e">
        <f t="shared" si="393"/>
        <v>#DIV/0!</v>
      </c>
      <c r="Q113" s="149" t="e">
        <f t="shared" si="393"/>
        <v>#DIV/0!</v>
      </c>
      <c r="R113" s="149" t="e">
        <f t="shared" si="393"/>
        <v>#DIV/0!</v>
      </c>
      <c r="S113" s="149" t="e">
        <f t="shared" ref="S113" si="394">S29/S51</f>
        <v>#DIV/0!</v>
      </c>
      <c r="T113" s="118" t="e">
        <f t="shared" si="251"/>
        <v>#DIV/0!</v>
      </c>
      <c r="U113" s="20"/>
      <c r="V113" s="149" t="e">
        <f t="shared" ref="V113:AE113" si="395">V29/V51</f>
        <v>#DIV/0!</v>
      </c>
      <c r="W113" s="149" t="e">
        <f t="shared" si="395"/>
        <v>#DIV/0!</v>
      </c>
      <c r="X113" s="149" t="e">
        <f t="shared" si="395"/>
        <v>#DIV/0!</v>
      </c>
      <c r="Y113" s="149" t="e">
        <f t="shared" si="395"/>
        <v>#DIV/0!</v>
      </c>
      <c r="Z113" s="149" t="e">
        <f t="shared" si="395"/>
        <v>#DIV/0!</v>
      </c>
      <c r="AA113" s="149" t="e">
        <f t="shared" si="395"/>
        <v>#DIV/0!</v>
      </c>
      <c r="AB113" s="149" t="e">
        <f t="shared" si="395"/>
        <v>#DIV/0!</v>
      </c>
      <c r="AC113" s="149" t="e">
        <f t="shared" si="395"/>
        <v>#DIV/0!</v>
      </c>
      <c r="AD113" s="149" t="e">
        <f t="shared" si="395"/>
        <v>#DIV/0!</v>
      </c>
      <c r="AE113" s="149" t="e">
        <f t="shared" si="395"/>
        <v>#DIV/0!</v>
      </c>
      <c r="AF113" s="136" t="e">
        <f t="shared" ref="AF113" si="396">((AE113/I113)^(1/($AE$3-$J$1) ))-1</f>
        <v>#DIV/0!</v>
      </c>
      <c r="AG113" s="144"/>
      <c r="AH113" s="144"/>
    </row>
    <row r="114" spans="1:34" ht="12" customHeight="1" x14ac:dyDescent="0.15">
      <c r="B114" s="20" t="s">
        <v>364</v>
      </c>
      <c r="C114" s="149"/>
      <c r="D114" s="149"/>
      <c r="E114" s="149"/>
      <c r="F114" s="149"/>
      <c r="G114" s="149">
        <f t="shared" ref="G114:H114" si="397">G29/G55</f>
        <v>1.2574850299401197</v>
      </c>
      <c r="H114" s="149">
        <f t="shared" si="397"/>
        <v>1.6907216494845361</v>
      </c>
      <c r="I114" s="149">
        <f t="shared" ref="I114:R114" si="398">I29/I55</f>
        <v>0.98109640831758038</v>
      </c>
      <c r="J114" s="149">
        <f t="shared" si="398"/>
        <v>1.8645038167938932</v>
      </c>
      <c r="K114" s="149">
        <f t="shared" si="398"/>
        <v>1.8956158663883089</v>
      </c>
      <c r="L114" s="149">
        <f t="shared" si="398"/>
        <v>3.0552147239263805</v>
      </c>
      <c r="M114" s="149">
        <f t="shared" si="398"/>
        <v>1.3353428786737001</v>
      </c>
      <c r="N114" s="149">
        <f t="shared" si="398"/>
        <v>1.7004461440407903</v>
      </c>
      <c r="O114" s="149">
        <f t="shared" si="398"/>
        <v>2.4545945945945946</v>
      </c>
      <c r="P114" s="149">
        <f t="shared" si="398"/>
        <v>2.733212341197822</v>
      </c>
      <c r="Q114" s="149">
        <f t="shared" si="398"/>
        <v>2.5137395459976104</v>
      </c>
      <c r="R114" s="149">
        <f t="shared" si="398"/>
        <v>2.2727569331158239</v>
      </c>
      <c r="S114" s="149">
        <f t="shared" ref="S114" si="399">S29/S55</f>
        <v>3.2416205187991838</v>
      </c>
      <c r="T114" s="118">
        <f t="shared" si="251"/>
        <v>8.2110503224023912E-2</v>
      </c>
      <c r="U114" s="20"/>
      <c r="V114" s="149">
        <f t="shared" ref="V114:AE114" si="400">V29/V55</f>
        <v>3.2416205187991842</v>
      </c>
      <c r="W114" s="149">
        <f t="shared" si="400"/>
        <v>3.2416205187991842</v>
      </c>
      <c r="X114" s="149">
        <f t="shared" si="400"/>
        <v>3.2416205187991842</v>
      </c>
      <c r="Y114" s="149">
        <f t="shared" si="400"/>
        <v>3.2416205187991838</v>
      </c>
      <c r="Z114" s="149">
        <f t="shared" si="400"/>
        <v>3.2416205187991838</v>
      </c>
      <c r="AA114" s="149">
        <f t="shared" si="400"/>
        <v>3.2416205187991833</v>
      </c>
      <c r="AB114" s="149">
        <f t="shared" si="400"/>
        <v>3.2416205187991833</v>
      </c>
      <c r="AC114" s="149">
        <f t="shared" si="400"/>
        <v>3.2416205187991838</v>
      </c>
      <c r="AD114" s="149">
        <f t="shared" si="400"/>
        <v>3.2416205187991838</v>
      </c>
      <c r="AE114" s="149">
        <f t="shared" si="400"/>
        <v>3.2416205187991842</v>
      </c>
      <c r="AF114" s="136">
        <f t="shared" ref="AF114" si="401">((AE114/I114)^(1/($AE$3-$J$1) ))-1</f>
        <v>5.856295087353125E-2</v>
      </c>
      <c r="AG114" s="144"/>
      <c r="AH114" s="144"/>
    </row>
    <row r="115" spans="1:34" ht="12" customHeight="1" x14ac:dyDescent="0.15">
      <c r="B115" s="20" t="s">
        <v>321</v>
      </c>
      <c r="C115" s="149"/>
      <c r="D115" s="149"/>
      <c r="E115" s="149"/>
      <c r="F115" s="149"/>
      <c r="G115" s="149" t="e">
        <f t="shared" ref="G115:H115" si="402">G29/G12</f>
        <v>#DIV/0!</v>
      </c>
      <c r="H115" s="149" t="e">
        <f t="shared" si="402"/>
        <v>#DIV/0!</v>
      </c>
      <c r="I115" s="149" t="e">
        <f t="shared" ref="I115:R115" si="403">I29/I12</f>
        <v>#DIV/0!</v>
      </c>
      <c r="J115" s="149" t="e">
        <f t="shared" si="403"/>
        <v>#DIV/0!</v>
      </c>
      <c r="K115" s="149" t="e">
        <f t="shared" si="403"/>
        <v>#DIV/0!</v>
      </c>
      <c r="L115" s="149" t="e">
        <f t="shared" si="403"/>
        <v>#DIV/0!</v>
      </c>
      <c r="M115" s="149" t="e">
        <f t="shared" si="403"/>
        <v>#DIV/0!</v>
      </c>
      <c r="N115" s="149" t="e">
        <f t="shared" si="403"/>
        <v>#DIV/0!</v>
      </c>
      <c r="O115" s="149" t="e">
        <f t="shared" si="403"/>
        <v>#DIV/0!</v>
      </c>
      <c r="P115" s="149" t="e">
        <f t="shared" si="403"/>
        <v>#DIV/0!</v>
      </c>
      <c r="Q115" s="149" t="e">
        <f t="shared" si="403"/>
        <v>#DIV/0!</v>
      </c>
      <c r="R115" s="149" t="e">
        <f t="shared" si="403"/>
        <v>#DIV/0!</v>
      </c>
      <c r="S115" s="149" t="e">
        <f t="shared" ref="S115" si="404">S29/S12</f>
        <v>#DIV/0!</v>
      </c>
      <c r="T115" s="118" t="e">
        <f t="shared" si="251"/>
        <v>#DIV/0!</v>
      </c>
      <c r="U115" s="20"/>
      <c r="V115" s="149" t="e">
        <f t="shared" ref="V115:AE115" si="405">V29/V12</f>
        <v>#DIV/0!</v>
      </c>
      <c r="W115" s="149" t="e">
        <f t="shared" si="405"/>
        <v>#DIV/0!</v>
      </c>
      <c r="X115" s="149" t="e">
        <f t="shared" si="405"/>
        <v>#DIV/0!</v>
      </c>
      <c r="Y115" s="149" t="e">
        <f t="shared" si="405"/>
        <v>#DIV/0!</v>
      </c>
      <c r="Z115" s="149" t="e">
        <f t="shared" si="405"/>
        <v>#DIV/0!</v>
      </c>
      <c r="AA115" s="149" t="e">
        <f t="shared" si="405"/>
        <v>#DIV/0!</v>
      </c>
      <c r="AB115" s="149" t="e">
        <f t="shared" si="405"/>
        <v>#DIV/0!</v>
      </c>
      <c r="AC115" s="149" t="e">
        <f t="shared" si="405"/>
        <v>#DIV/0!</v>
      </c>
      <c r="AD115" s="149" t="e">
        <f t="shared" si="405"/>
        <v>#DIV/0!</v>
      </c>
      <c r="AE115" s="149" t="e">
        <f t="shared" si="405"/>
        <v>#DIV/0!</v>
      </c>
      <c r="AF115" s="136" t="e">
        <f t="shared" si="366"/>
        <v>#DIV/0!</v>
      </c>
      <c r="AG115" s="144"/>
      <c r="AH115" s="144"/>
    </row>
    <row r="116" spans="1:34" ht="12" customHeight="1" x14ac:dyDescent="0.15">
      <c r="B116" s="20" t="s">
        <v>366</v>
      </c>
      <c r="C116" s="149"/>
      <c r="D116" s="149"/>
      <c r="E116" s="149"/>
      <c r="F116" s="149"/>
      <c r="G116" s="149">
        <f t="shared" ref="G116:H116" si="406">G29/G23</f>
        <v>3.652173913043478</v>
      </c>
      <c r="H116" s="149">
        <f t="shared" si="406"/>
        <v>0.78281622911694515</v>
      </c>
      <c r="I116" s="149">
        <f>I29/I23</f>
        <v>0.89328743545611011</v>
      </c>
      <c r="J116" s="149">
        <f t="shared" ref="J116:R116" si="407">J29/J23</f>
        <v>0.76447574334898283</v>
      </c>
      <c r="K116" s="149">
        <f t="shared" si="407"/>
        <v>0.85218207414359459</v>
      </c>
      <c r="L116" s="149">
        <f t="shared" si="407"/>
        <v>1.7473684210526317</v>
      </c>
      <c r="M116" s="149">
        <f t="shared" si="407"/>
        <v>0.77043478260869569</v>
      </c>
      <c r="N116" s="149">
        <f t="shared" si="407"/>
        <v>1.0801619433198379</v>
      </c>
      <c r="O116" s="149">
        <f t="shared" si="407"/>
        <v>1.7239939255884587</v>
      </c>
      <c r="P116" s="149">
        <f t="shared" si="407"/>
        <v>1.6329628625643806</v>
      </c>
      <c r="Q116" s="149">
        <f t="shared" si="407"/>
        <v>1.0556949322629203</v>
      </c>
      <c r="R116" s="149">
        <f t="shared" si="407"/>
        <v>1.1124241456403705</v>
      </c>
      <c r="S116" s="149">
        <f t="shared" ref="S116" si="408">S29/S23</f>
        <v>1.0223366118209394</v>
      </c>
      <c r="T116" s="118">
        <f t="shared" si="251"/>
        <v>-0.10066767159595025</v>
      </c>
      <c r="U116" s="20"/>
      <c r="V116" s="149">
        <f t="shared" ref="V116:AE116" si="409">V29/V23</f>
        <v>1.0223366118209394</v>
      </c>
      <c r="W116" s="149">
        <f t="shared" si="409"/>
        <v>1.0223366118209394</v>
      </c>
      <c r="X116" s="149">
        <f t="shared" si="409"/>
        <v>1.0223366118209394</v>
      </c>
      <c r="Y116" s="149">
        <f t="shared" si="409"/>
        <v>1.0223366118209392</v>
      </c>
      <c r="Z116" s="149">
        <f t="shared" si="409"/>
        <v>1.0223366118209392</v>
      </c>
      <c r="AA116" s="149">
        <f t="shared" si="409"/>
        <v>1.0223366118209392</v>
      </c>
      <c r="AB116" s="149">
        <f t="shared" si="409"/>
        <v>1.0223366118209392</v>
      </c>
      <c r="AC116" s="149">
        <f t="shared" si="409"/>
        <v>1.0223366118209392</v>
      </c>
      <c r="AD116" s="149">
        <f t="shared" si="409"/>
        <v>1.0223366118209392</v>
      </c>
      <c r="AE116" s="149">
        <f t="shared" si="409"/>
        <v>1.0223366118209394</v>
      </c>
      <c r="AF116" s="136">
        <f t="shared" ref="AF116" si="410">((AE116/I116)^(1/($AE$3-$J$1) ))-1</f>
        <v>6.4462921467560719E-3</v>
      </c>
      <c r="AG116" s="144"/>
      <c r="AH116" s="144"/>
    </row>
    <row r="117" spans="1:34" ht="12" customHeight="1" x14ac:dyDescent="0.15">
      <c r="B117" s="20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28"/>
      <c r="U117" s="20"/>
      <c r="V117" s="149"/>
      <c r="W117" s="149"/>
      <c r="X117" s="149"/>
      <c r="Y117" s="149"/>
      <c r="Z117" s="149"/>
      <c r="AA117" s="149"/>
      <c r="AB117" s="149"/>
      <c r="AC117" s="149"/>
      <c r="AD117" s="149"/>
      <c r="AE117" s="149"/>
      <c r="AF117" s="149"/>
      <c r="AG117" s="144"/>
      <c r="AH117" s="144"/>
    </row>
    <row r="118" spans="1:34" ht="12" customHeight="1" x14ac:dyDescent="0.15">
      <c r="B118" s="20" t="s">
        <v>398</v>
      </c>
      <c r="C118" s="149"/>
      <c r="D118" s="149"/>
      <c r="E118" s="149"/>
      <c r="F118" s="149"/>
      <c r="G118" s="127">
        <f t="shared" ref="G118:H118" si="411">1/G112</f>
        <v>4.6190476190476186</v>
      </c>
      <c r="H118" s="127">
        <f t="shared" si="411"/>
        <v>5.3414634146341466</v>
      </c>
      <c r="I118" s="127">
        <f>1/I112</f>
        <v>5.7495183044315992</v>
      </c>
      <c r="J118" s="127">
        <f t="shared" ref="J118:R118" si="412">1/J112</f>
        <v>4.4370522006141249</v>
      </c>
      <c r="K118" s="127">
        <f t="shared" si="412"/>
        <v>4.2274229074889869</v>
      </c>
      <c r="L118" s="127">
        <f t="shared" si="412"/>
        <v>3.6049196787148596</v>
      </c>
      <c r="M118" s="127">
        <f t="shared" si="412"/>
        <v>5.256772009029345</v>
      </c>
      <c r="N118" s="127">
        <f t="shared" si="412"/>
        <v>4.1461769115442282</v>
      </c>
      <c r="O118" s="127">
        <f t="shared" si="412"/>
        <v>2.8656683549878883</v>
      </c>
      <c r="P118" s="127">
        <f t="shared" si="412"/>
        <v>2.6477423638778221</v>
      </c>
      <c r="Q118" s="127">
        <f t="shared" si="412"/>
        <v>2.7357414448669202</v>
      </c>
      <c r="R118" s="127">
        <f t="shared" si="412"/>
        <v>3.0822566752799312</v>
      </c>
      <c r="S118" s="127">
        <f t="shared" ref="S118" si="413">1/S112</f>
        <v>2.5204099982017625</v>
      </c>
      <c r="T118" s="118">
        <f t="shared" si="251"/>
        <v>-4.9227607094408543E-2</v>
      </c>
      <c r="U118" s="20"/>
      <c r="V118" s="127">
        <f t="shared" ref="V118:AE118" si="414">1/V112</f>
        <v>2.5204099982017625</v>
      </c>
      <c r="W118" s="127">
        <f t="shared" si="414"/>
        <v>2.520409998201762</v>
      </c>
      <c r="X118" s="127">
        <f t="shared" si="414"/>
        <v>2.520409998201762</v>
      </c>
      <c r="Y118" s="127">
        <f t="shared" si="414"/>
        <v>2.5204099982017625</v>
      </c>
      <c r="Z118" s="127">
        <f t="shared" si="414"/>
        <v>2.5204099982017629</v>
      </c>
      <c r="AA118" s="127">
        <f t="shared" si="414"/>
        <v>2.5204099982017629</v>
      </c>
      <c r="AB118" s="127">
        <f t="shared" si="414"/>
        <v>2.5204099982017629</v>
      </c>
      <c r="AC118" s="127">
        <f t="shared" si="414"/>
        <v>2.5204099982017629</v>
      </c>
      <c r="AD118" s="127">
        <f t="shared" si="414"/>
        <v>2.5204099982017629</v>
      </c>
      <c r="AE118" s="127">
        <f t="shared" si="414"/>
        <v>2.5204099982017625</v>
      </c>
      <c r="AF118" s="136">
        <f t="shared" si="366"/>
        <v>-3.8510049872836238E-2</v>
      </c>
      <c r="AG118" s="144"/>
      <c r="AH118" s="144"/>
    </row>
    <row r="119" spans="1:34" ht="12" customHeight="1" x14ac:dyDescent="0.15">
      <c r="B119" s="20" t="s">
        <v>399</v>
      </c>
      <c r="C119" s="149"/>
      <c r="D119" s="149"/>
      <c r="E119" s="149"/>
      <c r="F119" s="149"/>
      <c r="G119" s="127" t="e">
        <f t="shared" ref="G119:H119" si="415">1/G113</f>
        <v>#DIV/0!</v>
      </c>
      <c r="H119" s="127" t="e">
        <f t="shared" si="415"/>
        <v>#DIV/0!</v>
      </c>
      <c r="I119" s="127" t="e">
        <f t="shared" ref="I119:R122" si="416">1/I113</f>
        <v>#DIV/0!</v>
      </c>
      <c r="J119" s="127" t="e">
        <f t="shared" si="416"/>
        <v>#DIV/0!</v>
      </c>
      <c r="K119" s="127" t="e">
        <f t="shared" si="416"/>
        <v>#DIV/0!</v>
      </c>
      <c r="L119" s="127" t="e">
        <f t="shared" si="416"/>
        <v>#DIV/0!</v>
      </c>
      <c r="M119" s="127" t="e">
        <f t="shared" si="416"/>
        <v>#DIV/0!</v>
      </c>
      <c r="N119" s="127" t="e">
        <f t="shared" si="416"/>
        <v>#DIV/0!</v>
      </c>
      <c r="O119" s="127" t="e">
        <f t="shared" si="416"/>
        <v>#DIV/0!</v>
      </c>
      <c r="P119" s="127" t="e">
        <f t="shared" si="416"/>
        <v>#DIV/0!</v>
      </c>
      <c r="Q119" s="127" t="e">
        <f t="shared" si="416"/>
        <v>#DIV/0!</v>
      </c>
      <c r="R119" s="127" t="e">
        <f t="shared" si="416"/>
        <v>#DIV/0!</v>
      </c>
      <c r="S119" s="127" t="e">
        <f t="shared" ref="S119" si="417">1/S113</f>
        <v>#DIV/0!</v>
      </c>
      <c r="T119" s="118" t="e">
        <f t="shared" si="251"/>
        <v>#DIV/0!</v>
      </c>
      <c r="U119" s="20"/>
      <c r="V119" s="127" t="e">
        <f t="shared" ref="V119:AE119" si="418">1/V113</f>
        <v>#DIV/0!</v>
      </c>
      <c r="W119" s="127" t="e">
        <f t="shared" si="418"/>
        <v>#DIV/0!</v>
      </c>
      <c r="X119" s="127" t="e">
        <f t="shared" si="418"/>
        <v>#DIV/0!</v>
      </c>
      <c r="Y119" s="127" t="e">
        <f t="shared" si="418"/>
        <v>#DIV/0!</v>
      </c>
      <c r="Z119" s="127" t="e">
        <f t="shared" si="418"/>
        <v>#DIV/0!</v>
      </c>
      <c r="AA119" s="127" t="e">
        <f t="shared" si="418"/>
        <v>#DIV/0!</v>
      </c>
      <c r="AB119" s="127" t="e">
        <f t="shared" si="418"/>
        <v>#DIV/0!</v>
      </c>
      <c r="AC119" s="127" t="e">
        <f t="shared" si="418"/>
        <v>#DIV/0!</v>
      </c>
      <c r="AD119" s="127" t="e">
        <f t="shared" si="418"/>
        <v>#DIV/0!</v>
      </c>
      <c r="AE119" s="127" t="e">
        <f t="shared" si="418"/>
        <v>#DIV/0!</v>
      </c>
      <c r="AF119" s="136" t="e">
        <f t="shared" si="366"/>
        <v>#DIV/0!</v>
      </c>
      <c r="AG119" s="144"/>
      <c r="AH119" s="144"/>
    </row>
    <row r="120" spans="1:34" ht="12" customHeight="1" x14ac:dyDescent="0.15">
      <c r="B120" s="20" t="s">
        <v>400</v>
      </c>
      <c r="C120" s="149"/>
      <c r="D120" s="149"/>
      <c r="E120" s="149"/>
      <c r="F120" s="149"/>
      <c r="G120" s="127">
        <f t="shared" ref="G120:H120" si="419">1/G114</f>
        <v>0.7952380952380953</v>
      </c>
      <c r="H120" s="127">
        <f t="shared" si="419"/>
        <v>0.59146341463414631</v>
      </c>
      <c r="I120" s="127">
        <f t="shared" si="416"/>
        <v>1.0192678227360308</v>
      </c>
      <c r="J120" s="127">
        <f t="shared" si="416"/>
        <v>0.5363357215967246</v>
      </c>
      <c r="K120" s="127">
        <f t="shared" si="416"/>
        <v>0.52753303964757714</v>
      </c>
      <c r="L120" s="127">
        <f t="shared" si="416"/>
        <v>0.32730923694779113</v>
      </c>
      <c r="M120" s="127">
        <f t="shared" si="416"/>
        <v>0.74887133182844245</v>
      </c>
      <c r="N120" s="127">
        <f t="shared" si="416"/>
        <v>0.58808095952023987</v>
      </c>
      <c r="O120" s="127">
        <f t="shared" si="416"/>
        <v>0.40739925126624094</v>
      </c>
      <c r="P120" s="127">
        <f t="shared" si="416"/>
        <v>0.36586985391766269</v>
      </c>
      <c r="Q120" s="127">
        <f t="shared" si="416"/>
        <v>0.39781368821292779</v>
      </c>
      <c r="R120" s="127">
        <f t="shared" si="416"/>
        <v>0.43999425782371515</v>
      </c>
      <c r="S120" s="127">
        <f t="shared" ref="S120" si="420">1/S114</f>
        <v>0.30848768207156985</v>
      </c>
      <c r="T120" s="118">
        <f t="shared" si="251"/>
        <v>-7.5879961408178875E-2</v>
      </c>
      <c r="U120" s="20"/>
      <c r="V120" s="127">
        <f t="shared" ref="V120:AE120" si="421">1/V114</f>
        <v>0.30848768207156985</v>
      </c>
      <c r="W120" s="127">
        <f t="shared" si="421"/>
        <v>0.30848768207156985</v>
      </c>
      <c r="X120" s="127">
        <f t="shared" si="421"/>
        <v>0.30848768207156985</v>
      </c>
      <c r="Y120" s="127">
        <f t="shared" si="421"/>
        <v>0.30848768207156985</v>
      </c>
      <c r="Z120" s="127">
        <f t="shared" si="421"/>
        <v>0.30848768207156985</v>
      </c>
      <c r="AA120" s="127">
        <f t="shared" si="421"/>
        <v>0.3084876820715699</v>
      </c>
      <c r="AB120" s="127">
        <f t="shared" si="421"/>
        <v>0.3084876820715699</v>
      </c>
      <c r="AC120" s="127">
        <f t="shared" si="421"/>
        <v>0.30848768207156985</v>
      </c>
      <c r="AD120" s="127">
        <f t="shared" si="421"/>
        <v>0.30848768207156985</v>
      </c>
      <c r="AE120" s="127">
        <f t="shared" si="421"/>
        <v>0.30848768207156985</v>
      </c>
      <c r="AF120" s="136">
        <f t="shared" si="366"/>
        <v>-5.5323068718024615E-2</v>
      </c>
      <c r="AG120" s="144"/>
      <c r="AH120" s="144"/>
    </row>
    <row r="121" spans="1:34" ht="12" customHeight="1" x14ac:dyDescent="0.15">
      <c r="B121" s="20" t="s">
        <v>401</v>
      </c>
      <c r="C121" s="149"/>
      <c r="D121" s="149"/>
      <c r="E121" s="149"/>
      <c r="F121" s="149"/>
      <c r="G121" s="127" t="e">
        <f t="shared" ref="G121:H121" si="422">1/G115</f>
        <v>#DIV/0!</v>
      </c>
      <c r="H121" s="127" t="e">
        <f t="shared" si="422"/>
        <v>#DIV/0!</v>
      </c>
      <c r="I121" s="127" t="e">
        <f t="shared" si="416"/>
        <v>#DIV/0!</v>
      </c>
      <c r="J121" s="127" t="e">
        <f t="shared" si="416"/>
        <v>#DIV/0!</v>
      </c>
      <c r="K121" s="127" t="e">
        <f t="shared" si="416"/>
        <v>#DIV/0!</v>
      </c>
      <c r="L121" s="127" t="e">
        <f t="shared" si="416"/>
        <v>#DIV/0!</v>
      </c>
      <c r="M121" s="127" t="e">
        <f t="shared" si="416"/>
        <v>#DIV/0!</v>
      </c>
      <c r="N121" s="127" t="e">
        <f t="shared" si="416"/>
        <v>#DIV/0!</v>
      </c>
      <c r="O121" s="127" t="e">
        <f t="shared" si="416"/>
        <v>#DIV/0!</v>
      </c>
      <c r="P121" s="127" t="e">
        <f t="shared" si="416"/>
        <v>#DIV/0!</v>
      </c>
      <c r="Q121" s="127" t="e">
        <f t="shared" si="416"/>
        <v>#DIV/0!</v>
      </c>
      <c r="R121" s="127" t="e">
        <f t="shared" si="416"/>
        <v>#DIV/0!</v>
      </c>
      <c r="S121" s="127" t="e">
        <f t="shared" ref="S121" si="423">1/S115</f>
        <v>#DIV/0!</v>
      </c>
      <c r="T121" s="118" t="e">
        <f t="shared" si="251"/>
        <v>#DIV/0!</v>
      </c>
      <c r="U121" s="20"/>
      <c r="V121" s="127" t="e">
        <f t="shared" ref="V121:AE121" si="424">1/V115</f>
        <v>#DIV/0!</v>
      </c>
      <c r="W121" s="127" t="e">
        <f t="shared" si="424"/>
        <v>#DIV/0!</v>
      </c>
      <c r="X121" s="127" t="e">
        <f t="shared" si="424"/>
        <v>#DIV/0!</v>
      </c>
      <c r="Y121" s="127" t="e">
        <f t="shared" si="424"/>
        <v>#DIV/0!</v>
      </c>
      <c r="Z121" s="127" t="e">
        <f t="shared" si="424"/>
        <v>#DIV/0!</v>
      </c>
      <c r="AA121" s="127" t="e">
        <f t="shared" si="424"/>
        <v>#DIV/0!</v>
      </c>
      <c r="AB121" s="127" t="e">
        <f t="shared" si="424"/>
        <v>#DIV/0!</v>
      </c>
      <c r="AC121" s="127" t="e">
        <f t="shared" si="424"/>
        <v>#DIV/0!</v>
      </c>
      <c r="AD121" s="127" t="e">
        <f t="shared" si="424"/>
        <v>#DIV/0!</v>
      </c>
      <c r="AE121" s="127" t="e">
        <f t="shared" si="424"/>
        <v>#DIV/0!</v>
      </c>
      <c r="AF121" s="136" t="e">
        <f t="shared" si="366"/>
        <v>#DIV/0!</v>
      </c>
      <c r="AG121" s="144"/>
      <c r="AH121" s="144"/>
    </row>
    <row r="122" spans="1:34" ht="12" customHeight="1" x14ac:dyDescent="0.15">
      <c r="B122" s="20" t="s">
        <v>402</v>
      </c>
      <c r="C122" s="149"/>
      <c r="D122" s="149"/>
      <c r="E122" s="149"/>
      <c r="F122" s="149"/>
      <c r="G122" s="127">
        <f t="shared" ref="G122:H122" si="425">1/G116</f>
        <v>0.27380952380952384</v>
      </c>
      <c r="H122" s="127">
        <f t="shared" si="425"/>
        <v>1.2774390243902438</v>
      </c>
      <c r="I122" s="127">
        <f t="shared" si="416"/>
        <v>1.1194605009633911</v>
      </c>
      <c r="J122" s="127">
        <f t="shared" si="416"/>
        <v>1.3080859774820879</v>
      </c>
      <c r="K122" s="127">
        <f t="shared" si="416"/>
        <v>1.1734581497797356</v>
      </c>
      <c r="L122" s="127">
        <f t="shared" si="416"/>
        <v>0.57228915662650603</v>
      </c>
      <c r="M122" s="127">
        <f t="shared" si="416"/>
        <v>1.2979683972911964</v>
      </c>
      <c r="N122" s="127">
        <f t="shared" si="416"/>
        <v>0.92578710644677675</v>
      </c>
      <c r="O122" s="127">
        <f t="shared" si="416"/>
        <v>0.58004844747852891</v>
      </c>
      <c r="P122" s="127">
        <f t="shared" si="416"/>
        <v>0.61238379814077026</v>
      </c>
      <c r="Q122" s="127">
        <f t="shared" si="416"/>
        <v>0.94724334600760451</v>
      </c>
      <c r="R122" s="127">
        <f t="shared" si="416"/>
        <v>0.89893769738730978</v>
      </c>
      <c r="S122" s="127">
        <f t="shared" ref="S122" si="426">1/S116</f>
        <v>0.97815141161661578</v>
      </c>
      <c r="T122" s="118">
        <f t="shared" si="251"/>
        <v>0.11193600898857325</v>
      </c>
      <c r="U122" s="20"/>
      <c r="V122" s="127">
        <f t="shared" ref="V122:AE122" si="427">1/V116</f>
        <v>0.97815141161661578</v>
      </c>
      <c r="W122" s="127">
        <f t="shared" si="427"/>
        <v>0.97815141161661578</v>
      </c>
      <c r="X122" s="127">
        <f t="shared" si="427"/>
        <v>0.97815141161661578</v>
      </c>
      <c r="Y122" s="127">
        <f t="shared" si="427"/>
        <v>0.97815141161661601</v>
      </c>
      <c r="Z122" s="127">
        <f t="shared" si="427"/>
        <v>0.97815141161661601</v>
      </c>
      <c r="AA122" s="127">
        <f t="shared" si="427"/>
        <v>0.97815141161661601</v>
      </c>
      <c r="AB122" s="127">
        <f t="shared" si="427"/>
        <v>0.97815141161661601</v>
      </c>
      <c r="AC122" s="127">
        <f t="shared" si="427"/>
        <v>0.97815141161661601</v>
      </c>
      <c r="AD122" s="127">
        <f t="shared" si="427"/>
        <v>0.97815141161661601</v>
      </c>
      <c r="AE122" s="127">
        <f t="shared" si="427"/>
        <v>0.97815141161661578</v>
      </c>
      <c r="AF122" s="136">
        <f t="shared" si="366"/>
        <v>-6.4050036222061957E-3</v>
      </c>
      <c r="AG122" s="144"/>
      <c r="AH122" s="144"/>
    </row>
    <row r="123" spans="1:34" ht="12" customHeight="1" x14ac:dyDescent="0.15">
      <c r="B123" s="20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28"/>
      <c r="U123" s="20"/>
      <c r="V123" s="149"/>
      <c r="W123" s="149"/>
      <c r="X123" s="149"/>
      <c r="Y123" s="149"/>
      <c r="Z123" s="149"/>
      <c r="AA123" s="149"/>
      <c r="AB123" s="149"/>
      <c r="AC123" s="149"/>
      <c r="AD123" s="149"/>
      <c r="AE123" s="149"/>
      <c r="AF123" s="149"/>
      <c r="AG123" s="144"/>
      <c r="AH123" s="144"/>
    </row>
    <row r="124" spans="1:34" ht="12" customHeight="1" x14ac:dyDescent="0.15">
      <c r="A124" s="213" t="s">
        <v>479</v>
      </c>
      <c r="B124" s="197" t="s">
        <v>487</v>
      </c>
      <c r="C124" s="149"/>
      <c r="D124" s="149"/>
      <c r="E124" s="149"/>
      <c r="F124" s="149"/>
      <c r="G124" s="149">
        <f t="shared" ref="G124:H124" si="428">G25/(G36+G38)</f>
        <v>0.15895124948791478</v>
      </c>
      <c r="H124" s="149">
        <f t="shared" si="428"/>
        <v>0.23189940436796824</v>
      </c>
      <c r="I124" s="149">
        <f t="shared" ref="I124:S124" si="429">I25/(I36+I38)</f>
        <v>0.26145623411898711</v>
      </c>
      <c r="J124" s="149">
        <f t="shared" si="429"/>
        <v>0.22066683634512599</v>
      </c>
      <c r="K124" s="149">
        <f t="shared" si="429"/>
        <v>0.29010316290669991</v>
      </c>
      <c r="L124" s="149">
        <f t="shared" si="429"/>
        <v>0.28861380169607331</v>
      </c>
      <c r="M124" s="149">
        <f t="shared" si="429"/>
        <v>0.26089513779968632</v>
      </c>
      <c r="N124" s="149">
        <f t="shared" si="429"/>
        <v>0.22399514022476461</v>
      </c>
      <c r="O124" s="149">
        <f t="shared" si="429"/>
        <v>0.19820574527066134</v>
      </c>
      <c r="P124" s="149">
        <f t="shared" si="429"/>
        <v>0.18641888733052828</v>
      </c>
      <c r="Q124" s="149">
        <f t="shared" si="429"/>
        <v>0.20244082580100586</v>
      </c>
      <c r="R124" s="149">
        <f t="shared" si="429"/>
        <v>0.20594300622500167</v>
      </c>
      <c r="S124" s="149">
        <f t="shared" si="429"/>
        <v>0.15601329051575882</v>
      </c>
      <c r="T124" s="118">
        <f t="shared" si="251"/>
        <v>-1.5534878347935877E-3</v>
      </c>
      <c r="U124" s="20"/>
      <c r="V124" s="149">
        <f t="shared" ref="V124:AE124" si="430">V25/(V36+V38)</f>
        <v>0.15601329051575885</v>
      </c>
      <c r="W124" s="149">
        <f t="shared" si="430"/>
        <v>0.15601329051575882</v>
      </c>
      <c r="X124" s="149">
        <f t="shared" si="430"/>
        <v>0.15601329051575882</v>
      </c>
      <c r="Y124" s="149">
        <f t="shared" si="430"/>
        <v>0.15601329051575885</v>
      </c>
      <c r="Z124" s="149">
        <f t="shared" si="430"/>
        <v>0.15601329051575882</v>
      </c>
      <c r="AA124" s="149">
        <f t="shared" si="430"/>
        <v>0.15601329051575885</v>
      </c>
      <c r="AB124" s="149">
        <f t="shared" si="430"/>
        <v>0.15601329051575882</v>
      </c>
      <c r="AC124" s="149">
        <f t="shared" si="430"/>
        <v>0.15601329051575885</v>
      </c>
      <c r="AD124" s="149">
        <f t="shared" si="430"/>
        <v>0.15601329051575885</v>
      </c>
      <c r="AE124" s="149">
        <f t="shared" si="430"/>
        <v>0.15601329051575885</v>
      </c>
      <c r="AF124" s="136">
        <f t="shared" ref="AF124:AF132" si="431">((AE124/I124)^(1/($AE$3-$J$1) ))-1</f>
        <v>-2.4287141642827637E-2</v>
      </c>
      <c r="AG124" s="144"/>
      <c r="AH124" s="144"/>
    </row>
    <row r="125" spans="1:34" ht="12" customHeight="1" x14ac:dyDescent="0.15">
      <c r="A125" s="213"/>
      <c r="B125" s="197" t="s">
        <v>481</v>
      </c>
      <c r="C125" s="149"/>
      <c r="D125" s="149"/>
      <c r="E125" s="149"/>
      <c r="F125" s="149"/>
      <c r="G125" s="149">
        <f t="shared" ref="G125:H125" si="432">G25/G43</f>
        <v>0.25032258064516127</v>
      </c>
      <c r="H125" s="149">
        <f t="shared" si="432"/>
        <v>0.2453094371324559</v>
      </c>
      <c r="I125" s="149">
        <f t="shared" ref="I125:S125" si="433">I25/I43</f>
        <v>0.2863998464343987</v>
      </c>
      <c r="J125" s="149">
        <f t="shared" si="433"/>
        <v>0.27836640339048352</v>
      </c>
      <c r="K125" s="149">
        <f t="shared" si="433"/>
        <v>0.34920851528384278</v>
      </c>
      <c r="L125" s="149">
        <f t="shared" si="433"/>
        <v>0.31919811530426279</v>
      </c>
      <c r="M125" s="149">
        <f t="shared" si="433"/>
        <v>0.31338312474767865</v>
      </c>
      <c r="N125" s="149">
        <f t="shared" si="433"/>
        <v>0.26822821949031306</v>
      </c>
      <c r="O125" s="149">
        <f t="shared" si="433"/>
        <v>0.2448768370937694</v>
      </c>
      <c r="P125" s="149">
        <f t="shared" si="433"/>
        <v>0.24072928143441447</v>
      </c>
      <c r="Q125" s="149">
        <f t="shared" si="433"/>
        <v>0.24086369469396865</v>
      </c>
      <c r="R125" s="149">
        <f t="shared" si="433"/>
        <v>0.24224884917411318</v>
      </c>
      <c r="S125" s="149">
        <f t="shared" si="433"/>
        <v>0.19360185645615779</v>
      </c>
      <c r="T125" s="118">
        <f t="shared" si="251"/>
        <v>-2.1184606274966877E-2</v>
      </c>
      <c r="U125" s="20"/>
      <c r="V125" s="149">
        <f t="shared" ref="V125:AE125" si="434">V25/V43</f>
        <v>0.19360185645615782</v>
      </c>
      <c r="W125" s="149">
        <f t="shared" si="434"/>
        <v>0.19360185645615779</v>
      </c>
      <c r="X125" s="149">
        <f t="shared" si="434"/>
        <v>0.19360185645615777</v>
      </c>
      <c r="Y125" s="149">
        <f t="shared" si="434"/>
        <v>0.19360185645615779</v>
      </c>
      <c r="Z125" s="149">
        <f t="shared" si="434"/>
        <v>0.19360185645615777</v>
      </c>
      <c r="AA125" s="149">
        <f t="shared" si="434"/>
        <v>0.19360185645615779</v>
      </c>
      <c r="AB125" s="149">
        <f t="shared" si="434"/>
        <v>0.19360185645615777</v>
      </c>
      <c r="AC125" s="149">
        <f t="shared" si="434"/>
        <v>0.19360185645615779</v>
      </c>
      <c r="AD125" s="149">
        <f t="shared" si="434"/>
        <v>0.19360185645615779</v>
      </c>
      <c r="AE125" s="149">
        <f t="shared" si="434"/>
        <v>0.19360185645615779</v>
      </c>
      <c r="AF125" s="136">
        <f t="shared" si="431"/>
        <v>-1.8474133132717951E-2</v>
      </c>
      <c r="AG125" s="144"/>
      <c r="AH125" s="144"/>
    </row>
    <row r="126" spans="1:34" ht="12" customHeight="1" x14ac:dyDescent="0.15">
      <c r="A126" s="213"/>
      <c r="B126" s="197" t="s">
        <v>488</v>
      </c>
      <c r="C126" s="149"/>
      <c r="D126" s="149"/>
      <c r="E126" s="149"/>
      <c r="F126" s="149"/>
      <c r="G126" s="149">
        <f t="shared" ref="G126:H126" si="435">G43/(G36)</f>
        <v>1.1018957345971565</v>
      </c>
      <c r="H126" s="149">
        <f t="shared" si="435"/>
        <v>1.8637787056367432</v>
      </c>
      <c r="I126" s="149">
        <f t="shared" ref="I126:S126" si="436">I43/(I36)</f>
        <v>1.8552350427350428</v>
      </c>
      <c r="J126" s="149">
        <f t="shared" si="436"/>
        <v>1.612111801242236</v>
      </c>
      <c r="K126" s="149">
        <f t="shared" si="436"/>
        <v>1.6057263895990066</v>
      </c>
      <c r="L126" s="149">
        <f t="shared" si="436"/>
        <v>1.6276226305889163</v>
      </c>
      <c r="M126" s="149">
        <f t="shared" si="436"/>
        <v>1.3622989137907329</v>
      </c>
      <c r="N126" s="149">
        <f t="shared" si="436"/>
        <v>1.5099956063268893</v>
      </c>
      <c r="O126" s="149">
        <f t="shared" si="436"/>
        <v>1.4575150850246845</v>
      </c>
      <c r="P126" s="149">
        <f t="shared" si="436"/>
        <v>1.3415335398570531</v>
      </c>
      <c r="Q126" s="149">
        <f t="shared" si="436"/>
        <v>1.2735735095573084</v>
      </c>
      <c r="R126" s="149">
        <f t="shared" si="436"/>
        <v>1.2167538404513818</v>
      </c>
      <c r="S126" s="149">
        <f t="shared" si="436"/>
        <v>1.0650542854620884</v>
      </c>
      <c r="T126" s="118">
        <f t="shared" si="251"/>
        <v>-2.8298485274153018E-3</v>
      </c>
      <c r="U126" s="20"/>
      <c r="V126" s="149">
        <f t="shared" ref="V126:AE126" si="437">V43/(V36+V38)</f>
        <v>0.80584604596025089</v>
      </c>
      <c r="W126" s="149">
        <f t="shared" si="437"/>
        <v>0.80584604596025089</v>
      </c>
      <c r="X126" s="149">
        <f t="shared" si="437"/>
        <v>0.80584604596025089</v>
      </c>
      <c r="Y126" s="149">
        <f t="shared" si="437"/>
        <v>0.805846045960251</v>
      </c>
      <c r="Z126" s="149">
        <f t="shared" si="437"/>
        <v>0.805846045960251</v>
      </c>
      <c r="AA126" s="149">
        <f t="shared" si="437"/>
        <v>0.805846045960251</v>
      </c>
      <c r="AB126" s="149">
        <f t="shared" si="437"/>
        <v>0.80584604596025089</v>
      </c>
      <c r="AC126" s="149">
        <f t="shared" si="437"/>
        <v>0.805846045960251</v>
      </c>
      <c r="AD126" s="149">
        <f t="shared" si="437"/>
        <v>0.805846045960251</v>
      </c>
      <c r="AE126" s="149">
        <f t="shared" si="437"/>
        <v>0.805846045960251</v>
      </c>
      <c r="AF126" s="136">
        <f t="shared" si="431"/>
        <v>-3.8930242146252403E-2</v>
      </c>
      <c r="AG126" s="144"/>
      <c r="AH126" s="144"/>
    </row>
    <row r="127" spans="1:34" ht="12" customHeight="1" x14ac:dyDescent="0.15">
      <c r="A127" s="213"/>
      <c r="B127" s="197" t="s">
        <v>485</v>
      </c>
      <c r="C127" s="149"/>
      <c r="D127" s="149"/>
      <c r="E127" s="149"/>
      <c r="F127" s="149"/>
      <c r="G127" s="149">
        <f t="shared" ref="G127:H127" si="438">G43/G38</f>
        <v>1.498549790525298</v>
      </c>
      <c r="H127" s="149">
        <f t="shared" si="438"/>
        <v>1.9183454203599248</v>
      </c>
      <c r="I127" s="149">
        <f t="shared" ref="I127:S127" si="439">I43/I38</f>
        <v>1.7973089529066759</v>
      </c>
      <c r="J127" s="149">
        <f t="shared" si="439"/>
        <v>1.5596394591887832</v>
      </c>
      <c r="K127" s="149">
        <f t="shared" si="439"/>
        <v>1.7212652677732541</v>
      </c>
      <c r="L127" s="149">
        <f t="shared" si="439"/>
        <v>2.0342707297223979</v>
      </c>
      <c r="M127" s="149">
        <f t="shared" si="439"/>
        <v>2.1407274036730284</v>
      </c>
      <c r="N127" s="149">
        <f t="shared" si="439"/>
        <v>1.8683912472251167</v>
      </c>
      <c r="O127" s="149">
        <f t="shared" si="439"/>
        <v>1.8202712886209496</v>
      </c>
      <c r="P127" s="149">
        <f t="shared" si="439"/>
        <v>1.8317713085068148</v>
      </c>
      <c r="Q127" s="149">
        <f t="shared" si="439"/>
        <v>2.471541352087427</v>
      </c>
      <c r="R127" s="149">
        <f t="shared" si="439"/>
        <v>2.821417202521169</v>
      </c>
      <c r="S127" s="149">
        <f t="shared" si="439"/>
        <v>3.3111207665393674</v>
      </c>
      <c r="T127" s="118">
        <f t="shared" si="251"/>
        <v>6.8296946310687057E-2</v>
      </c>
      <c r="U127" s="20"/>
      <c r="V127" s="149">
        <f t="shared" ref="V127:AE127" si="440">V43/V38</f>
        <v>3.3111207665393674</v>
      </c>
      <c r="W127" s="149">
        <f t="shared" si="440"/>
        <v>3.3111207665393678</v>
      </c>
      <c r="X127" s="149">
        <f t="shared" si="440"/>
        <v>3.3111207665393678</v>
      </c>
      <c r="Y127" s="149">
        <f t="shared" si="440"/>
        <v>3.3111207665393683</v>
      </c>
      <c r="Z127" s="149">
        <f t="shared" si="440"/>
        <v>3.3111207665393683</v>
      </c>
      <c r="AA127" s="149">
        <f t="shared" si="440"/>
        <v>3.3111207665393678</v>
      </c>
      <c r="AB127" s="149">
        <f t="shared" si="440"/>
        <v>3.3111207665393683</v>
      </c>
      <c r="AC127" s="149">
        <f t="shared" si="440"/>
        <v>3.3111207665393678</v>
      </c>
      <c r="AD127" s="149">
        <f t="shared" si="440"/>
        <v>3.3111207665393678</v>
      </c>
      <c r="AE127" s="149">
        <f t="shared" si="440"/>
        <v>3.3111207665393674</v>
      </c>
      <c r="AF127" s="136">
        <f t="shared" si="431"/>
        <v>2.9522453883388255E-2</v>
      </c>
      <c r="AG127" s="144"/>
      <c r="AH127" s="144"/>
    </row>
    <row r="128" spans="1:34" ht="12" customHeight="1" x14ac:dyDescent="0.15">
      <c r="A128" s="213"/>
      <c r="B128" s="197" t="s">
        <v>484</v>
      </c>
      <c r="C128" s="149"/>
      <c r="D128" s="149"/>
      <c r="E128" s="149"/>
      <c r="F128" s="149"/>
      <c r="G128" s="149">
        <f t="shared" ref="G128:H128" si="441">G43/(G36+G38)</f>
        <v>0.63498566161409253</v>
      </c>
      <c r="H128" s="149">
        <f t="shared" si="441"/>
        <v>0.94533421575115817</v>
      </c>
      <c r="I128" s="149">
        <f t="shared" ref="I128:S128" si="442">I43/(I36+I38)</f>
        <v>0.91290633488127571</v>
      </c>
      <c r="J128" s="149">
        <f t="shared" si="442"/>
        <v>0.79272079409518958</v>
      </c>
      <c r="K128" s="149">
        <f t="shared" si="442"/>
        <v>0.83074481351320717</v>
      </c>
      <c r="L128" s="149">
        <f t="shared" si="442"/>
        <v>0.90418391543748244</v>
      </c>
      <c r="M128" s="149">
        <f t="shared" si="442"/>
        <v>0.83251176338785571</v>
      </c>
      <c r="N128" s="149">
        <f t="shared" si="442"/>
        <v>0.8350916270122507</v>
      </c>
      <c r="O128" s="149">
        <f t="shared" si="442"/>
        <v>0.80940993694215124</v>
      </c>
      <c r="P128" s="149">
        <f t="shared" si="442"/>
        <v>0.77439223936418888</v>
      </c>
      <c r="Q128" s="149">
        <f t="shared" si="442"/>
        <v>0.84047878638671025</v>
      </c>
      <c r="R128" s="149">
        <f t="shared" si="442"/>
        <v>0.85012996729236401</v>
      </c>
      <c r="S128" s="149">
        <f t="shared" si="442"/>
        <v>0.80584604596025089</v>
      </c>
      <c r="T128" s="118">
        <f t="shared" si="251"/>
        <v>2.0055996836608969E-2</v>
      </c>
      <c r="U128" s="20"/>
      <c r="V128" s="149">
        <f t="shared" ref="V128:AE128" si="443">V43/(V36+V38)</f>
        <v>0.80584604596025089</v>
      </c>
      <c r="W128" s="149">
        <f t="shared" si="443"/>
        <v>0.80584604596025089</v>
      </c>
      <c r="X128" s="149">
        <f t="shared" si="443"/>
        <v>0.80584604596025089</v>
      </c>
      <c r="Y128" s="149">
        <f t="shared" si="443"/>
        <v>0.805846045960251</v>
      </c>
      <c r="Z128" s="149">
        <f t="shared" si="443"/>
        <v>0.805846045960251</v>
      </c>
      <c r="AA128" s="149">
        <f t="shared" si="443"/>
        <v>0.805846045960251</v>
      </c>
      <c r="AB128" s="149">
        <f t="shared" si="443"/>
        <v>0.80584604596025089</v>
      </c>
      <c r="AC128" s="149">
        <f t="shared" si="443"/>
        <v>0.805846045960251</v>
      </c>
      <c r="AD128" s="149">
        <f t="shared" si="443"/>
        <v>0.805846045960251</v>
      </c>
      <c r="AE128" s="149">
        <f t="shared" si="443"/>
        <v>0.805846045960251</v>
      </c>
      <c r="AF128" s="136">
        <f>((AE128/I128)^(1/($AE$3-$J$1) ))-1</f>
        <v>-5.9224200872698418E-3</v>
      </c>
      <c r="AG128" s="144"/>
      <c r="AH128" s="144"/>
    </row>
    <row r="129" spans="1:34" ht="12" customHeight="1" x14ac:dyDescent="0.15">
      <c r="A129" s="213"/>
      <c r="B129" s="197" t="s">
        <v>491</v>
      </c>
      <c r="C129" s="149"/>
      <c r="D129" s="149"/>
      <c r="E129" s="149"/>
      <c r="F129" s="149"/>
      <c r="G129" s="149">
        <f t="shared" ref="G129:H129" si="444">G47/G25</f>
        <v>0.45360824742268041</v>
      </c>
      <c r="H129" s="149">
        <f t="shared" si="444"/>
        <v>0.55707762557077622</v>
      </c>
      <c r="I129" s="149">
        <f t="shared" ref="I129:S129" si="445">I47/I25</f>
        <v>0.60321715817694366</v>
      </c>
      <c r="J129" s="149">
        <f t="shared" si="445"/>
        <v>0.54279123414071506</v>
      </c>
      <c r="K129" s="149">
        <f t="shared" si="445"/>
        <v>0.52481438061742869</v>
      </c>
      <c r="L129" s="149">
        <f t="shared" si="445"/>
        <v>0.39186742793482804</v>
      </c>
      <c r="M129" s="149">
        <f t="shared" si="445"/>
        <v>0.50606548577563071</v>
      </c>
      <c r="N129" s="149">
        <f t="shared" si="445"/>
        <v>0.46004339179171938</v>
      </c>
      <c r="O129" s="149">
        <f t="shared" si="445"/>
        <v>0.34911242603550297</v>
      </c>
      <c r="P129" s="149">
        <f t="shared" si="445"/>
        <v>0.32050156739811914</v>
      </c>
      <c r="Q129" s="149">
        <f t="shared" si="445"/>
        <v>0.30588371554320132</v>
      </c>
      <c r="R129" s="149">
        <f t="shared" si="445"/>
        <v>0.37967491034418516</v>
      </c>
      <c r="S129" s="149">
        <f t="shared" si="445"/>
        <v>0.27218892694063929</v>
      </c>
      <c r="T129" s="118">
        <f t="shared" si="251"/>
        <v>-4.1668435736143761E-2</v>
      </c>
      <c r="U129" s="20"/>
      <c r="V129" s="149">
        <f t="shared" ref="V129:AE129" si="446">V47/V25</f>
        <v>0.27218892694063923</v>
      </c>
      <c r="W129" s="149">
        <f t="shared" si="446"/>
        <v>0.27218892694063929</v>
      </c>
      <c r="X129" s="149">
        <f t="shared" si="446"/>
        <v>0.27218892694063929</v>
      </c>
      <c r="Y129" s="149">
        <f t="shared" si="446"/>
        <v>0.27218892694063923</v>
      </c>
      <c r="Z129" s="149">
        <f t="shared" si="446"/>
        <v>0.27218892694063923</v>
      </c>
      <c r="AA129" s="149">
        <f t="shared" si="446"/>
        <v>0.27218892694063929</v>
      </c>
      <c r="AB129" s="149">
        <f t="shared" si="446"/>
        <v>0.27218892694063923</v>
      </c>
      <c r="AC129" s="149">
        <f t="shared" si="446"/>
        <v>0.27218892694063923</v>
      </c>
      <c r="AD129" s="149">
        <f t="shared" si="446"/>
        <v>0.27218892694063923</v>
      </c>
      <c r="AE129" s="149">
        <f t="shared" si="446"/>
        <v>0.27218892694063923</v>
      </c>
      <c r="AF129" s="136">
        <f>((AE129/I129)^(1/($AE$3-$J$1) ))-1</f>
        <v>-3.7185320281915679E-2</v>
      </c>
      <c r="AG129" s="144"/>
      <c r="AH129" s="144"/>
    </row>
    <row r="130" spans="1:34" ht="12" customHeight="1" x14ac:dyDescent="0.15">
      <c r="A130" s="213"/>
      <c r="B130" s="197" t="s">
        <v>489</v>
      </c>
      <c r="C130" s="149"/>
      <c r="D130" s="149"/>
      <c r="E130" s="149"/>
      <c r="F130" s="149"/>
      <c r="G130" s="201" t="e">
        <f t="shared" ref="G130:H130" si="447">G55/G49</f>
        <v>#DIV/0!</v>
      </c>
      <c r="H130" s="201" t="e">
        <f t="shared" si="447"/>
        <v>#DIV/0!</v>
      </c>
      <c r="I130" s="201" t="e">
        <f t="shared" ref="I130:S130" si="448">I55/I49</f>
        <v>#DIV/0!</v>
      </c>
      <c r="J130" s="201" t="e">
        <f t="shared" si="448"/>
        <v>#DIV/0!</v>
      </c>
      <c r="K130" s="201" t="e">
        <f t="shared" si="448"/>
        <v>#DIV/0!</v>
      </c>
      <c r="L130" s="201" t="e">
        <f t="shared" si="448"/>
        <v>#DIV/0!</v>
      </c>
      <c r="M130" s="201" t="e">
        <f t="shared" si="448"/>
        <v>#DIV/0!</v>
      </c>
      <c r="N130" s="201" t="e">
        <f t="shared" si="448"/>
        <v>#DIV/0!</v>
      </c>
      <c r="O130" s="201" t="e">
        <f t="shared" si="448"/>
        <v>#DIV/0!</v>
      </c>
      <c r="P130" s="201" t="e">
        <f t="shared" si="448"/>
        <v>#DIV/0!</v>
      </c>
      <c r="Q130" s="201" t="e">
        <f t="shared" si="448"/>
        <v>#DIV/0!</v>
      </c>
      <c r="R130" s="201" t="e">
        <f t="shared" si="448"/>
        <v>#DIV/0!</v>
      </c>
      <c r="S130" s="201" t="e">
        <f t="shared" si="448"/>
        <v>#DIV/0!</v>
      </c>
      <c r="T130" s="118" t="e">
        <f t="shared" si="251"/>
        <v>#DIV/0!</v>
      </c>
      <c r="U130" s="20"/>
      <c r="V130" s="201" t="e">
        <f t="shared" ref="V130:AE130" si="449">V55/V49</f>
        <v>#DIV/0!</v>
      </c>
      <c r="W130" s="201" t="e">
        <f t="shared" si="449"/>
        <v>#DIV/0!</v>
      </c>
      <c r="X130" s="201" t="e">
        <f t="shared" si="449"/>
        <v>#DIV/0!</v>
      </c>
      <c r="Y130" s="201" t="e">
        <f t="shared" si="449"/>
        <v>#DIV/0!</v>
      </c>
      <c r="Z130" s="201" t="e">
        <f t="shared" si="449"/>
        <v>#DIV/0!</v>
      </c>
      <c r="AA130" s="201" t="e">
        <f t="shared" si="449"/>
        <v>#DIV/0!</v>
      </c>
      <c r="AB130" s="201" t="e">
        <f t="shared" si="449"/>
        <v>#DIV/0!</v>
      </c>
      <c r="AC130" s="201" t="e">
        <f t="shared" si="449"/>
        <v>#DIV/0!</v>
      </c>
      <c r="AD130" s="201" t="e">
        <f t="shared" si="449"/>
        <v>#DIV/0!</v>
      </c>
      <c r="AE130" s="201" t="e">
        <f t="shared" si="449"/>
        <v>#DIV/0!</v>
      </c>
      <c r="AF130" s="136" t="e">
        <f>((AE130/I130)^(1/($AE$3-$J$1) ))-1</f>
        <v>#DIV/0!</v>
      </c>
      <c r="AG130" s="144"/>
      <c r="AH130" s="144"/>
    </row>
    <row r="131" spans="1:34" ht="12" customHeight="1" x14ac:dyDescent="0.15">
      <c r="A131" s="213"/>
      <c r="B131" s="197" t="s">
        <v>482</v>
      </c>
      <c r="C131" s="149"/>
      <c r="D131" s="149"/>
      <c r="E131" s="149"/>
      <c r="F131" s="149"/>
      <c r="G131" s="149">
        <f t="shared" ref="G131:H131" si="450">G55/G43</f>
        <v>4.309677419354839E-2</v>
      </c>
      <c r="H131" s="149">
        <f t="shared" si="450"/>
        <v>2.7163259591150939E-2</v>
      </c>
      <c r="I131" s="149">
        <f t="shared" ref="I131:S131" si="451">I55/I43</f>
        <v>5.0772626931567331E-2</v>
      </c>
      <c r="J131" s="149">
        <f t="shared" si="451"/>
        <v>3.3647980479034223E-2</v>
      </c>
      <c r="K131" s="149">
        <f t="shared" si="451"/>
        <v>4.3577147016011647E-2</v>
      </c>
      <c r="L131" s="149">
        <f t="shared" si="451"/>
        <v>2.8981641996710671E-2</v>
      </c>
      <c r="M131" s="149">
        <f t="shared" si="451"/>
        <v>4.464405867312609E-2</v>
      </c>
      <c r="N131" s="149">
        <f t="shared" si="451"/>
        <v>3.8044664290390634E-2</v>
      </c>
      <c r="O131" s="149">
        <f t="shared" si="451"/>
        <v>3.4813044541879154E-2</v>
      </c>
      <c r="P131" s="149">
        <f t="shared" si="451"/>
        <v>3.326440979821E-2</v>
      </c>
      <c r="Q131" s="149">
        <f t="shared" si="451"/>
        <v>3.5024828432740053E-2</v>
      </c>
      <c r="R131" s="149">
        <f t="shared" si="451"/>
        <v>3.4581189638053976E-2</v>
      </c>
      <c r="S131" s="149">
        <f t="shared" si="451"/>
        <v>2.3696060555831813E-2</v>
      </c>
      <c r="T131" s="118">
        <f t="shared" si="251"/>
        <v>-4.8623070912762412E-2</v>
      </c>
      <c r="U131" s="20"/>
      <c r="V131" s="149">
        <f t="shared" ref="V131:AE131" si="452">V55/V43</f>
        <v>2.3696060555831813E-2</v>
      </c>
      <c r="W131" s="149">
        <f t="shared" si="452"/>
        <v>2.3696060555831809E-2</v>
      </c>
      <c r="X131" s="149">
        <f t="shared" si="452"/>
        <v>2.3696060555831809E-2</v>
      </c>
      <c r="Y131" s="149">
        <f t="shared" si="452"/>
        <v>2.3696060555831809E-2</v>
      </c>
      <c r="Z131" s="149">
        <f t="shared" si="452"/>
        <v>2.3696060555831809E-2</v>
      </c>
      <c r="AA131" s="149">
        <f t="shared" si="452"/>
        <v>2.3696060555831809E-2</v>
      </c>
      <c r="AB131" s="149">
        <f t="shared" si="452"/>
        <v>2.3696060555831809E-2</v>
      </c>
      <c r="AC131" s="149">
        <f t="shared" si="452"/>
        <v>2.3696060555831809E-2</v>
      </c>
      <c r="AD131" s="149">
        <f t="shared" si="452"/>
        <v>2.3696060555831809E-2</v>
      </c>
      <c r="AE131" s="149">
        <f t="shared" si="452"/>
        <v>2.3696060555831809E-2</v>
      </c>
      <c r="AF131" s="136">
        <f t="shared" si="431"/>
        <v>-3.5637508469607337E-2</v>
      </c>
      <c r="AG131" s="144"/>
      <c r="AH131" s="144"/>
    </row>
    <row r="132" spans="1:34" ht="12" customHeight="1" x14ac:dyDescent="0.15">
      <c r="A132" s="213"/>
      <c r="B132" s="197" t="s">
        <v>483</v>
      </c>
      <c r="C132" s="149"/>
      <c r="D132" s="149"/>
      <c r="E132" s="149"/>
      <c r="F132" s="149"/>
      <c r="G132" s="149">
        <f t="shared" ref="G132:H132" si="453">G55/(G36+G38)</f>
        <v>2.7365833674723474E-2</v>
      </c>
      <c r="H132" s="149">
        <f t="shared" si="453"/>
        <v>2.5678358702845797E-2</v>
      </c>
      <c r="I132" s="149">
        <f t="shared" ref="I132:S132" si="454">I55/(I36+I38)</f>
        <v>4.6350652764391487E-2</v>
      </c>
      <c r="J132" s="149">
        <f t="shared" si="454"/>
        <v>2.6673453805039452E-2</v>
      </c>
      <c r="K132" s="149">
        <f t="shared" si="454"/>
        <v>3.6201488871254205E-2</v>
      </c>
      <c r="L132" s="149">
        <f t="shared" si="454"/>
        <v>2.6204734536393232E-2</v>
      </c>
      <c r="M132" s="149">
        <f t="shared" si="454"/>
        <v>3.71667040107551E-2</v>
      </c>
      <c r="N132" s="149">
        <f t="shared" si="454"/>
        <v>3.1770780601397187E-2</v>
      </c>
      <c r="O132" s="149">
        <f t="shared" si="454"/>
        <v>2.8178024187406708E-2</v>
      </c>
      <c r="P132" s="128">
        <f t="shared" si="454"/>
        <v>2.5759700794763907E-2</v>
      </c>
      <c r="Q132" s="128">
        <f t="shared" si="454"/>
        <v>2.9437625294552103E-2</v>
      </c>
      <c r="R132" s="128">
        <f t="shared" si="454"/>
        <v>2.9398505615929865E-2</v>
      </c>
      <c r="S132" s="128">
        <f t="shared" si="454"/>
        <v>1.9095376703751731E-2</v>
      </c>
      <c r="T132" s="118">
        <f t="shared" si="251"/>
        <v>-2.9542258232566065E-2</v>
      </c>
      <c r="U132" s="20"/>
      <c r="V132" s="149">
        <f t="shared" ref="V132:AE132" si="455">V55/(V36+V38)</f>
        <v>1.9095376703751731E-2</v>
      </c>
      <c r="W132" s="149">
        <f t="shared" si="455"/>
        <v>1.9095376703751731E-2</v>
      </c>
      <c r="X132" s="149">
        <f t="shared" si="455"/>
        <v>1.9095376703751731E-2</v>
      </c>
      <c r="Y132" s="149">
        <f t="shared" si="455"/>
        <v>1.9095376703751731E-2</v>
      </c>
      <c r="Z132" s="149">
        <f t="shared" si="455"/>
        <v>1.9095376703751731E-2</v>
      </c>
      <c r="AA132" s="149">
        <f t="shared" si="455"/>
        <v>1.9095376703751731E-2</v>
      </c>
      <c r="AB132" s="149">
        <f t="shared" si="455"/>
        <v>1.9095376703751731E-2</v>
      </c>
      <c r="AC132" s="149">
        <f t="shared" si="455"/>
        <v>1.9095376703751731E-2</v>
      </c>
      <c r="AD132" s="149">
        <f t="shared" si="455"/>
        <v>1.9095376703751731E-2</v>
      </c>
      <c r="AE132" s="149">
        <f t="shared" si="455"/>
        <v>1.9095376703751731E-2</v>
      </c>
      <c r="AF132" s="136">
        <f t="shared" si="431"/>
        <v>-4.1348868260856486E-2</v>
      </c>
      <c r="AG132" s="144"/>
      <c r="AH132" s="144"/>
    </row>
    <row r="133" spans="1:34" ht="12" customHeight="1" x14ac:dyDescent="0.15">
      <c r="B133" s="20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28"/>
      <c r="U133" s="20"/>
      <c r="V133" s="149"/>
      <c r="W133" s="149"/>
      <c r="X133" s="149"/>
      <c r="Y133" s="149"/>
      <c r="Z133" s="149"/>
      <c r="AA133" s="149"/>
      <c r="AB133" s="149"/>
      <c r="AC133" s="149"/>
      <c r="AD133" s="149"/>
      <c r="AE133" s="149"/>
      <c r="AF133" s="199"/>
      <c r="AG133" s="144"/>
      <c r="AH133" s="144"/>
    </row>
    <row r="134" spans="1:34" x14ac:dyDescent="0.15">
      <c r="B134" s="20" t="s">
        <v>322</v>
      </c>
      <c r="C134" s="149"/>
      <c r="D134" s="149"/>
      <c r="E134" s="149"/>
      <c r="F134" s="149"/>
      <c r="G134" s="160">
        <f t="shared" ref="G134:H134" si="456">G10-(G12+G13)</f>
        <v>7324</v>
      </c>
      <c r="H134" s="160">
        <f t="shared" si="456"/>
        <v>7556</v>
      </c>
      <c r="I134" s="160">
        <f t="shared" ref="I134:S134" si="457">I10-(I12+I13)</f>
        <v>11414</v>
      </c>
      <c r="J134" s="160">
        <f t="shared" si="457"/>
        <v>19646</v>
      </c>
      <c r="K134" s="160">
        <f t="shared" si="457"/>
        <v>26464</v>
      </c>
      <c r="L134" s="160">
        <f t="shared" si="457"/>
        <v>24882</v>
      </c>
      <c r="M134" s="160">
        <f t="shared" si="457"/>
        <v>35704</v>
      </c>
      <c r="N134" s="160">
        <f t="shared" si="457"/>
        <v>49386</v>
      </c>
      <c r="O134" s="160">
        <f t="shared" si="457"/>
        <v>65655</v>
      </c>
      <c r="P134" s="160">
        <f t="shared" si="457"/>
        <v>86561</v>
      </c>
      <c r="Q134" s="160">
        <f t="shared" si="457"/>
        <v>85396</v>
      </c>
      <c r="R134" s="160">
        <f t="shared" si="457"/>
        <v>104258</v>
      </c>
      <c r="S134" s="160">
        <f t="shared" si="457"/>
        <v>179678</v>
      </c>
      <c r="T134" s="118">
        <f t="shared" si="251"/>
        <v>0.30560623104353657</v>
      </c>
      <c r="U134" s="20"/>
      <c r="V134" s="160">
        <f t="shared" ref="V134:AE134" si="458">V10-(V12+V13)</f>
        <v>201239.36000000002</v>
      </c>
      <c r="W134" s="160">
        <f t="shared" si="458"/>
        <v>225388.08320000005</v>
      </c>
      <c r="X134" s="160">
        <f t="shared" si="458"/>
        <v>252434.65318400008</v>
      </c>
      <c r="Y134" s="160">
        <f t="shared" si="458"/>
        <v>282726.81156608014</v>
      </c>
      <c r="Z134" s="160">
        <f t="shared" si="458"/>
        <v>316654.02895400982</v>
      </c>
      <c r="AA134" s="160">
        <f t="shared" si="458"/>
        <v>354652.51242849103</v>
      </c>
      <c r="AB134" s="160">
        <f t="shared" si="458"/>
        <v>397210.81391991</v>
      </c>
      <c r="AC134" s="160">
        <f t="shared" si="458"/>
        <v>444876.11159029923</v>
      </c>
      <c r="AD134" s="160">
        <f t="shared" si="458"/>
        <v>498261.24498113518</v>
      </c>
      <c r="AE134" s="160">
        <f t="shared" si="458"/>
        <v>558052.59437887149</v>
      </c>
      <c r="AF134" s="136">
        <f t="shared" si="366"/>
        <v>0.20348274983795989</v>
      </c>
      <c r="AG134" s="144"/>
      <c r="AH134" s="144"/>
    </row>
    <row r="135" spans="1:34" ht="12" customHeight="1" x14ac:dyDescent="0.15">
      <c r="B135" s="20" t="s">
        <v>317</v>
      </c>
      <c r="C135" s="20"/>
      <c r="D135" s="20"/>
      <c r="E135" s="20"/>
      <c r="F135" s="20"/>
      <c r="G135" s="149">
        <f t="shared" ref="G135:H135" si="459">G55/G18</f>
        <v>1.4212765957446809</v>
      </c>
      <c r="H135" s="149">
        <f t="shared" si="459"/>
        <v>1.220125786163522</v>
      </c>
      <c r="I135" s="149">
        <f t="shared" ref="I135:S135" si="460">I55/I18</f>
        <v>2.9553072625698324</v>
      </c>
      <c r="J135" s="149">
        <f t="shared" si="460"/>
        <v>2.1924686192468621</v>
      </c>
      <c r="K135" s="149">
        <f t="shared" si="460"/>
        <v>2.8511904761904763</v>
      </c>
      <c r="L135" s="149">
        <f t="shared" si="460"/>
        <v>1.9120234604105573</v>
      </c>
      <c r="M135" s="149">
        <f t="shared" si="460"/>
        <v>2.1612377850162865</v>
      </c>
      <c r="N135" s="149">
        <f t="shared" si="460"/>
        <v>2.6150000000000002</v>
      </c>
      <c r="O135" s="149">
        <f t="shared" si="460"/>
        <v>3.0081300813008132</v>
      </c>
      <c r="P135" s="149">
        <f t="shared" si="460"/>
        <v>3.5548387096774192</v>
      </c>
      <c r="Q135" s="149">
        <f t="shared" si="460"/>
        <v>1.9865506329113924</v>
      </c>
      <c r="R135" s="149">
        <f t="shared" si="460"/>
        <v>2.2388604821037252</v>
      </c>
      <c r="S135" s="149">
        <f t="shared" si="460"/>
        <v>1.9483248154457695</v>
      </c>
      <c r="T135" s="118">
        <f t="shared" ref="T135:T167" si="461">((S135/G135)^(1/($J$2-$J$1) ))-1</f>
        <v>2.6633022985187438E-2</v>
      </c>
      <c r="U135" s="20"/>
      <c r="V135" s="149">
        <f t="shared" ref="V135:AE135" si="462">V55/V18</f>
        <v>1.9483248154457695</v>
      </c>
      <c r="W135" s="149">
        <f t="shared" si="462"/>
        <v>1.9483248154457693</v>
      </c>
      <c r="X135" s="149">
        <f t="shared" si="462"/>
        <v>1.9483248154457693</v>
      </c>
      <c r="Y135" s="149">
        <f t="shared" si="462"/>
        <v>1.9483248154457691</v>
      </c>
      <c r="Z135" s="149">
        <f t="shared" si="462"/>
        <v>1.9483248154457689</v>
      </c>
      <c r="AA135" s="149">
        <f t="shared" si="462"/>
        <v>1.9483248154457689</v>
      </c>
      <c r="AB135" s="149">
        <f t="shared" si="462"/>
        <v>1.9483248154457691</v>
      </c>
      <c r="AC135" s="149">
        <f t="shared" si="462"/>
        <v>1.9483248154457691</v>
      </c>
      <c r="AD135" s="149">
        <f t="shared" si="462"/>
        <v>1.9483248154457691</v>
      </c>
      <c r="AE135" s="149">
        <f t="shared" si="462"/>
        <v>1.9483248154457691</v>
      </c>
      <c r="AF135" s="136">
        <f t="shared" si="366"/>
        <v>-1.9644141178432162E-2</v>
      </c>
      <c r="AG135" s="20"/>
      <c r="AH135" s="20"/>
    </row>
    <row r="136" spans="1:34" x14ac:dyDescent="0.15">
      <c r="B136" s="20" t="s">
        <v>318</v>
      </c>
      <c r="C136" s="20"/>
      <c r="D136" s="20"/>
      <c r="E136" s="20"/>
      <c r="F136" s="20"/>
      <c r="G136" s="149">
        <f t="shared" ref="G136:H136" si="463">G55/G25</f>
        <v>0.17216494845360825</v>
      </c>
      <c r="H136" s="149">
        <f t="shared" si="463"/>
        <v>0.11073059360730593</v>
      </c>
      <c r="I136" s="149">
        <f t="shared" ref="I136:S136" si="464">I55/I25</f>
        <v>0.17727882037533513</v>
      </c>
      <c r="J136" s="149">
        <f t="shared" si="464"/>
        <v>0.12087658592848904</v>
      </c>
      <c r="K136" s="149">
        <f t="shared" si="464"/>
        <v>0.12478832877426078</v>
      </c>
      <c r="L136" s="149">
        <f t="shared" si="464"/>
        <v>9.079515387828993E-2</v>
      </c>
      <c r="M136" s="149">
        <f t="shared" si="464"/>
        <v>0.14245840042941493</v>
      </c>
      <c r="N136" s="149">
        <f t="shared" si="464"/>
        <v>0.14183691918278793</v>
      </c>
      <c r="O136" s="149">
        <f t="shared" si="464"/>
        <v>0.14216552678091141</v>
      </c>
      <c r="P136" s="149">
        <f t="shared" si="464"/>
        <v>0.13818181818181818</v>
      </c>
      <c r="Q136" s="149">
        <f t="shared" si="464"/>
        <v>0.14541348158443362</v>
      </c>
      <c r="R136" s="149">
        <f t="shared" si="464"/>
        <v>0.14275068697312654</v>
      </c>
      <c r="S136" s="149">
        <f t="shared" si="464"/>
        <v>0.12239583333333333</v>
      </c>
      <c r="T136" s="118">
        <f t="shared" si="461"/>
        <v>-2.8032318263175315E-2</v>
      </c>
      <c r="U136" s="20"/>
      <c r="V136" s="149">
        <f t="shared" ref="V136:AE136" si="465">V55/V25</f>
        <v>0.12239583333333333</v>
      </c>
      <c r="W136" s="149">
        <f t="shared" si="465"/>
        <v>0.12239583333333333</v>
      </c>
      <c r="X136" s="149">
        <f t="shared" si="465"/>
        <v>0.12239583333333333</v>
      </c>
      <c r="Y136" s="149">
        <f t="shared" si="465"/>
        <v>0.12239583333333333</v>
      </c>
      <c r="Z136" s="149">
        <f t="shared" si="465"/>
        <v>0.12239583333333331</v>
      </c>
      <c r="AA136" s="149">
        <f t="shared" si="465"/>
        <v>0.12239583333333333</v>
      </c>
      <c r="AB136" s="149">
        <f t="shared" si="465"/>
        <v>0.12239583333333333</v>
      </c>
      <c r="AC136" s="149">
        <f t="shared" si="465"/>
        <v>0.12239583333333331</v>
      </c>
      <c r="AD136" s="149">
        <f t="shared" si="465"/>
        <v>0.12239583333333331</v>
      </c>
      <c r="AE136" s="149">
        <f t="shared" si="465"/>
        <v>0.1223958333333333</v>
      </c>
      <c r="AF136" s="136">
        <f t="shared" si="366"/>
        <v>-1.7486421821637177E-2</v>
      </c>
      <c r="AG136" s="20"/>
      <c r="AH136" s="20"/>
    </row>
    <row r="137" spans="1:34" x14ac:dyDescent="0.15">
      <c r="B137" s="20" t="s">
        <v>344</v>
      </c>
      <c r="C137" s="20"/>
      <c r="D137" s="20"/>
      <c r="E137" s="149"/>
      <c r="F137" s="149"/>
      <c r="G137" s="149">
        <f t="shared" ref="G137:H137" si="466">G25/G18</f>
        <v>8.2553191489361701</v>
      </c>
      <c r="H137" s="149">
        <f t="shared" si="466"/>
        <v>11.018867924528301</v>
      </c>
      <c r="I137" s="149">
        <f t="shared" ref="I137:S137" si="467">I25/I18</f>
        <v>16.670391061452513</v>
      </c>
      <c r="J137" s="149">
        <f t="shared" si="467"/>
        <v>18.13807531380753</v>
      </c>
      <c r="K137" s="149">
        <f t="shared" si="467"/>
        <v>22.848214285714285</v>
      </c>
      <c r="L137" s="149">
        <f t="shared" si="467"/>
        <v>21.058651026392962</v>
      </c>
      <c r="M137" s="149">
        <f t="shared" si="467"/>
        <v>15.17100977198697</v>
      </c>
      <c r="N137" s="149">
        <f t="shared" si="467"/>
        <v>18.436666666666667</v>
      </c>
      <c r="O137" s="149">
        <f t="shared" si="467"/>
        <v>21.159349593495936</v>
      </c>
      <c r="P137" s="149">
        <f t="shared" si="467"/>
        <v>25.725806451612904</v>
      </c>
      <c r="Q137" s="149">
        <f t="shared" si="467"/>
        <v>13.661392405063291</v>
      </c>
      <c r="R137" s="149">
        <f t="shared" si="467"/>
        <v>15.683710737764791</v>
      </c>
      <c r="S137" s="149">
        <f t="shared" si="467"/>
        <v>15.918228279386712</v>
      </c>
      <c r="T137" s="118">
        <f t="shared" si="461"/>
        <v>5.6241933014357537E-2</v>
      </c>
      <c r="U137" s="20"/>
      <c r="V137" s="149">
        <f t="shared" ref="V137:AE137" si="468">V25/V18</f>
        <v>15.918228279386712</v>
      </c>
      <c r="W137" s="149">
        <f t="shared" si="468"/>
        <v>15.918228279386712</v>
      </c>
      <c r="X137" s="149">
        <f t="shared" si="468"/>
        <v>15.91822827938671</v>
      </c>
      <c r="Y137" s="149">
        <f t="shared" si="468"/>
        <v>15.918228279386712</v>
      </c>
      <c r="Z137" s="149">
        <f t="shared" si="468"/>
        <v>15.91822827938671</v>
      </c>
      <c r="AA137" s="149">
        <f t="shared" si="468"/>
        <v>15.918228279386708</v>
      </c>
      <c r="AB137" s="149">
        <f t="shared" si="468"/>
        <v>15.91822827938671</v>
      </c>
      <c r="AC137" s="149">
        <f t="shared" si="468"/>
        <v>15.918228279386712</v>
      </c>
      <c r="AD137" s="149">
        <f t="shared" si="468"/>
        <v>15.918228279386712</v>
      </c>
      <c r="AE137" s="149">
        <f t="shared" si="468"/>
        <v>15.918228279386714</v>
      </c>
      <c r="AF137" s="136">
        <f t="shared" si="366"/>
        <v>-2.1961216666293026E-3</v>
      </c>
      <c r="AG137" s="20"/>
      <c r="AH137" s="20"/>
    </row>
    <row r="138" spans="1:34" x14ac:dyDescent="0.15">
      <c r="B138" s="20"/>
      <c r="C138" s="20"/>
      <c r="D138" s="20"/>
      <c r="E138" s="20"/>
      <c r="F138" s="20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28"/>
      <c r="U138" s="20"/>
      <c r="V138" s="149"/>
      <c r="W138" s="149"/>
      <c r="X138" s="149"/>
      <c r="Y138" s="149"/>
      <c r="Z138" s="149"/>
      <c r="AA138" s="149"/>
      <c r="AB138" s="149"/>
      <c r="AC138" s="149"/>
      <c r="AD138" s="149"/>
      <c r="AE138" s="149"/>
      <c r="AF138" s="128"/>
      <c r="AG138" s="20"/>
      <c r="AH138" s="20"/>
    </row>
    <row r="139" spans="1:34" x14ac:dyDescent="0.15">
      <c r="B139" s="20" t="s">
        <v>330</v>
      </c>
      <c r="C139" s="20"/>
      <c r="D139" s="20"/>
      <c r="E139" s="162"/>
      <c r="F139" s="162"/>
      <c r="G139" s="162">
        <f t="shared" ref="G139:H139" si="469">G88*G57</f>
        <v>14.28</v>
      </c>
      <c r="H139" s="162">
        <f t="shared" si="469"/>
        <v>15.4125</v>
      </c>
      <c r="I139" s="162">
        <f t="shared" ref="I139:S139" si="470">I88*I57</f>
        <v>18.593999999999998</v>
      </c>
      <c r="J139" s="162">
        <f t="shared" si="470"/>
        <v>22.826999999999998</v>
      </c>
      <c r="K139" s="162">
        <f t="shared" si="470"/>
        <v>25.844999999999999</v>
      </c>
      <c r="L139" s="162">
        <f t="shared" si="470"/>
        <v>25.92</v>
      </c>
      <c r="M139" s="162">
        <f t="shared" si="470"/>
        <v>29.5885</v>
      </c>
      <c r="N139" s="162">
        <f t="shared" si="470"/>
        <v>36.843499999999999</v>
      </c>
      <c r="O139" s="162">
        <f t="shared" si="470"/>
        <v>44.441339999999997</v>
      </c>
      <c r="P139" s="162">
        <f t="shared" si="470"/>
        <v>52.266199999999998</v>
      </c>
      <c r="Q139" s="162">
        <f t="shared" si="470"/>
        <v>61.6</v>
      </c>
      <c r="R139" s="162">
        <f t="shared" si="470"/>
        <v>69.48</v>
      </c>
      <c r="S139" s="162">
        <f t="shared" si="470"/>
        <v>91.715000000000003</v>
      </c>
      <c r="T139" s="118">
        <f t="shared" si="461"/>
        <v>0.16764102881106946</v>
      </c>
      <c r="U139" s="20"/>
      <c r="V139" s="162">
        <f t="shared" ref="V139:AE139" si="471">V88*V57</f>
        <v>101.11578750000001</v>
      </c>
      <c r="W139" s="162">
        <f t="shared" si="471"/>
        <v>111.48015571875001</v>
      </c>
      <c r="X139" s="162">
        <f t="shared" si="471"/>
        <v>122.90687167992191</v>
      </c>
      <c r="Y139" s="162">
        <f t="shared" si="471"/>
        <v>135.50482602711392</v>
      </c>
      <c r="Z139" s="162">
        <f t="shared" si="471"/>
        <v>149.39407069489312</v>
      </c>
      <c r="AA139" s="162">
        <f t="shared" si="471"/>
        <v>164.70696294111966</v>
      </c>
      <c r="AB139" s="162">
        <f t="shared" si="471"/>
        <v>181.58942664258444</v>
      </c>
      <c r="AC139" s="162">
        <f t="shared" si="471"/>
        <v>200.20234287344937</v>
      </c>
      <c r="AD139" s="162">
        <f t="shared" si="471"/>
        <v>220.72308301797793</v>
      </c>
      <c r="AE139" s="162">
        <f t="shared" si="471"/>
        <v>243.34719902732067</v>
      </c>
      <c r="AF139" s="136">
        <f t="shared" si="366"/>
        <v>0.13027338495710361</v>
      </c>
      <c r="AG139" s="20"/>
      <c r="AH139" s="20"/>
    </row>
    <row r="140" spans="1:34" x14ac:dyDescent="0.15">
      <c r="B140" s="20" t="s">
        <v>331</v>
      </c>
      <c r="C140" s="20"/>
      <c r="D140" s="20"/>
      <c r="E140" s="162"/>
      <c r="F140" s="162"/>
      <c r="G140" s="162">
        <f t="shared" ref="G140:H140" si="472">(G139*0.17)+G139</f>
        <v>16.707599999999999</v>
      </c>
      <c r="H140" s="162">
        <f t="shared" si="472"/>
        <v>18.032624999999999</v>
      </c>
      <c r="I140" s="162">
        <f t="shared" ref="I140:R140" si="473">(I139*0.17)+I139</f>
        <v>21.754979999999996</v>
      </c>
      <c r="J140" s="162">
        <f t="shared" si="473"/>
        <v>26.707589999999996</v>
      </c>
      <c r="K140" s="162">
        <f t="shared" si="473"/>
        <v>30.23865</v>
      </c>
      <c r="L140" s="162">
        <f t="shared" si="473"/>
        <v>30.326400000000003</v>
      </c>
      <c r="M140" s="162">
        <f t="shared" si="473"/>
        <v>34.618544999999997</v>
      </c>
      <c r="N140" s="162">
        <f t="shared" si="473"/>
        <v>43.106895000000002</v>
      </c>
      <c r="O140" s="162">
        <f t="shared" si="473"/>
        <v>51.996367799999994</v>
      </c>
      <c r="P140" s="162">
        <f t="shared" si="473"/>
        <v>61.151454000000001</v>
      </c>
      <c r="Q140" s="162">
        <f t="shared" si="473"/>
        <v>72.072000000000003</v>
      </c>
      <c r="R140" s="162">
        <f t="shared" si="473"/>
        <v>81.291600000000003</v>
      </c>
      <c r="S140" s="162">
        <f t="shared" ref="S140" si="474">(S139*0.17)+S139</f>
        <v>107.30655</v>
      </c>
      <c r="T140" s="118">
        <f t="shared" si="461"/>
        <v>0.16764102881106946</v>
      </c>
      <c r="U140" s="20"/>
      <c r="V140" s="162">
        <f t="shared" ref="V140:AE140" si="475">(V139*0.17)+V139</f>
        <v>118.30547137500001</v>
      </c>
      <c r="W140" s="162">
        <f t="shared" si="475"/>
        <v>130.43178219093753</v>
      </c>
      <c r="X140" s="162">
        <f t="shared" si="475"/>
        <v>143.80103986550864</v>
      </c>
      <c r="Y140" s="162">
        <f t="shared" si="475"/>
        <v>158.54064645172329</v>
      </c>
      <c r="Z140" s="162">
        <f t="shared" si="475"/>
        <v>174.79106271302496</v>
      </c>
      <c r="AA140" s="162">
        <f t="shared" si="475"/>
        <v>192.70714664111</v>
      </c>
      <c r="AB140" s="162">
        <f t="shared" si="475"/>
        <v>212.45962917182379</v>
      </c>
      <c r="AC140" s="162">
        <f t="shared" si="475"/>
        <v>234.23674116193575</v>
      </c>
      <c r="AD140" s="162">
        <f t="shared" si="475"/>
        <v>258.24600713103416</v>
      </c>
      <c r="AE140" s="162">
        <f t="shared" si="475"/>
        <v>284.71622286196521</v>
      </c>
      <c r="AF140" s="136">
        <f t="shared" si="366"/>
        <v>0.13027338495710361</v>
      </c>
      <c r="AG140" s="20"/>
      <c r="AH140" s="20"/>
    </row>
    <row r="141" spans="1:34" x14ac:dyDescent="0.15">
      <c r="B141" s="20" t="s">
        <v>332</v>
      </c>
      <c r="C141" s="20"/>
      <c r="D141" s="20"/>
      <c r="E141" s="20"/>
      <c r="F141" s="20"/>
      <c r="G141" s="149">
        <f t="shared" ref="G141:H141" si="476">G140/G55</f>
        <v>8.3371257485029937E-2</v>
      </c>
      <c r="H141" s="149">
        <f t="shared" si="476"/>
        <v>9.2951675257731958E-2</v>
      </c>
      <c r="I141" s="149">
        <f t="shared" ref="I141:S141" si="477">I140/I55</f>
        <v>4.11247258979206E-2</v>
      </c>
      <c r="J141" s="149">
        <f t="shared" si="477"/>
        <v>5.0968683206106861E-2</v>
      </c>
      <c r="K141" s="149">
        <f t="shared" si="477"/>
        <v>3.156435281837161E-2</v>
      </c>
      <c r="L141" s="149">
        <f t="shared" si="477"/>
        <v>4.6512883435582825E-2</v>
      </c>
      <c r="M141" s="149">
        <f t="shared" si="477"/>
        <v>2.608782592313489E-2</v>
      </c>
      <c r="N141" s="149">
        <f t="shared" si="477"/>
        <v>2.7474120458891013E-2</v>
      </c>
      <c r="O141" s="149">
        <f t="shared" si="477"/>
        <v>2.8106144756756754E-2</v>
      </c>
      <c r="P141" s="149">
        <f t="shared" si="477"/>
        <v>2.7745668784029037E-2</v>
      </c>
      <c r="Q141" s="149">
        <f t="shared" si="477"/>
        <v>2.8702508960573477E-2</v>
      </c>
      <c r="R141" s="149">
        <f t="shared" si="477"/>
        <v>2.6522544861337684E-2</v>
      </c>
      <c r="S141" s="149">
        <f t="shared" si="477"/>
        <v>3.1275590206936751E-2</v>
      </c>
      <c r="T141" s="118">
        <f t="shared" si="461"/>
        <v>-7.8456662780786002E-2</v>
      </c>
      <c r="U141" s="20"/>
      <c r="V141" s="149">
        <f t="shared" ref="V141:AE141" si="478">V140/V55</f>
        <v>3.0786909109953367E-2</v>
      </c>
      <c r="W141" s="149">
        <f t="shared" si="478"/>
        <v>3.0305863655110347E-2</v>
      </c>
      <c r="X141" s="149">
        <f t="shared" si="478"/>
        <v>2.9832334535499251E-2</v>
      </c>
      <c r="Y141" s="149">
        <f t="shared" si="478"/>
        <v>2.9366204308382073E-2</v>
      </c>
      <c r="Z141" s="149">
        <f t="shared" si="478"/>
        <v>2.8907357366063608E-2</v>
      </c>
      <c r="AA141" s="149">
        <f t="shared" si="478"/>
        <v>2.8455679907218857E-2</v>
      </c>
      <c r="AB141" s="149">
        <f t="shared" si="478"/>
        <v>2.8011059908668562E-2</v>
      </c>
      <c r="AC141" s="149">
        <f t="shared" si="478"/>
        <v>2.7573387097595617E-2</v>
      </c>
      <c r="AD141" s="149">
        <f t="shared" si="478"/>
        <v>2.7142552924195682E-2</v>
      </c>
      <c r="AE141" s="149">
        <f t="shared" si="478"/>
        <v>2.6718450534755127E-2</v>
      </c>
      <c r="AF141" s="136">
        <f t="shared" si="366"/>
        <v>-2.0326534427318688E-2</v>
      </c>
      <c r="AG141" s="20"/>
      <c r="AH141" s="20"/>
    </row>
    <row r="142" spans="1:34" x14ac:dyDescent="0.15">
      <c r="B142" s="20" t="s">
        <v>325</v>
      </c>
      <c r="C142" s="20"/>
      <c r="D142" s="20"/>
      <c r="E142" s="20"/>
      <c r="F142" s="20"/>
      <c r="G142" s="149">
        <f t="shared" ref="G142:H142" si="479">1-G141</f>
        <v>0.91662874251497006</v>
      </c>
      <c r="H142" s="149">
        <f t="shared" si="479"/>
        <v>0.90704832474226804</v>
      </c>
      <c r="I142" s="149">
        <f>1-I141</f>
        <v>0.9588752741020794</v>
      </c>
      <c r="J142" s="149">
        <f t="shared" ref="J142:R142" si="480">1-J141</f>
        <v>0.94903131679389319</v>
      </c>
      <c r="K142" s="149">
        <f t="shared" si="480"/>
        <v>0.96843564718162845</v>
      </c>
      <c r="L142" s="149">
        <f t="shared" si="480"/>
        <v>0.9534871165644172</v>
      </c>
      <c r="M142" s="149">
        <f t="shared" si="480"/>
        <v>0.97391217407686514</v>
      </c>
      <c r="N142" s="149">
        <f t="shared" si="480"/>
        <v>0.97252587954110903</v>
      </c>
      <c r="O142" s="149">
        <f t="shared" si="480"/>
        <v>0.97189385524324323</v>
      </c>
      <c r="P142" s="149">
        <f t="shared" si="480"/>
        <v>0.97225433121597093</v>
      </c>
      <c r="Q142" s="149">
        <f t="shared" si="480"/>
        <v>0.97129749103942653</v>
      </c>
      <c r="R142" s="149">
        <f t="shared" si="480"/>
        <v>0.97347745513866235</v>
      </c>
      <c r="S142" s="149">
        <f t="shared" ref="S142" si="481">1-S141</f>
        <v>0.96872440979306329</v>
      </c>
      <c r="T142" s="118">
        <f t="shared" si="461"/>
        <v>4.6170956983071498E-3</v>
      </c>
      <c r="U142" s="20"/>
      <c r="V142" s="149">
        <f t="shared" ref="V142:AE142" si="482">1-V141</f>
        <v>0.96921309089004659</v>
      </c>
      <c r="W142" s="149">
        <f t="shared" si="482"/>
        <v>0.96969413634488966</v>
      </c>
      <c r="X142" s="149">
        <f t="shared" si="482"/>
        <v>0.97016766546450073</v>
      </c>
      <c r="Y142" s="149">
        <f t="shared" si="482"/>
        <v>0.9706337956916179</v>
      </c>
      <c r="Z142" s="149">
        <f t="shared" si="482"/>
        <v>0.97109264263393635</v>
      </c>
      <c r="AA142" s="149">
        <f t="shared" si="482"/>
        <v>0.97154432009278113</v>
      </c>
      <c r="AB142" s="149">
        <f t="shared" si="482"/>
        <v>0.97198894009133141</v>
      </c>
      <c r="AC142" s="149">
        <f t="shared" si="482"/>
        <v>0.9724266129024044</v>
      </c>
      <c r="AD142" s="149">
        <f t="shared" si="482"/>
        <v>0.97285744707580435</v>
      </c>
      <c r="AE142" s="149">
        <f t="shared" si="482"/>
        <v>0.97328154946524492</v>
      </c>
      <c r="AF142" s="136">
        <f t="shared" si="366"/>
        <v>7.1036621147624324E-4</v>
      </c>
      <c r="AG142" s="20"/>
      <c r="AH142" s="20"/>
    </row>
    <row r="143" spans="1:34" x14ac:dyDescent="0.15">
      <c r="B143" s="20" t="s">
        <v>448</v>
      </c>
      <c r="C143" s="20"/>
      <c r="D143" s="20"/>
      <c r="E143" s="20"/>
      <c r="F143" s="20"/>
      <c r="G143" s="149">
        <f t="shared" ref="G143:H143" si="483">G140/G20</f>
        <v>0.20626666666666665</v>
      </c>
      <c r="H143" s="149">
        <f t="shared" si="483"/>
        <v>-6.8565114068441069E-2</v>
      </c>
      <c r="I143" s="149">
        <f t="shared" ref="I143:S143" si="484">I140/I20</f>
        <v>0.18436423728813556</v>
      </c>
      <c r="J143" s="149">
        <f t="shared" si="484"/>
        <v>6.955101562499999E-2</v>
      </c>
      <c r="K143" s="149">
        <f t="shared" si="484"/>
        <v>-4.616587786259542E-2</v>
      </c>
      <c r="L143" s="149">
        <f t="shared" si="484"/>
        <v>-3.6406242496998802E-2</v>
      </c>
      <c r="M143" s="149">
        <f t="shared" si="484"/>
        <v>2.2021975190839694E-2</v>
      </c>
      <c r="N143" s="149">
        <f t="shared" si="484"/>
        <v>-2.9244840569877886E-2</v>
      </c>
      <c r="O143" s="149">
        <f t="shared" si="484"/>
        <v>-3.8861261434977576E-2</v>
      </c>
      <c r="P143" s="149">
        <f t="shared" si="484"/>
        <v>-4.3524166548042705E-2</v>
      </c>
      <c r="Q143" s="149">
        <f t="shared" si="484"/>
        <v>8.0071103210754366E-3</v>
      </c>
      <c r="R143" s="149">
        <f t="shared" si="484"/>
        <v>1.5874165202108964E-2</v>
      </c>
      <c r="S143" s="149">
        <f t="shared" si="484"/>
        <v>1.7496584053481166E-2</v>
      </c>
      <c r="T143" s="118">
        <f t="shared" si="461"/>
        <v>-0.18583889409296028</v>
      </c>
      <c r="U143" s="20"/>
      <c r="V143" s="149">
        <f t="shared" ref="V143:AE143" si="485">V140/V20</f>
        <v>1.7223199927645524E-2</v>
      </c>
      <c r="W143" s="149">
        <f t="shared" si="485"/>
        <v>1.6954087428776063E-2</v>
      </c>
      <c r="X143" s="149">
        <f t="shared" si="485"/>
        <v>1.6689179812701439E-2</v>
      </c>
      <c r="Y143" s="149">
        <f t="shared" si="485"/>
        <v>1.6428411378127977E-2</v>
      </c>
      <c r="Z143" s="149">
        <f t="shared" si="485"/>
        <v>1.6171717450344729E-2</v>
      </c>
      <c r="AA143" s="149">
        <f t="shared" si="485"/>
        <v>1.5919034365183091E-2</v>
      </c>
      <c r="AB143" s="149">
        <f t="shared" si="485"/>
        <v>1.5670299453227104E-2</v>
      </c>
      <c r="AC143" s="149">
        <f t="shared" si="485"/>
        <v>1.5425451024270431E-2</v>
      </c>
      <c r="AD143" s="149">
        <f t="shared" si="485"/>
        <v>1.5184428352016206E-2</v>
      </c>
      <c r="AE143" s="149">
        <f t="shared" si="485"/>
        <v>1.4947171659015953E-2</v>
      </c>
      <c r="AF143" s="136" t="s">
        <v>449</v>
      </c>
      <c r="AG143" s="20"/>
      <c r="AH143" s="20"/>
    </row>
    <row r="144" spans="1:34" x14ac:dyDescent="0.15">
      <c r="B144" s="20"/>
      <c r="C144" s="20"/>
      <c r="D144" s="20"/>
      <c r="E144" s="20"/>
      <c r="F144" s="20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28"/>
      <c r="U144" s="20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28"/>
      <c r="AG144" s="20"/>
      <c r="AH144" s="20"/>
    </row>
    <row r="145" spans="2:34" x14ac:dyDescent="0.15">
      <c r="B145" s="20" t="s">
        <v>329</v>
      </c>
      <c r="C145" s="149"/>
      <c r="D145" s="149"/>
      <c r="E145" s="149"/>
      <c r="F145" s="149"/>
      <c r="G145" s="149">
        <f t="shared" ref="G145:H145" si="486">G31/G25</f>
        <v>0</v>
      </c>
      <c r="H145" s="149">
        <f t="shared" si="486"/>
        <v>0</v>
      </c>
      <c r="I145" s="149">
        <f t="shared" ref="I145:S145" si="487">I31/I25</f>
        <v>0</v>
      </c>
      <c r="J145" s="149">
        <f t="shared" si="487"/>
        <v>0</v>
      </c>
      <c r="K145" s="149">
        <f t="shared" si="487"/>
        <v>0</v>
      </c>
      <c r="L145" s="149">
        <f t="shared" si="487"/>
        <v>0</v>
      </c>
      <c r="M145" s="149">
        <f t="shared" si="487"/>
        <v>0</v>
      </c>
      <c r="N145" s="149">
        <f t="shared" si="487"/>
        <v>0</v>
      </c>
      <c r="O145" s="149">
        <f t="shared" si="487"/>
        <v>0</v>
      </c>
      <c r="P145" s="149">
        <f t="shared" si="487"/>
        <v>0</v>
      </c>
      <c r="Q145" s="149">
        <f t="shared" si="487"/>
        <v>0</v>
      </c>
      <c r="R145" s="149">
        <f t="shared" si="487"/>
        <v>0</v>
      </c>
      <c r="S145" s="149">
        <f t="shared" si="487"/>
        <v>0</v>
      </c>
      <c r="T145" s="118" t="e">
        <f t="shared" si="461"/>
        <v>#DIV/0!</v>
      </c>
      <c r="U145" s="20"/>
      <c r="V145" s="149">
        <f t="shared" ref="V145:AE145" si="488">V31/V25</f>
        <v>0</v>
      </c>
      <c r="W145" s="149">
        <f t="shared" si="488"/>
        <v>0</v>
      </c>
      <c r="X145" s="149">
        <f t="shared" si="488"/>
        <v>0</v>
      </c>
      <c r="Y145" s="149">
        <f t="shared" si="488"/>
        <v>0</v>
      </c>
      <c r="Z145" s="149">
        <f t="shared" si="488"/>
        <v>0</v>
      </c>
      <c r="AA145" s="149">
        <f t="shared" si="488"/>
        <v>0</v>
      </c>
      <c r="AB145" s="149">
        <f t="shared" si="488"/>
        <v>0</v>
      </c>
      <c r="AC145" s="149">
        <f t="shared" si="488"/>
        <v>0</v>
      </c>
      <c r="AD145" s="149">
        <f t="shared" si="488"/>
        <v>0</v>
      </c>
      <c r="AE145" s="149">
        <f t="shared" si="488"/>
        <v>0</v>
      </c>
      <c r="AF145" s="136" t="e">
        <f t="shared" si="366"/>
        <v>#DIV/0!</v>
      </c>
      <c r="AG145" s="20"/>
      <c r="AH145" s="20"/>
    </row>
    <row r="146" spans="2:34" x14ac:dyDescent="0.15">
      <c r="B146" s="20" t="s">
        <v>326</v>
      </c>
      <c r="C146" s="149"/>
      <c r="D146" s="149"/>
      <c r="E146" s="149"/>
      <c r="F146" s="149"/>
      <c r="G146" s="149">
        <f t="shared" ref="G146:H146" si="489">G32/G25</f>
        <v>0</v>
      </c>
      <c r="H146" s="149">
        <f t="shared" si="489"/>
        <v>0</v>
      </c>
      <c r="I146" s="149">
        <f t="shared" ref="I146:S146" si="490">I32/I25</f>
        <v>0</v>
      </c>
      <c r="J146" s="149">
        <f t="shared" si="490"/>
        <v>0</v>
      </c>
      <c r="K146" s="149">
        <f t="shared" si="490"/>
        <v>0</v>
      </c>
      <c r="L146" s="149">
        <f t="shared" si="490"/>
        <v>0</v>
      </c>
      <c r="M146" s="149">
        <f t="shared" si="490"/>
        <v>0</v>
      </c>
      <c r="N146" s="149">
        <f t="shared" si="490"/>
        <v>0</v>
      </c>
      <c r="O146" s="149">
        <f t="shared" si="490"/>
        <v>0</v>
      </c>
      <c r="P146" s="149">
        <f t="shared" si="490"/>
        <v>0</v>
      </c>
      <c r="Q146" s="149">
        <f t="shared" si="490"/>
        <v>0</v>
      </c>
      <c r="R146" s="149">
        <f t="shared" si="490"/>
        <v>0</v>
      </c>
      <c r="S146" s="149">
        <f t="shared" si="490"/>
        <v>0</v>
      </c>
      <c r="T146" s="118" t="e">
        <f t="shared" si="461"/>
        <v>#DIV/0!</v>
      </c>
      <c r="U146" s="20"/>
      <c r="V146" s="149">
        <f t="shared" ref="V146:AE146" si="491">V32/V25</f>
        <v>0</v>
      </c>
      <c r="W146" s="149">
        <f t="shared" si="491"/>
        <v>0</v>
      </c>
      <c r="X146" s="149">
        <f t="shared" si="491"/>
        <v>0</v>
      </c>
      <c r="Y146" s="149">
        <f t="shared" si="491"/>
        <v>0</v>
      </c>
      <c r="Z146" s="149">
        <f t="shared" si="491"/>
        <v>0</v>
      </c>
      <c r="AA146" s="149">
        <f t="shared" si="491"/>
        <v>0</v>
      </c>
      <c r="AB146" s="149">
        <f t="shared" si="491"/>
        <v>0</v>
      </c>
      <c r="AC146" s="149">
        <f t="shared" si="491"/>
        <v>0</v>
      </c>
      <c r="AD146" s="149">
        <f t="shared" si="491"/>
        <v>0</v>
      </c>
      <c r="AE146" s="149">
        <f t="shared" si="491"/>
        <v>0</v>
      </c>
      <c r="AF146" s="136" t="e">
        <f t="shared" si="366"/>
        <v>#DIV/0!</v>
      </c>
      <c r="AG146" s="20"/>
      <c r="AH146" s="20"/>
    </row>
    <row r="147" spans="2:34" x14ac:dyDescent="0.15">
      <c r="B147" s="20" t="s">
        <v>455</v>
      </c>
      <c r="C147" s="149"/>
      <c r="D147" s="149"/>
      <c r="E147" s="149"/>
      <c r="F147" s="149"/>
      <c r="G147" s="149">
        <f t="shared" ref="G147:H147" si="492">(G31+G32)/G25</f>
        <v>0</v>
      </c>
      <c r="H147" s="149">
        <f t="shared" si="492"/>
        <v>0</v>
      </c>
      <c r="I147" s="149">
        <f t="shared" ref="I147:S147" si="493">(I31+I32)/I25</f>
        <v>0</v>
      </c>
      <c r="J147" s="149">
        <f t="shared" si="493"/>
        <v>0</v>
      </c>
      <c r="K147" s="149">
        <f t="shared" si="493"/>
        <v>0</v>
      </c>
      <c r="L147" s="149">
        <f t="shared" si="493"/>
        <v>0</v>
      </c>
      <c r="M147" s="149">
        <f t="shared" si="493"/>
        <v>0</v>
      </c>
      <c r="N147" s="149">
        <f t="shared" si="493"/>
        <v>0</v>
      </c>
      <c r="O147" s="149">
        <f t="shared" si="493"/>
        <v>0</v>
      </c>
      <c r="P147" s="149">
        <f t="shared" si="493"/>
        <v>0</v>
      </c>
      <c r="Q147" s="149">
        <f t="shared" si="493"/>
        <v>0</v>
      </c>
      <c r="R147" s="149">
        <f t="shared" si="493"/>
        <v>0</v>
      </c>
      <c r="S147" s="149">
        <f t="shared" si="493"/>
        <v>0</v>
      </c>
      <c r="T147" s="118" t="e">
        <f t="shared" si="461"/>
        <v>#DIV/0!</v>
      </c>
      <c r="U147" s="20"/>
      <c r="V147" s="149">
        <f t="shared" ref="V147:AE147" si="494">(V31+V32)/V25</f>
        <v>0</v>
      </c>
      <c r="W147" s="149">
        <f t="shared" si="494"/>
        <v>0</v>
      </c>
      <c r="X147" s="149">
        <f t="shared" si="494"/>
        <v>0</v>
      </c>
      <c r="Y147" s="149">
        <f t="shared" si="494"/>
        <v>0</v>
      </c>
      <c r="Z147" s="149">
        <f t="shared" si="494"/>
        <v>0</v>
      </c>
      <c r="AA147" s="149">
        <f t="shared" si="494"/>
        <v>0</v>
      </c>
      <c r="AB147" s="149">
        <f t="shared" si="494"/>
        <v>0</v>
      </c>
      <c r="AC147" s="149">
        <f t="shared" si="494"/>
        <v>0</v>
      </c>
      <c r="AD147" s="149">
        <f t="shared" si="494"/>
        <v>0</v>
      </c>
      <c r="AE147" s="149">
        <f t="shared" si="494"/>
        <v>0</v>
      </c>
      <c r="AF147" s="136" t="e">
        <f t="shared" si="366"/>
        <v>#DIV/0!</v>
      </c>
      <c r="AG147" s="20"/>
      <c r="AH147" s="20"/>
    </row>
    <row r="148" spans="2:34" x14ac:dyDescent="0.15">
      <c r="B148" s="20"/>
      <c r="C148" s="20"/>
      <c r="D148" s="20"/>
      <c r="E148" s="20"/>
      <c r="F148" s="20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28"/>
      <c r="U148" s="20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28"/>
      <c r="AG148" s="20"/>
      <c r="AH148" s="20"/>
    </row>
    <row r="149" spans="2:34" x14ac:dyDescent="0.15">
      <c r="B149" s="20" t="s">
        <v>350</v>
      </c>
      <c r="C149" s="20"/>
      <c r="D149" s="20"/>
      <c r="E149" s="20"/>
      <c r="F149" s="20"/>
      <c r="G149" s="149">
        <f t="shared" ref="G149:H149" si="495">G27/G25</f>
        <v>0.82817869415807566</v>
      </c>
      <c r="H149" s="149">
        <f t="shared" si="495"/>
        <v>0.88926940639269403</v>
      </c>
      <c r="I149" s="149">
        <f t="shared" ref="I149:S149" si="496">I27/I25</f>
        <v>0.82272117962466484</v>
      </c>
      <c r="J149" s="149">
        <f t="shared" si="496"/>
        <v>0.87889273356401387</v>
      </c>
      <c r="K149" s="149">
        <f t="shared" si="496"/>
        <v>0.87508141200989975</v>
      </c>
      <c r="L149" s="149">
        <f t="shared" si="496"/>
        <v>0.90906558975073115</v>
      </c>
      <c r="M149" s="149">
        <f t="shared" si="496"/>
        <v>0.85743424584004291</v>
      </c>
      <c r="N149" s="149">
        <f t="shared" si="496"/>
        <v>0.85816308081721204</v>
      </c>
      <c r="O149" s="149">
        <f t="shared" si="496"/>
        <v>0.85783447321908857</v>
      </c>
      <c r="P149" s="149">
        <f t="shared" si="496"/>
        <v>0.86181818181818182</v>
      </c>
      <c r="Q149" s="149">
        <f t="shared" si="496"/>
        <v>0.85452860782951123</v>
      </c>
      <c r="R149" s="149">
        <f t="shared" si="496"/>
        <v>0.85724931302687346</v>
      </c>
      <c r="S149" s="149">
        <f t="shared" si="496"/>
        <v>0.87760416666666663</v>
      </c>
      <c r="T149" s="118">
        <f t="shared" si="461"/>
        <v>4.8422452476339917E-3</v>
      </c>
      <c r="U149" s="20"/>
      <c r="V149" s="149">
        <f t="shared" ref="V149:AE149" si="497">V27/V25</f>
        <v>0.87760416666666663</v>
      </c>
      <c r="W149" s="149">
        <f t="shared" si="497"/>
        <v>0.87760416666666674</v>
      </c>
      <c r="X149" s="149">
        <f t="shared" si="497"/>
        <v>0.87760416666666663</v>
      </c>
      <c r="Y149" s="149">
        <f t="shared" si="497"/>
        <v>0.87760416666666663</v>
      </c>
      <c r="Z149" s="149">
        <f t="shared" si="497"/>
        <v>0.87760416666666663</v>
      </c>
      <c r="AA149" s="149">
        <f t="shared" si="497"/>
        <v>0.87760416666666663</v>
      </c>
      <c r="AB149" s="149">
        <f t="shared" si="497"/>
        <v>0.87760416666666652</v>
      </c>
      <c r="AC149" s="149">
        <f t="shared" si="497"/>
        <v>0.87760416666666641</v>
      </c>
      <c r="AD149" s="149">
        <f t="shared" si="497"/>
        <v>0.87760416666666641</v>
      </c>
      <c r="AE149" s="149">
        <f t="shared" si="497"/>
        <v>0.8776041666666663</v>
      </c>
      <c r="AF149" s="136">
        <f t="shared" si="366"/>
        <v>3.0798902345940959E-3</v>
      </c>
      <c r="AG149" s="20"/>
      <c r="AH149" s="20"/>
    </row>
    <row r="150" spans="2:34" x14ac:dyDescent="0.15">
      <c r="B150" s="20" t="str">
        <f>B33</f>
        <v>Top Expenses ( Interest Out gol )</v>
      </c>
      <c r="C150" s="20"/>
      <c r="D150" s="20"/>
      <c r="E150" s="20"/>
      <c r="F150" s="20"/>
      <c r="G150" s="149">
        <f t="shared" ref="G150:H150" si="498">G33/G25</f>
        <v>0</v>
      </c>
      <c r="H150" s="149">
        <f t="shared" si="498"/>
        <v>0</v>
      </c>
      <c r="I150" s="149">
        <f t="shared" ref="I150:S150" si="499">I33/I25</f>
        <v>0</v>
      </c>
      <c r="J150" s="149">
        <f t="shared" si="499"/>
        <v>0</v>
      </c>
      <c r="K150" s="149">
        <f t="shared" si="499"/>
        <v>0</v>
      </c>
      <c r="L150" s="149">
        <f t="shared" si="499"/>
        <v>0</v>
      </c>
      <c r="M150" s="149">
        <f t="shared" si="499"/>
        <v>0</v>
      </c>
      <c r="N150" s="149">
        <f t="shared" si="499"/>
        <v>0</v>
      </c>
      <c r="O150" s="149">
        <f t="shared" si="499"/>
        <v>0</v>
      </c>
      <c r="P150" s="149">
        <f t="shared" si="499"/>
        <v>0</v>
      </c>
      <c r="Q150" s="149">
        <f t="shared" si="499"/>
        <v>0</v>
      </c>
      <c r="R150" s="149">
        <f t="shared" si="499"/>
        <v>0</v>
      </c>
      <c r="S150" s="149">
        <f t="shared" si="499"/>
        <v>0</v>
      </c>
      <c r="T150" s="118" t="e">
        <f t="shared" si="461"/>
        <v>#DIV/0!</v>
      </c>
      <c r="U150" s="20"/>
      <c r="V150" s="149">
        <f t="shared" ref="V150:AE150" si="500">V33/V25</f>
        <v>0</v>
      </c>
      <c r="W150" s="149">
        <f t="shared" si="500"/>
        <v>0</v>
      </c>
      <c r="X150" s="149">
        <f t="shared" si="500"/>
        <v>0</v>
      </c>
      <c r="Y150" s="149">
        <f t="shared" si="500"/>
        <v>0</v>
      </c>
      <c r="Z150" s="149">
        <f t="shared" si="500"/>
        <v>0</v>
      </c>
      <c r="AA150" s="149">
        <f t="shared" si="500"/>
        <v>0</v>
      </c>
      <c r="AB150" s="149">
        <f t="shared" si="500"/>
        <v>0</v>
      </c>
      <c r="AC150" s="149">
        <f t="shared" si="500"/>
        <v>0</v>
      </c>
      <c r="AD150" s="149">
        <f t="shared" si="500"/>
        <v>0</v>
      </c>
      <c r="AE150" s="149">
        <f t="shared" si="500"/>
        <v>0</v>
      </c>
      <c r="AF150" s="136" t="e">
        <f t="shared" si="366"/>
        <v>#DIV/0!</v>
      </c>
      <c r="AG150" s="20"/>
      <c r="AH150" s="20"/>
    </row>
    <row r="151" spans="2:34" x14ac:dyDescent="0.15">
      <c r="B151" s="20" t="str">
        <f>B34</f>
        <v>2nd highest Expenses Comp. ( Empl )</v>
      </c>
      <c r="C151" s="20"/>
      <c r="D151" s="20"/>
      <c r="E151" s="20"/>
      <c r="F151" s="20"/>
      <c r="G151" s="149">
        <f t="shared" ref="G151:H151" si="501">G34/G25</f>
        <v>0</v>
      </c>
      <c r="H151" s="149">
        <f t="shared" si="501"/>
        <v>0</v>
      </c>
      <c r="I151" s="149">
        <f t="shared" ref="I151:S151" si="502">I34/I25</f>
        <v>0</v>
      </c>
      <c r="J151" s="149">
        <f t="shared" si="502"/>
        <v>0</v>
      </c>
      <c r="K151" s="149">
        <f t="shared" si="502"/>
        <v>0</v>
      </c>
      <c r="L151" s="149">
        <f t="shared" si="502"/>
        <v>0</v>
      </c>
      <c r="M151" s="149">
        <f t="shared" si="502"/>
        <v>0</v>
      </c>
      <c r="N151" s="149">
        <f t="shared" si="502"/>
        <v>0</v>
      </c>
      <c r="O151" s="149">
        <f t="shared" si="502"/>
        <v>0</v>
      </c>
      <c r="P151" s="149">
        <f t="shared" si="502"/>
        <v>0</v>
      </c>
      <c r="Q151" s="149">
        <f t="shared" si="502"/>
        <v>0</v>
      </c>
      <c r="R151" s="149">
        <f t="shared" si="502"/>
        <v>0</v>
      </c>
      <c r="S151" s="149">
        <f t="shared" si="502"/>
        <v>0</v>
      </c>
      <c r="T151" s="118" t="e">
        <f t="shared" si="461"/>
        <v>#DIV/0!</v>
      </c>
      <c r="U151" s="20"/>
      <c r="V151" s="149">
        <f t="shared" ref="V151:AE151" si="503">V34/V25</f>
        <v>0</v>
      </c>
      <c r="W151" s="149">
        <f t="shared" si="503"/>
        <v>0</v>
      </c>
      <c r="X151" s="149">
        <f t="shared" si="503"/>
        <v>0</v>
      </c>
      <c r="Y151" s="149">
        <f t="shared" si="503"/>
        <v>0</v>
      </c>
      <c r="Z151" s="149">
        <f t="shared" si="503"/>
        <v>0</v>
      </c>
      <c r="AA151" s="149">
        <f t="shared" si="503"/>
        <v>0</v>
      </c>
      <c r="AB151" s="149">
        <f t="shared" si="503"/>
        <v>0</v>
      </c>
      <c r="AC151" s="149">
        <f t="shared" si="503"/>
        <v>0</v>
      </c>
      <c r="AD151" s="149">
        <f t="shared" si="503"/>
        <v>0</v>
      </c>
      <c r="AE151" s="149">
        <f t="shared" si="503"/>
        <v>0</v>
      </c>
      <c r="AF151" s="136" t="e">
        <f t="shared" si="366"/>
        <v>#DIV/0!</v>
      </c>
      <c r="AG151" s="20"/>
      <c r="AH151" s="20"/>
    </row>
    <row r="152" spans="2:34" x14ac:dyDescent="0.1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128"/>
      <c r="U152" s="128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37"/>
      <c r="AG152" s="20"/>
      <c r="AH152" s="20"/>
    </row>
    <row r="153" spans="2:34" x14ac:dyDescent="0.15">
      <c r="B153" s="108" t="s">
        <v>358</v>
      </c>
      <c r="C153" s="20"/>
      <c r="D153" s="20"/>
      <c r="E153" s="20"/>
      <c r="F153" s="20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128"/>
      <c r="U153" s="128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136"/>
      <c r="AG153" s="20"/>
      <c r="AH153" s="20"/>
    </row>
    <row r="154" spans="2:34" x14ac:dyDescent="0.15">
      <c r="B154" s="20" t="s">
        <v>361</v>
      </c>
      <c r="C154" s="20"/>
      <c r="D154" s="20"/>
      <c r="E154" s="20"/>
      <c r="F154" s="20"/>
      <c r="G154" s="25" t="e">
        <f t="shared" ref="G154:H154" si="504">G15/G9</f>
        <v>#DIV/0!</v>
      </c>
      <c r="H154" s="25" t="e">
        <f t="shared" si="504"/>
        <v>#DIV/0!</v>
      </c>
      <c r="I154" s="25" t="e">
        <f t="shared" ref="I154:S154" si="505">I15/I9</f>
        <v>#DIV/0!</v>
      </c>
      <c r="J154" s="25" t="e">
        <f t="shared" si="505"/>
        <v>#DIV/0!</v>
      </c>
      <c r="K154" s="25" t="e">
        <f t="shared" si="505"/>
        <v>#DIV/0!</v>
      </c>
      <c r="L154" s="25" t="e">
        <f t="shared" si="505"/>
        <v>#DIV/0!</v>
      </c>
      <c r="M154" s="25" t="e">
        <f t="shared" si="505"/>
        <v>#DIV/0!</v>
      </c>
      <c r="N154" s="25" t="e">
        <f t="shared" si="505"/>
        <v>#DIV/0!</v>
      </c>
      <c r="O154" s="25" t="e">
        <f t="shared" si="505"/>
        <v>#DIV/0!</v>
      </c>
      <c r="P154" s="25" t="e">
        <f t="shared" si="505"/>
        <v>#DIV/0!</v>
      </c>
      <c r="Q154" s="25" t="e">
        <f t="shared" si="505"/>
        <v>#DIV/0!</v>
      </c>
      <c r="R154" s="25" t="e">
        <f t="shared" si="505"/>
        <v>#DIV/0!</v>
      </c>
      <c r="S154" s="25" t="e">
        <f t="shared" si="505"/>
        <v>#DIV/0!</v>
      </c>
      <c r="T154" s="118" t="e">
        <f t="shared" si="461"/>
        <v>#DIV/0!</v>
      </c>
      <c r="U154" s="20"/>
      <c r="V154" s="20" t="e">
        <f t="shared" ref="V154:AE154" si="506">V15/V9</f>
        <v>#DIV/0!</v>
      </c>
      <c r="W154" s="20" t="e">
        <f t="shared" si="506"/>
        <v>#DIV/0!</v>
      </c>
      <c r="X154" s="20" t="e">
        <f t="shared" si="506"/>
        <v>#DIV/0!</v>
      </c>
      <c r="Y154" s="20" t="e">
        <f t="shared" si="506"/>
        <v>#DIV/0!</v>
      </c>
      <c r="Z154" s="20" t="e">
        <f t="shared" si="506"/>
        <v>#DIV/0!</v>
      </c>
      <c r="AA154" s="20" t="e">
        <f t="shared" si="506"/>
        <v>#DIV/0!</v>
      </c>
      <c r="AB154" s="20" t="e">
        <f t="shared" si="506"/>
        <v>#DIV/0!</v>
      </c>
      <c r="AC154" s="20" t="e">
        <f t="shared" si="506"/>
        <v>#DIV/0!</v>
      </c>
      <c r="AD154" s="20" t="e">
        <f t="shared" si="506"/>
        <v>#DIV/0!</v>
      </c>
      <c r="AE154" s="20" t="e">
        <f t="shared" si="506"/>
        <v>#DIV/0!</v>
      </c>
      <c r="AF154" s="136" t="e">
        <f t="shared" si="366"/>
        <v>#DIV/0!</v>
      </c>
      <c r="AG154" s="20"/>
      <c r="AH154" s="20"/>
    </row>
    <row r="155" spans="2:34" x14ac:dyDescent="0.15">
      <c r="B155" s="20" t="s">
        <v>351</v>
      </c>
      <c r="C155" s="20"/>
      <c r="D155" s="20"/>
      <c r="E155" s="20"/>
      <c r="F155" s="20"/>
      <c r="G155" s="25" t="e">
        <f t="shared" ref="G155:H155" si="507">G12/G9</f>
        <v>#DIV/0!</v>
      </c>
      <c r="H155" s="25" t="e">
        <f t="shared" si="507"/>
        <v>#DIV/0!</v>
      </c>
      <c r="I155" s="25" t="e">
        <f t="shared" ref="I155:S155" si="508">I12/I9</f>
        <v>#DIV/0!</v>
      </c>
      <c r="J155" s="25" t="e">
        <f t="shared" si="508"/>
        <v>#DIV/0!</v>
      </c>
      <c r="K155" s="25" t="e">
        <f t="shared" si="508"/>
        <v>#DIV/0!</v>
      </c>
      <c r="L155" s="25" t="e">
        <f t="shared" si="508"/>
        <v>#DIV/0!</v>
      </c>
      <c r="M155" s="25" t="e">
        <f t="shared" si="508"/>
        <v>#DIV/0!</v>
      </c>
      <c r="N155" s="25" t="e">
        <f t="shared" si="508"/>
        <v>#DIV/0!</v>
      </c>
      <c r="O155" s="25" t="e">
        <f t="shared" si="508"/>
        <v>#DIV/0!</v>
      </c>
      <c r="P155" s="25" t="e">
        <f t="shared" si="508"/>
        <v>#DIV/0!</v>
      </c>
      <c r="Q155" s="25" t="e">
        <f t="shared" si="508"/>
        <v>#DIV/0!</v>
      </c>
      <c r="R155" s="25" t="e">
        <f t="shared" si="508"/>
        <v>#DIV/0!</v>
      </c>
      <c r="S155" s="25" t="e">
        <f t="shared" si="508"/>
        <v>#DIV/0!</v>
      </c>
      <c r="T155" s="118" t="e">
        <f t="shared" si="461"/>
        <v>#DIV/0!</v>
      </c>
      <c r="U155" s="128"/>
      <c r="V155" s="20" t="e">
        <f t="shared" ref="V155:AE155" si="509">V12/V9</f>
        <v>#DIV/0!</v>
      </c>
      <c r="W155" s="20" t="e">
        <f t="shared" si="509"/>
        <v>#DIV/0!</v>
      </c>
      <c r="X155" s="20" t="e">
        <f t="shared" si="509"/>
        <v>#DIV/0!</v>
      </c>
      <c r="Y155" s="20" t="e">
        <f t="shared" si="509"/>
        <v>#DIV/0!</v>
      </c>
      <c r="Z155" s="20" t="e">
        <f t="shared" si="509"/>
        <v>#DIV/0!</v>
      </c>
      <c r="AA155" s="20" t="e">
        <f t="shared" si="509"/>
        <v>#DIV/0!</v>
      </c>
      <c r="AB155" s="20" t="e">
        <f t="shared" si="509"/>
        <v>#DIV/0!</v>
      </c>
      <c r="AC155" s="20" t="e">
        <f t="shared" si="509"/>
        <v>#DIV/0!</v>
      </c>
      <c r="AD155" s="20" t="e">
        <f t="shared" si="509"/>
        <v>#DIV/0!</v>
      </c>
      <c r="AE155" s="20" t="e">
        <f t="shared" si="509"/>
        <v>#DIV/0!</v>
      </c>
      <c r="AF155" s="118" t="e">
        <f t="shared" ref="AF155" si="510">((AE155/V155)^(1/($J$2-$J$1) ))-1</f>
        <v>#DIV/0!</v>
      </c>
      <c r="AG155" s="20"/>
      <c r="AH155" s="20"/>
    </row>
    <row r="156" spans="2:34" x14ac:dyDescent="0.15">
      <c r="B156" s="20" t="s">
        <v>353</v>
      </c>
      <c r="C156" s="20"/>
      <c r="D156" s="20"/>
      <c r="E156" s="20"/>
      <c r="F156" s="20"/>
      <c r="G156" s="25">
        <f t="shared" ref="G156:H156" si="511">G25/360</f>
        <v>3.2333333333333334</v>
      </c>
      <c r="H156" s="25">
        <f t="shared" si="511"/>
        <v>4.8666666666666663</v>
      </c>
      <c r="I156" s="25">
        <f t="shared" ref="I156:S156" si="512">I25/360</f>
        <v>8.2888888888888896</v>
      </c>
      <c r="J156" s="25">
        <f t="shared" si="512"/>
        <v>12.041666666666666</v>
      </c>
      <c r="K156" s="25">
        <f t="shared" si="512"/>
        <v>21.324999999999999</v>
      </c>
      <c r="L156" s="25">
        <f t="shared" si="512"/>
        <v>19.947222222222223</v>
      </c>
      <c r="M156" s="25">
        <f t="shared" si="512"/>
        <v>25.875</v>
      </c>
      <c r="N156" s="25">
        <f t="shared" si="512"/>
        <v>30.727777777777778</v>
      </c>
      <c r="O156" s="25">
        <f t="shared" si="512"/>
        <v>36.147222222222226</v>
      </c>
      <c r="P156" s="25">
        <f t="shared" si="512"/>
        <v>44.305555555555557</v>
      </c>
      <c r="Q156" s="25">
        <f t="shared" si="512"/>
        <v>47.966666666666669</v>
      </c>
      <c r="R156" s="25">
        <f t="shared" si="512"/>
        <v>59.641666666666666</v>
      </c>
      <c r="S156" s="25">
        <f t="shared" si="512"/>
        <v>77.86666666666666</v>
      </c>
      <c r="T156" s="118">
        <f t="shared" si="461"/>
        <v>0.3035922164090008</v>
      </c>
      <c r="U156" s="128"/>
      <c r="V156" s="25">
        <f t="shared" ref="V156:AE156" si="513">V25/360</f>
        <v>87.210666666666683</v>
      </c>
      <c r="W156" s="25">
        <f t="shared" si="513"/>
        <v>97.675946666666675</v>
      </c>
      <c r="X156" s="25">
        <f t="shared" si="513"/>
        <v>109.39706026666668</v>
      </c>
      <c r="Y156" s="25">
        <f t="shared" si="513"/>
        <v>122.52470749866671</v>
      </c>
      <c r="Z156" s="25">
        <f t="shared" si="513"/>
        <v>137.22767239850674</v>
      </c>
      <c r="AA156" s="25">
        <f t="shared" si="513"/>
        <v>153.69499308632754</v>
      </c>
      <c r="AB156" s="25">
        <f t="shared" si="513"/>
        <v>172.13839225668687</v>
      </c>
      <c r="AC156" s="25">
        <f t="shared" si="513"/>
        <v>192.79499932748934</v>
      </c>
      <c r="AD156" s="25">
        <f t="shared" si="513"/>
        <v>215.93039924678806</v>
      </c>
      <c r="AE156" s="25">
        <f t="shared" si="513"/>
        <v>241.84204715640266</v>
      </c>
      <c r="AF156" s="118">
        <f t="shared" ref="AF156:AF167" si="514">((AE156/V156)^(1/($J$2-$J$1) ))-1</f>
        <v>8.8713271415819861E-2</v>
      </c>
      <c r="AG156" s="20"/>
      <c r="AH156" s="20"/>
    </row>
    <row r="157" spans="2:34" x14ac:dyDescent="0.15">
      <c r="B157" s="20" t="s">
        <v>352</v>
      </c>
      <c r="C157" s="20"/>
      <c r="D157" s="20"/>
      <c r="E157" s="20"/>
      <c r="F157" s="20"/>
      <c r="G157" s="25">
        <f t="shared" ref="G157:H157" si="515">G27/360</f>
        <v>2.6777777777777776</v>
      </c>
      <c r="H157" s="25">
        <f t="shared" si="515"/>
        <v>4.3277777777777775</v>
      </c>
      <c r="I157" s="25">
        <f t="shared" ref="I157:S157" si="516">I27/360</f>
        <v>6.8194444444444446</v>
      </c>
      <c r="J157" s="25">
        <f t="shared" si="516"/>
        <v>10.583333333333334</v>
      </c>
      <c r="K157" s="25">
        <f t="shared" si="516"/>
        <v>18.661111111111111</v>
      </c>
      <c r="L157" s="25">
        <f t="shared" si="516"/>
        <v>18.133333333333333</v>
      </c>
      <c r="M157" s="25">
        <f t="shared" si="516"/>
        <v>22.18611111111111</v>
      </c>
      <c r="N157" s="25">
        <f t="shared" si="516"/>
        <v>26.369444444444444</v>
      </c>
      <c r="O157" s="25">
        <f t="shared" si="516"/>
        <v>31.008333333333333</v>
      </c>
      <c r="P157" s="25">
        <f t="shared" si="516"/>
        <v>38.18333333333333</v>
      </c>
      <c r="Q157" s="25">
        <f t="shared" si="516"/>
        <v>40.988888888888887</v>
      </c>
      <c r="R157" s="25">
        <f t="shared" si="516"/>
        <v>51.12777777777778</v>
      </c>
      <c r="S157" s="25">
        <f t="shared" si="516"/>
        <v>68.336111111111109</v>
      </c>
      <c r="T157" s="118">
        <f t="shared" si="461"/>
        <v>0.30990452962375992</v>
      </c>
      <c r="U157" s="128"/>
      <c r="V157" s="25">
        <f t="shared" ref="V157:AE157" si="517">V27/360</f>
        <v>76.536444444444456</v>
      </c>
      <c r="W157" s="25">
        <f t="shared" si="517"/>
        <v>85.720817777777796</v>
      </c>
      <c r="X157" s="25">
        <f t="shared" si="517"/>
        <v>96.007315911111135</v>
      </c>
      <c r="Y157" s="25">
        <f t="shared" si="517"/>
        <v>107.52819382044449</v>
      </c>
      <c r="Z157" s="25">
        <f t="shared" si="517"/>
        <v>120.43157707889782</v>
      </c>
      <c r="AA157" s="25">
        <f t="shared" si="517"/>
        <v>134.88336632836555</v>
      </c>
      <c r="AB157" s="25">
        <f t="shared" si="517"/>
        <v>151.06937028776943</v>
      </c>
      <c r="AC157" s="25">
        <f t="shared" si="517"/>
        <v>169.19769472230178</v>
      </c>
      <c r="AD157" s="25">
        <f t="shared" si="517"/>
        <v>189.501418088978</v>
      </c>
      <c r="AE157" s="25">
        <f t="shared" si="517"/>
        <v>212.24158825965537</v>
      </c>
      <c r="AF157" s="118">
        <f t="shared" si="514"/>
        <v>8.8713271415819861E-2</v>
      </c>
      <c r="AG157" s="20"/>
      <c r="AH157" s="20"/>
    </row>
    <row r="158" spans="2:34" x14ac:dyDescent="0.15">
      <c r="B158" s="20"/>
      <c r="C158" s="20"/>
      <c r="D158" s="20"/>
      <c r="E158" s="20"/>
      <c r="F158" s="20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128"/>
      <c r="U158" s="128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128"/>
      <c r="AG158" s="20"/>
      <c r="AH158" s="20"/>
    </row>
    <row r="159" spans="2:34" x14ac:dyDescent="0.15">
      <c r="B159" s="20" t="s">
        <v>362</v>
      </c>
      <c r="C159" s="20"/>
      <c r="D159" s="20"/>
      <c r="E159" s="20"/>
      <c r="F159" s="20"/>
      <c r="G159" s="25">
        <f t="shared" ref="G159:H159" si="518">G10/G7</f>
        <v>5.9255663430420711</v>
      </c>
      <c r="H159" s="25">
        <f t="shared" si="518"/>
        <v>5.1331521739130439</v>
      </c>
      <c r="I159" s="25">
        <f t="shared" ref="I159:S159" si="519">I10/I7</f>
        <v>5.0549158547387067</v>
      </c>
      <c r="J159" s="25">
        <f t="shared" si="519"/>
        <v>6.0245323520392517</v>
      </c>
      <c r="K159" s="25">
        <f t="shared" si="519"/>
        <v>4.4991499489969398</v>
      </c>
      <c r="L159" s="25">
        <f t="shared" si="519"/>
        <v>3.762019957665558</v>
      </c>
      <c r="M159" s="25">
        <f t="shared" si="519"/>
        <v>4.4826114249843068</v>
      </c>
      <c r="N159" s="25">
        <f t="shared" si="519"/>
        <v>4.4900445495045007</v>
      </c>
      <c r="O159" s="25">
        <f t="shared" si="519"/>
        <v>5.075763432547352</v>
      </c>
      <c r="P159" s="25">
        <f t="shared" si="519"/>
        <v>5.6698107028230824</v>
      </c>
      <c r="Q159" s="25">
        <f t="shared" si="519"/>
        <v>4.4747432404108149</v>
      </c>
      <c r="R159" s="25">
        <f t="shared" si="519"/>
        <v>4.7088207398039836</v>
      </c>
      <c r="S159" s="25">
        <f t="shared" si="519"/>
        <v>5.3853854453902406</v>
      </c>
      <c r="T159" s="118">
        <f t="shared" si="461"/>
        <v>-7.9339737349577444E-3</v>
      </c>
      <c r="U159" s="128"/>
      <c r="V159" s="25">
        <f t="shared" ref="V159:AE159" si="520">V10/V7</f>
        <v>5.3853854453902414</v>
      </c>
      <c r="W159" s="25">
        <f t="shared" si="520"/>
        <v>5.3853854453902414</v>
      </c>
      <c r="X159" s="25">
        <f t="shared" si="520"/>
        <v>5.3853854453902414</v>
      </c>
      <c r="Y159" s="25">
        <f t="shared" si="520"/>
        <v>5.3853854453902423</v>
      </c>
      <c r="Z159" s="25">
        <f t="shared" si="520"/>
        <v>5.3853854453902423</v>
      </c>
      <c r="AA159" s="25">
        <f t="shared" si="520"/>
        <v>5.3853854453902423</v>
      </c>
      <c r="AB159" s="25">
        <f t="shared" si="520"/>
        <v>5.3853854453902423</v>
      </c>
      <c r="AC159" s="25">
        <f t="shared" si="520"/>
        <v>5.3853854453902423</v>
      </c>
      <c r="AD159" s="25">
        <f t="shared" si="520"/>
        <v>5.3853854453902423</v>
      </c>
      <c r="AE159" s="25">
        <f t="shared" si="520"/>
        <v>5.3853854453902423</v>
      </c>
      <c r="AF159" s="118">
        <f t="shared" si="514"/>
        <v>0</v>
      </c>
      <c r="AG159" s="20"/>
      <c r="AH159" s="20"/>
    </row>
    <row r="160" spans="2:34" x14ac:dyDescent="0.15">
      <c r="B160" s="20" t="s">
        <v>354</v>
      </c>
      <c r="C160" s="20"/>
      <c r="D160" s="20"/>
      <c r="E160" s="20"/>
      <c r="F160" s="20"/>
      <c r="G160" s="25">
        <f t="shared" ref="G160:H160" si="521">G10/(G10+G7)</f>
        <v>0.85560747663551406</v>
      </c>
      <c r="H160" s="25">
        <f t="shared" si="521"/>
        <v>0.83695170580416478</v>
      </c>
      <c r="I160" s="25">
        <f t="shared" ref="I160:S160" si="522">I10/(I10+I7)</f>
        <v>0.83484493856056174</v>
      </c>
      <c r="J160" s="25">
        <f t="shared" si="522"/>
        <v>0.85764176889160515</v>
      </c>
      <c r="K160" s="25">
        <f t="shared" si="522"/>
        <v>0.81815371297842088</v>
      </c>
      <c r="L160" s="25">
        <f t="shared" si="522"/>
        <v>0.79000508001016001</v>
      </c>
      <c r="M160" s="25">
        <f t="shared" si="522"/>
        <v>0.81760516613616063</v>
      </c>
      <c r="N160" s="25">
        <f t="shared" si="522"/>
        <v>0.81785211559162041</v>
      </c>
      <c r="O160" s="25">
        <f t="shared" si="522"/>
        <v>0.83541162997836871</v>
      </c>
      <c r="P160" s="25">
        <f t="shared" si="522"/>
        <v>0.85007070746749425</v>
      </c>
      <c r="Q160" s="25">
        <f t="shared" si="522"/>
        <v>0.81734303215926496</v>
      </c>
      <c r="R160" s="25">
        <f t="shared" si="522"/>
        <v>0.8248324749404663</v>
      </c>
      <c r="S160" s="25">
        <f t="shared" si="522"/>
        <v>0.8433923827226556</v>
      </c>
      <c r="T160" s="118">
        <f t="shared" si="461"/>
        <v>-1.197566177923548E-3</v>
      </c>
      <c r="U160" s="128"/>
      <c r="V160" s="25">
        <f t="shared" ref="V160:AE160" si="523">V10/(V10+V7)</f>
        <v>0.84339238272265571</v>
      </c>
      <c r="W160" s="25">
        <f t="shared" si="523"/>
        <v>0.8433923827226556</v>
      </c>
      <c r="X160" s="25">
        <f t="shared" si="523"/>
        <v>0.84339238272265571</v>
      </c>
      <c r="Y160" s="25">
        <f t="shared" si="523"/>
        <v>0.8433923827226556</v>
      </c>
      <c r="Z160" s="25">
        <f t="shared" si="523"/>
        <v>0.84339238272265571</v>
      </c>
      <c r="AA160" s="25">
        <f t="shared" si="523"/>
        <v>0.84339238272265571</v>
      </c>
      <c r="AB160" s="25">
        <f t="shared" si="523"/>
        <v>0.8433923827226556</v>
      </c>
      <c r="AC160" s="25">
        <f t="shared" si="523"/>
        <v>0.8433923827226556</v>
      </c>
      <c r="AD160" s="25">
        <f t="shared" si="523"/>
        <v>0.8433923827226556</v>
      </c>
      <c r="AE160" s="25">
        <f t="shared" si="523"/>
        <v>0.8433923827226556</v>
      </c>
      <c r="AF160" s="118">
        <f t="shared" si="514"/>
        <v>0</v>
      </c>
      <c r="AG160" s="20"/>
      <c r="AH160" s="20"/>
    </row>
    <row r="161" spans="2:34" x14ac:dyDescent="0.15">
      <c r="B161" s="20"/>
      <c r="C161" s="20"/>
      <c r="D161" s="20"/>
      <c r="E161" s="20"/>
      <c r="F161" s="20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128"/>
      <c r="U161" s="128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135"/>
      <c r="AG161" s="20"/>
      <c r="AH161" s="20"/>
    </row>
    <row r="162" spans="2:34" x14ac:dyDescent="0.15">
      <c r="B162" s="20" t="s">
        <v>359</v>
      </c>
      <c r="C162" s="20"/>
      <c r="D162" s="20"/>
      <c r="E162" s="20"/>
      <c r="F162" s="20"/>
      <c r="G162" s="25">
        <f t="shared" ref="G162:H162" si="524">G16</f>
        <v>0</v>
      </c>
      <c r="H162" s="25">
        <f t="shared" si="524"/>
        <v>0</v>
      </c>
      <c r="I162" s="25">
        <f t="shared" ref="I162:S162" si="525">I16</f>
        <v>0</v>
      </c>
      <c r="J162" s="25">
        <f t="shared" si="525"/>
        <v>0</v>
      </c>
      <c r="K162" s="25">
        <f t="shared" si="525"/>
        <v>0</v>
      </c>
      <c r="L162" s="25">
        <f t="shared" si="525"/>
        <v>0</v>
      </c>
      <c r="M162" s="25">
        <f t="shared" si="525"/>
        <v>0</v>
      </c>
      <c r="N162" s="25">
        <f t="shared" si="525"/>
        <v>0</v>
      </c>
      <c r="O162" s="25">
        <f t="shared" si="525"/>
        <v>0</v>
      </c>
      <c r="P162" s="25">
        <f t="shared" si="525"/>
        <v>0</v>
      </c>
      <c r="Q162" s="25">
        <f t="shared" si="525"/>
        <v>0</v>
      </c>
      <c r="R162" s="25">
        <f t="shared" si="525"/>
        <v>0</v>
      </c>
      <c r="S162" s="25">
        <f t="shared" si="525"/>
        <v>0</v>
      </c>
      <c r="T162" s="118" t="e">
        <f t="shared" si="461"/>
        <v>#DIV/0!</v>
      </c>
      <c r="U162" s="128"/>
      <c r="V162" s="25">
        <f t="shared" ref="V162:AE162" si="526">V16</f>
        <v>0</v>
      </c>
      <c r="W162" s="25">
        <f t="shared" si="526"/>
        <v>0</v>
      </c>
      <c r="X162" s="25">
        <f t="shared" si="526"/>
        <v>0</v>
      </c>
      <c r="Y162" s="25">
        <f t="shared" si="526"/>
        <v>0</v>
      </c>
      <c r="Z162" s="25">
        <f t="shared" si="526"/>
        <v>0</v>
      </c>
      <c r="AA162" s="25">
        <f t="shared" si="526"/>
        <v>0</v>
      </c>
      <c r="AB162" s="25">
        <f t="shared" si="526"/>
        <v>0</v>
      </c>
      <c r="AC162" s="25">
        <f t="shared" si="526"/>
        <v>0</v>
      </c>
      <c r="AD162" s="25">
        <f t="shared" si="526"/>
        <v>0</v>
      </c>
      <c r="AE162" s="25">
        <f t="shared" si="526"/>
        <v>0</v>
      </c>
      <c r="AF162" s="118" t="e">
        <f t="shared" si="514"/>
        <v>#DIV/0!</v>
      </c>
      <c r="AG162" s="20"/>
      <c r="AH162" s="20"/>
    </row>
    <row r="163" spans="2:34" x14ac:dyDescent="0.15">
      <c r="B163" s="20" t="s">
        <v>360</v>
      </c>
      <c r="C163" s="20"/>
      <c r="D163" s="20"/>
      <c r="E163" s="20"/>
      <c r="F163" s="20"/>
      <c r="G163" s="119">
        <f t="shared" ref="G163:H163" si="527">G162*365/G25</f>
        <v>0</v>
      </c>
      <c r="H163" s="119">
        <f t="shared" si="527"/>
        <v>0</v>
      </c>
      <c r="I163" s="119">
        <f t="shared" ref="I163:S163" si="528">I162*365/I25</f>
        <v>0</v>
      </c>
      <c r="J163" s="119">
        <f t="shared" si="528"/>
        <v>0</v>
      </c>
      <c r="K163" s="119">
        <f t="shared" si="528"/>
        <v>0</v>
      </c>
      <c r="L163" s="119">
        <f t="shared" si="528"/>
        <v>0</v>
      </c>
      <c r="M163" s="119">
        <f t="shared" si="528"/>
        <v>0</v>
      </c>
      <c r="N163" s="119">
        <f t="shared" si="528"/>
        <v>0</v>
      </c>
      <c r="O163" s="119">
        <f t="shared" si="528"/>
        <v>0</v>
      </c>
      <c r="P163" s="119">
        <f t="shared" si="528"/>
        <v>0</v>
      </c>
      <c r="Q163" s="119">
        <f t="shared" si="528"/>
        <v>0</v>
      </c>
      <c r="R163" s="119">
        <f t="shared" si="528"/>
        <v>0</v>
      </c>
      <c r="S163" s="119">
        <f t="shared" si="528"/>
        <v>0</v>
      </c>
      <c r="T163" s="118" t="e">
        <f t="shared" si="461"/>
        <v>#DIV/0!</v>
      </c>
      <c r="U163" s="128"/>
      <c r="V163" s="119">
        <f t="shared" ref="V163:AE163" si="529">V162*365/V25</f>
        <v>0</v>
      </c>
      <c r="W163" s="119">
        <f t="shared" si="529"/>
        <v>0</v>
      </c>
      <c r="X163" s="119">
        <f t="shared" si="529"/>
        <v>0</v>
      </c>
      <c r="Y163" s="119">
        <f t="shared" si="529"/>
        <v>0</v>
      </c>
      <c r="Z163" s="119">
        <f t="shared" si="529"/>
        <v>0</v>
      </c>
      <c r="AA163" s="119">
        <f t="shared" si="529"/>
        <v>0</v>
      </c>
      <c r="AB163" s="119">
        <f t="shared" si="529"/>
        <v>0</v>
      </c>
      <c r="AC163" s="119">
        <f t="shared" si="529"/>
        <v>0</v>
      </c>
      <c r="AD163" s="119">
        <f t="shared" si="529"/>
        <v>0</v>
      </c>
      <c r="AE163" s="119">
        <f t="shared" si="529"/>
        <v>0</v>
      </c>
      <c r="AF163" s="118" t="e">
        <f t="shared" si="514"/>
        <v>#DIV/0!</v>
      </c>
      <c r="AG163" s="20"/>
      <c r="AH163" s="20"/>
    </row>
    <row r="164" spans="2:34" x14ac:dyDescent="0.15">
      <c r="B164" s="20" t="s">
        <v>363</v>
      </c>
      <c r="C164" s="20"/>
      <c r="D164" s="20"/>
      <c r="E164" s="20"/>
      <c r="F164" s="20"/>
      <c r="G164" s="132">
        <f t="shared" ref="G164:H164" si="530">G98/G29</f>
        <v>0</v>
      </c>
      <c r="H164" s="132">
        <f t="shared" si="530"/>
        <v>0</v>
      </c>
      <c r="I164" s="132">
        <f t="shared" ref="I164:S164" si="531">I98/I29</f>
        <v>0</v>
      </c>
      <c r="J164" s="132">
        <f t="shared" si="531"/>
        <v>0</v>
      </c>
      <c r="K164" s="132">
        <f t="shared" si="531"/>
        <v>0</v>
      </c>
      <c r="L164" s="132">
        <f t="shared" si="531"/>
        <v>0</v>
      </c>
      <c r="M164" s="132">
        <f t="shared" si="531"/>
        <v>0</v>
      </c>
      <c r="N164" s="132">
        <f t="shared" si="531"/>
        <v>0</v>
      </c>
      <c r="O164" s="132">
        <f t="shared" si="531"/>
        <v>0</v>
      </c>
      <c r="P164" s="132">
        <f t="shared" si="531"/>
        <v>0</v>
      </c>
      <c r="Q164" s="132">
        <f t="shared" si="531"/>
        <v>0</v>
      </c>
      <c r="R164" s="132">
        <f t="shared" si="531"/>
        <v>0</v>
      </c>
      <c r="S164" s="132">
        <f t="shared" si="531"/>
        <v>0</v>
      </c>
      <c r="T164" s="118" t="e">
        <f t="shared" si="461"/>
        <v>#DIV/0!</v>
      </c>
      <c r="U164" s="128"/>
      <c r="V164" s="132">
        <f t="shared" ref="V164:AE164" si="532">V98/V29</f>
        <v>0</v>
      </c>
      <c r="W164" s="132">
        <f t="shared" si="532"/>
        <v>0</v>
      </c>
      <c r="X164" s="132">
        <f t="shared" si="532"/>
        <v>0</v>
      </c>
      <c r="Y164" s="132">
        <f t="shared" si="532"/>
        <v>0</v>
      </c>
      <c r="Z164" s="132">
        <f t="shared" si="532"/>
        <v>0</v>
      </c>
      <c r="AA164" s="132">
        <f t="shared" si="532"/>
        <v>0</v>
      </c>
      <c r="AB164" s="132">
        <f t="shared" si="532"/>
        <v>0</v>
      </c>
      <c r="AC164" s="132">
        <f t="shared" si="532"/>
        <v>0</v>
      </c>
      <c r="AD164" s="132">
        <f t="shared" si="532"/>
        <v>0</v>
      </c>
      <c r="AE164" s="132">
        <f t="shared" si="532"/>
        <v>0</v>
      </c>
      <c r="AF164" s="118" t="e">
        <f t="shared" si="514"/>
        <v>#DIV/0!</v>
      </c>
      <c r="AG164" s="20"/>
      <c r="AH164" s="20"/>
    </row>
    <row r="165" spans="2:34" x14ac:dyDescent="0.15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128"/>
      <c r="U165" s="128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135"/>
      <c r="AG165" s="20"/>
      <c r="AH165" s="20"/>
    </row>
    <row r="166" spans="2:34" x14ac:dyDescent="0.15">
      <c r="B166" s="20" t="s">
        <v>370</v>
      </c>
      <c r="C166" s="20"/>
      <c r="D166" s="20"/>
      <c r="E166" s="20"/>
      <c r="F166" s="20"/>
      <c r="G166" s="176" t="e">
        <f t="shared" ref="G166:H166" si="533">G25/G14</f>
        <v>#DIV/0!</v>
      </c>
      <c r="H166" s="176" t="e">
        <f t="shared" si="533"/>
        <v>#DIV/0!</v>
      </c>
      <c r="I166" s="176" t="e">
        <f t="shared" ref="I166:S166" si="534">I25/I14</f>
        <v>#DIV/0!</v>
      </c>
      <c r="J166" s="176" t="e">
        <f t="shared" si="534"/>
        <v>#DIV/0!</v>
      </c>
      <c r="K166" s="176" t="e">
        <f t="shared" si="534"/>
        <v>#DIV/0!</v>
      </c>
      <c r="L166" s="176" t="e">
        <f t="shared" si="534"/>
        <v>#DIV/0!</v>
      </c>
      <c r="M166" s="176" t="e">
        <f t="shared" si="534"/>
        <v>#DIV/0!</v>
      </c>
      <c r="N166" s="176" t="e">
        <f t="shared" si="534"/>
        <v>#DIV/0!</v>
      </c>
      <c r="O166" s="176" t="e">
        <f t="shared" si="534"/>
        <v>#DIV/0!</v>
      </c>
      <c r="P166" s="176" t="e">
        <f t="shared" si="534"/>
        <v>#DIV/0!</v>
      </c>
      <c r="Q166" s="176" t="e">
        <f t="shared" si="534"/>
        <v>#DIV/0!</v>
      </c>
      <c r="R166" s="176" t="e">
        <f t="shared" si="534"/>
        <v>#DIV/0!</v>
      </c>
      <c r="S166" s="176" t="e">
        <f t="shared" si="534"/>
        <v>#DIV/0!</v>
      </c>
      <c r="T166" s="118" t="e">
        <f t="shared" si="461"/>
        <v>#DIV/0!</v>
      </c>
      <c r="U166" s="128"/>
      <c r="V166" s="20" t="e">
        <f t="shared" ref="V166:AE166" si="535">V25/V14</f>
        <v>#DIV/0!</v>
      </c>
      <c r="W166" s="20" t="e">
        <f t="shared" si="535"/>
        <v>#DIV/0!</v>
      </c>
      <c r="X166" s="20" t="e">
        <f t="shared" si="535"/>
        <v>#DIV/0!</v>
      </c>
      <c r="Y166" s="20" t="e">
        <f t="shared" si="535"/>
        <v>#DIV/0!</v>
      </c>
      <c r="Z166" s="20" t="e">
        <f t="shared" si="535"/>
        <v>#DIV/0!</v>
      </c>
      <c r="AA166" s="20" t="e">
        <f t="shared" si="535"/>
        <v>#DIV/0!</v>
      </c>
      <c r="AB166" s="20" t="e">
        <f t="shared" si="535"/>
        <v>#DIV/0!</v>
      </c>
      <c r="AC166" s="20" t="e">
        <f t="shared" si="535"/>
        <v>#DIV/0!</v>
      </c>
      <c r="AD166" s="20" t="e">
        <f t="shared" si="535"/>
        <v>#DIV/0!</v>
      </c>
      <c r="AE166" s="20" t="e">
        <f t="shared" si="535"/>
        <v>#DIV/0!</v>
      </c>
      <c r="AF166" s="118" t="e">
        <f t="shared" si="514"/>
        <v>#DIV/0!</v>
      </c>
      <c r="AG166" s="20"/>
      <c r="AH166" s="20"/>
    </row>
    <row r="167" spans="2:34" x14ac:dyDescent="0.15">
      <c r="B167" s="20" t="s">
        <v>371</v>
      </c>
      <c r="C167" s="20"/>
      <c r="D167" s="20"/>
      <c r="E167" s="20"/>
      <c r="F167" s="20"/>
      <c r="G167" s="176" t="e">
        <f t="shared" ref="G167:H167" si="536">G27/G14</f>
        <v>#DIV/0!</v>
      </c>
      <c r="H167" s="176" t="e">
        <f t="shared" si="536"/>
        <v>#DIV/0!</v>
      </c>
      <c r="I167" s="176" t="e">
        <f t="shared" ref="I167:S167" si="537">I27/I14</f>
        <v>#DIV/0!</v>
      </c>
      <c r="J167" s="176" t="e">
        <f t="shared" si="537"/>
        <v>#DIV/0!</v>
      </c>
      <c r="K167" s="176" t="e">
        <f t="shared" si="537"/>
        <v>#DIV/0!</v>
      </c>
      <c r="L167" s="176" t="e">
        <f t="shared" si="537"/>
        <v>#DIV/0!</v>
      </c>
      <c r="M167" s="176" t="e">
        <f t="shared" si="537"/>
        <v>#DIV/0!</v>
      </c>
      <c r="N167" s="176" t="e">
        <f t="shared" si="537"/>
        <v>#DIV/0!</v>
      </c>
      <c r="O167" s="176" t="e">
        <f t="shared" si="537"/>
        <v>#DIV/0!</v>
      </c>
      <c r="P167" s="176" t="e">
        <f t="shared" si="537"/>
        <v>#DIV/0!</v>
      </c>
      <c r="Q167" s="176" t="e">
        <f t="shared" si="537"/>
        <v>#DIV/0!</v>
      </c>
      <c r="R167" s="176" t="e">
        <f t="shared" si="537"/>
        <v>#DIV/0!</v>
      </c>
      <c r="S167" s="176" t="e">
        <f t="shared" si="537"/>
        <v>#DIV/0!</v>
      </c>
      <c r="T167" s="118" t="e">
        <f t="shared" si="461"/>
        <v>#DIV/0!</v>
      </c>
      <c r="U167" s="128"/>
      <c r="V167" s="20" t="e">
        <f t="shared" ref="V167:AE167" si="538">V27/V14</f>
        <v>#DIV/0!</v>
      </c>
      <c r="W167" s="20" t="e">
        <f t="shared" si="538"/>
        <v>#DIV/0!</v>
      </c>
      <c r="X167" s="20" t="e">
        <f t="shared" si="538"/>
        <v>#DIV/0!</v>
      </c>
      <c r="Y167" s="20" t="e">
        <f t="shared" si="538"/>
        <v>#DIV/0!</v>
      </c>
      <c r="Z167" s="20" t="e">
        <f t="shared" si="538"/>
        <v>#DIV/0!</v>
      </c>
      <c r="AA167" s="20" t="e">
        <f t="shared" si="538"/>
        <v>#DIV/0!</v>
      </c>
      <c r="AB167" s="20" t="e">
        <f t="shared" si="538"/>
        <v>#DIV/0!</v>
      </c>
      <c r="AC167" s="20" t="e">
        <f t="shared" si="538"/>
        <v>#DIV/0!</v>
      </c>
      <c r="AD167" s="20" t="e">
        <f t="shared" si="538"/>
        <v>#DIV/0!</v>
      </c>
      <c r="AE167" s="20" t="e">
        <f t="shared" si="538"/>
        <v>#DIV/0!</v>
      </c>
      <c r="AF167" s="118" t="e">
        <f t="shared" si="514"/>
        <v>#DIV/0!</v>
      </c>
      <c r="AG167" s="20"/>
      <c r="AH167" s="20"/>
    </row>
    <row r="168" spans="2:34" x14ac:dyDescent="0.15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128"/>
      <c r="U168" s="128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35"/>
      <c r="AG168" s="20"/>
      <c r="AH168" s="20"/>
    </row>
    <row r="169" spans="2:34" x14ac:dyDescent="0.15">
      <c r="B169" s="108" t="s">
        <v>244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3" t="s">
        <v>468</v>
      </c>
      <c r="T169" s="23"/>
      <c r="U169" s="23" t="s">
        <v>469</v>
      </c>
      <c r="V169" s="122" t="s">
        <v>66</v>
      </c>
      <c r="W169" s="20"/>
      <c r="X169" s="20"/>
      <c r="Y169" s="20"/>
      <c r="Z169" s="20"/>
      <c r="AA169" s="20"/>
      <c r="AB169" s="20"/>
      <c r="AC169" s="20"/>
      <c r="AD169" s="20"/>
      <c r="AE169" s="20"/>
      <c r="AF169" s="135"/>
      <c r="AG169" s="20"/>
      <c r="AH169" s="20"/>
    </row>
    <row r="170" spans="2:34" x14ac:dyDescent="0.15">
      <c r="B170" s="23" t="s">
        <v>280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5"/>
      <c r="S170" s="132">
        <f>AVERAGE(O102:S102)</f>
        <v>14.240854822002945</v>
      </c>
      <c r="T170" s="157">
        <f>AVERAGE(I72:S72)</f>
        <v>25.884618861724785</v>
      </c>
      <c r="U170" s="157">
        <f>AVERAGE(I102:S102)</f>
        <v>9.2281920772353097</v>
      </c>
      <c r="V170" s="189" t="s">
        <v>425</v>
      </c>
      <c r="W170" s="190" t="s">
        <v>426</v>
      </c>
      <c r="X170" s="20"/>
      <c r="Y170" s="20"/>
      <c r="Z170" s="20"/>
      <c r="AA170" s="20"/>
      <c r="AB170" s="20"/>
      <c r="AC170" s="20"/>
      <c r="AD170" s="20"/>
      <c r="AE170" s="20"/>
      <c r="AF170" s="135"/>
      <c r="AG170" s="20"/>
      <c r="AH170" s="20"/>
    </row>
    <row r="171" spans="2:34" x14ac:dyDescent="0.15">
      <c r="B171" s="20" t="s">
        <v>25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138">
        <f>V171+W171</f>
        <v>42.747431122626551</v>
      </c>
      <c r="V171" s="132">
        <f>PV($C$1, ($AE$3-$V$3), 0, -AE72)</f>
        <v>5.956609254792224</v>
      </c>
      <c r="W171" s="132">
        <f>PV($C$1, ($AE$3-$V$3), 0, -AH72)</f>
        <v>36.790821867834325</v>
      </c>
      <c r="X171" s="20"/>
      <c r="Y171" s="20"/>
      <c r="Z171" s="20"/>
      <c r="AA171" s="20"/>
      <c r="AB171" s="20"/>
      <c r="AC171" s="20"/>
      <c r="AD171" s="20"/>
      <c r="AE171" s="20"/>
      <c r="AF171" s="135"/>
      <c r="AG171" s="20"/>
      <c r="AH171" s="20"/>
    </row>
    <row r="172" spans="2:34" x14ac:dyDescent="0.15">
      <c r="B172" s="20" t="s">
        <v>272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138">
        <f t="shared" ref="U172:U190" si="539">V172+W172</f>
        <v>415.68793120819373</v>
      </c>
      <c r="V172" s="132">
        <f>PV($C$1, ($AE$3-$V$3), 0, -AE74)</f>
        <v>57.923728119174527</v>
      </c>
      <c r="W172" s="132">
        <f>PV($C$1, ($AE$3-$V$3), 0, -AH74)</f>
        <v>357.76420308901919</v>
      </c>
      <c r="X172" s="20"/>
      <c r="Y172" s="20"/>
      <c r="Z172" s="20"/>
      <c r="AA172" s="20"/>
      <c r="AB172" s="20"/>
      <c r="AC172" s="20"/>
      <c r="AD172" s="20"/>
      <c r="AE172" s="20"/>
      <c r="AF172" s="135"/>
      <c r="AG172" s="20"/>
      <c r="AH172" s="20"/>
    </row>
    <row r="173" spans="2:34" x14ac:dyDescent="0.15">
      <c r="B173" s="20" t="s">
        <v>273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138">
        <f t="shared" si="539"/>
        <v>404.21303057749151</v>
      </c>
      <c r="V173" s="132">
        <f>PV($C$1, ($AE$3-$V$3), 0, -AE75)</f>
        <v>56.324766555879961</v>
      </c>
      <c r="W173" s="132">
        <f>PV($C$1, ($AE$3-$V$3), 0, -AH75)</f>
        <v>347.88826402161158</v>
      </c>
      <c r="X173" s="20"/>
      <c r="Y173" s="20"/>
      <c r="Z173" s="20"/>
      <c r="AA173" s="20"/>
      <c r="AB173" s="20"/>
      <c r="AC173" s="20"/>
      <c r="AD173" s="20"/>
      <c r="AE173" s="20"/>
      <c r="AF173" s="135"/>
      <c r="AG173" s="20"/>
      <c r="AH173" s="20"/>
    </row>
    <row r="174" spans="2:34" x14ac:dyDescent="0.15">
      <c r="B174" s="20" t="s">
        <v>274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138">
        <f t="shared" si="539"/>
        <v>2238.6397345529863</v>
      </c>
      <c r="V174" s="132">
        <f>PV($C$1, ($AE$3-$V$3), 0, -AE76)</f>
        <v>311.94160235574401</v>
      </c>
      <c r="W174" s="132">
        <f>PV($C$1, ($AE$3-$V$3), 0, -AH76)</f>
        <v>1926.6981321972423</v>
      </c>
      <c r="X174" s="20"/>
      <c r="Y174" s="20"/>
      <c r="Z174" s="20"/>
      <c r="AA174" s="20"/>
      <c r="AB174" s="20"/>
      <c r="AC174" s="20"/>
      <c r="AD174" s="20"/>
      <c r="AE174" s="20"/>
      <c r="AF174" s="135"/>
      <c r="AG174" s="20"/>
      <c r="AH174" s="20"/>
    </row>
    <row r="175" spans="2:34" x14ac:dyDescent="0.15">
      <c r="B175" s="20" t="s">
        <v>275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138">
        <f t="shared" si="539"/>
        <v>0</v>
      </c>
      <c r="V175" s="132">
        <f>PV($C$1, ($AE$3-$V$3), 0, -AE82)</f>
        <v>0</v>
      </c>
      <c r="W175" s="132">
        <f>PV($C$1, ($AE$3-$V$3), 0, -AH82)</f>
        <v>0</v>
      </c>
      <c r="X175" s="20"/>
      <c r="Y175" s="20"/>
      <c r="Z175" s="20"/>
      <c r="AA175" s="20"/>
      <c r="AB175" s="20"/>
      <c r="AC175" s="20"/>
      <c r="AD175" s="20"/>
      <c r="AE175" s="20"/>
      <c r="AF175" s="135"/>
      <c r="AG175" s="20"/>
      <c r="AH175" s="20"/>
    </row>
    <row r="176" spans="2:34" x14ac:dyDescent="0.15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138"/>
      <c r="V176" s="132"/>
      <c r="W176" s="20"/>
      <c r="X176" s="20"/>
      <c r="Y176" s="20"/>
      <c r="Z176" s="20"/>
      <c r="AA176" s="20"/>
      <c r="AB176" s="20"/>
      <c r="AC176" s="20"/>
      <c r="AD176" s="20"/>
      <c r="AE176" s="20"/>
      <c r="AF176" s="135"/>
      <c r="AG176" s="20"/>
      <c r="AH176" s="20"/>
    </row>
    <row r="177" spans="2:34" x14ac:dyDescent="0.15">
      <c r="B177" s="20" t="s">
        <v>270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138">
        <f t="shared" si="539"/>
        <v>-1822.951803344793</v>
      </c>
      <c r="V177" s="132">
        <f>PV($C$1, ($AE$3-$V$3), 0, -AE78)</f>
        <v>-254.0178742365695</v>
      </c>
      <c r="W177" s="132">
        <f>PV($C$1, ($AE$3-$V$3), 0, -$AH$78)</f>
        <v>-1568.9339291082235</v>
      </c>
      <c r="X177" s="20"/>
      <c r="Y177" s="20"/>
      <c r="Z177" s="20"/>
      <c r="AA177" s="20"/>
      <c r="AB177" s="20"/>
      <c r="AC177" s="20"/>
      <c r="AD177" s="20"/>
      <c r="AE177" s="20"/>
      <c r="AF177" s="135"/>
      <c r="AG177" s="20"/>
      <c r="AH177" s="20"/>
    </row>
    <row r="178" spans="2:34" x14ac:dyDescent="0.15">
      <c r="B178" s="20" t="s">
        <v>271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138">
        <f t="shared" si="539"/>
        <v>-1822.951803344793</v>
      </c>
      <c r="V178" s="132">
        <f>PV($C$1, ($AE$3-$V$3), 0, -AE79)</f>
        <v>-254.0178742365695</v>
      </c>
      <c r="W178" s="132">
        <f>PV($C$1, ($AE$3-$V$3), 0, -$AH$79)</f>
        <v>-1568.9339291082235</v>
      </c>
      <c r="X178" s="20"/>
      <c r="Y178" s="20"/>
      <c r="Z178" s="20"/>
      <c r="AA178" s="20"/>
      <c r="AB178" s="20"/>
      <c r="AC178" s="20"/>
      <c r="AD178" s="20"/>
      <c r="AE178" s="20"/>
      <c r="AF178" s="135"/>
      <c r="AG178" s="20"/>
      <c r="AH178" s="20"/>
    </row>
    <row r="179" spans="2:34" x14ac:dyDescent="0.15">
      <c r="B179" s="20" t="s">
        <v>276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138">
        <f t="shared" si="539"/>
        <v>-1822.951803344793</v>
      </c>
      <c r="V179" s="132">
        <f>PV($C$1, ($AE$3-$V$3), 0, -AE80)</f>
        <v>-254.0178742365695</v>
      </c>
      <c r="W179" s="132">
        <f>PV($C$1, ($AE$3-$V$3), 0, -$AH$80)</f>
        <v>-1568.9339291082235</v>
      </c>
      <c r="X179" s="20"/>
      <c r="Y179" s="20"/>
      <c r="Z179" s="20"/>
      <c r="AA179" s="20"/>
      <c r="AB179" s="20"/>
      <c r="AC179" s="20"/>
      <c r="AD179" s="20"/>
      <c r="AE179" s="20"/>
      <c r="AF179" s="135"/>
      <c r="AG179" s="20"/>
      <c r="AH179" s="20"/>
    </row>
    <row r="180" spans="2:34" x14ac:dyDescent="0.15"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138"/>
      <c r="V180" s="132"/>
      <c r="W180" s="20"/>
      <c r="X180" s="20"/>
      <c r="Y180" s="20"/>
      <c r="Z180" s="20"/>
      <c r="AA180" s="20"/>
      <c r="AB180" s="20"/>
      <c r="AC180" s="20"/>
      <c r="AD180" s="20"/>
      <c r="AE180" s="20"/>
      <c r="AF180" s="135"/>
      <c r="AG180" s="20"/>
      <c r="AH180" s="20"/>
    </row>
    <row r="181" spans="2:34" x14ac:dyDescent="0.15">
      <c r="B181" s="20" t="s">
        <v>249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138">
        <f t="shared" si="539"/>
        <v>0</v>
      </c>
      <c r="V181" s="132">
        <f>PV($C$1, ($AE$3-$V$3), 0, -AE85)</f>
        <v>0</v>
      </c>
      <c r="W181" s="132">
        <f>PV($C$1, ($AE$3-$V$3), 0, -AH85)</f>
        <v>0</v>
      </c>
      <c r="X181" s="20"/>
      <c r="Y181" s="20"/>
      <c r="Z181" s="20"/>
      <c r="AA181" s="20"/>
      <c r="AB181" s="20"/>
      <c r="AC181" s="20"/>
      <c r="AD181" s="20"/>
      <c r="AE181" s="20"/>
      <c r="AF181" s="135"/>
      <c r="AG181" s="20"/>
      <c r="AH181" s="20"/>
    </row>
    <row r="182" spans="2:34" x14ac:dyDescent="0.15">
      <c r="B182" s="20" t="s">
        <v>250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138">
        <f t="shared" si="539"/>
        <v>0</v>
      </c>
      <c r="V182" s="132">
        <f>PV($C$1, ($AE$3-$V$3), 0, -AE86)</f>
        <v>0</v>
      </c>
      <c r="W182" s="132">
        <f>PV($C$1, ($AE$3-$V$3), 0, -AH86)</f>
        <v>0</v>
      </c>
      <c r="X182" s="20"/>
      <c r="Y182" s="20"/>
      <c r="Z182" s="20"/>
      <c r="AA182" s="20"/>
      <c r="AB182" s="20"/>
      <c r="AC182" s="20"/>
      <c r="AD182" s="20"/>
      <c r="AE182" s="20"/>
      <c r="AF182" s="135"/>
      <c r="AG182" s="20"/>
      <c r="AH182" s="20"/>
    </row>
    <row r="183" spans="2:34" x14ac:dyDescent="0.15"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138"/>
      <c r="V183" s="132"/>
      <c r="W183" s="132"/>
      <c r="X183" s="20"/>
      <c r="Y183" s="20"/>
      <c r="Z183" s="20"/>
      <c r="AA183" s="20"/>
      <c r="AB183" s="20"/>
      <c r="AC183" s="20"/>
      <c r="AD183" s="20"/>
      <c r="AE183" s="20"/>
      <c r="AF183" s="135"/>
      <c r="AG183" s="20"/>
      <c r="AH183" s="20"/>
    </row>
    <row r="184" spans="2:34" x14ac:dyDescent="0.15">
      <c r="B184" s="20" t="s">
        <v>292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138">
        <f t="shared" ref="U184" si="540">V184+W184</f>
        <v>0</v>
      </c>
      <c r="V184" s="132">
        <f>PV($C$1, ($AE$3-$V$3), 0, -AE12)</f>
        <v>0</v>
      </c>
      <c r="W184" s="132">
        <f>PV($C$1, ($AE$3-$V$3), 0, -AH12)</f>
        <v>0</v>
      </c>
      <c r="X184" s="20"/>
      <c r="Y184" s="20"/>
      <c r="Z184" s="20"/>
      <c r="AA184" s="20"/>
      <c r="AB184" s="20"/>
      <c r="AC184" s="20"/>
      <c r="AD184" s="20"/>
      <c r="AE184" s="20"/>
      <c r="AF184" s="135"/>
      <c r="AG184" s="20"/>
      <c r="AH184" s="20"/>
    </row>
    <row r="185" spans="2:34" x14ac:dyDescent="0.15">
      <c r="B185" s="20" t="s">
        <v>293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138">
        <f>V185+W185</f>
        <v>0</v>
      </c>
      <c r="V185" s="138">
        <f>V184/R57</f>
        <v>0</v>
      </c>
      <c r="W185" s="138">
        <f>W184/R57</f>
        <v>0</v>
      </c>
      <c r="X185" s="20"/>
      <c r="Y185" s="20"/>
      <c r="Z185" s="20"/>
      <c r="AA185" s="20"/>
      <c r="AB185" s="20"/>
      <c r="AC185" s="20"/>
      <c r="AD185" s="20"/>
      <c r="AE185" s="20"/>
      <c r="AF185" s="135"/>
      <c r="AG185" s="20"/>
      <c r="AH185" s="20"/>
    </row>
    <row r="186" spans="2:34" x14ac:dyDescent="0.15"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138"/>
      <c r="V186" s="138"/>
      <c r="W186" s="138"/>
      <c r="X186" s="20"/>
      <c r="Y186" s="20"/>
      <c r="Z186" s="20"/>
      <c r="AA186" s="20"/>
      <c r="AB186" s="20"/>
      <c r="AC186" s="20"/>
      <c r="AD186" s="20"/>
      <c r="AE186" s="20"/>
      <c r="AF186" s="135"/>
      <c r="AG186" s="20"/>
      <c r="AH186" s="20"/>
    </row>
    <row r="187" spans="2:34" x14ac:dyDescent="0.15">
      <c r="B187" s="108" t="s">
        <v>296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138"/>
      <c r="V187" s="132"/>
      <c r="W187" s="132"/>
      <c r="X187" s="20"/>
      <c r="Y187" s="20"/>
      <c r="Z187" s="20"/>
      <c r="AA187" s="20"/>
      <c r="AB187" s="20"/>
      <c r="AC187" s="20"/>
      <c r="AD187" s="20"/>
      <c r="AE187" s="20"/>
      <c r="AF187" s="135"/>
      <c r="AG187" s="20"/>
      <c r="AH187" s="20"/>
    </row>
    <row r="188" spans="2:34" x14ac:dyDescent="0.15">
      <c r="B188" s="20" t="s">
        <v>282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138">
        <f t="shared" ref="U188" si="541">V188+W188</f>
        <v>4.7383424682515463</v>
      </c>
      <c r="V188" s="132">
        <f>PV($C$1, ($AE$3-$V$3), 0, -AE88)+PV($C$1, ($AD$3-$V$3), 0, -AE88)+PV($C$1, ($AC$3-$V$3), 0, -AE88)+PV($C$1, ($AB$3-$V$3), 0, -AE88)+PV($C$1, ($AA$3-$V$3), 0, -AE88)+PV($C$1, ($Z$3-$V$3), 0, -AE88)+PV($C$1, ($Y$3-$V$3), 0, -AE88)+PV($C$1, ($X$3-$V$3), 0, -AE88)+PV($C$1, ($W$3-$V$3), 0, -AE88)+PV($C$1, ($V$3-$V$3), 0, -AE88)</f>
        <v>3.8981768663637526</v>
      </c>
      <c r="W188" s="132">
        <f>PV($C$1, ($AE$3-$V$3), 0, -AH88)</f>
        <v>0.84016560188779377</v>
      </c>
      <c r="X188" s="20"/>
      <c r="Y188" s="20"/>
      <c r="Z188" s="20"/>
      <c r="AA188" s="20"/>
      <c r="AB188" s="20"/>
      <c r="AC188" s="20"/>
      <c r="AD188" s="20"/>
      <c r="AE188" s="20"/>
      <c r="AF188" s="135"/>
      <c r="AG188" s="20"/>
      <c r="AH188" s="20"/>
    </row>
    <row r="189" spans="2:34" x14ac:dyDescent="0.15">
      <c r="B189" s="23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138"/>
      <c r="V189" s="132"/>
      <c r="W189" s="132"/>
      <c r="X189" s="20"/>
      <c r="Y189" s="20"/>
      <c r="Z189" s="20"/>
      <c r="AA189" s="20"/>
      <c r="AB189" s="20"/>
      <c r="AC189" s="20"/>
      <c r="AD189" s="20"/>
      <c r="AE189" s="20"/>
      <c r="AF189" s="135"/>
      <c r="AG189" s="20"/>
      <c r="AH189" s="20"/>
    </row>
    <row r="190" spans="2:34" x14ac:dyDescent="0.15">
      <c r="B190" s="20" t="s">
        <v>289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138">
        <f t="shared" si="539"/>
        <v>-4155.9614863126335</v>
      </c>
      <c r="V190" s="132">
        <f>PV($C$1, ($AE$3-$V$3), 0, -AE90)+PV($C$1, ($AD$3-$V$3), 0, -AE90)+PV($C$1, ($AC$3-$V$3), 0, -AE90)+PV($C$1, ($AB$3-$V$3), 0, -AE90)+PV($C$1, ($AA$3-$V$3), 0, -AE90)+PV($C$1, ($Z$3-$V$3), 0, -AE90)+PV($C$1, ($Y$3-$V$3), 0, -AE90)+PV($C$1, ($X$3-$V$3), 0, -AE90)+PV($C$1, ($W$3-$V$3), 0, -AE90)+PV($C$1, ($V$3-$V$3), 0, -AE90)</f>
        <v>-3419.0590975625896</v>
      </c>
      <c r="W190" s="132">
        <f>PV($C$1, ($AE$3-$V$3), 0, -AH90)</f>
        <v>-736.902388750044</v>
      </c>
      <c r="X190" s="20"/>
      <c r="Y190" s="20"/>
      <c r="Z190" s="20"/>
      <c r="AA190" s="20"/>
      <c r="AB190" s="20"/>
      <c r="AC190" s="20"/>
      <c r="AD190" s="20"/>
      <c r="AE190" s="20"/>
      <c r="AF190" s="135"/>
      <c r="AG190" s="20"/>
      <c r="AH190" s="20"/>
    </row>
    <row r="191" spans="2:34" x14ac:dyDescent="0.15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138"/>
      <c r="V191" s="132"/>
      <c r="W191" s="132"/>
      <c r="X191" s="20"/>
      <c r="Y191" s="20"/>
      <c r="Z191" s="20"/>
      <c r="AA191" s="20"/>
      <c r="AB191" s="20"/>
      <c r="AC191" s="20"/>
      <c r="AD191" s="20"/>
      <c r="AE191" s="20"/>
      <c r="AF191" s="135"/>
      <c r="AG191" s="20"/>
      <c r="AH191" s="20"/>
    </row>
    <row r="192" spans="2:34" x14ac:dyDescent="0.15">
      <c r="B192" s="20" t="s">
        <v>456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138">
        <f t="shared" ref="U192:U195" si="542">V192+W192</f>
        <v>-13.909392343958341</v>
      </c>
      <c r="V192" s="132">
        <f>PV($C$1, ($AE$3-$V$3), 0, -AE92)+PV($C$1, ($AD$3-$V$3), 0, -AE92)+PV($C$1, ($AC$3-$V$3), 0, -AE92)+PV($C$1, ($AB$3-$V$3), 0, -AE92)+PV($C$1, ($AA$3-$V$3), 0, -AE92)+PV($C$1, ($Z$3-$V$3), 0, -AE92)+PV($C$1, ($Y$3-$V$3), 0, -AE92)+PV($C$1, ($X$3-$V$3), 0, -AE92)+PV($C$1, ($W$3-$V$3), 0, -AE92)+PV($C$1, ($V$3-$V$3), 0, -AE92)</f>
        <v>-11.443088342325582</v>
      </c>
      <c r="W192" s="132">
        <f>PV($C$1, ($AE$3-$V$3), 0, -AH92)</f>
        <v>-2.466304001632758</v>
      </c>
      <c r="X192" s="20"/>
      <c r="Y192" s="20"/>
      <c r="Z192" s="20"/>
      <c r="AA192" s="20"/>
      <c r="AB192" s="20"/>
      <c r="AC192" s="20"/>
      <c r="AD192" s="20"/>
      <c r="AE192" s="20"/>
      <c r="AF192" s="135"/>
      <c r="AG192" s="20"/>
      <c r="AH192" s="20"/>
    </row>
    <row r="193" spans="2:34" x14ac:dyDescent="0.15">
      <c r="B193" s="20" t="s">
        <v>286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138">
        <f t="shared" si="542"/>
        <v>370.89697063258922</v>
      </c>
      <c r="V193" s="132">
        <f>PV($C$1, ($AE$3-$V$3), 0, -AE93)+PV($C$1, ($AD$3-$V$3), 0, -AE93)+PV($C$1, ($AC$3-$V$3), 0, -AE93)+PV($C$1, ($AB$3-$V$3), 0, -AE93)+PV($C$1, ($AA$3-$V$3), 0, -AE93)+PV($C$1, ($Z$3-$V$3), 0, -AE93)+PV($C$1, ($Y$3-$V$3), 0, -AE93)+PV($C$1, ($X$3-$V$3), 0, -AE93)+PV($C$1, ($W$3-$V$3), 0, -AE93)+PV($C$1, ($V$3-$V$3), 0, -AE93)</f>
        <v>305.13243827600866</v>
      </c>
      <c r="W193" s="132">
        <f>PV($C$1, ($AE$3-$V$3), 0, -AH93)</f>
        <v>65.76453235658056</v>
      </c>
      <c r="X193" s="20"/>
      <c r="Y193" s="20"/>
      <c r="Z193" s="20"/>
      <c r="AA193" s="20"/>
      <c r="AB193" s="20"/>
      <c r="AC193" s="20"/>
      <c r="AD193" s="20"/>
      <c r="AE193" s="20"/>
      <c r="AF193" s="135"/>
      <c r="AG193" s="20"/>
      <c r="AH193" s="20"/>
    </row>
    <row r="194" spans="2:34" x14ac:dyDescent="0.15">
      <c r="B194" s="20" t="s">
        <v>287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138">
        <f t="shared" si="542"/>
        <v>-384.80636297654752</v>
      </c>
      <c r="V194" s="132">
        <f>PV($C$1, ($AE$3-$V$3), 0, -AE94)+PV($C$1, ($AD$3-$V$3), 0, -AE94)+PV($C$1, ($AC$3-$V$3), 0, -AE94)+PV($C$1, ($AB$3-$V$3), 0, -AE94)+PV($C$1, ($AA$3-$V$3), 0, -AE94)+PV($C$1, ($Z$3-$V$3), 0, -AE94)+PV($C$1, ($Y$3-$V$3), 0, -AE94)+PV($C$1, ($X$3-$V$3), 0, -AE94)+PV($C$1, ($W$3-$V$3), 0, -AE94)+PV($C$1, ($V$3-$V$3), 0, -AE94)</f>
        <v>-316.57552661833421</v>
      </c>
      <c r="W194" s="132">
        <f>PV($C$1, ($AE$3-$V$3), 0, -AH94)</f>
        <v>-68.230836358213324</v>
      </c>
      <c r="X194" s="20"/>
      <c r="Y194" s="20"/>
      <c r="Z194" s="20"/>
      <c r="AA194" s="20"/>
      <c r="AB194" s="20"/>
      <c r="AC194" s="20"/>
      <c r="AD194" s="20"/>
      <c r="AE194" s="20"/>
      <c r="AF194" s="135"/>
      <c r="AG194" s="20"/>
      <c r="AH194" s="20"/>
    </row>
    <row r="195" spans="2:34" x14ac:dyDescent="0.15">
      <c r="B195" s="20" t="s">
        <v>288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138">
        <f t="shared" si="542"/>
        <v>-88.475830431351383</v>
      </c>
      <c r="V195" s="132">
        <f>PV($C$1, ($AE$3-$V$3), 0, -AE95)+PV($C$1, ($AD$3-$V$3), 0, -AE95)+PV($C$1, ($AC$3-$V$3), 0, -AE95)+PV($C$1, ($AB$3-$V$3), 0, -AE95)+PV($C$1, ($AA$3-$V$3), 0, -AE95)+PV($C$1, ($Z$3-$V$3), 0, -AE95)+PV($C$1, ($Y$3-$V$3), 0, -AE95)+PV($C$1, ($X$3-$V$3), 0, -AE95)+PV($C$1, ($W$3-$V$3), 0, -AE95)+PV($C$1, ($V$3-$V$3), 0, -AE95)</f>
        <v>-72.78799236879189</v>
      </c>
      <c r="W195" s="132">
        <f>PV($C$1, ($AE$3-$V$3), 0, -AH95)</f>
        <v>-15.687838062559496</v>
      </c>
      <c r="X195" s="20"/>
      <c r="Y195" s="20"/>
      <c r="Z195" s="20"/>
      <c r="AA195" s="20"/>
      <c r="AB195" s="20"/>
      <c r="AC195" s="20"/>
      <c r="AD195" s="20"/>
      <c r="AE195" s="20"/>
      <c r="AF195" s="135"/>
      <c r="AG195" s="20"/>
      <c r="AH195" s="20"/>
    </row>
    <row r="196" spans="2:34" x14ac:dyDescent="0.15">
      <c r="B196" s="20" t="s">
        <v>454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110">
        <f>U193+U194+U195</f>
        <v>-102.38522277530969</v>
      </c>
      <c r="V196" s="110">
        <f t="shared" ref="V196:W196" si="543">V193+V194+V195</f>
        <v>-84.231080711117443</v>
      </c>
      <c r="W196" s="110">
        <f t="shared" si="543"/>
        <v>-18.154142064192261</v>
      </c>
      <c r="X196" s="20"/>
      <c r="Y196" s="20"/>
      <c r="Z196" s="20"/>
      <c r="AA196" s="20"/>
      <c r="AB196" s="20"/>
      <c r="AC196" s="20"/>
      <c r="AD196" s="20"/>
      <c r="AE196" s="20"/>
      <c r="AF196" s="135"/>
      <c r="AG196" s="20"/>
      <c r="AH196" s="20"/>
    </row>
    <row r="197" spans="2:34" x14ac:dyDescent="0.15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138"/>
      <c r="V197" s="132"/>
      <c r="W197" s="132"/>
      <c r="X197" s="20"/>
      <c r="Y197" s="20"/>
      <c r="Z197" s="20"/>
      <c r="AA197" s="20"/>
      <c r="AB197" s="20"/>
      <c r="AC197" s="20"/>
      <c r="AD197" s="20"/>
      <c r="AE197" s="20"/>
      <c r="AF197" s="135"/>
      <c r="AG197" s="20"/>
      <c r="AH197" s="20"/>
    </row>
    <row r="198" spans="2:34" x14ac:dyDescent="0.15">
      <c r="B198" s="20" t="s">
        <v>297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138">
        <f>V198+W198</f>
        <v>657.91425786922218</v>
      </c>
      <c r="V198" s="132">
        <f>PV($C$1, ($AE$3-$V$3), 0, -AE96)+PV($C$1, ($AD$3-$V$3), 0, -AE96)+PV($C$1, ($AC$3-$V$3), 0, -AE96)+PV($C$1, ($AB$3-$V$3), 0, -AE96)+PV($C$1, ($AA$3-$V$3), 0, -AE96)+PV($C$1, ($Z$3-$V$3), 0, -AE96)+PV($C$1, ($Y$3-$V$3), 0, -AE96)+PV($C$1, ($X$3-$V$3), 0, -AE96)+PV($C$1, ($W$3-$V$3), 0, -AE96)+PV($C$1, ($V$3-$V$3), 0, -AE96)</f>
        <v>541.25807859199404</v>
      </c>
      <c r="W198" s="132">
        <f>PV($C$1, ($AE$3-$V$3), 0, -AH96)</f>
        <v>116.65617927722815</v>
      </c>
      <c r="X198" s="20"/>
      <c r="Y198" s="20"/>
      <c r="Z198" s="20"/>
      <c r="AA198" s="20"/>
      <c r="AB198" s="20"/>
      <c r="AC198" s="20"/>
      <c r="AD198" s="20"/>
      <c r="AE198" s="20"/>
      <c r="AF198" s="135"/>
      <c r="AG198" s="20"/>
      <c r="AH198" s="20"/>
    </row>
    <row r="199" spans="2:34" x14ac:dyDescent="0.15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179">
        <v>41729</v>
      </c>
      <c r="R199" s="20">
        <v>720</v>
      </c>
      <c r="S199" s="20"/>
      <c r="T199" s="20"/>
      <c r="U199" s="20"/>
      <c r="V199" s="121"/>
      <c r="W199" s="20"/>
      <c r="X199" s="20"/>
      <c r="Y199" s="20"/>
      <c r="Z199" s="20"/>
      <c r="AA199" s="20"/>
      <c r="AB199" s="20"/>
      <c r="AC199" s="20"/>
      <c r="AD199" s="20"/>
      <c r="AE199" s="20"/>
      <c r="AF199" s="135"/>
      <c r="AG199" s="20"/>
      <c r="AH199" s="20"/>
    </row>
    <row r="200" spans="2:34" x14ac:dyDescent="0.15">
      <c r="B200" s="108" t="s">
        <v>251</v>
      </c>
      <c r="C200" s="20"/>
      <c r="D200" s="20"/>
      <c r="E200" s="20"/>
      <c r="F200" s="196" t="s">
        <v>467</v>
      </c>
      <c r="G200" s="191">
        <v>390</v>
      </c>
      <c r="H200" s="191">
        <v>0</v>
      </c>
      <c r="I200" s="191">
        <v>0</v>
      </c>
      <c r="J200" s="191">
        <v>0</v>
      </c>
      <c r="K200" s="191">
        <v>0</v>
      </c>
      <c r="L200" s="191">
        <v>0</v>
      </c>
      <c r="M200" s="191">
        <v>0</v>
      </c>
      <c r="N200" s="191">
        <v>0</v>
      </c>
      <c r="O200" s="191">
        <v>0</v>
      </c>
      <c r="P200" s="191">
        <v>0</v>
      </c>
      <c r="Q200" s="23" t="s">
        <v>386</v>
      </c>
      <c r="R200" s="20">
        <v>720</v>
      </c>
      <c r="S200" s="20"/>
      <c r="T200" s="20">
        <v>350</v>
      </c>
      <c r="U200" s="23" t="s">
        <v>387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135"/>
      <c r="AG200" s="20"/>
      <c r="AH200" s="20"/>
    </row>
    <row r="201" spans="2:34" x14ac:dyDescent="0.15">
      <c r="B201" s="20" t="s">
        <v>204</v>
      </c>
      <c r="C201" s="22">
        <v>0</v>
      </c>
      <c r="D201" s="22">
        <v>0</v>
      </c>
      <c r="E201" s="22">
        <v>0</v>
      </c>
      <c r="F201" s="22">
        <v>0</v>
      </c>
      <c r="G201" s="22">
        <v>1500</v>
      </c>
      <c r="H201" s="22">
        <v>300</v>
      </c>
      <c r="I201" s="22">
        <v>230</v>
      </c>
      <c r="J201" s="22">
        <v>420</v>
      </c>
      <c r="K201" s="22">
        <v>537</v>
      </c>
      <c r="L201" s="22">
        <v>230</v>
      </c>
      <c r="M201" s="22">
        <v>720</v>
      </c>
      <c r="N201" s="22">
        <v>465</v>
      </c>
      <c r="O201" s="22">
        <v>511</v>
      </c>
      <c r="P201" s="22">
        <v>620</v>
      </c>
      <c r="Q201" s="22">
        <v>1300</v>
      </c>
      <c r="R201" s="22">
        <v>700</v>
      </c>
      <c r="S201" s="22">
        <v>800</v>
      </c>
      <c r="T201" s="118">
        <f t="shared" ref="T201:T227" si="544">((S201/G201)^(1/($J$2-$J$1) ))-1</f>
        <v>-5.1035657606178897E-2</v>
      </c>
      <c r="U201" s="31">
        <v>0</v>
      </c>
      <c r="V201" s="192">
        <v>50</v>
      </c>
      <c r="W201" s="119">
        <f t="shared" ref="W201:AE201" si="545">V201*(1+$U201)</f>
        <v>50</v>
      </c>
      <c r="X201" s="119">
        <f t="shared" si="545"/>
        <v>50</v>
      </c>
      <c r="Y201" s="119">
        <f t="shared" si="545"/>
        <v>50</v>
      </c>
      <c r="Z201" s="119">
        <f t="shared" si="545"/>
        <v>50</v>
      </c>
      <c r="AA201" s="119">
        <f t="shared" si="545"/>
        <v>50</v>
      </c>
      <c r="AB201" s="119">
        <f t="shared" si="545"/>
        <v>50</v>
      </c>
      <c r="AC201" s="119">
        <f t="shared" si="545"/>
        <v>50</v>
      </c>
      <c r="AD201" s="119">
        <f t="shared" si="545"/>
        <v>50</v>
      </c>
      <c r="AE201" s="119">
        <f t="shared" si="545"/>
        <v>50</v>
      </c>
      <c r="AF201" s="136">
        <f t="shared" ref="AF201:AF208" si="546">((AE201/I201)^(1/($AE$3-$J$1) ))-1</f>
        <v>-7.0091744578495208E-2</v>
      </c>
      <c r="AG201" s="31">
        <f t="shared" ref="AG201:AG208" si="547">$N$1</f>
        <v>0.05</v>
      </c>
      <c r="AH201" s="127">
        <f t="shared" ref="AH201:AH212" si="548">(AE201*(1+AF201))/($C$1-AG201)</f>
        <v>273.50242806514848</v>
      </c>
    </row>
    <row r="202" spans="2:34" x14ac:dyDescent="0.15">
      <c r="B202" s="20" t="s">
        <v>357</v>
      </c>
      <c r="C202" s="25"/>
      <c r="D202" s="25"/>
      <c r="E202" s="25"/>
      <c r="F202" s="25"/>
      <c r="G202" s="25">
        <f t="shared" ref="G202:H202" si="549">G201/G66</f>
        <v>7.6675257731958766</v>
      </c>
      <c r="H202" s="25">
        <f t="shared" si="549"/>
        <v>2.1113013698630136</v>
      </c>
      <c r="I202" s="25">
        <f t="shared" ref="I202:S202" si="550">I201/I66</f>
        <v>2.3886394101876673</v>
      </c>
      <c r="J202" s="25">
        <f t="shared" si="550"/>
        <v>3.159446366782007</v>
      </c>
      <c r="K202" s="25">
        <f t="shared" si="550"/>
        <v>2.4104493942946466</v>
      </c>
      <c r="L202" s="25">
        <f t="shared" si="550"/>
        <v>1.1069210416376549</v>
      </c>
      <c r="M202" s="25">
        <f t="shared" si="550"/>
        <v>2.6906280193236718</v>
      </c>
      <c r="N202" s="25">
        <f t="shared" si="550"/>
        <v>3.0974918640390525</v>
      </c>
      <c r="O202" s="25">
        <f t="shared" si="550"/>
        <v>2.9085689618074233</v>
      </c>
      <c r="P202" s="25">
        <f t="shared" si="550"/>
        <v>2.9023774294670845</v>
      </c>
      <c r="Q202" s="25">
        <f t="shared" si="550"/>
        <v>5.7968496641186009</v>
      </c>
      <c r="R202" s="25">
        <f t="shared" si="550"/>
        <v>2.5168832378557124</v>
      </c>
      <c r="S202" s="25">
        <f t="shared" si="550"/>
        <v>5.2348744292237441</v>
      </c>
      <c r="T202" s="118">
        <f t="shared" si="544"/>
        <v>-3.1303823976130518E-2</v>
      </c>
      <c r="U202" s="128"/>
      <c r="V202" s="25">
        <f t="shared" ref="V202:AE202" si="551">V201/V66</f>
        <v>0.30673092358732873</v>
      </c>
      <c r="W202" s="25">
        <f t="shared" si="551"/>
        <v>0.28756024086312071</v>
      </c>
      <c r="X202" s="25">
        <f t="shared" si="551"/>
        <v>0.26958772580917562</v>
      </c>
      <c r="Y202" s="25">
        <f t="shared" si="551"/>
        <v>0.25273849294610212</v>
      </c>
      <c r="Z202" s="25">
        <f t="shared" si="551"/>
        <v>0.23694233713697074</v>
      </c>
      <c r="AA202" s="25">
        <f t="shared" si="551"/>
        <v>0.22213344106591007</v>
      </c>
      <c r="AB202" s="25">
        <f t="shared" si="551"/>
        <v>0.2082501009992907</v>
      </c>
      <c r="AC202" s="25">
        <f t="shared" si="551"/>
        <v>0.195234469686835</v>
      </c>
      <c r="AD202" s="25">
        <f t="shared" si="551"/>
        <v>0.18303231533140779</v>
      </c>
      <c r="AE202" s="25">
        <f t="shared" si="551"/>
        <v>0.17159279562319477</v>
      </c>
      <c r="AF202" s="136">
        <f t="shared" ref="AF202" si="552">((AE202/I202)^(1/($AE$3-$J$1) ))-1</f>
        <v>-0.11785413509730547</v>
      </c>
      <c r="AG202" s="31">
        <f t="shared" si="547"/>
        <v>0.05</v>
      </c>
      <c r="AH202" s="127">
        <f t="shared" ref="AH202" si="553">(AE202*(1+AF202))/($C$1-AG202)</f>
        <v>0.89041103003584976</v>
      </c>
    </row>
    <row r="203" spans="2:34" x14ac:dyDescent="0.15">
      <c r="B203" s="20" t="s">
        <v>385</v>
      </c>
      <c r="C203" s="25"/>
      <c r="D203" s="25"/>
      <c r="E203" s="25"/>
      <c r="F203" s="25"/>
      <c r="G203" s="25">
        <f t="shared" ref="G203:H203" si="554">G201/G72</f>
        <v>44.535928143712574</v>
      </c>
      <c r="H203" s="25">
        <f t="shared" si="554"/>
        <v>19.067010309278349</v>
      </c>
      <c r="I203" s="25">
        <f t="shared" ref="I203:S203" si="555">I201/I72</f>
        <v>13.473913043478259</v>
      </c>
      <c r="J203" s="25">
        <f t="shared" si="555"/>
        <v>26.137786259541983</v>
      </c>
      <c r="K203" s="25">
        <f t="shared" si="555"/>
        <v>19.316304801670146</v>
      </c>
      <c r="L203" s="25">
        <f t="shared" si="555"/>
        <v>12.191411042944786</v>
      </c>
      <c r="M203" s="25">
        <f t="shared" si="555"/>
        <v>18.887113790504898</v>
      </c>
      <c r="N203" s="25">
        <f t="shared" si="555"/>
        <v>21.838403441682601</v>
      </c>
      <c r="O203" s="25">
        <f t="shared" si="555"/>
        <v>20.459031297297297</v>
      </c>
      <c r="P203" s="25">
        <f t="shared" si="555"/>
        <v>21.004047186932848</v>
      </c>
      <c r="Q203" s="25">
        <f t="shared" si="555"/>
        <v>39.864595778574277</v>
      </c>
      <c r="R203" s="25">
        <f t="shared" si="555"/>
        <v>17.631321370309951</v>
      </c>
      <c r="S203" s="25">
        <f t="shared" si="555"/>
        <v>42.770037889828039</v>
      </c>
      <c r="T203" s="118">
        <f t="shared" si="544"/>
        <v>-3.3658585305113009E-3</v>
      </c>
      <c r="U203" s="128"/>
      <c r="V203" s="119">
        <f t="shared" ref="V203:AE203" si="556">V201/V72</f>
        <v>2.5060569076071113</v>
      </c>
      <c r="W203" s="119">
        <f t="shared" si="556"/>
        <v>2.3494283508816673</v>
      </c>
      <c r="X203" s="119">
        <f t="shared" si="556"/>
        <v>2.2025890789515628</v>
      </c>
      <c r="Y203" s="119">
        <f t="shared" si="556"/>
        <v>2.0649272615170897</v>
      </c>
      <c r="Z203" s="119">
        <f t="shared" si="556"/>
        <v>1.9358693076722719</v>
      </c>
      <c r="AA203" s="119">
        <f t="shared" si="556"/>
        <v>1.8148774759427548</v>
      </c>
      <c r="AB203" s="119">
        <f t="shared" si="556"/>
        <v>1.7014476336963325</v>
      </c>
      <c r="AC203" s="119">
        <f t="shared" si="556"/>
        <v>1.5951071565903119</v>
      </c>
      <c r="AD203" s="119">
        <f t="shared" si="556"/>
        <v>1.4954129593034169</v>
      </c>
      <c r="AE203" s="119">
        <f t="shared" si="556"/>
        <v>1.4019496493469532</v>
      </c>
      <c r="AF203" s="136">
        <f t="shared" si="546"/>
        <v>-0.10215402158793152</v>
      </c>
      <c r="AG203" s="31">
        <f t="shared" si="547"/>
        <v>0.05</v>
      </c>
      <c r="AH203" s="127">
        <f t="shared" si="548"/>
        <v>7.4043226741315982</v>
      </c>
    </row>
    <row r="204" spans="2:34" x14ac:dyDescent="0.15">
      <c r="B204" s="20" t="s">
        <v>459</v>
      </c>
      <c r="C204" s="25"/>
      <c r="D204" s="25"/>
      <c r="E204" s="25"/>
      <c r="F204" s="25"/>
      <c r="G204" s="25" t="e">
        <f t="shared" ref="G204:H204" si="557">G201/G70</f>
        <v>#DIV/0!</v>
      </c>
      <c r="H204" s="25" t="e">
        <f t="shared" si="557"/>
        <v>#DIV/0!</v>
      </c>
      <c r="I204" s="25" t="e">
        <f t="shared" ref="I204:S204" si="558">I201/I70</f>
        <v>#DIV/0!</v>
      </c>
      <c r="J204" s="25" t="e">
        <f t="shared" si="558"/>
        <v>#DIV/0!</v>
      </c>
      <c r="K204" s="25" t="e">
        <f t="shared" si="558"/>
        <v>#DIV/0!</v>
      </c>
      <c r="L204" s="25" t="e">
        <f t="shared" si="558"/>
        <v>#DIV/0!</v>
      </c>
      <c r="M204" s="25" t="e">
        <f t="shared" si="558"/>
        <v>#DIV/0!</v>
      </c>
      <c r="N204" s="25" t="e">
        <f t="shared" si="558"/>
        <v>#DIV/0!</v>
      </c>
      <c r="O204" s="25" t="e">
        <f t="shared" si="558"/>
        <v>#DIV/0!</v>
      </c>
      <c r="P204" s="25" t="e">
        <f t="shared" si="558"/>
        <v>#DIV/0!</v>
      </c>
      <c r="Q204" s="25" t="e">
        <f t="shared" si="558"/>
        <v>#DIV/0!</v>
      </c>
      <c r="R204" s="25" t="e">
        <f t="shared" si="558"/>
        <v>#DIV/0!</v>
      </c>
      <c r="S204" s="25" t="e">
        <f t="shared" si="558"/>
        <v>#DIV/0!</v>
      </c>
      <c r="T204" s="118" t="e">
        <f t="shared" si="544"/>
        <v>#DIV/0!</v>
      </c>
      <c r="U204" s="128"/>
      <c r="V204" s="25" t="e">
        <f t="shared" ref="V204:AE204" si="559">V201/V70</f>
        <v>#DIV/0!</v>
      </c>
      <c r="W204" s="25" t="e">
        <f t="shared" si="559"/>
        <v>#DIV/0!</v>
      </c>
      <c r="X204" s="25" t="e">
        <f t="shared" si="559"/>
        <v>#DIV/0!</v>
      </c>
      <c r="Y204" s="25" t="e">
        <f t="shared" si="559"/>
        <v>#DIV/0!</v>
      </c>
      <c r="Z204" s="25" t="e">
        <f t="shared" si="559"/>
        <v>#DIV/0!</v>
      </c>
      <c r="AA204" s="25" t="e">
        <f t="shared" si="559"/>
        <v>#DIV/0!</v>
      </c>
      <c r="AB204" s="25" t="e">
        <f t="shared" si="559"/>
        <v>#DIV/0!</v>
      </c>
      <c r="AC204" s="25" t="e">
        <f t="shared" si="559"/>
        <v>#DIV/0!</v>
      </c>
      <c r="AD204" s="25" t="e">
        <f t="shared" si="559"/>
        <v>#DIV/0!</v>
      </c>
      <c r="AE204" s="25" t="e">
        <f t="shared" si="559"/>
        <v>#DIV/0!</v>
      </c>
      <c r="AF204" s="136" t="e">
        <f t="shared" ref="AF204:AF205" si="560">((AE204/I204)^(1/($AE$3-$J$1) ))-1</f>
        <v>#DIV/0!</v>
      </c>
      <c r="AG204" s="31">
        <f t="shared" si="547"/>
        <v>0.05</v>
      </c>
      <c r="AH204" s="127" t="e">
        <f t="shared" ref="AH204:AH205" si="561">(AE204*(1+AF204))/($C$1-AG204)</f>
        <v>#DIV/0!</v>
      </c>
    </row>
    <row r="205" spans="2:34" x14ac:dyDescent="0.15">
      <c r="B205" s="20" t="s">
        <v>460</v>
      </c>
      <c r="C205" s="25"/>
      <c r="D205" s="25"/>
      <c r="E205" s="25"/>
      <c r="F205" s="25"/>
      <c r="G205" s="25" t="e">
        <f t="shared" ref="G205:H205" si="562">G201/G71</f>
        <v>#DIV/0!</v>
      </c>
      <c r="H205" s="25" t="e">
        <f t="shared" si="562"/>
        <v>#DIV/0!</v>
      </c>
      <c r="I205" s="25" t="e">
        <f t="shared" ref="I205:S205" si="563">I201/I71</f>
        <v>#DIV/0!</v>
      </c>
      <c r="J205" s="25" t="e">
        <f t="shared" si="563"/>
        <v>#DIV/0!</v>
      </c>
      <c r="K205" s="25" t="e">
        <f t="shared" si="563"/>
        <v>#DIV/0!</v>
      </c>
      <c r="L205" s="25" t="e">
        <f t="shared" si="563"/>
        <v>#DIV/0!</v>
      </c>
      <c r="M205" s="25" t="e">
        <f t="shared" si="563"/>
        <v>#DIV/0!</v>
      </c>
      <c r="N205" s="25" t="e">
        <f t="shared" si="563"/>
        <v>#DIV/0!</v>
      </c>
      <c r="O205" s="25" t="e">
        <f t="shared" si="563"/>
        <v>#DIV/0!</v>
      </c>
      <c r="P205" s="25" t="e">
        <f t="shared" si="563"/>
        <v>#DIV/0!</v>
      </c>
      <c r="Q205" s="25" t="e">
        <f t="shared" si="563"/>
        <v>#DIV/0!</v>
      </c>
      <c r="R205" s="25" t="e">
        <f t="shared" si="563"/>
        <v>#DIV/0!</v>
      </c>
      <c r="S205" s="25" t="e">
        <f t="shared" si="563"/>
        <v>#DIV/0!</v>
      </c>
      <c r="T205" s="118" t="e">
        <f t="shared" si="544"/>
        <v>#DIV/0!</v>
      </c>
      <c r="U205" s="128"/>
      <c r="V205" s="25" t="e">
        <f t="shared" ref="V205:AE205" si="564">V201/V71</f>
        <v>#DIV/0!</v>
      </c>
      <c r="W205" s="25" t="e">
        <f t="shared" si="564"/>
        <v>#DIV/0!</v>
      </c>
      <c r="X205" s="25" t="e">
        <f t="shared" si="564"/>
        <v>#DIV/0!</v>
      </c>
      <c r="Y205" s="25" t="e">
        <f t="shared" si="564"/>
        <v>#DIV/0!</v>
      </c>
      <c r="Z205" s="25" t="e">
        <f t="shared" si="564"/>
        <v>#DIV/0!</v>
      </c>
      <c r="AA205" s="25" t="e">
        <f t="shared" si="564"/>
        <v>#DIV/0!</v>
      </c>
      <c r="AB205" s="25" t="e">
        <f t="shared" si="564"/>
        <v>#DIV/0!</v>
      </c>
      <c r="AC205" s="25" t="e">
        <f t="shared" si="564"/>
        <v>#DIV/0!</v>
      </c>
      <c r="AD205" s="25" t="e">
        <f t="shared" si="564"/>
        <v>#DIV/0!</v>
      </c>
      <c r="AE205" s="25" t="e">
        <f t="shared" si="564"/>
        <v>#DIV/0!</v>
      </c>
      <c r="AF205" s="136" t="e">
        <f t="shared" si="560"/>
        <v>#DIV/0!</v>
      </c>
      <c r="AG205" s="31">
        <f t="shared" si="547"/>
        <v>0.05</v>
      </c>
      <c r="AH205" s="127" t="e">
        <f t="shared" si="561"/>
        <v>#DIV/0!</v>
      </c>
    </row>
    <row r="206" spans="2:34" x14ac:dyDescent="0.15">
      <c r="B206" s="20" t="s">
        <v>258</v>
      </c>
      <c r="C206" s="25"/>
      <c r="D206" s="25"/>
      <c r="E206" s="25"/>
      <c r="F206" s="25"/>
      <c r="G206" s="25">
        <f t="shared" ref="G206:H206" si="565">G201/G75</f>
        <v>7.5892857142857153</v>
      </c>
      <c r="H206" s="25">
        <f t="shared" si="565"/>
        <v>2.7542814594192109</v>
      </c>
      <c r="I206" s="25">
        <f t="shared" ref="I206:S206" si="566">I201/I75</f>
        <v>3.6571062083119545</v>
      </c>
      <c r="J206" s="25">
        <f t="shared" si="566"/>
        <v>4.6665076660988074</v>
      </c>
      <c r="K206" s="25">
        <f t="shared" si="566"/>
        <v>3.3774447891951085</v>
      </c>
      <c r="L206" s="25">
        <f t="shared" si="566"/>
        <v>1.268155711550734</v>
      </c>
      <c r="M206" s="25">
        <f t="shared" si="566"/>
        <v>3.2904293028751477</v>
      </c>
      <c r="N206" s="25">
        <f t="shared" si="566"/>
        <v>3.2343265055691899</v>
      </c>
      <c r="O206" s="25">
        <f t="shared" si="566"/>
        <v>3.020686983240223</v>
      </c>
      <c r="P206" s="25">
        <f t="shared" si="566"/>
        <v>3.1119198709330465</v>
      </c>
      <c r="Q206" s="25">
        <f t="shared" si="566"/>
        <v>5.3558052434456931</v>
      </c>
      <c r="R206" s="25">
        <f t="shared" si="566"/>
        <v>2.4843692534019861</v>
      </c>
      <c r="S206" s="25">
        <f t="shared" si="566"/>
        <v>4.5231328792035264</v>
      </c>
      <c r="T206" s="118">
        <f t="shared" si="544"/>
        <v>-4.2210944134353001E-2</v>
      </c>
      <c r="U206" s="128"/>
      <c r="V206" s="119">
        <f t="shared" ref="V206:AE206" si="567">V201/V75</f>
        <v>0.26502731714083161</v>
      </c>
      <c r="W206" s="119">
        <f t="shared" si="567"/>
        <v>0.24846310981952963</v>
      </c>
      <c r="X206" s="119">
        <f t="shared" si="567"/>
        <v>0.232934165455809</v>
      </c>
      <c r="Y206" s="119">
        <f t="shared" si="567"/>
        <v>0.21837578011482092</v>
      </c>
      <c r="Z206" s="119">
        <f t="shared" si="567"/>
        <v>0.20472729385764463</v>
      </c>
      <c r="AA206" s="119">
        <f t="shared" si="567"/>
        <v>0.19193183799154184</v>
      </c>
      <c r="AB206" s="119">
        <f t="shared" si="567"/>
        <v>0.17993609811707045</v>
      </c>
      <c r="AC206" s="119">
        <f t="shared" si="567"/>
        <v>0.16869009198475357</v>
      </c>
      <c r="AD206" s="119">
        <f t="shared" si="567"/>
        <v>0.15814696123570643</v>
      </c>
      <c r="AE206" s="119">
        <f t="shared" si="567"/>
        <v>0.14826277615847475</v>
      </c>
      <c r="AF206" s="136">
        <f t="shared" si="546"/>
        <v>-0.14156134681796029</v>
      </c>
      <c r="AG206" s="31">
        <f t="shared" si="547"/>
        <v>0.05</v>
      </c>
      <c r="AH206" s="127">
        <f t="shared" si="548"/>
        <v>0.74867351695594886</v>
      </c>
    </row>
    <row r="207" spans="2:34" x14ac:dyDescent="0.15">
      <c r="B207" s="20" t="s">
        <v>259</v>
      </c>
      <c r="C207" s="25"/>
      <c r="D207" s="25"/>
      <c r="E207" s="25"/>
      <c r="F207" s="25"/>
      <c r="G207" s="25" t="e">
        <f t="shared" ref="G207:H207" si="568">G201/G84</f>
        <v>#DIV/0!</v>
      </c>
      <c r="H207" s="25" t="e">
        <f t="shared" si="568"/>
        <v>#DIV/0!</v>
      </c>
      <c r="I207" s="25" t="e">
        <f t="shared" ref="I207:S207" si="569">I201/I84</f>
        <v>#DIV/0!</v>
      </c>
      <c r="J207" s="25" t="e">
        <f t="shared" si="569"/>
        <v>#DIV/0!</v>
      </c>
      <c r="K207" s="25" t="e">
        <f t="shared" si="569"/>
        <v>#DIV/0!</v>
      </c>
      <c r="L207" s="25" t="e">
        <f t="shared" si="569"/>
        <v>#DIV/0!</v>
      </c>
      <c r="M207" s="25" t="e">
        <f t="shared" si="569"/>
        <v>#DIV/0!</v>
      </c>
      <c r="N207" s="25" t="e">
        <f t="shared" si="569"/>
        <v>#DIV/0!</v>
      </c>
      <c r="O207" s="25" t="e">
        <f t="shared" si="569"/>
        <v>#DIV/0!</v>
      </c>
      <c r="P207" s="25" t="e">
        <f t="shared" si="569"/>
        <v>#DIV/0!</v>
      </c>
      <c r="Q207" s="25" t="e">
        <f t="shared" si="569"/>
        <v>#DIV/0!</v>
      </c>
      <c r="R207" s="25" t="e">
        <f t="shared" si="569"/>
        <v>#DIV/0!</v>
      </c>
      <c r="S207" s="25" t="e">
        <f t="shared" si="569"/>
        <v>#DIV/0!</v>
      </c>
      <c r="T207" s="118" t="e">
        <f t="shared" si="544"/>
        <v>#DIV/0!</v>
      </c>
      <c r="U207" s="128"/>
      <c r="V207" s="119" t="e">
        <f t="shared" ref="V207:AE207" si="570">V201/V84</f>
        <v>#DIV/0!</v>
      </c>
      <c r="W207" s="119" t="e">
        <f t="shared" si="570"/>
        <v>#DIV/0!</v>
      </c>
      <c r="X207" s="119" t="e">
        <f t="shared" si="570"/>
        <v>#DIV/0!</v>
      </c>
      <c r="Y207" s="119" t="e">
        <f t="shared" si="570"/>
        <v>#DIV/0!</v>
      </c>
      <c r="Z207" s="119" t="e">
        <f t="shared" si="570"/>
        <v>#DIV/0!</v>
      </c>
      <c r="AA207" s="119" t="e">
        <f t="shared" si="570"/>
        <v>#DIV/0!</v>
      </c>
      <c r="AB207" s="119" t="e">
        <f t="shared" si="570"/>
        <v>#DIV/0!</v>
      </c>
      <c r="AC207" s="119" t="e">
        <f t="shared" si="570"/>
        <v>#DIV/0!</v>
      </c>
      <c r="AD207" s="119" t="e">
        <f t="shared" si="570"/>
        <v>#DIV/0!</v>
      </c>
      <c r="AE207" s="119" t="e">
        <f t="shared" si="570"/>
        <v>#DIV/0!</v>
      </c>
      <c r="AF207" s="136" t="e">
        <f t="shared" si="546"/>
        <v>#DIV/0!</v>
      </c>
      <c r="AG207" s="31">
        <f t="shared" si="547"/>
        <v>0.05</v>
      </c>
      <c r="AH207" s="127" t="e">
        <f t="shared" si="548"/>
        <v>#DIV/0!</v>
      </c>
    </row>
    <row r="208" spans="2:34" x14ac:dyDescent="0.15">
      <c r="B208" s="20" t="s">
        <v>260</v>
      </c>
      <c r="C208" s="25"/>
      <c r="D208" s="25"/>
      <c r="E208" s="25"/>
      <c r="F208" s="25"/>
      <c r="G208" s="25" t="e">
        <f t="shared" ref="G208:H208" si="571">G201/G86</f>
        <v>#DIV/0!</v>
      </c>
      <c r="H208" s="25" t="e">
        <f t="shared" si="571"/>
        <v>#DIV/0!</v>
      </c>
      <c r="I208" s="25" t="e">
        <f t="shared" ref="I208:S208" si="572">I201/I86</f>
        <v>#DIV/0!</v>
      </c>
      <c r="J208" s="25" t="e">
        <f t="shared" si="572"/>
        <v>#DIV/0!</v>
      </c>
      <c r="K208" s="25" t="e">
        <f t="shared" si="572"/>
        <v>#DIV/0!</v>
      </c>
      <c r="L208" s="25" t="e">
        <f t="shared" si="572"/>
        <v>#DIV/0!</v>
      </c>
      <c r="M208" s="25" t="e">
        <f t="shared" si="572"/>
        <v>#DIV/0!</v>
      </c>
      <c r="N208" s="25" t="e">
        <f t="shared" si="572"/>
        <v>#DIV/0!</v>
      </c>
      <c r="O208" s="25" t="e">
        <f t="shared" si="572"/>
        <v>#DIV/0!</v>
      </c>
      <c r="P208" s="25" t="e">
        <f t="shared" si="572"/>
        <v>#DIV/0!</v>
      </c>
      <c r="Q208" s="25" t="e">
        <f t="shared" si="572"/>
        <v>#DIV/0!</v>
      </c>
      <c r="R208" s="25" t="e">
        <f t="shared" si="572"/>
        <v>#DIV/0!</v>
      </c>
      <c r="S208" s="25" t="e">
        <f t="shared" si="572"/>
        <v>#DIV/0!</v>
      </c>
      <c r="T208" s="118" t="e">
        <f t="shared" si="544"/>
        <v>#DIV/0!</v>
      </c>
      <c r="U208" s="128"/>
      <c r="V208" s="119" t="e">
        <f t="shared" ref="V208:AE208" si="573">V201/V86</f>
        <v>#DIV/0!</v>
      </c>
      <c r="W208" s="119" t="e">
        <f t="shared" si="573"/>
        <v>#DIV/0!</v>
      </c>
      <c r="X208" s="119" t="e">
        <f t="shared" si="573"/>
        <v>#DIV/0!</v>
      </c>
      <c r="Y208" s="119" t="e">
        <f t="shared" si="573"/>
        <v>#DIV/0!</v>
      </c>
      <c r="Z208" s="119" t="e">
        <f t="shared" si="573"/>
        <v>#DIV/0!</v>
      </c>
      <c r="AA208" s="119" t="e">
        <f t="shared" si="573"/>
        <v>#DIV/0!</v>
      </c>
      <c r="AB208" s="119" t="e">
        <f t="shared" si="573"/>
        <v>#DIV/0!</v>
      </c>
      <c r="AC208" s="119" t="e">
        <f t="shared" si="573"/>
        <v>#DIV/0!</v>
      </c>
      <c r="AD208" s="119" t="e">
        <f t="shared" si="573"/>
        <v>#DIV/0!</v>
      </c>
      <c r="AE208" s="119" t="e">
        <f t="shared" si="573"/>
        <v>#DIV/0!</v>
      </c>
      <c r="AF208" s="136" t="e">
        <f t="shared" si="546"/>
        <v>#DIV/0!</v>
      </c>
      <c r="AG208" s="31">
        <f t="shared" si="547"/>
        <v>0.05</v>
      </c>
      <c r="AH208" s="127" t="e">
        <f t="shared" si="548"/>
        <v>#DIV/0!</v>
      </c>
    </row>
    <row r="209" spans="2:34" x14ac:dyDescent="0.15">
      <c r="B209" s="20" t="s">
        <v>281</v>
      </c>
      <c r="C209" s="25"/>
      <c r="D209" s="25"/>
      <c r="E209" s="25"/>
      <c r="F209" s="25"/>
      <c r="G209" s="178">
        <f t="shared" ref="G209:H209" si="574">G201/G80</f>
        <v>-1.4659986859395533</v>
      </c>
      <c r="H209" s="178">
        <f t="shared" si="574"/>
        <v>-0.60798816568047342</v>
      </c>
      <c r="I209" s="178">
        <f t="shared" ref="I209:S209" si="575">I201/I80</f>
        <v>-0.77847313237221483</v>
      </c>
      <c r="J209" s="178">
        <f t="shared" si="575"/>
        <v>-0.83589868782422938</v>
      </c>
      <c r="K209" s="178">
        <f t="shared" si="575"/>
        <v>-0.89908755223010395</v>
      </c>
      <c r="L209" s="178">
        <f t="shared" si="575"/>
        <v>-0.43512152397635212</v>
      </c>
      <c r="M209" s="178">
        <f t="shared" si="575"/>
        <v>-0.90353653700565995</v>
      </c>
      <c r="N209" s="178">
        <f t="shared" si="575"/>
        <v>-0.892605699846302</v>
      </c>
      <c r="O209" s="178">
        <f t="shared" si="575"/>
        <v>-0.71792882966616078</v>
      </c>
      <c r="P209" s="178">
        <f t="shared" si="575"/>
        <v>-0.64932420680562175</v>
      </c>
      <c r="Q209" s="178">
        <f t="shared" si="575"/>
        <v>-1.5095307033417782</v>
      </c>
      <c r="R209" s="178">
        <f t="shared" si="575"/>
        <v>-0.65808541471315329</v>
      </c>
      <c r="S209" s="178">
        <f t="shared" si="575"/>
        <v>-1.0029388848640595</v>
      </c>
      <c r="T209" s="118">
        <f t="shared" si="544"/>
        <v>-3.1138405887998433E-2</v>
      </c>
      <c r="U209" s="128"/>
      <c r="V209" s="133">
        <f t="shared" ref="V209:AE209" si="576">V201/V80</f>
        <v>-5.8765950285003483E-2</v>
      </c>
      <c r="W209" s="133">
        <f t="shared" si="576"/>
        <v>-5.5093078392190756E-2</v>
      </c>
      <c r="X209" s="133">
        <f t="shared" si="576"/>
        <v>-5.1649760992678831E-2</v>
      </c>
      <c r="Y209" s="133">
        <f t="shared" si="576"/>
        <v>-4.8421650930636398E-2</v>
      </c>
      <c r="Z209" s="133">
        <f t="shared" si="576"/>
        <v>-4.5395297747471614E-2</v>
      </c>
      <c r="AA209" s="133">
        <f t="shared" si="576"/>
        <v>-4.2558091638254636E-2</v>
      </c>
      <c r="AB209" s="133">
        <f t="shared" si="576"/>
        <v>-3.9898210910863728E-2</v>
      </c>
      <c r="AC209" s="133">
        <f t="shared" si="576"/>
        <v>-3.7404572728934743E-2</v>
      </c>
      <c r="AD209" s="133">
        <f t="shared" si="576"/>
        <v>-3.5066786933376316E-2</v>
      </c>
      <c r="AE209" s="133">
        <f t="shared" si="576"/>
        <v>-3.2875112750040285E-2</v>
      </c>
      <c r="AF209" s="136">
        <f t="shared" ref="AF209" si="577">((AE209/I209)^(1/($AE$3-$J$1) ))-1</f>
        <v>-0.13989097269373019</v>
      </c>
      <c r="AG209" s="31">
        <f t="shared" ref="AG209:AG212" si="578">$N$1</f>
        <v>0.05</v>
      </c>
      <c r="AH209" s="127">
        <f t="shared" si="548"/>
        <v>-0.1663304779413006</v>
      </c>
    </row>
    <row r="210" spans="2:34" x14ac:dyDescent="0.15">
      <c r="B210" s="20"/>
      <c r="C210" s="25"/>
      <c r="D210" s="25"/>
      <c r="E210" s="25"/>
      <c r="F210" s="25"/>
      <c r="G210" s="178"/>
      <c r="H210" s="178"/>
      <c r="I210" s="178"/>
      <c r="J210" s="178"/>
      <c r="K210" s="178"/>
      <c r="L210" s="178"/>
      <c r="M210" s="178"/>
      <c r="N210" s="178"/>
      <c r="O210" s="178"/>
      <c r="P210" s="178"/>
      <c r="Q210" s="178"/>
      <c r="R210" s="178"/>
      <c r="S210" s="178"/>
      <c r="T210" s="178"/>
      <c r="U210" s="128"/>
      <c r="V210" s="133"/>
      <c r="W210" s="133"/>
      <c r="X210" s="133"/>
      <c r="Y210" s="133"/>
      <c r="Z210" s="133"/>
      <c r="AA210" s="133"/>
      <c r="AB210" s="133"/>
      <c r="AC210" s="133"/>
      <c r="AD210" s="133"/>
      <c r="AE210" s="133"/>
      <c r="AF210" s="136"/>
      <c r="AG210" s="31">
        <f t="shared" si="578"/>
        <v>0.05</v>
      </c>
      <c r="AH210" s="127"/>
    </row>
    <row r="211" spans="2:34" x14ac:dyDescent="0.15">
      <c r="B211" s="20" t="s">
        <v>316</v>
      </c>
      <c r="C211" s="149"/>
      <c r="D211" s="149"/>
      <c r="E211" s="149"/>
      <c r="F211" s="149"/>
      <c r="G211" s="149">
        <f t="shared" ref="G211:H211" si="579">G59/G201</f>
        <v>1.5999999999999999E-3</v>
      </c>
      <c r="H211" s="149">
        <f t="shared" si="579"/>
        <v>4.1666666666666666E-3</v>
      </c>
      <c r="I211" s="149">
        <f t="shared" ref="I211:S211" si="580">I59/I201</f>
        <v>2.6086956521739128E-3</v>
      </c>
      <c r="J211" s="149">
        <f t="shared" si="580"/>
        <v>1.6666666666666666E-3</v>
      </c>
      <c r="K211" s="149">
        <f t="shared" si="580"/>
        <v>1.3966480446927375E-3</v>
      </c>
      <c r="L211" s="149">
        <f t="shared" si="580"/>
        <v>3.2608695652173911E-3</v>
      </c>
      <c r="M211" s="149">
        <f t="shared" si="580"/>
        <v>1.1805555555555556E-3</v>
      </c>
      <c r="N211" s="149">
        <f t="shared" si="580"/>
        <v>1.0752688172043011E-3</v>
      </c>
      <c r="O211" s="149">
        <f t="shared" si="580"/>
        <v>1.1741682974559687E-3</v>
      </c>
      <c r="P211" s="149">
        <f t="shared" si="580"/>
        <v>1.129032258064516E-3</v>
      </c>
      <c r="Q211" s="149">
        <f t="shared" si="580"/>
        <v>6.1538461538461541E-4</v>
      </c>
      <c r="R211" s="149">
        <f t="shared" si="580"/>
        <v>1.2857142857142856E-3</v>
      </c>
      <c r="S211" s="149">
        <f t="shared" si="580"/>
        <v>6.2500000000000001E-4</v>
      </c>
      <c r="T211" s="118">
        <f t="shared" si="544"/>
        <v>-7.5344402851338144E-2</v>
      </c>
      <c r="U211" s="128"/>
      <c r="V211" s="149">
        <f t="shared" ref="V211:AE211" si="581">V59/V201</f>
        <v>1.0500000000000001E-2</v>
      </c>
      <c r="W211" s="149">
        <f t="shared" si="581"/>
        <v>1.1025E-2</v>
      </c>
      <c r="X211" s="149">
        <f t="shared" si="581"/>
        <v>1.1576250000000001E-2</v>
      </c>
      <c r="Y211" s="149">
        <f t="shared" si="581"/>
        <v>1.2155062500000003E-2</v>
      </c>
      <c r="Z211" s="149">
        <f t="shared" si="581"/>
        <v>1.2762815625000003E-2</v>
      </c>
      <c r="AA211" s="149">
        <f t="shared" si="581"/>
        <v>1.3400956406250004E-2</v>
      </c>
      <c r="AB211" s="149">
        <f t="shared" si="581"/>
        <v>1.4071004226562505E-2</v>
      </c>
      <c r="AC211" s="149">
        <f t="shared" si="581"/>
        <v>1.4774554437890631E-2</v>
      </c>
      <c r="AD211" s="149">
        <f t="shared" si="581"/>
        <v>1.5513282159785162E-2</v>
      </c>
      <c r="AE211" s="149">
        <f t="shared" si="581"/>
        <v>1.6288946267774419E-2</v>
      </c>
      <c r="AF211" s="136">
        <f t="shared" ref="AF211:AF216" si="582">((AE211/I211)^(1/($AE$3-$J$1) ))-1</f>
        <v>9.1137554912628982E-2</v>
      </c>
      <c r="AG211" s="31">
        <f t="shared" si="578"/>
        <v>0.05</v>
      </c>
      <c r="AH211" s="127">
        <f t="shared" si="548"/>
        <v>0.10454988825130926</v>
      </c>
    </row>
    <row r="212" spans="2:34" x14ac:dyDescent="0.15">
      <c r="B212" s="20" t="s">
        <v>153</v>
      </c>
      <c r="C212" s="149"/>
      <c r="D212" s="149"/>
      <c r="E212" s="149"/>
      <c r="F212" s="149"/>
      <c r="G212" s="127">
        <f t="shared" ref="G212:H212" si="583">G201*G57</f>
        <v>8925</v>
      </c>
      <c r="H212" s="127">
        <f t="shared" si="583"/>
        <v>3699</v>
      </c>
      <c r="I212" s="127">
        <f t="shared" ref="I212:S212" si="584">I201*I57</f>
        <v>7127.7</v>
      </c>
      <c r="J212" s="127">
        <f t="shared" si="584"/>
        <v>13696.199999999999</v>
      </c>
      <c r="K212" s="127">
        <f t="shared" si="584"/>
        <v>18505.02</v>
      </c>
      <c r="L212" s="127">
        <f t="shared" si="584"/>
        <v>7948.8</v>
      </c>
      <c r="M212" s="127">
        <f t="shared" si="584"/>
        <v>25063.200000000001</v>
      </c>
      <c r="N212" s="127">
        <f t="shared" si="584"/>
        <v>34264.455000000002</v>
      </c>
      <c r="O212" s="127">
        <f t="shared" si="584"/>
        <v>37849.207900000001</v>
      </c>
      <c r="P212" s="127">
        <f t="shared" si="584"/>
        <v>46292.92</v>
      </c>
      <c r="Q212" s="127">
        <f t="shared" si="584"/>
        <v>100100</v>
      </c>
      <c r="R212" s="127">
        <f t="shared" si="584"/>
        <v>54040</v>
      </c>
      <c r="S212" s="127">
        <f t="shared" si="584"/>
        <v>146744</v>
      </c>
      <c r="T212" s="118">
        <f t="shared" si="544"/>
        <v>0.26278479512987962</v>
      </c>
      <c r="U212" s="128"/>
      <c r="V212" s="162">
        <f t="shared" ref="V212:AE212" si="585">V201*V57</f>
        <v>9630.0750000000007</v>
      </c>
      <c r="W212" s="162">
        <f t="shared" si="585"/>
        <v>10111.578750000001</v>
      </c>
      <c r="X212" s="162">
        <f t="shared" si="585"/>
        <v>10617.157687500001</v>
      </c>
      <c r="Y212" s="162">
        <f t="shared" si="585"/>
        <v>11148.015571875001</v>
      </c>
      <c r="Z212" s="162">
        <f t="shared" si="585"/>
        <v>11705.416350468753</v>
      </c>
      <c r="AA212" s="162">
        <f t="shared" si="585"/>
        <v>12290.687167992191</v>
      </c>
      <c r="AB212" s="162">
        <f t="shared" si="585"/>
        <v>12905.221526391801</v>
      </c>
      <c r="AC212" s="162">
        <f t="shared" si="585"/>
        <v>13550.482602711392</v>
      </c>
      <c r="AD212" s="162">
        <f t="shared" si="585"/>
        <v>14228.006732846961</v>
      </c>
      <c r="AE212" s="162">
        <f t="shared" si="585"/>
        <v>14939.407069489309</v>
      </c>
      <c r="AF212" s="136">
        <f t="shared" si="582"/>
        <v>3.5866999415677281E-2</v>
      </c>
      <c r="AG212" s="31">
        <f t="shared" si="578"/>
        <v>0.05</v>
      </c>
      <c r="AH212" s="127">
        <f t="shared" si="548"/>
        <v>91030.816318360288</v>
      </c>
    </row>
    <row r="213" spans="2:34" x14ac:dyDescent="0.15">
      <c r="B213" s="20"/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28"/>
      <c r="V213" s="149"/>
      <c r="W213" s="149"/>
      <c r="X213" s="149"/>
      <c r="Y213" s="149"/>
      <c r="Z213" s="149"/>
      <c r="AA213" s="149"/>
      <c r="AB213" s="149"/>
      <c r="AC213" s="149"/>
      <c r="AD213" s="149"/>
      <c r="AE213" s="149"/>
      <c r="AF213" s="149"/>
      <c r="AG213" s="149"/>
      <c r="AH213" s="149"/>
    </row>
    <row r="214" spans="2:34" x14ac:dyDescent="0.15">
      <c r="B214" s="20" t="s">
        <v>367</v>
      </c>
      <c r="C214" s="158"/>
      <c r="D214" s="158"/>
      <c r="E214" s="158"/>
      <c r="F214" s="158"/>
      <c r="G214" s="158">
        <f t="shared" ref="G214:H214" si="586">G72/G201</f>
        <v>2.2453781512605044E-2</v>
      </c>
      <c r="H214" s="158">
        <f t="shared" si="586"/>
        <v>5.2446607191132741E-2</v>
      </c>
      <c r="I214" s="158">
        <f t="shared" ref="I214:S214" si="587">I72/I201</f>
        <v>7.4217489512746052E-2</v>
      </c>
      <c r="J214" s="158">
        <f t="shared" si="587"/>
        <v>3.8258787108833112E-2</v>
      </c>
      <c r="K214" s="158">
        <f t="shared" si="587"/>
        <v>5.1769735995962171E-2</v>
      </c>
      <c r="L214" s="158">
        <f t="shared" si="587"/>
        <v>8.202495974235105E-2</v>
      </c>
      <c r="M214" s="158">
        <f t="shared" si="587"/>
        <v>5.2946152127421875E-2</v>
      </c>
      <c r="N214" s="158">
        <f t="shared" si="587"/>
        <v>4.5790893215724576E-2</v>
      </c>
      <c r="O214" s="158">
        <f t="shared" si="587"/>
        <v>4.8878169521745791E-2</v>
      </c>
      <c r="P214" s="158">
        <f t="shared" si="587"/>
        <v>4.7609872092751984E-2</v>
      </c>
      <c r="Q214" s="158">
        <f t="shared" si="587"/>
        <v>2.5084915084915085E-2</v>
      </c>
      <c r="R214" s="158">
        <f t="shared" si="587"/>
        <v>5.6717246484085861E-2</v>
      </c>
      <c r="S214" s="158">
        <f t="shared" si="587"/>
        <v>2.3380853731668757E-2</v>
      </c>
      <c r="T214" s="118">
        <f t="shared" si="544"/>
        <v>3.3772257947619622E-3</v>
      </c>
      <c r="U214" s="128"/>
      <c r="V214" s="158">
        <f t="shared" ref="V214:AE214" si="588">V72/V201</f>
        <v>0.3990332370204801</v>
      </c>
      <c r="W214" s="158">
        <f t="shared" si="588"/>
        <v>0.42563545282184539</v>
      </c>
      <c r="X214" s="158">
        <f t="shared" si="588"/>
        <v>0.4540111496766352</v>
      </c>
      <c r="Y214" s="158">
        <f t="shared" si="588"/>
        <v>0.4842785596550776</v>
      </c>
      <c r="Z214" s="158">
        <f t="shared" si="588"/>
        <v>0.5165637969654161</v>
      </c>
      <c r="AA214" s="158">
        <f t="shared" si="588"/>
        <v>0.55100138342977711</v>
      </c>
      <c r="AB214" s="158">
        <f t="shared" si="588"/>
        <v>0.58773480899176234</v>
      </c>
      <c r="AC214" s="158">
        <f t="shared" si="588"/>
        <v>0.62691712959121315</v>
      </c>
      <c r="AD214" s="158">
        <f t="shared" si="588"/>
        <v>0.6687116048972942</v>
      </c>
      <c r="AE214" s="158">
        <f t="shared" si="588"/>
        <v>0.7132923785571138</v>
      </c>
      <c r="AF214" s="136">
        <f t="shared" ref="AF214" si="589">((AE214/I214)^(1/($AE$3-$J$1) ))-1</f>
        <v>0.11377677691289678</v>
      </c>
      <c r="AG214" s="31">
        <f t="shared" ref="AG214" si="590">$N$1</f>
        <v>0.05</v>
      </c>
      <c r="AH214" s="127">
        <f t="shared" ref="AH214" si="591">(AE214*(1+AF214))/($C$1-AG214)</f>
        <v>4.6732263905051541</v>
      </c>
    </row>
    <row r="215" spans="2:34" x14ac:dyDescent="0.15">
      <c r="B215" s="20" t="str">
        <f>B203</f>
        <v>P/E (how many years it will take to recover invested amount)</v>
      </c>
      <c r="C215" s="149"/>
      <c r="D215" s="149"/>
      <c r="E215" s="149"/>
      <c r="F215" s="149"/>
      <c r="G215" s="177">
        <f t="shared" ref="G215:H215" si="592">G203</f>
        <v>44.535928143712574</v>
      </c>
      <c r="H215" s="177">
        <f t="shared" si="592"/>
        <v>19.067010309278349</v>
      </c>
      <c r="I215" s="177">
        <f t="shared" ref="I215:S215" si="593">I203</f>
        <v>13.473913043478259</v>
      </c>
      <c r="J215" s="177">
        <f t="shared" si="593"/>
        <v>26.137786259541983</v>
      </c>
      <c r="K215" s="177">
        <f t="shared" si="593"/>
        <v>19.316304801670146</v>
      </c>
      <c r="L215" s="177">
        <f t="shared" si="593"/>
        <v>12.191411042944786</v>
      </c>
      <c r="M215" s="177">
        <f t="shared" si="593"/>
        <v>18.887113790504898</v>
      </c>
      <c r="N215" s="177">
        <f t="shared" si="593"/>
        <v>21.838403441682601</v>
      </c>
      <c r="O215" s="177">
        <f t="shared" si="593"/>
        <v>20.459031297297297</v>
      </c>
      <c r="P215" s="177">
        <f t="shared" si="593"/>
        <v>21.004047186932848</v>
      </c>
      <c r="Q215" s="177">
        <f t="shared" si="593"/>
        <v>39.864595778574277</v>
      </c>
      <c r="R215" s="177">
        <f t="shared" si="593"/>
        <v>17.631321370309951</v>
      </c>
      <c r="S215" s="177">
        <f t="shared" si="593"/>
        <v>42.770037889828039</v>
      </c>
      <c r="T215" s="118">
        <f t="shared" si="544"/>
        <v>-3.3658585305113009E-3</v>
      </c>
      <c r="U215" s="128"/>
      <c r="V215" s="149">
        <f t="shared" ref="V215:AE215" si="594">V203</f>
        <v>2.5060569076071113</v>
      </c>
      <c r="W215" s="149">
        <f t="shared" si="594"/>
        <v>2.3494283508816673</v>
      </c>
      <c r="X215" s="149">
        <f t="shared" si="594"/>
        <v>2.2025890789515628</v>
      </c>
      <c r="Y215" s="149">
        <f t="shared" si="594"/>
        <v>2.0649272615170897</v>
      </c>
      <c r="Z215" s="149">
        <f t="shared" si="594"/>
        <v>1.9358693076722719</v>
      </c>
      <c r="AA215" s="149">
        <f t="shared" si="594"/>
        <v>1.8148774759427548</v>
      </c>
      <c r="AB215" s="149">
        <f t="shared" si="594"/>
        <v>1.7014476336963325</v>
      </c>
      <c r="AC215" s="149">
        <f t="shared" si="594"/>
        <v>1.5951071565903119</v>
      </c>
      <c r="AD215" s="149">
        <f t="shared" si="594"/>
        <v>1.4954129593034169</v>
      </c>
      <c r="AE215" s="149">
        <f t="shared" si="594"/>
        <v>1.4019496493469532</v>
      </c>
      <c r="AF215" s="136">
        <f t="shared" ref="AF215" si="595">((AE215/I215)^(1/($AE$3-$J$1) ))-1</f>
        <v>-0.10215402158793152</v>
      </c>
      <c r="AG215" s="31">
        <f t="shared" ref="AG215:AG217" si="596">$N$1</f>
        <v>0.05</v>
      </c>
      <c r="AH215" s="177">
        <f>(AH202)/($N$2*100)</f>
        <v>7.4200919169654142E-2</v>
      </c>
    </row>
    <row r="216" spans="2:34" x14ac:dyDescent="0.15">
      <c r="B216" s="20" t="s">
        <v>442</v>
      </c>
      <c r="C216" s="177"/>
      <c r="D216" s="177"/>
      <c r="E216" s="177"/>
      <c r="F216" s="177"/>
      <c r="G216" s="177">
        <f t="shared" ref="G216:H216" si="597">(G203)/($N$2*100)</f>
        <v>3.7113273453093814</v>
      </c>
      <c r="H216" s="177">
        <f t="shared" si="597"/>
        <v>1.5889175257731958</v>
      </c>
      <c r="I216" s="177">
        <f t="shared" ref="I216:S216" si="598">(I203)/($N$2*100)</f>
        <v>1.1228260869565216</v>
      </c>
      <c r="J216" s="177">
        <f t="shared" si="598"/>
        <v>2.1781488549618317</v>
      </c>
      <c r="K216" s="177">
        <f t="shared" si="598"/>
        <v>1.6096920668058454</v>
      </c>
      <c r="L216" s="177">
        <f t="shared" si="598"/>
        <v>1.0159509202453989</v>
      </c>
      <c r="M216" s="177">
        <f t="shared" si="598"/>
        <v>1.5739261492087415</v>
      </c>
      <c r="N216" s="177">
        <f t="shared" si="598"/>
        <v>1.8198669534735501</v>
      </c>
      <c r="O216" s="177">
        <f t="shared" si="598"/>
        <v>1.7049192747747748</v>
      </c>
      <c r="P216" s="177">
        <f t="shared" si="598"/>
        <v>1.7503372655777374</v>
      </c>
      <c r="Q216" s="177">
        <f t="shared" si="598"/>
        <v>3.3220496482145232</v>
      </c>
      <c r="R216" s="177">
        <f t="shared" si="598"/>
        <v>1.4692767808591627</v>
      </c>
      <c r="S216" s="177">
        <f t="shared" si="598"/>
        <v>3.5641698241523367</v>
      </c>
      <c r="T216" s="118">
        <f t="shared" si="544"/>
        <v>-3.3658585305113009E-3</v>
      </c>
      <c r="U216" s="128"/>
      <c r="V216" s="177">
        <f t="shared" ref="V216:AE216" si="599">(V203)/($N$2*100)</f>
        <v>0.20883807563392595</v>
      </c>
      <c r="W216" s="177">
        <f t="shared" si="599"/>
        <v>0.19578569590680561</v>
      </c>
      <c r="X216" s="177">
        <f t="shared" si="599"/>
        <v>0.18354908991263022</v>
      </c>
      <c r="Y216" s="177">
        <f t="shared" si="599"/>
        <v>0.17207727179309082</v>
      </c>
      <c r="Z216" s="177">
        <f t="shared" si="599"/>
        <v>0.16132244230602266</v>
      </c>
      <c r="AA216" s="177">
        <f t="shared" si="599"/>
        <v>0.15123978966189625</v>
      </c>
      <c r="AB216" s="177">
        <f t="shared" si="599"/>
        <v>0.1417873028080277</v>
      </c>
      <c r="AC216" s="177">
        <f t="shared" si="599"/>
        <v>0.13292559638252599</v>
      </c>
      <c r="AD216" s="177">
        <f t="shared" si="599"/>
        <v>0.12461774660861807</v>
      </c>
      <c r="AE216" s="177">
        <f t="shared" si="599"/>
        <v>0.11682913744557943</v>
      </c>
      <c r="AF216" s="136">
        <f t="shared" si="582"/>
        <v>-0.10215402158793152</v>
      </c>
      <c r="AG216" s="31">
        <f t="shared" si="596"/>
        <v>0.05</v>
      </c>
      <c r="AH216" s="177">
        <f>(AH203)/($N$2*100)</f>
        <v>0.61702688951096651</v>
      </c>
    </row>
    <row r="217" spans="2:34" x14ac:dyDescent="0.15">
      <c r="B217" s="20" t="s">
        <v>443</v>
      </c>
      <c r="C217" s="149"/>
      <c r="D217" s="149"/>
      <c r="E217" s="149"/>
      <c r="F217" s="149"/>
      <c r="G217" s="149">
        <f t="shared" ref="G217:H217" si="600">G216-1</f>
        <v>2.7113273453093814</v>
      </c>
      <c r="H217" s="149">
        <f t="shared" si="600"/>
        <v>0.58891752577319578</v>
      </c>
      <c r="I217" s="149">
        <f t="shared" ref="I217:R217" si="601">I216-1</f>
        <v>0.12282608695652164</v>
      </c>
      <c r="J217" s="149">
        <f t="shared" si="601"/>
        <v>1.1781488549618317</v>
      </c>
      <c r="K217" s="149">
        <f t="shared" si="601"/>
        <v>0.60969206680584542</v>
      </c>
      <c r="L217" s="149">
        <f t="shared" si="601"/>
        <v>1.5950920245398903E-2</v>
      </c>
      <c r="M217" s="149">
        <f t="shared" si="601"/>
        <v>0.57392614920874152</v>
      </c>
      <c r="N217" s="149">
        <f t="shared" si="601"/>
        <v>0.8198669534735501</v>
      </c>
      <c r="O217" s="149">
        <f t="shared" si="601"/>
        <v>0.70491927477477478</v>
      </c>
      <c r="P217" s="149">
        <f t="shared" si="601"/>
        <v>0.75033726557773739</v>
      </c>
      <c r="Q217" s="149">
        <f t="shared" si="601"/>
        <v>2.3220496482145232</v>
      </c>
      <c r="R217" s="149">
        <f t="shared" si="601"/>
        <v>0.46927678085916269</v>
      </c>
      <c r="S217" s="149">
        <f>S216-1</f>
        <v>2.5641698241523367</v>
      </c>
      <c r="T217" s="118">
        <f t="shared" si="544"/>
        <v>-4.6394990666396296E-3</v>
      </c>
      <c r="U217" s="128"/>
      <c r="V217" s="149">
        <f t="shared" ref="V217:AE217" si="602">V216-1</f>
        <v>-0.79116192436607402</v>
      </c>
      <c r="W217" s="149">
        <f t="shared" si="602"/>
        <v>-0.80421430409319439</v>
      </c>
      <c r="X217" s="149">
        <f t="shared" si="602"/>
        <v>-0.81645091008736981</v>
      </c>
      <c r="Y217" s="149">
        <f t="shared" si="602"/>
        <v>-0.82792272820690915</v>
      </c>
      <c r="Z217" s="149">
        <f t="shared" si="602"/>
        <v>-0.83867755769397734</v>
      </c>
      <c r="AA217" s="149">
        <f t="shared" si="602"/>
        <v>-0.84876021033810378</v>
      </c>
      <c r="AB217" s="149">
        <f t="shared" si="602"/>
        <v>-0.85821269719197235</v>
      </c>
      <c r="AC217" s="149">
        <f t="shared" si="602"/>
        <v>-0.86707440361747401</v>
      </c>
      <c r="AD217" s="149">
        <f t="shared" si="602"/>
        <v>-0.87538225339138198</v>
      </c>
      <c r="AE217" s="149">
        <f t="shared" si="602"/>
        <v>-0.88317086255442057</v>
      </c>
      <c r="AF217" s="136">
        <f t="shared" ref="AF217" si="603">((AE217/I217)^(1/($AE$3-$J$1) ))-1</f>
        <v>-2.0984943185134237</v>
      </c>
      <c r="AG217" s="31">
        <f t="shared" si="596"/>
        <v>0.05</v>
      </c>
      <c r="AH217" s="177" t="e">
        <f>(AH204)/($N$2*100)</f>
        <v>#DIV/0!</v>
      </c>
    </row>
    <row r="218" spans="2:34" x14ac:dyDescent="0.15">
      <c r="B218" s="20"/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28"/>
      <c r="U218" s="128"/>
      <c r="V218" s="149"/>
      <c r="W218" s="149"/>
      <c r="X218" s="149"/>
      <c r="Y218" s="149"/>
      <c r="Z218" s="149"/>
      <c r="AA218" s="149"/>
      <c r="AB218" s="149"/>
      <c r="AC218" s="149"/>
      <c r="AD218" s="149"/>
      <c r="AE218" s="133"/>
      <c r="AF218" s="135"/>
      <c r="AG218" s="20"/>
      <c r="AH218" s="127"/>
    </row>
    <row r="219" spans="2:34" x14ac:dyDescent="0.15">
      <c r="B219" s="20" t="s">
        <v>470</v>
      </c>
      <c r="C219" s="149"/>
      <c r="D219" s="149"/>
      <c r="E219" s="149"/>
      <c r="F219" s="149"/>
      <c r="G219" s="149">
        <f t="shared" ref="G219:S219" si="604">1/G220</f>
        <v>6.1521280514902068E-3</v>
      </c>
      <c r="H219" s="149">
        <f t="shared" si="604"/>
        <v>3.0760640257451032E-2</v>
      </c>
      <c r="I219" s="149">
        <f t="shared" si="604"/>
        <v>4.0122574248849172E-2</v>
      </c>
      <c r="J219" s="149">
        <f t="shared" si="604"/>
        <v>2.1971885898179309E-2</v>
      </c>
      <c r="K219" s="149">
        <f t="shared" si="604"/>
        <v>1.7184715227626275E-2</v>
      </c>
      <c r="L219" s="149">
        <f t="shared" si="604"/>
        <v>4.0122574248849172E-2</v>
      </c>
      <c r="M219" s="149">
        <f t="shared" si="604"/>
        <v>1.2816933440604597E-2</v>
      </c>
      <c r="N219" s="149">
        <f t="shared" si="604"/>
        <v>1.9845574359645828E-2</v>
      </c>
      <c r="O219" s="149">
        <f t="shared" si="604"/>
        <v>1.8059084299873403E-2</v>
      </c>
      <c r="P219" s="149">
        <f t="shared" si="604"/>
        <v>1.488418076973437E-2</v>
      </c>
      <c r="Q219" s="149">
        <f t="shared" si="604"/>
        <v>7.0986092901810073E-3</v>
      </c>
      <c r="R219" s="149">
        <f t="shared" si="604"/>
        <v>1.3183131538907584E-2</v>
      </c>
      <c r="S219" s="149">
        <f t="shared" si="604"/>
        <v>1.1535240096544136E-2</v>
      </c>
      <c r="T219" s="118">
        <f t="shared" si="544"/>
        <v>5.3780374378913143E-2</v>
      </c>
      <c r="U219" s="128"/>
      <c r="V219" s="149">
        <f t="shared" ref="V219:AE219" si="605">1/V220</f>
        <v>0.18456384154470618</v>
      </c>
      <c r="W219" s="149">
        <f t="shared" si="605"/>
        <v>0.18456384154470618</v>
      </c>
      <c r="X219" s="149">
        <f t="shared" si="605"/>
        <v>0.18456384154470618</v>
      </c>
      <c r="Y219" s="149">
        <f t="shared" si="605"/>
        <v>0.18456384154470618</v>
      </c>
      <c r="Z219" s="149">
        <f t="shared" si="605"/>
        <v>0.18456384154470618</v>
      </c>
      <c r="AA219" s="149">
        <f t="shared" si="605"/>
        <v>0.18456384154470618</v>
      </c>
      <c r="AB219" s="149">
        <f t="shared" si="605"/>
        <v>0.18456384154470618</v>
      </c>
      <c r="AC219" s="149">
        <f t="shared" si="605"/>
        <v>0.18456384154470618</v>
      </c>
      <c r="AD219" s="149">
        <f t="shared" si="605"/>
        <v>0.18456384154470618</v>
      </c>
      <c r="AE219" s="149">
        <f t="shared" si="605"/>
        <v>0.18456384154470618</v>
      </c>
      <c r="AF219" s="136">
        <f t="shared" ref="AF219" si="606">((AE219/I219)^(1/($AE$3-$J$1) ))-1</f>
        <v>7.5374903029250317E-2</v>
      </c>
      <c r="AG219" s="31">
        <f t="shared" ref="AG219:AG222" si="607">$N$1</f>
        <v>0.05</v>
      </c>
      <c r="AH219" s="177">
        <f>(AH206)/($N$2*100)</f>
        <v>6.2389459746329069E-2</v>
      </c>
    </row>
    <row r="220" spans="2:34" x14ac:dyDescent="0.15">
      <c r="B220" s="20" t="s">
        <v>471</v>
      </c>
      <c r="C220" s="20"/>
      <c r="D220" s="20"/>
      <c r="E220" s="20"/>
      <c r="F220" s="20"/>
      <c r="G220" s="133">
        <f t="shared" ref="G220:H220" si="608">G201/$U$170</f>
        <v>162.54538131041889</v>
      </c>
      <c r="H220" s="133">
        <f t="shared" si="608"/>
        <v>32.509076262083781</v>
      </c>
      <c r="I220" s="133">
        <f t="shared" ref="I220:S220" si="609">I201/$U$170</f>
        <v>24.923625134264231</v>
      </c>
      <c r="J220" s="133">
        <f t="shared" si="609"/>
        <v>45.51270676691729</v>
      </c>
      <c r="K220" s="133">
        <f t="shared" si="609"/>
        <v>58.191246509129961</v>
      </c>
      <c r="L220" s="133">
        <f t="shared" si="609"/>
        <v>24.923625134264231</v>
      </c>
      <c r="M220" s="133">
        <f t="shared" si="609"/>
        <v>78.021783029001071</v>
      </c>
      <c r="N220" s="133">
        <f t="shared" si="609"/>
        <v>50.389068206229858</v>
      </c>
      <c r="O220" s="133">
        <f t="shared" si="609"/>
        <v>55.373793233082701</v>
      </c>
      <c r="P220" s="133">
        <f t="shared" si="609"/>
        <v>67.185424274973144</v>
      </c>
      <c r="Q220" s="133">
        <f t="shared" si="609"/>
        <v>140.87266380236304</v>
      </c>
      <c r="R220" s="133">
        <f t="shared" si="609"/>
        <v>75.854511278195488</v>
      </c>
      <c r="S220" s="133">
        <f t="shared" si="609"/>
        <v>86.690870032223415</v>
      </c>
      <c r="T220" s="118">
        <f t="shared" si="544"/>
        <v>-5.1035657606178897E-2</v>
      </c>
      <c r="U220" s="128"/>
      <c r="V220" s="133">
        <f t="shared" ref="V220:AE220" si="610">V201/$U$170</f>
        <v>5.4181793770139635</v>
      </c>
      <c r="W220" s="133">
        <f t="shared" si="610"/>
        <v>5.4181793770139635</v>
      </c>
      <c r="X220" s="133">
        <f t="shared" si="610"/>
        <v>5.4181793770139635</v>
      </c>
      <c r="Y220" s="133">
        <f t="shared" si="610"/>
        <v>5.4181793770139635</v>
      </c>
      <c r="Z220" s="133">
        <f t="shared" si="610"/>
        <v>5.4181793770139635</v>
      </c>
      <c r="AA220" s="133">
        <f t="shared" si="610"/>
        <v>5.4181793770139635</v>
      </c>
      <c r="AB220" s="133">
        <f t="shared" si="610"/>
        <v>5.4181793770139635</v>
      </c>
      <c r="AC220" s="133">
        <f t="shared" si="610"/>
        <v>5.4181793770139635</v>
      </c>
      <c r="AD220" s="133">
        <f t="shared" si="610"/>
        <v>5.4181793770139635</v>
      </c>
      <c r="AE220" s="133">
        <f t="shared" si="610"/>
        <v>5.4181793770139635</v>
      </c>
      <c r="AF220" s="136">
        <f t="shared" ref="AF220:AF222" si="611">((AE220/I220)^(1/($AE$3-$J$1) ))-1</f>
        <v>-7.0091744578495208E-2</v>
      </c>
      <c r="AG220" s="31">
        <f t="shared" si="607"/>
        <v>0.05</v>
      </c>
      <c r="AH220" s="177">
        <f>(AH206)/($N$2*100)</f>
        <v>6.2389459746329069E-2</v>
      </c>
    </row>
    <row r="221" spans="2:34" x14ac:dyDescent="0.15">
      <c r="B221" s="20" t="s">
        <v>465</v>
      </c>
      <c r="C221" s="20"/>
      <c r="D221" s="20"/>
      <c r="E221" s="20"/>
      <c r="F221" s="20"/>
      <c r="G221" s="177">
        <f t="shared" ref="G221:H221" si="612">(G220)/($N$2*100)</f>
        <v>13.545448442534907</v>
      </c>
      <c r="H221" s="177">
        <f t="shared" si="612"/>
        <v>2.7090896885069817</v>
      </c>
      <c r="I221" s="177">
        <f t="shared" ref="I221:S221" si="613">(I220)/($N$2*100)</f>
        <v>2.0769687611886858</v>
      </c>
      <c r="J221" s="177">
        <f t="shared" si="613"/>
        <v>3.7927255639097743</v>
      </c>
      <c r="K221" s="177">
        <f t="shared" si="613"/>
        <v>4.8492705424274964</v>
      </c>
      <c r="L221" s="177">
        <f t="shared" si="613"/>
        <v>2.0769687611886858</v>
      </c>
      <c r="M221" s="177">
        <f t="shared" si="613"/>
        <v>6.5018152524167556</v>
      </c>
      <c r="N221" s="177">
        <f t="shared" si="613"/>
        <v>4.1990890171858215</v>
      </c>
      <c r="O221" s="177">
        <f t="shared" si="613"/>
        <v>4.6144827694235584</v>
      </c>
      <c r="P221" s="177">
        <f t="shared" si="613"/>
        <v>5.5987853562477623</v>
      </c>
      <c r="Q221" s="177">
        <f t="shared" si="613"/>
        <v>11.73938865019692</v>
      </c>
      <c r="R221" s="177">
        <f t="shared" si="613"/>
        <v>6.3212092731829577</v>
      </c>
      <c r="S221" s="177">
        <f t="shared" si="613"/>
        <v>7.224239169351951</v>
      </c>
      <c r="T221" s="118">
        <f t="shared" si="544"/>
        <v>-5.1035657606178897E-2</v>
      </c>
      <c r="U221" s="128"/>
      <c r="V221" s="177">
        <f t="shared" ref="V221:AE221" si="614">(V220)/($N$2*100)</f>
        <v>0.45151494808449694</v>
      </c>
      <c r="W221" s="177">
        <f t="shared" si="614"/>
        <v>0.45151494808449694</v>
      </c>
      <c r="X221" s="177">
        <f t="shared" si="614"/>
        <v>0.45151494808449694</v>
      </c>
      <c r="Y221" s="177">
        <f t="shared" si="614"/>
        <v>0.45151494808449694</v>
      </c>
      <c r="Z221" s="177">
        <f t="shared" si="614"/>
        <v>0.45151494808449694</v>
      </c>
      <c r="AA221" s="177">
        <f t="shared" si="614"/>
        <v>0.45151494808449694</v>
      </c>
      <c r="AB221" s="177">
        <f t="shared" si="614"/>
        <v>0.45151494808449694</v>
      </c>
      <c r="AC221" s="177">
        <f t="shared" si="614"/>
        <v>0.45151494808449694</v>
      </c>
      <c r="AD221" s="177">
        <f t="shared" si="614"/>
        <v>0.45151494808449694</v>
      </c>
      <c r="AE221" s="177">
        <f t="shared" si="614"/>
        <v>0.45151494808449694</v>
      </c>
      <c r="AF221" s="136">
        <f t="shared" si="611"/>
        <v>-7.0091744578495208E-2</v>
      </c>
      <c r="AG221" s="31">
        <f t="shared" si="607"/>
        <v>0.05</v>
      </c>
      <c r="AH221" s="177" t="e">
        <f>(AH207)/($N$2*100)</f>
        <v>#DIV/0!</v>
      </c>
    </row>
    <row r="222" spans="2:34" x14ac:dyDescent="0.15">
      <c r="B222" s="20" t="s">
        <v>466</v>
      </c>
      <c r="C222" s="20"/>
      <c r="D222" s="20"/>
      <c r="E222" s="20"/>
      <c r="F222" s="20"/>
      <c r="G222" s="149">
        <f t="shared" ref="G222:H222" si="615">G221-1</f>
        <v>12.545448442534907</v>
      </c>
      <c r="H222" s="149">
        <f t="shared" si="615"/>
        <v>1.7090896885069817</v>
      </c>
      <c r="I222" s="149">
        <f t="shared" ref="I222:S222" si="616">I221-1</f>
        <v>1.0769687611886858</v>
      </c>
      <c r="J222" s="149">
        <f t="shared" si="616"/>
        <v>2.7927255639097743</v>
      </c>
      <c r="K222" s="149">
        <f t="shared" si="616"/>
        <v>3.8492705424274964</v>
      </c>
      <c r="L222" s="149">
        <f t="shared" si="616"/>
        <v>1.0769687611886858</v>
      </c>
      <c r="M222" s="149">
        <f t="shared" si="616"/>
        <v>5.5018152524167556</v>
      </c>
      <c r="N222" s="149">
        <f t="shared" si="616"/>
        <v>3.1990890171858215</v>
      </c>
      <c r="O222" s="149">
        <f t="shared" si="616"/>
        <v>3.6144827694235584</v>
      </c>
      <c r="P222" s="149">
        <f t="shared" si="616"/>
        <v>4.5987853562477623</v>
      </c>
      <c r="Q222" s="149">
        <f t="shared" si="616"/>
        <v>10.73938865019692</v>
      </c>
      <c r="R222" s="149">
        <f t="shared" si="616"/>
        <v>5.3212092731829577</v>
      </c>
      <c r="S222" s="149">
        <f t="shared" si="616"/>
        <v>6.224239169351951</v>
      </c>
      <c r="T222" s="118">
        <f t="shared" si="544"/>
        <v>-5.6735825294615516E-2</v>
      </c>
      <c r="U222" s="128"/>
      <c r="V222" s="149">
        <f t="shared" ref="V222:AE222" si="617">V221-1</f>
        <v>-0.54848505191550312</v>
      </c>
      <c r="W222" s="149">
        <f t="shared" si="617"/>
        <v>-0.54848505191550312</v>
      </c>
      <c r="X222" s="149">
        <f t="shared" si="617"/>
        <v>-0.54848505191550312</v>
      </c>
      <c r="Y222" s="149">
        <f t="shared" si="617"/>
        <v>-0.54848505191550312</v>
      </c>
      <c r="Z222" s="149">
        <f t="shared" si="617"/>
        <v>-0.54848505191550312</v>
      </c>
      <c r="AA222" s="149">
        <f t="shared" si="617"/>
        <v>-0.54848505191550312</v>
      </c>
      <c r="AB222" s="149">
        <f t="shared" si="617"/>
        <v>-0.54848505191550312</v>
      </c>
      <c r="AC222" s="149">
        <f t="shared" si="617"/>
        <v>-0.54848505191550312</v>
      </c>
      <c r="AD222" s="149">
        <f t="shared" si="617"/>
        <v>-0.54848505191550312</v>
      </c>
      <c r="AE222" s="149">
        <f t="shared" si="617"/>
        <v>-0.54848505191550312</v>
      </c>
      <c r="AF222" s="136">
        <f t="shared" si="611"/>
        <v>-1.9683799629795358</v>
      </c>
      <c r="AG222" s="31">
        <f t="shared" si="607"/>
        <v>0.05</v>
      </c>
      <c r="AH222" s="177" t="e">
        <f>(AH208)/($N$2*100)</f>
        <v>#DIV/0!</v>
      </c>
    </row>
    <row r="223" spans="2:34" x14ac:dyDescent="0.15">
      <c r="B223" s="20"/>
      <c r="C223" s="20"/>
      <c r="D223" s="20"/>
      <c r="E223" s="20"/>
      <c r="F223" s="20"/>
      <c r="G223" s="133"/>
      <c r="H223" s="133"/>
      <c r="I223" s="133"/>
      <c r="J223" s="133"/>
      <c r="K223" s="133"/>
      <c r="L223" s="133"/>
      <c r="M223" s="194"/>
      <c r="N223" s="195"/>
      <c r="O223" s="133"/>
      <c r="P223" s="133"/>
      <c r="Q223" s="133"/>
      <c r="R223" s="133"/>
      <c r="S223" s="133"/>
      <c r="T223" s="128"/>
      <c r="U223" s="128"/>
      <c r="V223" s="133"/>
      <c r="W223" s="133"/>
      <c r="X223" s="133"/>
      <c r="Y223" s="133"/>
      <c r="Z223" s="133"/>
      <c r="AA223" s="133"/>
      <c r="AB223" s="133"/>
      <c r="AC223" s="133"/>
      <c r="AD223" s="133"/>
      <c r="AE223" s="133"/>
      <c r="AF223" s="135"/>
      <c r="AG223" s="20"/>
      <c r="AH223" s="20"/>
    </row>
    <row r="224" spans="2:34" x14ac:dyDescent="0.15">
      <c r="B224" s="20" t="s">
        <v>470</v>
      </c>
      <c r="C224" s="20"/>
      <c r="D224" s="20"/>
      <c r="E224" s="20"/>
      <c r="F224" s="20"/>
      <c r="G224" s="149">
        <f t="shared" ref="G224:S224" si="618">1/G225</f>
        <v>9.4939032146686298E-3</v>
      </c>
      <c r="H224" s="149">
        <f t="shared" si="618"/>
        <v>4.7469516073343147E-2</v>
      </c>
      <c r="I224" s="149">
        <f t="shared" si="618"/>
        <v>6.1916760095664977E-2</v>
      </c>
      <c r="J224" s="149">
        <f t="shared" si="618"/>
        <v>3.3906797195245107E-2</v>
      </c>
      <c r="K224" s="149">
        <f t="shared" si="618"/>
        <v>2.6519282722538069E-2</v>
      </c>
      <c r="L224" s="149">
        <f t="shared" si="618"/>
        <v>6.1916760095664977E-2</v>
      </c>
      <c r="M224" s="149">
        <f t="shared" si="618"/>
        <v>1.9778965030559644E-2</v>
      </c>
      <c r="N224" s="149">
        <f t="shared" si="618"/>
        <v>3.0625494240866545E-2</v>
      </c>
      <c r="O224" s="149">
        <f t="shared" si="618"/>
        <v>2.7868600434448033E-2</v>
      </c>
      <c r="P224" s="149">
        <f t="shared" si="618"/>
        <v>2.2969120680649911E-2</v>
      </c>
      <c r="Q224" s="149">
        <f t="shared" si="618"/>
        <v>1.0954503709233034E-2</v>
      </c>
      <c r="R224" s="149">
        <f t="shared" si="618"/>
        <v>2.0344078317147064E-2</v>
      </c>
      <c r="S224" s="149">
        <f t="shared" si="618"/>
        <v>1.7801068527503679E-2</v>
      </c>
      <c r="T224" s="118">
        <f t="shared" si="544"/>
        <v>5.3780374378913143E-2</v>
      </c>
      <c r="U224" s="128"/>
      <c r="V224" s="149">
        <f t="shared" ref="V224:AE224" si="619">1/V225</f>
        <v>0.28481709644005887</v>
      </c>
      <c r="W224" s="149">
        <f t="shared" si="619"/>
        <v>0.28481709644005887</v>
      </c>
      <c r="X224" s="149">
        <f t="shared" si="619"/>
        <v>0.28481709644005887</v>
      </c>
      <c r="Y224" s="149">
        <f t="shared" si="619"/>
        <v>0.28481709644005887</v>
      </c>
      <c r="Z224" s="149">
        <f t="shared" si="619"/>
        <v>0.28481709644005887</v>
      </c>
      <c r="AA224" s="149">
        <f t="shared" si="619"/>
        <v>0.28481709644005887</v>
      </c>
      <c r="AB224" s="149">
        <f t="shared" si="619"/>
        <v>0.28481709644005887</v>
      </c>
      <c r="AC224" s="149">
        <f t="shared" si="619"/>
        <v>0.28481709644005887</v>
      </c>
      <c r="AD224" s="149">
        <f t="shared" si="619"/>
        <v>0.28481709644005887</v>
      </c>
      <c r="AE224" s="149">
        <f t="shared" si="619"/>
        <v>0.28481709644005887</v>
      </c>
      <c r="AF224" s="136">
        <f t="shared" ref="AF224" si="620">((AE224/I224)^(1/($AE$3-$J$1) ))-1</f>
        <v>7.5374903029250317E-2</v>
      </c>
      <c r="AG224" s="31">
        <f t="shared" ref="AG224" si="621">$N$1</f>
        <v>0.05</v>
      </c>
      <c r="AH224" s="177">
        <f>(AH210)/($N$2*100)</f>
        <v>0</v>
      </c>
    </row>
    <row r="225" spans="2:48" x14ac:dyDescent="0.15">
      <c r="B225" s="20" t="s">
        <v>472</v>
      </c>
      <c r="C225" s="20"/>
      <c r="D225" s="20"/>
      <c r="E225" s="20"/>
      <c r="F225" s="20"/>
      <c r="G225" s="133">
        <f t="shared" ref="G225:H225" si="622">G201/$S$170</f>
        <v>105.33075568486333</v>
      </c>
      <c r="H225" s="133">
        <f t="shared" si="622"/>
        <v>21.066151136972668</v>
      </c>
      <c r="I225" s="133">
        <f t="shared" ref="I225:S225" si="623">I201/$S$170</f>
        <v>16.150715871679044</v>
      </c>
      <c r="J225" s="133">
        <f t="shared" si="623"/>
        <v>29.492611591761733</v>
      </c>
      <c r="K225" s="133">
        <f t="shared" si="623"/>
        <v>37.708410535181073</v>
      </c>
      <c r="L225" s="133">
        <f t="shared" si="623"/>
        <v>16.150715871679044</v>
      </c>
      <c r="M225" s="133">
        <f t="shared" si="623"/>
        <v>50.558762728734401</v>
      </c>
      <c r="N225" s="133">
        <f t="shared" si="623"/>
        <v>32.652534262307633</v>
      </c>
      <c r="O225" s="133">
        <f t="shared" si="623"/>
        <v>35.882677436643441</v>
      </c>
      <c r="P225" s="133">
        <f t="shared" si="623"/>
        <v>43.53671234974351</v>
      </c>
      <c r="Q225" s="133">
        <f t="shared" si="623"/>
        <v>91.286654926881553</v>
      </c>
      <c r="R225" s="133">
        <f t="shared" si="623"/>
        <v>49.154352652936218</v>
      </c>
      <c r="S225" s="133">
        <f t="shared" si="623"/>
        <v>56.176403031927109</v>
      </c>
      <c r="T225" s="118">
        <f t="shared" si="544"/>
        <v>-5.1035657606178897E-2</v>
      </c>
      <c r="U225" s="128"/>
      <c r="V225" s="133">
        <f t="shared" ref="V225:AE225" si="624">V201/$S$170</f>
        <v>3.5110251894954443</v>
      </c>
      <c r="W225" s="133">
        <f t="shared" si="624"/>
        <v>3.5110251894954443</v>
      </c>
      <c r="X225" s="133">
        <f t="shared" si="624"/>
        <v>3.5110251894954443</v>
      </c>
      <c r="Y225" s="133">
        <f t="shared" si="624"/>
        <v>3.5110251894954443</v>
      </c>
      <c r="Z225" s="133">
        <f t="shared" si="624"/>
        <v>3.5110251894954443</v>
      </c>
      <c r="AA225" s="133">
        <f t="shared" si="624"/>
        <v>3.5110251894954443</v>
      </c>
      <c r="AB225" s="133">
        <f t="shared" si="624"/>
        <v>3.5110251894954443</v>
      </c>
      <c r="AC225" s="133">
        <f t="shared" si="624"/>
        <v>3.5110251894954443</v>
      </c>
      <c r="AD225" s="133">
        <f t="shared" si="624"/>
        <v>3.5110251894954443</v>
      </c>
      <c r="AE225" s="133">
        <f t="shared" si="624"/>
        <v>3.5110251894954443</v>
      </c>
      <c r="AF225" s="136">
        <f t="shared" ref="AF225:AF227" si="625">((AE225/I225)^(1/($AE$3-$J$1) ))-1</f>
        <v>-7.0091744578495208E-2</v>
      </c>
      <c r="AG225" s="31">
        <f t="shared" ref="AG225:AG227" si="626">$N$1</f>
        <v>0.05</v>
      </c>
      <c r="AH225" s="177">
        <f>(AH210)/($N$2*100)</f>
        <v>0</v>
      </c>
    </row>
    <row r="226" spans="2:48" x14ac:dyDescent="0.15">
      <c r="B226" s="20" t="s">
        <v>465</v>
      </c>
      <c r="C226" s="20"/>
      <c r="D226" s="20"/>
      <c r="E226" s="20"/>
      <c r="F226" s="20"/>
      <c r="G226" s="177">
        <f t="shared" ref="G226:H226" si="627">(G225)/($N$2*100)</f>
        <v>8.7775629737386112</v>
      </c>
      <c r="H226" s="177">
        <f t="shared" si="627"/>
        <v>1.7555125947477224</v>
      </c>
      <c r="I226" s="177">
        <f t="shared" ref="I226:S226" si="628">(I225)/($N$2*100)</f>
        <v>1.345892989306587</v>
      </c>
      <c r="J226" s="177">
        <f t="shared" si="628"/>
        <v>2.4577176326468111</v>
      </c>
      <c r="K226" s="177">
        <f t="shared" si="628"/>
        <v>3.1423675445984229</v>
      </c>
      <c r="L226" s="177">
        <f t="shared" si="628"/>
        <v>1.345892989306587</v>
      </c>
      <c r="M226" s="177">
        <f t="shared" si="628"/>
        <v>4.2132302273945337</v>
      </c>
      <c r="N226" s="177">
        <f t="shared" si="628"/>
        <v>2.7210445218589694</v>
      </c>
      <c r="O226" s="177">
        <f t="shared" si="628"/>
        <v>2.9902231197202869</v>
      </c>
      <c r="P226" s="177">
        <f t="shared" si="628"/>
        <v>3.6280593624786257</v>
      </c>
      <c r="Q226" s="177">
        <f t="shared" si="628"/>
        <v>7.6072212439067961</v>
      </c>
      <c r="R226" s="177">
        <f t="shared" si="628"/>
        <v>4.0961960544113518</v>
      </c>
      <c r="S226" s="177">
        <f t="shared" si="628"/>
        <v>4.6813669193272593</v>
      </c>
      <c r="T226" s="118">
        <f t="shared" si="544"/>
        <v>-5.1035657606178897E-2</v>
      </c>
      <c r="U226" s="128"/>
      <c r="V226" s="177">
        <f t="shared" ref="V226:AE226" si="629">(V225)/($N$2*100)</f>
        <v>0.29258543245795371</v>
      </c>
      <c r="W226" s="177">
        <f t="shared" si="629"/>
        <v>0.29258543245795371</v>
      </c>
      <c r="X226" s="177">
        <f t="shared" si="629"/>
        <v>0.29258543245795371</v>
      </c>
      <c r="Y226" s="177">
        <f t="shared" si="629"/>
        <v>0.29258543245795371</v>
      </c>
      <c r="Z226" s="177">
        <f t="shared" si="629"/>
        <v>0.29258543245795371</v>
      </c>
      <c r="AA226" s="177">
        <f t="shared" si="629"/>
        <v>0.29258543245795371</v>
      </c>
      <c r="AB226" s="177">
        <f t="shared" si="629"/>
        <v>0.29258543245795371</v>
      </c>
      <c r="AC226" s="177">
        <f t="shared" si="629"/>
        <v>0.29258543245795371</v>
      </c>
      <c r="AD226" s="177">
        <f t="shared" si="629"/>
        <v>0.29258543245795371</v>
      </c>
      <c r="AE226" s="177">
        <f t="shared" si="629"/>
        <v>0.29258543245795371</v>
      </c>
      <c r="AF226" s="136">
        <f t="shared" si="625"/>
        <v>-7.0091744578495208E-2</v>
      </c>
      <c r="AG226" s="31">
        <f t="shared" si="626"/>
        <v>0.05</v>
      </c>
      <c r="AH226" s="177" t="e">
        <f>(#REF!)/($N$2*100)</f>
        <v>#REF!</v>
      </c>
    </row>
    <row r="227" spans="2:48" x14ac:dyDescent="0.15">
      <c r="B227" s="20" t="s">
        <v>466</v>
      </c>
      <c r="C227" s="20"/>
      <c r="D227" s="20"/>
      <c r="E227" s="20"/>
      <c r="F227" s="20"/>
      <c r="G227" s="149">
        <f t="shared" ref="G227:H227" si="630">G226-1</f>
        <v>7.7775629737386112</v>
      </c>
      <c r="H227" s="149">
        <f t="shared" si="630"/>
        <v>0.75551259474772237</v>
      </c>
      <c r="I227" s="149">
        <f t="shared" ref="I227:S227" si="631">I226-1</f>
        <v>0.34589298930658696</v>
      </c>
      <c r="J227" s="149">
        <f t="shared" si="631"/>
        <v>1.4577176326468111</v>
      </c>
      <c r="K227" s="149">
        <f t="shared" si="631"/>
        <v>2.1423675445984229</v>
      </c>
      <c r="L227" s="149">
        <f t="shared" si="631"/>
        <v>0.34589298930658696</v>
      </c>
      <c r="M227" s="149">
        <f t="shared" si="631"/>
        <v>3.2132302273945337</v>
      </c>
      <c r="N227" s="149">
        <f t="shared" si="631"/>
        <v>1.7210445218589694</v>
      </c>
      <c r="O227" s="149">
        <f t="shared" si="631"/>
        <v>1.9902231197202869</v>
      </c>
      <c r="P227" s="149">
        <f t="shared" si="631"/>
        <v>2.6280593624786257</v>
      </c>
      <c r="Q227" s="149">
        <f t="shared" si="631"/>
        <v>6.6072212439067961</v>
      </c>
      <c r="R227" s="149">
        <f t="shared" si="631"/>
        <v>3.0961960544113518</v>
      </c>
      <c r="S227" s="149">
        <f t="shared" si="631"/>
        <v>3.6813669193272593</v>
      </c>
      <c r="T227" s="118">
        <f t="shared" si="544"/>
        <v>-6.042713867148275E-2</v>
      </c>
      <c r="U227" s="128"/>
      <c r="V227" s="149">
        <f t="shared" ref="V227:AE227" si="632">V226-1</f>
        <v>-0.70741456754204624</v>
      </c>
      <c r="W227" s="149">
        <f t="shared" si="632"/>
        <v>-0.70741456754204624</v>
      </c>
      <c r="X227" s="149">
        <f t="shared" si="632"/>
        <v>-0.70741456754204624</v>
      </c>
      <c r="Y227" s="149">
        <f t="shared" si="632"/>
        <v>-0.70741456754204624</v>
      </c>
      <c r="Z227" s="149">
        <f t="shared" si="632"/>
        <v>-0.70741456754204624</v>
      </c>
      <c r="AA227" s="149">
        <f t="shared" si="632"/>
        <v>-0.70741456754204624</v>
      </c>
      <c r="AB227" s="149">
        <f t="shared" si="632"/>
        <v>-0.70741456754204624</v>
      </c>
      <c r="AC227" s="149">
        <f t="shared" si="632"/>
        <v>-0.70741456754204624</v>
      </c>
      <c r="AD227" s="149">
        <f t="shared" si="632"/>
        <v>-0.70741456754204624</v>
      </c>
      <c r="AE227" s="149">
        <f t="shared" si="632"/>
        <v>-0.70741456754204624</v>
      </c>
      <c r="AF227" s="136">
        <f t="shared" si="625"/>
        <v>-2.0346578885507691</v>
      </c>
      <c r="AG227" s="31">
        <f t="shared" si="626"/>
        <v>0.05</v>
      </c>
      <c r="AH227" s="177">
        <f>(AH211)/($N$2*100)</f>
        <v>8.7124906876091049E-3</v>
      </c>
    </row>
    <row r="228" spans="2:48" x14ac:dyDescent="0.15">
      <c r="B228" s="20"/>
      <c r="C228" s="20"/>
      <c r="D228" s="20"/>
      <c r="E228" s="20"/>
      <c r="F228" s="20"/>
      <c r="G228" s="20"/>
      <c r="H228" s="20"/>
      <c r="I228" s="133"/>
      <c r="J228" s="133"/>
      <c r="K228" s="133"/>
      <c r="L228" s="133"/>
      <c r="M228" s="194"/>
      <c r="N228" s="195"/>
      <c r="O228" s="133"/>
      <c r="P228" s="133"/>
      <c r="Q228" s="133"/>
      <c r="R228" s="133"/>
      <c r="S228" s="133"/>
      <c r="T228" s="128"/>
      <c r="U228" s="128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5"/>
      <c r="AG228" s="20"/>
      <c r="AH228" s="20"/>
    </row>
    <row r="229" spans="2:48" x14ac:dyDescent="0.15">
      <c r="B229" s="108" t="s">
        <v>300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24" t="s">
        <v>347</v>
      </c>
      <c r="N229" s="225"/>
      <c r="O229" s="20"/>
      <c r="P229" s="20"/>
      <c r="Q229" s="20"/>
      <c r="R229" s="108" t="s">
        <v>426</v>
      </c>
      <c r="S229" s="108" t="s">
        <v>425</v>
      </c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135"/>
      <c r="AG229" s="20"/>
      <c r="AH229" s="20"/>
    </row>
    <row r="230" spans="2:48" x14ac:dyDescent="0.15">
      <c r="B230" s="20" t="s">
        <v>298</v>
      </c>
      <c r="C230" s="20" t="s">
        <v>311</v>
      </c>
      <c r="D230" s="20"/>
      <c r="E230" s="20"/>
      <c r="F230" s="20"/>
      <c r="G230" s="20"/>
      <c r="H230" s="20"/>
      <c r="I230" s="20"/>
      <c r="J230" s="20"/>
      <c r="K230" s="20"/>
      <c r="L230" s="20"/>
      <c r="M230" s="20" t="s">
        <v>348</v>
      </c>
      <c r="N230" s="22">
        <v>1</v>
      </c>
      <c r="O230" s="20"/>
      <c r="P230" s="20"/>
      <c r="Q230" s="20"/>
      <c r="R230" s="128">
        <f>(S201-U188)/S201</f>
        <v>0.99407707191468564</v>
      </c>
      <c r="S230" s="128">
        <f>(S201-V188)/S201</f>
        <v>0.99512727891704533</v>
      </c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135"/>
      <c r="AG230" s="20"/>
      <c r="AH230" s="20"/>
    </row>
    <row r="231" spans="2:48" x14ac:dyDescent="0.15">
      <c r="B231" s="20" t="s">
        <v>345</v>
      </c>
      <c r="C231" s="20" t="s">
        <v>311</v>
      </c>
      <c r="D231" s="20"/>
      <c r="E231" s="20"/>
      <c r="F231" s="20"/>
      <c r="G231" s="20"/>
      <c r="H231" s="20"/>
      <c r="I231" s="20"/>
      <c r="J231" s="20"/>
      <c r="K231" s="20"/>
      <c r="L231" s="20"/>
      <c r="M231" s="168">
        <f>$N$230</f>
        <v>1</v>
      </c>
      <c r="N231" s="20"/>
      <c r="O231" s="128">
        <f>(R201-(M231*U179))/R201</f>
        <v>3.6042168619211328</v>
      </c>
      <c r="P231" s="20"/>
      <c r="Q231" s="20"/>
      <c r="R231" s="128">
        <f>(S201-U179)/S201</f>
        <v>3.2786897541809914</v>
      </c>
      <c r="S231" s="128">
        <f>(S201-V179)/S201</f>
        <v>1.3175223427957119</v>
      </c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135"/>
      <c r="AG231" s="20"/>
      <c r="AH231" s="20"/>
    </row>
    <row r="232" spans="2:48" x14ac:dyDescent="0.15">
      <c r="B232" s="20" t="s">
        <v>346</v>
      </c>
      <c r="C232" s="20" t="s">
        <v>311</v>
      </c>
      <c r="D232" s="20"/>
      <c r="E232" s="20"/>
      <c r="F232" s="20"/>
      <c r="G232" s="20"/>
      <c r="H232" s="20"/>
      <c r="I232" s="20"/>
      <c r="J232" s="20"/>
      <c r="K232" s="20"/>
      <c r="L232" s="20"/>
      <c r="M232" s="168">
        <f>$N$230</f>
        <v>1</v>
      </c>
      <c r="N232" s="20"/>
      <c r="O232" s="128">
        <f>(R201-(M232*U172))/R201</f>
        <v>0.40616009827400895</v>
      </c>
      <c r="P232" s="20"/>
      <c r="Q232" s="20"/>
      <c r="R232" s="128">
        <f>(S201-U172)/S201</f>
        <v>0.48039008598975785</v>
      </c>
      <c r="S232" s="128">
        <f>(S201-V172)/S201</f>
        <v>0.92759533985103193</v>
      </c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135"/>
      <c r="AG232" s="20"/>
      <c r="AH232" s="20"/>
    </row>
    <row r="233" spans="2:48" x14ac:dyDescent="0.15">
      <c r="B233" s="20" t="s">
        <v>349</v>
      </c>
      <c r="C233" s="20" t="s">
        <v>311</v>
      </c>
      <c r="D233" s="20"/>
      <c r="E233" s="20"/>
      <c r="F233" s="20"/>
      <c r="G233" s="20"/>
      <c r="H233" s="20"/>
      <c r="I233" s="20"/>
      <c r="J233" s="20"/>
      <c r="K233" s="20"/>
      <c r="L233" s="20"/>
      <c r="M233" s="168">
        <f>$N$230</f>
        <v>1</v>
      </c>
      <c r="N233" s="20"/>
      <c r="O233" s="128">
        <f>(R201-(M233*U185))/R201</f>
        <v>1</v>
      </c>
      <c r="P233" s="20"/>
      <c r="Q233" s="20"/>
      <c r="R233" s="128">
        <f>(S201-U185)/S201</f>
        <v>1</v>
      </c>
      <c r="S233" s="128">
        <f>(S201-V185)/S201</f>
        <v>1</v>
      </c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135"/>
      <c r="AG233" s="20"/>
      <c r="AH233" s="20"/>
    </row>
    <row r="234" spans="2:48" x14ac:dyDescent="0.15">
      <c r="B234" s="20" t="s">
        <v>395</v>
      </c>
      <c r="C234" s="20" t="s">
        <v>311</v>
      </c>
      <c r="D234" s="20"/>
      <c r="E234" s="20"/>
      <c r="F234" s="20"/>
      <c r="G234" s="20"/>
      <c r="H234" s="20"/>
      <c r="I234" s="20"/>
      <c r="J234" s="20"/>
      <c r="K234" s="20"/>
      <c r="L234" s="20"/>
      <c r="M234" s="168">
        <f>$N$230</f>
        <v>1</v>
      </c>
      <c r="N234" s="20"/>
      <c r="O234" s="128">
        <f>(R201-(M234*U198))/R201</f>
        <v>6.0122488758254024E-2</v>
      </c>
      <c r="P234" s="20"/>
      <c r="Q234" s="20"/>
      <c r="R234" s="128">
        <f>(S201-U198)/S201</f>
        <v>0.17760717766347228</v>
      </c>
      <c r="S234" s="128">
        <f>(S201-V198)/S201</f>
        <v>0.32342740176000745</v>
      </c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135"/>
      <c r="AG234" s="20"/>
      <c r="AH234" s="20"/>
    </row>
    <row r="235" spans="2:48" x14ac:dyDescent="0.15">
      <c r="B235" s="20" t="s">
        <v>299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5">
        <f>S201/U171</f>
        <v>18.714574864278891</v>
      </c>
      <c r="S235" s="25">
        <f>S201/V171</f>
        <v>134.30459608482499</v>
      </c>
      <c r="T235" s="20"/>
      <c r="U235" s="20"/>
      <c r="V235" s="115" t="s">
        <v>11</v>
      </c>
      <c r="W235" s="115" t="s">
        <v>12</v>
      </c>
      <c r="X235" s="115" t="s">
        <v>13</v>
      </c>
      <c r="Y235" s="115" t="s">
        <v>14</v>
      </c>
      <c r="Z235" s="115" t="s">
        <v>15</v>
      </c>
      <c r="AA235" s="115" t="s">
        <v>234</v>
      </c>
      <c r="AB235" s="115" t="s">
        <v>235</v>
      </c>
      <c r="AC235" s="115" t="s">
        <v>236</v>
      </c>
      <c r="AD235" s="115" t="s">
        <v>237</v>
      </c>
      <c r="AE235" s="115" t="s">
        <v>238</v>
      </c>
      <c r="AF235" s="115" t="s">
        <v>403</v>
      </c>
      <c r="AG235" s="115" t="s">
        <v>404</v>
      </c>
      <c r="AH235" s="115" t="s">
        <v>405</v>
      </c>
      <c r="AI235" s="115" t="s">
        <v>406</v>
      </c>
      <c r="AJ235" s="115" t="s">
        <v>407</v>
      </c>
      <c r="AK235" s="115" t="s">
        <v>408</v>
      </c>
      <c r="AL235" s="115" t="s">
        <v>409</v>
      </c>
      <c r="AM235" s="115" t="s">
        <v>410</v>
      </c>
      <c r="AN235" s="115" t="s">
        <v>411</v>
      </c>
      <c r="AO235" s="115" t="s">
        <v>412</v>
      </c>
      <c r="AP235" s="115" t="s">
        <v>413</v>
      </c>
      <c r="AQ235" s="115" t="s">
        <v>414</v>
      </c>
      <c r="AR235" s="115" t="s">
        <v>415</v>
      </c>
      <c r="AS235" s="115" t="s">
        <v>416</v>
      </c>
      <c r="AT235" s="115" t="s">
        <v>417</v>
      </c>
      <c r="AU235" s="115" t="s">
        <v>418</v>
      </c>
      <c r="AV235" s="115" t="s">
        <v>419</v>
      </c>
    </row>
    <row r="236" spans="2:48" x14ac:dyDescent="0.15">
      <c r="B236" s="20" t="s">
        <v>367</v>
      </c>
      <c r="C236" s="20"/>
      <c r="D236" s="20"/>
      <c r="E236" s="20"/>
      <c r="F236" s="20"/>
      <c r="G236" s="20"/>
      <c r="H236" s="20"/>
      <c r="I236" s="185" t="s">
        <v>444</v>
      </c>
      <c r="J236" s="186"/>
      <c r="K236" s="185" t="s">
        <v>445</v>
      </c>
      <c r="L236" s="186"/>
      <c r="M236" s="20"/>
      <c r="N236" s="185" t="s">
        <v>446</v>
      </c>
      <c r="O236" s="186"/>
      <c r="P236" s="185" t="s">
        <v>447</v>
      </c>
      <c r="Q236" s="186"/>
      <c r="R236" s="149">
        <f>1/R235</f>
        <v>5.3434288903283188E-2</v>
      </c>
      <c r="S236" s="149">
        <f>1/S235</f>
        <v>7.4457615684902795E-3</v>
      </c>
      <c r="T236" s="20"/>
      <c r="U236" s="20"/>
      <c r="V236" s="20">
        <f>S201-V237</f>
        <v>772.82115019518892</v>
      </c>
      <c r="W236" s="181">
        <f>V236-W237</f>
        <v>744.28335790013739</v>
      </c>
      <c r="X236" s="181">
        <f t="shared" ref="X236:Z236" si="633">W236-X237</f>
        <v>714.31867599033319</v>
      </c>
      <c r="Y236" s="181">
        <f t="shared" si="633"/>
        <v>682.85575998503884</v>
      </c>
      <c r="Z236" s="181">
        <f t="shared" si="633"/>
        <v>649.8196981794797</v>
      </c>
      <c r="AA236" s="181">
        <f>Z236-AA237</f>
        <v>615.13183328364266</v>
      </c>
      <c r="AB236" s="181">
        <f t="shared" ref="AB236:AE236" si="634">AA236-AB237</f>
        <v>578.70957514301381</v>
      </c>
      <c r="AC236" s="181">
        <f t="shared" si="634"/>
        <v>540.46620409535342</v>
      </c>
      <c r="AD236" s="181">
        <f t="shared" si="634"/>
        <v>500.31066449531005</v>
      </c>
      <c r="AE236" s="181">
        <f t="shared" si="634"/>
        <v>458.1473479152645</v>
      </c>
      <c r="AF236" s="181">
        <f t="shared" ref="AF236" si="635">AE236-AF237</f>
        <v>413.87586550621666</v>
      </c>
      <c r="AG236" s="181">
        <f t="shared" ref="AG236" si="636">AF236-AG237</f>
        <v>367.39080897671647</v>
      </c>
      <c r="AH236" s="181">
        <f t="shared" ref="AH236" si="637">AG236-AH237</f>
        <v>318.58149962074123</v>
      </c>
      <c r="AI236" s="181">
        <f t="shared" ref="AI236" si="638">AH236-AI237</f>
        <v>267.33172479696725</v>
      </c>
      <c r="AJ236" s="181">
        <f t="shared" ref="AJ236" si="639">AI236-AJ237</f>
        <v>213.51946123200457</v>
      </c>
      <c r="AK236" s="181">
        <f t="shared" ref="AK236" si="640">AJ236-AK237</f>
        <v>157.01658448879374</v>
      </c>
      <c r="AL236" s="181">
        <f t="shared" ref="AL236" si="641">AK236-AL237</f>
        <v>97.688563908422367</v>
      </c>
      <c r="AM236" s="181">
        <f t="shared" ref="AM236" si="642">AL236-AM237</f>
        <v>35.394142299032424</v>
      </c>
      <c r="AN236" s="181">
        <f t="shared" ref="AN236" si="643">AM236-AN237</f>
        <v>-30.015000390827012</v>
      </c>
      <c r="AO236" s="181">
        <f t="shared" ref="AO236" si="644">AN236-AO237</f>
        <v>-98.69460021517942</v>
      </c>
      <c r="AP236" s="181">
        <f t="shared" ref="AP236" si="645">AO236-AP237</f>
        <v>-170.80818003074944</v>
      </c>
      <c r="AQ236" s="181">
        <f t="shared" ref="AQ236" si="646">AP236-AQ237</f>
        <v>-246.52743883709798</v>
      </c>
      <c r="AR236" s="181">
        <f t="shared" ref="AR236" si="647">AQ236-AR237</f>
        <v>-326.03266058376391</v>
      </c>
      <c r="AS236" s="181">
        <f t="shared" ref="AS236" si="648">AR236-AS237</f>
        <v>-409.51314341776322</v>
      </c>
      <c r="AT236" s="181">
        <f t="shared" ref="AT236" si="649">AS236-AT237</f>
        <v>-497.16765039346245</v>
      </c>
      <c r="AU236" s="181">
        <f t="shared" ref="AU236" si="650">AT236-AU237</f>
        <v>-589.2048827179467</v>
      </c>
      <c r="AV236" s="181">
        <f t="shared" ref="AV236" si="651">AU236-AV237</f>
        <v>-685.84397665865515</v>
      </c>
    </row>
    <row r="237" spans="2:48" x14ac:dyDescent="0.15">
      <c r="B237" s="20" t="s">
        <v>392</v>
      </c>
      <c r="C237" s="20"/>
      <c r="D237" s="20"/>
      <c r="E237" s="20"/>
      <c r="F237" s="20"/>
      <c r="G237" s="20"/>
      <c r="H237" s="20"/>
      <c r="I237" s="187">
        <v>0</v>
      </c>
      <c r="J237" s="186"/>
      <c r="K237" s="187">
        <v>0.05</v>
      </c>
      <c r="L237" s="186"/>
      <c r="M237" s="180">
        <f>R1</f>
        <v>0.05</v>
      </c>
      <c r="N237" s="187">
        <v>0.12</v>
      </c>
      <c r="O237" s="186"/>
      <c r="P237" s="187">
        <v>0.2</v>
      </c>
      <c r="Q237" s="193" t="s">
        <v>280</v>
      </c>
      <c r="R237" s="177">
        <f>S201/U170</f>
        <v>86.690870032223415</v>
      </c>
      <c r="S237" s="177" t="s">
        <v>464</v>
      </c>
      <c r="T237" s="20"/>
      <c r="U237" s="20"/>
      <c r="V237" s="182">
        <f>T170*(1+$M$237)</f>
        <v>27.178849804811026</v>
      </c>
      <c r="W237" s="182">
        <f>V237*(1+$M$237)</f>
        <v>28.537792295051577</v>
      </c>
      <c r="X237" s="182">
        <f t="shared" ref="X237:AE237" si="652">W237*(1+$M$237)</f>
        <v>29.964681909804156</v>
      </c>
      <c r="Y237" s="182">
        <f t="shared" si="652"/>
        <v>31.462916005294364</v>
      </c>
      <c r="Z237" s="182">
        <f t="shared" si="652"/>
        <v>33.036061805559086</v>
      </c>
      <c r="AA237" s="182">
        <f t="shared" si="652"/>
        <v>34.687864895837045</v>
      </c>
      <c r="AB237" s="182">
        <f t="shared" si="652"/>
        <v>36.422258140628898</v>
      </c>
      <c r="AC237" s="182">
        <f t="shared" si="652"/>
        <v>38.243371047660347</v>
      </c>
      <c r="AD237" s="182">
        <f t="shared" si="652"/>
        <v>40.155539600043369</v>
      </c>
      <c r="AE237" s="182">
        <f t="shared" si="652"/>
        <v>42.163316580045539</v>
      </c>
      <c r="AF237" s="182">
        <f t="shared" ref="AF237" si="653">AE237*(1+$M$237)</f>
        <v>44.27148240904782</v>
      </c>
      <c r="AG237" s="182">
        <f t="shared" ref="AG237" si="654">AF237*(1+$M$237)</f>
        <v>46.485056529500213</v>
      </c>
      <c r="AH237" s="182">
        <f t="shared" ref="AH237" si="655">AG237*(1+$M$237)</f>
        <v>48.809309355975223</v>
      </c>
      <c r="AI237" s="182">
        <f t="shared" ref="AI237" si="656">AH237*(1+$M$237)</f>
        <v>51.24977482377399</v>
      </c>
      <c r="AJ237" s="182">
        <f t="shared" ref="AJ237" si="657">AI237*(1+$M$237)</f>
        <v>53.812263564962691</v>
      </c>
      <c r="AK237" s="182">
        <f t="shared" ref="AK237" si="658">AJ237*(1+$M$237)</f>
        <v>56.502876743210827</v>
      </c>
      <c r="AL237" s="182">
        <f t="shared" ref="AL237" si="659">AK237*(1+$M$237)</f>
        <v>59.328020580371373</v>
      </c>
      <c r="AM237" s="182">
        <f t="shared" ref="AM237" si="660">AL237*(1+$M$237)</f>
        <v>62.294421609389943</v>
      </c>
      <c r="AN237" s="182">
        <f t="shared" ref="AN237" si="661">AM237*(1+$M$237)</f>
        <v>65.409142689859436</v>
      </c>
      <c r="AO237" s="182">
        <f t="shared" ref="AO237" si="662">AN237*(1+$M$237)</f>
        <v>68.679599824352408</v>
      </c>
      <c r="AP237" s="182">
        <f t="shared" ref="AP237" si="663">AO237*(1+$M$237)</f>
        <v>72.113579815570034</v>
      </c>
      <c r="AQ237" s="182">
        <f t="shared" ref="AQ237" si="664">AP237*(1+$M$237)</f>
        <v>75.719258806348535</v>
      </c>
      <c r="AR237" s="182">
        <f t="shared" ref="AR237" si="665">AQ237*(1+$M$237)</f>
        <v>79.505221746665967</v>
      </c>
      <c r="AS237" s="182">
        <f t="shared" ref="AS237" si="666">AR237*(1+$M$237)</f>
        <v>83.480482833999275</v>
      </c>
      <c r="AT237" s="182">
        <f t="shared" ref="AT237" si="667">AS237*(1+$M$237)</f>
        <v>87.654506975699249</v>
      </c>
      <c r="AU237" s="182">
        <f t="shared" ref="AU237" si="668">AT237*(1+$M$237)</f>
        <v>92.037232324484222</v>
      </c>
      <c r="AV237" s="182">
        <f t="shared" ref="AV237" si="669">AU237*(1+$M$237)</f>
        <v>96.639093940708435</v>
      </c>
    </row>
    <row r="238" spans="2:48" x14ac:dyDescent="0.15">
      <c r="B238" s="20" t="s">
        <v>391</v>
      </c>
      <c r="C238" s="20"/>
      <c r="D238" s="20"/>
      <c r="E238" s="23" t="s">
        <v>497</v>
      </c>
      <c r="F238" s="23"/>
      <c r="G238" s="23"/>
      <c r="H238" s="212">
        <v>18</v>
      </c>
      <c r="I238" s="187">
        <v>0</v>
      </c>
      <c r="J238" s="212">
        <v>13</v>
      </c>
      <c r="K238" s="187">
        <v>0.05</v>
      </c>
      <c r="L238" s="212">
        <v>9</v>
      </c>
      <c r="M238" s="180">
        <v>0.05</v>
      </c>
      <c r="N238" s="187">
        <v>0.12</v>
      </c>
      <c r="O238" s="212">
        <v>7</v>
      </c>
      <c r="P238" s="187">
        <v>0.2</v>
      </c>
      <c r="Q238" s="193" t="s">
        <v>463</v>
      </c>
      <c r="R238" s="177">
        <f>S201/S72</f>
        <v>42.770037889828039</v>
      </c>
      <c r="S238" s="177" t="s">
        <v>464</v>
      </c>
      <c r="T238" s="20"/>
      <c r="U238" s="20"/>
      <c r="V238" s="182">
        <f>S72*(1+$M$238)</f>
        <v>19.639917134601756</v>
      </c>
      <c r="W238" s="182">
        <f>V238*(1+$M$238)</f>
        <v>20.621912991331843</v>
      </c>
      <c r="X238" s="182">
        <f t="shared" ref="X238:AE238" si="670">W238*(1+$M$238)</f>
        <v>21.653008640898438</v>
      </c>
      <c r="Y238" s="182">
        <f t="shared" si="670"/>
        <v>22.73565907294336</v>
      </c>
      <c r="Z238" s="182">
        <f t="shared" si="670"/>
        <v>23.87244202659053</v>
      </c>
      <c r="AA238" s="182">
        <f t="shared" si="670"/>
        <v>25.066064127920058</v>
      </c>
      <c r="AB238" s="182">
        <f t="shared" si="670"/>
        <v>26.319367334316063</v>
      </c>
      <c r="AC238" s="182">
        <f t="shared" si="670"/>
        <v>27.635335701031867</v>
      </c>
      <c r="AD238" s="182">
        <f t="shared" si="670"/>
        <v>29.017102486083463</v>
      </c>
      <c r="AE238" s="182">
        <f t="shared" si="670"/>
        <v>30.467957610387636</v>
      </c>
      <c r="AF238" s="182">
        <f t="shared" ref="AF238" si="671">AE238*(1+$M$238)</f>
        <v>31.991355490907019</v>
      </c>
      <c r="AG238" s="182">
        <f t="shared" ref="AG238" si="672">AF238*(1+$M$238)</f>
        <v>33.590923265452368</v>
      </c>
      <c r="AH238" s="182">
        <f t="shared" ref="AH238" si="673">AG238*(1+$M$238)</f>
        <v>35.270469428724986</v>
      </c>
      <c r="AI238" s="182">
        <f t="shared" ref="AI238" si="674">AH238*(1+$M$238)</f>
        <v>37.033992900161238</v>
      </c>
      <c r="AJ238" s="182">
        <f t="shared" ref="AJ238" si="675">AI238*(1+$M$238)</f>
        <v>38.885692545169299</v>
      </c>
      <c r="AK238" s="182">
        <f t="shared" ref="AK238" si="676">AJ238*(1+$M$238)</f>
        <v>40.829977172427768</v>
      </c>
      <c r="AL238" s="182">
        <f t="shared" ref="AL238" si="677">AK238*(1+$M$238)</f>
        <v>42.871476031049156</v>
      </c>
      <c r="AM238" s="182">
        <f t="shared" ref="AM238" si="678">AL238*(1+$M$238)</f>
        <v>45.015049832601612</v>
      </c>
      <c r="AN238" s="182">
        <f t="shared" ref="AN238" si="679">AM238*(1+$M$238)</f>
        <v>47.265802324231693</v>
      </c>
      <c r="AO238" s="182">
        <f t="shared" ref="AO238" si="680">AN238*(1+$M$238)</f>
        <v>49.62909244044328</v>
      </c>
      <c r="AP238" s="182">
        <f t="shared" ref="AP238" si="681">AO238*(1+$M$238)</f>
        <v>52.110547062465443</v>
      </c>
      <c r="AQ238" s="182">
        <f t="shared" ref="AQ238" si="682">AP238*(1+$M$238)</f>
        <v>54.716074415588714</v>
      </c>
      <c r="AR238" s="182">
        <f t="shared" ref="AR238" si="683">AQ238*(1+$M$238)</f>
        <v>57.451878136368151</v>
      </c>
      <c r="AS238" s="182">
        <f t="shared" ref="AS238" si="684">AR238*(1+$M$238)</f>
        <v>60.32447204318656</v>
      </c>
      <c r="AT238" s="182">
        <f t="shared" ref="AT238" si="685">AS238*(1+$M$238)</f>
        <v>63.340695645345889</v>
      </c>
      <c r="AU238" s="182">
        <f t="shared" ref="AU238" si="686">AT238*(1+$M$238)</f>
        <v>66.507730427613183</v>
      </c>
      <c r="AV238" s="182">
        <f t="shared" ref="AV238" si="687">AU238*(1+$M$238)</f>
        <v>69.833116948993847</v>
      </c>
    </row>
    <row r="239" spans="2:48" x14ac:dyDescent="0.15">
      <c r="B239" s="20"/>
      <c r="C239" s="20"/>
      <c r="D239" s="20"/>
      <c r="E239" s="23" t="s">
        <v>498</v>
      </c>
      <c r="F239" s="23"/>
      <c r="G239" s="23"/>
      <c r="H239" s="212"/>
      <c r="I239" s="187">
        <v>0</v>
      </c>
      <c r="J239" s="212"/>
      <c r="K239" s="187">
        <v>0.05</v>
      </c>
      <c r="L239" s="212"/>
      <c r="M239" s="186"/>
      <c r="N239" s="187">
        <v>0.12</v>
      </c>
      <c r="O239" s="212"/>
      <c r="P239" s="187">
        <v>0.2</v>
      </c>
      <c r="Q239" s="20"/>
      <c r="R239" s="20"/>
      <c r="S239" s="20"/>
      <c r="T239" s="20"/>
      <c r="U239" s="20"/>
      <c r="V239" s="20">
        <f>S201-V238</f>
        <v>780.36008286539823</v>
      </c>
      <c r="W239" s="181">
        <f>V239-W238</f>
        <v>759.73816987406633</v>
      </c>
      <c r="X239" s="181">
        <f t="shared" ref="X239:AC239" si="688">W239-X238</f>
        <v>738.08516123316792</v>
      </c>
      <c r="Y239" s="181">
        <f t="shared" si="688"/>
        <v>715.34950216022457</v>
      </c>
      <c r="Z239" s="181">
        <f t="shared" si="688"/>
        <v>691.47706013363404</v>
      </c>
      <c r="AA239" s="181">
        <f t="shared" si="688"/>
        <v>666.41099600571397</v>
      </c>
      <c r="AB239" s="181">
        <f t="shared" si="688"/>
        <v>640.09162867139787</v>
      </c>
      <c r="AC239" s="181">
        <f t="shared" si="688"/>
        <v>612.45629297036601</v>
      </c>
      <c r="AD239" s="181">
        <f>AC239-AD238</f>
        <v>583.43919048428256</v>
      </c>
      <c r="AE239" s="181">
        <f t="shared" ref="AE239" si="689">AD239-AE238</f>
        <v>552.97123287389491</v>
      </c>
      <c r="AF239" s="181">
        <f t="shared" ref="AF239" si="690">AE239-AF238</f>
        <v>520.97987738298787</v>
      </c>
      <c r="AG239" s="181">
        <f t="shared" ref="AG239" si="691">AF239-AG238</f>
        <v>487.38895411753549</v>
      </c>
      <c r="AH239" s="181">
        <f t="shared" ref="AH239" si="692">AG239-AH238</f>
        <v>452.1184846888105</v>
      </c>
      <c r="AI239" s="181">
        <f t="shared" ref="AI239" si="693">AH239-AI238</f>
        <v>415.08449178864925</v>
      </c>
      <c r="AJ239" s="181">
        <f t="shared" ref="AJ239" si="694">AI239-AJ238</f>
        <v>376.19879924347993</v>
      </c>
      <c r="AK239" s="181">
        <f t="shared" ref="AK239" si="695">AJ239-AK238</f>
        <v>335.36882207105214</v>
      </c>
      <c r="AL239" s="181">
        <f t="shared" ref="AL239" si="696">AK239-AL238</f>
        <v>292.49734604000298</v>
      </c>
      <c r="AM239" s="181">
        <f t="shared" ref="AM239" si="697">AL239-AM238</f>
        <v>247.48229620740136</v>
      </c>
      <c r="AN239" s="181">
        <f t="shared" ref="AN239" si="698">AM239-AN238</f>
        <v>200.21649388316968</v>
      </c>
      <c r="AO239" s="181">
        <f t="shared" ref="AO239" si="699">AN239-AO238</f>
        <v>150.58740144272639</v>
      </c>
      <c r="AP239" s="181">
        <f t="shared" ref="AP239" si="700">AO239-AP238</f>
        <v>98.476854380260946</v>
      </c>
      <c r="AQ239" s="181">
        <f t="shared" ref="AQ239" si="701">AP239-AQ238</f>
        <v>43.760779964672231</v>
      </c>
      <c r="AR239" s="181">
        <f t="shared" ref="AR239" si="702">AQ239-AR238</f>
        <v>-13.69109817169592</v>
      </c>
      <c r="AS239" s="181">
        <f t="shared" ref="AS239" si="703">AR239-AS238</f>
        <v>-74.015570214882473</v>
      </c>
      <c r="AT239" s="181">
        <f t="shared" ref="AT239" si="704">AS239-AT238</f>
        <v>-137.35626586022835</v>
      </c>
      <c r="AU239" s="181">
        <f t="shared" ref="AU239" si="705">AT239-AU238</f>
        <v>-203.86399628784153</v>
      </c>
      <c r="AV239" s="181">
        <f t="shared" ref="AV239" si="706">AU239-AV238</f>
        <v>-273.69711323683538</v>
      </c>
    </row>
    <row r="240" spans="2:48" x14ac:dyDescent="0.15">
      <c r="B240" s="108" t="s">
        <v>301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</row>
    <row r="241" spans="2:34" x14ac:dyDescent="0.15">
      <c r="B241" s="20" t="s">
        <v>304</v>
      </c>
      <c r="C241" s="25"/>
      <c r="D241" s="25"/>
      <c r="E241" s="25"/>
      <c r="F241" s="25"/>
      <c r="G241" s="25">
        <f t="shared" ref="G241:H241" si="707">G10/G7</f>
        <v>5.9255663430420711</v>
      </c>
      <c r="H241" s="25">
        <f t="shared" si="707"/>
        <v>5.1331521739130439</v>
      </c>
      <c r="I241" s="25">
        <f t="shared" ref="I241:S241" si="708">I10/I7</f>
        <v>5.0549158547387067</v>
      </c>
      <c r="J241" s="25">
        <f t="shared" si="708"/>
        <v>6.0245323520392517</v>
      </c>
      <c r="K241" s="25">
        <f t="shared" si="708"/>
        <v>4.4991499489969398</v>
      </c>
      <c r="L241" s="25">
        <f t="shared" si="708"/>
        <v>3.762019957665558</v>
      </c>
      <c r="M241" s="25">
        <f t="shared" si="708"/>
        <v>4.4826114249843068</v>
      </c>
      <c r="N241" s="25">
        <f t="shared" si="708"/>
        <v>4.4900445495045007</v>
      </c>
      <c r="O241" s="25">
        <f t="shared" si="708"/>
        <v>5.075763432547352</v>
      </c>
      <c r="P241" s="25">
        <f t="shared" si="708"/>
        <v>5.6698107028230824</v>
      </c>
      <c r="Q241" s="25">
        <f t="shared" si="708"/>
        <v>4.4747432404108149</v>
      </c>
      <c r="R241" s="25">
        <f t="shared" si="708"/>
        <v>4.7088207398039836</v>
      </c>
      <c r="S241" s="25">
        <f t="shared" si="708"/>
        <v>5.3853854453902406</v>
      </c>
      <c r="T241" s="118">
        <f t="shared" ref="T241:T243" si="709">((R241/I241)^(1/($J$2-$J$1) ))-1</f>
        <v>-5.8928771033114336E-3</v>
      </c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</row>
    <row r="242" spans="2:34" x14ac:dyDescent="0.15">
      <c r="B242" s="20" t="s">
        <v>305</v>
      </c>
      <c r="C242" s="112"/>
      <c r="D242" s="112"/>
      <c r="E242" s="112"/>
      <c r="F242" s="112"/>
      <c r="G242" s="112" t="e">
        <f t="shared" ref="G242:H242" si="710">G10/G12</f>
        <v>#DIV/0!</v>
      </c>
      <c r="H242" s="112" t="e">
        <f t="shared" si="710"/>
        <v>#DIV/0!</v>
      </c>
      <c r="I242" s="112" t="e">
        <f t="shared" ref="I242:S242" si="711">I10/I12</f>
        <v>#DIV/0!</v>
      </c>
      <c r="J242" s="112" t="e">
        <f t="shared" si="711"/>
        <v>#DIV/0!</v>
      </c>
      <c r="K242" s="112" t="e">
        <f t="shared" si="711"/>
        <v>#DIV/0!</v>
      </c>
      <c r="L242" s="112" t="e">
        <f t="shared" si="711"/>
        <v>#DIV/0!</v>
      </c>
      <c r="M242" s="112" t="e">
        <f t="shared" si="711"/>
        <v>#DIV/0!</v>
      </c>
      <c r="N242" s="112" t="e">
        <f t="shared" si="711"/>
        <v>#DIV/0!</v>
      </c>
      <c r="O242" s="112" t="e">
        <f t="shared" si="711"/>
        <v>#DIV/0!</v>
      </c>
      <c r="P242" s="112" t="e">
        <f t="shared" si="711"/>
        <v>#DIV/0!</v>
      </c>
      <c r="Q242" s="112" t="e">
        <f t="shared" si="711"/>
        <v>#DIV/0!</v>
      </c>
      <c r="R242" s="112" t="e">
        <f t="shared" si="711"/>
        <v>#DIV/0!</v>
      </c>
      <c r="S242" s="112" t="e">
        <f t="shared" si="711"/>
        <v>#DIV/0!</v>
      </c>
      <c r="T242" s="118" t="e">
        <f t="shared" si="709"/>
        <v>#DIV/0!</v>
      </c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</row>
    <row r="243" spans="2:34" x14ac:dyDescent="0.15">
      <c r="B243" s="20" t="s">
        <v>306</v>
      </c>
      <c r="C243" s="25"/>
      <c r="D243" s="25"/>
      <c r="E243" s="25"/>
      <c r="F243" s="25"/>
      <c r="G243" s="25" t="e">
        <f t="shared" ref="G243:H243" si="712">G10/(G12+G13)</f>
        <v>#DIV/0!</v>
      </c>
      <c r="H243" s="25" t="e">
        <f t="shared" si="712"/>
        <v>#DIV/0!</v>
      </c>
      <c r="I243" s="25" t="e">
        <f t="shared" ref="I243:S243" si="713">I10/(I12+I13)</f>
        <v>#DIV/0!</v>
      </c>
      <c r="J243" s="25" t="e">
        <f t="shared" si="713"/>
        <v>#DIV/0!</v>
      </c>
      <c r="K243" s="25" t="e">
        <f t="shared" si="713"/>
        <v>#DIV/0!</v>
      </c>
      <c r="L243" s="25" t="e">
        <f t="shared" si="713"/>
        <v>#DIV/0!</v>
      </c>
      <c r="M243" s="25" t="e">
        <f t="shared" si="713"/>
        <v>#DIV/0!</v>
      </c>
      <c r="N243" s="25" t="e">
        <f t="shared" si="713"/>
        <v>#DIV/0!</v>
      </c>
      <c r="O243" s="25" t="e">
        <f t="shared" si="713"/>
        <v>#DIV/0!</v>
      </c>
      <c r="P243" s="25" t="e">
        <f t="shared" si="713"/>
        <v>#DIV/0!</v>
      </c>
      <c r="Q243" s="25" t="e">
        <f t="shared" si="713"/>
        <v>#DIV/0!</v>
      </c>
      <c r="R243" s="25" t="e">
        <f t="shared" si="713"/>
        <v>#DIV/0!</v>
      </c>
      <c r="S243" s="25" t="e">
        <f t="shared" si="713"/>
        <v>#DIV/0!</v>
      </c>
      <c r="T243" s="118" t="e">
        <f t="shared" si="709"/>
        <v>#DIV/0!</v>
      </c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</row>
    <row r="244" spans="2:34" x14ac:dyDescent="0.15"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</row>
    <row r="245" spans="2:34" x14ac:dyDescent="0.15"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</row>
    <row r="246" spans="2:34" x14ac:dyDescent="0.15">
      <c r="B246" s="20"/>
      <c r="C246" s="170" t="s">
        <v>373</v>
      </c>
      <c r="D246" s="171"/>
      <c r="E246" s="171"/>
      <c r="F246" s="171"/>
      <c r="G246" s="171"/>
      <c r="H246" s="171"/>
      <c r="I246" s="171"/>
      <c r="J246" s="171"/>
      <c r="K246" s="171"/>
      <c r="L246" s="171"/>
      <c r="M246" s="20"/>
      <c r="N246" s="221" t="s">
        <v>333</v>
      </c>
      <c r="O246" s="222"/>
      <c r="P246" s="223"/>
      <c r="Q246" s="23" t="s">
        <v>336</v>
      </c>
      <c r="R246" s="20"/>
      <c r="S246" s="135"/>
      <c r="T246" s="221" t="s">
        <v>334</v>
      </c>
      <c r="U246" s="222"/>
      <c r="V246" s="223"/>
      <c r="W246" s="23" t="s">
        <v>336</v>
      </c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</row>
    <row r="247" spans="2:34" x14ac:dyDescent="0.15">
      <c r="B247" s="20"/>
      <c r="C247" s="163" t="s">
        <v>335</v>
      </c>
      <c r="D247" s="163" t="s">
        <v>0</v>
      </c>
      <c r="E247" s="163" t="s">
        <v>374</v>
      </c>
      <c r="F247" s="163"/>
      <c r="G247" s="163"/>
      <c r="H247" s="163" t="s">
        <v>375</v>
      </c>
      <c r="I247" s="163" t="s">
        <v>376</v>
      </c>
      <c r="J247" s="163" t="s">
        <v>377</v>
      </c>
      <c r="K247" s="163" t="s">
        <v>378</v>
      </c>
      <c r="L247" s="163" t="s">
        <v>379</v>
      </c>
      <c r="M247" s="20"/>
      <c r="N247" s="163" t="s">
        <v>335</v>
      </c>
      <c r="O247" s="163"/>
      <c r="P247" s="163" t="s">
        <v>0</v>
      </c>
      <c r="Q247" s="163" t="s">
        <v>368</v>
      </c>
      <c r="R247" s="20"/>
      <c r="S247" s="20"/>
      <c r="T247" s="163" t="s">
        <v>335</v>
      </c>
      <c r="U247" s="163"/>
      <c r="V247" s="163" t="s">
        <v>0</v>
      </c>
      <c r="W247" s="163" t="s">
        <v>368</v>
      </c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</row>
    <row r="248" spans="2:34" x14ac:dyDescent="0.15">
      <c r="B248" s="20"/>
      <c r="C248" s="164" t="s">
        <v>337</v>
      </c>
      <c r="D248" s="21">
        <v>380</v>
      </c>
      <c r="E248" s="172" t="s">
        <v>380</v>
      </c>
      <c r="F248" s="172"/>
      <c r="G248" s="172"/>
      <c r="H248" s="22">
        <v>1</v>
      </c>
      <c r="I248" s="22">
        <v>1</v>
      </c>
      <c r="J248" s="164">
        <f>H248/I248</f>
        <v>1</v>
      </c>
      <c r="K248" s="164">
        <f>J248*D249</f>
        <v>2</v>
      </c>
      <c r="L248" s="173">
        <f>K248+D249</f>
        <v>4</v>
      </c>
      <c r="M248" s="20"/>
      <c r="N248" s="164" t="s">
        <v>337</v>
      </c>
      <c r="O248" s="164"/>
      <c r="P248" s="21">
        <v>20</v>
      </c>
      <c r="Q248" s="169">
        <f>P248</f>
        <v>20</v>
      </c>
      <c r="R248" s="20"/>
      <c r="S248" s="20"/>
      <c r="T248" s="164" t="s">
        <v>337</v>
      </c>
      <c r="U248" s="164"/>
      <c r="V248" s="21">
        <v>1</v>
      </c>
      <c r="W248" s="169">
        <f>V248</f>
        <v>1</v>
      </c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</row>
    <row r="249" spans="2:34" x14ac:dyDescent="0.15">
      <c r="B249" s="20"/>
      <c r="C249" s="164" t="s">
        <v>338</v>
      </c>
      <c r="D249" s="21">
        <v>2</v>
      </c>
      <c r="E249" s="172" t="s">
        <v>381</v>
      </c>
      <c r="F249" s="172"/>
      <c r="G249" s="172"/>
      <c r="H249" s="22">
        <v>3</v>
      </c>
      <c r="I249" s="22">
        <v>2</v>
      </c>
      <c r="J249" s="164">
        <f>H249/I249</f>
        <v>1.5</v>
      </c>
      <c r="K249" s="164">
        <f>J249*L248</f>
        <v>6</v>
      </c>
      <c r="L249" s="164">
        <f>K249+L248</f>
        <v>10</v>
      </c>
      <c r="M249" s="20"/>
      <c r="N249" s="164" t="s">
        <v>338</v>
      </c>
      <c r="O249" s="164"/>
      <c r="P249" s="21">
        <v>1</v>
      </c>
      <c r="Q249" s="169">
        <f>P249</f>
        <v>1</v>
      </c>
      <c r="R249" s="20"/>
      <c r="S249" s="20"/>
      <c r="T249" s="164" t="s">
        <v>338</v>
      </c>
      <c r="U249" s="164"/>
      <c r="V249" s="21">
        <v>1</v>
      </c>
      <c r="W249" s="169">
        <f>V249</f>
        <v>1</v>
      </c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</row>
    <row r="250" spans="2:34" x14ac:dyDescent="0.15">
      <c r="B250" s="20"/>
      <c r="C250" s="164" t="s">
        <v>340</v>
      </c>
      <c r="D250" s="165">
        <f>D248*D249</f>
        <v>760</v>
      </c>
      <c r="E250" s="172" t="s">
        <v>393</v>
      </c>
      <c r="F250" s="172"/>
      <c r="G250" s="172"/>
      <c r="H250" s="22">
        <v>1</v>
      </c>
      <c r="I250" s="22">
        <v>1</v>
      </c>
      <c r="J250" s="164">
        <f>H250/I250</f>
        <v>1</v>
      </c>
      <c r="K250" s="164">
        <f>J250*L249</f>
        <v>10</v>
      </c>
      <c r="L250" s="164">
        <f>K250+L249</f>
        <v>20</v>
      </c>
      <c r="M250" s="20"/>
      <c r="N250" s="164" t="s">
        <v>339</v>
      </c>
      <c r="O250" s="164"/>
      <c r="P250" s="165">
        <f>P248*P249</f>
        <v>20</v>
      </c>
      <c r="Q250" s="169">
        <f>P250</f>
        <v>20</v>
      </c>
      <c r="R250" s="20"/>
      <c r="S250" s="20"/>
      <c r="T250" s="164" t="s">
        <v>340</v>
      </c>
      <c r="U250" s="164"/>
      <c r="V250" s="165">
        <f>V248*V249</f>
        <v>1</v>
      </c>
      <c r="W250" s="169">
        <f>V250</f>
        <v>1</v>
      </c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</row>
    <row r="251" spans="2:34" x14ac:dyDescent="0.15">
      <c r="B251" s="20"/>
      <c r="C251" s="164"/>
      <c r="D251" s="165"/>
      <c r="E251" s="172" t="s">
        <v>450</v>
      </c>
      <c r="F251" s="172"/>
      <c r="G251" s="172"/>
      <c r="H251" s="22">
        <v>0</v>
      </c>
      <c r="I251" s="22">
        <v>1</v>
      </c>
      <c r="J251" s="164">
        <f t="shared" ref="J251:J254" si="714">H251/I251</f>
        <v>0</v>
      </c>
      <c r="K251" s="164">
        <f t="shared" ref="K251:K253" si="715">J251*L250</f>
        <v>0</v>
      </c>
      <c r="L251" s="164">
        <f t="shared" ref="L251:L253" si="716">K251+L250</f>
        <v>20</v>
      </c>
      <c r="M251" s="20"/>
      <c r="N251" s="164" t="s">
        <v>341</v>
      </c>
      <c r="O251" s="164"/>
      <c r="P251" s="21">
        <v>670</v>
      </c>
      <c r="Q251" s="21">
        <v>820</v>
      </c>
      <c r="R251" s="20"/>
      <c r="S251" s="20"/>
      <c r="T251" s="164" t="s">
        <v>341</v>
      </c>
      <c r="U251" s="164"/>
      <c r="V251" s="21">
        <v>1</v>
      </c>
      <c r="W251" s="21">
        <v>1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</row>
    <row r="252" spans="2:34" x14ac:dyDescent="0.15">
      <c r="B252" s="20"/>
      <c r="C252" s="164"/>
      <c r="D252" s="165"/>
      <c r="E252" s="172" t="s">
        <v>451</v>
      </c>
      <c r="F252" s="172"/>
      <c r="G252" s="172"/>
      <c r="H252" s="22">
        <v>0</v>
      </c>
      <c r="I252" s="22">
        <v>1</v>
      </c>
      <c r="J252" s="164">
        <f t="shared" si="714"/>
        <v>0</v>
      </c>
      <c r="K252" s="164">
        <f t="shared" si="715"/>
        <v>0</v>
      </c>
      <c r="L252" s="164">
        <f t="shared" si="716"/>
        <v>20</v>
      </c>
      <c r="M252" s="20"/>
      <c r="N252" s="164" t="s">
        <v>342</v>
      </c>
      <c r="O252" s="164"/>
      <c r="P252" s="165">
        <f>P251*P249</f>
        <v>670</v>
      </c>
      <c r="Q252" s="165">
        <f>Q251*Q249</f>
        <v>820</v>
      </c>
      <c r="R252" s="20"/>
      <c r="S252" s="20"/>
      <c r="T252" s="164" t="s">
        <v>338</v>
      </c>
      <c r="U252" s="164"/>
      <c r="V252" s="21">
        <v>1</v>
      </c>
      <c r="W252" s="127">
        <f>V252</f>
        <v>1</v>
      </c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</row>
    <row r="253" spans="2:34" x14ac:dyDescent="0.15">
      <c r="B253" s="20"/>
      <c r="C253" s="164"/>
      <c r="D253" s="165"/>
      <c r="E253" s="172" t="s">
        <v>452</v>
      </c>
      <c r="F253" s="172"/>
      <c r="G253" s="172"/>
      <c r="H253" s="22">
        <v>0</v>
      </c>
      <c r="I253" s="22">
        <v>1</v>
      </c>
      <c r="J253" s="164">
        <f t="shared" si="714"/>
        <v>0</v>
      </c>
      <c r="K253" s="164">
        <f t="shared" si="715"/>
        <v>0</v>
      </c>
      <c r="L253" s="164">
        <f t="shared" si="716"/>
        <v>20</v>
      </c>
      <c r="M253" s="20"/>
      <c r="N253" s="164"/>
      <c r="O253" s="164"/>
      <c r="P253" s="165"/>
      <c r="Q253" s="165"/>
      <c r="R253" s="20"/>
      <c r="S253" s="20"/>
      <c r="T253" s="164" t="s">
        <v>340</v>
      </c>
      <c r="U253" s="164"/>
      <c r="V253" s="165">
        <f>V252*V251</f>
        <v>1</v>
      </c>
      <c r="W253" s="165">
        <f>W252*W251</f>
        <v>1</v>
      </c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</row>
    <row r="254" spans="2:34" x14ac:dyDescent="0.15">
      <c r="B254" s="20"/>
      <c r="C254" s="164"/>
      <c r="D254" s="165"/>
      <c r="E254" s="172" t="s">
        <v>382</v>
      </c>
      <c r="F254" s="172"/>
      <c r="G254" s="172"/>
      <c r="H254" s="22">
        <v>10</v>
      </c>
      <c r="I254" s="22">
        <v>5</v>
      </c>
      <c r="J254" s="164">
        <f t="shared" si="714"/>
        <v>2</v>
      </c>
      <c r="K254" s="164">
        <f>J254*L253</f>
        <v>40</v>
      </c>
      <c r="L254" s="164">
        <f>K254</f>
        <v>40</v>
      </c>
      <c r="M254" s="20"/>
      <c r="N254" s="164"/>
      <c r="O254" s="164"/>
      <c r="P254" s="165"/>
      <c r="Q254" s="165"/>
      <c r="R254" s="20"/>
      <c r="S254" s="20"/>
      <c r="T254" s="164"/>
      <c r="U254" s="164"/>
      <c r="V254" s="165"/>
      <c r="W254" s="165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</row>
    <row r="255" spans="2:34" x14ac:dyDescent="0.15">
      <c r="B255" s="20"/>
      <c r="C255" s="164"/>
      <c r="D255" s="165"/>
      <c r="E255" s="172" t="s">
        <v>453</v>
      </c>
      <c r="F255" s="172"/>
      <c r="G255" s="172"/>
      <c r="H255" s="22">
        <v>0</v>
      </c>
      <c r="I255" s="22">
        <v>1</v>
      </c>
      <c r="J255" s="164">
        <f>H255/I255</f>
        <v>0</v>
      </c>
      <c r="K255" s="164">
        <f>J255*L254</f>
        <v>0</v>
      </c>
      <c r="L255" s="164">
        <f>K255</f>
        <v>0</v>
      </c>
      <c r="M255" s="20"/>
      <c r="N255" s="166" t="s">
        <v>343</v>
      </c>
      <c r="O255" s="166"/>
      <c r="P255" s="167">
        <f>P252/P250</f>
        <v>33.5</v>
      </c>
      <c r="Q255" s="167">
        <f>Q252/Q250</f>
        <v>41</v>
      </c>
      <c r="R255" s="20"/>
      <c r="S255" s="20"/>
      <c r="T255" s="166" t="s">
        <v>343</v>
      </c>
      <c r="U255" s="166"/>
      <c r="V255" s="167">
        <f>V253/V250</f>
        <v>1</v>
      </c>
      <c r="W255" s="167">
        <f>W253/W250</f>
        <v>1</v>
      </c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</row>
    <row r="256" spans="2:34" x14ac:dyDescent="0.15">
      <c r="B256" s="20"/>
      <c r="C256" s="164" t="s">
        <v>341</v>
      </c>
      <c r="D256" s="21">
        <v>700</v>
      </c>
      <c r="E256" s="172"/>
      <c r="F256" s="172"/>
      <c r="G256" s="172"/>
      <c r="H256" s="164"/>
      <c r="I256" s="164"/>
      <c r="J256" s="166" t="s">
        <v>383</v>
      </c>
      <c r="K256" s="164"/>
      <c r="L256" s="164">
        <f>L255</f>
        <v>0</v>
      </c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</row>
    <row r="257" spans="2:34" x14ac:dyDescent="0.15">
      <c r="B257" s="20"/>
      <c r="C257" s="164" t="s">
        <v>338</v>
      </c>
      <c r="D257" s="21">
        <v>40</v>
      </c>
      <c r="E257" s="172" t="s">
        <v>382</v>
      </c>
      <c r="F257" s="172"/>
      <c r="G257" s="172"/>
      <c r="H257" s="22">
        <v>10</v>
      </c>
      <c r="I257" s="22">
        <v>2</v>
      </c>
      <c r="J257" s="164">
        <f>H257/I257</f>
        <v>5</v>
      </c>
      <c r="K257" s="173">
        <f>J257*D249</f>
        <v>10</v>
      </c>
      <c r="L257" s="173">
        <f>K257</f>
        <v>10</v>
      </c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</row>
    <row r="258" spans="2:34" x14ac:dyDescent="0.15">
      <c r="B258" s="20"/>
      <c r="C258" s="164" t="s">
        <v>340</v>
      </c>
      <c r="D258" s="165">
        <f>D257*D256</f>
        <v>28000</v>
      </c>
      <c r="E258" s="164"/>
      <c r="F258" s="164"/>
      <c r="G258" s="164"/>
      <c r="H258" s="164"/>
      <c r="I258" s="164"/>
      <c r="J258" s="166" t="s">
        <v>383</v>
      </c>
      <c r="K258" s="164"/>
      <c r="L258" s="164">
        <f>L257</f>
        <v>10</v>
      </c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</row>
    <row r="259" spans="2:34" x14ac:dyDescent="0.15">
      <c r="B259" s="20"/>
      <c r="C259" s="164"/>
      <c r="D259" s="165"/>
      <c r="E259" s="172" t="s">
        <v>382</v>
      </c>
      <c r="F259" s="172"/>
      <c r="G259" s="172"/>
      <c r="H259" s="22">
        <v>10</v>
      </c>
      <c r="I259" s="22">
        <v>2</v>
      </c>
      <c r="J259" s="164">
        <f>H259/I259</f>
        <v>5</v>
      </c>
      <c r="K259" s="164">
        <f>J259*L258</f>
        <v>50</v>
      </c>
      <c r="L259" s="164">
        <f>K259</f>
        <v>50</v>
      </c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</row>
    <row r="260" spans="2:34" x14ac:dyDescent="0.15">
      <c r="B260" s="20"/>
      <c r="C260" s="166" t="s">
        <v>343</v>
      </c>
      <c r="D260" s="167">
        <f>D258/D250</f>
        <v>36.842105263157897</v>
      </c>
      <c r="E260" s="172"/>
      <c r="F260" s="172"/>
      <c r="G260" s="172"/>
      <c r="H260" s="164"/>
      <c r="I260" s="164"/>
      <c r="J260" s="166" t="s">
        <v>383</v>
      </c>
      <c r="K260" s="164"/>
      <c r="L260" s="164">
        <f>L259</f>
        <v>50</v>
      </c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</row>
    <row r="261" spans="2:34" x14ac:dyDescent="0.15"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</row>
    <row r="262" spans="2:34" x14ac:dyDescent="0.15">
      <c r="B262" s="20"/>
      <c r="C262" s="20"/>
      <c r="D262" s="135"/>
      <c r="E262" s="174"/>
      <c r="F262" s="174"/>
      <c r="G262" s="174"/>
      <c r="H262" s="174"/>
      <c r="I262" s="175"/>
      <c r="J262" s="20"/>
      <c r="K262" s="135"/>
      <c r="L262" s="174"/>
      <c r="M262" s="175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</row>
    <row r="263" spans="2:34" ht="14" x14ac:dyDescent="0.15">
      <c r="B263" s="20"/>
      <c r="C263" s="20"/>
      <c r="D263" s="214" t="s">
        <v>27</v>
      </c>
      <c r="E263" s="215"/>
      <c r="F263" s="215"/>
      <c r="G263" s="215"/>
      <c r="H263" s="215"/>
      <c r="I263" s="216"/>
      <c r="J263" s="20"/>
      <c r="K263" s="214" t="s">
        <v>388</v>
      </c>
      <c r="L263" s="215"/>
      <c r="M263" s="216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</row>
    <row r="264" spans="2:34" x14ac:dyDescent="0.15">
      <c r="B264" s="20"/>
      <c r="C264" s="20"/>
      <c r="D264" s="20" t="s">
        <v>28</v>
      </c>
      <c r="E264" s="127"/>
      <c r="F264" s="127"/>
      <c r="G264" s="127"/>
      <c r="H264" s="127">
        <f>D248</f>
        <v>380</v>
      </c>
      <c r="I264" s="21">
        <f>D250</f>
        <v>760</v>
      </c>
      <c r="J264" s="20"/>
      <c r="K264" s="20" t="s">
        <v>28</v>
      </c>
      <c r="L264" s="127"/>
      <c r="M264" s="21">
        <f>I264</f>
        <v>760</v>
      </c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</row>
    <row r="265" spans="2:34" x14ac:dyDescent="0.15">
      <c r="B265" s="20"/>
      <c r="C265" s="20"/>
      <c r="D265" s="20" t="s">
        <v>29</v>
      </c>
      <c r="E265" s="127"/>
      <c r="F265" s="127"/>
      <c r="G265" s="127"/>
      <c r="H265" s="127">
        <f>D249</f>
        <v>2</v>
      </c>
      <c r="I265" s="21">
        <f>D258</f>
        <v>28000</v>
      </c>
      <c r="J265" s="20"/>
      <c r="K265" s="20" t="s">
        <v>29</v>
      </c>
      <c r="L265" s="20"/>
      <c r="M265" s="21">
        <f>I265</f>
        <v>28000</v>
      </c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</row>
    <row r="266" spans="2:34" x14ac:dyDescent="0.15">
      <c r="B266" s="20"/>
      <c r="C266" s="20"/>
      <c r="D266" s="20" t="s">
        <v>30</v>
      </c>
      <c r="E266" s="20"/>
      <c r="F266" s="20"/>
      <c r="G266" s="20"/>
      <c r="H266" s="22">
        <f>I266</f>
        <v>10</v>
      </c>
      <c r="I266" s="22">
        <v>10</v>
      </c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</row>
    <row r="267" spans="2:34" x14ac:dyDescent="0.15">
      <c r="B267" s="20"/>
      <c r="C267" s="20"/>
      <c r="D267" s="23" t="s">
        <v>31</v>
      </c>
      <c r="E267" s="3"/>
      <c r="F267" s="3"/>
      <c r="G267" s="3"/>
      <c r="H267" s="3">
        <f>((H265/H264)^(1/H266))-1</f>
        <v>-0.40826856682833812</v>
      </c>
      <c r="I267" s="3">
        <f>((I265/I264)^(1/I266))-1</f>
        <v>0.43428165580709099</v>
      </c>
      <c r="J267" s="20"/>
      <c r="K267" s="23" t="s">
        <v>389</v>
      </c>
      <c r="L267" s="23"/>
      <c r="M267" s="188">
        <f>(M265-M264)/M264</f>
        <v>35.842105263157897</v>
      </c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</row>
    <row r="268" spans="2:34" x14ac:dyDescent="0.15">
      <c r="B268" s="20"/>
      <c r="C268" s="20"/>
      <c r="D268" s="23" t="s">
        <v>32</v>
      </c>
      <c r="E268" s="162"/>
      <c r="F268" s="162"/>
      <c r="G268" s="162"/>
      <c r="H268" s="162">
        <f>H266*12</f>
        <v>120</v>
      </c>
      <c r="I268" s="24">
        <f>I266*12</f>
        <v>120</v>
      </c>
      <c r="J268" s="20"/>
      <c r="K268" s="23" t="s">
        <v>390</v>
      </c>
      <c r="L268" s="23"/>
      <c r="M268" s="23">
        <f>M265/M264</f>
        <v>36.842105263157897</v>
      </c>
    </row>
    <row r="269" spans="2:34" x14ac:dyDescent="0.15">
      <c r="B269" s="20"/>
      <c r="C269" s="20"/>
      <c r="D269" s="20" t="s">
        <v>30</v>
      </c>
      <c r="E269" s="25"/>
      <c r="F269" s="25"/>
      <c r="G269" s="25"/>
      <c r="H269" s="25">
        <f>H268/12</f>
        <v>10</v>
      </c>
      <c r="I269" s="25">
        <f>I268/12</f>
        <v>10</v>
      </c>
      <c r="J269" s="20"/>
      <c r="K269" s="20"/>
      <c r="L269" s="20"/>
      <c r="M269" s="20"/>
    </row>
    <row r="270" spans="2:34" x14ac:dyDescent="0.15">
      <c r="B270" s="20"/>
      <c r="C270" s="20"/>
      <c r="D270" s="23" t="s">
        <v>33</v>
      </c>
      <c r="E270" s="3"/>
      <c r="F270" s="3"/>
      <c r="G270" s="3"/>
      <c r="H270" s="3">
        <f>((H265/H264)^(1/H269))-1</f>
        <v>-0.40826856682833812</v>
      </c>
      <c r="I270" s="3">
        <f>((I265/I264)^(1/I269))-1</f>
        <v>0.43428165580709099</v>
      </c>
      <c r="J270" s="20"/>
      <c r="K270" s="20"/>
      <c r="L270" s="20"/>
      <c r="M270" s="20"/>
    </row>
    <row r="271" spans="2:34" x14ac:dyDescent="0.15"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</row>
    <row r="272" spans="2:34" x14ac:dyDescent="0.15"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</row>
  </sheetData>
  <mergeCells count="9">
    <mergeCell ref="A36:A45"/>
    <mergeCell ref="A124:A132"/>
    <mergeCell ref="D263:I263"/>
    <mergeCell ref="K263:M263"/>
    <mergeCell ref="AG2:AH2"/>
    <mergeCell ref="AG3:AH3"/>
    <mergeCell ref="N246:P246"/>
    <mergeCell ref="T246:V246"/>
    <mergeCell ref="M229:N229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J36"/>
  <sheetViews>
    <sheetView topLeftCell="A5" zoomScale="80" zoomScaleNormal="80" workbookViewId="0">
      <selection activeCell="F26" sqref="F26"/>
    </sheetView>
  </sheetViews>
  <sheetFormatPr baseColWidth="10" defaultColWidth="9.1640625" defaultRowHeight="13" x14ac:dyDescent="0.15"/>
  <cols>
    <col min="1" max="2" width="9.1640625" style="6"/>
    <col min="3" max="3" width="37.6640625" style="6" bestFit="1" customWidth="1"/>
    <col min="4" max="9" width="16" style="6" bestFit="1" customWidth="1"/>
    <col min="10" max="16384" width="9.1640625" style="6"/>
  </cols>
  <sheetData>
    <row r="3" spans="3:9" x14ac:dyDescent="0.15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15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15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15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15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15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15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15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15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15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15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15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15">
      <c r="D15" s="9"/>
      <c r="E15" s="9"/>
      <c r="F15" s="9"/>
      <c r="G15" s="9"/>
      <c r="H15" s="9"/>
      <c r="I15" s="9"/>
    </row>
    <row r="16" spans="3:9" x14ac:dyDescent="0.15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15">
      <c r="D17" s="9"/>
      <c r="E17" s="9"/>
      <c r="F17" s="9"/>
      <c r="G17" s="9"/>
      <c r="H17" s="9"/>
      <c r="I17" s="9"/>
    </row>
    <row r="18" spans="3:10" x14ac:dyDescent="0.15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15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15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15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15">
      <c r="C23" s="6" t="s">
        <v>22</v>
      </c>
      <c r="D23" s="13">
        <f>(D9*D16)/D14</f>
        <v>0</v>
      </c>
    </row>
    <row r="25" spans="3:10" x14ac:dyDescent="0.15">
      <c r="C25" s="6" t="s">
        <v>24</v>
      </c>
      <c r="D25" s="16">
        <f>(D10*D16)/D14</f>
        <v>0</v>
      </c>
    </row>
    <row r="27" spans="3:10" x14ac:dyDescent="0.15">
      <c r="C27" s="99" t="s">
        <v>83</v>
      </c>
    </row>
    <row r="28" spans="3:10" x14ac:dyDescent="0.15">
      <c r="C28" s="6" t="s">
        <v>82</v>
      </c>
      <c r="D28" s="100">
        <f>(D11*D16)/D14</f>
        <v>2922.2274705074806</v>
      </c>
    </row>
    <row r="29" spans="3:10" x14ac:dyDescent="0.15">
      <c r="C29" s="6" t="s">
        <v>84</v>
      </c>
      <c r="D29" s="100">
        <f>(D12*D16)/D14</f>
        <v>2101.8309793610538</v>
      </c>
    </row>
    <row r="30" spans="3:10" x14ac:dyDescent="0.15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15">
      <c r="C31" s="6" t="s">
        <v>81</v>
      </c>
      <c r="D31" s="98">
        <f>D12/D11</f>
        <v>0.71925645781299996</v>
      </c>
    </row>
    <row r="34" spans="3:4" x14ac:dyDescent="0.15">
      <c r="C34" s="1" t="s">
        <v>20</v>
      </c>
      <c r="D34" s="1" t="s">
        <v>21</v>
      </c>
    </row>
    <row r="35" spans="3:4" x14ac:dyDescent="0.15">
      <c r="C35" s="11">
        <v>1</v>
      </c>
      <c r="D35" s="12">
        <f>C35/10</f>
        <v>0.1</v>
      </c>
    </row>
    <row r="36" spans="3:4" x14ac:dyDescent="0.15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Q45"/>
  <sheetViews>
    <sheetView topLeftCell="A25" zoomScale="80" zoomScaleNormal="80" workbookViewId="0">
      <selection activeCell="M5" sqref="M5:N10"/>
    </sheetView>
  </sheetViews>
  <sheetFormatPr baseColWidth="10" defaultColWidth="9.1640625" defaultRowHeight="13" x14ac:dyDescent="0.15"/>
  <cols>
    <col min="1" max="1" width="9.1640625" style="6"/>
    <col min="2" max="2" width="16.1640625" style="19" bestFit="1" customWidth="1"/>
    <col min="3" max="3" width="11.6640625" style="6" bestFit="1" customWidth="1"/>
    <col min="4" max="4" width="13.5" style="6" bestFit="1" customWidth="1"/>
    <col min="5" max="5" width="16" style="6" bestFit="1" customWidth="1"/>
    <col min="6" max="6" width="8.33203125" style="6" customWidth="1"/>
    <col min="7" max="7" width="17.6640625" style="6" bestFit="1" customWidth="1"/>
    <col min="8" max="8" width="9.1640625" style="6"/>
    <col min="9" max="9" width="16.6640625" style="6" bestFit="1" customWidth="1"/>
    <col min="10" max="10" width="9.1640625" style="6" bestFit="1" customWidth="1"/>
    <col min="11" max="11" width="19.5" style="6" bestFit="1" customWidth="1"/>
    <col min="12" max="12" width="11.5" style="6" bestFit="1" customWidth="1"/>
    <col min="13" max="13" width="17.6640625" style="6" bestFit="1" customWidth="1"/>
    <col min="14" max="14" width="9.1640625" style="6"/>
    <col min="15" max="15" width="13" style="6" bestFit="1" customWidth="1"/>
    <col min="16" max="16" width="11.33203125" style="6" bestFit="1" customWidth="1"/>
    <col min="17" max="17" width="9.1640625" style="6"/>
    <col min="18" max="18" width="18.1640625" style="6" bestFit="1" customWidth="1"/>
    <col min="19" max="19" width="12.5" style="6" customWidth="1"/>
    <col min="20" max="20" width="12.33203125" style="6" bestFit="1" customWidth="1"/>
    <col min="21" max="16384" width="9.1640625" style="6"/>
  </cols>
  <sheetData>
    <row r="2" spans="2:14" x14ac:dyDescent="0.15">
      <c r="D2" s="6" t="s">
        <v>64</v>
      </c>
    </row>
    <row r="3" spans="2:14" x14ac:dyDescent="0.15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15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" x14ac:dyDescent="0.2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26" t="s">
        <v>27</v>
      </c>
      <c r="K5" s="226"/>
      <c r="M5" s="226" t="s">
        <v>65</v>
      </c>
      <c r="N5" s="226"/>
    </row>
    <row r="6" spans="2:14" x14ac:dyDescent="0.15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15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15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15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15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15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15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15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" x14ac:dyDescent="0.2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26" t="s">
        <v>36</v>
      </c>
      <c r="K14" s="226"/>
      <c r="L14" s="226"/>
    </row>
    <row r="15" spans="2:14" x14ac:dyDescent="0.15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15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15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15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15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15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15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15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15">
      <c r="B23" s="18" t="s">
        <v>46</v>
      </c>
      <c r="C23" s="1"/>
      <c r="D23" s="4">
        <v>0.1125</v>
      </c>
      <c r="E23" s="4"/>
      <c r="F23" s="1"/>
      <c r="G23" s="1"/>
    </row>
    <row r="27" spans="1:17" x14ac:dyDescent="0.15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15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15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15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15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15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15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15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15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15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15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15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15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15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15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15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15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15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15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T45"/>
  <sheetViews>
    <sheetView zoomScale="80" zoomScaleNormal="80" workbookViewId="0">
      <selection activeCell="B17" sqref="B17"/>
    </sheetView>
  </sheetViews>
  <sheetFormatPr baseColWidth="10" defaultColWidth="9.1640625" defaultRowHeight="13" x14ac:dyDescent="0.15"/>
  <cols>
    <col min="1" max="1" width="9.1640625" style="6"/>
    <col min="2" max="2" width="16.1640625" style="19" bestFit="1" customWidth="1"/>
    <col min="3" max="3" width="11.6640625" style="6" bestFit="1" customWidth="1"/>
    <col min="4" max="4" width="13.5" style="6" bestFit="1" customWidth="1"/>
    <col min="5" max="5" width="16" style="6" bestFit="1" customWidth="1"/>
    <col min="6" max="6" width="8.6640625" style="6" customWidth="1"/>
    <col min="7" max="7" width="17.6640625" style="6" bestFit="1" customWidth="1"/>
    <col min="8" max="8" width="9.1640625" style="6"/>
    <col min="9" max="9" width="16.6640625" style="6" bestFit="1" customWidth="1"/>
    <col min="10" max="10" width="9.1640625" style="6" bestFit="1" customWidth="1"/>
    <col min="11" max="11" width="19.5" style="6" bestFit="1" customWidth="1"/>
    <col min="12" max="12" width="9.5" style="6" bestFit="1" customWidth="1"/>
    <col min="13" max="13" width="17.6640625" style="6" bestFit="1" customWidth="1"/>
    <col min="14" max="14" width="9.1640625" style="6"/>
    <col min="15" max="15" width="13" style="6" bestFit="1" customWidth="1"/>
    <col min="16" max="16" width="11.33203125" style="6" bestFit="1" customWidth="1"/>
    <col min="17" max="17" width="9.1640625" style="6"/>
    <col min="18" max="18" width="18.1640625" style="6" bestFit="1" customWidth="1"/>
    <col min="19" max="19" width="12.5" style="6" customWidth="1"/>
    <col min="20" max="20" width="12.33203125" style="6" bestFit="1" customWidth="1"/>
    <col min="21" max="16384" width="9.1640625" style="6"/>
  </cols>
  <sheetData>
    <row r="2" spans="2:20" x14ac:dyDescent="0.15">
      <c r="D2" s="6" t="s">
        <v>47</v>
      </c>
    </row>
    <row r="3" spans="2:20" x14ac:dyDescent="0.15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15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" x14ac:dyDescent="0.2">
      <c r="B5" s="18">
        <v>1</v>
      </c>
      <c r="C5" s="1">
        <v>2001</v>
      </c>
      <c r="D5" s="1"/>
      <c r="E5" s="1"/>
      <c r="F5" s="1"/>
      <c r="G5" s="1">
        <v>115.93</v>
      </c>
      <c r="R5" s="226" t="s">
        <v>27</v>
      </c>
      <c r="S5" s="226"/>
    </row>
    <row r="6" spans="2:20" x14ac:dyDescent="0.15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15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15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15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15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15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15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15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" x14ac:dyDescent="0.2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26" t="s">
        <v>36</v>
      </c>
      <c r="S14" s="226"/>
      <c r="T14" s="226"/>
    </row>
    <row r="15" spans="2:20" x14ac:dyDescent="0.15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15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15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15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15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15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15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15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15">
      <c r="B23" s="18" t="s">
        <v>46</v>
      </c>
      <c r="C23" s="1"/>
      <c r="D23" s="4">
        <v>0.1125</v>
      </c>
      <c r="E23" s="4"/>
      <c r="F23" s="1"/>
      <c r="G23" s="1"/>
    </row>
    <row r="27" spans="1:20" x14ac:dyDescent="0.15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15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15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15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15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15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15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15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15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15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15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15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15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15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15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15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15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15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15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48"/>
  <sheetViews>
    <sheetView topLeftCell="A25" zoomScale="90" zoomScaleNormal="90" workbookViewId="0">
      <selection activeCell="G25" sqref="G25"/>
    </sheetView>
  </sheetViews>
  <sheetFormatPr baseColWidth="10" defaultColWidth="9.1640625" defaultRowHeight="15" x14ac:dyDescent="0.2"/>
  <cols>
    <col min="1" max="1" width="9.1640625" style="56"/>
    <col min="2" max="2" width="16.6640625" style="56" bestFit="1" customWidth="1"/>
    <col min="3" max="3" width="11.5" style="56" customWidth="1"/>
    <col min="4" max="4" width="12.83203125" style="56" customWidth="1"/>
    <col min="5" max="5" width="12.83203125" style="56" bestFit="1" customWidth="1"/>
    <col min="6" max="6" width="13" style="56" customWidth="1"/>
    <col min="7" max="7" width="11.6640625" style="56" customWidth="1"/>
    <col min="8" max="8" width="12.33203125" style="56" customWidth="1"/>
    <col min="9" max="9" width="12.1640625" style="56" bestFit="1" customWidth="1"/>
    <col min="10" max="10" width="11.5" style="56" bestFit="1" customWidth="1"/>
    <col min="11" max="11" width="11.33203125" style="56" customWidth="1"/>
    <col min="12" max="16384" width="9.1640625" style="56"/>
  </cols>
  <sheetData>
    <row r="2" spans="2:12" x14ac:dyDescent="0.2">
      <c r="B2" s="226" t="s">
        <v>27</v>
      </c>
      <c r="C2" s="226"/>
      <c r="E2" s="226" t="s">
        <v>65</v>
      </c>
      <c r="F2" s="226"/>
      <c r="H2" s="230" t="s">
        <v>36</v>
      </c>
      <c r="I2" s="231"/>
    </row>
    <row r="3" spans="2:12" x14ac:dyDescent="0.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6" thickBot="1" x14ac:dyDescent="0.25"/>
    <row r="10" spans="2:12" ht="16" thickBot="1" x14ac:dyDescent="0.25">
      <c r="B10" s="86"/>
      <c r="C10" s="87"/>
      <c r="D10" s="227" t="s">
        <v>68</v>
      </c>
      <c r="E10" s="228"/>
      <c r="F10" s="228"/>
      <c r="G10" s="228"/>
      <c r="H10" s="229"/>
      <c r="I10" s="227" t="s">
        <v>72</v>
      </c>
      <c r="J10" s="228"/>
      <c r="K10" s="228"/>
      <c r="L10" s="229"/>
    </row>
    <row r="11" spans="2:12" ht="28" x14ac:dyDescent="0.2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x14ac:dyDescent="0.2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x14ac:dyDescent="0.2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x14ac:dyDescent="0.2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x14ac:dyDescent="0.2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x14ac:dyDescent="0.2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x14ac:dyDescent="0.2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x14ac:dyDescent="0.2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x14ac:dyDescent="0.2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x14ac:dyDescent="0.2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x14ac:dyDescent="0.2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x14ac:dyDescent="0.2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x14ac:dyDescent="0.2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x14ac:dyDescent="0.2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x14ac:dyDescent="0.2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x14ac:dyDescent="0.2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x14ac:dyDescent="0.2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x14ac:dyDescent="0.2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x14ac:dyDescent="0.2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x14ac:dyDescent="0.2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x14ac:dyDescent="0.2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x14ac:dyDescent="0.2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x14ac:dyDescent="0.2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x14ac:dyDescent="0.2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x14ac:dyDescent="0.2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x14ac:dyDescent="0.2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x14ac:dyDescent="0.2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x14ac:dyDescent="0.2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x14ac:dyDescent="0.2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6" thickBot="1" x14ac:dyDescent="0.25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G13"/>
  <sheetViews>
    <sheetView workbookViewId="0">
      <selection activeCell="D19" sqref="D19"/>
    </sheetView>
  </sheetViews>
  <sheetFormatPr baseColWidth="10" defaultColWidth="9.1640625" defaultRowHeight="14" x14ac:dyDescent="0.15"/>
  <cols>
    <col min="1" max="1" width="9.1640625" style="183"/>
    <col min="2" max="2" width="16.5" style="183" customWidth="1"/>
    <col min="3" max="3" width="39.6640625" style="183" customWidth="1"/>
    <col min="4" max="5" width="9.1640625" style="183"/>
    <col min="6" max="6" width="19" style="183" bestFit="1" customWidth="1"/>
    <col min="7" max="7" width="49" style="183" customWidth="1"/>
    <col min="8" max="16384" width="9.1640625" style="183"/>
  </cols>
  <sheetData>
    <row r="3" spans="2:7" x14ac:dyDescent="0.15">
      <c r="B3" s="232" t="s">
        <v>427</v>
      </c>
      <c r="C3" s="233"/>
      <c r="F3" s="232" t="s">
        <v>428</v>
      </c>
      <c r="G3" s="233"/>
    </row>
    <row r="4" spans="2:7" x14ac:dyDescent="0.15">
      <c r="B4" s="184" t="s">
        <v>429</v>
      </c>
      <c r="C4" s="184"/>
      <c r="F4" s="184" t="s">
        <v>430</v>
      </c>
      <c r="G4" s="184"/>
    </row>
    <row r="5" spans="2:7" x14ac:dyDescent="0.15">
      <c r="B5" s="184" t="s">
        <v>431</v>
      </c>
      <c r="C5" s="184"/>
      <c r="F5" s="184" t="s">
        <v>291</v>
      </c>
      <c r="G5" s="184"/>
    </row>
    <row r="6" spans="2:7" x14ac:dyDescent="0.15">
      <c r="B6" s="184" t="s">
        <v>432</v>
      </c>
      <c r="C6" s="184"/>
      <c r="F6" s="184" t="s">
        <v>433</v>
      </c>
      <c r="G6" s="184"/>
    </row>
    <row r="7" spans="2:7" x14ac:dyDescent="0.15">
      <c r="B7" s="184" t="s">
        <v>434</v>
      </c>
      <c r="C7" s="184"/>
      <c r="F7" s="184" t="s">
        <v>435</v>
      </c>
      <c r="G7" s="184"/>
    </row>
    <row r="8" spans="2:7" x14ac:dyDescent="0.15">
      <c r="B8" s="184" t="s">
        <v>436</v>
      </c>
      <c r="C8" s="184"/>
      <c r="F8" s="184" t="s">
        <v>437</v>
      </c>
      <c r="G8" s="184"/>
    </row>
    <row r="9" spans="2:7" x14ac:dyDescent="0.15">
      <c r="B9" s="184" t="s">
        <v>438</v>
      </c>
      <c r="C9" s="184"/>
      <c r="F9" s="184" t="s">
        <v>439</v>
      </c>
      <c r="G9" s="184"/>
    </row>
    <row r="10" spans="2:7" x14ac:dyDescent="0.15">
      <c r="B10" s="184" t="s">
        <v>437</v>
      </c>
      <c r="C10" s="184"/>
      <c r="F10" s="184"/>
      <c r="G10" s="184"/>
    </row>
    <row r="11" spans="2:7" x14ac:dyDescent="0.15">
      <c r="B11" s="184" t="s">
        <v>440</v>
      </c>
      <c r="C11" s="184"/>
      <c r="F11" s="184"/>
      <c r="G11" s="184"/>
    </row>
    <row r="12" spans="2:7" x14ac:dyDescent="0.15">
      <c r="B12" s="184" t="s">
        <v>441</v>
      </c>
      <c r="C12" s="184"/>
      <c r="F12" s="184"/>
      <c r="G12" s="184"/>
    </row>
    <row r="13" spans="2:7" x14ac:dyDescent="0.15">
      <c r="B13" s="184"/>
      <c r="C13" s="184"/>
      <c r="F13" s="184"/>
      <c r="G13" s="184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2024-05-29T01:41:40Z</dcterms:modified>
</cp:coreProperties>
</file>
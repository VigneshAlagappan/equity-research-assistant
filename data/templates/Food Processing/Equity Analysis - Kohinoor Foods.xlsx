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Q30" i="18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Q60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H266"/>
  <c r="H268" s="1"/>
  <c r="H269" s="1"/>
  <c r="H265"/>
  <c r="H264"/>
  <c r="T20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G66"/>
  <c r="H66"/>
  <c r="H202" s="1"/>
  <c r="G67"/>
  <c r="H67"/>
  <c r="G68"/>
  <c r="H68"/>
  <c r="G70"/>
  <c r="H70"/>
  <c r="H204" s="1"/>
  <c r="G7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T88" s="1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I45"/>
  <c r="I43"/>
  <c r="I42"/>
  <c r="I41"/>
  <c r="I40"/>
  <c r="I38"/>
  <c r="I36"/>
  <c r="H215" l="1"/>
  <c r="H216"/>
  <c r="H217" s="1"/>
  <c r="G214"/>
  <c r="G205"/>
  <c r="G204"/>
  <c r="G203"/>
  <c r="G202"/>
  <c r="H214"/>
  <c r="G209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V57"/>
  <c r="G215" l="1"/>
  <c r="G216"/>
  <c r="G206"/>
  <c r="AF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G217" l="1"/>
  <c r="I37"/>
  <c r="J37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S58"/>
  <c r="R58"/>
  <c r="S56"/>
  <c r="R56"/>
  <c r="S54"/>
  <c r="R54"/>
  <c r="S52"/>
  <c r="R52"/>
  <c r="S30"/>
  <c r="R30"/>
  <c r="S28"/>
  <c r="R28"/>
  <c r="S26"/>
  <c r="R26"/>
  <c r="S11"/>
  <c r="R11"/>
  <c r="S8"/>
  <c r="R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AH47" s="1"/>
  <c r="V225" l="1"/>
  <c r="H225"/>
  <c r="G225"/>
  <c r="V220"/>
  <c r="V221" s="1"/>
  <c r="V222" s="1"/>
  <c r="H220"/>
  <c r="G220"/>
  <c r="AB38"/>
  <c r="AA127"/>
  <c r="AB36"/>
  <c r="AA126"/>
  <c r="AA128"/>
  <c r="AH45"/>
  <c r="AH40"/>
  <c r="AH49"/>
  <c r="AH41"/>
  <c r="AH42"/>
  <c r="AH43"/>
  <c r="M225"/>
  <c r="M226" s="1"/>
  <c r="M227" s="1"/>
  <c r="S225"/>
  <c r="T225" s="1"/>
  <c r="R225"/>
  <c r="R224" s="1"/>
  <c r="V226"/>
  <c r="V227" s="1"/>
  <c r="V224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19" l="1"/>
  <c r="S205"/>
  <c r="T205" s="1"/>
  <c r="T71"/>
  <c r="S204"/>
  <c r="T204" s="1"/>
  <c r="T70"/>
  <c r="T220"/>
  <c r="H219"/>
  <c r="H221"/>
  <c r="H222" s="1"/>
  <c r="G224"/>
  <c r="G226"/>
  <c r="G219"/>
  <c r="G221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19" l="1"/>
  <c r="T224"/>
  <c r="T221"/>
  <c r="G222"/>
  <c r="T222" s="1"/>
  <c r="T226"/>
  <c r="G227"/>
  <c r="T227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139" s="1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92" l="1"/>
  <c r="T92" s="1"/>
  <c r="T90"/>
  <c r="S163"/>
  <c r="T163" s="1"/>
  <c r="T162"/>
  <c r="S140"/>
  <c r="T140" s="1"/>
  <c r="T139"/>
  <c r="S208"/>
  <c r="T208" s="1"/>
  <c r="T86"/>
  <c r="S209"/>
  <c r="T209" s="1"/>
  <c r="T80"/>
  <c r="S206"/>
  <c r="T206" s="1"/>
  <c r="T75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21"/>
  <c r="T121" s="1"/>
  <c r="T115"/>
  <c r="S119"/>
  <c r="T119" s="1"/>
  <c r="T113"/>
  <c r="S118"/>
  <c r="T118" s="1"/>
  <c r="T112"/>
  <c r="S202"/>
  <c r="T202" s="1"/>
  <c r="T66"/>
  <c r="R23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2"/>
  <c r="T142" s="1"/>
  <c r="T141"/>
  <c r="S216"/>
  <c r="S215"/>
  <c r="T215" s="1"/>
  <c r="J238"/>
  <c r="U59"/>
  <c r="V59" s="1"/>
  <c r="S217" l="1"/>
  <c r="T217" s="1"/>
  <c r="T216"/>
  <c r="M234"/>
  <c r="M233"/>
  <c r="M232"/>
  <c r="M231"/>
  <c r="AG53" l="1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<sst xmlns="http://schemas.openxmlformats.org/spreadsheetml/2006/main" count="699" uniqueCount="495">
  <si>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</si>
  <si>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</si>
  <si>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</si>
  <si>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</si>
  <si>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</si>
  <si>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</si>
  <si>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</si>
  <si>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</si>
  <si>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</si>
  <si>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</si>
  <si>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</si>
  <si>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</si>
  <si>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</si>
  <si>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</si>
  <si>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</si>
  <si>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</si>
  <si>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</si>
  <si>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</si>
  <si>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</si>
  <si>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</si>
  <si>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</si>
  <si>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</si>
  <si>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</si>
  <si>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</si>
  <si>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</si>
  <si>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</si>
  <si>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</si>
  <si>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</si>
  <si>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</si>
  <si>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</si>
  <si>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</si>
  <si>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</si>
  <si>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</si>
  <si>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</si>
  <si>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</si>
  <si>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</si>
  <si>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</si>
  <si>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</si>
  <si>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</si>
  <si>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</si>
  <si>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</si>
  <si>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</si>
  <si>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</si>
  <si>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</si>
  <si>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</si>
  <si>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</si>
  <si>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</si>
  <si>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</si>
  <si>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</si>
  <si>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</si>
  <si>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</si>
  <si>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</si>
  <si>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</si>
  <si>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</si>
  <si>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</si>
  <si>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</si>
  <si>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</si>
  <si>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</si>
  <si>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</si>
  <si>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</si>
  <si>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</si>
  <si>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</si>
  <si>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</si>
  <si>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</si>
  <si>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</si>
  <si>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</si>
  <si>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</si>
  <si>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</si>
  <si>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</si>
  <si>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</si>
  <si>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</si>
  <si>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</si>
  <si>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</si>
  <si>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</si>
  <si>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</si>
  <si>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</si>
  <si>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</si>
  <si>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</si>
  <si>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</si>
  <si>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</si>
  <si>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</si>
  <si>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</si>
  <si>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</si>
  <si>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</si>
  <si>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</si>
  <si>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</si>
  <si>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</si>
  <si>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</si>
  <si>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</si>
  <si>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</si>
  <si>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</si>
  <si>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</si>
  <si>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</si>
  <si>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</si>
  <si>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</si>
  <si>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</si>
  <si>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</si>
  <si>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</si>
  <si>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</si>
  <si>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</si>
  <si>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</si>
  <si>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</si>
  <si>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</si>
  <si>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</si>
  <si>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</si>
  <si>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</si>
  <si>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</si>
  <si>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</si>
  <si>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</si>
  <si>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</si>
  <si>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</si>
  <si>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</si>
  <si>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</si>
  <si>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</si>
  <si>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</si>
  <si>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</si>
  <si>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</si>
  <si>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</si>
  <si>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</si>
  <si>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</si>
  <si>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</si>
  <si>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</si>
  <si>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</si>
  <si>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</si>
  <si>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</si>
  <si>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</si>
  <si>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</si>
  <si>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</si>
  <si>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</si>
  <si>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</si>
  <si>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</si>
  <si>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</si>
  <si>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</si>
  <si>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</si>
  <si>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</si>
  <si>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</si>
  <si>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</si>
  <si>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</si>
  <si>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</si>
  <si>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</si>
  <si>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</si>
  <si>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</si>
  <si>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</si>
  <si>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</si>
  <si>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</si>
  <si>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</si>
  <si>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</si>
  <si>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</si>
  <si>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</si>
  <si>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</si>
  <si>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</si>
  <si>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</si>
  <si>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</si>
  <si>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</si>
  <si>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</si>
  <si>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</si>
  <si>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</si>
  <si>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</si>
  <si>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</si>
  <si>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</si>
  <si>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</si>
  <si>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</si>
  <si>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</si>
  <si>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</si>
  <si>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</si>
  <si>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</si>
  <si>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</si>
  <si>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</si>
  <si>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</si>
  <si>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</si>
  <si>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</si>
  <si>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</si>
  <si>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</si>
  <si>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</si>
  <si>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</si>
  <si>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</si>
  <si>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</si>
  <si>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</si>
  <si>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</si>
  <si>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</si>
  <si>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</si>
  <si>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</si>
  <si>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</si>
  <si>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</si>
  <si>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</si>
  <si>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</si>
  <si>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</si>
  <si>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</si>
  <si>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</si>
  <si>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</si>
  <si>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</si>
  <si>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</si>
  <si>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</si>
  <si>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</si>
  <si>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</si>
  <si>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</si>
  <si>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</si>
  <si>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</si>
  <si>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</si>
  <si>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</si>
  <si>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</si>
  <si>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</si>
  <si>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</si>
  <si>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</si>
  <si>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</si>
  <si>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</si>
  <si>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</si>
  <si>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</si>
  <si>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</si>
  <si>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</si>
  <si>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</si>
  <si>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</si>
  <si>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</si>
  <si>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</si>
  <si>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</si>
  <si>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</si>
  <si>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</si>
  <si>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</si>
  <si>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</si>
  <si>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</si>
  <si>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</si>
  <si>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</si>
  <si>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</si>
  <si>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</si>
  <si>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</si>
  <si>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</si>
  <si>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</si>
  <si>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</si>
  <si>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</si>
  <si>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</si>
  <si>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</si>
  <si>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</si>
  <si>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</si>
  <si>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</si>
  <si>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</si>
  <si>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</si>
  <si>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</si>
  <si>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</si>
  <si>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</si>
  <si>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</si>
  <si>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</si>
  <si>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</si>
  <si>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</si>
  <si>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</si>
  <si>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</si>
  <si>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</si>
  <si>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</si>
  <si>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</si>
  <si>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</si>
  <si>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</si>
  <si>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</si>
  <si>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</si>
  <si>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</si>
  <si>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</si>
  <si>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</si>
  <si>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</si>
  <si>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</si>
  <si>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</si>
  <si>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</si>
  <si>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</si>
  <si>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</si>
  <si>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</si>
  <si>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</si>
  <si>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</si>
  <si>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</si>
  <si>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</si>
  <si>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</si>
  <si>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</si>
  <si>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</si>
  <si>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</si>
  <si>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</si>
  <si>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</si>
  <si>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</si>
  <si>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</si>
  <si>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</si>
  <si>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</si>
  <si>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</si>
  <si>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</si>
  <si>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</si>
  <si>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</si>
  <si>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</si>
  <si>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</si>
  <si>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</si>
  <si>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</si>
  <si>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</si>
  <si>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</si>
  <si>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</si>
  <si>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</si>
  <si>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</si>
  <si>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</si>
  <si>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</si>
  <si>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</si>
  <si>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</si>
  <si>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</si>
  <si>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</si>
  <si>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</si>
  <si>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</si>
  <si>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</si>
  <si>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</si>
  <si>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</si>
  <si>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</si>
  <si>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</si>
  <si>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</si>
  <si>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</si>
  <si>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</si>
  <si>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</si>
  <si>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</si>
  <si>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</si>
  <si>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</si>
  <si>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</si>
  <si>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</si>
  <si>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</si>
  <si>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</si>
  <si>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</si>
  <si>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</si>
  <si>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</si>
  <si>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</si>
  <si>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</si>
  <si>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</si>
  <si>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</si>
  <si>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</si>
  <si>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</si>
  <si>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</si>
  <si>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</si>
  <si>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</si>
  <si>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</si>
  <si>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</si>
  <si>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</si>
  <si>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</si>
  <si>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</si>
  <si>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</si>
  <si>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</si>
  <si>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</si>
  <si>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</si>
  <si>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</si>
  <si>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</si>
  <si>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</si>
  <si>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</si>
  <si>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</si>
  <si>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</si>
  <si>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</si>
  <si>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</si>
  <si>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</si>
  <si>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</si>
  <si>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</si>
  <si>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</si>
  <si>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</si>
  <si>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</si>
  <si>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</si>
  <si>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</si>
  <si>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</si>
  <si>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</si>
  <si>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</si>
  <si>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</si>
  <si>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</si>
  <si>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</si>
  <si>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</si>
  <si>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</si>
  <si>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</si>
  <si>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</si>
  <si>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</si>
  <si>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</si>
  <si>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</si>
  <si>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</si>
  <si>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</si>
  <si>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</si>
  <si>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</si>
  <si>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</si>
  <si>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</si>
  <si>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</si>
  <si>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</si>
  <si>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</si>
  <si>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</si>
  <si>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</si>
  <si>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</si>
  <si>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</si>
  <si>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</si>
  <si>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</si>
  <si>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</si>
  <si>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</si>
  <si>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</si>
  <si>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</si>
  <si>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</si>
  <si>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</si>
  <si>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</si>
  <si>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</si>
  <si>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</si>
  <si>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</si>
  <si>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</si>
  <si>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</si>
  <si>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</si>
  <si>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</si>
  <si>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</si>
  <si>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</si>
  <si>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</si>
  <si>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</si>
  <si>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</si>
  <si>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</si>
  <si>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</si>
  <si>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</si>
  <si>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</si>
  <si>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</si>
  <si>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</si>
  <si>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</si>
  <si>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</si>
  <si>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</si>
  <si>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</si>
  <si>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</si>
  <si>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</si>
  <si>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</si>
  <si>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</si>
  <si>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</si>
  <si>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</si>
  <si>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</si>
  <si>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</si>
  <si>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</si>
  <si>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</si>
  <si>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</si>
  <si>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</si>
  <si>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</si>
  <si>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</si>
  <si>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</si>
  <si>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</si>
  <si>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</si>
  <si>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</si>
  <si>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</si>
  <si>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</si>
  <si>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</si>
  <si>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</si>
  <si>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</si>
  <si>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</si>
  <si>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</si>
  <si>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</si>
  <si>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</si>
  <si>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</si>
  <si>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</si>
  <si>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</si>
  <si>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</si>
  <si>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</si>
  <si>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</si>
  <si>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</si>
  <si>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</si>
  <si>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</si>
  <si>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</si>
  <si>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</si>
  <si>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</si>
  <si>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</si>
  <si>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</si>
  <si>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</si>
  <si>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</si>
  <si>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</si>
  <si>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</si>
  <si>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</si>
  <si>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</si>
  <si>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</si>
  <si>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</si>
  <si>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</si>
  <si>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</si>
  <si>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</si>
  <si>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</si>
  <si>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</si>
  <si>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</si>
  <si>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</si>
  <si>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</si>
  <si>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</si>
  <si>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</si>
  <si>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</si>
  <si>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</si>
  <si>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</si>
  <si>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</si>
  <si>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</si>
  <si>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</si>
  <si>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</si>
  <si>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</si>
  <si>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</si>
  <si>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</si>
  <si>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</si>
  <si>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</si>
  <si>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</si>
  <si>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</si>
  <si>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</si>
  <si>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</si>
  <si>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</si>
  <si>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</si>
  <si>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</si>
  <si>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</si>
  <si>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</si>
  <si>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</si>
  <si>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</si>
  <si>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</si>
  <si>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</si>
  <si>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</si>
  <si>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</si>
  <si>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Top Expenses (Raw materials )</t>
  </si>
  <si>
    <t>2nd highest Expenses Comp. ( Misc )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</si>
</sst>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3758336"/>
        <c:axId val="63760640"/>
      </c:lineChart>
      <c:catAx>
        <c:axId val="63758336"/>
        <c:scaling>
          <c:orientation val="minMax"/>
        </c:scaling>
        <c:axPos val="b"/>
        <c:tickLblPos val="nextTo"/>
        <c:crossAx val="63760640"/>
        <c:crosses val="autoZero"/>
        <c:auto val="1"/>
        <c:lblAlgn val="ctr"/>
        <c:lblOffset val="100"/>
      </c:catAx>
      <c:valAx>
        <c:axId val="63760640"/>
        <c:scaling>
          <c:orientation val="minMax"/>
        </c:scaling>
        <c:axPos val="l"/>
        <c:majorGridlines/>
        <c:numFmt formatCode="General" sourceLinked="1"/>
        <c:tickLblPos val="nextTo"/>
        <c:crossAx val="637583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314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C232" activePane="bottomRight" state="frozen"/>
      <selection pane="topRight" activeCell="C1" sqref="C1"/>
      <selection pane="bottomLeft" activeCell="A5" sqref="A5"/>
      <selection pane="bottomRight" activeCell="D267" sqref="D267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0.18</v>
      </c>
      <c r="H1" s="104" t="s">
        <v>252</v>
      </c>
      <c r="J1" s="126">
        <v>2004</v>
      </c>
      <c r="L1" s="104" t="s">
        <v>322</v>
      </c>
      <c r="N1" s="162">
        <v>0.05</v>
      </c>
      <c r="P1" s="104" t="s">
        <v>393</v>
      </c>
      <c r="R1" s="162">
        <v>0.05</v>
      </c>
    </row>
    <row r="2" spans="2:34">
      <c r="B2" s="151" t="s">
        <v>311</v>
      </c>
      <c r="C2" s="120"/>
      <c r="H2" s="104" t="s">
        <v>253</v>
      </c>
      <c r="J2" s="126">
        <v>2016</v>
      </c>
      <c r="L2" s="104" t="s">
        <v>323</v>
      </c>
      <c r="N2" s="162">
        <v>0.05</v>
      </c>
      <c r="P2" s="104" t="s">
        <v>459</v>
      </c>
      <c r="R2" s="162">
        <v>0.18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75</v>
      </c>
      <c r="H6" s="146">
        <v>86</v>
      </c>
      <c r="I6" s="146">
        <v>94</v>
      </c>
      <c r="J6" s="146">
        <v>116</v>
      </c>
      <c r="K6" s="146">
        <v>118</v>
      </c>
      <c r="L6" s="146">
        <v>153</v>
      </c>
      <c r="M6" s="146">
        <v>157</v>
      </c>
      <c r="N6" s="146">
        <v>134</v>
      </c>
      <c r="O6" s="146">
        <v>303</v>
      </c>
      <c r="P6" s="146">
        <v>308</v>
      </c>
      <c r="Q6" s="146">
        <v>430</v>
      </c>
      <c r="R6" s="203">
        <v>334</v>
      </c>
      <c r="S6" s="203">
        <v>308</v>
      </c>
      <c r="T6" s="118">
        <f>((S6/G6)^(1/($J$2-$J$1) ))-1</f>
        <v>0.12492643130190739</v>
      </c>
      <c r="U6" s="31">
        <f>$N$2</f>
        <v>0.05</v>
      </c>
      <c r="V6" s="152">
        <f>S6*(1+$U6)</f>
        <v>323.40000000000003</v>
      </c>
      <c r="W6" s="152">
        <f>V6*(1+$U6)</f>
        <v>339.57000000000005</v>
      </c>
      <c r="X6" s="152">
        <f t="shared" ref="X6:AE6" si="0">W6*(1+$U6)</f>
        <v>356.54850000000005</v>
      </c>
      <c r="Y6" s="152">
        <f t="shared" si="0"/>
        <v>374.37592500000005</v>
      </c>
      <c r="Z6" s="152">
        <f t="shared" si="0"/>
        <v>393.09472125000008</v>
      </c>
      <c r="AA6" s="152">
        <f t="shared" si="0"/>
        <v>412.74945731250011</v>
      </c>
      <c r="AB6" s="152">
        <f t="shared" si="0"/>
        <v>433.38693017812511</v>
      </c>
      <c r="AC6" s="152">
        <f t="shared" si="0"/>
        <v>455.05627668703141</v>
      </c>
      <c r="AD6" s="152">
        <f t="shared" si="0"/>
        <v>477.80909052138298</v>
      </c>
      <c r="AE6" s="152">
        <f t="shared" si="0"/>
        <v>501.69954504745215</v>
      </c>
      <c r="AF6" s="137">
        <f>((AE6/I6)^(1/($AE$3-$J$1) ))-1</f>
        <v>8.3014043713155905E-2</v>
      </c>
      <c r="AG6" s="31">
        <f>$N$1</f>
        <v>0.05</v>
      </c>
      <c r="AH6" s="145">
        <f t="shared" ref="AH6:AH59" si="1">(AE6*(1+AG6))/($C$1-AG6)</f>
        <v>4052.1886330755747</v>
      </c>
    </row>
    <row r="7" spans="2:34">
      <c r="B7" s="20" t="s">
        <v>240</v>
      </c>
      <c r="C7" s="140"/>
      <c r="D7" s="140"/>
      <c r="E7" s="146"/>
      <c r="F7" s="146"/>
      <c r="G7" s="146">
        <v>95</v>
      </c>
      <c r="H7" s="146">
        <v>106</v>
      </c>
      <c r="I7" s="146">
        <v>113</v>
      </c>
      <c r="J7" s="146">
        <v>135</v>
      </c>
      <c r="K7" s="146">
        <v>146</v>
      </c>
      <c r="L7" s="146">
        <v>188</v>
      </c>
      <c r="M7" s="146">
        <v>186</v>
      </c>
      <c r="N7" s="146">
        <v>162</v>
      </c>
      <c r="O7" s="146">
        <v>332</v>
      </c>
      <c r="P7" s="146">
        <v>336</v>
      </c>
      <c r="Q7" s="146">
        <v>466</v>
      </c>
      <c r="R7" s="203">
        <v>369</v>
      </c>
      <c r="S7" s="203">
        <v>343</v>
      </c>
      <c r="T7" s="118">
        <f>((S7/G7)^(1/($J$2-$J$1) ))-1</f>
        <v>0.11292067264322969</v>
      </c>
      <c r="U7" s="31">
        <f>$N$2</f>
        <v>0.05</v>
      </c>
      <c r="V7" s="152">
        <f t="shared" ref="V7:V59" si="2">S7*(1+$U7)</f>
        <v>360.15000000000003</v>
      </c>
      <c r="W7" s="152">
        <f t="shared" ref="W7:AE7" si="3">V7*(1+$U7)</f>
        <v>378.15750000000003</v>
      </c>
      <c r="X7" s="152">
        <f t="shared" si="3"/>
        <v>397.06537500000002</v>
      </c>
      <c r="Y7" s="152">
        <f t="shared" si="3"/>
        <v>416.91864375000006</v>
      </c>
      <c r="Z7" s="152">
        <f t="shared" si="3"/>
        <v>437.76457593750007</v>
      </c>
      <c r="AA7" s="152">
        <f t="shared" si="3"/>
        <v>459.65280473437508</v>
      </c>
      <c r="AB7" s="152">
        <f t="shared" si="3"/>
        <v>482.63544497109388</v>
      </c>
      <c r="AC7" s="152">
        <f t="shared" si="3"/>
        <v>506.76721721964861</v>
      </c>
      <c r="AD7" s="152">
        <f t="shared" si="3"/>
        <v>532.10557808063106</v>
      </c>
      <c r="AE7" s="152">
        <f t="shared" si="3"/>
        <v>558.71085698466266</v>
      </c>
      <c r="AF7" s="137">
        <f>((AE7/I7)^(1/($AE$3-$J$1) ))-1</f>
        <v>7.9077889056926365E-2</v>
      </c>
      <c r="AG7" s="31">
        <f>$N$1</f>
        <v>0.05</v>
      </c>
      <c r="AH7" s="145">
        <f t="shared" si="1"/>
        <v>4512.6646141068904</v>
      </c>
    </row>
    <row r="8" spans="2:34">
      <c r="B8" s="20"/>
      <c r="C8" s="140"/>
      <c r="D8" s="140"/>
      <c r="E8" s="146"/>
      <c r="F8" s="146"/>
      <c r="G8" s="226">
        <f>(G7-F7)/G7</f>
        <v>1</v>
      </c>
      <c r="H8" s="149">
        <f t="shared" ref="H8:Q8" si="4">(H7-G7)/G7</f>
        <v>0.11578947368421053</v>
      </c>
      <c r="I8" s="149">
        <f t="shared" si="4"/>
        <v>6.6037735849056603E-2</v>
      </c>
      <c r="J8" s="149">
        <f t="shared" si="4"/>
        <v>0.19469026548672566</v>
      </c>
      <c r="K8" s="149">
        <f t="shared" si="4"/>
        <v>8.1481481481481488E-2</v>
      </c>
      <c r="L8" s="149">
        <f t="shared" si="4"/>
        <v>0.28767123287671231</v>
      </c>
      <c r="M8" s="149">
        <f t="shared" si="4"/>
        <v>-1.0638297872340425E-2</v>
      </c>
      <c r="N8" s="149">
        <f t="shared" si="4"/>
        <v>-0.12903225806451613</v>
      </c>
      <c r="O8" s="149">
        <f t="shared" si="4"/>
        <v>1.0493827160493827</v>
      </c>
      <c r="P8" s="149">
        <f t="shared" si="4"/>
        <v>1.2048192771084338E-2</v>
      </c>
      <c r="Q8" s="149">
        <f t="shared" si="4"/>
        <v>0.38690476190476192</v>
      </c>
      <c r="R8" s="149">
        <f t="shared" ref="I8:S8" si="5">(R7-Q7)/Q7</f>
        <v>-0.20815450643776823</v>
      </c>
      <c r="S8" s="149">
        <f t="shared" si="5"/>
        <v>-7.0460704607046065E-2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13</v>
      </c>
      <c r="H9" s="146">
        <v>31</v>
      </c>
      <c r="I9" s="146">
        <v>24</v>
      </c>
      <c r="J9" s="146">
        <v>39</v>
      </c>
      <c r="K9" s="146">
        <v>35</v>
      </c>
      <c r="L9" s="146">
        <v>38</v>
      </c>
      <c r="M9" s="146">
        <v>76</v>
      </c>
      <c r="N9" s="146">
        <v>153</v>
      </c>
      <c r="O9" s="146">
        <v>157</v>
      </c>
      <c r="P9" s="146">
        <v>252</v>
      </c>
      <c r="Q9" s="146">
        <v>389</v>
      </c>
      <c r="R9" s="203">
        <v>341</v>
      </c>
      <c r="S9" s="203">
        <v>157</v>
      </c>
      <c r="T9" s="118">
        <f>((S9/G9)^(1/($J$2-$J$1) ))-1</f>
        <v>0.23073067450628026</v>
      </c>
      <c r="U9" s="31">
        <f t="shared" ref="U9:U55" si="6">$N$2</f>
        <v>0.05</v>
      </c>
      <c r="V9" s="152">
        <f t="shared" si="2"/>
        <v>164.85</v>
      </c>
      <c r="W9" s="152">
        <f t="shared" ref="W9" si="7">V9*(1+$U9)</f>
        <v>173.0925</v>
      </c>
      <c r="X9" s="152">
        <f t="shared" ref="X9" si="8">W9*(1+$U9)</f>
        <v>181.74712500000001</v>
      </c>
      <c r="Y9" s="152">
        <f t="shared" ref="Y9" si="9">X9*(1+$U9)</f>
        <v>190.83448125000001</v>
      </c>
      <c r="Z9" s="152">
        <f t="shared" ref="Z9" si="10">Y9*(1+$U9)</f>
        <v>200.37620531250002</v>
      </c>
      <c r="AA9" s="152">
        <f t="shared" ref="AA9" si="11">Z9*(1+$U9)</f>
        <v>210.39501557812503</v>
      </c>
      <c r="AB9" s="152">
        <f t="shared" ref="AB9" si="12">AA9*(1+$U9)</f>
        <v>220.91476635703128</v>
      </c>
      <c r="AC9" s="152">
        <f t="shared" ref="AC9" si="13">AB9*(1+$U9)</f>
        <v>231.96050467488286</v>
      </c>
      <c r="AD9" s="152">
        <f t="shared" ref="AD9" si="14">AC9*(1+$U9)</f>
        <v>243.55852990862701</v>
      </c>
      <c r="AE9" s="152">
        <f t="shared" ref="AE9" si="15">AD9*(1+$U9)</f>
        <v>255.73645640405837</v>
      </c>
      <c r="AF9" s="137">
        <f>((AE9/I9)^(1/($AE$3-$J$1) ))-1</f>
        <v>0.11926377409634514</v>
      </c>
      <c r="AG9" s="31">
        <f t="shared" ref="AG9:AG99" si="16">$N$1</f>
        <v>0.05</v>
      </c>
      <c r="AH9" s="145">
        <f t="shared" si="1"/>
        <v>2065.5636863404716</v>
      </c>
    </row>
    <row r="10" spans="2:34">
      <c r="B10" s="20" t="s">
        <v>4</v>
      </c>
      <c r="C10" s="140"/>
      <c r="D10" s="140"/>
      <c r="E10" s="146"/>
      <c r="F10" s="146"/>
      <c r="G10" s="146">
        <v>233</v>
      </c>
      <c r="H10" s="146">
        <v>266</v>
      </c>
      <c r="I10" s="146">
        <v>406</v>
      </c>
      <c r="J10" s="146">
        <v>512</v>
      </c>
      <c r="K10" s="146">
        <v>652</v>
      </c>
      <c r="L10" s="146">
        <v>664</v>
      </c>
      <c r="M10" s="146">
        <v>783</v>
      </c>
      <c r="N10" s="146">
        <v>966</v>
      </c>
      <c r="O10" s="146">
        <v>905</v>
      </c>
      <c r="P10" s="146">
        <v>898</v>
      </c>
      <c r="Q10" s="146">
        <v>943</v>
      </c>
      <c r="R10" s="203">
        <v>907</v>
      </c>
      <c r="S10" s="203">
        <v>967</v>
      </c>
      <c r="T10" s="118">
        <f>((S10/G10)^(1/($J$2-$J$1) ))-1</f>
        <v>0.12591571129016299</v>
      </c>
      <c r="U10" s="31">
        <f t="shared" si="6"/>
        <v>0.05</v>
      </c>
      <c r="V10" s="152">
        <f t="shared" si="2"/>
        <v>1015.35</v>
      </c>
      <c r="W10" s="152">
        <f t="shared" ref="W10:AE10" si="17">V10*(1+$U10)</f>
        <v>1066.1175000000001</v>
      </c>
      <c r="X10" s="152">
        <f t="shared" si="17"/>
        <v>1119.4233750000001</v>
      </c>
      <c r="Y10" s="152">
        <f t="shared" si="17"/>
        <v>1175.3945437500001</v>
      </c>
      <c r="Z10" s="152">
        <f t="shared" si="17"/>
        <v>1234.1642709375003</v>
      </c>
      <c r="AA10" s="152">
        <f t="shared" si="17"/>
        <v>1295.8724844843753</v>
      </c>
      <c r="AB10" s="152">
        <f t="shared" si="17"/>
        <v>1360.666108708594</v>
      </c>
      <c r="AC10" s="152">
        <f t="shared" si="17"/>
        <v>1428.6994141440239</v>
      </c>
      <c r="AD10" s="152">
        <f t="shared" si="17"/>
        <v>1500.1343848512251</v>
      </c>
      <c r="AE10" s="152">
        <f t="shared" si="17"/>
        <v>1575.1411040937865</v>
      </c>
      <c r="AF10" s="137">
        <f t="shared" ref="AF10:AF57" si="18">((AE10/I10)^(1/($AE$3-$J$1) ))-1</f>
        <v>6.668891622731854E-2</v>
      </c>
      <c r="AG10" s="31">
        <f t="shared" si="16"/>
        <v>0.05</v>
      </c>
      <c r="AH10" s="145">
        <f t="shared" si="1"/>
        <v>12722.293533065198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149">
        <f t="shared" ref="H11:Q11" si="19">(H10-G10)/G10</f>
        <v>0.14163090128755365</v>
      </c>
      <c r="I11" s="149">
        <f t="shared" si="19"/>
        <v>0.52631578947368418</v>
      </c>
      <c r="J11" s="149">
        <f t="shared" si="19"/>
        <v>0.26108374384236455</v>
      </c>
      <c r="K11" s="149">
        <f t="shared" si="19"/>
        <v>0.2734375</v>
      </c>
      <c r="L11" s="149">
        <f t="shared" si="19"/>
        <v>1.8404907975460124E-2</v>
      </c>
      <c r="M11" s="149">
        <f t="shared" si="19"/>
        <v>0.17921686746987953</v>
      </c>
      <c r="N11" s="149">
        <f t="shared" si="19"/>
        <v>0.23371647509578544</v>
      </c>
      <c r="O11" s="149">
        <f t="shared" si="19"/>
        <v>-6.3146997929606624E-2</v>
      </c>
      <c r="P11" s="149">
        <f t="shared" si="19"/>
        <v>-7.7348066298342545E-3</v>
      </c>
      <c r="Q11" s="149">
        <f t="shared" si="19"/>
        <v>5.0111358574610243E-2</v>
      </c>
      <c r="R11" s="149">
        <f t="shared" ref="I11:S11" si="20">(R10-Q10)/Q10</f>
        <v>-3.8176033934252389E-2</v>
      </c>
      <c r="S11" s="149">
        <f t="shared" si="20"/>
        <v>6.6152149944873215E-2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6</v>
      </c>
      <c r="H12" s="146">
        <v>4</v>
      </c>
      <c r="I12" s="146">
        <v>34</v>
      </c>
      <c r="J12" s="146">
        <v>8</v>
      </c>
      <c r="K12" s="146">
        <v>33</v>
      </c>
      <c r="L12" s="146">
        <v>11</v>
      </c>
      <c r="M12" s="146">
        <v>26</v>
      </c>
      <c r="N12" s="146">
        <v>19</v>
      </c>
      <c r="O12" s="146">
        <v>21</v>
      </c>
      <c r="P12" s="146">
        <v>23</v>
      </c>
      <c r="Q12" s="146">
        <v>23</v>
      </c>
      <c r="R12" s="203">
        <v>23</v>
      </c>
      <c r="S12" s="203">
        <v>13</v>
      </c>
      <c r="T12" s="118">
        <f>((S12/G12)^(1/($J$2-$J$1) ))-1</f>
        <v>6.6553573514220643E-2</v>
      </c>
      <c r="U12" s="31">
        <f t="shared" si="6"/>
        <v>0.05</v>
      </c>
      <c r="V12" s="152">
        <f t="shared" si="2"/>
        <v>13.65</v>
      </c>
      <c r="W12" s="152">
        <f t="shared" ref="W12:AE12" si="21">V12*(1+$U12)</f>
        <v>14.332500000000001</v>
      </c>
      <c r="X12" s="152">
        <f t="shared" si="21"/>
        <v>15.049125000000002</v>
      </c>
      <c r="Y12" s="152">
        <f t="shared" si="21"/>
        <v>15.801581250000003</v>
      </c>
      <c r="Z12" s="152">
        <f t="shared" si="21"/>
        <v>16.591660312500004</v>
      </c>
      <c r="AA12" s="152">
        <f t="shared" si="21"/>
        <v>17.421243328125005</v>
      </c>
      <c r="AB12" s="152">
        <f t="shared" si="21"/>
        <v>18.292305494531256</v>
      </c>
      <c r="AC12" s="152">
        <f t="shared" si="21"/>
        <v>19.20692076925782</v>
      </c>
      <c r="AD12" s="152">
        <f t="shared" si="21"/>
        <v>20.167266807720711</v>
      </c>
      <c r="AE12" s="152">
        <f t="shared" si="21"/>
        <v>21.175630148106748</v>
      </c>
      <c r="AF12" s="137">
        <f t="shared" si="18"/>
        <v>-2.2295764761081083E-2</v>
      </c>
      <c r="AG12" s="31">
        <f t="shared" si="16"/>
        <v>0.05</v>
      </c>
      <c r="AH12" s="145">
        <f t="shared" si="1"/>
        <v>171.03393581163144</v>
      </c>
    </row>
    <row r="13" spans="2:34">
      <c r="B13" s="20" t="s">
        <v>218</v>
      </c>
      <c r="C13" s="140"/>
      <c r="D13" s="140"/>
      <c r="E13" s="146"/>
      <c r="F13" s="146"/>
      <c r="G13" s="146">
        <v>7</v>
      </c>
      <c r="H13" s="146">
        <v>13</v>
      </c>
      <c r="I13" s="146">
        <v>0.8</v>
      </c>
      <c r="J13" s="146">
        <v>3</v>
      </c>
      <c r="K13" s="146">
        <v>4</v>
      </c>
      <c r="L13" s="146">
        <v>6</v>
      </c>
      <c r="M13" s="146">
        <v>7</v>
      </c>
      <c r="N13" s="146">
        <v>8</v>
      </c>
      <c r="O13" s="146">
        <v>48</v>
      </c>
      <c r="P13" s="146">
        <v>46</v>
      </c>
      <c r="Q13" s="146">
        <v>44</v>
      </c>
      <c r="R13" s="203">
        <v>44</v>
      </c>
      <c r="S13" s="203">
        <v>43</v>
      </c>
      <c r="T13" s="118">
        <f t="shared" ref="T13:T59" si="22">((S13/G13)^(1/($J$2-$J$1) ))-1</f>
        <v>0.16331555347841387</v>
      </c>
      <c r="U13" s="31">
        <f t="shared" si="6"/>
        <v>0.05</v>
      </c>
      <c r="V13" s="152">
        <f t="shared" si="2"/>
        <v>45.15</v>
      </c>
      <c r="W13" s="152">
        <f t="shared" ref="W13:AE13" si="23">V13*(1+$U13)</f>
        <v>47.407499999999999</v>
      </c>
      <c r="X13" s="152">
        <f t="shared" si="23"/>
        <v>49.777875000000002</v>
      </c>
      <c r="Y13" s="152">
        <f t="shared" si="23"/>
        <v>52.266768750000004</v>
      </c>
      <c r="Z13" s="152">
        <f t="shared" si="23"/>
        <v>54.880107187500009</v>
      </c>
      <c r="AA13" s="152">
        <f t="shared" si="23"/>
        <v>57.624112546875011</v>
      </c>
      <c r="AB13" s="152">
        <f t="shared" si="23"/>
        <v>60.505318174218765</v>
      </c>
      <c r="AC13" s="152">
        <f t="shared" si="23"/>
        <v>63.530584082929707</v>
      </c>
      <c r="AD13" s="152">
        <f t="shared" si="23"/>
        <v>66.707113287076197</v>
      </c>
      <c r="AE13" s="152">
        <f t="shared" si="23"/>
        <v>70.04246895143001</v>
      </c>
      <c r="AF13" s="137">
        <f t="shared" si="18"/>
        <v>0.23734018330795426</v>
      </c>
      <c r="AG13" s="31">
        <f t="shared" si="16"/>
        <v>0.05</v>
      </c>
      <c r="AH13" s="145">
        <f t="shared" si="1"/>
        <v>565.72763383847314</v>
      </c>
    </row>
    <row r="14" spans="2:34">
      <c r="B14" s="20" t="s">
        <v>368</v>
      </c>
      <c r="C14" s="140"/>
      <c r="D14" s="140"/>
      <c r="E14" s="146"/>
      <c r="F14" s="146"/>
      <c r="G14" s="146">
        <v>222</v>
      </c>
      <c r="H14" s="146">
        <v>271</v>
      </c>
      <c r="I14" s="146">
        <v>335</v>
      </c>
      <c r="J14" s="146">
        <v>423</v>
      </c>
      <c r="K14" s="146">
        <v>507</v>
      </c>
      <c r="L14" s="146">
        <v>580</v>
      </c>
      <c r="M14" s="146">
        <v>714</v>
      </c>
      <c r="N14" s="146">
        <v>871</v>
      </c>
      <c r="O14" s="146">
        <v>959</v>
      </c>
      <c r="P14" s="146">
        <v>1043</v>
      </c>
      <c r="Q14" s="146">
        <v>1233</v>
      </c>
      <c r="R14" s="203">
        <v>1155</v>
      </c>
      <c r="S14" s="203">
        <v>1043</v>
      </c>
      <c r="T14" s="118">
        <f t="shared" si="22"/>
        <v>0.13761229679500486</v>
      </c>
      <c r="U14" s="31">
        <f t="shared" si="6"/>
        <v>0.05</v>
      </c>
      <c r="V14" s="152">
        <f t="shared" si="2"/>
        <v>1095.1500000000001</v>
      </c>
      <c r="W14" s="152">
        <f t="shared" ref="W14" si="24">V14*(1+$U14)</f>
        <v>1149.9075000000003</v>
      </c>
      <c r="X14" s="152">
        <f t="shared" ref="X14" si="25">W14*(1+$U14)</f>
        <v>1207.4028750000002</v>
      </c>
      <c r="Y14" s="152">
        <f t="shared" ref="Y14" si="26">X14*(1+$U14)</f>
        <v>1267.7730187500003</v>
      </c>
      <c r="Z14" s="152">
        <f t="shared" ref="Z14" si="27">Y14*(1+$U14)</f>
        <v>1331.1616696875003</v>
      </c>
      <c r="AA14" s="152">
        <f t="shared" ref="AA14" si="28">Z14*(1+$U14)</f>
        <v>1397.7197531718755</v>
      </c>
      <c r="AB14" s="152">
        <f t="shared" ref="AB14" si="29">AA14*(1+$U14)</f>
        <v>1467.6057408304694</v>
      </c>
      <c r="AC14" s="152">
        <f t="shared" ref="AC14" si="30">AB14*(1+$U14)</f>
        <v>1540.986027871993</v>
      </c>
      <c r="AD14" s="152">
        <f t="shared" ref="AD14" si="31">AC14*(1+$U14)</f>
        <v>1618.0353292655927</v>
      </c>
      <c r="AE14" s="152">
        <f t="shared" ref="AE14" si="32">AD14*(1+$U14)</f>
        <v>1698.9370957288725</v>
      </c>
      <c r="AF14" s="137">
        <f t="shared" ref="AF14" si="33">((AE14/I14)^(1/($AE$3-$J$1) ))-1</f>
        <v>8.0382989658153603E-2</v>
      </c>
      <c r="AG14" s="31">
        <f t="shared" si="16"/>
        <v>0.05</v>
      </c>
      <c r="AH14" s="145">
        <f t="shared" ref="AH14" si="34">(AE14*(1+AG14))/($C$1-AG14)</f>
        <v>13722.1842347332</v>
      </c>
    </row>
    <row r="15" spans="2:34">
      <c r="B15" s="20" t="s">
        <v>19</v>
      </c>
      <c r="C15" s="140"/>
      <c r="D15" s="140"/>
      <c r="E15" s="146"/>
      <c r="F15" s="146"/>
      <c r="G15" s="146">
        <v>264</v>
      </c>
      <c r="H15" s="146">
        <v>329</v>
      </c>
      <c r="I15" s="146">
        <v>425</v>
      </c>
      <c r="J15" s="146">
        <v>520</v>
      </c>
      <c r="K15" s="146">
        <v>660</v>
      </c>
      <c r="L15" s="146">
        <v>707</v>
      </c>
      <c r="M15" s="146">
        <v>870</v>
      </c>
      <c r="N15" s="146">
        <v>1079</v>
      </c>
      <c r="O15" s="146">
        <v>1154</v>
      </c>
      <c r="P15" s="146">
        <v>1235</v>
      </c>
      <c r="Q15" s="146">
        <v>1532</v>
      </c>
      <c r="R15" s="203">
        <v>1347</v>
      </c>
      <c r="S15" s="203">
        <v>1210</v>
      </c>
      <c r="T15" s="118">
        <f t="shared" si="22"/>
        <v>0.13526814933889852</v>
      </c>
      <c r="U15" s="31">
        <f t="shared" si="6"/>
        <v>0.05</v>
      </c>
      <c r="V15" s="152">
        <f t="shared" si="2"/>
        <v>1270.5</v>
      </c>
      <c r="W15" s="152">
        <f t="shared" ref="W15:AE15" si="35">V15*(1+$U15)</f>
        <v>1334.0250000000001</v>
      </c>
      <c r="X15" s="152">
        <f t="shared" si="35"/>
        <v>1400.7262500000002</v>
      </c>
      <c r="Y15" s="152">
        <f t="shared" si="35"/>
        <v>1470.7625625000003</v>
      </c>
      <c r="Z15" s="152">
        <f t="shared" si="35"/>
        <v>1544.3006906250005</v>
      </c>
      <c r="AA15" s="152">
        <f t="shared" si="35"/>
        <v>1621.5157251562505</v>
      </c>
      <c r="AB15" s="152">
        <f t="shared" si="35"/>
        <v>1702.591511414063</v>
      </c>
      <c r="AC15" s="152">
        <f t="shared" si="35"/>
        <v>1787.7210869847663</v>
      </c>
      <c r="AD15" s="152">
        <f t="shared" si="35"/>
        <v>1877.1071413340046</v>
      </c>
      <c r="AE15" s="152">
        <f t="shared" si="35"/>
        <v>1970.9624984007048</v>
      </c>
      <c r="AF15" s="137">
        <f t="shared" si="18"/>
        <v>7.5791399954115102E-2</v>
      </c>
      <c r="AG15" s="31">
        <f t="shared" si="16"/>
        <v>0.05</v>
      </c>
      <c r="AH15" s="145">
        <f t="shared" si="1"/>
        <v>15919.312487082616</v>
      </c>
    </row>
    <row r="16" spans="2:34">
      <c r="B16" s="20" t="s">
        <v>23</v>
      </c>
      <c r="C16" s="140"/>
      <c r="D16" s="140"/>
      <c r="E16" s="146"/>
      <c r="F16" s="146"/>
      <c r="G16" s="146">
        <v>280</v>
      </c>
      <c r="H16" s="146">
        <v>315</v>
      </c>
      <c r="I16" s="146">
        <v>406</v>
      </c>
      <c r="J16" s="146">
        <v>515</v>
      </c>
      <c r="K16" s="146">
        <v>675</v>
      </c>
      <c r="L16" s="146">
        <v>734</v>
      </c>
      <c r="M16" s="146">
        <v>853</v>
      </c>
      <c r="N16" s="146">
        <v>988</v>
      </c>
      <c r="O16" s="146">
        <v>1053</v>
      </c>
      <c r="P16" s="146">
        <v>1046</v>
      </c>
      <c r="Q16" s="146">
        <v>1222</v>
      </c>
      <c r="R16" s="203">
        <v>1112</v>
      </c>
      <c r="S16" s="203">
        <v>1146</v>
      </c>
      <c r="T16" s="118">
        <f t="shared" si="22"/>
        <v>0.12461071107821264</v>
      </c>
      <c r="U16" s="31">
        <f t="shared" si="6"/>
        <v>0.05</v>
      </c>
      <c r="V16" s="152">
        <f t="shared" si="2"/>
        <v>1203.3</v>
      </c>
      <c r="W16" s="152">
        <f t="shared" ref="W16:AE16" si="36">V16*(1+$U16)</f>
        <v>1263.4649999999999</v>
      </c>
      <c r="X16" s="152">
        <f t="shared" si="36"/>
        <v>1326.63825</v>
      </c>
      <c r="Y16" s="152">
        <f t="shared" si="36"/>
        <v>1392.9701625</v>
      </c>
      <c r="Z16" s="152">
        <f t="shared" si="36"/>
        <v>1462.618670625</v>
      </c>
      <c r="AA16" s="152">
        <f t="shared" si="36"/>
        <v>1535.7496041562501</v>
      </c>
      <c r="AB16" s="152">
        <f t="shared" si="36"/>
        <v>1612.5370843640628</v>
      </c>
      <c r="AC16" s="152">
        <f t="shared" si="36"/>
        <v>1693.1639385822659</v>
      </c>
      <c r="AD16" s="152">
        <f t="shared" si="36"/>
        <v>1777.8221355113792</v>
      </c>
      <c r="AE16" s="152">
        <f t="shared" si="36"/>
        <v>1866.7132422869483</v>
      </c>
      <c r="AF16" s="137">
        <f t="shared" si="18"/>
        <v>7.5350583233402491E-2</v>
      </c>
      <c r="AG16" s="31">
        <f t="shared" si="16"/>
        <v>0.05</v>
      </c>
      <c r="AH16" s="145">
        <f t="shared" si="1"/>
        <v>15077.299264625353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37</v>
      </c>
      <c r="H18" s="146">
        <v>42</v>
      </c>
      <c r="I18" s="146">
        <v>83</v>
      </c>
      <c r="J18" s="146">
        <v>95</v>
      </c>
      <c r="K18" s="146">
        <v>102</v>
      </c>
      <c r="L18" s="146">
        <v>97</v>
      </c>
      <c r="M18" s="146">
        <v>87</v>
      </c>
      <c r="N18" s="146">
        <v>91</v>
      </c>
      <c r="O18" s="146">
        <v>103</v>
      </c>
      <c r="P18" s="146">
        <v>139</v>
      </c>
      <c r="Q18" s="146">
        <v>141</v>
      </c>
      <c r="R18" s="203">
        <v>120</v>
      </c>
      <c r="S18" s="203">
        <v>121</v>
      </c>
      <c r="T18" s="118">
        <f t="shared" si="22"/>
        <v>0.10377860200254796</v>
      </c>
      <c r="U18" s="31">
        <f t="shared" si="6"/>
        <v>0.05</v>
      </c>
      <c r="V18" s="152">
        <f t="shared" si="2"/>
        <v>127.05000000000001</v>
      </c>
      <c r="W18" s="152">
        <f t="shared" ref="W18:W34" si="37">V18*(1+$U18)</f>
        <v>133.4025</v>
      </c>
      <c r="X18" s="152">
        <f t="shared" ref="X18:X34" si="38">W18*(1+$U18)</f>
        <v>140.07262500000002</v>
      </c>
      <c r="Y18" s="152">
        <f t="shared" ref="Y18:Y34" si="39">X18*(1+$U18)</f>
        <v>147.07625625000003</v>
      </c>
      <c r="Z18" s="152">
        <f t="shared" ref="Z18:Z51" si="40">Y18*(1+$U18)</f>
        <v>154.43006906250002</v>
      </c>
      <c r="AA18" s="152">
        <f t="shared" ref="AA18:AA51" si="41">Z18*(1+$U18)</f>
        <v>162.15157251562502</v>
      </c>
      <c r="AB18" s="152">
        <f t="shared" ref="AB18:AB51" si="42">AA18*(1+$U18)</f>
        <v>170.25915114140628</v>
      </c>
      <c r="AC18" s="152">
        <f t="shared" ref="AC18:AC51" si="43">AB18*(1+$U18)</f>
        <v>178.77210869847659</v>
      </c>
      <c r="AD18" s="152">
        <f t="shared" ref="AD18:AD51" si="44">AC18*(1+$U18)</f>
        <v>187.71071413340042</v>
      </c>
      <c r="AE18" s="152">
        <f t="shared" ref="AE18:AE51" si="45">AD18*(1+$U18)</f>
        <v>197.09624984007044</v>
      </c>
      <c r="AF18" s="137">
        <f t="shared" si="18"/>
        <v>4.2043207651060843E-2</v>
      </c>
      <c r="AG18" s="31">
        <f t="shared" si="16"/>
        <v>0.05</v>
      </c>
      <c r="AH18" s="145">
        <f t="shared" si="1"/>
        <v>1591.9312487082614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36</v>
      </c>
      <c r="H20" s="146">
        <v>-16</v>
      </c>
      <c r="I20" s="146">
        <v>-17</v>
      </c>
      <c r="J20" s="146">
        <v>-51</v>
      </c>
      <c r="K20" s="146">
        <v>-132</v>
      </c>
      <c r="L20" s="146">
        <v>-38</v>
      </c>
      <c r="M20" s="146">
        <v>-99</v>
      </c>
      <c r="N20" s="146">
        <v>-40</v>
      </c>
      <c r="O20" s="146">
        <v>-145</v>
      </c>
      <c r="P20" s="146">
        <v>129</v>
      </c>
      <c r="Q20" s="146">
        <v>-17</v>
      </c>
      <c r="R20" s="203">
        <v>105</v>
      </c>
      <c r="S20" s="203">
        <v>49</v>
      </c>
      <c r="T20" s="118">
        <f t="shared" si="22"/>
        <v>2.6024658382729271E-2</v>
      </c>
      <c r="U20" s="31">
        <f t="shared" si="6"/>
        <v>0.05</v>
      </c>
      <c r="V20" s="152">
        <f t="shared" si="2"/>
        <v>51.45</v>
      </c>
      <c r="W20" s="152">
        <f t="shared" ref="W20:W22" si="46">V20*(1+$U20)</f>
        <v>54.022500000000008</v>
      </c>
      <c r="X20" s="152">
        <f t="shared" ref="X20:X22" si="47">W20*(1+$U20)</f>
        <v>56.723625000000013</v>
      </c>
      <c r="Y20" s="152">
        <f t="shared" ref="Y20:Y22" si="48">X20*(1+$U20)</f>
        <v>59.559806250000015</v>
      </c>
      <c r="Z20" s="152">
        <f t="shared" ref="Z20:Z22" si="49">Y20*(1+$U20)</f>
        <v>62.53779656250002</v>
      </c>
      <c r="AA20" s="152">
        <f t="shared" ref="AA20:AA22" si="50">Z20*(1+$U20)</f>
        <v>65.664686390625022</v>
      </c>
      <c r="AB20" s="152">
        <f t="shared" ref="AB20:AB22" si="51">AA20*(1+$U20)</f>
        <v>68.947920710156282</v>
      </c>
      <c r="AC20" s="152">
        <f t="shared" ref="AC20:AC22" si="52">AB20*(1+$U20)</f>
        <v>72.395316745664104</v>
      </c>
      <c r="AD20" s="152">
        <f t="shared" ref="AD20:AD22" si="53">AC20*(1+$U20)</f>
        <v>76.015082582947315</v>
      </c>
      <c r="AE20" s="152">
        <f t="shared" ref="AE20:AE22" si="54">AD20*(1+$U20)</f>
        <v>79.815836712094679</v>
      </c>
      <c r="AF20" s="137">
        <f t="shared" ref="AF20:AF22" si="55">((AE20/I20)^(1/($AE$3-$J$1) ))-1</f>
        <v>-2.0764227409055813</v>
      </c>
      <c r="AG20" s="31">
        <f t="shared" si="16"/>
        <v>0.05</v>
      </c>
      <c r="AH20" s="145">
        <f t="shared" si="1"/>
        <v>644.66637344384162</v>
      </c>
    </row>
    <row r="21" spans="2:34">
      <c r="B21" s="20" t="s">
        <v>284</v>
      </c>
      <c r="C21" s="140"/>
      <c r="D21" s="140"/>
      <c r="E21" s="146"/>
      <c r="F21" s="146"/>
      <c r="G21" s="146">
        <v>-20</v>
      </c>
      <c r="H21" s="146">
        <v>-15</v>
      </c>
      <c r="I21" s="146">
        <v>-36</v>
      </c>
      <c r="J21" s="146">
        <v>-76</v>
      </c>
      <c r="K21" s="146">
        <v>-3</v>
      </c>
      <c r="L21" s="146">
        <v>-21</v>
      </c>
      <c r="M21" s="146">
        <v>-16</v>
      </c>
      <c r="N21" s="146">
        <v>-36</v>
      </c>
      <c r="O21" s="146">
        <v>244</v>
      </c>
      <c r="P21" s="146">
        <v>-25</v>
      </c>
      <c r="Q21" s="146">
        <v>-17</v>
      </c>
      <c r="R21" s="146">
        <v>-5</v>
      </c>
      <c r="S21" s="146">
        <v>-10</v>
      </c>
      <c r="T21" s="118">
        <f t="shared" si="22"/>
        <v>-5.6125687318306472E-2</v>
      </c>
      <c r="U21" s="31">
        <f t="shared" si="6"/>
        <v>0.05</v>
      </c>
      <c r="V21" s="152">
        <f t="shared" si="2"/>
        <v>-10.5</v>
      </c>
      <c r="W21" s="152">
        <f t="shared" si="46"/>
        <v>-11.025</v>
      </c>
      <c r="X21" s="152">
        <f t="shared" si="47"/>
        <v>-11.576250000000002</v>
      </c>
      <c r="Y21" s="152">
        <f t="shared" si="48"/>
        <v>-12.155062500000001</v>
      </c>
      <c r="Z21" s="152">
        <f t="shared" si="49"/>
        <v>-12.762815625000002</v>
      </c>
      <c r="AA21" s="152">
        <f t="shared" si="50"/>
        <v>-13.400956406250003</v>
      </c>
      <c r="AB21" s="152">
        <f t="shared" si="51"/>
        <v>-14.071004226562504</v>
      </c>
      <c r="AC21" s="152">
        <f t="shared" si="52"/>
        <v>-14.774554437890631</v>
      </c>
      <c r="AD21" s="152">
        <f t="shared" si="53"/>
        <v>-15.513282159785163</v>
      </c>
      <c r="AE21" s="152">
        <f t="shared" si="54"/>
        <v>-16.288946267774421</v>
      </c>
      <c r="AF21" s="137">
        <f t="shared" si="55"/>
        <v>-3.7059291134960537E-2</v>
      </c>
      <c r="AG21" s="31">
        <f t="shared" si="16"/>
        <v>0.05</v>
      </c>
      <c r="AH21" s="145">
        <f t="shared" si="1"/>
        <v>-131.56456600894725</v>
      </c>
    </row>
    <row r="22" spans="2:34">
      <c r="B22" s="20" t="s">
        <v>285</v>
      </c>
      <c r="C22" s="140"/>
      <c r="D22" s="140"/>
      <c r="E22" s="146"/>
      <c r="F22" s="146"/>
      <c r="G22" s="146">
        <v>-15</v>
      </c>
      <c r="H22" s="146">
        <v>29</v>
      </c>
      <c r="I22" s="146">
        <v>80</v>
      </c>
      <c r="J22" s="146">
        <v>103</v>
      </c>
      <c r="K22" s="146">
        <v>161</v>
      </c>
      <c r="L22" s="146">
        <v>33</v>
      </c>
      <c r="M22" s="146">
        <v>127</v>
      </c>
      <c r="N22" s="146">
        <v>73</v>
      </c>
      <c r="O22" s="146">
        <v>-98</v>
      </c>
      <c r="P22" s="146">
        <v>-103</v>
      </c>
      <c r="Q22" s="146">
        <v>28</v>
      </c>
      <c r="R22" s="146">
        <v>-100</v>
      </c>
      <c r="S22" s="146">
        <v>-40</v>
      </c>
      <c r="T22" s="118">
        <f t="shared" si="22"/>
        <v>8.516903890614258E-2</v>
      </c>
      <c r="U22" s="31">
        <f t="shared" si="6"/>
        <v>0.05</v>
      </c>
      <c r="V22" s="152">
        <f t="shared" si="2"/>
        <v>-42</v>
      </c>
      <c r="W22" s="152">
        <f t="shared" si="46"/>
        <v>-44.1</v>
      </c>
      <c r="X22" s="152">
        <f t="shared" si="47"/>
        <v>-46.305000000000007</v>
      </c>
      <c r="Y22" s="152">
        <f t="shared" si="48"/>
        <v>-48.620250000000006</v>
      </c>
      <c r="Z22" s="152">
        <f t="shared" si="49"/>
        <v>-51.051262500000007</v>
      </c>
      <c r="AA22" s="152">
        <f t="shared" si="50"/>
        <v>-53.603825625000013</v>
      </c>
      <c r="AB22" s="152">
        <f t="shared" si="51"/>
        <v>-56.284016906250017</v>
      </c>
      <c r="AC22" s="152">
        <f t="shared" si="52"/>
        <v>-59.098217751562522</v>
      </c>
      <c r="AD22" s="152">
        <f t="shared" si="53"/>
        <v>-62.053128639140652</v>
      </c>
      <c r="AE22" s="152">
        <f t="shared" si="54"/>
        <v>-65.155785071097682</v>
      </c>
      <c r="AF22" s="137">
        <f t="shared" si="55"/>
        <v>-1.9902740092897631</v>
      </c>
      <c r="AG22" s="31">
        <f t="shared" si="16"/>
        <v>0.05</v>
      </c>
      <c r="AH22" s="145">
        <f t="shared" si="1"/>
        <v>-526.25826403578901</v>
      </c>
    </row>
    <row r="23" spans="2:34">
      <c r="B23" s="20" t="s">
        <v>294</v>
      </c>
      <c r="C23" s="140"/>
      <c r="D23" s="140"/>
      <c r="E23" s="146"/>
      <c r="F23" s="146"/>
      <c r="G23" s="146">
        <v>5</v>
      </c>
      <c r="H23" s="146">
        <v>4</v>
      </c>
      <c r="I23" s="146">
        <v>31</v>
      </c>
      <c r="J23" s="146">
        <v>6</v>
      </c>
      <c r="K23" s="146">
        <v>31</v>
      </c>
      <c r="L23" s="146">
        <v>5.25</v>
      </c>
      <c r="M23" s="146">
        <v>17</v>
      </c>
      <c r="N23" s="146">
        <v>12</v>
      </c>
      <c r="O23" s="146">
        <v>12</v>
      </c>
      <c r="P23" s="146">
        <v>14</v>
      </c>
      <c r="Q23" s="146">
        <v>8</v>
      </c>
      <c r="R23" s="203">
        <v>9</v>
      </c>
      <c r="S23" s="203">
        <v>7</v>
      </c>
      <c r="T23" s="118">
        <f t="shared" si="22"/>
        <v>2.8436155726361267E-2</v>
      </c>
      <c r="U23" s="31">
        <f t="shared" si="6"/>
        <v>0.05</v>
      </c>
      <c r="V23" s="152">
        <f t="shared" si="2"/>
        <v>7.3500000000000005</v>
      </c>
      <c r="W23" s="152">
        <f t="shared" ref="W23" si="56">V23*(1+$U23)</f>
        <v>7.7175000000000011</v>
      </c>
      <c r="X23" s="152">
        <f t="shared" ref="X23" si="57">W23*(1+$U23)</f>
        <v>8.1033750000000015</v>
      </c>
      <c r="Y23" s="152">
        <f t="shared" ref="Y23" si="58">X23*(1+$U23)</f>
        <v>8.5085437500000012</v>
      </c>
      <c r="Z23" s="152">
        <f t="shared" ref="Z23" si="59">Y23*(1+$U23)</f>
        <v>8.9339709375000016</v>
      </c>
      <c r="AA23" s="152">
        <f t="shared" ref="AA23" si="60">Z23*(1+$U23)</f>
        <v>9.3806694843750016</v>
      </c>
      <c r="AB23" s="152">
        <f t="shared" ref="AB23" si="61">AA23*(1+$U23)</f>
        <v>9.8497029585937526</v>
      </c>
      <c r="AC23" s="152">
        <f t="shared" ref="AC23" si="62">AB23*(1+$U23)</f>
        <v>10.342188106523441</v>
      </c>
      <c r="AD23" s="152">
        <f t="shared" ref="AD23" si="63">AC23*(1+$U23)</f>
        <v>10.859297511849613</v>
      </c>
      <c r="AE23" s="152">
        <f t="shared" ref="AE23" si="64">AD23*(1+$U23)</f>
        <v>11.402262387442095</v>
      </c>
      <c r="AF23" s="137">
        <f t="shared" ref="AF23" si="65">((AE23/I23)^(1/($AE$3-$J$1) ))-1</f>
        <v>-4.6511009726718511E-2</v>
      </c>
      <c r="AG23" s="31">
        <f t="shared" si="16"/>
        <v>0.05</v>
      </c>
      <c r="AH23" s="145">
        <f t="shared" si="1"/>
        <v>92.095196206263083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524</v>
      </c>
      <c r="H25" s="146">
        <v>553</v>
      </c>
      <c r="I25" s="146">
        <v>594</v>
      </c>
      <c r="J25" s="146">
        <v>712</v>
      </c>
      <c r="K25" s="146">
        <v>817</v>
      </c>
      <c r="L25" s="146">
        <v>754</v>
      </c>
      <c r="M25" s="146">
        <v>950</v>
      </c>
      <c r="N25" s="146">
        <v>1118</v>
      </c>
      <c r="O25" s="146">
        <v>1421</v>
      </c>
      <c r="P25" s="146">
        <v>1217</v>
      </c>
      <c r="Q25" s="146">
        <v>1387</v>
      </c>
      <c r="R25" s="203">
        <v>1321</v>
      </c>
      <c r="S25" s="203">
        <v>1250</v>
      </c>
      <c r="T25" s="118">
        <f t="shared" si="22"/>
        <v>7.5139688037100028E-2</v>
      </c>
      <c r="U25" s="31">
        <f t="shared" si="6"/>
        <v>0.05</v>
      </c>
      <c r="V25" s="152">
        <f t="shared" si="2"/>
        <v>1312.5</v>
      </c>
      <c r="W25" s="152">
        <f t="shared" si="37"/>
        <v>1378.125</v>
      </c>
      <c r="X25" s="152">
        <f t="shared" si="38"/>
        <v>1447.03125</v>
      </c>
      <c r="Y25" s="152">
        <f t="shared" si="39"/>
        <v>1519.3828125</v>
      </c>
      <c r="Z25" s="152">
        <f t="shared" si="40"/>
        <v>1595.3519531250001</v>
      </c>
      <c r="AA25" s="152">
        <f t="shared" si="41"/>
        <v>1675.1195507812502</v>
      </c>
      <c r="AB25" s="152">
        <f t="shared" si="42"/>
        <v>1758.8755283203127</v>
      </c>
      <c r="AC25" s="152">
        <f t="shared" si="43"/>
        <v>1846.8193047363284</v>
      </c>
      <c r="AD25" s="152">
        <f t="shared" si="44"/>
        <v>1939.160269973145</v>
      </c>
      <c r="AE25" s="152">
        <f t="shared" si="45"/>
        <v>2036.1182834718022</v>
      </c>
      <c r="AF25" s="137">
        <f t="shared" si="18"/>
        <v>6.0417726427804075E-2</v>
      </c>
      <c r="AG25" s="31">
        <f t="shared" si="16"/>
        <v>0.05</v>
      </c>
      <c r="AH25" s="145">
        <f t="shared" si="1"/>
        <v>16445.570751118401</v>
      </c>
    </row>
    <row r="26" spans="2:34" s="123" customFormat="1">
      <c r="B26" s="23"/>
      <c r="C26" s="147"/>
      <c r="D26" s="147"/>
      <c r="E26" s="148"/>
      <c r="F26" s="148"/>
      <c r="G26" s="226">
        <f>(G25-F25)/G25</f>
        <v>1</v>
      </c>
      <c r="H26" s="149">
        <f t="shared" ref="H26:Q26" si="66">(H25-G25)/G25</f>
        <v>5.5343511450381681E-2</v>
      </c>
      <c r="I26" s="149">
        <f t="shared" si="66"/>
        <v>7.4141048824593131E-2</v>
      </c>
      <c r="J26" s="149">
        <f t="shared" si="66"/>
        <v>0.19865319865319866</v>
      </c>
      <c r="K26" s="149">
        <f t="shared" si="66"/>
        <v>0.14747191011235955</v>
      </c>
      <c r="L26" s="149">
        <f t="shared" si="66"/>
        <v>-7.711138310893513E-2</v>
      </c>
      <c r="M26" s="149">
        <f t="shared" si="66"/>
        <v>0.259946949602122</v>
      </c>
      <c r="N26" s="149">
        <f t="shared" si="66"/>
        <v>0.17684210526315788</v>
      </c>
      <c r="O26" s="149">
        <f t="shared" si="66"/>
        <v>0.27101967799642218</v>
      </c>
      <c r="P26" s="149">
        <f t="shared" si="66"/>
        <v>-0.14356087262491204</v>
      </c>
      <c r="Q26" s="149">
        <f t="shared" si="66"/>
        <v>0.13968775677896467</v>
      </c>
      <c r="R26" s="149">
        <f t="shared" ref="I26:S26" si="67">(R25-Q25)/Q25</f>
        <v>-4.7584715212689255E-2</v>
      </c>
      <c r="S26" s="149">
        <f t="shared" si="67"/>
        <v>-5.3747161241483724E-2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487</v>
      </c>
      <c r="H27" s="146">
        <v>513</v>
      </c>
      <c r="I27" s="146">
        <v>545</v>
      </c>
      <c r="J27" s="146">
        <v>650</v>
      </c>
      <c r="K27" s="146">
        <v>726</v>
      </c>
      <c r="L27" s="146">
        <v>706</v>
      </c>
      <c r="M27" s="146">
        <v>872</v>
      </c>
      <c r="N27" s="146">
        <v>1042</v>
      </c>
      <c r="O27" s="146">
        <v>1084</v>
      </c>
      <c r="P27" s="146">
        <v>1094</v>
      </c>
      <c r="Q27" s="146">
        <v>1253</v>
      </c>
      <c r="R27" s="203">
        <v>1314</v>
      </c>
      <c r="S27" s="203">
        <v>1154</v>
      </c>
      <c r="T27" s="118">
        <f t="shared" si="22"/>
        <v>7.4541197010527194E-2</v>
      </c>
      <c r="U27" s="31">
        <f t="shared" si="6"/>
        <v>0.05</v>
      </c>
      <c r="V27" s="152">
        <f t="shared" si="2"/>
        <v>1211.7</v>
      </c>
      <c r="W27" s="152">
        <f t="shared" si="37"/>
        <v>1272.2850000000001</v>
      </c>
      <c r="X27" s="152">
        <f t="shared" si="38"/>
        <v>1335.8992500000002</v>
      </c>
      <c r="Y27" s="152">
        <f t="shared" si="39"/>
        <v>1402.6942125000003</v>
      </c>
      <c r="Z27" s="152">
        <f t="shared" si="40"/>
        <v>1472.8289231250003</v>
      </c>
      <c r="AA27" s="152">
        <f t="shared" si="41"/>
        <v>1546.4703692812504</v>
      </c>
      <c r="AB27" s="152">
        <f t="shared" si="42"/>
        <v>1623.793887745313</v>
      </c>
      <c r="AC27" s="152">
        <f t="shared" si="43"/>
        <v>1704.9835821325787</v>
      </c>
      <c r="AD27" s="152">
        <f t="shared" si="44"/>
        <v>1790.2327612392078</v>
      </c>
      <c r="AE27" s="152">
        <f t="shared" si="45"/>
        <v>1879.7443993011682</v>
      </c>
      <c r="AF27" s="137">
        <f t="shared" si="18"/>
        <v>6.0730047328261483E-2</v>
      </c>
      <c r="AG27" s="31">
        <f t="shared" si="16"/>
        <v>0.05</v>
      </c>
      <c r="AH27" s="145">
        <f t="shared" si="1"/>
        <v>15182.550917432513</v>
      </c>
    </row>
    <row r="28" spans="2:34" s="123" customFormat="1">
      <c r="B28" s="23"/>
      <c r="C28" s="147"/>
      <c r="D28" s="147"/>
      <c r="E28" s="148"/>
      <c r="F28" s="148"/>
      <c r="G28" s="226">
        <f t="shared" ref="G28" si="68">(G27-F27)/G27</f>
        <v>1</v>
      </c>
      <c r="H28" s="149">
        <f t="shared" ref="H28:Q28" si="69">(H27-G27)/G27</f>
        <v>5.3388090349075976E-2</v>
      </c>
      <c r="I28" s="149">
        <f t="shared" si="69"/>
        <v>6.2378167641325533E-2</v>
      </c>
      <c r="J28" s="149">
        <f t="shared" si="69"/>
        <v>0.19266055045871561</v>
      </c>
      <c r="K28" s="149">
        <f t="shared" si="69"/>
        <v>0.11692307692307692</v>
      </c>
      <c r="L28" s="149">
        <f t="shared" si="69"/>
        <v>-2.7548209366391185E-2</v>
      </c>
      <c r="M28" s="149">
        <f t="shared" si="69"/>
        <v>0.23512747875354106</v>
      </c>
      <c r="N28" s="149">
        <f t="shared" si="69"/>
        <v>0.19495412844036697</v>
      </c>
      <c r="O28" s="149">
        <f t="shared" si="69"/>
        <v>4.0307101727447218E-2</v>
      </c>
      <c r="P28" s="149">
        <f t="shared" si="69"/>
        <v>9.2250922509225092E-3</v>
      </c>
      <c r="Q28" s="149">
        <f t="shared" si="69"/>
        <v>0.1453382084095064</v>
      </c>
      <c r="R28" s="149">
        <f t="shared" ref="I28:S28" si="70">(R27-Q27)/Q27</f>
        <v>4.8683160415003993E-2</v>
      </c>
      <c r="S28" s="149">
        <f t="shared" si="70"/>
        <v>-0.12176560121765601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319</v>
      </c>
      <c r="C29" s="147"/>
      <c r="D29" s="147"/>
      <c r="E29" s="148"/>
      <c r="F29" s="148"/>
      <c r="G29" s="146">
        <v>14</v>
      </c>
      <c r="H29" s="146">
        <v>12</v>
      </c>
      <c r="I29" s="146">
        <v>15</v>
      </c>
      <c r="J29" s="146">
        <v>21</v>
      </c>
      <c r="K29" s="146">
        <v>72</v>
      </c>
      <c r="L29" s="146">
        <v>56</v>
      </c>
      <c r="M29" s="146">
        <v>70</v>
      </c>
      <c r="N29" s="146">
        <v>76</v>
      </c>
      <c r="O29" s="146">
        <v>33</v>
      </c>
      <c r="P29" s="146">
        <v>119</v>
      </c>
      <c r="Q29" s="146">
        <v>147</v>
      </c>
      <c r="R29" s="203">
        <v>105</v>
      </c>
      <c r="S29" s="203">
        <v>104</v>
      </c>
      <c r="T29" s="118">
        <f t="shared" si="22"/>
        <v>0.18188560189562675</v>
      </c>
      <c r="U29" s="31">
        <f t="shared" si="6"/>
        <v>0.05</v>
      </c>
      <c r="V29" s="152">
        <f t="shared" si="2"/>
        <v>109.2</v>
      </c>
      <c r="W29" s="152">
        <f t="shared" ref="W29" si="71">V29*(1+$U29)</f>
        <v>114.66000000000001</v>
      </c>
      <c r="X29" s="152">
        <f t="shared" ref="X29" si="72">W29*(1+$U29)</f>
        <v>120.39300000000001</v>
      </c>
      <c r="Y29" s="152">
        <f t="shared" ref="Y29" si="73">X29*(1+$U29)</f>
        <v>126.41265000000003</v>
      </c>
      <c r="Z29" s="152">
        <f t="shared" ref="Z29" si="74">Y29*(1+$U29)</f>
        <v>132.73328250000003</v>
      </c>
      <c r="AA29" s="152">
        <f t="shared" ref="AA29" si="75">Z29*(1+$U29)</f>
        <v>139.36994662500004</v>
      </c>
      <c r="AB29" s="152">
        <f t="shared" ref="AB29" si="76">AA29*(1+$U29)</f>
        <v>146.33844395625005</v>
      </c>
      <c r="AC29" s="152">
        <f t="shared" ref="AC29" si="77">AB29*(1+$U29)</f>
        <v>153.65536615406256</v>
      </c>
      <c r="AD29" s="152">
        <f t="shared" ref="AD29" si="78">AC29*(1+$U29)</f>
        <v>161.33813446176569</v>
      </c>
      <c r="AE29" s="152">
        <f t="shared" ref="AE29" si="79">AD29*(1+$U29)</f>
        <v>169.40504118485399</v>
      </c>
      <c r="AF29" s="137">
        <f t="shared" ref="AF29" si="80">((AE29/I29)^(1/($AE$3-$J$1) ))-1</f>
        <v>0.12236729554728121</v>
      </c>
      <c r="AG29" s="31">
        <f t="shared" si="16"/>
        <v>0.05</v>
      </c>
      <c r="AH29" s="145">
        <f t="shared" ref="AH29" si="81">(AE29*(1+AG29))/($C$1-AG29)</f>
        <v>1368.2714864930515</v>
      </c>
    </row>
    <row r="30" spans="2:34" s="123" customFormat="1">
      <c r="B30" s="23"/>
      <c r="C30" s="147"/>
      <c r="D30" s="147"/>
      <c r="E30" s="148"/>
      <c r="F30" s="148"/>
      <c r="G30" s="226">
        <f t="shared" ref="G30" si="82">(G29-F29)/G29</f>
        <v>1</v>
      </c>
      <c r="H30" s="149">
        <f t="shared" ref="H30:Q30" si="83">(H29-G29)/G29</f>
        <v>-0.14285714285714285</v>
      </c>
      <c r="I30" s="149">
        <f t="shared" si="83"/>
        <v>0.25</v>
      </c>
      <c r="J30" s="149">
        <f t="shared" si="83"/>
        <v>0.4</v>
      </c>
      <c r="K30" s="149">
        <f t="shared" si="83"/>
        <v>2.4285714285714284</v>
      </c>
      <c r="L30" s="149">
        <f t="shared" si="83"/>
        <v>-0.22222222222222221</v>
      </c>
      <c r="M30" s="149">
        <f t="shared" si="83"/>
        <v>0.25</v>
      </c>
      <c r="N30" s="149">
        <f t="shared" si="83"/>
        <v>8.5714285714285715E-2</v>
      </c>
      <c r="O30" s="149">
        <f t="shared" si="83"/>
        <v>-0.56578947368421051</v>
      </c>
      <c r="P30" s="149">
        <f t="shared" si="83"/>
        <v>2.606060606060606</v>
      </c>
      <c r="Q30" s="149">
        <f t="shared" si="83"/>
        <v>0.23529411764705882</v>
      </c>
      <c r="R30" s="149">
        <f t="shared" ref="I30:S30" si="84">(R29-Q29)/Q29</f>
        <v>-0.2857142857142857</v>
      </c>
      <c r="S30" s="149">
        <f t="shared" si="84"/>
        <v>-9.5238095238095247E-3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327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203">
        <v>0</v>
      </c>
      <c r="S31" s="203">
        <v>0</v>
      </c>
      <c r="T31" s="118" t="e">
        <f t="shared" si="22"/>
        <v>#DIV/0!</v>
      </c>
      <c r="U31" s="31">
        <f t="shared" si="6"/>
        <v>0.05</v>
      </c>
      <c r="V31" s="152">
        <f t="shared" si="2"/>
        <v>0</v>
      </c>
      <c r="W31" s="152">
        <f>V31*(1+$U31)</f>
        <v>0</v>
      </c>
      <c r="X31" s="152">
        <f t="shared" ref="X31:AE32" si="85">W31*(1+$U31)</f>
        <v>0</v>
      </c>
      <c r="Y31" s="152">
        <f t="shared" si="85"/>
        <v>0</v>
      </c>
      <c r="Z31" s="152">
        <f t="shared" si="85"/>
        <v>0</v>
      </c>
      <c r="AA31" s="152">
        <f t="shared" si="85"/>
        <v>0</v>
      </c>
      <c r="AB31" s="152">
        <f t="shared" si="85"/>
        <v>0</v>
      </c>
      <c r="AC31" s="152">
        <f t="shared" si="85"/>
        <v>0</v>
      </c>
      <c r="AD31" s="152">
        <f t="shared" si="85"/>
        <v>0</v>
      </c>
      <c r="AE31" s="152">
        <f t="shared" si="85"/>
        <v>0</v>
      </c>
      <c r="AF31" s="137" t="e">
        <f t="shared" ref="AF31" si="86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326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203">
        <v>0</v>
      </c>
      <c r="S32" s="203">
        <v>0</v>
      </c>
      <c r="T32" s="118" t="e">
        <f t="shared" si="22"/>
        <v>#DIV/0!</v>
      </c>
      <c r="U32" s="31">
        <f t="shared" si="6"/>
        <v>0.05</v>
      </c>
      <c r="V32" s="152">
        <f t="shared" si="2"/>
        <v>0</v>
      </c>
      <c r="W32" s="152">
        <f>V32*(1+$U32)</f>
        <v>0</v>
      </c>
      <c r="X32" s="152">
        <f t="shared" si="85"/>
        <v>0</v>
      </c>
      <c r="Y32" s="152">
        <f t="shared" si="85"/>
        <v>0</v>
      </c>
      <c r="Z32" s="152">
        <f t="shared" si="85"/>
        <v>0</v>
      </c>
      <c r="AA32" s="152">
        <f t="shared" si="85"/>
        <v>0</v>
      </c>
      <c r="AB32" s="152">
        <f t="shared" si="85"/>
        <v>0</v>
      </c>
      <c r="AC32" s="152">
        <f t="shared" si="85"/>
        <v>0</v>
      </c>
      <c r="AD32" s="152">
        <f t="shared" si="85"/>
        <v>0</v>
      </c>
      <c r="AE32" s="152">
        <f t="shared" si="85"/>
        <v>0</v>
      </c>
      <c r="AF32" s="137" t="e">
        <f t="shared" ref="AF32" si="87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493</v>
      </c>
      <c r="C33" s="140"/>
      <c r="D33" s="140"/>
      <c r="E33" s="146"/>
      <c r="F33" s="146"/>
      <c r="G33" s="146">
        <v>427</v>
      </c>
      <c r="H33" s="146">
        <v>453</v>
      </c>
      <c r="I33" s="146">
        <v>462</v>
      </c>
      <c r="J33" s="146">
        <v>530</v>
      </c>
      <c r="K33" s="146">
        <v>600</v>
      </c>
      <c r="L33" s="146">
        <v>577</v>
      </c>
      <c r="M33" s="146">
        <v>727</v>
      </c>
      <c r="N33" s="146">
        <v>897</v>
      </c>
      <c r="O33" s="146">
        <v>893</v>
      </c>
      <c r="P33" s="146">
        <v>912</v>
      </c>
      <c r="Q33" s="146">
        <v>1063</v>
      </c>
      <c r="R33" s="203">
        <v>1141</v>
      </c>
      <c r="S33" s="203">
        <v>980</v>
      </c>
      <c r="T33" s="118">
        <f t="shared" si="22"/>
        <v>7.1683432145676518E-2</v>
      </c>
      <c r="U33" s="31">
        <f t="shared" si="6"/>
        <v>0.05</v>
      </c>
      <c r="V33" s="152">
        <f t="shared" si="2"/>
        <v>1029</v>
      </c>
      <c r="W33" s="152">
        <f t="shared" si="37"/>
        <v>1080.45</v>
      </c>
      <c r="X33" s="152">
        <f t="shared" si="38"/>
        <v>1134.4725000000001</v>
      </c>
      <c r="Y33" s="152">
        <f t="shared" si="39"/>
        <v>1191.1961250000002</v>
      </c>
      <c r="Z33" s="152">
        <f t="shared" si="40"/>
        <v>1250.7559312500002</v>
      </c>
      <c r="AA33" s="152">
        <f t="shared" si="41"/>
        <v>1313.2937278125003</v>
      </c>
      <c r="AB33" s="152">
        <f t="shared" si="42"/>
        <v>1378.9584142031254</v>
      </c>
      <c r="AC33" s="152">
        <f t="shared" si="43"/>
        <v>1447.9063349132816</v>
      </c>
      <c r="AD33" s="152">
        <f t="shared" si="44"/>
        <v>1520.3016516589457</v>
      </c>
      <c r="AE33" s="152">
        <f t="shared" si="45"/>
        <v>1596.3167342418931</v>
      </c>
      <c r="AF33" s="137">
        <f t="shared" si="18"/>
        <v>6.0820164122455722E-2</v>
      </c>
      <c r="AG33" s="31">
        <f t="shared" si="16"/>
        <v>0.05</v>
      </c>
      <c r="AH33" s="145">
        <f t="shared" si="1"/>
        <v>12893.327468876829</v>
      </c>
    </row>
    <row r="34" spans="1:34">
      <c r="B34" s="20" t="s">
        <v>494</v>
      </c>
      <c r="C34" s="140"/>
      <c r="D34" s="140"/>
      <c r="E34" s="146"/>
      <c r="F34" s="146"/>
      <c r="G34" s="146">
        <v>43</v>
      </c>
      <c r="H34" s="146">
        <v>40</v>
      </c>
      <c r="I34" s="146">
        <v>53</v>
      </c>
      <c r="J34" s="146">
        <v>76</v>
      </c>
      <c r="K34" s="146">
        <v>80</v>
      </c>
      <c r="L34" s="146">
        <v>86</v>
      </c>
      <c r="M34" s="146">
        <v>8</v>
      </c>
      <c r="N34" s="146">
        <v>100</v>
      </c>
      <c r="O34" s="146">
        <v>130</v>
      </c>
      <c r="P34" s="146">
        <v>150</v>
      </c>
      <c r="Q34" s="146">
        <v>135</v>
      </c>
      <c r="R34" s="203">
        <v>120</v>
      </c>
      <c r="S34" s="203">
        <v>109</v>
      </c>
      <c r="T34" s="118">
        <f t="shared" si="22"/>
        <v>8.0595538698227109E-2</v>
      </c>
      <c r="U34" s="31">
        <f t="shared" si="6"/>
        <v>0.05</v>
      </c>
      <c r="V34" s="152">
        <f t="shared" si="2"/>
        <v>114.45</v>
      </c>
      <c r="W34" s="152">
        <f t="shared" si="37"/>
        <v>120.17250000000001</v>
      </c>
      <c r="X34" s="152">
        <f t="shared" si="38"/>
        <v>126.18112500000002</v>
      </c>
      <c r="Y34" s="152">
        <f t="shared" si="39"/>
        <v>132.49018125000003</v>
      </c>
      <c r="Z34" s="152">
        <f t="shared" si="40"/>
        <v>139.11469031250004</v>
      </c>
      <c r="AA34" s="152">
        <f t="shared" si="41"/>
        <v>146.07042482812506</v>
      </c>
      <c r="AB34" s="152">
        <f t="shared" si="42"/>
        <v>153.37394606953131</v>
      </c>
      <c r="AC34" s="152">
        <f t="shared" si="43"/>
        <v>161.04264337300788</v>
      </c>
      <c r="AD34" s="152">
        <f t="shared" si="44"/>
        <v>169.09477554165827</v>
      </c>
      <c r="AE34" s="152">
        <f t="shared" si="45"/>
        <v>177.54951431874119</v>
      </c>
      <c r="AF34" s="137">
        <f t="shared" si="18"/>
        <v>5.9258791274602096E-2</v>
      </c>
      <c r="AG34" s="31">
        <f t="shared" si="16"/>
        <v>0.05</v>
      </c>
      <c r="AH34" s="145">
        <f t="shared" si="1"/>
        <v>1434.0537694975251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475</v>
      </c>
      <c r="B36" s="200" t="s">
        <v>469</v>
      </c>
      <c r="C36" s="140"/>
      <c r="D36" s="140"/>
      <c r="E36" s="146"/>
      <c r="F36" s="146"/>
      <c r="G36" s="203">
        <f t="shared" ref="G36:H36" si="88">H36</f>
        <v>0</v>
      </c>
      <c r="H36" s="203">
        <f t="shared" si="88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0.05</v>
      </c>
      <c r="V36" s="152">
        <f t="shared" ref="V36:V49" si="89">S36*(1+$U36)</f>
        <v>0</v>
      </c>
      <c r="W36" s="152">
        <f t="shared" ref="W36:W49" si="90">V36*(1+$U36)</f>
        <v>0</v>
      </c>
      <c r="X36" s="152">
        <f t="shared" ref="X36:X49" si="91">W36*(1+$U36)</f>
        <v>0</v>
      </c>
      <c r="Y36" s="152">
        <f t="shared" ref="Y36:Y49" si="92">X36*(1+$U36)</f>
        <v>0</v>
      </c>
      <c r="Z36" s="152">
        <f t="shared" ref="Z36:Z49" si="93">Y36*(1+$U36)</f>
        <v>0</v>
      </c>
      <c r="AA36" s="152">
        <f t="shared" ref="AA36:AA49" si="94">Z36*(1+$U36)</f>
        <v>0</v>
      </c>
      <c r="AB36" s="152">
        <f t="shared" ref="AB36:AB49" si="95">AA36*(1+$U36)</f>
        <v>0</v>
      </c>
      <c r="AC36" s="152">
        <f t="shared" ref="AC36:AC49" si="96">AB36*(1+$U36)</f>
        <v>0</v>
      </c>
      <c r="AD36" s="152">
        <f t="shared" ref="AD36:AD49" si="97">AC36*(1+$U36)</f>
        <v>0</v>
      </c>
      <c r="AE36" s="152">
        <f t="shared" ref="AE36:AE49" si="98">AD36*(1+$U36)</f>
        <v>0</v>
      </c>
      <c r="AF36" s="137" t="e">
        <f t="shared" ref="AF36:AF49" si="99">((AE36/I36)^(1/($AE$3-$J$1) ))-1</f>
        <v>#DIV/0!</v>
      </c>
      <c r="AG36" s="31">
        <f t="shared" si="16"/>
        <v>0.05</v>
      </c>
      <c r="AH36" s="145">
        <f t="shared" ref="AH36:AH49" si="100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101">(G36-F36)/F36</f>
        <v>#DIV/0!</v>
      </c>
      <c r="H37" s="149" t="e">
        <f t="shared" ref="H37" si="102">(H36-G36)/G36</f>
        <v>#DIV/0!</v>
      </c>
      <c r="I37" s="149" t="e">
        <f t="shared" ref="I37" si="103">(I36-H36)/H36</f>
        <v>#DIV/0!</v>
      </c>
      <c r="J37" s="149" t="e">
        <f t="shared" ref="J37" si="104">(J36-I36)/I36</f>
        <v>#DIV/0!</v>
      </c>
      <c r="K37" s="149" t="e">
        <f t="shared" ref="K37" si="105">(K36-J36)/J36</f>
        <v>#DIV/0!</v>
      </c>
      <c r="L37" s="149" t="e">
        <f t="shared" ref="L37" si="106">(L36-K36)/K36</f>
        <v>#DIV/0!</v>
      </c>
      <c r="M37" s="149" t="e">
        <f t="shared" ref="M37" si="107">(M36-L36)/L36</f>
        <v>#DIV/0!</v>
      </c>
      <c r="N37" s="149" t="e">
        <f t="shared" ref="N37" si="108">(N36-M36)/M36</f>
        <v>#DIV/0!</v>
      </c>
      <c r="O37" s="149" t="e">
        <f t="shared" ref="O37" si="109">(O36-N36)/N36</f>
        <v>#DIV/0!</v>
      </c>
      <c r="P37" s="149" t="e">
        <f t="shared" ref="P37" si="110">(P36-O36)/O36</f>
        <v>#DIV/0!</v>
      </c>
      <c r="Q37" s="149" t="e">
        <f t="shared" ref="Q37" si="111">(Q36-P36)/P36</f>
        <v>#DIV/0!</v>
      </c>
      <c r="R37" s="149" t="e">
        <f t="shared" ref="R37" si="112">(R36-Q36)/Q36</f>
        <v>#DIV/0!</v>
      </c>
      <c r="S37" s="149" t="e">
        <f t="shared" ref="S37" si="113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470</v>
      </c>
      <c r="C38" s="140"/>
      <c r="D38" s="140"/>
      <c r="E38" s="146"/>
      <c r="F38" s="146"/>
      <c r="G38" s="203">
        <f t="shared" ref="G38:H38" si="114">H38</f>
        <v>0</v>
      </c>
      <c r="H38" s="203">
        <f t="shared" si="114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0.05</v>
      </c>
      <c r="V38" s="152">
        <f t="shared" si="89"/>
        <v>0</v>
      </c>
      <c r="W38" s="152">
        <f t="shared" si="90"/>
        <v>0</v>
      </c>
      <c r="X38" s="152">
        <f t="shared" si="91"/>
        <v>0</v>
      </c>
      <c r="Y38" s="152">
        <f t="shared" si="92"/>
        <v>0</v>
      </c>
      <c r="Z38" s="152">
        <f t="shared" si="93"/>
        <v>0</v>
      </c>
      <c r="AA38" s="152">
        <f t="shared" si="94"/>
        <v>0</v>
      </c>
      <c r="AB38" s="152">
        <f t="shared" si="95"/>
        <v>0</v>
      </c>
      <c r="AC38" s="152">
        <f t="shared" si="96"/>
        <v>0</v>
      </c>
      <c r="AD38" s="152">
        <f t="shared" si="97"/>
        <v>0</v>
      </c>
      <c r="AE38" s="152">
        <f t="shared" si="98"/>
        <v>0</v>
      </c>
      <c r="AF38" s="137" t="e">
        <f t="shared" si="99"/>
        <v>#DIV/0!</v>
      </c>
      <c r="AG38" s="31">
        <f t="shared" si="16"/>
        <v>0.05</v>
      </c>
      <c r="AH38" s="145">
        <f t="shared" si="100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5">(G38-F38)/F38</f>
        <v>#DIV/0!</v>
      </c>
      <c r="H39" s="149" t="e">
        <f t="shared" ref="H39" si="116">(H38-G38)/G38</f>
        <v>#DIV/0!</v>
      </c>
      <c r="I39" s="149" t="e">
        <f t="shared" ref="I39" si="117">(I38-H38)/H38</f>
        <v>#DIV/0!</v>
      </c>
      <c r="J39" s="149" t="e">
        <f t="shared" ref="J39" si="118">(J38-I38)/I38</f>
        <v>#DIV/0!</v>
      </c>
      <c r="K39" s="149" t="e">
        <f t="shared" ref="K39" si="119">(K38-J38)/J38</f>
        <v>#DIV/0!</v>
      </c>
      <c r="L39" s="149" t="e">
        <f t="shared" ref="L39" si="120">(L38-K38)/K38</f>
        <v>#DIV/0!</v>
      </c>
      <c r="M39" s="149" t="e">
        <f t="shared" ref="M39" si="121">(M38-L38)/L38</f>
        <v>#DIV/0!</v>
      </c>
      <c r="N39" s="149" t="e">
        <f t="shared" ref="N39" si="122">(N38-M38)/M38</f>
        <v>#DIV/0!</v>
      </c>
      <c r="O39" s="149" t="e">
        <f t="shared" ref="O39" si="123">(O38-N38)/N38</f>
        <v>#DIV/0!</v>
      </c>
      <c r="P39" s="149" t="e">
        <f t="shared" ref="P39" si="124">(P38-O38)/O38</f>
        <v>#DIV/0!</v>
      </c>
      <c r="Q39" s="149" t="e">
        <f t="shared" ref="Q39" si="125">(Q38-P38)/P38</f>
        <v>#DIV/0!</v>
      </c>
      <c r="R39" s="149" t="e">
        <f t="shared" ref="R39" si="126">(R38-Q38)/Q38</f>
        <v>#DIV/0!</v>
      </c>
      <c r="S39" s="149" t="e">
        <f t="shared" ref="S39" si="127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474</v>
      </c>
      <c r="C40" s="140"/>
      <c r="D40" s="140"/>
      <c r="E40" s="146"/>
      <c r="F40" s="146"/>
      <c r="G40" s="203">
        <f t="shared" ref="G40:H40" si="128">H40</f>
        <v>0</v>
      </c>
      <c r="H40" s="203">
        <f t="shared" si="128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0.05</v>
      </c>
      <c r="V40" s="152">
        <f t="shared" si="89"/>
        <v>0</v>
      </c>
      <c r="W40" s="152">
        <f t="shared" si="90"/>
        <v>0</v>
      </c>
      <c r="X40" s="152">
        <f t="shared" si="91"/>
        <v>0</v>
      </c>
      <c r="Y40" s="152">
        <f t="shared" si="92"/>
        <v>0</v>
      </c>
      <c r="Z40" s="152">
        <f t="shared" si="93"/>
        <v>0</v>
      </c>
      <c r="AA40" s="152">
        <f t="shared" si="94"/>
        <v>0</v>
      </c>
      <c r="AB40" s="152">
        <f t="shared" si="95"/>
        <v>0</v>
      </c>
      <c r="AC40" s="152">
        <f t="shared" si="96"/>
        <v>0</v>
      </c>
      <c r="AD40" s="152">
        <f t="shared" si="97"/>
        <v>0</v>
      </c>
      <c r="AE40" s="152">
        <f t="shared" si="98"/>
        <v>0</v>
      </c>
      <c r="AF40" s="137" t="e">
        <f t="shared" si="99"/>
        <v>#DIV/0!</v>
      </c>
      <c r="AG40" s="31">
        <f t="shared" si="16"/>
        <v>0.05</v>
      </c>
      <c r="AH40" s="145">
        <f t="shared" si="100"/>
        <v>0</v>
      </c>
    </row>
    <row r="41" spans="1:34">
      <c r="A41" s="205"/>
      <c r="B41" s="200" t="s">
        <v>471</v>
      </c>
      <c r="C41" s="140"/>
      <c r="D41" s="140"/>
      <c r="E41" s="146"/>
      <c r="F41" s="146"/>
      <c r="G41" s="203">
        <f t="shared" ref="G41:H41" si="129">H41</f>
        <v>0</v>
      </c>
      <c r="H41" s="203">
        <f t="shared" si="129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0.05</v>
      </c>
      <c r="V41" s="152">
        <f t="shared" si="89"/>
        <v>0</v>
      </c>
      <c r="W41" s="152">
        <f t="shared" si="90"/>
        <v>0</v>
      </c>
      <c r="X41" s="152">
        <f t="shared" si="91"/>
        <v>0</v>
      </c>
      <c r="Y41" s="152">
        <f t="shared" si="92"/>
        <v>0</v>
      </c>
      <c r="Z41" s="152">
        <f t="shared" si="93"/>
        <v>0</v>
      </c>
      <c r="AA41" s="152">
        <f t="shared" si="94"/>
        <v>0</v>
      </c>
      <c r="AB41" s="152">
        <f t="shared" si="95"/>
        <v>0</v>
      </c>
      <c r="AC41" s="152">
        <f t="shared" si="96"/>
        <v>0</v>
      </c>
      <c r="AD41" s="152">
        <f t="shared" si="97"/>
        <v>0</v>
      </c>
      <c r="AE41" s="152">
        <f t="shared" si="98"/>
        <v>0</v>
      </c>
      <c r="AF41" s="137" t="e">
        <f t="shared" si="99"/>
        <v>#DIV/0!</v>
      </c>
      <c r="AG41" s="31">
        <f t="shared" si="16"/>
        <v>0.05</v>
      </c>
      <c r="AH41" s="145">
        <f t="shared" si="100"/>
        <v>0</v>
      </c>
    </row>
    <row r="42" spans="1:34">
      <c r="A42" s="205"/>
      <c r="B42" s="200" t="s">
        <v>473</v>
      </c>
      <c r="C42" s="140"/>
      <c r="D42" s="140"/>
      <c r="E42" s="146"/>
      <c r="F42" s="146"/>
      <c r="G42" s="203">
        <f t="shared" ref="G42:H42" si="130">H42</f>
        <v>0</v>
      </c>
      <c r="H42" s="203">
        <f t="shared" si="130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0.05</v>
      </c>
      <c r="V42" s="152">
        <f t="shared" si="89"/>
        <v>0</v>
      </c>
      <c r="W42" s="152">
        <f t="shared" si="90"/>
        <v>0</v>
      </c>
      <c r="X42" s="152">
        <f t="shared" si="91"/>
        <v>0</v>
      </c>
      <c r="Y42" s="152">
        <f t="shared" si="92"/>
        <v>0</v>
      </c>
      <c r="Z42" s="152">
        <f t="shared" si="93"/>
        <v>0</v>
      </c>
      <c r="AA42" s="152">
        <f t="shared" si="94"/>
        <v>0</v>
      </c>
      <c r="AB42" s="152">
        <f t="shared" si="95"/>
        <v>0</v>
      </c>
      <c r="AC42" s="152">
        <f t="shared" si="96"/>
        <v>0</v>
      </c>
      <c r="AD42" s="152">
        <f t="shared" si="97"/>
        <v>0</v>
      </c>
      <c r="AE42" s="152">
        <f t="shared" si="98"/>
        <v>0</v>
      </c>
      <c r="AF42" s="137" t="e">
        <f t="shared" si="99"/>
        <v>#DIV/0!</v>
      </c>
      <c r="AG42" s="31">
        <f t="shared" si="16"/>
        <v>0.05</v>
      </c>
      <c r="AH42" s="145">
        <f t="shared" si="100"/>
        <v>0</v>
      </c>
    </row>
    <row r="43" spans="1:34">
      <c r="A43" s="205"/>
      <c r="B43" s="200" t="s">
        <v>472</v>
      </c>
      <c r="C43" s="140"/>
      <c r="D43" s="140"/>
      <c r="E43" s="146"/>
      <c r="F43" s="146"/>
      <c r="G43" s="203">
        <f t="shared" ref="G43:H43" si="131">H43</f>
        <v>0</v>
      </c>
      <c r="H43" s="203">
        <f t="shared" si="131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0.05</v>
      </c>
      <c r="V43" s="152">
        <f t="shared" si="89"/>
        <v>0</v>
      </c>
      <c r="W43" s="152">
        <f t="shared" si="90"/>
        <v>0</v>
      </c>
      <c r="X43" s="152">
        <f t="shared" si="91"/>
        <v>0</v>
      </c>
      <c r="Y43" s="152">
        <f t="shared" si="92"/>
        <v>0</v>
      </c>
      <c r="Z43" s="152">
        <f t="shared" si="93"/>
        <v>0</v>
      </c>
      <c r="AA43" s="152">
        <f t="shared" si="94"/>
        <v>0</v>
      </c>
      <c r="AB43" s="152">
        <f t="shared" si="95"/>
        <v>0</v>
      </c>
      <c r="AC43" s="152">
        <f t="shared" si="96"/>
        <v>0</v>
      </c>
      <c r="AD43" s="152">
        <f t="shared" si="97"/>
        <v>0</v>
      </c>
      <c r="AE43" s="152">
        <f t="shared" si="98"/>
        <v>0</v>
      </c>
      <c r="AF43" s="137" t="e">
        <f t="shared" si="99"/>
        <v>#DIV/0!</v>
      </c>
      <c r="AG43" s="31">
        <f t="shared" si="16"/>
        <v>0.05</v>
      </c>
      <c r="AH43" s="145">
        <f t="shared" si="100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2">(G43-F43)/F43</f>
        <v>#DIV/0!</v>
      </c>
      <c r="H44" s="149" t="e">
        <f t="shared" ref="H44" si="133">(H43-G43)/G43</f>
        <v>#DIV/0!</v>
      </c>
      <c r="I44" s="149" t="e">
        <f t="shared" ref="I44" si="134">(I43-H43)/H43</f>
        <v>#DIV/0!</v>
      </c>
      <c r="J44" s="149" t="e">
        <f t="shared" ref="J44" si="135">(J43-I43)/I43</f>
        <v>#DIV/0!</v>
      </c>
      <c r="K44" s="149" t="e">
        <f t="shared" ref="K44" si="136">(K43-J43)/J43</f>
        <v>#DIV/0!</v>
      </c>
      <c r="L44" s="149" t="e">
        <f t="shared" ref="L44" si="137">(L43-K43)/K43</f>
        <v>#DIV/0!</v>
      </c>
      <c r="M44" s="149" t="e">
        <f t="shared" ref="M44" si="138">(M43-L43)/L43</f>
        <v>#DIV/0!</v>
      </c>
      <c r="N44" s="149" t="e">
        <f t="shared" ref="N44" si="139">(N43-M43)/M43</f>
        <v>#DIV/0!</v>
      </c>
      <c r="O44" s="149" t="e">
        <f t="shared" ref="O44" si="140">(O43-N43)/N43</f>
        <v>#DIV/0!</v>
      </c>
      <c r="P44" s="149" t="e">
        <f t="shared" ref="P44" si="141">(P43-O43)/O43</f>
        <v>#DIV/0!</v>
      </c>
      <c r="Q44" s="149" t="e">
        <f t="shared" ref="Q44" si="142">(Q43-P43)/P43</f>
        <v>#DIV/0!</v>
      </c>
      <c r="R44" s="149" t="e">
        <f t="shared" ref="R44" si="143">(R43-Q43)/Q43</f>
        <v>#DIV/0!</v>
      </c>
      <c r="S44" s="149" t="e">
        <f t="shared" ref="S44" si="144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5">H45</f>
        <v>0</v>
      </c>
      <c r="H45" s="203">
        <f t="shared" si="145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0.05</v>
      </c>
      <c r="V45" s="152">
        <f t="shared" si="89"/>
        <v>0</v>
      </c>
      <c r="W45" s="152">
        <f t="shared" si="90"/>
        <v>0</v>
      </c>
      <c r="X45" s="152">
        <f t="shared" si="91"/>
        <v>0</v>
      </c>
      <c r="Y45" s="152">
        <f t="shared" si="92"/>
        <v>0</v>
      </c>
      <c r="Z45" s="152">
        <f t="shared" si="93"/>
        <v>0</v>
      </c>
      <c r="AA45" s="152">
        <f t="shared" si="94"/>
        <v>0</v>
      </c>
      <c r="AB45" s="152">
        <f t="shared" si="95"/>
        <v>0</v>
      </c>
      <c r="AC45" s="152">
        <f t="shared" si="96"/>
        <v>0</v>
      </c>
      <c r="AD45" s="152">
        <f t="shared" si="97"/>
        <v>0</v>
      </c>
      <c r="AE45" s="152">
        <f t="shared" si="98"/>
        <v>0</v>
      </c>
      <c r="AF45" s="137" t="e">
        <f t="shared" si="99"/>
        <v>#DIV/0!</v>
      </c>
      <c r="AG45" s="31">
        <f t="shared" si="16"/>
        <v>0.05</v>
      </c>
      <c r="AH45" s="145">
        <f t="shared" si="100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6">(G45-F45)/F45</f>
        <v>#DIV/0!</v>
      </c>
      <c r="H46" s="149" t="e">
        <f t="shared" ref="H46" si="147">(H45-G45)/G45</f>
        <v>#DIV/0!</v>
      </c>
      <c r="I46" s="149" t="e">
        <f t="shared" ref="I46" si="148">(I45-H45)/H45</f>
        <v>#DIV/0!</v>
      </c>
      <c r="J46" s="149" t="e">
        <f t="shared" ref="J46" si="149">(J45-I45)/I45</f>
        <v>#DIV/0!</v>
      </c>
      <c r="K46" s="149" t="e">
        <f t="shared" ref="K46" si="150">(K45-J45)/J45</f>
        <v>#DIV/0!</v>
      </c>
      <c r="L46" s="149" t="e">
        <f t="shared" ref="L46" si="151">(L45-K45)/K45</f>
        <v>#DIV/0!</v>
      </c>
      <c r="M46" s="149" t="e">
        <f t="shared" ref="M46" si="152">(M45-L45)/L45</f>
        <v>#DIV/0!</v>
      </c>
      <c r="N46" s="149" t="e">
        <f t="shared" ref="N46" si="153">(N45-M45)/M45</f>
        <v>#DIV/0!</v>
      </c>
      <c r="O46" s="149" t="e">
        <f t="shared" ref="O46" si="154">(O45-N45)/N45</f>
        <v>#DIV/0!</v>
      </c>
      <c r="P46" s="149" t="e">
        <f t="shared" ref="P46" si="155">(P45-O45)/O45</f>
        <v>#DIV/0!</v>
      </c>
      <c r="Q46" s="149" t="e">
        <f t="shared" ref="Q46" si="156">(Q45-P45)/P45</f>
        <v>#DIV/0!</v>
      </c>
      <c r="R46" s="149" t="e">
        <f t="shared" ref="R46" si="157">(R45-Q45)/Q45</f>
        <v>#DIV/0!</v>
      </c>
      <c r="S46" s="149" t="e">
        <f t="shared" ref="S46" si="158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485</v>
      </c>
      <c r="C47" s="140"/>
      <c r="D47" s="140"/>
      <c r="E47" s="146"/>
      <c r="F47" s="146"/>
      <c r="G47" s="203">
        <f t="shared" ref="G47:H47" si="159">H47</f>
        <v>0</v>
      </c>
      <c r="H47" s="203">
        <f t="shared" si="159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0.05</v>
      </c>
      <c r="V47" s="152">
        <f t="shared" ref="V47" si="160">S47*(1+$U47)</f>
        <v>0</v>
      </c>
      <c r="W47" s="152">
        <f t="shared" ref="W47" si="161">V47*(1+$U47)</f>
        <v>0</v>
      </c>
      <c r="X47" s="152">
        <f t="shared" ref="X47" si="162">W47*(1+$U47)</f>
        <v>0</v>
      </c>
      <c r="Y47" s="152">
        <f t="shared" ref="Y47" si="163">X47*(1+$U47)</f>
        <v>0</v>
      </c>
      <c r="Z47" s="152">
        <f t="shared" ref="Z47" si="164">Y47*(1+$U47)</f>
        <v>0</v>
      </c>
      <c r="AA47" s="152">
        <f t="shared" ref="AA47" si="165">Z47*(1+$U47)</f>
        <v>0</v>
      </c>
      <c r="AB47" s="152">
        <f t="shared" ref="AB47" si="166">AA47*(1+$U47)</f>
        <v>0</v>
      </c>
      <c r="AC47" s="152">
        <f t="shared" ref="AC47" si="167">AB47*(1+$U47)</f>
        <v>0</v>
      </c>
      <c r="AD47" s="152">
        <f t="shared" ref="AD47" si="168">AC47*(1+$U47)</f>
        <v>0</v>
      </c>
      <c r="AE47" s="152">
        <f t="shared" ref="AE47" si="169">AD47*(1+$U47)</f>
        <v>0</v>
      </c>
      <c r="AF47" s="137" t="e">
        <f t="shared" ref="AF47" si="170">((AE47/I47)^(1/($AE$3-$J$1) ))-1</f>
        <v>#DIV/0!</v>
      </c>
      <c r="AG47" s="31">
        <f t="shared" si="16"/>
        <v>0.05</v>
      </c>
      <c r="AH47" s="145">
        <f t="shared" si="100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1">(G47-F47)/F47</f>
        <v>#DIV/0!</v>
      </c>
      <c r="H48" s="149" t="e">
        <f t="shared" ref="H48" si="172">(H47-G47)/G47</f>
        <v>#DIV/0!</v>
      </c>
      <c r="I48" s="149" t="e">
        <f t="shared" ref="I48" si="173">(I47-H47)/H47</f>
        <v>#DIV/0!</v>
      </c>
      <c r="J48" s="149" t="e">
        <f t="shared" ref="J48" si="174">(J47-I47)/I47</f>
        <v>#DIV/0!</v>
      </c>
      <c r="K48" s="149" t="e">
        <f t="shared" ref="K48" si="175">(K47-J47)/J47</f>
        <v>#DIV/0!</v>
      </c>
      <c r="L48" s="149" t="e">
        <f t="shared" ref="L48" si="176">(L47-K47)/K47</f>
        <v>#DIV/0!</v>
      </c>
      <c r="M48" s="149" t="e">
        <f t="shared" ref="M48" si="177">(M47-L47)/L47</f>
        <v>#DIV/0!</v>
      </c>
      <c r="N48" s="149" t="e">
        <f t="shared" ref="N48" si="178">(N47-M47)/M47</f>
        <v>#DIV/0!</v>
      </c>
      <c r="O48" s="149" t="e">
        <f t="shared" ref="O48" si="179">(O47-N47)/N47</f>
        <v>#DIV/0!</v>
      </c>
      <c r="P48" s="149" t="e">
        <f t="shared" ref="P48" si="180">(P47-O47)/O47</f>
        <v>#DIV/0!</v>
      </c>
      <c r="Q48" s="149" t="e">
        <f t="shared" ref="Q48" si="181">(Q47-P47)/P47</f>
        <v>#DIV/0!</v>
      </c>
      <c r="R48" s="149" t="e">
        <f t="shared" ref="R48" si="182">(R47-Q47)/Q47</f>
        <v>#DIV/0!</v>
      </c>
      <c r="S48" s="149" t="e">
        <f t="shared" ref="S48" si="183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476</v>
      </c>
      <c r="C49" s="140"/>
      <c r="D49" s="140"/>
      <c r="E49" s="146"/>
      <c r="F49" s="146"/>
      <c r="G49" s="203">
        <f t="shared" ref="G49:H49" si="184">H49</f>
        <v>0</v>
      </c>
      <c r="H49" s="203">
        <f t="shared" si="184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0.05</v>
      </c>
      <c r="V49" s="152">
        <f t="shared" si="89"/>
        <v>0</v>
      </c>
      <c r="W49" s="152">
        <f t="shared" si="90"/>
        <v>0</v>
      </c>
      <c r="X49" s="152">
        <f t="shared" si="91"/>
        <v>0</v>
      </c>
      <c r="Y49" s="152">
        <f t="shared" si="92"/>
        <v>0</v>
      </c>
      <c r="Z49" s="152">
        <f t="shared" si="93"/>
        <v>0</v>
      </c>
      <c r="AA49" s="152">
        <f t="shared" si="94"/>
        <v>0</v>
      </c>
      <c r="AB49" s="152">
        <f t="shared" si="95"/>
        <v>0</v>
      </c>
      <c r="AC49" s="152">
        <f t="shared" si="96"/>
        <v>0</v>
      </c>
      <c r="AD49" s="152">
        <f t="shared" si="97"/>
        <v>0</v>
      </c>
      <c r="AE49" s="152">
        <f t="shared" si="98"/>
        <v>0</v>
      </c>
      <c r="AF49" s="137" t="e">
        <f t="shared" si="99"/>
        <v>#DIV/0!</v>
      </c>
      <c r="AG49" s="31">
        <f t="shared" si="16"/>
        <v>0.05</v>
      </c>
      <c r="AH49" s="145">
        <f t="shared" si="100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35</v>
      </c>
      <c r="H51" s="146">
        <v>38</v>
      </c>
      <c r="I51" s="146">
        <v>47</v>
      </c>
      <c r="J51" s="146">
        <v>62</v>
      </c>
      <c r="K51" s="146">
        <v>76</v>
      </c>
      <c r="L51" s="146">
        <v>111</v>
      </c>
      <c r="M51" s="146">
        <v>107</v>
      </c>
      <c r="N51" s="146">
        <v>129</v>
      </c>
      <c r="O51" s="146">
        <v>33</v>
      </c>
      <c r="P51" s="146">
        <v>119</v>
      </c>
      <c r="Q51" s="146">
        <v>147</v>
      </c>
      <c r="R51" s="203">
        <v>3</v>
      </c>
      <c r="S51" s="203">
        <v>118</v>
      </c>
      <c r="T51" s="118">
        <f t="shared" si="22"/>
        <v>0.10658428133759212</v>
      </c>
      <c r="U51" s="31">
        <f t="shared" si="6"/>
        <v>0.05</v>
      </c>
      <c r="V51" s="152">
        <f t="shared" si="2"/>
        <v>123.9</v>
      </c>
      <c r="W51" s="152">
        <f t="shared" ref="W51" si="185">V51*(1+$U51)</f>
        <v>130.095</v>
      </c>
      <c r="X51" s="152">
        <f t="shared" ref="X51" si="186">W51*(1+$U51)</f>
        <v>136.59975</v>
      </c>
      <c r="Y51" s="152">
        <f t="shared" ref="Y51" si="187">X51*(1+$U51)</f>
        <v>143.42973750000002</v>
      </c>
      <c r="Z51" s="152">
        <f t="shared" si="40"/>
        <v>150.60122437500002</v>
      </c>
      <c r="AA51" s="152">
        <f t="shared" si="41"/>
        <v>158.13128559375002</v>
      </c>
      <c r="AB51" s="152">
        <f t="shared" si="42"/>
        <v>166.03784987343752</v>
      </c>
      <c r="AC51" s="152">
        <f t="shared" si="43"/>
        <v>174.33974236710941</v>
      </c>
      <c r="AD51" s="152">
        <f t="shared" si="44"/>
        <v>183.0567294854649</v>
      </c>
      <c r="AE51" s="152">
        <f t="shared" si="45"/>
        <v>192.20956595973814</v>
      </c>
      <c r="AF51" s="137">
        <f t="shared" si="18"/>
        <v>6.9368735797785241E-2</v>
      </c>
      <c r="AG51" s="31">
        <f t="shared" si="16"/>
        <v>0.05</v>
      </c>
      <c r="AH51" s="145">
        <f t="shared" si="1"/>
        <v>1552.4618789055774</v>
      </c>
    </row>
    <row r="52" spans="1:34" s="123" customFormat="1">
      <c r="B52" s="23"/>
      <c r="C52" s="147"/>
      <c r="D52" s="147"/>
      <c r="E52" s="148"/>
      <c r="F52" s="148"/>
      <c r="G52" s="226">
        <f t="shared" ref="G52" si="188">(G51-F51)/G51</f>
        <v>1</v>
      </c>
      <c r="H52" s="149">
        <f t="shared" ref="H52:Q52" si="189">(H51-G51)/G51</f>
        <v>8.5714285714285715E-2</v>
      </c>
      <c r="I52" s="149">
        <f t="shared" si="189"/>
        <v>0.23684210526315788</v>
      </c>
      <c r="J52" s="149">
        <f t="shared" si="189"/>
        <v>0.31914893617021278</v>
      </c>
      <c r="K52" s="149">
        <f t="shared" si="189"/>
        <v>0.22580645161290322</v>
      </c>
      <c r="L52" s="149">
        <f t="shared" si="189"/>
        <v>0.46052631578947367</v>
      </c>
      <c r="M52" s="149">
        <f t="shared" si="189"/>
        <v>-3.6036036036036036E-2</v>
      </c>
      <c r="N52" s="149">
        <f t="shared" si="189"/>
        <v>0.20560747663551401</v>
      </c>
      <c r="O52" s="149">
        <f t="shared" si="189"/>
        <v>-0.7441860465116279</v>
      </c>
      <c r="P52" s="149">
        <f t="shared" si="189"/>
        <v>2.606060606060606</v>
      </c>
      <c r="Q52" s="149">
        <f t="shared" si="189"/>
        <v>0.23529411764705882</v>
      </c>
      <c r="R52" s="149">
        <f t="shared" ref="I52:S52" si="190">(R51-Q51)/Q51</f>
        <v>-0.97959183673469385</v>
      </c>
      <c r="S52" s="149">
        <f t="shared" si="190"/>
        <v>38.333333333333336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395</v>
      </c>
      <c r="C53" s="147"/>
      <c r="D53" s="147"/>
      <c r="E53" s="148"/>
      <c r="F53" s="148"/>
      <c r="G53" s="146">
        <v>17</v>
      </c>
      <c r="H53" s="146">
        <v>22</v>
      </c>
      <c r="I53" s="146">
        <v>24</v>
      </c>
      <c r="J53" s="146">
        <v>30</v>
      </c>
      <c r="K53" s="146">
        <v>5</v>
      </c>
      <c r="L53" s="146">
        <v>-23</v>
      </c>
      <c r="M53" s="146">
        <v>-7</v>
      </c>
      <c r="N53" s="146">
        <v>-18</v>
      </c>
      <c r="O53" s="146">
        <v>229</v>
      </c>
      <c r="P53" s="146">
        <v>12</v>
      </c>
      <c r="Q53" s="146">
        <v>25</v>
      </c>
      <c r="R53" s="146">
        <v>-120</v>
      </c>
      <c r="S53" s="146">
        <v>-22</v>
      </c>
      <c r="T53" s="118" t="e">
        <f t="shared" si="22"/>
        <v>#NUM!</v>
      </c>
      <c r="U53" s="31">
        <f t="shared" si="6"/>
        <v>0.05</v>
      </c>
      <c r="V53" s="152">
        <f t="shared" si="2"/>
        <v>-23.1</v>
      </c>
      <c r="W53" s="152">
        <f t="shared" ref="W53" si="191">V53*(1+$U53)</f>
        <v>-24.255000000000003</v>
      </c>
      <c r="X53" s="152">
        <f t="shared" ref="X53" si="192">W53*(1+$U53)</f>
        <v>-25.467750000000002</v>
      </c>
      <c r="Y53" s="152">
        <f t="shared" ref="Y53" si="193">X53*(1+$U53)</f>
        <v>-26.741137500000004</v>
      </c>
      <c r="Z53" s="152">
        <f t="shared" ref="Z53" si="194">Y53*(1+$U53)</f>
        <v>-28.078194375000006</v>
      </c>
      <c r="AA53" s="152">
        <f t="shared" ref="AA53" si="195">Z53*(1+$U53)</f>
        <v>-29.482104093750007</v>
      </c>
      <c r="AB53" s="152">
        <f t="shared" ref="AB53" si="196">AA53*(1+$U53)</f>
        <v>-30.956209298437507</v>
      </c>
      <c r="AC53" s="152">
        <f t="shared" ref="AC53" si="197">AB53*(1+$U53)</f>
        <v>-32.504019763359381</v>
      </c>
      <c r="AD53" s="152">
        <f t="shared" ref="AD53" si="198">AC53*(1+$U53)</f>
        <v>-34.129220751527349</v>
      </c>
      <c r="AE53" s="152">
        <f t="shared" ref="AE53" si="199">AD53*(1+$U53)</f>
        <v>-35.835681789103717</v>
      </c>
      <c r="AF53" s="137">
        <f t="shared" ref="AF53" si="200">((AE53/I53)^(1/($AE$3-$J$1) ))-1</f>
        <v>-2.0192733919415193</v>
      </c>
      <c r="AG53" s="31">
        <f t="shared" si="16"/>
        <v>0.05</v>
      </c>
      <c r="AH53" s="145">
        <f t="shared" ref="AH53" si="201">(AE53*(1+AG53))/($C$1-AG53)</f>
        <v>-289.44204521968385</v>
      </c>
    </row>
    <row r="54" spans="1:34" s="123" customFormat="1">
      <c r="B54" s="23"/>
      <c r="C54" s="147"/>
      <c r="D54" s="147"/>
      <c r="E54" s="148"/>
      <c r="F54" s="148"/>
      <c r="G54" s="226">
        <f t="shared" ref="G54" si="202">(G53-F53)/G53</f>
        <v>1</v>
      </c>
      <c r="H54" s="149">
        <f t="shared" ref="H54:Q54" si="203">(H53-G53)/G53</f>
        <v>0.29411764705882354</v>
      </c>
      <c r="I54" s="149">
        <f t="shared" si="203"/>
        <v>9.0909090909090912E-2</v>
      </c>
      <c r="J54" s="149">
        <f t="shared" si="203"/>
        <v>0.25</v>
      </c>
      <c r="K54" s="149">
        <f t="shared" si="203"/>
        <v>-0.83333333333333337</v>
      </c>
      <c r="L54" s="149">
        <f t="shared" si="203"/>
        <v>-5.6</v>
      </c>
      <c r="M54" s="149">
        <f t="shared" si="203"/>
        <v>-0.69565217391304346</v>
      </c>
      <c r="N54" s="149">
        <f t="shared" si="203"/>
        <v>1.5714285714285714</v>
      </c>
      <c r="O54" s="149">
        <f t="shared" si="203"/>
        <v>-13.722222222222221</v>
      </c>
      <c r="P54" s="149">
        <f t="shared" si="203"/>
        <v>-0.94759825327510916</v>
      </c>
      <c r="Q54" s="149">
        <f t="shared" si="203"/>
        <v>1.0833333333333333</v>
      </c>
      <c r="R54" s="149">
        <f t="shared" ref="I54:S54" si="204">(R53-Q53)/Q53</f>
        <v>-5.8</v>
      </c>
      <c r="S54" s="149">
        <f t="shared" si="204"/>
        <v>-0.81666666666666665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396</v>
      </c>
      <c r="C55" s="140"/>
      <c r="D55" s="140"/>
      <c r="E55" s="146"/>
      <c r="F55" s="146"/>
      <c r="G55" s="146">
        <v>13</v>
      </c>
      <c r="H55" s="146">
        <v>15.5</v>
      </c>
      <c r="I55" s="146">
        <v>17</v>
      </c>
      <c r="J55" s="146">
        <v>21</v>
      </c>
      <c r="K55" s="146">
        <v>5</v>
      </c>
      <c r="L55" s="146">
        <v>-17</v>
      </c>
      <c r="M55" s="146">
        <v>-7</v>
      </c>
      <c r="N55" s="146">
        <v>-9</v>
      </c>
      <c r="O55" s="146">
        <v>188</v>
      </c>
      <c r="P55" s="146">
        <v>6</v>
      </c>
      <c r="Q55" s="146">
        <v>23</v>
      </c>
      <c r="R55" s="146">
        <v>-95</v>
      </c>
      <c r="S55" s="146">
        <v>-24</v>
      </c>
      <c r="T55" s="118" t="e">
        <f t="shared" si="22"/>
        <v>#NUM!</v>
      </c>
      <c r="U55" s="31">
        <f t="shared" si="6"/>
        <v>0.05</v>
      </c>
      <c r="V55" s="152">
        <f t="shared" si="2"/>
        <v>-25.200000000000003</v>
      </c>
      <c r="W55" s="152">
        <f t="shared" ref="W55:AE55" si="205">V55*(1+$U55)</f>
        <v>-26.460000000000004</v>
      </c>
      <c r="X55" s="152">
        <f t="shared" si="205"/>
        <v>-27.783000000000005</v>
      </c>
      <c r="Y55" s="152">
        <f t="shared" si="205"/>
        <v>-29.172150000000006</v>
      </c>
      <c r="Z55" s="152">
        <f t="shared" si="205"/>
        <v>-30.630757500000009</v>
      </c>
      <c r="AA55" s="152">
        <f t="shared" si="205"/>
        <v>-32.162295375000014</v>
      </c>
      <c r="AB55" s="152">
        <f t="shared" si="205"/>
        <v>-33.770410143750013</v>
      </c>
      <c r="AC55" s="152">
        <f t="shared" si="205"/>
        <v>-35.458930650937518</v>
      </c>
      <c r="AD55" s="152">
        <f t="shared" si="205"/>
        <v>-37.231877183484393</v>
      </c>
      <c r="AE55" s="152">
        <f t="shared" si="205"/>
        <v>-39.093471042658614</v>
      </c>
      <c r="AF55" s="137">
        <f t="shared" si="18"/>
        <v>-2.0404511186615433</v>
      </c>
      <c r="AG55" s="31">
        <f t="shared" si="16"/>
        <v>0.05</v>
      </c>
      <c r="AH55" s="145">
        <f t="shared" si="1"/>
        <v>-315.75495842147342</v>
      </c>
    </row>
    <row r="56" spans="1:34" s="123" customFormat="1">
      <c r="B56" s="23"/>
      <c r="C56" s="147"/>
      <c r="D56" s="147"/>
      <c r="E56" s="148"/>
      <c r="F56" s="148"/>
      <c r="G56" s="226">
        <f>(G55-F55)/G55</f>
        <v>1</v>
      </c>
      <c r="H56" s="149">
        <f t="shared" ref="H56:Q56" si="206">(H55-G55)/G55</f>
        <v>0.19230769230769232</v>
      </c>
      <c r="I56" s="149">
        <f t="shared" si="206"/>
        <v>9.6774193548387094E-2</v>
      </c>
      <c r="J56" s="149">
        <f t="shared" si="206"/>
        <v>0.23529411764705882</v>
      </c>
      <c r="K56" s="149">
        <f t="shared" si="206"/>
        <v>-0.76190476190476186</v>
      </c>
      <c r="L56" s="149">
        <f t="shared" si="206"/>
        <v>-4.4000000000000004</v>
      </c>
      <c r="M56" s="149">
        <f t="shared" si="206"/>
        <v>-0.58823529411764708</v>
      </c>
      <c r="N56" s="149">
        <f t="shared" si="206"/>
        <v>0.2857142857142857</v>
      </c>
      <c r="O56" s="149">
        <f t="shared" si="206"/>
        <v>-21.888888888888889</v>
      </c>
      <c r="P56" s="149">
        <f t="shared" si="206"/>
        <v>-0.96808510638297873</v>
      </c>
      <c r="Q56" s="149">
        <f t="shared" si="206"/>
        <v>2.8333333333333335</v>
      </c>
      <c r="R56" s="149">
        <f t="shared" ref="I56:S56" si="207">(R55-Q55)/Q55</f>
        <v>-5.1304347826086953</v>
      </c>
      <c r="S56" s="149">
        <f t="shared" si="207"/>
        <v>-0.74736842105263157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6">
        <v>1.96</v>
      </c>
      <c r="H57" s="146">
        <v>1.96</v>
      </c>
      <c r="I57" s="146">
        <v>1.96</v>
      </c>
      <c r="J57" s="146">
        <v>1.96</v>
      </c>
      <c r="K57" s="144">
        <v>1.96</v>
      </c>
      <c r="L57" s="144">
        <v>2.81</v>
      </c>
      <c r="M57" s="144">
        <v>2.81</v>
      </c>
      <c r="N57" s="144">
        <v>2.81</v>
      </c>
      <c r="O57" s="144">
        <v>2.81</v>
      </c>
      <c r="P57" s="144">
        <v>2.81</v>
      </c>
      <c r="Q57" s="144">
        <v>3.52</v>
      </c>
      <c r="R57" s="144">
        <v>3.52</v>
      </c>
      <c r="S57" s="144">
        <v>3.52</v>
      </c>
      <c r="T57" s="118">
        <f t="shared" si="22"/>
        <v>5.0003022808610798E-2</v>
      </c>
      <c r="U57" s="31">
        <v>0.02</v>
      </c>
      <c r="V57" s="152">
        <f t="shared" si="2"/>
        <v>3.5904000000000003</v>
      </c>
      <c r="W57" s="152">
        <f>V57*(1+$U57)</f>
        <v>3.6622080000000001</v>
      </c>
      <c r="X57" s="152">
        <f t="shared" ref="X57:AE57" si="208">W57*(1+$U57)</f>
        <v>3.7354521600000004</v>
      </c>
      <c r="Y57" s="152">
        <f t="shared" si="208"/>
        <v>3.8101612032000003</v>
      </c>
      <c r="Z57" s="152">
        <f t="shared" si="208"/>
        <v>3.8863644272640006</v>
      </c>
      <c r="AA57" s="152">
        <f t="shared" si="208"/>
        <v>3.9640917158092805</v>
      </c>
      <c r="AB57" s="152">
        <f t="shared" si="208"/>
        <v>4.043373550125466</v>
      </c>
      <c r="AC57" s="152">
        <f t="shared" si="208"/>
        <v>4.1242410211279754</v>
      </c>
      <c r="AD57" s="152">
        <f t="shared" si="208"/>
        <v>4.2067258415505346</v>
      </c>
      <c r="AE57" s="152">
        <f t="shared" si="208"/>
        <v>4.2908603583815452</v>
      </c>
      <c r="AF57" s="137">
        <f t="shared" si="18"/>
        <v>3.8016376294933041E-2</v>
      </c>
      <c r="AG57" s="31">
        <f t="shared" si="16"/>
        <v>0.05</v>
      </c>
      <c r="AH57" s="145">
        <f t="shared" si="1"/>
        <v>34.656949048466331</v>
      </c>
    </row>
    <row r="58" spans="1:34">
      <c r="B58" s="20"/>
      <c r="C58" s="141"/>
      <c r="D58" s="141"/>
      <c r="E58" s="142"/>
      <c r="F58" s="142"/>
      <c r="G58" s="226">
        <f>(G57-F57)/G57</f>
        <v>1</v>
      </c>
      <c r="H58" s="149">
        <f t="shared" ref="H58:Q58" si="209">(H57-G57)/G57</f>
        <v>0</v>
      </c>
      <c r="I58" s="149">
        <f t="shared" si="209"/>
        <v>0</v>
      </c>
      <c r="J58" s="149">
        <f t="shared" si="209"/>
        <v>0</v>
      </c>
      <c r="K58" s="149">
        <f t="shared" si="209"/>
        <v>0</v>
      </c>
      <c r="L58" s="149">
        <f t="shared" si="209"/>
        <v>0.43367346938775514</v>
      </c>
      <c r="M58" s="149">
        <f t="shared" si="209"/>
        <v>0</v>
      </c>
      <c r="N58" s="149">
        <f t="shared" si="209"/>
        <v>0</v>
      </c>
      <c r="O58" s="149">
        <f t="shared" si="209"/>
        <v>0</v>
      </c>
      <c r="P58" s="149">
        <f t="shared" si="209"/>
        <v>0</v>
      </c>
      <c r="Q58" s="149">
        <f t="shared" si="209"/>
        <v>0.25266903914590744</v>
      </c>
      <c r="R58" s="149">
        <f t="shared" ref="I58:S58" si="210">(R57-Q57)/Q57</f>
        <v>0</v>
      </c>
      <c r="S58" s="149">
        <f t="shared" si="210"/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6">
        <v>1.5</v>
      </c>
      <c r="H59" s="146">
        <v>2</v>
      </c>
      <c r="I59" s="146">
        <v>2.2000000000000002</v>
      </c>
      <c r="J59" s="146">
        <v>1</v>
      </c>
      <c r="K59" s="146">
        <v>0</v>
      </c>
      <c r="L59" s="146">
        <v>0</v>
      </c>
      <c r="M59" s="146">
        <v>0</v>
      </c>
      <c r="N59" s="146">
        <v>0</v>
      </c>
      <c r="O59" s="146">
        <v>0</v>
      </c>
      <c r="P59" s="146">
        <v>0</v>
      </c>
      <c r="Q59" s="146">
        <v>0</v>
      </c>
      <c r="R59" s="203">
        <v>0</v>
      </c>
      <c r="S59" s="203">
        <v>0</v>
      </c>
      <c r="T59" s="118">
        <f t="shared" si="22"/>
        <v>-1</v>
      </c>
      <c r="U59" s="31">
        <f>R1</f>
        <v>0.05</v>
      </c>
      <c r="V59" s="152">
        <f t="shared" si="2"/>
        <v>0</v>
      </c>
      <c r="W59" s="152">
        <f t="shared" ref="W59" si="211">V59*(1+$U59)</f>
        <v>0</v>
      </c>
      <c r="X59" s="152">
        <f t="shared" ref="X59" si="212">W59*(1+$U59)</f>
        <v>0</v>
      </c>
      <c r="Y59" s="152">
        <f t="shared" ref="Y59" si="213">X59*(1+$U59)</f>
        <v>0</v>
      </c>
      <c r="Z59" s="152">
        <f t="shared" ref="Z59" si="214">Y59*(1+$U59)</f>
        <v>0</v>
      </c>
      <c r="AA59" s="152">
        <f t="shared" ref="AA59" si="215">Z59*(1+$U59)</f>
        <v>0</v>
      </c>
      <c r="AB59" s="152">
        <f t="shared" ref="AB59" si="216">AA59*(1+$U59)</f>
        <v>0</v>
      </c>
      <c r="AC59" s="152">
        <f t="shared" ref="AC59" si="217">AB59*(1+$U59)</f>
        <v>0</v>
      </c>
      <c r="AD59" s="152">
        <f t="shared" ref="AD59" si="218">AC59*(1+$U59)</f>
        <v>0</v>
      </c>
      <c r="AE59" s="152">
        <f t="shared" ref="AE59" si="219">AD59*(1+$U59)</f>
        <v>0</v>
      </c>
      <c r="AF59" s="137">
        <f t="shared" ref="AF59" si="220">((AE59/I59)^(1/($AE$3-$J$1) ))-1</f>
        <v>-1</v>
      </c>
      <c r="AG59" s="31">
        <f t="shared" si="16"/>
        <v>0.05</v>
      </c>
      <c r="AH59" s="145">
        <f t="shared" si="1"/>
        <v>0</v>
      </c>
    </row>
    <row r="60" spans="1:34">
      <c r="B60" s="20"/>
      <c r="C60" s="144"/>
      <c r="D60" s="144"/>
      <c r="E60" s="144"/>
      <c r="F60" s="144"/>
      <c r="G60" s="226">
        <f>(G59-F59)/G59</f>
        <v>1</v>
      </c>
      <c r="H60" s="149">
        <f t="shared" ref="H60:Q60" si="221">(H59-G59)/G59</f>
        <v>0.33333333333333331</v>
      </c>
      <c r="I60" s="149">
        <f t="shared" si="221"/>
        <v>0.10000000000000009</v>
      </c>
      <c r="J60" s="149">
        <f t="shared" si="221"/>
        <v>-0.54545454545454553</v>
      </c>
      <c r="K60" s="149">
        <f t="shared" si="221"/>
        <v>-1</v>
      </c>
      <c r="L60" s="149" t="e">
        <f t="shared" si="221"/>
        <v>#DIV/0!</v>
      </c>
      <c r="M60" s="149" t="e">
        <f t="shared" si="221"/>
        <v>#DIV/0!</v>
      </c>
      <c r="N60" s="149" t="e">
        <f t="shared" si="221"/>
        <v>#DIV/0!</v>
      </c>
      <c r="O60" s="149" t="e">
        <f t="shared" si="221"/>
        <v>#DIV/0!</v>
      </c>
      <c r="P60" s="149" t="e">
        <f t="shared" si="221"/>
        <v>#DIV/0!</v>
      </c>
      <c r="Q60" s="149" t="e">
        <f t="shared" si="221"/>
        <v>#DIV/0!</v>
      </c>
      <c r="R60" s="149" t="e">
        <f t="shared" ref="I60:S60" si="222">(R59-Q59)/Q59</f>
        <v>#DIV/0!</v>
      </c>
      <c r="S60" s="149" t="e">
        <f t="shared" si="222"/>
        <v>#DIV/0!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421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419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420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3">G25/G57</f>
        <v>267.34693877551018</v>
      </c>
      <c r="H66" s="133">
        <f t="shared" si="223"/>
        <v>282.14285714285717</v>
      </c>
      <c r="I66" s="133">
        <f t="shared" ref="I66:R66" si="224">I25/I57</f>
        <v>303.0612244897959</v>
      </c>
      <c r="J66" s="133">
        <f t="shared" si="224"/>
        <v>363.26530612244898</v>
      </c>
      <c r="K66" s="133">
        <f t="shared" si="224"/>
        <v>416.83673469387753</v>
      </c>
      <c r="L66" s="133">
        <f t="shared" si="224"/>
        <v>268.3274021352313</v>
      </c>
      <c r="M66" s="133">
        <f t="shared" si="224"/>
        <v>338.07829181494662</v>
      </c>
      <c r="N66" s="133">
        <f t="shared" si="224"/>
        <v>397.86476868327401</v>
      </c>
      <c r="O66" s="133">
        <f t="shared" si="224"/>
        <v>505.69395017793596</v>
      </c>
      <c r="P66" s="133">
        <f t="shared" si="224"/>
        <v>433.09608540925268</v>
      </c>
      <c r="Q66" s="133">
        <f t="shared" si="224"/>
        <v>394.03409090909093</v>
      </c>
      <c r="R66" s="133">
        <f t="shared" si="224"/>
        <v>375.28409090909093</v>
      </c>
      <c r="S66" s="133">
        <f t="shared" ref="S66" si="225">S25/S57</f>
        <v>355.11363636363637</v>
      </c>
      <c r="T66" s="118">
        <f t="shared" ref="T66:T68" si="226">((S66/G66)^(1/($J$2-$J$1) ))-1</f>
        <v>2.3939612251069775E-2</v>
      </c>
      <c r="U66" s="128"/>
      <c r="V66" s="156">
        <f t="shared" ref="V66:AE66" si="227">V25/V57</f>
        <v>365.55815508021385</v>
      </c>
      <c r="W66" s="156">
        <f t="shared" si="227"/>
        <v>376.30986552374958</v>
      </c>
      <c r="X66" s="156">
        <f t="shared" si="227"/>
        <v>387.37780274503632</v>
      </c>
      <c r="Y66" s="156">
        <f t="shared" si="227"/>
        <v>398.77126753165504</v>
      </c>
      <c r="Z66" s="156">
        <f t="shared" si="227"/>
        <v>410.49983422376255</v>
      </c>
      <c r="AA66" s="156">
        <f t="shared" si="227"/>
        <v>422.57335875975559</v>
      </c>
      <c r="AB66" s="156">
        <f t="shared" si="227"/>
        <v>435.00198695857193</v>
      </c>
      <c r="AC66" s="156">
        <f t="shared" si="227"/>
        <v>447.79616304558874</v>
      </c>
      <c r="AD66" s="156">
        <f t="shared" si="227"/>
        <v>460.96663842928263</v>
      </c>
      <c r="AE66" s="156">
        <f t="shared" si="227"/>
        <v>474.52448073602625</v>
      </c>
      <c r="AF66" s="137">
        <f t="shared" ref="AF66" si="228">((AE66/I66)^(1/($AE$3-$J$1) ))-1</f>
        <v>2.1580921692998301E-2</v>
      </c>
      <c r="AG66" s="31">
        <f t="shared" si="16"/>
        <v>0.05</v>
      </c>
      <c r="AH66" s="145">
        <f t="shared" ref="AH66:AH67" si="229">(AE66*(1+AG66))/($C$1-AG66)</f>
        <v>3832.6977290217505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30">G27/G57</f>
        <v>248.46938775510205</v>
      </c>
      <c r="H67" s="133">
        <f t="shared" si="230"/>
        <v>261.73469387755102</v>
      </c>
      <c r="I67" s="133">
        <f t="shared" ref="I67:R67" si="231">I27/I57</f>
        <v>278.0612244897959</v>
      </c>
      <c r="J67" s="133">
        <f t="shared" si="231"/>
        <v>331.63265306122452</v>
      </c>
      <c r="K67" s="133">
        <f t="shared" si="231"/>
        <v>370.40816326530614</v>
      </c>
      <c r="L67" s="133">
        <f t="shared" si="231"/>
        <v>251.24555160142347</v>
      </c>
      <c r="M67" s="133">
        <f t="shared" si="231"/>
        <v>310.3202846975089</v>
      </c>
      <c r="N67" s="133">
        <f t="shared" si="231"/>
        <v>370.8185053380783</v>
      </c>
      <c r="O67" s="133">
        <f t="shared" si="231"/>
        <v>385.76512455516013</v>
      </c>
      <c r="P67" s="133">
        <f t="shared" si="231"/>
        <v>389.3238434163701</v>
      </c>
      <c r="Q67" s="133">
        <f t="shared" si="231"/>
        <v>355.96590909090907</v>
      </c>
      <c r="R67" s="133">
        <f t="shared" si="231"/>
        <v>373.29545454545456</v>
      </c>
      <c r="S67" s="133">
        <f t="shared" ref="S67" si="232">S27/S57</f>
        <v>327.84090909090907</v>
      </c>
      <c r="T67" s="118">
        <f t="shared" si="226"/>
        <v>2.3369622438114801E-2</v>
      </c>
      <c r="U67" s="128"/>
      <c r="V67" s="156">
        <f t="shared" ref="V67:AE67" si="233">V27/V57</f>
        <v>337.48328877005349</v>
      </c>
      <c r="W67" s="156">
        <f t="shared" si="233"/>
        <v>347.40926785152567</v>
      </c>
      <c r="X67" s="156">
        <f t="shared" si="233"/>
        <v>357.62718749421759</v>
      </c>
      <c r="Y67" s="156">
        <f t="shared" si="233"/>
        <v>368.14563418522403</v>
      </c>
      <c r="Z67" s="156">
        <f t="shared" si="233"/>
        <v>378.97344695537765</v>
      </c>
      <c r="AA67" s="156">
        <f t="shared" si="233"/>
        <v>390.11972480700643</v>
      </c>
      <c r="AB67" s="156">
        <f t="shared" si="233"/>
        <v>401.59383436015372</v>
      </c>
      <c r="AC67" s="156">
        <f t="shared" si="233"/>
        <v>413.40541772368761</v>
      </c>
      <c r="AD67" s="156">
        <f t="shared" si="233"/>
        <v>425.56440059791379</v>
      </c>
      <c r="AE67" s="156">
        <f t="shared" si="233"/>
        <v>438.08100061549953</v>
      </c>
      <c r="AF67" s="137">
        <f t="shared" ref="AF67" si="234">((AE67/I67)^(1/($AE$3-$J$1) ))-1</f>
        <v>2.1881804133381921E-2</v>
      </c>
      <c r="AG67" s="31">
        <f t="shared" si="16"/>
        <v>0.05</v>
      </c>
      <c r="AH67" s="145">
        <f t="shared" si="229"/>
        <v>3538.3465434328809</v>
      </c>
    </row>
    <row r="68" spans="2:34">
      <c r="B68" s="20" t="s">
        <v>422</v>
      </c>
      <c r="C68" s="133"/>
      <c r="D68" s="133"/>
      <c r="E68" s="133"/>
      <c r="F68" s="133"/>
      <c r="G68" s="133">
        <f t="shared" ref="G68:H68" si="235">G53-G55</f>
        <v>4</v>
      </c>
      <c r="H68" s="133">
        <f t="shared" si="235"/>
        <v>6.5</v>
      </c>
      <c r="I68" s="133">
        <f>I53-I55</f>
        <v>7</v>
      </c>
      <c r="J68" s="133">
        <f t="shared" ref="J68:R68" si="236">J53-J55</f>
        <v>9</v>
      </c>
      <c r="K68" s="133">
        <f t="shared" si="236"/>
        <v>0</v>
      </c>
      <c r="L68" s="133">
        <f t="shared" si="236"/>
        <v>-6</v>
      </c>
      <c r="M68" s="133">
        <f t="shared" si="236"/>
        <v>0</v>
      </c>
      <c r="N68" s="133">
        <f t="shared" si="236"/>
        <v>-9</v>
      </c>
      <c r="O68" s="133">
        <f t="shared" si="236"/>
        <v>41</v>
      </c>
      <c r="P68" s="133">
        <f t="shared" si="236"/>
        <v>6</v>
      </c>
      <c r="Q68" s="133">
        <f t="shared" si="236"/>
        <v>2</v>
      </c>
      <c r="R68" s="133">
        <f t="shared" si="236"/>
        <v>-25</v>
      </c>
      <c r="S68" s="133">
        <f t="shared" ref="S68" si="237">S53-S55</f>
        <v>2</v>
      </c>
      <c r="T68" s="118">
        <f t="shared" si="226"/>
        <v>-5.6125687318306472E-2</v>
      </c>
      <c r="U68" s="128"/>
      <c r="V68" s="133">
        <f t="shared" ref="V68:AE68" si="238">V53-V55</f>
        <v>2.1000000000000014</v>
      </c>
      <c r="W68" s="133">
        <f t="shared" si="238"/>
        <v>2.2050000000000018</v>
      </c>
      <c r="X68" s="133">
        <f t="shared" si="238"/>
        <v>2.3152500000000025</v>
      </c>
      <c r="Y68" s="133">
        <f t="shared" si="238"/>
        <v>2.4310125000000014</v>
      </c>
      <c r="Z68" s="133">
        <f t="shared" si="238"/>
        <v>2.5525631250000025</v>
      </c>
      <c r="AA68" s="133">
        <f t="shared" si="238"/>
        <v>2.6801912812500071</v>
      </c>
      <c r="AB68" s="133">
        <f t="shared" si="238"/>
        <v>2.8142008453125058</v>
      </c>
      <c r="AC68" s="133">
        <f t="shared" si="238"/>
        <v>2.9549108875781371</v>
      </c>
      <c r="AD68" s="133">
        <f t="shared" si="238"/>
        <v>3.102656431957044</v>
      </c>
      <c r="AE68" s="133">
        <f t="shared" si="238"/>
        <v>3.2577892535548969</v>
      </c>
      <c r="AF68" s="137">
        <f t="shared" ref="AF68" si="239">((AE68/I68)^(1/($AE$3-$J$1) ))-1</f>
        <v>-3.5766667928789686E-2</v>
      </c>
      <c r="AG68" s="31">
        <f t="shared" si="16"/>
        <v>0.05</v>
      </c>
      <c r="AH68" s="145">
        <f t="shared" ref="AH68" si="240">(AE68*(1+AG68))/($C$1-AG68)</f>
        <v>26.312913201789552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455</v>
      </c>
      <c r="C70" s="133"/>
      <c r="D70" s="133"/>
      <c r="E70" s="133"/>
      <c r="F70" s="133"/>
      <c r="G70" s="25">
        <f t="shared" ref="G70:H70" si="241">G51/G57</f>
        <v>17.857142857142858</v>
      </c>
      <c r="H70" s="25">
        <f t="shared" si="241"/>
        <v>19.387755102040817</v>
      </c>
      <c r="I70" s="25">
        <f t="shared" ref="I70:R70" si="242">I51/I57</f>
        <v>23.979591836734695</v>
      </c>
      <c r="J70" s="25">
        <f t="shared" si="242"/>
        <v>31.632653061224492</v>
      </c>
      <c r="K70" s="25">
        <f t="shared" si="242"/>
        <v>38.775510204081634</v>
      </c>
      <c r="L70" s="25">
        <f t="shared" si="242"/>
        <v>39.501779359430607</v>
      </c>
      <c r="M70" s="25">
        <f t="shared" si="242"/>
        <v>38.078291814946617</v>
      </c>
      <c r="N70" s="25">
        <f t="shared" si="242"/>
        <v>45.907473309608541</v>
      </c>
      <c r="O70" s="25">
        <f t="shared" si="242"/>
        <v>11.743772241992882</v>
      </c>
      <c r="P70" s="25">
        <f t="shared" si="242"/>
        <v>42.348754448398573</v>
      </c>
      <c r="Q70" s="25">
        <f t="shared" si="242"/>
        <v>41.761363636363633</v>
      </c>
      <c r="R70" s="25">
        <f t="shared" si="242"/>
        <v>0.85227272727272729</v>
      </c>
      <c r="S70" s="25">
        <f>S51/S57</f>
        <v>33.522727272727273</v>
      </c>
      <c r="T70" s="118">
        <f t="shared" ref="T70:T134" si="243">((S70/G70)^(1/($J$2-$J$1) ))-1</f>
        <v>5.3886757752024783E-2</v>
      </c>
      <c r="U70" s="128"/>
      <c r="V70" s="112">
        <f>V51/V57</f>
        <v>34.508689839572192</v>
      </c>
      <c r="W70" s="112">
        <f t="shared" ref="W70:AE70" si="244">W51/W57</f>
        <v>35.523651305441959</v>
      </c>
      <c r="X70" s="112">
        <f t="shared" si="244"/>
        <v>36.56846457913143</v>
      </c>
      <c r="Y70" s="112">
        <f t="shared" si="244"/>
        <v>37.644007654988243</v>
      </c>
      <c r="Z70" s="112">
        <f t="shared" si="244"/>
        <v>38.751184350723186</v>
      </c>
      <c r="AA70" s="112">
        <f t="shared" si="244"/>
        <v>39.890925066920929</v>
      </c>
      <c r="AB70" s="112">
        <f t="shared" si="244"/>
        <v>41.064187568889196</v>
      </c>
      <c r="AC70" s="112">
        <f t="shared" si="244"/>
        <v>42.271957791503581</v>
      </c>
      <c r="AD70" s="112">
        <f t="shared" si="244"/>
        <v>43.515250667724281</v>
      </c>
      <c r="AE70" s="112">
        <f t="shared" si="244"/>
        <v>44.795110981480882</v>
      </c>
      <c r="AF70" s="137">
        <f t="shared" ref="AF70:AF71" si="245">((AE70/I70)^(1/($AE$3-$J$1) ))-1</f>
        <v>3.0204108739363411E-2</v>
      </c>
      <c r="AG70" s="31">
        <f t="shared" si="16"/>
        <v>0.05</v>
      </c>
      <c r="AH70" s="145">
        <f t="shared" ref="AH70:AH71" si="246">(AE70*(1+AG70))/($C$1-AG70)</f>
        <v>361.8066656196533</v>
      </c>
    </row>
    <row r="71" spans="2:34">
      <c r="B71" s="20" t="s">
        <v>456</v>
      </c>
      <c r="C71" s="133"/>
      <c r="D71" s="133"/>
      <c r="E71" s="133"/>
      <c r="F71" s="133"/>
      <c r="G71" s="25">
        <f t="shared" ref="G71:H71" si="247">G53/G57</f>
        <v>8.6734693877551017</v>
      </c>
      <c r="H71" s="25">
        <f t="shared" si="247"/>
        <v>11.224489795918368</v>
      </c>
      <c r="I71" s="25">
        <f t="shared" ref="I71:R71" si="248">I53/I57</f>
        <v>12.244897959183673</v>
      </c>
      <c r="J71" s="25">
        <f t="shared" si="248"/>
        <v>15.306122448979592</v>
      </c>
      <c r="K71" s="25">
        <f t="shared" si="248"/>
        <v>2.5510204081632653</v>
      </c>
      <c r="L71" s="25">
        <f t="shared" si="248"/>
        <v>-8.185053380782918</v>
      </c>
      <c r="M71" s="25">
        <f t="shared" si="248"/>
        <v>-2.4911032028469751</v>
      </c>
      <c r="N71" s="25">
        <f t="shared" si="248"/>
        <v>-6.4056939501779357</v>
      </c>
      <c r="O71" s="25">
        <f t="shared" si="248"/>
        <v>81.494661921708186</v>
      </c>
      <c r="P71" s="25">
        <f t="shared" si="248"/>
        <v>4.2704626334519569</v>
      </c>
      <c r="Q71" s="25">
        <f t="shared" si="248"/>
        <v>7.1022727272727275</v>
      </c>
      <c r="R71" s="25">
        <f t="shared" si="248"/>
        <v>-34.090909090909093</v>
      </c>
      <c r="S71" s="25">
        <f>S53/S57</f>
        <v>-6.25</v>
      </c>
      <c r="T71" s="118" t="e">
        <f t="shared" si="243"/>
        <v>#NUM!</v>
      </c>
      <c r="U71" s="128"/>
      <c r="V71" s="112">
        <f>V53/V57</f>
        <v>-6.4338235294117645</v>
      </c>
      <c r="W71" s="112">
        <f t="shared" ref="W71:AE71" si="249">W53/W57</f>
        <v>-6.6230536332179932</v>
      </c>
      <c r="X71" s="112">
        <f t="shared" si="249"/>
        <v>-6.81784932831264</v>
      </c>
      <c r="Y71" s="112">
        <f t="shared" si="249"/>
        <v>-7.0183743085571297</v>
      </c>
      <c r="Z71" s="112">
        <f t="shared" si="249"/>
        <v>-7.2247970823382222</v>
      </c>
      <c r="AA71" s="112">
        <f t="shared" si="249"/>
        <v>-7.4372911141716989</v>
      </c>
      <c r="AB71" s="112">
        <f t="shared" si="249"/>
        <v>-7.6560349704708672</v>
      </c>
      <c r="AC71" s="112">
        <f t="shared" si="249"/>
        <v>-7.8812124696023629</v>
      </c>
      <c r="AD71" s="112">
        <f t="shared" si="249"/>
        <v>-8.1130128363553737</v>
      </c>
      <c r="AE71" s="112">
        <f t="shared" si="249"/>
        <v>-8.3516308609540619</v>
      </c>
      <c r="AF71" s="137">
        <f t="shared" si="245"/>
        <v>-1.9819434598707251</v>
      </c>
      <c r="AG71" s="31">
        <f t="shared" si="16"/>
        <v>0.05</v>
      </c>
      <c r="AH71" s="145">
        <f t="shared" si="246"/>
        <v>-67.455480030782809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50">G55/G57</f>
        <v>6.6326530612244898</v>
      </c>
      <c r="H72" s="133">
        <f t="shared" si="250"/>
        <v>7.9081632653061229</v>
      </c>
      <c r="I72" s="133">
        <f t="shared" ref="I72:R72" si="251">I55/I57</f>
        <v>8.6734693877551017</v>
      </c>
      <c r="J72" s="133">
        <f t="shared" si="251"/>
        <v>10.714285714285715</v>
      </c>
      <c r="K72" s="133">
        <f t="shared" si="251"/>
        <v>2.5510204081632653</v>
      </c>
      <c r="L72" s="133">
        <f t="shared" si="251"/>
        <v>-6.0498220640569391</v>
      </c>
      <c r="M72" s="133">
        <f t="shared" si="251"/>
        <v>-2.4911032028469751</v>
      </c>
      <c r="N72" s="133">
        <f t="shared" si="251"/>
        <v>-3.2028469750889679</v>
      </c>
      <c r="O72" s="133">
        <f t="shared" si="251"/>
        <v>66.903914590747334</v>
      </c>
      <c r="P72" s="133">
        <f t="shared" si="251"/>
        <v>2.1352313167259784</v>
      </c>
      <c r="Q72" s="133">
        <f t="shared" si="251"/>
        <v>6.5340909090909092</v>
      </c>
      <c r="R72" s="133">
        <f t="shared" si="251"/>
        <v>-26.988636363636363</v>
      </c>
      <c r="S72" s="133">
        <f t="shared" ref="S72" si="252">S55/S57</f>
        <v>-6.8181818181818183</v>
      </c>
      <c r="T72" s="118" t="e">
        <f t="shared" si="243"/>
        <v>#NUM!</v>
      </c>
      <c r="U72" s="128"/>
      <c r="V72" s="156">
        <f t="shared" ref="V72:AE72" si="253">V55/V57</f>
        <v>-7.0187165775401068</v>
      </c>
      <c r="W72" s="156">
        <f t="shared" si="253"/>
        <v>-7.2251494180559934</v>
      </c>
      <c r="X72" s="156">
        <f t="shared" si="253"/>
        <v>-7.4376538127046983</v>
      </c>
      <c r="Y72" s="156">
        <f t="shared" si="253"/>
        <v>-7.656408336607778</v>
      </c>
      <c r="Z72" s="156">
        <f t="shared" si="253"/>
        <v>-7.8815968170962423</v>
      </c>
      <c r="AA72" s="156">
        <f t="shared" si="253"/>
        <v>-8.113408488187309</v>
      </c>
      <c r="AB72" s="156">
        <f t="shared" si="253"/>
        <v>-8.3520381496045832</v>
      </c>
      <c r="AC72" s="156">
        <f t="shared" si="253"/>
        <v>-8.5976863304753071</v>
      </c>
      <c r="AD72" s="156">
        <f t="shared" si="253"/>
        <v>-8.8505594578422286</v>
      </c>
      <c r="AE72" s="156">
        <f t="shared" si="253"/>
        <v>-9.1108700301317072</v>
      </c>
      <c r="AF72" s="137">
        <f t="shared" ref="AF72:AF86" si="254">((AE72/I72)^(1/($AE$3-$J$1) ))-1</f>
        <v>-2.002345572210817</v>
      </c>
      <c r="AG72" s="31">
        <f t="shared" si="16"/>
        <v>0.05</v>
      </c>
      <c r="AH72" s="145">
        <f t="shared" ref="AH72:AH100" si="255">(AE72*(1+AG72))/($C$1-AG72)</f>
        <v>-73.587796397217645</v>
      </c>
    </row>
    <row r="73" spans="2:34">
      <c r="B73" s="20" t="s">
        <v>383</v>
      </c>
      <c r="C73" s="133"/>
      <c r="D73" s="133"/>
      <c r="E73" s="133"/>
      <c r="F73" s="133"/>
      <c r="G73" s="133">
        <f t="shared" ref="G73:H73" si="256">G20/G57</f>
        <v>18.367346938775512</v>
      </c>
      <c r="H73" s="133">
        <f t="shared" si="256"/>
        <v>-8.1632653061224492</v>
      </c>
      <c r="I73" s="133">
        <f>I20/I57</f>
        <v>-8.6734693877551017</v>
      </c>
      <c r="J73" s="133">
        <f t="shared" ref="J73:R73" si="257">J20/J57</f>
        <v>-26.020408163265305</v>
      </c>
      <c r="K73" s="133">
        <f t="shared" si="257"/>
        <v>-67.34693877551021</v>
      </c>
      <c r="L73" s="133">
        <f t="shared" si="257"/>
        <v>-13.523131672597865</v>
      </c>
      <c r="M73" s="133">
        <f t="shared" si="257"/>
        <v>-35.231316725978644</v>
      </c>
      <c r="N73" s="133">
        <f t="shared" si="257"/>
        <v>-14.234875444839858</v>
      </c>
      <c r="O73" s="133">
        <f t="shared" si="257"/>
        <v>-51.60142348754448</v>
      </c>
      <c r="P73" s="133">
        <f t="shared" si="257"/>
        <v>45.907473309608541</v>
      </c>
      <c r="Q73" s="133">
        <f t="shared" si="257"/>
        <v>-4.8295454545454541</v>
      </c>
      <c r="R73" s="133">
        <f t="shared" si="257"/>
        <v>29.829545454545453</v>
      </c>
      <c r="S73" s="133">
        <f t="shared" ref="S73" si="258">S20/S57</f>
        <v>13.920454545454545</v>
      </c>
      <c r="T73" s="118">
        <f t="shared" si="243"/>
        <v>-2.2836471805331215E-2</v>
      </c>
      <c r="U73" s="128"/>
      <c r="V73" s="133">
        <f t="shared" ref="V73:AE73" si="259">V20/V57</f>
        <v>14.329879679144385</v>
      </c>
      <c r="W73" s="133">
        <f t="shared" si="259"/>
        <v>14.751346728530986</v>
      </c>
      <c r="X73" s="133">
        <f t="shared" si="259"/>
        <v>15.185209867605428</v>
      </c>
      <c r="Y73" s="133">
        <f t="shared" si="259"/>
        <v>15.631833687240881</v>
      </c>
      <c r="Z73" s="133">
        <f t="shared" si="259"/>
        <v>16.091593501571495</v>
      </c>
      <c r="AA73" s="133">
        <f t="shared" si="259"/>
        <v>16.564875663382423</v>
      </c>
      <c r="AB73" s="133">
        <f t="shared" si="259"/>
        <v>17.052077888776026</v>
      </c>
      <c r="AC73" s="133">
        <f t="shared" si="259"/>
        <v>17.553609591387087</v>
      </c>
      <c r="AD73" s="133">
        <f t="shared" si="259"/>
        <v>18.069892226427886</v>
      </c>
      <c r="AE73" s="133">
        <f t="shared" si="259"/>
        <v>18.601359644852238</v>
      </c>
      <c r="AF73" s="137">
        <f t="shared" ref="AF73" si="260">((AE73/I73)^(1/($AE$3-$J$1) ))-1</f>
        <v>-2.0369997675255713</v>
      </c>
      <c r="AG73" s="31">
        <f t="shared" si="16"/>
        <v>0.05</v>
      </c>
      <c r="AH73" s="145">
        <f t="shared" si="255"/>
        <v>150.24175097765269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1">G7/G57</f>
        <v>48.469387755102041</v>
      </c>
      <c r="H74" s="133">
        <f t="shared" si="261"/>
        <v>54.081632653061227</v>
      </c>
      <c r="I74" s="133">
        <f t="shared" ref="I74:R74" si="262">I7/I57</f>
        <v>57.653061224489797</v>
      </c>
      <c r="J74" s="133">
        <f t="shared" si="262"/>
        <v>68.877551020408163</v>
      </c>
      <c r="K74" s="133">
        <f t="shared" si="262"/>
        <v>74.489795918367349</v>
      </c>
      <c r="L74" s="133">
        <f t="shared" si="262"/>
        <v>66.903914590747334</v>
      </c>
      <c r="M74" s="133">
        <f t="shared" si="262"/>
        <v>66.192170818505332</v>
      </c>
      <c r="N74" s="133">
        <f t="shared" si="262"/>
        <v>57.65124555160142</v>
      </c>
      <c r="O74" s="133">
        <f t="shared" si="262"/>
        <v>118.14946619217082</v>
      </c>
      <c r="P74" s="133">
        <f t="shared" si="262"/>
        <v>119.5729537366548</v>
      </c>
      <c r="Q74" s="133">
        <f t="shared" si="262"/>
        <v>132.38636363636363</v>
      </c>
      <c r="R74" s="133">
        <f t="shared" si="262"/>
        <v>104.82954545454545</v>
      </c>
      <c r="S74" s="133">
        <f t="shared" ref="S74" si="263">S7/S57</f>
        <v>97.443181818181813</v>
      </c>
      <c r="T74" s="118">
        <f t="shared" si="243"/>
        <v>5.9921398765427458E-2</v>
      </c>
      <c r="U74" s="128"/>
      <c r="V74" s="156">
        <f t="shared" ref="V74:AE74" si="264">V7/V57</f>
        <v>100.3091577540107</v>
      </c>
      <c r="W74" s="156">
        <f t="shared" si="264"/>
        <v>103.2594270997169</v>
      </c>
      <c r="X74" s="156">
        <f t="shared" si="264"/>
        <v>106.29646907323797</v>
      </c>
      <c r="Y74" s="156">
        <f t="shared" si="264"/>
        <v>109.42283581068617</v>
      </c>
      <c r="Z74" s="156">
        <f t="shared" si="264"/>
        <v>112.64115451100045</v>
      </c>
      <c r="AA74" s="156">
        <f t="shared" si="264"/>
        <v>115.95412964367694</v>
      </c>
      <c r="AB74" s="156">
        <f t="shared" si="264"/>
        <v>119.36454522143217</v>
      </c>
      <c r="AC74" s="156">
        <f t="shared" si="264"/>
        <v>122.87526713970958</v>
      </c>
      <c r="AD74" s="156">
        <f t="shared" si="264"/>
        <v>126.48924558499517</v>
      </c>
      <c r="AE74" s="156">
        <f t="shared" si="264"/>
        <v>130.20951751396564</v>
      </c>
      <c r="AF74" s="137">
        <f t="shared" si="254"/>
        <v>3.9557673365960833E-2</v>
      </c>
      <c r="AG74" s="31">
        <f t="shared" si="16"/>
        <v>0.05</v>
      </c>
      <c r="AH74" s="145">
        <f t="shared" si="255"/>
        <v>1051.6922568435687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5">G6/G57</f>
        <v>38.265306122448983</v>
      </c>
      <c r="H75" s="143">
        <f t="shared" si="265"/>
        <v>43.877551020408163</v>
      </c>
      <c r="I75" s="143">
        <f t="shared" ref="I75:R75" si="266">I6/I57</f>
        <v>47.95918367346939</v>
      </c>
      <c r="J75" s="143">
        <f t="shared" si="266"/>
        <v>59.183673469387756</v>
      </c>
      <c r="K75" s="143">
        <f t="shared" si="266"/>
        <v>60.204081632653065</v>
      </c>
      <c r="L75" s="143">
        <f t="shared" si="266"/>
        <v>54.448398576512453</v>
      </c>
      <c r="M75" s="143">
        <f t="shared" si="266"/>
        <v>55.871886120996443</v>
      </c>
      <c r="N75" s="143">
        <f t="shared" si="266"/>
        <v>47.686832740213525</v>
      </c>
      <c r="O75" s="143">
        <f t="shared" si="266"/>
        <v>107.82918149466192</v>
      </c>
      <c r="P75" s="143">
        <f t="shared" si="266"/>
        <v>109.60854092526691</v>
      </c>
      <c r="Q75" s="143">
        <f t="shared" si="266"/>
        <v>122.15909090909091</v>
      </c>
      <c r="R75" s="143">
        <f t="shared" si="266"/>
        <v>94.88636363636364</v>
      </c>
      <c r="S75" s="143">
        <f t="shared" ref="S75" si="267">S6/S57</f>
        <v>87.5</v>
      </c>
      <c r="T75" s="118">
        <f t="shared" si="243"/>
        <v>7.1355421713822365E-2</v>
      </c>
      <c r="U75" s="128"/>
      <c r="V75" s="155">
        <f t="shared" ref="V75:AE75" si="268">V6/V57</f>
        <v>90.07352941176471</v>
      </c>
      <c r="W75" s="155">
        <f t="shared" si="268"/>
        <v>92.722750865051907</v>
      </c>
      <c r="X75" s="155">
        <f t="shared" si="268"/>
        <v>95.44989059637696</v>
      </c>
      <c r="Y75" s="155">
        <f t="shared" si="268"/>
        <v>98.25724031979982</v>
      </c>
      <c r="Z75" s="155">
        <f t="shared" si="268"/>
        <v>101.1471591527351</v>
      </c>
      <c r="AA75" s="155">
        <f t="shared" si="268"/>
        <v>104.1220755984038</v>
      </c>
      <c r="AB75" s="155">
        <f t="shared" si="268"/>
        <v>107.18448958659215</v>
      </c>
      <c r="AC75" s="155">
        <f t="shared" si="268"/>
        <v>110.3369745744331</v>
      </c>
      <c r="AD75" s="155">
        <f t="shared" si="268"/>
        <v>113.58217970897526</v>
      </c>
      <c r="AE75" s="155">
        <f t="shared" si="268"/>
        <v>116.92283205335688</v>
      </c>
      <c r="AF75" s="137">
        <f t="shared" si="254"/>
        <v>4.3349670049364963E-2</v>
      </c>
      <c r="AG75" s="31">
        <f t="shared" si="16"/>
        <v>0.05</v>
      </c>
      <c r="AH75" s="145">
        <f t="shared" si="255"/>
        <v>944.37672043095949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69">G10/G57</f>
        <v>118.87755102040816</v>
      </c>
      <c r="H76" s="143">
        <f t="shared" si="269"/>
        <v>135.71428571428572</v>
      </c>
      <c r="I76" s="143">
        <f t="shared" ref="I76:R76" si="270">I10/I57</f>
        <v>207.14285714285714</v>
      </c>
      <c r="J76" s="143">
        <f t="shared" si="270"/>
        <v>261.22448979591837</v>
      </c>
      <c r="K76" s="143">
        <f t="shared" si="270"/>
        <v>332.65306122448982</v>
      </c>
      <c r="L76" s="143">
        <f t="shared" si="270"/>
        <v>236.29893238434164</v>
      </c>
      <c r="M76" s="143">
        <f t="shared" si="270"/>
        <v>278.64768683274019</v>
      </c>
      <c r="N76" s="143">
        <f t="shared" si="270"/>
        <v>343.77224199288253</v>
      </c>
      <c r="O76" s="143">
        <f t="shared" si="270"/>
        <v>322.06405693950177</v>
      </c>
      <c r="P76" s="143">
        <f t="shared" si="270"/>
        <v>319.57295373665482</v>
      </c>
      <c r="Q76" s="143">
        <f t="shared" si="270"/>
        <v>267.89772727272725</v>
      </c>
      <c r="R76" s="143">
        <f t="shared" si="270"/>
        <v>257.67045454545456</v>
      </c>
      <c r="S76" s="143">
        <f t="shared" ref="S76" si="271">S10/S57</f>
        <v>274.71590909090907</v>
      </c>
      <c r="T76" s="118">
        <f t="shared" si="243"/>
        <v>7.2297590418831881E-2</v>
      </c>
      <c r="U76" s="128"/>
      <c r="V76" s="155">
        <f t="shared" ref="V76:AE76" si="272">V10/V57</f>
        <v>282.79578877005343</v>
      </c>
      <c r="W76" s="155">
        <f t="shared" si="272"/>
        <v>291.11331196917268</v>
      </c>
      <c r="X76" s="155">
        <f t="shared" si="272"/>
        <v>299.67546820356011</v>
      </c>
      <c r="Y76" s="155">
        <f t="shared" si="272"/>
        <v>308.4894525624884</v>
      </c>
      <c r="Z76" s="155">
        <f t="shared" si="272"/>
        <v>317.56267175550278</v>
      </c>
      <c r="AA76" s="155">
        <f t="shared" si="272"/>
        <v>326.90275033654694</v>
      </c>
      <c r="AB76" s="155">
        <f t="shared" si="272"/>
        <v>336.51753711115128</v>
      </c>
      <c r="AC76" s="155">
        <f t="shared" si="272"/>
        <v>346.41511173206754</v>
      </c>
      <c r="AD76" s="155">
        <f t="shared" si="272"/>
        <v>356.60379148889308</v>
      </c>
      <c r="AE76" s="155">
        <f t="shared" si="272"/>
        <v>367.09213829738997</v>
      </c>
      <c r="AF76" s="137">
        <f t="shared" si="254"/>
        <v>2.7622435047439664E-2</v>
      </c>
      <c r="AG76" s="31">
        <f t="shared" si="16"/>
        <v>0.05</v>
      </c>
      <c r="AH76" s="145">
        <f t="shared" si="255"/>
        <v>2964.9749631712266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3">(G7-G10)/G57</f>
        <v>-70.408163265306129</v>
      </c>
      <c r="H78" s="143">
        <f t="shared" si="273"/>
        <v>-81.632653061224488</v>
      </c>
      <c r="I78" s="143">
        <f t="shared" ref="I78:R78" si="274">(I7-I10)/I57</f>
        <v>-149.48979591836735</v>
      </c>
      <c r="J78" s="143">
        <f t="shared" si="274"/>
        <v>-192.34693877551021</v>
      </c>
      <c r="K78" s="143">
        <f t="shared" si="274"/>
        <v>-258.16326530612247</v>
      </c>
      <c r="L78" s="143">
        <f t="shared" si="274"/>
        <v>-169.39501779359429</v>
      </c>
      <c r="M78" s="143">
        <f t="shared" si="274"/>
        <v>-212.45551601423486</v>
      </c>
      <c r="N78" s="143">
        <f t="shared" si="274"/>
        <v>-286.12099644128114</v>
      </c>
      <c r="O78" s="143">
        <f t="shared" si="274"/>
        <v>-203.91459074733095</v>
      </c>
      <c r="P78" s="143">
        <f t="shared" si="274"/>
        <v>-200</v>
      </c>
      <c r="Q78" s="143">
        <f t="shared" si="274"/>
        <v>-135.51136363636363</v>
      </c>
      <c r="R78" s="143">
        <f t="shared" si="274"/>
        <v>-152.84090909090909</v>
      </c>
      <c r="S78" s="143">
        <f t="shared" ref="S78" si="275">(S7-S10)/S57</f>
        <v>-177.27272727272728</v>
      </c>
      <c r="T78" s="118">
        <f t="shared" si="243"/>
        <v>7.9986290676011818E-2</v>
      </c>
      <c r="U78" s="128"/>
      <c r="V78" s="155">
        <f t="shared" ref="V78:AE78" si="276">(V7-V10)/V57</f>
        <v>-182.48663101604279</v>
      </c>
      <c r="W78" s="155">
        <f t="shared" si="276"/>
        <v>-187.85388486945581</v>
      </c>
      <c r="X78" s="155">
        <f t="shared" si="276"/>
        <v>-193.37899913032214</v>
      </c>
      <c r="Y78" s="155">
        <f t="shared" si="276"/>
        <v>-199.06661675180223</v>
      </c>
      <c r="Z78" s="155">
        <f t="shared" si="276"/>
        <v>-204.92151724450233</v>
      </c>
      <c r="AA78" s="155">
        <f t="shared" si="276"/>
        <v>-210.94862069287001</v>
      </c>
      <c r="AB78" s="155">
        <f t="shared" si="276"/>
        <v>-217.15299188971912</v>
      </c>
      <c r="AC78" s="155">
        <f t="shared" si="276"/>
        <v>-223.53984459235795</v>
      </c>
      <c r="AD78" s="155">
        <f t="shared" si="276"/>
        <v>-230.11454590389792</v>
      </c>
      <c r="AE78" s="155">
        <f t="shared" si="276"/>
        <v>-236.88262078342433</v>
      </c>
      <c r="AF78" s="137">
        <f t="shared" si="254"/>
        <v>2.2162816804156105E-2</v>
      </c>
      <c r="AG78" s="31">
        <f t="shared" si="16"/>
        <v>0.05</v>
      </c>
      <c r="AH78" s="145">
        <f t="shared" si="255"/>
        <v>-1913.2827063276582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7">(G7-G10-G9)/G57</f>
        <v>-77.040816326530617</v>
      </c>
      <c r="H79" s="143">
        <f t="shared" si="277"/>
        <v>-97.448979591836732</v>
      </c>
      <c r="I79" s="143">
        <f t="shared" ref="I79:R79" si="278">(I7-I10-I9)/I57</f>
        <v>-161.73469387755102</v>
      </c>
      <c r="J79" s="143">
        <f t="shared" si="278"/>
        <v>-212.24489795918367</v>
      </c>
      <c r="K79" s="143">
        <f t="shared" si="278"/>
        <v>-276.0204081632653</v>
      </c>
      <c r="L79" s="143">
        <f t="shared" si="278"/>
        <v>-182.91814946619218</v>
      </c>
      <c r="M79" s="143">
        <f t="shared" si="278"/>
        <v>-239.5017793594306</v>
      </c>
      <c r="N79" s="143">
        <f t="shared" si="278"/>
        <v>-340.56939501779357</v>
      </c>
      <c r="O79" s="143">
        <f t="shared" si="278"/>
        <v>-259.78647686832738</v>
      </c>
      <c r="P79" s="143">
        <f t="shared" si="278"/>
        <v>-289.6797153024911</v>
      </c>
      <c r="Q79" s="143">
        <f t="shared" si="278"/>
        <v>-246.02272727272728</v>
      </c>
      <c r="R79" s="143">
        <f t="shared" si="278"/>
        <v>-249.71590909090909</v>
      </c>
      <c r="S79" s="143">
        <f t="shared" ref="S79" si="279">(S7-S10-S9)/S57</f>
        <v>-221.875</v>
      </c>
      <c r="T79" s="118">
        <f t="shared" si="243"/>
        <v>9.2150002761034244E-2</v>
      </c>
      <c r="U79" s="128"/>
      <c r="V79" s="155">
        <f t="shared" ref="V79:AE79" si="280">(V7-V10-V9)/V57</f>
        <v>-228.40073529411765</v>
      </c>
      <c r="W79" s="155">
        <f t="shared" si="280"/>
        <v>-235.11840397923874</v>
      </c>
      <c r="X79" s="155">
        <f t="shared" si="280"/>
        <v>-242.03365115509871</v>
      </c>
      <c r="Y79" s="155">
        <f t="shared" si="280"/>
        <v>-249.15228795377809</v>
      </c>
      <c r="Z79" s="155">
        <f t="shared" si="280"/>
        <v>-256.48029642300691</v>
      </c>
      <c r="AA79" s="155">
        <f t="shared" si="280"/>
        <v>-264.0238345530953</v>
      </c>
      <c r="AB79" s="155">
        <f t="shared" si="280"/>
        <v>-271.78924145171578</v>
      </c>
      <c r="AC79" s="155">
        <f t="shared" si="280"/>
        <v>-279.7830426708839</v>
      </c>
      <c r="AD79" s="155">
        <f t="shared" si="280"/>
        <v>-288.01195569061582</v>
      </c>
      <c r="AE79" s="155">
        <f t="shared" si="280"/>
        <v>-296.48289556386925</v>
      </c>
      <c r="AF79" s="137">
        <f t="shared" si="254"/>
        <v>2.9279123937804075E-2</v>
      </c>
      <c r="AG79" s="31">
        <f t="shared" si="16"/>
        <v>0.05</v>
      </c>
      <c r="AH79" s="145">
        <f t="shared" si="255"/>
        <v>-2394.6695410927905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1">(G7+G15-G10-G9)/G57</f>
        <v>57.653061224489797</v>
      </c>
      <c r="H80" s="143">
        <f t="shared" si="281"/>
        <v>70.408163265306129</v>
      </c>
      <c r="I80" s="143">
        <f t="shared" ref="I80:R80" si="282">(I7+I15-I10-I9)/I57</f>
        <v>55.102040816326529</v>
      </c>
      <c r="J80" s="143">
        <f t="shared" si="282"/>
        <v>53.061224489795919</v>
      </c>
      <c r="K80" s="143">
        <f t="shared" si="282"/>
        <v>60.714285714285715</v>
      </c>
      <c r="L80" s="143">
        <f t="shared" si="282"/>
        <v>68.683274021352318</v>
      </c>
      <c r="M80" s="143">
        <f t="shared" si="282"/>
        <v>70.106761565836294</v>
      </c>
      <c r="N80" s="143">
        <f t="shared" si="282"/>
        <v>43.416370106761562</v>
      </c>
      <c r="O80" s="143">
        <f t="shared" si="282"/>
        <v>150.88967971530249</v>
      </c>
      <c r="P80" s="143">
        <f t="shared" si="282"/>
        <v>149.8220640569395</v>
      </c>
      <c r="Q80" s="143">
        <f t="shared" si="282"/>
        <v>189.20454545454547</v>
      </c>
      <c r="R80" s="143">
        <f t="shared" si="282"/>
        <v>132.95454545454547</v>
      </c>
      <c r="S80" s="143">
        <f t="shared" ref="S80" si="283">(S7+S15-S10-S9)/S57</f>
        <v>121.875</v>
      </c>
      <c r="T80" s="118">
        <f t="shared" si="243"/>
        <v>6.4366069454935282E-2</v>
      </c>
      <c r="U80" s="128"/>
      <c r="V80" s="155">
        <f t="shared" ref="V80:AE80" si="284">(V7+V15-V10-V9)/V57</f>
        <v>125.45955882352942</v>
      </c>
      <c r="W80" s="155">
        <f t="shared" si="284"/>
        <v>129.14954584775089</v>
      </c>
      <c r="X80" s="155">
        <f t="shared" si="284"/>
        <v>132.94806190209653</v>
      </c>
      <c r="Y80" s="155">
        <f t="shared" si="284"/>
        <v>136.85829901686407</v>
      </c>
      <c r="Z80" s="155">
        <f t="shared" si="284"/>
        <v>140.88354310559535</v>
      </c>
      <c r="AA80" s="155">
        <f t="shared" si="284"/>
        <v>145.02717672634813</v>
      </c>
      <c r="AB80" s="155">
        <f t="shared" si="284"/>
        <v>149.29268192418195</v>
      </c>
      <c r="AC80" s="155">
        <f t="shared" si="284"/>
        <v>153.68364315724611</v>
      </c>
      <c r="AD80" s="155">
        <f t="shared" si="284"/>
        <v>158.20375030892981</v>
      </c>
      <c r="AE80" s="155">
        <f t="shared" si="284"/>
        <v>162.85680178860423</v>
      </c>
      <c r="AF80" s="137">
        <f t="shared" si="254"/>
        <v>5.2958715586618688E-2</v>
      </c>
      <c r="AG80" s="31">
        <f t="shared" si="16"/>
        <v>0.05</v>
      </c>
      <c r="AH80" s="145">
        <f t="shared" si="255"/>
        <v>1315.3818606002649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5">G12/G57</f>
        <v>3.0612244897959182</v>
      </c>
      <c r="H82" s="143">
        <f t="shared" si="285"/>
        <v>2.0408163265306123</v>
      </c>
      <c r="I82" s="143">
        <f t="shared" ref="I82:R82" si="286">I12/I57</f>
        <v>17.346938775510203</v>
      </c>
      <c r="J82" s="143">
        <f t="shared" si="286"/>
        <v>4.0816326530612246</v>
      </c>
      <c r="K82" s="143">
        <f t="shared" si="286"/>
        <v>16.836734693877553</v>
      </c>
      <c r="L82" s="143">
        <f t="shared" si="286"/>
        <v>3.9145907473309607</v>
      </c>
      <c r="M82" s="143">
        <f t="shared" si="286"/>
        <v>9.252669039145907</v>
      </c>
      <c r="N82" s="143">
        <f t="shared" si="286"/>
        <v>6.7615658362989324</v>
      </c>
      <c r="O82" s="143">
        <f t="shared" si="286"/>
        <v>7.4733096085409247</v>
      </c>
      <c r="P82" s="143">
        <f t="shared" si="286"/>
        <v>8.185053380782918</v>
      </c>
      <c r="Q82" s="143">
        <f t="shared" si="286"/>
        <v>6.5340909090909092</v>
      </c>
      <c r="R82" s="143">
        <f t="shared" si="286"/>
        <v>6.5340909090909092</v>
      </c>
      <c r="S82" s="143">
        <f t="shared" ref="S82" si="287">S12/S57</f>
        <v>3.6931818181818183</v>
      </c>
      <c r="T82" s="118">
        <f t="shared" si="243"/>
        <v>1.5762383865657537E-2</v>
      </c>
      <c r="U82" s="128"/>
      <c r="V82" s="155">
        <f t="shared" ref="V82:AE82" si="288">V12/V57</f>
        <v>3.8018048128342246</v>
      </c>
      <c r="W82" s="155">
        <f t="shared" si="288"/>
        <v>3.9136226014469959</v>
      </c>
      <c r="X82" s="155">
        <f t="shared" si="288"/>
        <v>4.0287291485483783</v>
      </c>
      <c r="Y82" s="155">
        <f t="shared" si="288"/>
        <v>4.1472211823292131</v>
      </c>
      <c r="Z82" s="155">
        <f t="shared" si="288"/>
        <v>4.2691982759271312</v>
      </c>
      <c r="AA82" s="155">
        <f t="shared" si="288"/>
        <v>4.3947629311014591</v>
      </c>
      <c r="AB82" s="155">
        <f t="shared" si="288"/>
        <v>4.5240206643691492</v>
      </c>
      <c r="AC82" s="155">
        <f t="shared" si="288"/>
        <v>4.6570800956741243</v>
      </c>
      <c r="AD82" s="155">
        <f t="shared" si="288"/>
        <v>4.79405303966454</v>
      </c>
      <c r="AE82" s="155">
        <f t="shared" si="288"/>
        <v>4.9350545996546744</v>
      </c>
      <c r="AF82" s="137">
        <f t="shared" si="254"/>
        <v>-5.8103265452603581E-2</v>
      </c>
      <c r="AG82" s="31">
        <f t="shared" si="16"/>
        <v>0.05</v>
      </c>
      <c r="AH82" s="145">
        <f t="shared" si="255"/>
        <v>39.860056381826212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89">G13/G57</f>
        <v>3.5714285714285716</v>
      </c>
      <c r="H83" s="143">
        <f t="shared" si="289"/>
        <v>6.6326530612244898</v>
      </c>
      <c r="I83" s="143">
        <f t="shared" ref="I83:R83" si="290">I13/I57</f>
        <v>0.40816326530612246</v>
      </c>
      <c r="J83" s="143">
        <f t="shared" si="290"/>
        <v>1.5306122448979591</v>
      </c>
      <c r="K83" s="143">
        <f t="shared" si="290"/>
        <v>2.0408163265306123</v>
      </c>
      <c r="L83" s="143">
        <f t="shared" si="290"/>
        <v>2.1352313167259784</v>
      </c>
      <c r="M83" s="143">
        <f t="shared" si="290"/>
        <v>2.4911032028469751</v>
      </c>
      <c r="N83" s="143">
        <f t="shared" si="290"/>
        <v>2.8469750889679717</v>
      </c>
      <c r="O83" s="143">
        <f t="shared" si="290"/>
        <v>17.081850533807827</v>
      </c>
      <c r="P83" s="143">
        <f t="shared" si="290"/>
        <v>16.370106761565836</v>
      </c>
      <c r="Q83" s="143">
        <f t="shared" si="290"/>
        <v>12.5</v>
      </c>
      <c r="R83" s="143">
        <f t="shared" si="290"/>
        <v>12.5</v>
      </c>
      <c r="S83" s="143">
        <f t="shared" ref="S83" si="291">S13/S57</f>
        <v>12.215909090909092</v>
      </c>
      <c r="T83" s="118">
        <f t="shared" si="243"/>
        <v>0.1079163851992615</v>
      </c>
      <c r="U83" s="128"/>
      <c r="V83" s="155">
        <f t="shared" ref="V83:AE83" si="292">V13/V57</f>
        <v>12.575200534759357</v>
      </c>
      <c r="W83" s="155">
        <f t="shared" si="292"/>
        <v>12.945059374016985</v>
      </c>
      <c r="X83" s="155">
        <f t="shared" si="292"/>
        <v>13.32579641442925</v>
      </c>
      <c r="Y83" s="155">
        <f t="shared" si="292"/>
        <v>13.717731603088934</v>
      </c>
      <c r="Z83" s="155">
        <f t="shared" si="292"/>
        <v>14.121194297297434</v>
      </c>
      <c r="AA83" s="155">
        <f t="shared" si="292"/>
        <v>14.536523541335594</v>
      </c>
      <c r="AB83" s="155">
        <f t="shared" si="292"/>
        <v>14.964068351374877</v>
      </c>
      <c r="AC83" s="155">
        <f t="shared" si="292"/>
        <v>15.404188008768257</v>
      </c>
      <c r="AD83" s="155">
        <f t="shared" si="292"/>
        <v>15.857252361967324</v>
      </c>
      <c r="AE83" s="155">
        <f t="shared" si="292"/>
        <v>16.323642137319307</v>
      </c>
      <c r="AF83" s="137">
        <f t="shared" si="254"/>
        <v>0.1920237595137777</v>
      </c>
      <c r="AG83" s="31">
        <f t="shared" si="16"/>
        <v>0.05</v>
      </c>
      <c r="AH83" s="145">
        <f t="shared" si="255"/>
        <v>131.84480187834825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3">(G82+G83)</f>
        <v>6.6326530612244898</v>
      </c>
      <c r="H84" s="143">
        <f t="shared" si="293"/>
        <v>8.6734693877551017</v>
      </c>
      <c r="I84" s="143">
        <f t="shared" ref="I84:R84" si="294">(I82+I83)</f>
        <v>17.755102040816325</v>
      </c>
      <c r="J84" s="143">
        <f t="shared" si="294"/>
        <v>5.6122448979591839</v>
      </c>
      <c r="K84" s="143">
        <f t="shared" si="294"/>
        <v>18.877551020408166</v>
      </c>
      <c r="L84" s="143">
        <f t="shared" si="294"/>
        <v>6.0498220640569391</v>
      </c>
      <c r="M84" s="143">
        <f t="shared" si="294"/>
        <v>11.743772241992882</v>
      </c>
      <c r="N84" s="143">
        <f t="shared" si="294"/>
        <v>9.6085409252669045</v>
      </c>
      <c r="O84" s="143">
        <f t="shared" si="294"/>
        <v>24.555160142348754</v>
      </c>
      <c r="P84" s="143">
        <f t="shared" si="294"/>
        <v>24.555160142348754</v>
      </c>
      <c r="Q84" s="143">
        <f t="shared" ref="Q84" si="295">(Q82+Q83)</f>
        <v>19.03409090909091</v>
      </c>
      <c r="R84" s="143">
        <f t="shared" si="294"/>
        <v>19.03409090909091</v>
      </c>
      <c r="S84" s="143">
        <f t="shared" ref="S84" si="296">(S82+S83)</f>
        <v>15.90909090909091</v>
      </c>
      <c r="T84" s="118">
        <f t="shared" si="243"/>
        <v>7.5630661486597139E-2</v>
      </c>
      <c r="U84" s="128"/>
      <c r="V84" s="155">
        <f t="shared" ref="V84:AE84" si="297">(V82+V83)</f>
        <v>16.377005347593581</v>
      </c>
      <c r="W84" s="155">
        <f t="shared" si="297"/>
        <v>16.858681975463981</v>
      </c>
      <c r="X84" s="155">
        <f t="shared" si="297"/>
        <v>17.354525562977628</v>
      </c>
      <c r="Y84" s="155">
        <f t="shared" si="297"/>
        <v>17.864952785418147</v>
      </c>
      <c r="Z84" s="155">
        <f t="shared" si="297"/>
        <v>18.390392573224567</v>
      </c>
      <c r="AA84" s="155">
        <f t="shared" si="297"/>
        <v>18.931286472437051</v>
      </c>
      <c r="AB84" s="155">
        <f t="shared" si="297"/>
        <v>19.488089015744027</v>
      </c>
      <c r="AC84" s="155">
        <f t="shared" si="297"/>
        <v>20.06126810444238</v>
      </c>
      <c r="AD84" s="155">
        <f t="shared" si="297"/>
        <v>20.651305401631866</v>
      </c>
      <c r="AE84" s="155">
        <f t="shared" si="297"/>
        <v>21.258696736973981</v>
      </c>
      <c r="AF84" s="137">
        <f t="shared" si="254"/>
        <v>8.6127426584226008E-3</v>
      </c>
      <c r="AG84" s="31">
        <f t="shared" si="16"/>
        <v>0.05</v>
      </c>
      <c r="AH84" s="145">
        <f t="shared" si="255"/>
        <v>171.70485826017446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8">G15/G57</f>
        <v>134.69387755102042</v>
      </c>
      <c r="H85" s="143">
        <f t="shared" si="298"/>
        <v>167.85714285714286</v>
      </c>
      <c r="I85" s="143">
        <f t="shared" ref="I85:R85" si="299">I15/I57</f>
        <v>216.83673469387756</v>
      </c>
      <c r="J85" s="143">
        <f t="shared" si="299"/>
        <v>265.30612244897958</v>
      </c>
      <c r="K85" s="143">
        <f t="shared" si="299"/>
        <v>336.73469387755102</v>
      </c>
      <c r="L85" s="143">
        <f t="shared" si="299"/>
        <v>251.60142348754448</v>
      </c>
      <c r="M85" s="143">
        <f t="shared" si="299"/>
        <v>309.60854092526688</v>
      </c>
      <c r="N85" s="143">
        <f t="shared" si="299"/>
        <v>383.98576512455514</v>
      </c>
      <c r="O85" s="143">
        <f t="shared" si="299"/>
        <v>410.6761565836299</v>
      </c>
      <c r="P85" s="143">
        <f t="shared" si="299"/>
        <v>439.5017793594306</v>
      </c>
      <c r="Q85" s="143">
        <f t="shared" si="299"/>
        <v>435.22727272727275</v>
      </c>
      <c r="R85" s="143">
        <f t="shared" si="299"/>
        <v>382.67045454545456</v>
      </c>
      <c r="S85" s="143">
        <f t="shared" ref="S85" si="300">S15/S57</f>
        <v>343.75</v>
      </c>
      <c r="T85" s="118">
        <f t="shared" si="243"/>
        <v>8.1204648632549059E-2</v>
      </c>
      <c r="U85" s="128"/>
      <c r="V85" s="155">
        <f t="shared" ref="V85:AE85" si="301">V15/V57</f>
        <v>353.86029411764702</v>
      </c>
      <c r="W85" s="155">
        <f t="shared" si="301"/>
        <v>364.26794982698965</v>
      </c>
      <c r="X85" s="155">
        <f t="shared" si="301"/>
        <v>374.98171305719518</v>
      </c>
      <c r="Y85" s="155">
        <f t="shared" si="301"/>
        <v>386.01058697064218</v>
      </c>
      <c r="Z85" s="155">
        <f t="shared" si="301"/>
        <v>397.36383952860223</v>
      </c>
      <c r="AA85" s="155">
        <f t="shared" si="301"/>
        <v>409.05101127944346</v>
      </c>
      <c r="AB85" s="155">
        <f t="shared" si="301"/>
        <v>421.0819233758977</v>
      </c>
      <c r="AC85" s="155">
        <f t="shared" si="301"/>
        <v>433.46668582813004</v>
      </c>
      <c r="AD85" s="155">
        <f t="shared" si="301"/>
        <v>446.21570599954566</v>
      </c>
      <c r="AE85" s="155">
        <f t="shared" si="301"/>
        <v>459.33969735247348</v>
      </c>
      <c r="AF85" s="137">
        <f t="shared" si="254"/>
        <v>3.6391548844359356E-2</v>
      </c>
      <c r="AG85" s="31">
        <f t="shared" si="16"/>
        <v>0.05</v>
      </c>
      <c r="AH85" s="145">
        <f t="shared" si="255"/>
        <v>3710.0514016930551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2">G16/G57</f>
        <v>142.85714285714286</v>
      </c>
      <c r="H86" s="143">
        <f t="shared" si="302"/>
        <v>160.71428571428572</v>
      </c>
      <c r="I86" s="143">
        <f t="shared" ref="I86:R86" si="303">I16/I57</f>
        <v>207.14285714285714</v>
      </c>
      <c r="J86" s="143">
        <f t="shared" si="303"/>
        <v>262.75510204081633</v>
      </c>
      <c r="K86" s="143">
        <f t="shared" si="303"/>
        <v>344.38775510204084</v>
      </c>
      <c r="L86" s="143">
        <f t="shared" si="303"/>
        <v>261.20996441281136</v>
      </c>
      <c r="M86" s="143">
        <f t="shared" si="303"/>
        <v>303.55871886120997</v>
      </c>
      <c r="N86" s="143">
        <f t="shared" si="303"/>
        <v>351.60142348754448</v>
      </c>
      <c r="O86" s="143">
        <f t="shared" si="303"/>
        <v>374.73309608540927</v>
      </c>
      <c r="P86" s="143">
        <f t="shared" si="303"/>
        <v>372.24199288256227</v>
      </c>
      <c r="Q86" s="143">
        <f t="shared" si="303"/>
        <v>347.15909090909093</v>
      </c>
      <c r="R86" s="143">
        <f t="shared" si="303"/>
        <v>315.90909090909093</v>
      </c>
      <c r="S86" s="143">
        <f t="shared" ref="S86" si="304">S16/S57</f>
        <v>325.56818181818181</v>
      </c>
      <c r="T86" s="118">
        <f t="shared" si="243"/>
        <v>7.1054736652125694E-2</v>
      </c>
      <c r="U86" s="128"/>
      <c r="V86" s="155">
        <f t="shared" ref="V86:AE86" si="305">V16/V57</f>
        <v>335.14371657754009</v>
      </c>
      <c r="W86" s="155">
        <f t="shared" si="305"/>
        <v>345.00088471217362</v>
      </c>
      <c r="X86" s="155">
        <f t="shared" si="305"/>
        <v>355.14796955664929</v>
      </c>
      <c r="Y86" s="155">
        <f t="shared" si="305"/>
        <v>365.59349807302135</v>
      </c>
      <c r="Z86" s="155">
        <f t="shared" si="305"/>
        <v>376.3462480163455</v>
      </c>
      <c r="AA86" s="155">
        <f t="shared" si="305"/>
        <v>387.41525531094391</v>
      </c>
      <c r="AB86" s="155">
        <f t="shared" si="305"/>
        <v>398.80982164361882</v>
      </c>
      <c r="AC86" s="155">
        <f t="shared" si="305"/>
        <v>410.5395222801958</v>
      </c>
      <c r="AD86" s="155">
        <f t="shared" si="305"/>
        <v>422.61421411196631</v>
      </c>
      <c r="AE86" s="155">
        <f t="shared" si="305"/>
        <v>435.04404393878889</v>
      </c>
      <c r="AF86" s="137">
        <f t="shared" si="254"/>
        <v>3.5966876622630206E-2</v>
      </c>
      <c r="AG86" s="136"/>
      <c r="AH86" s="145">
        <f t="shared" si="255"/>
        <v>2416.911355215494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5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6">G59</f>
        <v>1.5</v>
      </c>
      <c r="H88" s="157">
        <f t="shared" si="306"/>
        <v>2</v>
      </c>
      <c r="I88" s="157">
        <f t="shared" ref="I88:R88" si="307">I59</f>
        <v>2.2000000000000002</v>
      </c>
      <c r="J88" s="157">
        <f t="shared" si="307"/>
        <v>1</v>
      </c>
      <c r="K88" s="157">
        <f t="shared" si="307"/>
        <v>0</v>
      </c>
      <c r="L88" s="157">
        <f t="shared" si="307"/>
        <v>0</v>
      </c>
      <c r="M88" s="157">
        <f t="shared" si="307"/>
        <v>0</v>
      </c>
      <c r="N88" s="157">
        <f t="shared" si="307"/>
        <v>0</v>
      </c>
      <c r="O88" s="157">
        <f t="shared" si="307"/>
        <v>0</v>
      </c>
      <c r="P88" s="157">
        <f t="shared" si="307"/>
        <v>0</v>
      </c>
      <c r="Q88" s="157">
        <f t="shared" si="307"/>
        <v>0</v>
      </c>
      <c r="R88" s="157">
        <f t="shared" si="307"/>
        <v>0</v>
      </c>
      <c r="S88" s="157">
        <f t="shared" ref="S88" si="308">S59</f>
        <v>0</v>
      </c>
      <c r="T88" s="118">
        <f t="shared" si="243"/>
        <v>-1</v>
      </c>
      <c r="U88" s="128"/>
      <c r="V88" s="157">
        <f t="shared" ref="V88:AE88" si="309">V59</f>
        <v>0</v>
      </c>
      <c r="W88" s="157">
        <f t="shared" si="309"/>
        <v>0</v>
      </c>
      <c r="X88" s="157">
        <f t="shared" si="309"/>
        <v>0</v>
      </c>
      <c r="Y88" s="157">
        <f t="shared" si="309"/>
        <v>0</v>
      </c>
      <c r="Z88" s="157">
        <f t="shared" si="309"/>
        <v>0</v>
      </c>
      <c r="AA88" s="157">
        <f t="shared" si="309"/>
        <v>0</v>
      </c>
      <c r="AB88" s="157">
        <f t="shared" si="309"/>
        <v>0</v>
      </c>
      <c r="AC88" s="157">
        <f t="shared" si="309"/>
        <v>0</v>
      </c>
      <c r="AD88" s="157">
        <f t="shared" si="309"/>
        <v>0</v>
      </c>
      <c r="AE88" s="157">
        <f t="shared" si="309"/>
        <v>0</v>
      </c>
      <c r="AF88" s="137">
        <f t="shared" ref="AF88" si="310">((AE88/I88)^(1/($AE$3-$J$1) ))-1</f>
        <v>-1</v>
      </c>
      <c r="AG88" s="31">
        <f t="shared" si="16"/>
        <v>0.05</v>
      </c>
      <c r="AH88" s="145">
        <f t="shared" si="255"/>
        <v>0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312</v>
      </c>
      <c r="C90" s="127"/>
      <c r="D90" s="127"/>
      <c r="E90" s="127"/>
      <c r="F90" s="127"/>
      <c r="G90" s="143">
        <f t="shared" ref="G90:H90" si="311">G20+G21</f>
        <v>16</v>
      </c>
      <c r="H90" s="143">
        <f t="shared" si="311"/>
        <v>-31</v>
      </c>
      <c r="I90" s="143">
        <f t="shared" ref="I90:R90" si="312">I20+I21</f>
        <v>-53</v>
      </c>
      <c r="J90" s="143">
        <f t="shared" si="312"/>
        <v>-127</v>
      </c>
      <c r="K90" s="143">
        <f t="shared" si="312"/>
        <v>-135</v>
      </c>
      <c r="L90" s="143">
        <f t="shared" si="312"/>
        <v>-59</v>
      </c>
      <c r="M90" s="143">
        <f t="shared" si="312"/>
        <v>-115</v>
      </c>
      <c r="N90" s="143">
        <f t="shared" si="312"/>
        <v>-76</v>
      </c>
      <c r="O90" s="143">
        <f t="shared" si="312"/>
        <v>99</v>
      </c>
      <c r="P90" s="143">
        <f t="shared" si="312"/>
        <v>104</v>
      </c>
      <c r="Q90" s="143">
        <f t="shared" si="312"/>
        <v>-34</v>
      </c>
      <c r="R90" s="143">
        <f t="shared" si="312"/>
        <v>100</v>
      </c>
      <c r="S90" s="143">
        <f t="shared" ref="S90" si="313">S20+S21</f>
        <v>39</v>
      </c>
      <c r="T90" s="118">
        <f t="shared" si="243"/>
        <v>7.7073610600894016E-2</v>
      </c>
      <c r="U90" s="128"/>
      <c r="V90" s="143">
        <f t="shared" ref="V90:AE90" si="314">V20+V21</f>
        <v>40.950000000000003</v>
      </c>
      <c r="W90" s="143">
        <f t="shared" si="314"/>
        <v>42.997500000000009</v>
      </c>
      <c r="X90" s="143">
        <f t="shared" si="314"/>
        <v>45.147375000000011</v>
      </c>
      <c r="Y90" s="143">
        <f t="shared" si="314"/>
        <v>47.404743750000016</v>
      </c>
      <c r="Z90" s="143">
        <f t="shared" si="314"/>
        <v>49.774980937500018</v>
      </c>
      <c r="AA90" s="143">
        <f t="shared" si="314"/>
        <v>52.263729984375018</v>
      </c>
      <c r="AB90" s="143">
        <f t="shared" si="314"/>
        <v>54.876916483593774</v>
      </c>
      <c r="AC90" s="143">
        <f t="shared" si="314"/>
        <v>57.620762307773475</v>
      </c>
      <c r="AD90" s="143">
        <f t="shared" si="314"/>
        <v>60.501800423162152</v>
      </c>
      <c r="AE90" s="143">
        <f t="shared" si="314"/>
        <v>63.526890444320259</v>
      </c>
      <c r="AF90" s="137">
        <f t="shared" ref="AF90:AF95" si="315">((AE90/I90)^(1/($AE$3-$J$1) ))-1</f>
        <v>-2.0086645299100736</v>
      </c>
      <c r="AG90" s="31">
        <f t="shared" si="16"/>
        <v>0.05</v>
      </c>
      <c r="AH90" s="145">
        <f t="shared" si="255"/>
        <v>513.10180743489434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313</v>
      </c>
      <c r="C92" s="127"/>
      <c r="D92" s="127"/>
      <c r="E92" s="127"/>
      <c r="F92" s="127"/>
      <c r="G92" s="143">
        <f t="shared" ref="G92:H92" si="316">G90/G57</f>
        <v>8.1632653061224492</v>
      </c>
      <c r="H92" s="143">
        <f t="shared" si="316"/>
        <v>-15.816326530612246</v>
      </c>
      <c r="I92" s="143">
        <f t="shared" ref="I92:R92" si="317">I90/I57</f>
        <v>-27.040816326530614</v>
      </c>
      <c r="J92" s="143">
        <f t="shared" si="317"/>
        <v>-64.795918367346943</v>
      </c>
      <c r="K92" s="143">
        <f t="shared" si="317"/>
        <v>-68.877551020408163</v>
      </c>
      <c r="L92" s="143">
        <f t="shared" si="317"/>
        <v>-20.996441281138789</v>
      </c>
      <c r="M92" s="143">
        <f t="shared" si="317"/>
        <v>-40.92526690391459</v>
      </c>
      <c r="N92" s="143">
        <f t="shared" si="317"/>
        <v>-27.046263345195729</v>
      </c>
      <c r="O92" s="143">
        <f t="shared" si="317"/>
        <v>35.231316725978644</v>
      </c>
      <c r="P92" s="143">
        <f t="shared" si="317"/>
        <v>37.010676156583628</v>
      </c>
      <c r="Q92" s="143">
        <f t="shared" si="317"/>
        <v>-9.6590909090909083</v>
      </c>
      <c r="R92" s="143">
        <f t="shared" si="317"/>
        <v>28.40909090909091</v>
      </c>
      <c r="S92" s="143">
        <f t="shared" ref="S92" si="318">S90/S57</f>
        <v>11.079545454545455</v>
      </c>
      <c r="T92" s="118">
        <f t="shared" si="243"/>
        <v>2.5781437961838627E-2</v>
      </c>
      <c r="U92" s="128"/>
      <c r="V92" s="145">
        <f t="shared" ref="V92:AE92" si="319">V90/V57</f>
        <v>11.405414438502675</v>
      </c>
      <c r="W92" s="145">
        <f t="shared" si="319"/>
        <v>11.74086780434099</v>
      </c>
      <c r="X92" s="145">
        <f t="shared" si="319"/>
        <v>12.086187445645136</v>
      </c>
      <c r="Y92" s="145">
        <f t="shared" si="319"/>
        <v>12.441663546987641</v>
      </c>
      <c r="Z92" s="145">
        <f t="shared" si="319"/>
        <v>12.807594827781395</v>
      </c>
      <c r="AA92" s="145">
        <f t="shared" si="319"/>
        <v>13.184288793304377</v>
      </c>
      <c r="AB92" s="145">
        <f t="shared" si="319"/>
        <v>13.572061993107448</v>
      </c>
      <c r="AC92" s="145">
        <f t="shared" si="319"/>
        <v>13.971240287022377</v>
      </c>
      <c r="AD92" s="145">
        <f t="shared" si="319"/>
        <v>14.382159118993625</v>
      </c>
      <c r="AE92" s="145">
        <f t="shared" si="319"/>
        <v>14.805163798964026</v>
      </c>
      <c r="AF92" s="137">
        <f t="shared" si="315"/>
        <v>-1.9717231374618314</v>
      </c>
      <c r="AG92" s="31">
        <f t="shared" si="16"/>
        <v>0.05</v>
      </c>
      <c r="AH92" s="145">
        <f t="shared" si="255"/>
        <v>119.58016914547868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20">G20/G57</f>
        <v>18.367346938775512</v>
      </c>
      <c r="H93" s="143">
        <f t="shared" si="320"/>
        <v>-8.1632653061224492</v>
      </c>
      <c r="I93" s="143">
        <f t="shared" ref="I93:R93" si="321">I20/I57</f>
        <v>-8.6734693877551017</v>
      </c>
      <c r="J93" s="143">
        <f t="shared" si="321"/>
        <v>-26.020408163265305</v>
      </c>
      <c r="K93" s="143">
        <f t="shared" si="321"/>
        <v>-67.34693877551021</v>
      </c>
      <c r="L93" s="143">
        <f t="shared" si="321"/>
        <v>-13.523131672597865</v>
      </c>
      <c r="M93" s="143">
        <f t="shared" si="321"/>
        <v>-35.231316725978644</v>
      </c>
      <c r="N93" s="143">
        <f t="shared" si="321"/>
        <v>-14.234875444839858</v>
      </c>
      <c r="O93" s="143">
        <f t="shared" si="321"/>
        <v>-51.60142348754448</v>
      </c>
      <c r="P93" s="143">
        <f t="shared" si="321"/>
        <v>45.907473309608541</v>
      </c>
      <c r="Q93" s="143">
        <f t="shared" si="321"/>
        <v>-4.8295454545454541</v>
      </c>
      <c r="R93" s="143">
        <f t="shared" si="321"/>
        <v>29.829545454545453</v>
      </c>
      <c r="S93" s="143">
        <f t="shared" ref="S93" si="322">S20/S57</f>
        <v>13.920454545454545</v>
      </c>
      <c r="T93" s="118">
        <f t="shared" si="243"/>
        <v>-2.2836471805331215E-2</v>
      </c>
      <c r="U93" s="128"/>
      <c r="V93" s="145">
        <f t="shared" ref="V93:AE93" si="323">V20/V57</f>
        <v>14.329879679144385</v>
      </c>
      <c r="W93" s="145">
        <f t="shared" si="323"/>
        <v>14.751346728530986</v>
      </c>
      <c r="X93" s="145">
        <f t="shared" si="323"/>
        <v>15.185209867605428</v>
      </c>
      <c r="Y93" s="145">
        <f t="shared" si="323"/>
        <v>15.631833687240881</v>
      </c>
      <c r="Z93" s="145">
        <f t="shared" si="323"/>
        <v>16.091593501571495</v>
      </c>
      <c r="AA93" s="145">
        <f t="shared" si="323"/>
        <v>16.564875663382423</v>
      </c>
      <c r="AB93" s="145">
        <f t="shared" si="323"/>
        <v>17.052077888776026</v>
      </c>
      <c r="AC93" s="145">
        <f t="shared" si="323"/>
        <v>17.553609591387087</v>
      </c>
      <c r="AD93" s="145">
        <f t="shared" si="323"/>
        <v>18.069892226427886</v>
      </c>
      <c r="AE93" s="145">
        <f t="shared" si="323"/>
        <v>18.601359644852238</v>
      </c>
      <c r="AF93" s="137">
        <f t="shared" si="315"/>
        <v>-2.0369997675255713</v>
      </c>
      <c r="AG93" s="31">
        <f t="shared" si="16"/>
        <v>0.05</v>
      </c>
      <c r="AH93" s="145">
        <f t="shared" si="255"/>
        <v>150.24175097765269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4">G21/G57</f>
        <v>-10.204081632653061</v>
      </c>
      <c r="H94" s="143">
        <f t="shared" si="324"/>
        <v>-7.6530612244897958</v>
      </c>
      <c r="I94" s="143">
        <f t="shared" ref="I94:R94" si="325">I21/I57</f>
        <v>-18.367346938775512</v>
      </c>
      <c r="J94" s="143">
        <f t="shared" si="325"/>
        <v>-38.775510204081634</v>
      </c>
      <c r="K94" s="143">
        <f t="shared" si="325"/>
        <v>-1.5306122448979591</v>
      </c>
      <c r="L94" s="143">
        <f t="shared" si="325"/>
        <v>-7.4733096085409247</v>
      </c>
      <c r="M94" s="143">
        <f t="shared" si="325"/>
        <v>-5.6939501779359434</v>
      </c>
      <c r="N94" s="143">
        <f t="shared" si="325"/>
        <v>-12.811387900355871</v>
      </c>
      <c r="O94" s="143">
        <f t="shared" si="325"/>
        <v>86.832740213523124</v>
      </c>
      <c r="P94" s="143">
        <f t="shared" si="325"/>
        <v>-8.8967971530249113</v>
      </c>
      <c r="Q94" s="143">
        <f t="shared" si="325"/>
        <v>-4.8295454545454541</v>
      </c>
      <c r="R94" s="143">
        <f t="shared" si="325"/>
        <v>-1.4204545454545454</v>
      </c>
      <c r="S94" s="143">
        <f t="shared" ref="S94" si="326">S21/S57</f>
        <v>-2.8409090909090908</v>
      </c>
      <c r="T94" s="118">
        <f t="shared" si="243"/>
        <v>-0.10107467104526791</v>
      </c>
      <c r="U94" s="128"/>
      <c r="V94" s="145">
        <f t="shared" ref="V94:AE94" si="327">V21/V57</f>
        <v>-2.9244652406417111</v>
      </c>
      <c r="W94" s="145">
        <f t="shared" si="327"/>
        <v>-3.010478924189997</v>
      </c>
      <c r="X94" s="145">
        <f t="shared" si="327"/>
        <v>-3.0990224219602909</v>
      </c>
      <c r="Y94" s="145">
        <f t="shared" si="327"/>
        <v>-3.1901701402532407</v>
      </c>
      <c r="Z94" s="145">
        <f t="shared" si="327"/>
        <v>-3.2839986737901006</v>
      </c>
      <c r="AA94" s="145">
        <f t="shared" si="327"/>
        <v>-3.3805868700780453</v>
      </c>
      <c r="AB94" s="145">
        <f t="shared" si="327"/>
        <v>-3.4800158956685761</v>
      </c>
      <c r="AC94" s="145">
        <f t="shared" si="327"/>
        <v>-3.5823693043647111</v>
      </c>
      <c r="AD94" s="145">
        <f t="shared" si="327"/>
        <v>-3.6877331074342616</v>
      </c>
      <c r="AE94" s="145">
        <f t="shared" si="327"/>
        <v>-3.7961958458882106</v>
      </c>
      <c r="AF94" s="137">
        <f t="shared" si="315"/>
        <v>-7.2326091518774116E-2</v>
      </c>
      <c r="AG94" s="31">
        <f t="shared" si="16"/>
        <v>0.05</v>
      </c>
      <c r="AH94" s="145">
        <f t="shared" si="255"/>
        <v>-30.661581832174011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8">G22/G57</f>
        <v>-7.6530612244897958</v>
      </c>
      <c r="H95" s="143">
        <f t="shared" si="328"/>
        <v>14.795918367346939</v>
      </c>
      <c r="I95" s="143">
        <f t="shared" ref="I95:R95" si="329">I22/I57</f>
        <v>40.816326530612244</v>
      </c>
      <c r="J95" s="143">
        <f t="shared" si="329"/>
        <v>52.551020408163268</v>
      </c>
      <c r="K95" s="143">
        <f t="shared" si="329"/>
        <v>82.142857142857139</v>
      </c>
      <c r="L95" s="143">
        <f t="shared" si="329"/>
        <v>11.743772241992882</v>
      </c>
      <c r="M95" s="143">
        <f t="shared" si="329"/>
        <v>45.195729537366546</v>
      </c>
      <c r="N95" s="143">
        <f t="shared" si="329"/>
        <v>25.978647686832741</v>
      </c>
      <c r="O95" s="143">
        <f t="shared" si="329"/>
        <v>-34.87544483985765</v>
      </c>
      <c r="P95" s="143">
        <f t="shared" si="329"/>
        <v>-36.654804270462634</v>
      </c>
      <c r="Q95" s="143">
        <f t="shared" si="329"/>
        <v>7.9545454545454541</v>
      </c>
      <c r="R95" s="143">
        <f t="shared" si="329"/>
        <v>-28.40909090909091</v>
      </c>
      <c r="S95" s="143">
        <f t="shared" ref="S95" si="330">S22/S57</f>
        <v>-11.363636363636363</v>
      </c>
      <c r="T95" s="118">
        <f t="shared" si="243"/>
        <v>3.3491347485331557E-2</v>
      </c>
      <c r="U95" s="128"/>
      <c r="V95" s="145">
        <f t="shared" ref="V95:AE95" si="331">V22/V57</f>
        <v>-11.697860962566844</v>
      </c>
      <c r="W95" s="145">
        <f t="shared" si="331"/>
        <v>-12.041915696759988</v>
      </c>
      <c r="X95" s="145">
        <f t="shared" si="331"/>
        <v>-12.396089687841163</v>
      </c>
      <c r="Y95" s="145">
        <f t="shared" si="331"/>
        <v>-12.760680561012963</v>
      </c>
      <c r="Z95" s="145">
        <f t="shared" si="331"/>
        <v>-13.135994695160402</v>
      </c>
      <c r="AA95" s="145">
        <f t="shared" si="331"/>
        <v>-13.522347480312181</v>
      </c>
      <c r="AB95" s="145">
        <f t="shared" si="331"/>
        <v>-13.920063582674304</v>
      </c>
      <c r="AC95" s="145">
        <f t="shared" si="331"/>
        <v>-14.329477217458845</v>
      </c>
      <c r="AD95" s="145">
        <f t="shared" si="331"/>
        <v>-14.750932429737047</v>
      </c>
      <c r="AE95" s="145">
        <f t="shared" si="331"/>
        <v>-15.184783383552842</v>
      </c>
      <c r="AF95" s="137">
        <f t="shared" si="315"/>
        <v>-1.9540061524119876</v>
      </c>
      <c r="AG95" s="31">
        <f t="shared" si="16"/>
        <v>0.05</v>
      </c>
      <c r="AH95" s="145">
        <f t="shared" si="255"/>
        <v>-122.64632732869605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2">G23/G57</f>
        <v>2.5510204081632653</v>
      </c>
      <c r="H96" s="143">
        <f t="shared" si="332"/>
        <v>2.0408163265306123</v>
      </c>
      <c r="I96" s="143">
        <f t="shared" ref="I96:R96" si="333">I23/I57</f>
        <v>15.816326530612246</v>
      </c>
      <c r="J96" s="143">
        <f t="shared" si="333"/>
        <v>3.0612244897959182</v>
      </c>
      <c r="K96" s="143">
        <f t="shared" si="333"/>
        <v>15.816326530612246</v>
      </c>
      <c r="L96" s="143">
        <f t="shared" si="333"/>
        <v>1.8683274021352312</v>
      </c>
      <c r="M96" s="143">
        <f t="shared" si="333"/>
        <v>6.0498220640569391</v>
      </c>
      <c r="N96" s="143">
        <f t="shared" si="333"/>
        <v>4.2704626334519569</v>
      </c>
      <c r="O96" s="143">
        <f t="shared" si="333"/>
        <v>4.2704626334519569</v>
      </c>
      <c r="P96" s="143">
        <f t="shared" si="333"/>
        <v>4.9822064056939501</v>
      </c>
      <c r="Q96" s="143">
        <f t="shared" si="333"/>
        <v>2.2727272727272729</v>
      </c>
      <c r="R96" s="143">
        <f t="shared" si="333"/>
        <v>2.5568181818181817</v>
      </c>
      <c r="S96" s="143">
        <f t="shared" ref="S96" si="334">S23/S57</f>
        <v>1.9886363636363635</v>
      </c>
      <c r="T96" s="118">
        <f t="shared" si="243"/>
        <v>-2.0539814280306712E-2</v>
      </c>
      <c r="U96" s="128"/>
      <c r="V96" s="145">
        <f t="shared" ref="V96:AE96" si="335">V23/V57</f>
        <v>2.0471256684491981</v>
      </c>
      <c r="W96" s="145">
        <f t="shared" si="335"/>
        <v>2.107335246932998</v>
      </c>
      <c r="X96" s="145">
        <f t="shared" si="335"/>
        <v>2.1693156953722039</v>
      </c>
      <c r="Y96" s="145">
        <f t="shared" si="335"/>
        <v>2.2331190981772684</v>
      </c>
      <c r="Z96" s="145">
        <f t="shared" si="335"/>
        <v>2.2987990716530704</v>
      </c>
      <c r="AA96" s="145">
        <f t="shared" si="335"/>
        <v>2.3664108090546314</v>
      </c>
      <c r="AB96" s="145">
        <f t="shared" si="335"/>
        <v>2.4360111269680034</v>
      </c>
      <c r="AC96" s="145">
        <f t="shared" si="335"/>
        <v>2.5076585130552975</v>
      </c>
      <c r="AD96" s="145">
        <f t="shared" si="335"/>
        <v>2.5814131752039828</v>
      </c>
      <c r="AE96" s="145">
        <f t="shared" si="335"/>
        <v>2.6573370921217476</v>
      </c>
      <c r="AF96" s="137">
        <f t="shared" ref="AF96" si="336">((AE96/I96)^(1/($AE$3-$J$1) ))-1</f>
        <v>-8.1431649781250393E-2</v>
      </c>
      <c r="AG96" s="31">
        <f t="shared" si="16"/>
        <v>0.05</v>
      </c>
      <c r="AH96" s="145">
        <f t="shared" si="255"/>
        <v>21.463107282521808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488</v>
      </c>
      <c r="C98" s="143"/>
      <c r="D98" s="143"/>
      <c r="E98" s="143"/>
      <c r="F98" s="143"/>
      <c r="G98" s="143">
        <f t="shared" ref="G98:H98" si="337">G51/G57</f>
        <v>17.857142857142858</v>
      </c>
      <c r="H98" s="143">
        <f t="shared" si="337"/>
        <v>19.387755102040817</v>
      </c>
      <c r="I98" s="143">
        <f t="shared" ref="I98:R98" si="338">I51/I57</f>
        <v>23.979591836734695</v>
      </c>
      <c r="J98" s="143">
        <f t="shared" si="338"/>
        <v>31.632653061224492</v>
      </c>
      <c r="K98" s="143">
        <f t="shared" si="338"/>
        <v>38.775510204081634</v>
      </c>
      <c r="L98" s="143">
        <f t="shared" si="338"/>
        <v>39.501779359430607</v>
      </c>
      <c r="M98" s="143">
        <f t="shared" si="338"/>
        <v>38.078291814946617</v>
      </c>
      <c r="N98" s="143">
        <f t="shared" si="338"/>
        <v>45.907473309608541</v>
      </c>
      <c r="O98" s="143">
        <f t="shared" si="338"/>
        <v>11.743772241992882</v>
      </c>
      <c r="P98" s="143">
        <f t="shared" si="338"/>
        <v>42.348754448398573</v>
      </c>
      <c r="Q98" s="143">
        <f t="shared" si="338"/>
        <v>41.761363636363633</v>
      </c>
      <c r="R98" s="143">
        <f t="shared" si="338"/>
        <v>0.85227272727272729</v>
      </c>
      <c r="S98" s="143">
        <f t="shared" ref="S98" si="339">S51/S57</f>
        <v>33.522727272727273</v>
      </c>
      <c r="T98" s="118">
        <f t="shared" si="243"/>
        <v>5.3886757752024783E-2</v>
      </c>
      <c r="U98" s="128"/>
      <c r="V98" s="143">
        <f t="shared" ref="V98:AE98" si="340">V51/V57</f>
        <v>34.508689839572192</v>
      </c>
      <c r="W98" s="143">
        <f t="shared" si="340"/>
        <v>35.523651305441959</v>
      </c>
      <c r="X98" s="143">
        <f t="shared" si="340"/>
        <v>36.56846457913143</v>
      </c>
      <c r="Y98" s="143">
        <f t="shared" si="340"/>
        <v>37.644007654988243</v>
      </c>
      <c r="Z98" s="143">
        <f t="shared" si="340"/>
        <v>38.751184350723186</v>
      </c>
      <c r="AA98" s="143">
        <f t="shared" si="340"/>
        <v>39.890925066920929</v>
      </c>
      <c r="AB98" s="143">
        <f t="shared" si="340"/>
        <v>41.064187568889196</v>
      </c>
      <c r="AC98" s="143">
        <f t="shared" si="340"/>
        <v>42.271957791503581</v>
      </c>
      <c r="AD98" s="143">
        <f t="shared" si="340"/>
        <v>43.515250667724281</v>
      </c>
      <c r="AE98" s="143">
        <f t="shared" si="340"/>
        <v>44.795110981480882</v>
      </c>
      <c r="AF98" s="137">
        <f t="shared" ref="AF98:AF100" si="341">((AE98/I98)^(1/($AE$3-$J$1) ))-1</f>
        <v>3.0204108739363411E-2</v>
      </c>
      <c r="AG98" s="31">
        <f t="shared" si="16"/>
        <v>0.05</v>
      </c>
      <c r="AH98" s="145">
        <f t="shared" si="255"/>
        <v>361.8066656196533</v>
      </c>
    </row>
    <row r="99" spans="2:34">
      <c r="B99" s="20" t="s">
        <v>489</v>
      </c>
      <c r="C99" s="143"/>
      <c r="D99" s="143"/>
      <c r="E99" s="143"/>
      <c r="F99" s="143"/>
      <c r="G99" s="143">
        <f t="shared" ref="G99:H99" si="342">G55/G57</f>
        <v>6.6326530612244898</v>
      </c>
      <c r="H99" s="143">
        <f t="shared" si="342"/>
        <v>7.9081632653061229</v>
      </c>
      <c r="I99" s="143">
        <f t="shared" ref="I99:R99" si="343">I55/I57</f>
        <v>8.6734693877551017</v>
      </c>
      <c r="J99" s="143">
        <f t="shared" si="343"/>
        <v>10.714285714285715</v>
      </c>
      <c r="K99" s="143">
        <f t="shared" si="343"/>
        <v>2.5510204081632653</v>
      </c>
      <c r="L99" s="143">
        <f t="shared" si="343"/>
        <v>-6.0498220640569391</v>
      </c>
      <c r="M99" s="143">
        <f t="shared" si="343"/>
        <v>-2.4911032028469751</v>
      </c>
      <c r="N99" s="143">
        <f t="shared" si="343"/>
        <v>-3.2028469750889679</v>
      </c>
      <c r="O99" s="143">
        <f t="shared" si="343"/>
        <v>66.903914590747334</v>
      </c>
      <c r="P99" s="143">
        <f t="shared" si="343"/>
        <v>2.1352313167259784</v>
      </c>
      <c r="Q99" s="143">
        <f t="shared" si="343"/>
        <v>6.5340909090909092</v>
      </c>
      <c r="R99" s="143">
        <f t="shared" si="343"/>
        <v>-26.988636363636363</v>
      </c>
      <c r="S99" s="143">
        <f t="shared" ref="S99" si="344">S55/S57</f>
        <v>-6.8181818181818183</v>
      </c>
      <c r="T99" s="118" t="e">
        <f t="shared" si="243"/>
        <v>#NUM!</v>
      </c>
      <c r="U99" s="128"/>
      <c r="V99" s="143">
        <f t="shared" ref="V99:AE99" si="345">V55/V57</f>
        <v>-7.0187165775401068</v>
      </c>
      <c r="W99" s="143">
        <f t="shared" si="345"/>
        <v>-7.2251494180559934</v>
      </c>
      <c r="X99" s="143">
        <f t="shared" si="345"/>
        <v>-7.4376538127046983</v>
      </c>
      <c r="Y99" s="143">
        <f t="shared" si="345"/>
        <v>-7.656408336607778</v>
      </c>
      <c r="Z99" s="143">
        <f t="shared" si="345"/>
        <v>-7.8815968170962423</v>
      </c>
      <c r="AA99" s="143">
        <f t="shared" si="345"/>
        <v>-8.113408488187309</v>
      </c>
      <c r="AB99" s="143">
        <f t="shared" si="345"/>
        <v>-8.3520381496045832</v>
      </c>
      <c r="AC99" s="143">
        <f t="shared" si="345"/>
        <v>-8.5976863304753071</v>
      </c>
      <c r="AD99" s="143">
        <f t="shared" si="345"/>
        <v>-8.8505594578422286</v>
      </c>
      <c r="AE99" s="143">
        <f t="shared" si="345"/>
        <v>-9.1108700301317072</v>
      </c>
      <c r="AF99" s="137">
        <f t="shared" si="341"/>
        <v>-2.002345572210817</v>
      </c>
      <c r="AG99" s="31">
        <f t="shared" si="16"/>
        <v>0.05</v>
      </c>
      <c r="AH99" s="145">
        <f t="shared" si="255"/>
        <v>-73.587796397217645</v>
      </c>
    </row>
    <row r="100" spans="2:34">
      <c r="B100" s="20" t="s">
        <v>309</v>
      </c>
      <c r="C100" s="143"/>
      <c r="D100" s="143"/>
      <c r="E100" s="143"/>
      <c r="F100" s="143"/>
      <c r="G100" s="143">
        <f t="shared" ref="G100:H100" si="346">G6/G57</f>
        <v>38.265306122448983</v>
      </c>
      <c r="H100" s="143">
        <f t="shared" si="346"/>
        <v>43.877551020408163</v>
      </c>
      <c r="I100" s="143">
        <f t="shared" ref="I100:R100" si="347">I6/I57</f>
        <v>47.95918367346939</v>
      </c>
      <c r="J100" s="143">
        <f t="shared" si="347"/>
        <v>59.183673469387756</v>
      </c>
      <c r="K100" s="143">
        <f t="shared" si="347"/>
        <v>60.204081632653065</v>
      </c>
      <c r="L100" s="143">
        <f t="shared" si="347"/>
        <v>54.448398576512453</v>
      </c>
      <c r="M100" s="143">
        <f t="shared" si="347"/>
        <v>55.871886120996443</v>
      </c>
      <c r="N100" s="143">
        <f t="shared" si="347"/>
        <v>47.686832740213525</v>
      </c>
      <c r="O100" s="143">
        <f t="shared" si="347"/>
        <v>107.82918149466192</v>
      </c>
      <c r="P100" s="143">
        <f t="shared" si="347"/>
        <v>109.60854092526691</v>
      </c>
      <c r="Q100" s="143">
        <f t="shared" si="347"/>
        <v>122.15909090909091</v>
      </c>
      <c r="R100" s="143">
        <f t="shared" si="347"/>
        <v>94.88636363636364</v>
      </c>
      <c r="S100" s="143">
        <f t="shared" ref="S100" si="348">S6/S57</f>
        <v>87.5</v>
      </c>
      <c r="T100" s="118">
        <f t="shared" si="243"/>
        <v>7.1355421713822365E-2</v>
      </c>
      <c r="U100" s="128"/>
      <c r="V100" s="143">
        <f t="shared" ref="V100:AE100" si="349">V6/V57</f>
        <v>90.07352941176471</v>
      </c>
      <c r="W100" s="143">
        <f t="shared" si="349"/>
        <v>92.722750865051907</v>
      </c>
      <c r="X100" s="143">
        <f t="shared" si="349"/>
        <v>95.44989059637696</v>
      </c>
      <c r="Y100" s="143">
        <f t="shared" si="349"/>
        <v>98.25724031979982</v>
      </c>
      <c r="Z100" s="143">
        <f t="shared" si="349"/>
        <v>101.1471591527351</v>
      </c>
      <c r="AA100" s="143">
        <f t="shared" si="349"/>
        <v>104.1220755984038</v>
      </c>
      <c r="AB100" s="143">
        <f t="shared" si="349"/>
        <v>107.18448958659215</v>
      </c>
      <c r="AC100" s="143">
        <f t="shared" si="349"/>
        <v>110.3369745744331</v>
      </c>
      <c r="AD100" s="143">
        <f t="shared" si="349"/>
        <v>113.58217970897526</v>
      </c>
      <c r="AE100" s="143">
        <f t="shared" si="349"/>
        <v>116.92283205335688</v>
      </c>
      <c r="AF100" s="137">
        <f t="shared" si="341"/>
        <v>4.3349670049364963E-2</v>
      </c>
      <c r="AG100" s="31">
        <f t="shared" ref="AG100" si="350">$N$1</f>
        <v>0.05</v>
      </c>
      <c r="AH100" s="145">
        <f t="shared" si="255"/>
        <v>944.37672043095949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460</v>
      </c>
      <c r="C102" s="127"/>
      <c r="D102" s="127"/>
      <c r="E102" s="127"/>
      <c r="F102" s="127"/>
      <c r="G102" s="143">
        <f t="shared" ref="G102:H102" si="351">G55/$S$57</f>
        <v>3.6931818181818183</v>
      </c>
      <c r="H102" s="143">
        <f t="shared" si="351"/>
        <v>4.4034090909090908</v>
      </c>
      <c r="I102" s="143">
        <f t="shared" ref="I102:S102" si="352">I55/$S$57</f>
        <v>4.8295454545454541</v>
      </c>
      <c r="J102" s="143">
        <f t="shared" si="352"/>
        <v>5.9659090909090908</v>
      </c>
      <c r="K102" s="143">
        <f t="shared" si="352"/>
        <v>1.4204545454545454</v>
      </c>
      <c r="L102" s="143">
        <f t="shared" si="352"/>
        <v>-4.8295454545454541</v>
      </c>
      <c r="M102" s="143">
        <f t="shared" si="352"/>
        <v>-1.9886363636363635</v>
      </c>
      <c r="N102" s="143">
        <f t="shared" si="352"/>
        <v>-2.5568181818181817</v>
      </c>
      <c r="O102" s="143">
        <f t="shared" si="352"/>
        <v>53.409090909090907</v>
      </c>
      <c r="P102" s="143">
        <f t="shared" si="352"/>
        <v>1.7045454545454546</v>
      </c>
      <c r="Q102" s="143">
        <f t="shared" si="352"/>
        <v>6.5340909090909092</v>
      </c>
      <c r="R102" s="143">
        <f t="shared" si="352"/>
        <v>-26.988636363636363</v>
      </c>
      <c r="S102" s="143">
        <f t="shared" si="352"/>
        <v>-6.8181818181818183</v>
      </c>
      <c r="T102" s="118" t="e">
        <f t="shared" si="243"/>
        <v>#NUM!</v>
      </c>
      <c r="U102" s="128"/>
      <c r="V102" s="143">
        <f t="shared" ref="V102:AE102" si="353">V55/V57</f>
        <v>-7.0187165775401068</v>
      </c>
      <c r="W102" s="143">
        <f t="shared" si="353"/>
        <v>-7.2251494180559934</v>
      </c>
      <c r="X102" s="143">
        <f t="shared" si="353"/>
        <v>-7.4376538127046983</v>
      </c>
      <c r="Y102" s="143">
        <f t="shared" si="353"/>
        <v>-7.656408336607778</v>
      </c>
      <c r="Z102" s="143">
        <f t="shared" si="353"/>
        <v>-7.8815968170962423</v>
      </c>
      <c r="AA102" s="143">
        <f t="shared" si="353"/>
        <v>-8.113408488187309</v>
      </c>
      <c r="AB102" s="143">
        <f t="shared" si="353"/>
        <v>-8.3520381496045832</v>
      </c>
      <c r="AC102" s="143">
        <f t="shared" si="353"/>
        <v>-8.5976863304753071</v>
      </c>
      <c r="AD102" s="143">
        <f t="shared" si="353"/>
        <v>-8.8505594578422286</v>
      </c>
      <c r="AE102" s="143">
        <f t="shared" si="353"/>
        <v>-9.1108700301317072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307</v>
      </c>
      <c r="C105" s="150"/>
      <c r="D105" s="150"/>
      <c r="E105" s="150"/>
      <c r="F105" s="150"/>
      <c r="G105" s="150">
        <f t="shared" ref="G105:H105" si="354">G51/G25</f>
        <v>6.6793893129770993E-2</v>
      </c>
      <c r="H105" s="150">
        <f t="shared" si="354"/>
        <v>6.8716094032549732E-2</v>
      </c>
      <c r="I105" s="150">
        <f t="shared" ref="I105:R105" si="355">I51/I25</f>
        <v>7.9124579124579125E-2</v>
      </c>
      <c r="J105" s="150">
        <f t="shared" si="355"/>
        <v>8.7078651685393263E-2</v>
      </c>
      <c r="K105" s="150">
        <f t="shared" si="355"/>
        <v>9.3023255813953487E-2</v>
      </c>
      <c r="L105" s="150">
        <f t="shared" si="355"/>
        <v>0.14721485411140584</v>
      </c>
      <c r="M105" s="150">
        <f t="shared" si="355"/>
        <v>0.11263157894736842</v>
      </c>
      <c r="N105" s="150">
        <f t="shared" si="355"/>
        <v>0.11538461538461539</v>
      </c>
      <c r="O105" s="150">
        <f t="shared" si="355"/>
        <v>2.322308233638283E-2</v>
      </c>
      <c r="P105" s="150">
        <f t="shared" si="355"/>
        <v>9.7781429745275261E-2</v>
      </c>
      <c r="Q105" s="150">
        <f t="shared" si="355"/>
        <v>0.10598413842826243</v>
      </c>
      <c r="R105" s="150">
        <f t="shared" si="355"/>
        <v>2.2710068130204391E-3</v>
      </c>
      <c r="S105" s="150">
        <f t="shared" ref="S105" si="356">S51/S25</f>
        <v>9.4399999999999998E-2</v>
      </c>
      <c r="T105" s="118">
        <f t="shared" si="243"/>
        <v>2.9246984043441726E-2</v>
      </c>
      <c r="U105" s="150"/>
      <c r="V105" s="150">
        <f t="shared" ref="V105:AE105" si="357">V51/V25</f>
        <v>9.4399999999999998E-2</v>
      </c>
      <c r="W105" s="150">
        <f t="shared" si="357"/>
        <v>9.4399999999999998E-2</v>
      </c>
      <c r="X105" s="150">
        <f t="shared" si="357"/>
        <v>9.4399999999999998E-2</v>
      </c>
      <c r="Y105" s="150">
        <f t="shared" si="357"/>
        <v>9.4400000000000012E-2</v>
      </c>
      <c r="Z105" s="150">
        <f t="shared" si="357"/>
        <v>9.4399999999999998E-2</v>
      </c>
      <c r="AA105" s="150">
        <f t="shared" si="357"/>
        <v>9.4399999999999998E-2</v>
      </c>
      <c r="AB105" s="150">
        <f t="shared" si="357"/>
        <v>9.4399999999999998E-2</v>
      </c>
      <c r="AC105" s="150">
        <f t="shared" si="357"/>
        <v>9.4400000000000012E-2</v>
      </c>
      <c r="AD105" s="150">
        <f t="shared" si="357"/>
        <v>9.4400000000000012E-2</v>
      </c>
      <c r="AE105" s="150">
        <f t="shared" si="357"/>
        <v>9.4400000000000012E-2</v>
      </c>
      <c r="AF105" s="137">
        <f t="shared" ref="AF105:AF154" si="358">((AE105/I105)^(1/($AE$3-$J$1) ))-1</f>
        <v>8.4410220113295686E-3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59">G55/G25</f>
        <v>2.4809160305343511E-2</v>
      </c>
      <c r="H106" s="150">
        <f t="shared" si="359"/>
        <v>2.8028933092224231E-2</v>
      </c>
      <c r="I106" s="150">
        <f t="shared" ref="I106:R106" si="360">I55/I25</f>
        <v>2.8619528619528621E-2</v>
      </c>
      <c r="J106" s="150">
        <f t="shared" si="360"/>
        <v>2.9494382022471909E-2</v>
      </c>
      <c r="K106" s="150">
        <f t="shared" si="360"/>
        <v>6.1199510403916772E-3</v>
      </c>
      <c r="L106" s="150">
        <f t="shared" si="360"/>
        <v>-2.2546419098143235E-2</v>
      </c>
      <c r="M106" s="150">
        <f t="shared" si="360"/>
        <v>-7.3684210526315788E-3</v>
      </c>
      <c r="N106" s="150">
        <f t="shared" si="360"/>
        <v>-8.0500894454382833E-3</v>
      </c>
      <c r="O106" s="150">
        <f t="shared" si="360"/>
        <v>0.13230119634060522</v>
      </c>
      <c r="P106" s="150">
        <f t="shared" si="360"/>
        <v>4.9301561216105174E-3</v>
      </c>
      <c r="Q106" s="150">
        <f t="shared" si="360"/>
        <v>1.658255227108868E-2</v>
      </c>
      <c r="R106" s="150">
        <f t="shared" si="360"/>
        <v>-7.1915215745647243E-2</v>
      </c>
      <c r="S106" s="150">
        <f t="shared" ref="S106" si="361">S55/S25</f>
        <v>-1.9199999999999998E-2</v>
      </c>
      <c r="T106" s="118" t="e">
        <f t="shared" si="243"/>
        <v>#NUM!</v>
      </c>
      <c r="U106" s="150"/>
      <c r="V106" s="150">
        <f t="shared" ref="V106:AE106" si="362">V55/V25</f>
        <v>-1.9200000000000002E-2</v>
      </c>
      <c r="W106" s="150">
        <f t="shared" si="362"/>
        <v>-1.9200000000000002E-2</v>
      </c>
      <c r="X106" s="150">
        <f t="shared" si="362"/>
        <v>-1.9200000000000002E-2</v>
      </c>
      <c r="Y106" s="150">
        <f t="shared" si="362"/>
        <v>-1.9200000000000005E-2</v>
      </c>
      <c r="Z106" s="150">
        <f t="shared" si="362"/>
        <v>-1.9200000000000005E-2</v>
      </c>
      <c r="AA106" s="150">
        <f t="shared" si="362"/>
        <v>-1.9200000000000005E-2</v>
      </c>
      <c r="AB106" s="150">
        <f t="shared" si="362"/>
        <v>-1.9200000000000005E-2</v>
      </c>
      <c r="AC106" s="150">
        <f t="shared" si="362"/>
        <v>-1.9200000000000005E-2</v>
      </c>
      <c r="AD106" s="150">
        <f t="shared" si="362"/>
        <v>-1.9200000000000005E-2</v>
      </c>
      <c r="AE106" s="150">
        <f t="shared" si="362"/>
        <v>-1.9200000000000005E-2</v>
      </c>
      <c r="AF106" s="137">
        <f t="shared" si="358"/>
        <v>-1.9811709977411245</v>
      </c>
      <c r="AG106" s="145"/>
      <c r="AH106" s="145"/>
    </row>
    <row r="107" spans="2:34">
      <c r="B107" s="20" t="s">
        <v>354</v>
      </c>
      <c r="C107" s="150"/>
      <c r="D107" s="150"/>
      <c r="E107" s="150"/>
      <c r="F107" s="150"/>
      <c r="G107" s="150">
        <f t="shared" ref="G107:H107" si="363">G55/G7</f>
        <v>0.1368421052631579</v>
      </c>
      <c r="H107" s="150">
        <f t="shared" si="363"/>
        <v>0.14622641509433962</v>
      </c>
      <c r="I107" s="150">
        <f>I55/I7</f>
        <v>0.15044247787610621</v>
      </c>
      <c r="J107" s="150">
        <f t="shared" ref="J107:Q107" si="364">J55/J7</f>
        <v>0.15555555555555556</v>
      </c>
      <c r="K107" s="150">
        <f t="shared" si="364"/>
        <v>3.4246575342465752E-2</v>
      </c>
      <c r="L107" s="150">
        <f t="shared" si="364"/>
        <v>-9.0425531914893623E-2</v>
      </c>
      <c r="M107" s="150">
        <f t="shared" si="364"/>
        <v>-3.7634408602150539E-2</v>
      </c>
      <c r="N107" s="150">
        <f t="shared" si="364"/>
        <v>-5.5555555555555552E-2</v>
      </c>
      <c r="O107" s="150">
        <f t="shared" si="364"/>
        <v>0.5662650602409639</v>
      </c>
      <c r="P107" s="150">
        <f t="shared" si="364"/>
        <v>1.7857142857142856E-2</v>
      </c>
      <c r="Q107" s="150">
        <f t="shared" si="364"/>
        <v>4.9356223175965663E-2</v>
      </c>
      <c r="R107" s="150">
        <f t="shared" ref="R107:S107" si="365">R55/R7</f>
        <v>-0.25745257452574527</v>
      </c>
      <c r="S107" s="150">
        <f t="shared" si="365"/>
        <v>-6.9970845481049565E-2</v>
      </c>
      <c r="T107" s="118" t="e">
        <f t="shared" si="243"/>
        <v>#NUM!</v>
      </c>
      <c r="U107" s="20"/>
      <c r="V107" s="150">
        <f t="shared" ref="V107" si="366">V55/V7</f>
        <v>-6.9970845481049565E-2</v>
      </c>
      <c r="W107" s="150">
        <f t="shared" ref="W107:AE107" si="367">W55/W7</f>
        <v>-6.9970845481049565E-2</v>
      </c>
      <c r="X107" s="150">
        <f t="shared" si="367"/>
        <v>-6.9970845481049565E-2</v>
      </c>
      <c r="Y107" s="150">
        <f t="shared" si="367"/>
        <v>-6.9970845481049565E-2</v>
      </c>
      <c r="Z107" s="150">
        <f t="shared" si="367"/>
        <v>-6.9970845481049565E-2</v>
      </c>
      <c r="AA107" s="150">
        <f t="shared" si="367"/>
        <v>-6.9970845481049579E-2</v>
      </c>
      <c r="AB107" s="150">
        <f t="shared" si="367"/>
        <v>-6.9970845481049565E-2</v>
      </c>
      <c r="AC107" s="150">
        <f t="shared" si="367"/>
        <v>-6.9970845481049579E-2</v>
      </c>
      <c r="AD107" s="150">
        <f t="shared" si="367"/>
        <v>-6.9970845481049565E-2</v>
      </c>
      <c r="AE107" s="150">
        <f t="shared" si="367"/>
        <v>-6.9970845481049565E-2</v>
      </c>
      <c r="AF107" s="137">
        <f t="shared" si="358"/>
        <v>-1.9642039089234409</v>
      </c>
      <c r="AG107" s="145"/>
      <c r="AH107" s="145"/>
    </row>
    <row r="108" spans="2:34">
      <c r="B108" s="20" t="s">
        <v>355</v>
      </c>
      <c r="C108" s="150"/>
      <c r="D108" s="150"/>
      <c r="E108" s="150"/>
      <c r="F108" s="150"/>
      <c r="G108" s="150">
        <f t="shared" ref="G108:H108" si="368">(G55)/(G7+G10)</f>
        <v>3.9634146341463415E-2</v>
      </c>
      <c r="H108" s="150">
        <f t="shared" si="368"/>
        <v>4.1666666666666664E-2</v>
      </c>
      <c r="I108" s="150">
        <f>(I55)/(I7+I10)</f>
        <v>3.2755298651252408E-2</v>
      </c>
      <c r="J108" s="150">
        <f t="shared" ref="J108:Q108" si="369">(J55)/(J7+J10)</f>
        <v>3.2457496136012363E-2</v>
      </c>
      <c r="K108" s="150">
        <f t="shared" si="369"/>
        <v>6.2656641604010022E-3</v>
      </c>
      <c r="L108" s="150">
        <f t="shared" si="369"/>
        <v>-1.9953051643192488E-2</v>
      </c>
      <c r="M108" s="150">
        <f t="shared" si="369"/>
        <v>-7.2239422084623322E-3</v>
      </c>
      <c r="N108" s="150">
        <f t="shared" si="369"/>
        <v>-7.9787234042553185E-3</v>
      </c>
      <c r="O108" s="150">
        <f t="shared" si="369"/>
        <v>0.15198059822150364</v>
      </c>
      <c r="P108" s="150">
        <f t="shared" si="369"/>
        <v>4.8622366288492711E-3</v>
      </c>
      <c r="Q108" s="150">
        <f t="shared" si="369"/>
        <v>1.6323633782824698E-2</v>
      </c>
      <c r="R108" s="150">
        <f t="shared" ref="R108:S108" si="370">(R55)/(R7+R10)</f>
        <v>-7.445141065830721E-2</v>
      </c>
      <c r="S108" s="150">
        <f t="shared" si="370"/>
        <v>-1.8320610687022901E-2</v>
      </c>
      <c r="T108" s="118" t="e">
        <f t="shared" si="243"/>
        <v>#NUM!</v>
      </c>
      <c r="U108" s="20"/>
      <c r="V108" s="150">
        <f t="shared" ref="V108:AE108" si="371">(V55)/(V7+V10)</f>
        <v>-1.8320610687022901E-2</v>
      </c>
      <c r="W108" s="150">
        <f t="shared" si="371"/>
        <v>-1.8320610687022901E-2</v>
      </c>
      <c r="X108" s="150">
        <f t="shared" si="371"/>
        <v>-1.8320610687022905E-2</v>
      </c>
      <c r="Y108" s="150">
        <f t="shared" si="371"/>
        <v>-1.8320610687022901E-2</v>
      </c>
      <c r="Z108" s="150">
        <f t="shared" si="371"/>
        <v>-1.8320610687022901E-2</v>
      </c>
      <c r="AA108" s="150">
        <f t="shared" si="371"/>
        <v>-1.8320610687022905E-2</v>
      </c>
      <c r="AB108" s="150">
        <f t="shared" si="371"/>
        <v>-1.8320610687022905E-2</v>
      </c>
      <c r="AC108" s="150">
        <f t="shared" si="371"/>
        <v>-1.8320610687022901E-2</v>
      </c>
      <c r="AD108" s="150">
        <f t="shared" si="371"/>
        <v>-1.8320610687022905E-2</v>
      </c>
      <c r="AE108" s="150">
        <f t="shared" si="371"/>
        <v>-1.8320610687022901E-2</v>
      </c>
      <c r="AF108" s="137">
        <f t="shared" si="358"/>
        <v>-1.9727107879746351</v>
      </c>
      <c r="AG108" s="145"/>
      <c r="AH108" s="145"/>
    </row>
    <row r="109" spans="2:34">
      <c r="B109" s="20" t="s">
        <v>371</v>
      </c>
      <c r="C109" s="150"/>
      <c r="D109" s="150"/>
      <c r="E109" s="150"/>
      <c r="F109" s="150"/>
      <c r="G109" s="150">
        <f t="shared" ref="G109:H109" si="372">G20/G25</f>
        <v>6.8702290076335881E-2</v>
      </c>
      <c r="H109" s="150">
        <f t="shared" si="372"/>
        <v>-2.8933092224231464E-2</v>
      </c>
      <c r="I109" s="150">
        <f>I20/I25</f>
        <v>-2.8619528619528621E-2</v>
      </c>
      <c r="J109" s="150">
        <f t="shared" ref="J109:R109" si="373">J20/J25</f>
        <v>-7.1629213483146062E-2</v>
      </c>
      <c r="K109" s="150">
        <f t="shared" si="373"/>
        <v>-0.16156670746634028</v>
      </c>
      <c r="L109" s="150">
        <f t="shared" si="373"/>
        <v>-5.0397877984084884E-2</v>
      </c>
      <c r="M109" s="150">
        <f t="shared" si="373"/>
        <v>-0.10421052631578948</v>
      </c>
      <c r="N109" s="150">
        <f t="shared" si="373"/>
        <v>-3.5778175313059032E-2</v>
      </c>
      <c r="O109" s="150">
        <f t="shared" si="373"/>
        <v>-0.10204081632653061</v>
      </c>
      <c r="P109" s="150">
        <f t="shared" si="373"/>
        <v>0.10599835661462613</v>
      </c>
      <c r="Q109" s="150">
        <f t="shared" si="373"/>
        <v>-1.2256669069935111E-2</v>
      </c>
      <c r="R109" s="150">
        <f t="shared" si="373"/>
        <v>7.9485238455715368E-2</v>
      </c>
      <c r="S109" s="150">
        <f t="shared" ref="S109" si="374">S20/S25</f>
        <v>3.9199999999999999E-2</v>
      </c>
      <c r="T109" s="118">
        <f t="shared" si="243"/>
        <v>-4.5682463591350531E-2</v>
      </c>
      <c r="U109" s="20"/>
      <c r="V109" s="150">
        <f t="shared" ref="V109:AE109" si="375">V20/V25</f>
        <v>3.9199999999999999E-2</v>
      </c>
      <c r="W109" s="150">
        <f t="shared" si="375"/>
        <v>3.9200000000000006E-2</v>
      </c>
      <c r="X109" s="150">
        <f t="shared" si="375"/>
        <v>3.9200000000000006E-2</v>
      </c>
      <c r="Y109" s="150">
        <f t="shared" si="375"/>
        <v>3.9200000000000013E-2</v>
      </c>
      <c r="Z109" s="150">
        <f t="shared" si="375"/>
        <v>3.9200000000000013E-2</v>
      </c>
      <c r="AA109" s="150">
        <f t="shared" si="375"/>
        <v>3.9200000000000013E-2</v>
      </c>
      <c r="AB109" s="150">
        <f t="shared" si="375"/>
        <v>3.9200000000000013E-2</v>
      </c>
      <c r="AC109" s="150">
        <f t="shared" si="375"/>
        <v>3.920000000000002E-2</v>
      </c>
      <c r="AD109" s="150">
        <f t="shared" si="375"/>
        <v>3.920000000000002E-2</v>
      </c>
      <c r="AE109" s="150">
        <f t="shared" si="375"/>
        <v>3.9200000000000013E-2</v>
      </c>
      <c r="AF109" s="137">
        <f t="shared" si="358"/>
        <v>-2.0150931223412245</v>
      </c>
      <c r="AG109" s="145"/>
      <c r="AH109" s="145"/>
    </row>
    <row r="110" spans="2:34">
      <c r="B110" s="20" t="s">
        <v>423</v>
      </c>
      <c r="C110" s="150"/>
      <c r="D110" s="150"/>
      <c r="E110" s="150"/>
      <c r="F110" s="150"/>
      <c r="G110" s="150">
        <f t="shared" ref="G110:H110" si="376">G68/G25</f>
        <v>7.6335877862595417E-3</v>
      </c>
      <c r="H110" s="150">
        <f t="shared" si="376"/>
        <v>1.1754068716094032E-2</v>
      </c>
      <c r="I110" s="150">
        <f>I68/I25</f>
        <v>1.1784511784511785E-2</v>
      </c>
      <c r="J110" s="150">
        <f t="shared" ref="J110:R110" si="377">J68/J25</f>
        <v>1.2640449438202247E-2</v>
      </c>
      <c r="K110" s="150">
        <f t="shared" si="377"/>
        <v>0</v>
      </c>
      <c r="L110" s="150">
        <f t="shared" si="377"/>
        <v>-7.9575596816976128E-3</v>
      </c>
      <c r="M110" s="150">
        <f t="shared" si="377"/>
        <v>0</v>
      </c>
      <c r="N110" s="150">
        <f t="shared" si="377"/>
        <v>-8.0500894454382833E-3</v>
      </c>
      <c r="O110" s="150">
        <f t="shared" si="377"/>
        <v>2.8852920478536243E-2</v>
      </c>
      <c r="P110" s="150">
        <f t="shared" si="377"/>
        <v>4.9301561216105174E-3</v>
      </c>
      <c r="Q110" s="150">
        <f t="shared" si="377"/>
        <v>1.4419610670511895E-3</v>
      </c>
      <c r="R110" s="150">
        <f t="shared" si="377"/>
        <v>-1.8925056775170326E-2</v>
      </c>
      <c r="S110" s="150">
        <f t="shared" ref="S110" si="378">S68/S25</f>
        <v>1.6000000000000001E-3</v>
      </c>
      <c r="T110" s="118">
        <f t="shared" si="243"/>
        <v>-0.12209146105940882</v>
      </c>
      <c r="U110" s="20"/>
      <c r="V110" s="150">
        <f t="shared" ref="V110:AE110" si="379">V68/V25</f>
        <v>1.6000000000000012E-3</v>
      </c>
      <c r="W110" s="150">
        <f t="shared" si="379"/>
        <v>1.6000000000000014E-3</v>
      </c>
      <c r="X110" s="150">
        <f t="shared" si="379"/>
        <v>1.6000000000000018E-3</v>
      </c>
      <c r="Y110" s="150">
        <f t="shared" si="379"/>
        <v>1.6000000000000009E-3</v>
      </c>
      <c r="Z110" s="150">
        <f t="shared" si="379"/>
        <v>1.6000000000000014E-3</v>
      </c>
      <c r="AA110" s="150">
        <f t="shared" si="379"/>
        <v>1.600000000000004E-3</v>
      </c>
      <c r="AB110" s="150">
        <f t="shared" si="379"/>
        <v>1.6000000000000031E-3</v>
      </c>
      <c r="AC110" s="150">
        <f t="shared" si="379"/>
        <v>1.6000000000000064E-3</v>
      </c>
      <c r="AD110" s="150">
        <f t="shared" si="379"/>
        <v>1.6000000000000061E-3</v>
      </c>
      <c r="AE110" s="150">
        <f t="shared" si="379"/>
        <v>1.6000000000000066E-3</v>
      </c>
      <c r="AF110" s="137">
        <f t="shared" si="358"/>
        <v>-9.0704249805976911E-2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318</v>
      </c>
      <c r="C112" s="150"/>
      <c r="D112" s="150"/>
      <c r="E112" s="150"/>
      <c r="F112" s="150"/>
      <c r="G112" s="150">
        <f t="shared" ref="G112:H112" si="380">G29/G25</f>
        <v>2.6717557251908396E-2</v>
      </c>
      <c r="H112" s="150">
        <f t="shared" si="380"/>
        <v>2.1699819168173599E-2</v>
      </c>
      <c r="I112" s="150">
        <f>I29/I25</f>
        <v>2.5252525252525252E-2</v>
      </c>
      <c r="J112" s="150">
        <f t="shared" ref="J112:R112" si="381">J29/J25</f>
        <v>2.9494382022471909E-2</v>
      </c>
      <c r="K112" s="150">
        <f t="shared" si="381"/>
        <v>8.8127294981640153E-2</v>
      </c>
      <c r="L112" s="150">
        <f t="shared" si="381"/>
        <v>7.4270557029177717E-2</v>
      </c>
      <c r="M112" s="150">
        <f t="shared" si="381"/>
        <v>7.3684210526315783E-2</v>
      </c>
      <c r="N112" s="150">
        <f t="shared" si="381"/>
        <v>6.7978533094812166E-2</v>
      </c>
      <c r="O112" s="150">
        <f t="shared" si="381"/>
        <v>2.322308233638283E-2</v>
      </c>
      <c r="P112" s="150">
        <f t="shared" si="381"/>
        <v>9.7781429745275261E-2</v>
      </c>
      <c r="Q112" s="150">
        <f t="shared" si="381"/>
        <v>0.10598413842826243</v>
      </c>
      <c r="R112" s="150">
        <f t="shared" si="381"/>
        <v>7.9485238455715368E-2</v>
      </c>
      <c r="S112" s="150">
        <f t="shared" ref="S112" si="382">S29/S25</f>
        <v>8.3199999999999996E-2</v>
      </c>
      <c r="T112" s="118">
        <f t="shared" si="243"/>
        <v>9.9285623111369237E-2</v>
      </c>
      <c r="U112" s="20"/>
      <c r="V112" s="150">
        <f t="shared" ref="V112:AE112" si="383">V29/V25</f>
        <v>8.3199999999999996E-2</v>
      </c>
      <c r="W112" s="150">
        <f t="shared" si="383"/>
        <v>8.320000000000001E-2</v>
      </c>
      <c r="X112" s="150">
        <f t="shared" si="383"/>
        <v>8.320000000000001E-2</v>
      </c>
      <c r="Y112" s="150">
        <f t="shared" si="383"/>
        <v>8.3200000000000024E-2</v>
      </c>
      <c r="Z112" s="150">
        <f t="shared" si="383"/>
        <v>8.320000000000001E-2</v>
      </c>
      <c r="AA112" s="150">
        <f t="shared" si="383"/>
        <v>8.320000000000001E-2</v>
      </c>
      <c r="AB112" s="150">
        <f t="shared" si="383"/>
        <v>8.320000000000001E-2</v>
      </c>
      <c r="AC112" s="150">
        <f t="shared" si="383"/>
        <v>8.3200000000000024E-2</v>
      </c>
      <c r="AD112" s="150">
        <f t="shared" si="383"/>
        <v>8.320000000000001E-2</v>
      </c>
      <c r="AE112" s="150">
        <f t="shared" si="383"/>
        <v>8.3200000000000024E-2</v>
      </c>
      <c r="AF112" s="137">
        <f t="shared" si="358"/>
        <v>5.8419967504848236E-2</v>
      </c>
      <c r="AG112" s="145"/>
      <c r="AH112" s="145"/>
    </row>
    <row r="113" spans="1:34">
      <c r="B113" s="20" t="s">
        <v>364</v>
      </c>
      <c r="C113" s="150"/>
      <c r="D113" s="150"/>
      <c r="E113" s="150"/>
      <c r="F113" s="150"/>
      <c r="G113" s="150">
        <f t="shared" ref="G113:H113" si="384">G29/G51</f>
        <v>0.4</v>
      </c>
      <c r="H113" s="150">
        <f t="shared" si="384"/>
        <v>0.31578947368421051</v>
      </c>
      <c r="I113" s="150">
        <f>I29/I51</f>
        <v>0.31914893617021278</v>
      </c>
      <c r="J113" s="150">
        <f t="shared" ref="J113:R113" si="385">J29/J51</f>
        <v>0.33870967741935482</v>
      </c>
      <c r="K113" s="150">
        <f t="shared" si="385"/>
        <v>0.94736842105263153</v>
      </c>
      <c r="L113" s="150">
        <f t="shared" si="385"/>
        <v>0.50450450450450446</v>
      </c>
      <c r="M113" s="150">
        <f t="shared" si="385"/>
        <v>0.65420560747663548</v>
      </c>
      <c r="N113" s="150">
        <f t="shared" si="385"/>
        <v>0.58914728682170547</v>
      </c>
      <c r="O113" s="150">
        <f t="shared" si="385"/>
        <v>1</v>
      </c>
      <c r="P113" s="150">
        <f t="shared" si="385"/>
        <v>1</v>
      </c>
      <c r="Q113" s="150">
        <f t="shared" si="385"/>
        <v>1</v>
      </c>
      <c r="R113" s="150">
        <f t="shared" si="385"/>
        <v>35</v>
      </c>
      <c r="S113" s="150">
        <f t="shared" ref="S113" si="386">S29/S51</f>
        <v>0.88135593220338981</v>
      </c>
      <c r="T113" s="118">
        <f t="shared" si="243"/>
        <v>6.8048427786280952E-2</v>
      </c>
      <c r="U113" s="20"/>
      <c r="V113" s="150">
        <f t="shared" ref="V113:AE113" si="387">V29/V51</f>
        <v>0.88135593220338981</v>
      </c>
      <c r="W113" s="150">
        <f t="shared" si="387"/>
        <v>0.88135593220338992</v>
      </c>
      <c r="X113" s="150">
        <f t="shared" si="387"/>
        <v>0.88135593220338992</v>
      </c>
      <c r="Y113" s="150">
        <f t="shared" si="387"/>
        <v>0.88135593220338992</v>
      </c>
      <c r="Z113" s="150">
        <f t="shared" si="387"/>
        <v>0.88135593220338992</v>
      </c>
      <c r="AA113" s="150">
        <f t="shared" si="387"/>
        <v>0.88135593220338992</v>
      </c>
      <c r="AB113" s="150">
        <f t="shared" si="387"/>
        <v>0.88135593220339004</v>
      </c>
      <c r="AC113" s="150">
        <f t="shared" si="387"/>
        <v>0.88135593220339004</v>
      </c>
      <c r="AD113" s="150">
        <f t="shared" si="387"/>
        <v>0.88135593220338992</v>
      </c>
      <c r="AE113" s="150">
        <f t="shared" si="387"/>
        <v>0.88135593220339004</v>
      </c>
      <c r="AF113" s="137">
        <f t="shared" ref="AF113" si="388">((AE113/I113)^(1/($AE$3-$J$1) ))-1</f>
        <v>4.9560603349748433E-2</v>
      </c>
      <c r="AG113" s="145"/>
      <c r="AH113" s="145"/>
    </row>
    <row r="114" spans="1:34" ht="12" customHeight="1">
      <c r="B114" s="20" t="s">
        <v>363</v>
      </c>
      <c r="C114" s="150"/>
      <c r="D114" s="150"/>
      <c r="E114" s="150"/>
      <c r="F114" s="150"/>
      <c r="G114" s="169">
        <f t="shared" ref="G114:H114" si="389">G29/G55</f>
        <v>1.0769230769230769</v>
      </c>
      <c r="H114" s="169">
        <f t="shared" si="389"/>
        <v>0.77419354838709675</v>
      </c>
      <c r="I114" s="169">
        <f t="shared" ref="I114:R114" si="390">I29/I55</f>
        <v>0.88235294117647056</v>
      </c>
      <c r="J114" s="169">
        <f t="shared" si="390"/>
        <v>1</v>
      </c>
      <c r="K114" s="169">
        <f t="shared" si="390"/>
        <v>14.4</v>
      </c>
      <c r="L114" s="169">
        <f t="shared" si="390"/>
        <v>-3.2941176470588234</v>
      </c>
      <c r="M114" s="169">
        <f t="shared" si="390"/>
        <v>-10</v>
      </c>
      <c r="N114" s="169">
        <f t="shared" si="390"/>
        <v>-8.4444444444444446</v>
      </c>
      <c r="O114" s="169">
        <f t="shared" si="390"/>
        <v>0.17553191489361702</v>
      </c>
      <c r="P114" s="169">
        <f t="shared" si="390"/>
        <v>19.833333333333332</v>
      </c>
      <c r="Q114" s="169">
        <f t="shared" si="390"/>
        <v>6.3913043478260869</v>
      </c>
      <c r="R114" s="169">
        <f t="shared" si="390"/>
        <v>-1.1052631578947369</v>
      </c>
      <c r="S114" s="169">
        <f t="shared" ref="S114" si="391">S29/S55</f>
        <v>-4.333333333333333</v>
      </c>
      <c r="T114" s="118" t="e">
        <f t="shared" si="243"/>
        <v>#NUM!</v>
      </c>
      <c r="U114" s="20"/>
      <c r="V114" s="169">
        <f t="shared" ref="V114:AE114" si="392">V29/V55</f>
        <v>-4.333333333333333</v>
      </c>
      <c r="W114" s="169">
        <f t="shared" si="392"/>
        <v>-4.333333333333333</v>
      </c>
      <c r="X114" s="169">
        <f t="shared" si="392"/>
        <v>-4.333333333333333</v>
      </c>
      <c r="Y114" s="169">
        <f t="shared" si="392"/>
        <v>-4.333333333333333</v>
      </c>
      <c r="Z114" s="169">
        <f t="shared" si="392"/>
        <v>-4.333333333333333</v>
      </c>
      <c r="AA114" s="169">
        <f t="shared" si="392"/>
        <v>-4.333333333333333</v>
      </c>
      <c r="AB114" s="169">
        <f t="shared" si="392"/>
        <v>-4.333333333333333</v>
      </c>
      <c r="AC114" s="169">
        <f t="shared" si="392"/>
        <v>-4.333333333333333</v>
      </c>
      <c r="AD114" s="169">
        <f t="shared" si="392"/>
        <v>-4.333333333333333</v>
      </c>
      <c r="AE114" s="169">
        <f t="shared" si="392"/>
        <v>-4.333333333333333</v>
      </c>
      <c r="AF114" s="137">
        <f t="shared" ref="AF114" si="393">((AE114/I114)^(1/($AE$3-$J$1) ))-1</f>
        <v>-2.0787314035388</v>
      </c>
      <c r="AG114" s="145"/>
      <c r="AH114" s="145"/>
    </row>
    <row r="115" spans="1:34" ht="12" customHeight="1">
      <c r="B115" s="20" t="s">
        <v>320</v>
      </c>
      <c r="C115" s="150"/>
      <c r="D115" s="150"/>
      <c r="E115" s="150"/>
      <c r="F115" s="150"/>
      <c r="G115" s="169">
        <f t="shared" ref="G115:H115" si="394">G29/G12</f>
        <v>2.3333333333333335</v>
      </c>
      <c r="H115" s="169">
        <f t="shared" si="394"/>
        <v>3</v>
      </c>
      <c r="I115" s="169">
        <f t="shared" ref="I115:R115" si="395">I29/I12</f>
        <v>0.44117647058823528</v>
      </c>
      <c r="J115" s="169">
        <f t="shared" si="395"/>
        <v>2.625</v>
      </c>
      <c r="K115" s="169">
        <f t="shared" si="395"/>
        <v>2.1818181818181817</v>
      </c>
      <c r="L115" s="169">
        <f t="shared" si="395"/>
        <v>5.0909090909090908</v>
      </c>
      <c r="M115" s="169">
        <f t="shared" si="395"/>
        <v>2.6923076923076925</v>
      </c>
      <c r="N115" s="169">
        <f t="shared" si="395"/>
        <v>4</v>
      </c>
      <c r="O115" s="169">
        <f t="shared" si="395"/>
        <v>1.5714285714285714</v>
      </c>
      <c r="P115" s="169">
        <f t="shared" si="395"/>
        <v>5.1739130434782608</v>
      </c>
      <c r="Q115" s="169">
        <f t="shared" si="395"/>
        <v>6.3913043478260869</v>
      </c>
      <c r="R115" s="169">
        <f t="shared" si="395"/>
        <v>4.5652173913043477</v>
      </c>
      <c r="S115" s="169">
        <f t="shared" ref="S115" si="396">S29/S12</f>
        <v>8</v>
      </c>
      <c r="T115" s="118">
        <f t="shared" si="243"/>
        <v>0.10813524162822397</v>
      </c>
      <c r="U115" s="20"/>
      <c r="V115" s="150">
        <f t="shared" ref="V115:AE115" si="397">V29/V12</f>
        <v>8</v>
      </c>
      <c r="W115" s="150">
        <f t="shared" si="397"/>
        <v>8</v>
      </c>
      <c r="X115" s="150">
        <f t="shared" si="397"/>
        <v>8</v>
      </c>
      <c r="Y115" s="150">
        <f t="shared" si="397"/>
        <v>8</v>
      </c>
      <c r="Z115" s="150">
        <f t="shared" si="397"/>
        <v>8</v>
      </c>
      <c r="AA115" s="150">
        <f t="shared" si="397"/>
        <v>8</v>
      </c>
      <c r="AB115" s="150">
        <f t="shared" si="397"/>
        <v>8</v>
      </c>
      <c r="AC115" s="150">
        <f t="shared" si="397"/>
        <v>8</v>
      </c>
      <c r="AD115" s="150">
        <f t="shared" si="397"/>
        <v>8</v>
      </c>
      <c r="AE115" s="150">
        <f t="shared" si="397"/>
        <v>8</v>
      </c>
      <c r="AF115" s="137">
        <f t="shared" si="358"/>
        <v>0.14796198594047349</v>
      </c>
      <c r="AG115" s="145"/>
      <c r="AH115" s="145"/>
    </row>
    <row r="116" spans="1:34" ht="12" customHeight="1">
      <c r="B116" s="20" t="s">
        <v>365</v>
      </c>
      <c r="C116" s="150"/>
      <c r="D116" s="150"/>
      <c r="E116" s="150"/>
      <c r="F116" s="150"/>
      <c r="G116" s="169">
        <f t="shared" ref="G116:H116" si="398">G29/G23</f>
        <v>2.8</v>
      </c>
      <c r="H116" s="169">
        <f t="shared" si="398"/>
        <v>3</v>
      </c>
      <c r="I116" s="169">
        <f>I29/I23</f>
        <v>0.4838709677419355</v>
      </c>
      <c r="J116" s="169">
        <f t="shared" ref="J116:R116" si="399">J29/J23</f>
        <v>3.5</v>
      </c>
      <c r="K116" s="169">
        <f t="shared" si="399"/>
        <v>2.3225806451612905</v>
      </c>
      <c r="L116" s="169">
        <f t="shared" si="399"/>
        <v>10.666666666666666</v>
      </c>
      <c r="M116" s="169">
        <f t="shared" si="399"/>
        <v>4.117647058823529</v>
      </c>
      <c r="N116" s="169">
        <f t="shared" si="399"/>
        <v>6.333333333333333</v>
      </c>
      <c r="O116" s="169">
        <f t="shared" si="399"/>
        <v>2.75</v>
      </c>
      <c r="P116" s="169">
        <f t="shared" si="399"/>
        <v>8.5</v>
      </c>
      <c r="Q116" s="169">
        <f t="shared" si="399"/>
        <v>18.375</v>
      </c>
      <c r="R116" s="169">
        <f t="shared" si="399"/>
        <v>11.666666666666666</v>
      </c>
      <c r="S116" s="169">
        <f t="shared" ref="S116" si="400">S29/S23</f>
        <v>14.857142857142858</v>
      </c>
      <c r="T116" s="118">
        <f t="shared" si="243"/>
        <v>0.14920658449710733</v>
      </c>
      <c r="U116" s="20"/>
      <c r="V116" s="169">
        <f t="shared" ref="V116:AE116" si="401">V29/V23</f>
        <v>14.857142857142856</v>
      </c>
      <c r="W116" s="169">
        <f t="shared" si="401"/>
        <v>14.857142857142856</v>
      </c>
      <c r="X116" s="169">
        <f t="shared" si="401"/>
        <v>14.857142857142856</v>
      </c>
      <c r="Y116" s="169">
        <f t="shared" si="401"/>
        <v>14.857142857142858</v>
      </c>
      <c r="Z116" s="169">
        <f t="shared" si="401"/>
        <v>14.857142857142858</v>
      </c>
      <c r="AA116" s="169">
        <f t="shared" si="401"/>
        <v>14.857142857142859</v>
      </c>
      <c r="AB116" s="169">
        <f t="shared" si="401"/>
        <v>14.857142857142858</v>
      </c>
      <c r="AC116" s="169">
        <f t="shared" si="401"/>
        <v>14.857142857142858</v>
      </c>
      <c r="AD116" s="169">
        <f t="shared" si="401"/>
        <v>14.857142857142858</v>
      </c>
      <c r="AE116" s="169">
        <f t="shared" si="401"/>
        <v>14.857142857142858</v>
      </c>
      <c r="AF116" s="137">
        <f t="shared" ref="AF116" si="402">((AE116/I116)^(1/($AE$3-$J$1) ))-1</f>
        <v>0.17711615655425361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397</v>
      </c>
      <c r="C118" s="150"/>
      <c r="D118" s="150"/>
      <c r="E118" s="150"/>
      <c r="F118" s="150"/>
      <c r="G118" s="127">
        <f t="shared" ref="G118:H118" si="403">1/G112</f>
        <v>37.428571428571431</v>
      </c>
      <c r="H118" s="127">
        <f t="shared" si="403"/>
        <v>46.083333333333336</v>
      </c>
      <c r="I118" s="127">
        <f>1/I112</f>
        <v>39.6</v>
      </c>
      <c r="J118" s="127">
        <f t="shared" ref="J118:R118" si="404">1/J112</f>
        <v>33.904761904761905</v>
      </c>
      <c r="K118" s="127">
        <f t="shared" si="404"/>
        <v>11.347222222222221</v>
      </c>
      <c r="L118" s="127">
        <f t="shared" si="404"/>
        <v>13.464285714285715</v>
      </c>
      <c r="M118" s="127">
        <f t="shared" si="404"/>
        <v>13.571428571428573</v>
      </c>
      <c r="N118" s="127">
        <f t="shared" si="404"/>
        <v>14.710526315789473</v>
      </c>
      <c r="O118" s="127">
        <f t="shared" si="404"/>
        <v>43.060606060606055</v>
      </c>
      <c r="P118" s="127">
        <f t="shared" si="404"/>
        <v>10.226890756302522</v>
      </c>
      <c r="Q118" s="127">
        <f t="shared" si="404"/>
        <v>9.4353741496598644</v>
      </c>
      <c r="R118" s="127">
        <f t="shared" si="404"/>
        <v>12.580952380952381</v>
      </c>
      <c r="S118" s="127">
        <f t="shared" ref="S118" si="405">1/S112</f>
        <v>12.01923076923077</v>
      </c>
      <c r="T118" s="118">
        <f t="shared" si="243"/>
        <v>-9.0318313115344662E-2</v>
      </c>
      <c r="U118" s="20"/>
      <c r="V118" s="127">
        <f t="shared" ref="V118:AE118" si="406">1/V112</f>
        <v>12.01923076923077</v>
      </c>
      <c r="W118" s="127">
        <f t="shared" si="406"/>
        <v>12.019230769230768</v>
      </c>
      <c r="X118" s="127">
        <f t="shared" si="406"/>
        <v>12.019230769230768</v>
      </c>
      <c r="Y118" s="127">
        <f t="shared" si="406"/>
        <v>12.019230769230766</v>
      </c>
      <c r="Z118" s="127">
        <f t="shared" si="406"/>
        <v>12.019230769230768</v>
      </c>
      <c r="AA118" s="127">
        <f t="shared" si="406"/>
        <v>12.019230769230768</v>
      </c>
      <c r="AB118" s="127">
        <f t="shared" si="406"/>
        <v>12.019230769230768</v>
      </c>
      <c r="AC118" s="127">
        <f t="shared" si="406"/>
        <v>12.019230769230766</v>
      </c>
      <c r="AD118" s="127">
        <f t="shared" si="406"/>
        <v>12.019230769230768</v>
      </c>
      <c r="AE118" s="127">
        <f t="shared" si="406"/>
        <v>12.019230769230766</v>
      </c>
      <c r="AF118" s="137">
        <f t="shared" si="358"/>
        <v>-5.5195451048197008E-2</v>
      </c>
      <c r="AG118" s="145"/>
      <c r="AH118" s="145"/>
    </row>
    <row r="119" spans="1:34" ht="12" customHeight="1">
      <c r="B119" s="20" t="s">
        <v>398</v>
      </c>
      <c r="C119" s="150"/>
      <c r="D119" s="150"/>
      <c r="E119" s="150"/>
      <c r="F119" s="150"/>
      <c r="G119" s="127">
        <f t="shared" ref="G119:H119" si="407">1/G113</f>
        <v>2.5</v>
      </c>
      <c r="H119" s="127">
        <f t="shared" si="407"/>
        <v>3.166666666666667</v>
      </c>
      <c r="I119" s="127">
        <f t="shared" ref="I119:R122" si="408">1/I113</f>
        <v>3.1333333333333333</v>
      </c>
      <c r="J119" s="127">
        <f t="shared" si="408"/>
        <v>2.9523809523809526</v>
      </c>
      <c r="K119" s="127">
        <f t="shared" si="408"/>
        <v>1.0555555555555556</v>
      </c>
      <c r="L119" s="127">
        <f t="shared" si="408"/>
        <v>1.9821428571428574</v>
      </c>
      <c r="M119" s="127">
        <f t="shared" si="408"/>
        <v>1.5285714285714287</v>
      </c>
      <c r="N119" s="127">
        <f t="shared" si="408"/>
        <v>1.6973684210526314</v>
      </c>
      <c r="O119" s="127">
        <f t="shared" si="408"/>
        <v>1</v>
      </c>
      <c r="P119" s="127">
        <f t="shared" si="408"/>
        <v>1</v>
      </c>
      <c r="Q119" s="127">
        <f t="shared" si="408"/>
        <v>1</v>
      </c>
      <c r="R119" s="127">
        <f t="shared" si="408"/>
        <v>2.8571428571428571E-2</v>
      </c>
      <c r="S119" s="127">
        <f t="shared" ref="S119" si="409">1/S113</f>
        <v>1.1346153846153846</v>
      </c>
      <c r="T119" s="118">
        <f t="shared" si="243"/>
        <v>-6.3712867334417944E-2</v>
      </c>
      <c r="U119" s="20"/>
      <c r="V119" s="127">
        <f t="shared" ref="V119:AE119" si="410">1/V113</f>
        <v>1.1346153846153846</v>
      </c>
      <c r="W119" s="127">
        <f t="shared" si="410"/>
        <v>1.1346153846153846</v>
      </c>
      <c r="X119" s="127">
        <f t="shared" si="410"/>
        <v>1.1346153846153846</v>
      </c>
      <c r="Y119" s="127">
        <f t="shared" si="410"/>
        <v>1.1346153846153846</v>
      </c>
      <c r="Z119" s="127">
        <f t="shared" si="410"/>
        <v>1.1346153846153846</v>
      </c>
      <c r="AA119" s="127">
        <f t="shared" si="410"/>
        <v>1.1346153846153846</v>
      </c>
      <c r="AB119" s="127">
        <f t="shared" si="410"/>
        <v>1.1346153846153844</v>
      </c>
      <c r="AC119" s="127">
        <f t="shared" si="410"/>
        <v>1.1346153846153844</v>
      </c>
      <c r="AD119" s="127">
        <f t="shared" si="410"/>
        <v>1.1346153846153846</v>
      </c>
      <c r="AE119" s="127">
        <f t="shared" si="410"/>
        <v>1.1346153846153844</v>
      </c>
      <c r="AF119" s="137">
        <f t="shared" si="358"/>
        <v>-4.7220335054090512E-2</v>
      </c>
      <c r="AG119" s="145"/>
      <c r="AH119" s="145"/>
    </row>
    <row r="120" spans="1:34" ht="12" customHeight="1">
      <c r="B120" s="20" t="s">
        <v>399</v>
      </c>
      <c r="C120" s="150"/>
      <c r="D120" s="150"/>
      <c r="E120" s="150"/>
      <c r="F120" s="150"/>
      <c r="G120" s="127">
        <f t="shared" ref="G120:H120" si="411">1/G114</f>
        <v>0.9285714285714286</v>
      </c>
      <c r="H120" s="127">
        <f t="shared" si="411"/>
        <v>1.2916666666666667</v>
      </c>
      <c r="I120" s="127">
        <f t="shared" si="408"/>
        <v>1.1333333333333333</v>
      </c>
      <c r="J120" s="127">
        <f t="shared" si="408"/>
        <v>1</v>
      </c>
      <c r="K120" s="127">
        <f t="shared" si="408"/>
        <v>6.9444444444444448E-2</v>
      </c>
      <c r="L120" s="127">
        <f t="shared" si="408"/>
        <v>-0.3035714285714286</v>
      </c>
      <c r="M120" s="127">
        <f t="shared" si="408"/>
        <v>-0.1</v>
      </c>
      <c r="N120" s="127">
        <f t="shared" si="408"/>
        <v>-0.11842105263157894</v>
      </c>
      <c r="O120" s="127">
        <f t="shared" si="408"/>
        <v>5.6969696969696972</v>
      </c>
      <c r="P120" s="127">
        <f t="shared" si="408"/>
        <v>5.0420168067226892E-2</v>
      </c>
      <c r="Q120" s="127">
        <f t="shared" si="408"/>
        <v>0.15646258503401361</v>
      </c>
      <c r="R120" s="127">
        <f t="shared" si="408"/>
        <v>-0.90476190476190466</v>
      </c>
      <c r="S120" s="127">
        <f t="shared" ref="S120" si="412">1/S114</f>
        <v>-0.23076923076923078</v>
      </c>
      <c r="T120" s="118" t="e">
        <f t="shared" si="243"/>
        <v>#NUM!</v>
      </c>
      <c r="U120" s="20"/>
      <c r="V120" s="127">
        <f t="shared" ref="V120:AE120" si="413">1/V114</f>
        <v>-0.23076923076923078</v>
      </c>
      <c r="W120" s="127">
        <f t="shared" si="413"/>
        <v>-0.23076923076923078</v>
      </c>
      <c r="X120" s="127">
        <f t="shared" si="413"/>
        <v>-0.23076923076923078</v>
      </c>
      <c r="Y120" s="127">
        <f t="shared" si="413"/>
        <v>-0.23076923076923078</v>
      </c>
      <c r="Z120" s="127">
        <f t="shared" si="413"/>
        <v>-0.23076923076923078</v>
      </c>
      <c r="AA120" s="127">
        <f t="shared" si="413"/>
        <v>-0.23076923076923078</v>
      </c>
      <c r="AB120" s="127">
        <f t="shared" si="413"/>
        <v>-0.23076923076923078</v>
      </c>
      <c r="AC120" s="127">
        <f t="shared" si="413"/>
        <v>-0.23076923076923078</v>
      </c>
      <c r="AD120" s="127">
        <f t="shared" si="413"/>
        <v>-0.23076923076923078</v>
      </c>
      <c r="AE120" s="127">
        <f t="shared" si="413"/>
        <v>-0.23076923076923078</v>
      </c>
      <c r="AF120" s="137">
        <f t="shared" si="358"/>
        <v>-1.9270148219653938</v>
      </c>
      <c r="AG120" s="145"/>
      <c r="AH120" s="145"/>
    </row>
    <row r="121" spans="1:34" ht="12" customHeight="1">
      <c r="B121" s="20" t="s">
        <v>400</v>
      </c>
      <c r="C121" s="150"/>
      <c r="D121" s="150"/>
      <c r="E121" s="150"/>
      <c r="F121" s="150"/>
      <c r="G121" s="127">
        <f t="shared" ref="G121:H121" si="414">1/G115</f>
        <v>0.42857142857142855</v>
      </c>
      <c r="H121" s="127">
        <f t="shared" si="414"/>
        <v>0.33333333333333331</v>
      </c>
      <c r="I121" s="127">
        <f t="shared" si="408"/>
        <v>2.2666666666666666</v>
      </c>
      <c r="J121" s="127">
        <f t="shared" si="408"/>
        <v>0.38095238095238093</v>
      </c>
      <c r="K121" s="127">
        <f t="shared" si="408"/>
        <v>0.45833333333333337</v>
      </c>
      <c r="L121" s="127">
        <f t="shared" si="408"/>
        <v>0.19642857142857142</v>
      </c>
      <c r="M121" s="127">
        <f t="shared" si="408"/>
        <v>0.37142857142857139</v>
      </c>
      <c r="N121" s="127">
        <f t="shared" si="408"/>
        <v>0.25</v>
      </c>
      <c r="O121" s="127">
        <f t="shared" si="408"/>
        <v>0.63636363636363635</v>
      </c>
      <c r="P121" s="127">
        <f t="shared" si="408"/>
        <v>0.19327731092436976</v>
      </c>
      <c r="Q121" s="127">
        <f t="shared" si="408"/>
        <v>0.15646258503401361</v>
      </c>
      <c r="R121" s="127">
        <f t="shared" si="408"/>
        <v>0.21904761904761905</v>
      </c>
      <c r="S121" s="127">
        <f t="shared" ref="S121" si="415">1/S115</f>
        <v>0.125</v>
      </c>
      <c r="T121" s="118">
        <f t="shared" si="243"/>
        <v>-9.7583072504161983E-2</v>
      </c>
      <c r="U121" s="20"/>
      <c r="V121" s="127">
        <f t="shared" ref="V121:AE121" si="416">1/V115</f>
        <v>0.125</v>
      </c>
      <c r="W121" s="127">
        <f t="shared" si="416"/>
        <v>0.125</v>
      </c>
      <c r="X121" s="127">
        <f t="shared" si="416"/>
        <v>0.125</v>
      </c>
      <c r="Y121" s="127">
        <f t="shared" si="416"/>
        <v>0.125</v>
      </c>
      <c r="Z121" s="127">
        <f t="shared" si="416"/>
        <v>0.125</v>
      </c>
      <c r="AA121" s="127">
        <f t="shared" si="416"/>
        <v>0.125</v>
      </c>
      <c r="AB121" s="127">
        <f t="shared" si="416"/>
        <v>0.125</v>
      </c>
      <c r="AC121" s="127">
        <f t="shared" si="416"/>
        <v>0.125</v>
      </c>
      <c r="AD121" s="127">
        <f t="shared" si="416"/>
        <v>0.125</v>
      </c>
      <c r="AE121" s="127">
        <f t="shared" si="416"/>
        <v>0.125</v>
      </c>
      <c r="AF121" s="137">
        <f t="shared" si="358"/>
        <v>-0.12889101534076919</v>
      </c>
      <c r="AG121" s="145"/>
      <c r="AH121" s="145"/>
    </row>
    <row r="122" spans="1:34" ht="12" customHeight="1">
      <c r="B122" s="20" t="s">
        <v>401</v>
      </c>
      <c r="C122" s="150"/>
      <c r="D122" s="150"/>
      <c r="E122" s="150"/>
      <c r="F122" s="150"/>
      <c r="G122" s="127">
        <f t="shared" ref="G122:H122" si="417">1/G116</f>
        <v>0.35714285714285715</v>
      </c>
      <c r="H122" s="127">
        <f t="shared" si="417"/>
        <v>0.33333333333333331</v>
      </c>
      <c r="I122" s="127">
        <f t="shared" si="408"/>
        <v>2.0666666666666664</v>
      </c>
      <c r="J122" s="127">
        <f t="shared" si="408"/>
        <v>0.2857142857142857</v>
      </c>
      <c r="K122" s="127">
        <f t="shared" si="408"/>
        <v>0.43055555555555552</v>
      </c>
      <c r="L122" s="127">
        <f t="shared" si="408"/>
        <v>9.375E-2</v>
      </c>
      <c r="M122" s="127">
        <f t="shared" si="408"/>
        <v>0.24285714285714288</v>
      </c>
      <c r="N122" s="127">
        <f t="shared" si="408"/>
        <v>0.15789473684210528</v>
      </c>
      <c r="O122" s="127">
        <f t="shared" si="408"/>
        <v>0.36363636363636365</v>
      </c>
      <c r="P122" s="127">
        <f t="shared" si="408"/>
        <v>0.11764705882352941</v>
      </c>
      <c r="Q122" s="127">
        <f t="shared" si="408"/>
        <v>5.4421768707482991E-2</v>
      </c>
      <c r="R122" s="127">
        <f t="shared" si="408"/>
        <v>8.5714285714285715E-2</v>
      </c>
      <c r="S122" s="127">
        <f t="shared" ref="S122" si="418">1/S116</f>
        <v>6.7307692307692304E-2</v>
      </c>
      <c r="T122" s="118">
        <f t="shared" si="243"/>
        <v>-0.12983443230304859</v>
      </c>
      <c r="U122" s="20"/>
      <c r="V122" s="127">
        <f t="shared" ref="V122:AE122" si="419">1/V116</f>
        <v>6.7307692307692318E-2</v>
      </c>
      <c r="W122" s="127">
        <f t="shared" si="419"/>
        <v>6.7307692307692318E-2</v>
      </c>
      <c r="X122" s="127">
        <f t="shared" si="419"/>
        <v>6.7307692307692318E-2</v>
      </c>
      <c r="Y122" s="127">
        <f t="shared" si="419"/>
        <v>6.7307692307692304E-2</v>
      </c>
      <c r="Z122" s="127">
        <f t="shared" si="419"/>
        <v>6.7307692307692304E-2</v>
      </c>
      <c r="AA122" s="127">
        <f t="shared" si="419"/>
        <v>6.7307692307692291E-2</v>
      </c>
      <c r="AB122" s="127">
        <f t="shared" si="419"/>
        <v>6.7307692307692304E-2</v>
      </c>
      <c r="AC122" s="127">
        <f t="shared" si="419"/>
        <v>6.7307692307692304E-2</v>
      </c>
      <c r="AD122" s="127">
        <f t="shared" si="419"/>
        <v>6.7307692307692304E-2</v>
      </c>
      <c r="AE122" s="127">
        <f t="shared" si="419"/>
        <v>6.7307692307692304E-2</v>
      </c>
      <c r="AF122" s="137">
        <f t="shared" si="358"/>
        <v>-0.15046616730902906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475</v>
      </c>
      <c r="B124" s="200" t="s">
        <v>482</v>
      </c>
      <c r="C124" s="150"/>
      <c r="D124" s="150"/>
      <c r="E124" s="150"/>
      <c r="F124" s="150"/>
      <c r="G124" s="169" t="e">
        <f t="shared" ref="G124:H124" si="420">G25/(G36+G38)</f>
        <v>#DIV/0!</v>
      </c>
      <c r="H124" s="169" t="e">
        <f t="shared" si="420"/>
        <v>#DIV/0!</v>
      </c>
      <c r="I124" s="169" t="e">
        <f t="shared" ref="I124:S124" si="421">I25/(I36+I38)</f>
        <v>#DIV/0!</v>
      </c>
      <c r="J124" s="169" t="e">
        <f t="shared" si="421"/>
        <v>#DIV/0!</v>
      </c>
      <c r="K124" s="169" t="e">
        <f t="shared" si="421"/>
        <v>#DIV/0!</v>
      </c>
      <c r="L124" s="169" t="e">
        <f t="shared" si="421"/>
        <v>#DIV/0!</v>
      </c>
      <c r="M124" s="169" t="e">
        <f t="shared" si="421"/>
        <v>#DIV/0!</v>
      </c>
      <c r="N124" s="169" t="e">
        <f t="shared" si="421"/>
        <v>#DIV/0!</v>
      </c>
      <c r="O124" s="169" t="e">
        <f t="shared" si="421"/>
        <v>#DIV/0!</v>
      </c>
      <c r="P124" s="169" t="e">
        <f t="shared" si="421"/>
        <v>#DIV/0!</v>
      </c>
      <c r="Q124" s="169" t="e">
        <f t="shared" si="421"/>
        <v>#DIV/0!</v>
      </c>
      <c r="R124" s="169" t="e">
        <f t="shared" si="421"/>
        <v>#DIV/0!</v>
      </c>
      <c r="S124" s="169" t="e">
        <f t="shared" si="421"/>
        <v>#DIV/0!</v>
      </c>
      <c r="T124" s="118" t="e">
        <f t="shared" si="243"/>
        <v>#DIV/0!</v>
      </c>
      <c r="U124" s="20"/>
      <c r="V124" s="169" t="e">
        <f t="shared" ref="V124:AE124" si="422">V25/(V36+V38)</f>
        <v>#DIV/0!</v>
      </c>
      <c r="W124" s="169" t="e">
        <f t="shared" si="422"/>
        <v>#DIV/0!</v>
      </c>
      <c r="X124" s="169" t="e">
        <f t="shared" si="422"/>
        <v>#DIV/0!</v>
      </c>
      <c r="Y124" s="169" t="e">
        <f t="shared" si="422"/>
        <v>#DIV/0!</v>
      </c>
      <c r="Z124" s="169" t="e">
        <f t="shared" si="422"/>
        <v>#DIV/0!</v>
      </c>
      <c r="AA124" s="169" t="e">
        <f t="shared" si="422"/>
        <v>#DIV/0!</v>
      </c>
      <c r="AB124" s="169" t="e">
        <f t="shared" si="422"/>
        <v>#DIV/0!</v>
      </c>
      <c r="AC124" s="169" t="e">
        <f t="shared" si="422"/>
        <v>#DIV/0!</v>
      </c>
      <c r="AD124" s="169" t="e">
        <f t="shared" si="422"/>
        <v>#DIV/0!</v>
      </c>
      <c r="AE124" s="169" t="e">
        <f t="shared" si="422"/>
        <v>#DIV/0!</v>
      </c>
      <c r="AF124" s="137" t="e">
        <f t="shared" ref="AF124:AF132" si="423">((AE124/I124)^(1/($AE$3-$J$1) ))-1</f>
        <v>#DIV/0!</v>
      </c>
      <c r="AG124" s="145"/>
      <c r="AH124" s="145"/>
    </row>
    <row r="125" spans="1:34" ht="12" customHeight="1">
      <c r="A125" s="205"/>
      <c r="B125" s="200" t="s">
        <v>477</v>
      </c>
      <c r="C125" s="150"/>
      <c r="D125" s="150"/>
      <c r="E125" s="150"/>
      <c r="F125" s="150"/>
      <c r="G125" s="169" t="e">
        <f t="shared" ref="G125:H125" si="424">G25/G43</f>
        <v>#DIV/0!</v>
      </c>
      <c r="H125" s="169" t="e">
        <f t="shared" si="424"/>
        <v>#DIV/0!</v>
      </c>
      <c r="I125" s="169" t="e">
        <f t="shared" ref="I125:S125" si="425">I25/I43</f>
        <v>#DIV/0!</v>
      </c>
      <c r="J125" s="169" t="e">
        <f t="shared" si="425"/>
        <v>#DIV/0!</v>
      </c>
      <c r="K125" s="169" t="e">
        <f t="shared" si="425"/>
        <v>#DIV/0!</v>
      </c>
      <c r="L125" s="169" t="e">
        <f t="shared" si="425"/>
        <v>#DIV/0!</v>
      </c>
      <c r="M125" s="169" t="e">
        <f t="shared" si="425"/>
        <v>#DIV/0!</v>
      </c>
      <c r="N125" s="169" t="e">
        <f t="shared" si="425"/>
        <v>#DIV/0!</v>
      </c>
      <c r="O125" s="169" t="e">
        <f t="shared" si="425"/>
        <v>#DIV/0!</v>
      </c>
      <c r="P125" s="169" t="e">
        <f t="shared" si="425"/>
        <v>#DIV/0!</v>
      </c>
      <c r="Q125" s="169" t="e">
        <f t="shared" si="425"/>
        <v>#DIV/0!</v>
      </c>
      <c r="R125" s="169" t="e">
        <f t="shared" si="425"/>
        <v>#DIV/0!</v>
      </c>
      <c r="S125" s="169" t="e">
        <f t="shared" si="425"/>
        <v>#DIV/0!</v>
      </c>
      <c r="T125" s="118" t="e">
        <f t="shared" si="243"/>
        <v>#DIV/0!</v>
      </c>
      <c r="U125" s="20"/>
      <c r="V125" s="169" t="e">
        <f t="shared" ref="V125:AE125" si="426">V25/V43</f>
        <v>#DIV/0!</v>
      </c>
      <c r="W125" s="169" t="e">
        <f t="shared" si="426"/>
        <v>#DIV/0!</v>
      </c>
      <c r="X125" s="169" t="e">
        <f t="shared" si="426"/>
        <v>#DIV/0!</v>
      </c>
      <c r="Y125" s="169" t="e">
        <f t="shared" si="426"/>
        <v>#DIV/0!</v>
      </c>
      <c r="Z125" s="169" t="e">
        <f t="shared" si="426"/>
        <v>#DIV/0!</v>
      </c>
      <c r="AA125" s="169" t="e">
        <f t="shared" si="426"/>
        <v>#DIV/0!</v>
      </c>
      <c r="AB125" s="169" t="e">
        <f t="shared" si="426"/>
        <v>#DIV/0!</v>
      </c>
      <c r="AC125" s="169" t="e">
        <f t="shared" si="426"/>
        <v>#DIV/0!</v>
      </c>
      <c r="AD125" s="169" t="e">
        <f t="shared" si="426"/>
        <v>#DIV/0!</v>
      </c>
      <c r="AE125" s="169" t="e">
        <f t="shared" si="426"/>
        <v>#DIV/0!</v>
      </c>
      <c r="AF125" s="137" t="e">
        <f t="shared" si="423"/>
        <v>#DIV/0!</v>
      </c>
      <c r="AG125" s="145"/>
      <c r="AH125" s="145"/>
    </row>
    <row r="126" spans="1:34" ht="12" customHeight="1">
      <c r="A126" s="205"/>
      <c r="B126" s="200" t="s">
        <v>483</v>
      </c>
      <c r="C126" s="150"/>
      <c r="D126" s="150"/>
      <c r="E126" s="150"/>
      <c r="F126" s="150"/>
      <c r="G126" s="169" t="e">
        <f t="shared" ref="G126:H126" si="427">G43/(G36)</f>
        <v>#DIV/0!</v>
      </c>
      <c r="H126" s="169" t="e">
        <f t="shared" si="427"/>
        <v>#DIV/0!</v>
      </c>
      <c r="I126" s="169" t="e">
        <f t="shared" ref="I126:S126" si="428">I43/(I36)</f>
        <v>#DIV/0!</v>
      </c>
      <c r="J126" s="169" t="e">
        <f t="shared" si="428"/>
        <v>#DIV/0!</v>
      </c>
      <c r="K126" s="169" t="e">
        <f t="shared" si="428"/>
        <v>#DIV/0!</v>
      </c>
      <c r="L126" s="169" t="e">
        <f t="shared" si="428"/>
        <v>#DIV/0!</v>
      </c>
      <c r="M126" s="169" t="e">
        <f t="shared" si="428"/>
        <v>#DIV/0!</v>
      </c>
      <c r="N126" s="169" t="e">
        <f t="shared" si="428"/>
        <v>#DIV/0!</v>
      </c>
      <c r="O126" s="169" t="e">
        <f t="shared" si="428"/>
        <v>#DIV/0!</v>
      </c>
      <c r="P126" s="169" t="e">
        <f t="shared" si="428"/>
        <v>#DIV/0!</v>
      </c>
      <c r="Q126" s="169" t="e">
        <f t="shared" si="428"/>
        <v>#DIV/0!</v>
      </c>
      <c r="R126" s="169" t="e">
        <f t="shared" si="428"/>
        <v>#DIV/0!</v>
      </c>
      <c r="S126" s="169" t="e">
        <f t="shared" si="428"/>
        <v>#DIV/0!</v>
      </c>
      <c r="T126" s="118" t="e">
        <f t="shared" si="243"/>
        <v>#DIV/0!</v>
      </c>
      <c r="U126" s="20"/>
      <c r="V126" s="169" t="e">
        <f t="shared" ref="V126:AE126" si="429">V43/(V36+V38)</f>
        <v>#DIV/0!</v>
      </c>
      <c r="W126" s="169" t="e">
        <f t="shared" si="429"/>
        <v>#DIV/0!</v>
      </c>
      <c r="X126" s="169" t="e">
        <f t="shared" si="429"/>
        <v>#DIV/0!</v>
      </c>
      <c r="Y126" s="169" t="e">
        <f t="shared" si="429"/>
        <v>#DIV/0!</v>
      </c>
      <c r="Z126" s="169" t="e">
        <f t="shared" si="429"/>
        <v>#DIV/0!</v>
      </c>
      <c r="AA126" s="169" t="e">
        <f t="shared" si="429"/>
        <v>#DIV/0!</v>
      </c>
      <c r="AB126" s="169" t="e">
        <f t="shared" si="429"/>
        <v>#DIV/0!</v>
      </c>
      <c r="AC126" s="169" t="e">
        <f t="shared" si="429"/>
        <v>#DIV/0!</v>
      </c>
      <c r="AD126" s="169" t="e">
        <f t="shared" si="429"/>
        <v>#DIV/0!</v>
      </c>
      <c r="AE126" s="169" t="e">
        <f t="shared" si="429"/>
        <v>#DIV/0!</v>
      </c>
      <c r="AF126" s="137" t="e">
        <f t="shared" si="423"/>
        <v>#DIV/0!</v>
      </c>
      <c r="AG126" s="145"/>
      <c r="AH126" s="145"/>
    </row>
    <row r="127" spans="1:34" ht="12" customHeight="1">
      <c r="A127" s="205"/>
      <c r="B127" s="200" t="s">
        <v>481</v>
      </c>
      <c r="C127" s="150"/>
      <c r="D127" s="150"/>
      <c r="E127" s="150"/>
      <c r="F127" s="150"/>
      <c r="G127" s="169" t="e">
        <f t="shared" ref="G127:H127" si="430">G43/G38</f>
        <v>#DIV/0!</v>
      </c>
      <c r="H127" s="169" t="e">
        <f t="shared" si="430"/>
        <v>#DIV/0!</v>
      </c>
      <c r="I127" s="169" t="e">
        <f t="shared" ref="I127:S127" si="431">I43/I38</f>
        <v>#DIV/0!</v>
      </c>
      <c r="J127" s="169" t="e">
        <f t="shared" si="431"/>
        <v>#DIV/0!</v>
      </c>
      <c r="K127" s="169" t="e">
        <f t="shared" si="431"/>
        <v>#DIV/0!</v>
      </c>
      <c r="L127" s="169" t="e">
        <f t="shared" si="431"/>
        <v>#DIV/0!</v>
      </c>
      <c r="M127" s="169" t="e">
        <f t="shared" si="431"/>
        <v>#DIV/0!</v>
      </c>
      <c r="N127" s="169" t="e">
        <f t="shared" si="431"/>
        <v>#DIV/0!</v>
      </c>
      <c r="O127" s="169" t="e">
        <f t="shared" si="431"/>
        <v>#DIV/0!</v>
      </c>
      <c r="P127" s="169" t="e">
        <f t="shared" si="431"/>
        <v>#DIV/0!</v>
      </c>
      <c r="Q127" s="169" t="e">
        <f t="shared" si="431"/>
        <v>#DIV/0!</v>
      </c>
      <c r="R127" s="169" t="e">
        <f t="shared" si="431"/>
        <v>#DIV/0!</v>
      </c>
      <c r="S127" s="169" t="e">
        <f t="shared" si="431"/>
        <v>#DIV/0!</v>
      </c>
      <c r="T127" s="118" t="e">
        <f t="shared" si="243"/>
        <v>#DIV/0!</v>
      </c>
      <c r="U127" s="20"/>
      <c r="V127" s="169" t="e">
        <f t="shared" ref="V127:AE127" si="432">V43/V38</f>
        <v>#DIV/0!</v>
      </c>
      <c r="W127" s="169" t="e">
        <f t="shared" si="432"/>
        <v>#DIV/0!</v>
      </c>
      <c r="X127" s="169" t="e">
        <f t="shared" si="432"/>
        <v>#DIV/0!</v>
      </c>
      <c r="Y127" s="169" t="e">
        <f t="shared" si="432"/>
        <v>#DIV/0!</v>
      </c>
      <c r="Z127" s="169" t="e">
        <f t="shared" si="432"/>
        <v>#DIV/0!</v>
      </c>
      <c r="AA127" s="169" t="e">
        <f t="shared" si="432"/>
        <v>#DIV/0!</v>
      </c>
      <c r="AB127" s="169" t="e">
        <f t="shared" si="432"/>
        <v>#DIV/0!</v>
      </c>
      <c r="AC127" s="169" t="e">
        <f t="shared" si="432"/>
        <v>#DIV/0!</v>
      </c>
      <c r="AD127" s="169" t="e">
        <f t="shared" si="432"/>
        <v>#DIV/0!</v>
      </c>
      <c r="AE127" s="169" t="e">
        <f t="shared" si="432"/>
        <v>#DIV/0!</v>
      </c>
      <c r="AF127" s="137" t="e">
        <f t="shared" si="423"/>
        <v>#DIV/0!</v>
      </c>
      <c r="AG127" s="145"/>
      <c r="AH127" s="145"/>
    </row>
    <row r="128" spans="1:34" ht="12" customHeight="1">
      <c r="A128" s="205"/>
      <c r="B128" s="200" t="s">
        <v>480</v>
      </c>
      <c r="C128" s="150"/>
      <c r="D128" s="150"/>
      <c r="E128" s="150"/>
      <c r="F128" s="150"/>
      <c r="G128" s="169" t="e">
        <f t="shared" ref="G128:H128" si="433">G43/(G36+G38)</f>
        <v>#DIV/0!</v>
      </c>
      <c r="H128" s="169" t="e">
        <f t="shared" si="433"/>
        <v>#DIV/0!</v>
      </c>
      <c r="I128" s="169" t="e">
        <f t="shared" ref="I128:S128" si="434">I43/(I36+I38)</f>
        <v>#DIV/0!</v>
      </c>
      <c r="J128" s="169" t="e">
        <f t="shared" si="434"/>
        <v>#DIV/0!</v>
      </c>
      <c r="K128" s="169" t="e">
        <f t="shared" si="434"/>
        <v>#DIV/0!</v>
      </c>
      <c r="L128" s="169" t="e">
        <f t="shared" si="434"/>
        <v>#DIV/0!</v>
      </c>
      <c r="M128" s="169" t="e">
        <f t="shared" si="434"/>
        <v>#DIV/0!</v>
      </c>
      <c r="N128" s="169" t="e">
        <f t="shared" si="434"/>
        <v>#DIV/0!</v>
      </c>
      <c r="O128" s="169" t="e">
        <f t="shared" si="434"/>
        <v>#DIV/0!</v>
      </c>
      <c r="P128" s="169" t="e">
        <f t="shared" si="434"/>
        <v>#DIV/0!</v>
      </c>
      <c r="Q128" s="169" t="e">
        <f t="shared" si="434"/>
        <v>#DIV/0!</v>
      </c>
      <c r="R128" s="169" t="e">
        <f t="shared" si="434"/>
        <v>#DIV/0!</v>
      </c>
      <c r="S128" s="169" t="e">
        <f t="shared" si="434"/>
        <v>#DIV/0!</v>
      </c>
      <c r="T128" s="118" t="e">
        <f t="shared" si="243"/>
        <v>#DIV/0!</v>
      </c>
      <c r="U128" s="20"/>
      <c r="V128" s="169" t="e">
        <f t="shared" ref="V128:AE128" si="435">V43/(V36+V38)</f>
        <v>#DIV/0!</v>
      </c>
      <c r="W128" s="169" t="e">
        <f t="shared" si="435"/>
        <v>#DIV/0!</v>
      </c>
      <c r="X128" s="169" t="e">
        <f t="shared" si="435"/>
        <v>#DIV/0!</v>
      </c>
      <c r="Y128" s="169" t="e">
        <f t="shared" si="435"/>
        <v>#DIV/0!</v>
      </c>
      <c r="Z128" s="169" t="e">
        <f t="shared" si="435"/>
        <v>#DIV/0!</v>
      </c>
      <c r="AA128" s="169" t="e">
        <f t="shared" si="435"/>
        <v>#DIV/0!</v>
      </c>
      <c r="AB128" s="169" t="e">
        <f t="shared" si="435"/>
        <v>#DIV/0!</v>
      </c>
      <c r="AC128" s="169" t="e">
        <f t="shared" si="435"/>
        <v>#DIV/0!</v>
      </c>
      <c r="AD128" s="169" t="e">
        <f t="shared" si="435"/>
        <v>#DIV/0!</v>
      </c>
      <c r="AE128" s="169" t="e">
        <f t="shared" si="435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486</v>
      </c>
      <c r="C129" s="150"/>
      <c r="D129" s="150"/>
      <c r="E129" s="150"/>
      <c r="F129" s="150"/>
      <c r="G129" s="169">
        <f t="shared" ref="G129:H129" si="436">G47/G25</f>
        <v>0</v>
      </c>
      <c r="H129" s="169">
        <f t="shared" si="436"/>
        <v>0</v>
      </c>
      <c r="I129" s="169">
        <f t="shared" ref="I129:S129" si="437">I47/I25</f>
        <v>0</v>
      </c>
      <c r="J129" s="169">
        <f t="shared" si="437"/>
        <v>0</v>
      </c>
      <c r="K129" s="169">
        <f t="shared" si="437"/>
        <v>0</v>
      </c>
      <c r="L129" s="169">
        <f t="shared" si="437"/>
        <v>0</v>
      </c>
      <c r="M129" s="169">
        <f t="shared" si="437"/>
        <v>0</v>
      </c>
      <c r="N129" s="169">
        <f t="shared" si="437"/>
        <v>0</v>
      </c>
      <c r="O129" s="169">
        <f t="shared" si="437"/>
        <v>0</v>
      </c>
      <c r="P129" s="169">
        <f t="shared" si="437"/>
        <v>0</v>
      </c>
      <c r="Q129" s="169">
        <f t="shared" si="437"/>
        <v>0</v>
      </c>
      <c r="R129" s="169">
        <f t="shared" si="437"/>
        <v>0</v>
      </c>
      <c r="S129" s="169">
        <f t="shared" si="437"/>
        <v>0</v>
      </c>
      <c r="T129" s="118" t="e">
        <f t="shared" si="243"/>
        <v>#DIV/0!</v>
      </c>
      <c r="U129" s="20"/>
      <c r="V129" s="169">
        <f t="shared" ref="V129:AE129" si="438">V47/V25</f>
        <v>0</v>
      </c>
      <c r="W129" s="169">
        <f t="shared" si="438"/>
        <v>0</v>
      </c>
      <c r="X129" s="169">
        <f t="shared" si="438"/>
        <v>0</v>
      </c>
      <c r="Y129" s="169">
        <f t="shared" si="438"/>
        <v>0</v>
      </c>
      <c r="Z129" s="169">
        <f t="shared" si="438"/>
        <v>0</v>
      </c>
      <c r="AA129" s="169">
        <f t="shared" si="438"/>
        <v>0</v>
      </c>
      <c r="AB129" s="169">
        <f t="shared" si="438"/>
        <v>0</v>
      </c>
      <c r="AC129" s="169">
        <f t="shared" si="438"/>
        <v>0</v>
      </c>
      <c r="AD129" s="169">
        <f t="shared" si="438"/>
        <v>0</v>
      </c>
      <c r="AE129" s="169">
        <f t="shared" si="438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484</v>
      </c>
      <c r="C130" s="150"/>
      <c r="D130" s="150"/>
      <c r="E130" s="150"/>
      <c r="F130" s="150"/>
      <c r="G130" s="204" t="e">
        <f t="shared" ref="G130:H130" si="439">G55/G49</f>
        <v>#DIV/0!</v>
      </c>
      <c r="H130" s="204" t="e">
        <f t="shared" si="439"/>
        <v>#DIV/0!</v>
      </c>
      <c r="I130" s="204" t="e">
        <f t="shared" ref="I130:S130" si="440">I55/I49</f>
        <v>#DIV/0!</v>
      </c>
      <c r="J130" s="204" t="e">
        <f t="shared" si="440"/>
        <v>#DIV/0!</v>
      </c>
      <c r="K130" s="204" t="e">
        <f t="shared" si="440"/>
        <v>#DIV/0!</v>
      </c>
      <c r="L130" s="204" t="e">
        <f t="shared" si="440"/>
        <v>#DIV/0!</v>
      </c>
      <c r="M130" s="204" t="e">
        <f t="shared" si="440"/>
        <v>#DIV/0!</v>
      </c>
      <c r="N130" s="204" t="e">
        <f t="shared" si="440"/>
        <v>#DIV/0!</v>
      </c>
      <c r="O130" s="204" t="e">
        <f t="shared" si="440"/>
        <v>#DIV/0!</v>
      </c>
      <c r="P130" s="204" t="e">
        <f t="shared" si="440"/>
        <v>#DIV/0!</v>
      </c>
      <c r="Q130" s="204" t="e">
        <f t="shared" si="440"/>
        <v>#DIV/0!</v>
      </c>
      <c r="R130" s="204" t="e">
        <f t="shared" si="440"/>
        <v>#DIV/0!</v>
      </c>
      <c r="S130" s="204" t="e">
        <f t="shared" si="440"/>
        <v>#DIV/0!</v>
      </c>
      <c r="T130" s="118" t="e">
        <f t="shared" si="243"/>
        <v>#DIV/0!</v>
      </c>
      <c r="U130" s="20"/>
      <c r="V130" s="204" t="e">
        <f t="shared" ref="V130:AE130" si="441">V55/V49</f>
        <v>#DIV/0!</v>
      </c>
      <c r="W130" s="204" t="e">
        <f t="shared" si="441"/>
        <v>#DIV/0!</v>
      </c>
      <c r="X130" s="204" t="e">
        <f t="shared" si="441"/>
        <v>#DIV/0!</v>
      </c>
      <c r="Y130" s="204" t="e">
        <f t="shared" si="441"/>
        <v>#DIV/0!</v>
      </c>
      <c r="Z130" s="204" t="e">
        <f t="shared" si="441"/>
        <v>#DIV/0!</v>
      </c>
      <c r="AA130" s="204" t="e">
        <f t="shared" si="441"/>
        <v>#DIV/0!</v>
      </c>
      <c r="AB130" s="204" t="e">
        <f t="shared" si="441"/>
        <v>#DIV/0!</v>
      </c>
      <c r="AC130" s="204" t="e">
        <f t="shared" si="441"/>
        <v>#DIV/0!</v>
      </c>
      <c r="AD130" s="204" t="e">
        <f t="shared" si="441"/>
        <v>#DIV/0!</v>
      </c>
      <c r="AE130" s="204" t="e">
        <f t="shared" si="441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478</v>
      </c>
      <c r="C131" s="150"/>
      <c r="D131" s="150"/>
      <c r="E131" s="150"/>
      <c r="F131" s="150"/>
      <c r="G131" s="169" t="e">
        <f t="shared" ref="G131:H131" si="442">G55/G43</f>
        <v>#DIV/0!</v>
      </c>
      <c r="H131" s="169" t="e">
        <f t="shared" si="442"/>
        <v>#DIV/0!</v>
      </c>
      <c r="I131" s="169" t="e">
        <f t="shared" ref="I131:S131" si="443">I55/I43</f>
        <v>#DIV/0!</v>
      </c>
      <c r="J131" s="169" t="e">
        <f t="shared" si="443"/>
        <v>#DIV/0!</v>
      </c>
      <c r="K131" s="169" t="e">
        <f t="shared" si="443"/>
        <v>#DIV/0!</v>
      </c>
      <c r="L131" s="169" t="e">
        <f t="shared" si="443"/>
        <v>#DIV/0!</v>
      </c>
      <c r="M131" s="169" t="e">
        <f t="shared" si="443"/>
        <v>#DIV/0!</v>
      </c>
      <c r="N131" s="169" t="e">
        <f t="shared" si="443"/>
        <v>#DIV/0!</v>
      </c>
      <c r="O131" s="169" t="e">
        <f t="shared" si="443"/>
        <v>#DIV/0!</v>
      </c>
      <c r="P131" s="169" t="e">
        <f t="shared" si="443"/>
        <v>#DIV/0!</v>
      </c>
      <c r="Q131" s="169" t="e">
        <f t="shared" si="443"/>
        <v>#DIV/0!</v>
      </c>
      <c r="R131" s="169" t="e">
        <f t="shared" si="443"/>
        <v>#DIV/0!</v>
      </c>
      <c r="S131" s="169" t="e">
        <f t="shared" si="443"/>
        <v>#DIV/0!</v>
      </c>
      <c r="T131" s="118" t="e">
        <f t="shared" si="243"/>
        <v>#DIV/0!</v>
      </c>
      <c r="U131" s="20"/>
      <c r="V131" s="169" t="e">
        <f t="shared" ref="V131:AE131" si="444">V55/V43</f>
        <v>#DIV/0!</v>
      </c>
      <c r="W131" s="169" t="e">
        <f t="shared" si="444"/>
        <v>#DIV/0!</v>
      </c>
      <c r="X131" s="169" t="e">
        <f t="shared" si="444"/>
        <v>#DIV/0!</v>
      </c>
      <c r="Y131" s="169" t="e">
        <f t="shared" si="444"/>
        <v>#DIV/0!</v>
      </c>
      <c r="Z131" s="169" t="e">
        <f t="shared" si="444"/>
        <v>#DIV/0!</v>
      </c>
      <c r="AA131" s="169" t="e">
        <f t="shared" si="444"/>
        <v>#DIV/0!</v>
      </c>
      <c r="AB131" s="169" t="e">
        <f t="shared" si="444"/>
        <v>#DIV/0!</v>
      </c>
      <c r="AC131" s="169" t="e">
        <f t="shared" si="444"/>
        <v>#DIV/0!</v>
      </c>
      <c r="AD131" s="169" t="e">
        <f t="shared" si="444"/>
        <v>#DIV/0!</v>
      </c>
      <c r="AE131" s="169" t="e">
        <f t="shared" si="444"/>
        <v>#DIV/0!</v>
      </c>
      <c r="AF131" s="137" t="e">
        <f t="shared" si="423"/>
        <v>#DIV/0!</v>
      </c>
      <c r="AG131" s="145"/>
      <c r="AH131" s="145"/>
    </row>
    <row r="132" spans="1:34" ht="12" customHeight="1">
      <c r="A132" s="205"/>
      <c r="B132" s="200" t="s">
        <v>479</v>
      </c>
      <c r="C132" s="150"/>
      <c r="D132" s="150"/>
      <c r="E132" s="150"/>
      <c r="F132" s="150"/>
      <c r="G132" s="169" t="e">
        <f t="shared" ref="G132:H132" si="445">G55/(G36+G38)</f>
        <v>#DIV/0!</v>
      </c>
      <c r="H132" s="169" t="e">
        <f t="shared" si="445"/>
        <v>#DIV/0!</v>
      </c>
      <c r="I132" s="169" t="e">
        <f t="shared" ref="I132:S132" si="446">I55/(I36+I38)</f>
        <v>#DIV/0!</v>
      </c>
      <c r="J132" s="169" t="e">
        <f t="shared" si="446"/>
        <v>#DIV/0!</v>
      </c>
      <c r="K132" s="169" t="e">
        <f t="shared" si="446"/>
        <v>#DIV/0!</v>
      </c>
      <c r="L132" s="169" t="e">
        <f t="shared" si="446"/>
        <v>#DIV/0!</v>
      </c>
      <c r="M132" s="169" t="e">
        <f t="shared" si="446"/>
        <v>#DIV/0!</v>
      </c>
      <c r="N132" s="169" t="e">
        <f t="shared" si="446"/>
        <v>#DIV/0!</v>
      </c>
      <c r="O132" s="169" t="e">
        <f t="shared" si="446"/>
        <v>#DIV/0!</v>
      </c>
      <c r="P132" s="169" t="e">
        <f t="shared" si="446"/>
        <v>#DIV/0!</v>
      </c>
      <c r="Q132" s="169" t="e">
        <f t="shared" si="446"/>
        <v>#DIV/0!</v>
      </c>
      <c r="R132" s="169" t="e">
        <f t="shared" si="446"/>
        <v>#DIV/0!</v>
      </c>
      <c r="S132" s="169" t="e">
        <f t="shared" si="446"/>
        <v>#DIV/0!</v>
      </c>
      <c r="T132" s="118" t="e">
        <f t="shared" si="243"/>
        <v>#DIV/0!</v>
      </c>
      <c r="U132" s="20"/>
      <c r="V132" s="169" t="e">
        <f t="shared" ref="V132:AE132" si="447">V55/(V36+V38)</f>
        <v>#DIV/0!</v>
      </c>
      <c r="W132" s="169" t="e">
        <f t="shared" si="447"/>
        <v>#DIV/0!</v>
      </c>
      <c r="X132" s="169" t="e">
        <f t="shared" si="447"/>
        <v>#DIV/0!</v>
      </c>
      <c r="Y132" s="169" t="e">
        <f t="shared" si="447"/>
        <v>#DIV/0!</v>
      </c>
      <c r="Z132" s="169" t="e">
        <f t="shared" si="447"/>
        <v>#DIV/0!</v>
      </c>
      <c r="AA132" s="169" t="e">
        <f t="shared" si="447"/>
        <v>#DIV/0!</v>
      </c>
      <c r="AB132" s="169" t="e">
        <f t="shared" si="447"/>
        <v>#DIV/0!</v>
      </c>
      <c r="AC132" s="169" t="e">
        <f t="shared" si="447"/>
        <v>#DIV/0!</v>
      </c>
      <c r="AD132" s="169" t="e">
        <f t="shared" si="447"/>
        <v>#DIV/0!</v>
      </c>
      <c r="AE132" s="169" t="e">
        <f t="shared" si="447"/>
        <v>#DIV/0!</v>
      </c>
      <c r="AF132" s="137" t="e">
        <f t="shared" si="423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321</v>
      </c>
      <c r="C134" s="150"/>
      <c r="D134" s="150"/>
      <c r="E134" s="150"/>
      <c r="F134" s="150"/>
      <c r="G134" s="161">
        <f t="shared" ref="G134:H134" si="448">G10-(G12+G13)</f>
        <v>220</v>
      </c>
      <c r="H134" s="161">
        <f t="shared" si="448"/>
        <v>249</v>
      </c>
      <c r="I134" s="161">
        <f t="shared" ref="I134:S134" si="449">I10-(I12+I13)</f>
        <v>371.2</v>
      </c>
      <c r="J134" s="161">
        <f t="shared" si="449"/>
        <v>501</v>
      </c>
      <c r="K134" s="161">
        <f t="shared" si="449"/>
        <v>615</v>
      </c>
      <c r="L134" s="161">
        <f t="shared" si="449"/>
        <v>647</v>
      </c>
      <c r="M134" s="161">
        <f t="shared" si="449"/>
        <v>750</v>
      </c>
      <c r="N134" s="161">
        <f t="shared" si="449"/>
        <v>939</v>
      </c>
      <c r="O134" s="161">
        <f t="shared" si="449"/>
        <v>836</v>
      </c>
      <c r="P134" s="161">
        <f t="shared" si="449"/>
        <v>829</v>
      </c>
      <c r="Q134" s="161">
        <f t="shared" si="449"/>
        <v>876</v>
      </c>
      <c r="R134" s="161">
        <f t="shared" si="449"/>
        <v>840</v>
      </c>
      <c r="S134" s="161">
        <f t="shared" si="449"/>
        <v>911</v>
      </c>
      <c r="T134" s="118">
        <f t="shared" si="243"/>
        <v>0.12570511991701938</v>
      </c>
      <c r="U134" s="20"/>
      <c r="V134" s="161">
        <f t="shared" ref="V134:AE134" si="450">V10-(V12+V13)</f>
        <v>956.55000000000007</v>
      </c>
      <c r="W134" s="161">
        <f t="shared" si="450"/>
        <v>1004.3775000000001</v>
      </c>
      <c r="X134" s="161">
        <f t="shared" si="450"/>
        <v>1054.5963750000001</v>
      </c>
      <c r="Y134" s="161">
        <f t="shared" si="450"/>
        <v>1107.3261937500001</v>
      </c>
      <c r="Z134" s="161">
        <f t="shared" si="450"/>
        <v>1162.6925034375004</v>
      </c>
      <c r="AA134" s="161">
        <f t="shared" si="450"/>
        <v>1220.8271286093752</v>
      </c>
      <c r="AB134" s="161">
        <f t="shared" si="450"/>
        <v>1281.868485039844</v>
      </c>
      <c r="AC134" s="161">
        <f t="shared" si="450"/>
        <v>1345.9619092918363</v>
      </c>
      <c r="AD134" s="161">
        <f t="shared" si="450"/>
        <v>1413.2600047564283</v>
      </c>
      <c r="AE134" s="161">
        <f t="shared" si="450"/>
        <v>1483.9230049942496</v>
      </c>
      <c r="AF134" s="137">
        <f t="shared" si="358"/>
        <v>6.8211636863682035E-2</v>
      </c>
      <c r="AG134" s="145"/>
      <c r="AH134" s="145"/>
    </row>
    <row r="135" spans="1:34" ht="12" customHeight="1">
      <c r="B135" s="20" t="s">
        <v>316</v>
      </c>
      <c r="C135" s="20"/>
      <c r="D135" s="20"/>
      <c r="E135" s="20"/>
      <c r="F135" s="20"/>
      <c r="G135" s="150">
        <f t="shared" ref="G135:H135" si="451">G55/G18</f>
        <v>0.35135135135135137</v>
      </c>
      <c r="H135" s="150">
        <f t="shared" si="451"/>
        <v>0.36904761904761907</v>
      </c>
      <c r="I135" s="150">
        <f t="shared" ref="I135:S135" si="452">I55/I18</f>
        <v>0.20481927710843373</v>
      </c>
      <c r="J135" s="150">
        <f t="shared" si="452"/>
        <v>0.22105263157894736</v>
      </c>
      <c r="K135" s="150">
        <f t="shared" si="452"/>
        <v>4.9019607843137254E-2</v>
      </c>
      <c r="L135" s="150">
        <f t="shared" si="452"/>
        <v>-0.17525773195876287</v>
      </c>
      <c r="M135" s="150">
        <f t="shared" si="452"/>
        <v>-8.0459770114942528E-2</v>
      </c>
      <c r="N135" s="150">
        <f t="shared" si="452"/>
        <v>-9.8901098901098897E-2</v>
      </c>
      <c r="O135" s="150">
        <f t="shared" si="452"/>
        <v>1.825242718446602</v>
      </c>
      <c r="P135" s="150">
        <f t="shared" si="452"/>
        <v>4.3165467625899283E-2</v>
      </c>
      <c r="Q135" s="150">
        <f t="shared" si="452"/>
        <v>0.16312056737588654</v>
      </c>
      <c r="R135" s="150">
        <f t="shared" si="452"/>
        <v>-0.79166666666666663</v>
      </c>
      <c r="S135" s="150">
        <f t="shared" si="452"/>
        <v>-0.19834710743801653</v>
      </c>
      <c r="T135" s="118" t="e">
        <f t="shared" ref="T135:T167" si="453">((S135/G135)^(1/($J$2-$J$1) ))-1</f>
        <v>#NUM!</v>
      </c>
      <c r="U135" s="20"/>
      <c r="V135" s="150">
        <f t="shared" ref="V135:AE135" si="454">V55/V18</f>
        <v>-0.19834710743801653</v>
      </c>
      <c r="W135" s="150">
        <f t="shared" si="454"/>
        <v>-0.19834710743801656</v>
      </c>
      <c r="X135" s="150">
        <f t="shared" si="454"/>
        <v>-0.19834710743801653</v>
      </c>
      <c r="Y135" s="150">
        <f t="shared" si="454"/>
        <v>-0.19834710743801653</v>
      </c>
      <c r="Z135" s="150">
        <f t="shared" si="454"/>
        <v>-0.19834710743801656</v>
      </c>
      <c r="AA135" s="150">
        <f t="shared" si="454"/>
        <v>-0.19834710743801659</v>
      </c>
      <c r="AB135" s="150">
        <f t="shared" si="454"/>
        <v>-0.19834710743801656</v>
      </c>
      <c r="AC135" s="150">
        <f t="shared" si="454"/>
        <v>-0.19834710743801659</v>
      </c>
      <c r="AD135" s="150">
        <f t="shared" si="454"/>
        <v>-0.19834710743801659</v>
      </c>
      <c r="AE135" s="150">
        <f t="shared" si="454"/>
        <v>-0.19834710743801659</v>
      </c>
      <c r="AF135" s="137">
        <f t="shared" si="358"/>
        <v>-1.9984721468574165</v>
      </c>
      <c r="AG135" s="20"/>
      <c r="AH135" s="20"/>
    </row>
    <row r="136" spans="1:34">
      <c r="B136" s="20" t="s">
        <v>317</v>
      </c>
      <c r="C136" s="20"/>
      <c r="D136" s="20"/>
      <c r="E136" s="20"/>
      <c r="F136" s="20"/>
      <c r="G136" s="150">
        <f t="shared" ref="G136:H136" si="455">G55/G25</f>
        <v>2.4809160305343511E-2</v>
      </c>
      <c r="H136" s="150">
        <f t="shared" si="455"/>
        <v>2.8028933092224231E-2</v>
      </c>
      <c r="I136" s="150">
        <f t="shared" ref="I136:S136" si="456">I55/I25</f>
        <v>2.8619528619528621E-2</v>
      </c>
      <c r="J136" s="150">
        <f t="shared" si="456"/>
        <v>2.9494382022471909E-2</v>
      </c>
      <c r="K136" s="150">
        <f t="shared" si="456"/>
        <v>6.1199510403916772E-3</v>
      </c>
      <c r="L136" s="150">
        <f t="shared" si="456"/>
        <v>-2.2546419098143235E-2</v>
      </c>
      <c r="M136" s="150">
        <f t="shared" si="456"/>
        <v>-7.3684210526315788E-3</v>
      </c>
      <c r="N136" s="150">
        <f t="shared" si="456"/>
        <v>-8.0500894454382833E-3</v>
      </c>
      <c r="O136" s="150">
        <f t="shared" si="456"/>
        <v>0.13230119634060522</v>
      </c>
      <c r="P136" s="150">
        <f t="shared" si="456"/>
        <v>4.9301561216105174E-3</v>
      </c>
      <c r="Q136" s="150">
        <f t="shared" si="456"/>
        <v>1.658255227108868E-2</v>
      </c>
      <c r="R136" s="150">
        <f t="shared" si="456"/>
        <v>-7.1915215745647243E-2</v>
      </c>
      <c r="S136" s="150">
        <f t="shared" si="456"/>
        <v>-1.9199999999999998E-2</v>
      </c>
      <c r="T136" s="118" t="e">
        <f t="shared" si="453"/>
        <v>#NUM!</v>
      </c>
      <c r="U136" s="20"/>
      <c r="V136" s="150">
        <f t="shared" ref="V136:AE136" si="457">V55/V25</f>
        <v>-1.9200000000000002E-2</v>
      </c>
      <c r="W136" s="150">
        <f t="shared" si="457"/>
        <v>-1.9200000000000002E-2</v>
      </c>
      <c r="X136" s="150">
        <f t="shared" si="457"/>
        <v>-1.9200000000000002E-2</v>
      </c>
      <c r="Y136" s="150">
        <f t="shared" si="457"/>
        <v>-1.9200000000000005E-2</v>
      </c>
      <c r="Z136" s="150">
        <f t="shared" si="457"/>
        <v>-1.9200000000000005E-2</v>
      </c>
      <c r="AA136" s="150">
        <f t="shared" si="457"/>
        <v>-1.9200000000000005E-2</v>
      </c>
      <c r="AB136" s="150">
        <f t="shared" si="457"/>
        <v>-1.9200000000000005E-2</v>
      </c>
      <c r="AC136" s="150">
        <f t="shared" si="457"/>
        <v>-1.9200000000000005E-2</v>
      </c>
      <c r="AD136" s="150">
        <f t="shared" si="457"/>
        <v>-1.9200000000000005E-2</v>
      </c>
      <c r="AE136" s="150">
        <f t="shared" si="457"/>
        <v>-1.9200000000000005E-2</v>
      </c>
      <c r="AF136" s="137">
        <f t="shared" si="358"/>
        <v>-1.9811709977411245</v>
      </c>
      <c r="AG136" s="20"/>
      <c r="AH136" s="20"/>
    </row>
    <row r="137" spans="1:34">
      <c r="B137" s="20" t="s">
        <v>343</v>
      </c>
      <c r="C137" s="20"/>
      <c r="D137" s="20"/>
      <c r="E137" s="150"/>
      <c r="F137" s="150"/>
      <c r="G137" s="150">
        <f t="shared" ref="G137:H137" si="458">G25/G18</f>
        <v>14.162162162162161</v>
      </c>
      <c r="H137" s="150">
        <f t="shared" si="458"/>
        <v>13.166666666666666</v>
      </c>
      <c r="I137" s="150">
        <f t="shared" ref="I137:S137" si="459">I25/I18</f>
        <v>7.1566265060240966</v>
      </c>
      <c r="J137" s="150">
        <f t="shared" si="459"/>
        <v>7.4947368421052634</v>
      </c>
      <c r="K137" s="150">
        <f t="shared" si="459"/>
        <v>8.0098039215686274</v>
      </c>
      <c r="L137" s="150">
        <f t="shared" si="459"/>
        <v>7.7731958762886597</v>
      </c>
      <c r="M137" s="150">
        <f t="shared" si="459"/>
        <v>10.919540229885058</v>
      </c>
      <c r="N137" s="150">
        <f t="shared" si="459"/>
        <v>12.285714285714286</v>
      </c>
      <c r="O137" s="150">
        <f t="shared" si="459"/>
        <v>13.796116504854369</v>
      </c>
      <c r="P137" s="150">
        <f t="shared" si="459"/>
        <v>8.7553956834532372</v>
      </c>
      <c r="Q137" s="150">
        <f t="shared" si="459"/>
        <v>9.836879432624114</v>
      </c>
      <c r="R137" s="150">
        <f t="shared" si="459"/>
        <v>11.008333333333333</v>
      </c>
      <c r="S137" s="150">
        <f t="shared" si="459"/>
        <v>10.330578512396695</v>
      </c>
      <c r="T137" s="118">
        <f t="shared" si="453"/>
        <v>-2.5946248562428331E-2</v>
      </c>
      <c r="U137" s="20"/>
      <c r="V137" s="150">
        <f t="shared" ref="V137:AE137" si="460">V25/V18</f>
        <v>10.330578512396693</v>
      </c>
      <c r="W137" s="150">
        <f t="shared" si="460"/>
        <v>10.330578512396693</v>
      </c>
      <c r="X137" s="150">
        <f t="shared" si="460"/>
        <v>10.330578512396693</v>
      </c>
      <c r="Y137" s="150">
        <f t="shared" si="460"/>
        <v>10.330578512396691</v>
      </c>
      <c r="Z137" s="150">
        <f t="shared" si="460"/>
        <v>10.330578512396693</v>
      </c>
      <c r="AA137" s="150">
        <f t="shared" si="460"/>
        <v>10.330578512396693</v>
      </c>
      <c r="AB137" s="150">
        <f t="shared" si="460"/>
        <v>10.330578512396693</v>
      </c>
      <c r="AC137" s="150">
        <f t="shared" si="460"/>
        <v>10.330578512396695</v>
      </c>
      <c r="AD137" s="150">
        <f t="shared" si="460"/>
        <v>10.330578512396695</v>
      </c>
      <c r="AE137" s="150">
        <f t="shared" si="460"/>
        <v>10.330578512396695</v>
      </c>
      <c r="AF137" s="137">
        <f t="shared" si="358"/>
        <v>1.7633164001099599E-2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329</v>
      </c>
      <c r="C139" s="20"/>
      <c r="D139" s="20"/>
      <c r="E139" s="163"/>
      <c r="F139" s="163"/>
      <c r="G139" s="163">
        <f t="shared" ref="G139:H139" si="461">G88*G57</f>
        <v>2.94</v>
      </c>
      <c r="H139" s="163">
        <f t="shared" si="461"/>
        <v>3.92</v>
      </c>
      <c r="I139" s="163">
        <f t="shared" ref="I139:S139" si="462">I88*I57</f>
        <v>4.3120000000000003</v>
      </c>
      <c r="J139" s="163">
        <f t="shared" si="462"/>
        <v>1.96</v>
      </c>
      <c r="K139" s="163">
        <f t="shared" si="462"/>
        <v>0</v>
      </c>
      <c r="L139" s="163">
        <f t="shared" si="462"/>
        <v>0</v>
      </c>
      <c r="M139" s="163">
        <f t="shared" si="462"/>
        <v>0</v>
      </c>
      <c r="N139" s="163">
        <f t="shared" si="462"/>
        <v>0</v>
      </c>
      <c r="O139" s="163">
        <f t="shared" si="462"/>
        <v>0</v>
      </c>
      <c r="P139" s="163">
        <f t="shared" si="462"/>
        <v>0</v>
      </c>
      <c r="Q139" s="163">
        <f t="shared" si="462"/>
        <v>0</v>
      </c>
      <c r="R139" s="163">
        <f t="shared" si="462"/>
        <v>0</v>
      </c>
      <c r="S139" s="163">
        <f t="shared" si="462"/>
        <v>0</v>
      </c>
      <c r="T139" s="118">
        <f t="shared" si="453"/>
        <v>-1</v>
      </c>
      <c r="U139" s="20"/>
      <c r="V139" s="163">
        <f t="shared" ref="V139:AE139" si="463">V88*V57</f>
        <v>0</v>
      </c>
      <c r="W139" s="163">
        <f t="shared" si="463"/>
        <v>0</v>
      </c>
      <c r="X139" s="163">
        <f t="shared" si="463"/>
        <v>0</v>
      </c>
      <c r="Y139" s="163">
        <f t="shared" si="463"/>
        <v>0</v>
      </c>
      <c r="Z139" s="163">
        <f t="shared" si="463"/>
        <v>0</v>
      </c>
      <c r="AA139" s="163">
        <f t="shared" si="463"/>
        <v>0</v>
      </c>
      <c r="AB139" s="163">
        <f t="shared" si="463"/>
        <v>0</v>
      </c>
      <c r="AC139" s="163">
        <f t="shared" si="463"/>
        <v>0</v>
      </c>
      <c r="AD139" s="163">
        <f t="shared" si="463"/>
        <v>0</v>
      </c>
      <c r="AE139" s="163">
        <f t="shared" si="463"/>
        <v>0</v>
      </c>
      <c r="AF139" s="137">
        <f t="shared" si="358"/>
        <v>-1</v>
      </c>
      <c r="AG139" s="20"/>
      <c r="AH139" s="20"/>
    </row>
    <row r="140" spans="1:34">
      <c r="B140" s="20" t="s">
        <v>330</v>
      </c>
      <c r="C140" s="20"/>
      <c r="D140" s="20"/>
      <c r="E140" s="163"/>
      <c r="F140" s="163"/>
      <c r="G140" s="163">
        <f t="shared" ref="G140:H140" si="464">(G139*0.17)+G139</f>
        <v>3.4398</v>
      </c>
      <c r="H140" s="163">
        <f t="shared" si="464"/>
        <v>4.5864000000000003</v>
      </c>
      <c r="I140" s="163">
        <f t="shared" ref="I140:R140" si="465">(I139*0.17)+I139</f>
        <v>5.0450400000000002</v>
      </c>
      <c r="J140" s="163">
        <f t="shared" si="465"/>
        <v>2.2932000000000001</v>
      </c>
      <c r="K140" s="163">
        <f t="shared" si="465"/>
        <v>0</v>
      </c>
      <c r="L140" s="163">
        <f t="shared" si="465"/>
        <v>0</v>
      </c>
      <c r="M140" s="163">
        <f t="shared" si="465"/>
        <v>0</v>
      </c>
      <c r="N140" s="163">
        <f t="shared" si="465"/>
        <v>0</v>
      </c>
      <c r="O140" s="163">
        <f t="shared" si="465"/>
        <v>0</v>
      </c>
      <c r="P140" s="163">
        <f t="shared" si="465"/>
        <v>0</v>
      </c>
      <c r="Q140" s="163">
        <f t="shared" si="465"/>
        <v>0</v>
      </c>
      <c r="R140" s="163">
        <f t="shared" si="465"/>
        <v>0</v>
      </c>
      <c r="S140" s="163">
        <f t="shared" ref="S140" si="466">(S139*0.17)+S139</f>
        <v>0</v>
      </c>
      <c r="T140" s="118">
        <f t="shared" si="453"/>
        <v>-1</v>
      </c>
      <c r="U140" s="20"/>
      <c r="V140" s="163">
        <f t="shared" ref="V140:AE140" si="467">(V139*0.17)+V139</f>
        <v>0</v>
      </c>
      <c r="W140" s="163">
        <f t="shared" si="467"/>
        <v>0</v>
      </c>
      <c r="X140" s="163">
        <f t="shared" si="467"/>
        <v>0</v>
      </c>
      <c r="Y140" s="163">
        <f t="shared" si="467"/>
        <v>0</v>
      </c>
      <c r="Z140" s="163">
        <f t="shared" si="467"/>
        <v>0</v>
      </c>
      <c r="AA140" s="163">
        <f t="shared" si="467"/>
        <v>0</v>
      </c>
      <c r="AB140" s="163">
        <f t="shared" si="467"/>
        <v>0</v>
      </c>
      <c r="AC140" s="163">
        <f t="shared" si="467"/>
        <v>0</v>
      </c>
      <c r="AD140" s="163">
        <f t="shared" si="467"/>
        <v>0</v>
      </c>
      <c r="AE140" s="163">
        <f t="shared" si="467"/>
        <v>0</v>
      </c>
      <c r="AF140" s="137">
        <f t="shared" si="358"/>
        <v>-1</v>
      </c>
      <c r="AG140" s="20"/>
      <c r="AH140" s="20"/>
    </row>
    <row r="141" spans="1:34">
      <c r="B141" s="20" t="s">
        <v>331</v>
      </c>
      <c r="C141" s="20"/>
      <c r="D141" s="20"/>
      <c r="E141" s="20"/>
      <c r="F141" s="20"/>
      <c r="G141" s="150">
        <f t="shared" ref="G141:H141" si="468">G140/G55</f>
        <v>0.2646</v>
      </c>
      <c r="H141" s="150">
        <f t="shared" si="468"/>
        <v>0.29589677419354843</v>
      </c>
      <c r="I141" s="150">
        <f t="shared" ref="I141:S141" si="469">I140/I55</f>
        <v>0.29676705882352944</v>
      </c>
      <c r="J141" s="150">
        <f t="shared" si="469"/>
        <v>0.10920000000000001</v>
      </c>
      <c r="K141" s="150">
        <f t="shared" si="469"/>
        <v>0</v>
      </c>
      <c r="L141" s="150">
        <f t="shared" si="469"/>
        <v>0</v>
      </c>
      <c r="M141" s="150">
        <f t="shared" si="469"/>
        <v>0</v>
      </c>
      <c r="N141" s="150">
        <f t="shared" si="469"/>
        <v>0</v>
      </c>
      <c r="O141" s="150">
        <f t="shared" si="469"/>
        <v>0</v>
      </c>
      <c r="P141" s="150">
        <f t="shared" si="469"/>
        <v>0</v>
      </c>
      <c r="Q141" s="150">
        <f t="shared" si="469"/>
        <v>0</v>
      </c>
      <c r="R141" s="150">
        <f t="shared" si="469"/>
        <v>0</v>
      </c>
      <c r="S141" s="150">
        <f t="shared" si="469"/>
        <v>0</v>
      </c>
      <c r="T141" s="118">
        <f t="shared" si="453"/>
        <v>-1</v>
      </c>
      <c r="U141" s="20"/>
      <c r="V141" s="150">
        <f t="shared" ref="V141:AE141" si="470">V140/V55</f>
        <v>0</v>
      </c>
      <c r="W141" s="150">
        <f t="shared" si="470"/>
        <v>0</v>
      </c>
      <c r="X141" s="150">
        <f t="shared" si="470"/>
        <v>0</v>
      </c>
      <c r="Y141" s="150">
        <f t="shared" si="470"/>
        <v>0</v>
      </c>
      <c r="Z141" s="150">
        <f t="shared" si="470"/>
        <v>0</v>
      </c>
      <c r="AA141" s="150">
        <f t="shared" si="470"/>
        <v>0</v>
      </c>
      <c r="AB141" s="150">
        <f t="shared" si="470"/>
        <v>0</v>
      </c>
      <c r="AC141" s="150">
        <f t="shared" si="470"/>
        <v>0</v>
      </c>
      <c r="AD141" s="150">
        <f t="shared" si="470"/>
        <v>0</v>
      </c>
      <c r="AE141" s="150">
        <f t="shared" si="470"/>
        <v>0</v>
      </c>
      <c r="AF141" s="137">
        <f t="shared" si="358"/>
        <v>-1</v>
      </c>
      <c r="AG141" s="20"/>
      <c r="AH141" s="20"/>
    </row>
    <row r="142" spans="1:34">
      <c r="B142" s="20" t="s">
        <v>324</v>
      </c>
      <c r="C142" s="20"/>
      <c r="D142" s="20"/>
      <c r="E142" s="20"/>
      <c r="F142" s="20"/>
      <c r="G142" s="150">
        <f t="shared" ref="G142:H142" si="471">1-G141</f>
        <v>0.73540000000000005</v>
      </c>
      <c r="H142" s="150">
        <f t="shared" si="471"/>
        <v>0.70410322580645157</v>
      </c>
      <c r="I142" s="150">
        <f>1-I141</f>
        <v>0.70323294117647062</v>
      </c>
      <c r="J142" s="150">
        <f t="shared" ref="J142:R142" si="472">1-J141</f>
        <v>0.89080000000000004</v>
      </c>
      <c r="K142" s="150">
        <f t="shared" si="472"/>
        <v>1</v>
      </c>
      <c r="L142" s="150">
        <f t="shared" si="472"/>
        <v>1</v>
      </c>
      <c r="M142" s="150">
        <f t="shared" si="472"/>
        <v>1</v>
      </c>
      <c r="N142" s="150">
        <f t="shared" si="472"/>
        <v>1</v>
      </c>
      <c r="O142" s="150">
        <f t="shared" si="472"/>
        <v>1</v>
      </c>
      <c r="P142" s="150">
        <f t="shared" si="472"/>
        <v>1</v>
      </c>
      <c r="Q142" s="150">
        <f t="shared" si="472"/>
        <v>1</v>
      </c>
      <c r="R142" s="150">
        <f t="shared" si="472"/>
        <v>1</v>
      </c>
      <c r="S142" s="150">
        <f t="shared" ref="S142" si="473">1-S141</f>
        <v>1</v>
      </c>
      <c r="T142" s="118">
        <f t="shared" si="453"/>
        <v>2.5942524160728064E-2</v>
      </c>
      <c r="U142" s="20"/>
      <c r="V142" s="150">
        <f t="shared" ref="V142:AE142" si="474">1-V141</f>
        <v>1</v>
      </c>
      <c r="W142" s="150">
        <f t="shared" si="474"/>
        <v>1</v>
      </c>
      <c r="X142" s="150">
        <f t="shared" si="474"/>
        <v>1</v>
      </c>
      <c r="Y142" s="150">
        <f t="shared" si="474"/>
        <v>1</v>
      </c>
      <c r="Z142" s="150">
        <f t="shared" si="474"/>
        <v>1</v>
      </c>
      <c r="AA142" s="150">
        <f t="shared" si="474"/>
        <v>1</v>
      </c>
      <c r="AB142" s="150">
        <f t="shared" si="474"/>
        <v>1</v>
      </c>
      <c r="AC142" s="150">
        <f t="shared" si="474"/>
        <v>1</v>
      </c>
      <c r="AD142" s="150">
        <f t="shared" si="474"/>
        <v>1</v>
      </c>
      <c r="AE142" s="150">
        <f t="shared" si="474"/>
        <v>1</v>
      </c>
      <c r="AF142" s="137">
        <f t="shared" si="358"/>
        <v>1.6906422417736655E-2</v>
      </c>
      <c r="AG142" s="20"/>
      <c r="AH142" s="20"/>
    </row>
    <row r="143" spans="1:34">
      <c r="B143" s="20" t="s">
        <v>445</v>
      </c>
      <c r="C143" s="20"/>
      <c r="D143" s="20"/>
      <c r="E143" s="20"/>
      <c r="F143" s="20"/>
      <c r="G143" s="150">
        <f t="shared" ref="G143:H143" si="475">G140/G20</f>
        <v>9.5549999999999996E-2</v>
      </c>
      <c r="H143" s="150">
        <f t="shared" si="475"/>
        <v>-0.28665000000000002</v>
      </c>
      <c r="I143" s="150">
        <f t="shared" ref="I143:S143" si="476">I140/I20</f>
        <v>-0.29676705882352944</v>
      </c>
      <c r="J143" s="150">
        <f t="shared" si="476"/>
        <v>-4.4964705882352941E-2</v>
      </c>
      <c r="K143" s="150">
        <f t="shared" si="476"/>
        <v>0</v>
      </c>
      <c r="L143" s="150">
        <f t="shared" si="476"/>
        <v>0</v>
      </c>
      <c r="M143" s="150">
        <f t="shared" si="476"/>
        <v>0</v>
      </c>
      <c r="N143" s="150">
        <f t="shared" si="476"/>
        <v>0</v>
      </c>
      <c r="O143" s="150">
        <f t="shared" si="476"/>
        <v>0</v>
      </c>
      <c r="P143" s="150">
        <f t="shared" si="476"/>
        <v>0</v>
      </c>
      <c r="Q143" s="150">
        <f t="shared" si="476"/>
        <v>0</v>
      </c>
      <c r="R143" s="150">
        <f t="shared" si="476"/>
        <v>0</v>
      </c>
      <c r="S143" s="150">
        <f t="shared" si="476"/>
        <v>0</v>
      </c>
      <c r="T143" s="118">
        <f t="shared" si="453"/>
        <v>-1</v>
      </c>
      <c r="U143" s="20"/>
      <c r="V143" s="150">
        <f t="shared" ref="V143:AE143" si="477">V140/V20</f>
        <v>0</v>
      </c>
      <c r="W143" s="150">
        <f t="shared" si="477"/>
        <v>0</v>
      </c>
      <c r="X143" s="150">
        <f t="shared" si="477"/>
        <v>0</v>
      </c>
      <c r="Y143" s="150">
        <f t="shared" si="477"/>
        <v>0</v>
      </c>
      <c r="Z143" s="150">
        <f t="shared" si="477"/>
        <v>0</v>
      </c>
      <c r="AA143" s="150">
        <f t="shared" si="477"/>
        <v>0</v>
      </c>
      <c r="AB143" s="150">
        <f t="shared" si="477"/>
        <v>0</v>
      </c>
      <c r="AC143" s="150">
        <f t="shared" si="477"/>
        <v>0</v>
      </c>
      <c r="AD143" s="150">
        <f t="shared" si="477"/>
        <v>0</v>
      </c>
      <c r="AE143" s="150">
        <f t="shared" si="477"/>
        <v>0</v>
      </c>
      <c r="AF143" s="137" t="s">
        <v>446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328</v>
      </c>
      <c r="C145" s="150"/>
      <c r="D145" s="150"/>
      <c r="E145" s="150"/>
      <c r="F145" s="150"/>
      <c r="G145" s="150">
        <f t="shared" ref="G145:H145" si="478">G31/G25</f>
        <v>0</v>
      </c>
      <c r="H145" s="150">
        <f t="shared" si="478"/>
        <v>0</v>
      </c>
      <c r="I145" s="150">
        <f t="shared" ref="I145:S145" si="479">I31/I25</f>
        <v>0</v>
      </c>
      <c r="J145" s="150">
        <f t="shared" si="479"/>
        <v>0</v>
      </c>
      <c r="K145" s="150">
        <f t="shared" si="479"/>
        <v>0</v>
      </c>
      <c r="L145" s="150">
        <f t="shared" si="479"/>
        <v>0</v>
      </c>
      <c r="M145" s="150">
        <f t="shared" si="479"/>
        <v>0</v>
      </c>
      <c r="N145" s="150">
        <f t="shared" si="479"/>
        <v>0</v>
      </c>
      <c r="O145" s="150">
        <f t="shared" si="479"/>
        <v>0</v>
      </c>
      <c r="P145" s="150">
        <f t="shared" si="479"/>
        <v>0</v>
      </c>
      <c r="Q145" s="150">
        <f t="shared" si="479"/>
        <v>0</v>
      </c>
      <c r="R145" s="150">
        <f t="shared" si="479"/>
        <v>0</v>
      </c>
      <c r="S145" s="150">
        <f t="shared" si="479"/>
        <v>0</v>
      </c>
      <c r="T145" s="118" t="e">
        <f t="shared" si="453"/>
        <v>#DIV/0!</v>
      </c>
      <c r="U145" s="20"/>
      <c r="V145" s="150">
        <f t="shared" ref="V145:AE145" si="480">V31/V25</f>
        <v>0</v>
      </c>
      <c r="W145" s="150">
        <f t="shared" si="480"/>
        <v>0</v>
      </c>
      <c r="X145" s="150">
        <f t="shared" si="480"/>
        <v>0</v>
      </c>
      <c r="Y145" s="150">
        <f t="shared" si="480"/>
        <v>0</v>
      </c>
      <c r="Z145" s="150">
        <f t="shared" si="480"/>
        <v>0</v>
      </c>
      <c r="AA145" s="150">
        <f t="shared" si="480"/>
        <v>0</v>
      </c>
      <c r="AB145" s="150">
        <f t="shared" si="480"/>
        <v>0</v>
      </c>
      <c r="AC145" s="150">
        <f t="shared" si="480"/>
        <v>0</v>
      </c>
      <c r="AD145" s="150">
        <f t="shared" si="480"/>
        <v>0</v>
      </c>
      <c r="AE145" s="150">
        <f t="shared" si="480"/>
        <v>0</v>
      </c>
      <c r="AF145" s="137" t="e">
        <f t="shared" si="358"/>
        <v>#DIV/0!</v>
      </c>
      <c r="AG145" s="20"/>
      <c r="AH145" s="20"/>
    </row>
    <row r="146" spans="2:34">
      <c r="B146" s="20" t="s">
        <v>325</v>
      </c>
      <c r="C146" s="150"/>
      <c r="D146" s="150"/>
      <c r="E146" s="150"/>
      <c r="F146" s="150"/>
      <c r="G146" s="150">
        <f t="shared" ref="G146:H146" si="481">G32/G25</f>
        <v>0</v>
      </c>
      <c r="H146" s="150">
        <f t="shared" si="481"/>
        <v>0</v>
      </c>
      <c r="I146" s="150">
        <f t="shared" ref="I146:S146" si="482">I32/I25</f>
        <v>0</v>
      </c>
      <c r="J146" s="150">
        <f t="shared" si="482"/>
        <v>0</v>
      </c>
      <c r="K146" s="150">
        <f t="shared" si="482"/>
        <v>0</v>
      </c>
      <c r="L146" s="150">
        <f t="shared" si="482"/>
        <v>0</v>
      </c>
      <c r="M146" s="150">
        <f t="shared" si="482"/>
        <v>0</v>
      </c>
      <c r="N146" s="150">
        <f t="shared" si="482"/>
        <v>0</v>
      </c>
      <c r="O146" s="150">
        <f t="shared" si="482"/>
        <v>0</v>
      </c>
      <c r="P146" s="150">
        <f t="shared" si="482"/>
        <v>0</v>
      </c>
      <c r="Q146" s="150">
        <f t="shared" si="482"/>
        <v>0</v>
      </c>
      <c r="R146" s="150">
        <f t="shared" si="482"/>
        <v>0</v>
      </c>
      <c r="S146" s="150">
        <f t="shared" si="482"/>
        <v>0</v>
      </c>
      <c r="T146" s="118" t="e">
        <f t="shared" si="453"/>
        <v>#DIV/0!</v>
      </c>
      <c r="U146" s="20"/>
      <c r="V146" s="150">
        <f t="shared" ref="V146:AE146" si="483">V32/V25</f>
        <v>0</v>
      </c>
      <c r="W146" s="150">
        <f t="shared" si="483"/>
        <v>0</v>
      </c>
      <c r="X146" s="150">
        <f t="shared" si="483"/>
        <v>0</v>
      </c>
      <c r="Y146" s="150">
        <f t="shared" si="483"/>
        <v>0</v>
      </c>
      <c r="Z146" s="150">
        <f t="shared" si="483"/>
        <v>0</v>
      </c>
      <c r="AA146" s="150">
        <f t="shared" si="483"/>
        <v>0</v>
      </c>
      <c r="AB146" s="150">
        <f t="shared" si="483"/>
        <v>0</v>
      </c>
      <c r="AC146" s="150">
        <f t="shared" si="483"/>
        <v>0</v>
      </c>
      <c r="AD146" s="150">
        <f t="shared" si="483"/>
        <v>0</v>
      </c>
      <c r="AE146" s="150">
        <f t="shared" si="483"/>
        <v>0</v>
      </c>
      <c r="AF146" s="137" t="e">
        <f t="shared" si="358"/>
        <v>#DIV/0!</v>
      </c>
      <c r="AG146" s="20"/>
      <c r="AH146" s="20"/>
    </row>
    <row r="147" spans="2:34">
      <c r="B147" s="20" t="s">
        <v>453</v>
      </c>
      <c r="C147" s="150"/>
      <c r="D147" s="150"/>
      <c r="E147" s="150"/>
      <c r="F147" s="150"/>
      <c r="G147" s="150">
        <f t="shared" ref="G147:H147" si="484">(G31+G32)/G25</f>
        <v>0</v>
      </c>
      <c r="H147" s="150">
        <f t="shared" si="484"/>
        <v>0</v>
      </c>
      <c r="I147" s="150">
        <f t="shared" ref="I147:S147" si="485">(I31+I32)/I25</f>
        <v>0</v>
      </c>
      <c r="J147" s="150">
        <f t="shared" si="485"/>
        <v>0</v>
      </c>
      <c r="K147" s="150">
        <f t="shared" si="485"/>
        <v>0</v>
      </c>
      <c r="L147" s="150">
        <f t="shared" si="485"/>
        <v>0</v>
      </c>
      <c r="M147" s="150">
        <f t="shared" si="485"/>
        <v>0</v>
      </c>
      <c r="N147" s="150">
        <f t="shared" si="485"/>
        <v>0</v>
      </c>
      <c r="O147" s="150">
        <f t="shared" si="485"/>
        <v>0</v>
      </c>
      <c r="P147" s="150">
        <f t="shared" si="485"/>
        <v>0</v>
      </c>
      <c r="Q147" s="150">
        <f t="shared" si="485"/>
        <v>0</v>
      </c>
      <c r="R147" s="150">
        <f t="shared" si="485"/>
        <v>0</v>
      </c>
      <c r="S147" s="150">
        <f t="shared" si="485"/>
        <v>0</v>
      </c>
      <c r="T147" s="118" t="e">
        <f t="shared" si="453"/>
        <v>#DIV/0!</v>
      </c>
      <c r="U147" s="20"/>
      <c r="V147" s="150">
        <f t="shared" ref="V147:AE147" si="486">(V31+V32)/V25</f>
        <v>0</v>
      </c>
      <c r="W147" s="150">
        <f t="shared" si="486"/>
        <v>0</v>
      </c>
      <c r="X147" s="150">
        <f t="shared" si="486"/>
        <v>0</v>
      </c>
      <c r="Y147" s="150">
        <f t="shared" si="486"/>
        <v>0</v>
      </c>
      <c r="Z147" s="150">
        <f t="shared" si="486"/>
        <v>0</v>
      </c>
      <c r="AA147" s="150">
        <f t="shared" si="486"/>
        <v>0</v>
      </c>
      <c r="AB147" s="150">
        <f t="shared" si="486"/>
        <v>0</v>
      </c>
      <c r="AC147" s="150">
        <f t="shared" si="486"/>
        <v>0</v>
      </c>
      <c r="AD147" s="150">
        <f t="shared" si="486"/>
        <v>0</v>
      </c>
      <c r="AE147" s="150">
        <f t="shared" si="486"/>
        <v>0</v>
      </c>
      <c r="AF147" s="137" t="e">
        <f t="shared" si="358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349</v>
      </c>
      <c r="C149" s="20"/>
      <c r="D149" s="20"/>
      <c r="E149" s="20"/>
      <c r="F149" s="20"/>
      <c r="G149" s="150">
        <f t="shared" ref="G149:H149" si="487">G27/G25</f>
        <v>0.92938931297709926</v>
      </c>
      <c r="H149" s="150">
        <f t="shared" si="487"/>
        <v>0.92766726943942135</v>
      </c>
      <c r="I149" s="150">
        <f t="shared" ref="I149:S149" si="488">I27/I25</f>
        <v>0.9175084175084175</v>
      </c>
      <c r="J149" s="150">
        <f t="shared" si="488"/>
        <v>0.9129213483146067</v>
      </c>
      <c r="K149" s="150">
        <f t="shared" si="488"/>
        <v>0.88861689106487152</v>
      </c>
      <c r="L149" s="150">
        <f t="shared" si="488"/>
        <v>0.93633952254641906</v>
      </c>
      <c r="M149" s="150">
        <f t="shared" si="488"/>
        <v>0.91789473684210521</v>
      </c>
      <c r="N149" s="150">
        <f t="shared" si="488"/>
        <v>0.93202146690518783</v>
      </c>
      <c r="O149" s="150">
        <f t="shared" si="488"/>
        <v>0.76284306826178749</v>
      </c>
      <c r="P149" s="150">
        <f t="shared" si="488"/>
        <v>0.89893179950698443</v>
      </c>
      <c r="Q149" s="150">
        <f t="shared" si="488"/>
        <v>0.9033886085075703</v>
      </c>
      <c r="R149" s="150">
        <f t="shared" si="488"/>
        <v>0.99470098410295227</v>
      </c>
      <c r="S149" s="150">
        <f t="shared" si="488"/>
        <v>0.92320000000000002</v>
      </c>
      <c r="T149" s="118">
        <f t="shared" si="453"/>
        <v>-5.566635045028967E-4</v>
      </c>
      <c r="U149" s="20"/>
      <c r="V149" s="150">
        <f t="shared" ref="V149:AE149" si="489">V27/V25</f>
        <v>0.92320000000000002</v>
      </c>
      <c r="W149" s="150">
        <f t="shared" si="489"/>
        <v>0.92320000000000002</v>
      </c>
      <c r="X149" s="150">
        <f t="shared" si="489"/>
        <v>0.92320000000000013</v>
      </c>
      <c r="Y149" s="150">
        <f t="shared" si="489"/>
        <v>0.92320000000000013</v>
      </c>
      <c r="Z149" s="150">
        <f t="shared" si="489"/>
        <v>0.92320000000000013</v>
      </c>
      <c r="AA149" s="150">
        <f t="shared" si="489"/>
        <v>0.92320000000000013</v>
      </c>
      <c r="AB149" s="150">
        <f t="shared" si="489"/>
        <v>0.92320000000000013</v>
      </c>
      <c r="AC149" s="150">
        <f t="shared" si="489"/>
        <v>0.92320000000000024</v>
      </c>
      <c r="AD149" s="150">
        <f t="shared" si="489"/>
        <v>0.92320000000000013</v>
      </c>
      <c r="AE149" s="150">
        <f t="shared" si="489"/>
        <v>0.92320000000000024</v>
      </c>
      <c r="AF149" s="137">
        <f t="shared" si="358"/>
        <v>2.9452629154902432E-4</v>
      </c>
      <c r="AG149" s="20"/>
      <c r="AH149" s="20"/>
    </row>
    <row r="150" spans="2:34">
      <c r="B150" s="20" t="str">
        <f>B33</f>
        <v>Top Expenses (Raw materials )</v>
      </c>
      <c r="C150" s="20"/>
      <c r="D150" s="20"/>
      <c r="E150" s="20"/>
      <c r="F150" s="20"/>
      <c r="G150" s="150">
        <f t="shared" ref="G150:H150" si="490">G33/G25</f>
        <v>0.81488549618320616</v>
      </c>
      <c r="H150" s="150">
        <f t="shared" si="490"/>
        <v>0.81916817359855332</v>
      </c>
      <c r="I150" s="150">
        <f t="shared" ref="I150:S150" si="491">I33/I25</f>
        <v>0.77777777777777779</v>
      </c>
      <c r="J150" s="150">
        <f t="shared" si="491"/>
        <v>0.7443820224719101</v>
      </c>
      <c r="K150" s="150">
        <f t="shared" si="491"/>
        <v>0.73439412484700117</v>
      </c>
      <c r="L150" s="150">
        <f t="shared" si="491"/>
        <v>0.76525198938992045</v>
      </c>
      <c r="M150" s="150">
        <f t="shared" si="491"/>
        <v>0.76526315789473687</v>
      </c>
      <c r="N150" s="150">
        <f t="shared" si="491"/>
        <v>0.80232558139534882</v>
      </c>
      <c r="O150" s="150">
        <f t="shared" si="491"/>
        <v>0.62843068261787471</v>
      </c>
      <c r="P150" s="150">
        <f t="shared" si="491"/>
        <v>0.74938373048479867</v>
      </c>
      <c r="Q150" s="150">
        <f t="shared" si="491"/>
        <v>0.76640230713770729</v>
      </c>
      <c r="R150" s="150">
        <f t="shared" si="491"/>
        <v>0.86373959121877364</v>
      </c>
      <c r="S150" s="150">
        <f t="shared" si="491"/>
        <v>0.78400000000000003</v>
      </c>
      <c r="T150" s="118">
        <f t="shared" si="453"/>
        <v>-3.2147040332346499E-3</v>
      </c>
      <c r="U150" s="20"/>
      <c r="V150" s="150">
        <f t="shared" ref="V150:AE150" si="492">V33/V25</f>
        <v>0.78400000000000003</v>
      </c>
      <c r="W150" s="150">
        <f t="shared" si="492"/>
        <v>0.78400000000000003</v>
      </c>
      <c r="X150" s="150">
        <f t="shared" si="492"/>
        <v>0.78400000000000003</v>
      </c>
      <c r="Y150" s="150">
        <f t="shared" si="492"/>
        <v>0.78400000000000014</v>
      </c>
      <c r="Z150" s="150">
        <f t="shared" si="492"/>
        <v>0.78400000000000003</v>
      </c>
      <c r="AA150" s="150">
        <f t="shared" si="492"/>
        <v>0.78400000000000014</v>
      </c>
      <c r="AB150" s="150">
        <f t="shared" si="492"/>
        <v>0.78400000000000014</v>
      </c>
      <c r="AC150" s="150">
        <f t="shared" si="492"/>
        <v>0.78400000000000014</v>
      </c>
      <c r="AD150" s="150">
        <f t="shared" si="492"/>
        <v>0.78400000000000003</v>
      </c>
      <c r="AE150" s="150">
        <f t="shared" si="492"/>
        <v>0.78400000000000003</v>
      </c>
      <c r="AF150" s="137">
        <f t="shared" si="358"/>
        <v>3.7950864515212679E-4</v>
      </c>
      <c r="AG150" s="20"/>
      <c r="AH150" s="20"/>
    </row>
    <row r="151" spans="2:34">
      <c r="B151" s="20" t="str">
        <f>B34</f>
        <v>2nd highest Expenses Comp. ( Misc )</v>
      </c>
      <c r="C151" s="20"/>
      <c r="D151" s="20"/>
      <c r="E151" s="20"/>
      <c r="F151" s="20"/>
      <c r="G151" s="150">
        <f t="shared" ref="G151:H151" si="493">G34/G25</f>
        <v>8.2061068702290074E-2</v>
      </c>
      <c r="H151" s="150">
        <f t="shared" si="493"/>
        <v>7.2332730560578665E-2</v>
      </c>
      <c r="I151" s="150">
        <f t="shared" ref="I151:S151" si="494">I34/I25</f>
        <v>8.9225589225589222E-2</v>
      </c>
      <c r="J151" s="150">
        <f t="shared" si="494"/>
        <v>0.10674157303370786</v>
      </c>
      <c r="K151" s="150">
        <f t="shared" si="494"/>
        <v>9.7919216646266835E-2</v>
      </c>
      <c r="L151" s="150">
        <f t="shared" si="494"/>
        <v>0.11405835543766578</v>
      </c>
      <c r="M151" s="150">
        <f t="shared" si="494"/>
        <v>8.4210526315789472E-3</v>
      </c>
      <c r="N151" s="150">
        <f t="shared" si="494"/>
        <v>8.9445438282647588E-2</v>
      </c>
      <c r="O151" s="150">
        <f t="shared" si="494"/>
        <v>9.1484869809992958E-2</v>
      </c>
      <c r="P151" s="150">
        <f t="shared" si="494"/>
        <v>0.12325390304026294</v>
      </c>
      <c r="Q151" s="150">
        <f t="shared" si="494"/>
        <v>9.7332372025955294E-2</v>
      </c>
      <c r="R151" s="150">
        <f t="shared" si="494"/>
        <v>9.0840272520817569E-2</v>
      </c>
      <c r="S151" s="150">
        <f t="shared" si="494"/>
        <v>8.72E-2</v>
      </c>
      <c r="T151" s="118">
        <f t="shared" si="453"/>
        <v>5.0745505182567818E-3</v>
      </c>
      <c r="U151" s="20"/>
      <c r="V151" s="150">
        <f t="shared" ref="V151:AE151" si="495">V34/V25</f>
        <v>8.72E-2</v>
      </c>
      <c r="W151" s="150">
        <f t="shared" si="495"/>
        <v>8.7200000000000014E-2</v>
      </c>
      <c r="X151" s="150">
        <f t="shared" si="495"/>
        <v>8.7200000000000014E-2</v>
      </c>
      <c r="Y151" s="150">
        <f t="shared" si="495"/>
        <v>8.7200000000000027E-2</v>
      </c>
      <c r="Z151" s="150">
        <f t="shared" si="495"/>
        <v>8.7200000000000027E-2</v>
      </c>
      <c r="AA151" s="150">
        <f t="shared" si="495"/>
        <v>8.7200000000000027E-2</v>
      </c>
      <c r="AB151" s="150">
        <f t="shared" si="495"/>
        <v>8.7200000000000027E-2</v>
      </c>
      <c r="AC151" s="150">
        <f t="shared" si="495"/>
        <v>8.7200000000000027E-2</v>
      </c>
      <c r="AD151" s="150">
        <f t="shared" si="495"/>
        <v>8.7200000000000014E-2</v>
      </c>
      <c r="AE151" s="150">
        <f t="shared" si="495"/>
        <v>8.7200000000000014E-2</v>
      </c>
      <c r="AF151" s="137">
        <f t="shared" si="358"/>
        <v>-1.0929043567631247E-3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357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360</v>
      </c>
      <c r="C154" s="20"/>
      <c r="D154" s="20"/>
      <c r="E154" s="20"/>
      <c r="F154" s="20"/>
      <c r="G154" s="25">
        <f t="shared" ref="G154:H154" si="496">G15/G9</f>
        <v>20.307692307692307</v>
      </c>
      <c r="H154" s="25">
        <f t="shared" si="496"/>
        <v>10.612903225806452</v>
      </c>
      <c r="I154" s="25">
        <f t="shared" ref="I154:S154" si="497">I15/I9</f>
        <v>17.708333333333332</v>
      </c>
      <c r="J154" s="25">
        <f t="shared" si="497"/>
        <v>13.333333333333334</v>
      </c>
      <c r="K154" s="25">
        <f t="shared" si="497"/>
        <v>18.857142857142858</v>
      </c>
      <c r="L154" s="25">
        <f t="shared" si="497"/>
        <v>18.605263157894736</v>
      </c>
      <c r="M154" s="25">
        <f t="shared" si="497"/>
        <v>11.447368421052632</v>
      </c>
      <c r="N154" s="25">
        <f t="shared" si="497"/>
        <v>7.0522875816993462</v>
      </c>
      <c r="O154" s="25">
        <f t="shared" si="497"/>
        <v>7.3503184713375793</v>
      </c>
      <c r="P154" s="25">
        <f t="shared" si="497"/>
        <v>4.9007936507936511</v>
      </c>
      <c r="Q154" s="25">
        <f t="shared" si="497"/>
        <v>3.9383033419023135</v>
      </c>
      <c r="R154" s="25">
        <f t="shared" si="497"/>
        <v>3.9501466275659824</v>
      </c>
      <c r="S154" s="25">
        <f t="shared" si="497"/>
        <v>7.7070063694267512</v>
      </c>
      <c r="T154" s="118">
        <f t="shared" si="453"/>
        <v>-7.7565731597351695E-2</v>
      </c>
      <c r="U154" s="20"/>
      <c r="V154" s="20">
        <f t="shared" ref="V154:AE154" si="498">V15/V9</f>
        <v>7.7070063694267521</v>
      </c>
      <c r="W154" s="20">
        <f t="shared" si="498"/>
        <v>7.7070063694267521</v>
      </c>
      <c r="X154" s="20">
        <f t="shared" si="498"/>
        <v>7.7070063694267521</v>
      </c>
      <c r="Y154" s="20">
        <f t="shared" si="498"/>
        <v>7.707006369426753</v>
      </c>
      <c r="Z154" s="20">
        <f t="shared" si="498"/>
        <v>7.707006369426753</v>
      </c>
      <c r="AA154" s="20">
        <f t="shared" si="498"/>
        <v>7.707006369426753</v>
      </c>
      <c r="AB154" s="20">
        <f t="shared" si="498"/>
        <v>7.707006369426753</v>
      </c>
      <c r="AC154" s="20">
        <f t="shared" si="498"/>
        <v>7.707006369426753</v>
      </c>
      <c r="AD154" s="20">
        <f t="shared" si="498"/>
        <v>7.707006369426753</v>
      </c>
      <c r="AE154" s="20">
        <f t="shared" si="498"/>
        <v>7.7070063694267521</v>
      </c>
      <c r="AF154" s="137">
        <f t="shared" si="358"/>
        <v>-3.8840151131781409E-2</v>
      </c>
      <c r="AG154" s="20"/>
      <c r="AH154" s="20"/>
    </row>
    <row r="155" spans="2:34">
      <c r="B155" s="20" t="s">
        <v>350</v>
      </c>
      <c r="C155" s="20"/>
      <c r="D155" s="20"/>
      <c r="E155" s="20"/>
      <c r="F155" s="20"/>
      <c r="G155" s="25">
        <f t="shared" ref="G155:H155" si="499">G12/G9</f>
        <v>0.46153846153846156</v>
      </c>
      <c r="H155" s="25">
        <f t="shared" si="499"/>
        <v>0.12903225806451613</v>
      </c>
      <c r="I155" s="25">
        <f t="shared" ref="I155:S155" si="500">I12/I9</f>
        <v>1.4166666666666667</v>
      </c>
      <c r="J155" s="25">
        <f t="shared" si="500"/>
        <v>0.20512820512820512</v>
      </c>
      <c r="K155" s="25">
        <f t="shared" si="500"/>
        <v>0.94285714285714284</v>
      </c>
      <c r="L155" s="25">
        <f t="shared" si="500"/>
        <v>0.28947368421052633</v>
      </c>
      <c r="M155" s="25">
        <f t="shared" si="500"/>
        <v>0.34210526315789475</v>
      </c>
      <c r="N155" s="25">
        <f t="shared" si="500"/>
        <v>0.12418300653594772</v>
      </c>
      <c r="O155" s="25">
        <f t="shared" si="500"/>
        <v>0.13375796178343949</v>
      </c>
      <c r="P155" s="25">
        <f t="shared" si="500"/>
        <v>9.1269841269841265E-2</v>
      </c>
      <c r="Q155" s="25">
        <f t="shared" si="500"/>
        <v>5.9125964010282778E-2</v>
      </c>
      <c r="R155" s="25">
        <f t="shared" si="500"/>
        <v>6.7448680351906154E-2</v>
      </c>
      <c r="S155" s="25">
        <f t="shared" si="500"/>
        <v>8.2802547770700632E-2</v>
      </c>
      <c r="T155" s="118">
        <f t="shared" si="453"/>
        <v>-0.13339807351264787</v>
      </c>
      <c r="U155" s="128"/>
      <c r="V155" s="20">
        <f t="shared" ref="V155:AE155" si="501">V12/V9</f>
        <v>8.2802547770700646E-2</v>
      </c>
      <c r="W155" s="20">
        <f t="shared" si="501"/>
        <v>8.2802547770700646E-2</v>
      </c>
      <c r="X155" s="20">
        <f t="shared" si="501"/>
        <v>8.2802547770700646E-2</v>
      </c>
      <c r="Y155" s="20">
        <f t="shared" si="501"/>
        <v>8.2802547770700646E-2</v>
      </c>
      <c r="Z155" s="20">
        <f t="shared" si="501"/>
        <v>8.2802547770700646E-2</v>
      </c>
      <c r="AA155" s="20">
        <f t="shared" si="501"/>
        <v>8.2802547770700646E-2</v>
      </c>
      <c r="AB155" s="20">
        <f t="shared" si="501"/>
        <v>8.2802547770700646E-2</v>
      </c>
      <c r="AC155" s="20">
        <f t="shared" si="501"/>
        <v>8.280254777070066E-2</v>
      </c>
      <c r="AD155" s="20">
        <f t="shared" si="501"/>
        <v>8.2802547770700646E-2</v>
      </c>
      <c r="AE155" s="20">
        <f t="shared" si="501"/>
        <v>8.2802547770700646E-2</v>
      </c>
      <c r="AF155" s="118">
        <f t="shared" ref="AF155" si="502">((AE155/V155)^(1/($J$2-$J$1) ))-1</f>
        <v>0</v>
      </c>
      <c r="AG155" s="20"/>
      <c r="AH155" s="20"/>
    </row>
    <row r="156" spans="2:34">
      <c r="B156" s="20" t="s">
        <v>352</v>
      </c>
      <c r="C156" s="20"/>
      <c r="D156" s="20"/>
      <c r="E156" s="20"/>
      <c r="F156" s="20"/>
      <c r="G156" s="25">
        <f t="shared" ref="G156:H156" si="503">G25/360</f>
        <v>1.4555555555555555</v>
      </c>
      <c r="H156" s="25">
        <f t="shared" si="503"/>
        <v>1.5361111111111112</v>
      </c>
      <c r="I156" s="25">
        <f t="shared" ref="I156:S156" si="504">I25/360</f>
        <v>1.65</v>
      </c>
      <c r="J156" s="25">
        <f t="shared" si="504"/>
        <v>1.9777777777777779</v>
      </c>
      <c r="K156" s="25">
        <f t="shared" si="504"/>
        <v>2.2694444444444444</v>
      </c>
      <c r="L156" s="25">
        <f t="shared" si="504"/>
        <v>2.0944444444444446</v>
      </c>
      <c r="M156" s="25">
        <f t="shared" si="504"/>
        <v>2.6388888888888888</v>
      </c>
      <c r="N156" s="25">
        <f t="shared" si="504"/>
        <v>3.1055555555555556</v>
      </c>
      <c r="O156" s="25">
        <f t="shared" si="504"/>
        <v>3.9472222222222224</v>
      </c>
      <c r="P156" s="25">
        <f t="shared" si="504"/>
        <v>3.3805555555555555</v>
      </c>
      <c r="Q156" s="25">
        <f t="shared" si="504"/>
        <v>3.8527777777777779</v>
      </c>
      <c r="R156" s="25">
        <f t="shared" si="504"/>
        <v>3.6694444444444443</v>
      </c>
      <c r="S156" s="25">
        <f t="shared" si="504"/>
        <v>3.4722222222222223</v>
      </c>
      <c r="T156" s="118">
        <f t="shared" si="453"/>
        <v>7.5139688037100028E-2</v>
      </c>
      <c r="U156" s="128"/>
      <c r="V156" s="25">
        <f t="shared" ref="V156:AE156" si="505">V25/360</f>
        <v>3.6458333333333335</v>
      </c>
      <c r="W156" s="25">
        <f t="shared" si="505"/>
        <v>3.828125</v>
      </c>
      <c r="X156" s="25">
        <f t="shared" si="505"/>
        <v>4.01953125</v>
      </c>
      <c r="Y156" s="25">
        <f t="shared" si="505"/>
        <v>4.2205078125000002</v>
      </c>
      <c r="Z156" s="25">
        <f t="shared" si="505"/>
        <v>4.4315332031250003</v>
      </c>
      <c r="AA156" s="25">
        <f t="shared" si="505"/>
        <v>4.6531098632812506</v>
      </c>
      <c r="AB156" s="25">
        <f t="shared" si="505"/>
        <v>4.8857653564453134</v>
      </c>
      <c r="AC156" s="25">
        <f t="shared" si="505"/>
        <v>5.1300536242675792</v>
      </c>
      <c r="AD156" s="25">
        <f t="shared" si="505"/>
        <v>5.3865563054809584</v>
      </c>
      <c r="AE156" s="25">
        <f t="shared" si="505"/>
        <v>5.6558841207550064</v>
      </c>
      <c r="AF156" s="118">
        <f t="shared" ref="AF156:AF167" si="506">((AE156/V156)^(1/($J$2-$J$1) ))-1</f>
        <v>3.727037479422779E-2</v>
      </c>
      <c r="AG156" s="20"/>
      <c r="AH156" s="20"/>
    </row>
    <row r="157" spans="2:34">
      <c r="B157" s="20" t="s">
        <v>351</v>
      </c>
      <c r="C157" s="20"/>
      <c r="D157" s="20"/>
      <c r="E157" s="20"/>
      <c r="F157" s="20"/>
      <c r="G157" s="25">
        <f t="shared" ref="G157:H157" si="507">G27/360</f>
        <v>1.3527777777777779</v>
      </c>
      <c r="H157" s="25">
        <f t="shared" si="507"/>
        <v>1.425</v>
      </c>
      <c r="I157" s="25">
        <f t="shared" ref="I157:S157" si="508">I27/360</f>
        <v>1.5138888888888888</v>
      </c>
      <c r="J157" s="25">
        <f t="shared" si="508"/>
        <v>1.8055555555555556</v>
      </c>
      <c r="K157" s="25">
        <f t="shared" si="508"/>
        <v>2.0166666666666666</v>
      </c>
      <c r="L157" s="25">
        <f t="shared" si="508"/>
        <v>1.961111111111111</v>
      </c>
      <c r="M157" s="25">
        <f t="shared" si="508"/>
        <v>2.4222222222222221</v>
      </c>
      <c r="N157" s="25">
        <f t="shared" si="508"/>
        <v>2.8944444444444444</v>
      </c>
      <c r="O157" s="25">
        <f t="shared" si="508"/>
        <v>3.0111111111111111</v>
      </c>
      <c r="P157" s="25">
        <f t="shared" si="508"/>
        <v>3.0388888888888888</v>
      </c>
      <c r="Q157" s="25">
        <f t="shared" si="508"/>
        <v>3.4805555555555556</v>
      </c>
      <c r="R157" s="25">
        <f t="shared" si="508"/>
        <v>3.65</v>
      </c>
      <c r="S157" s="25">
        <f t="shared" si="508"/>
        <v>3.2055555555555557</v>
      </c>
      <c r="T157" s="118">
        <f t="shared" si="453"/>
        <v>7.4541197010527194E-2</v>
      </c>
      <c r="U157" s="128"/>
      <c r="V157" s="25">
        <f t="shared" ref="V157:AE157" si="509">V27/360</f>
        <v>3.3658333333333337</v>
      </c>
      <c r="W157" s="25">
        <f t="shared" si="509"/>
        <v>3.5341250000000004</v>
      </c>
      <c r="X157" s="25">
        <f t="shared" si="509"/>
        <v>3.7108312500000005</v>
      </c>
      <c r="Y157" s="25">
        <f t="shared" si="509"/>
        <v>3.8963728125000006</v>
      </c>
      <c r="Z157" s="25">
        <f t="shared" si="509"/>
        <v>4.0911914531250009</v>
      </c>
      <c r="AA157" s="25">
        <f t="shared" si="509"/>
        <v>4.295751025781251</v>
      </c>
      <c r="AB157" s="25">
        <f t="shared" si="509"/>
        <v>4.5105385770703137</v>
      </c>
      <c r="AC157" s="25">
        <f t="shared" si="509"/>
        <v>4.7360655059238299</v>
      </c>
      <c r="AD157" s="25">
        <f t="shared" si="509"/>
        <v>4.9728687812200212</v>
      </c>
      <c r="AE157" s="25">
        <f t="shared" si="509"/>
        <v>5.2215122202810225</v>
      </c>
      <c r="AF157" s="118">
        <f t="shared" si="506"/>
        <v>3.727037479422779E-2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361</v>
      </c>
      <c r="C159" s="20"/>
      <c r="D159" s="20"/>
      <c r="E159" s="20"/>
      <c r="F159" s="20"/>
      <c r="G159" s="25">
        <f t="shared" ref="G159:H159" si="510">G10/G7</f>
        <v>2.4526315789473685</v>
      </c>
      <c r="H159" s="25">
        <f t="shared" si="510"/>
        <v>2.5094339622641511</v>
      </c>
      <c r="I159" s="25">
        <f t="shared" ref="I159:S159" si="511">I10/I7</f>
        <v>3.5929203539823007</v>
      </c>
      <c r="J159" s="25">
        <f t="shared" si="511"/>
        <v>3.7925925925925927</v>
      </c>
      <c r="K159" s="25">
        <f t="shared" si="511"/>
        <v>4.4657534246575343</v>
      </c>
      <c r="L159" s="25">
        <f t="shared" si="511"/>
        <v>3.5319148936170213</v>
      </c>
      <c r="M159" s="25">
        <f t="shared" si="511"/>
        <v>4.209677419354839</v>
      </c>
      <c r="N159" s="25">
        <f t="shared" si="511"/>
        <v>5.9629629629629628</v>
      </c>
      <c r="O159" s="25">
        <f t="shared" si="511"/>
        <v>2.7259036144578315</v>
      </c>
      <c r="P159" s="25">
        <f t="shared" si="511"/>
        <v>2.6726190476190474</v>
      </c>
      <c r="Q159" s="25">
        <f t="shared" si="511"/>
        <v>2.0236051502145922</v>
      </c>
      <c r="R159" s="25">
        <f t="shared" si="511"/>
        <v>2.4579945799457996</v>
      </c>
      <c r="S159" s="25">
        <f t="shared" si="511"/>
        <v>2.8192419825072887</v>
      </c>
      <c r="T159" s="118">
        <f t="shared" si="453"/>
        <v>1.1676518341661835E-2</v>
      </c>
      <c r="U159" s="128"/>
      <c r="V159" s="25">
        <f t="shared" ref="V159:AE159" si="512">V10/V7</f>
        <v>2.8192419825072883</v>
      </c>
      <c r="W159" s="25">
        <f t="shared" si="512"/>
        <v>2.8192419825072887</v>
      </c>
      <c r="X159" s="25">
        <f t="shared" si="512"/>
        <v>2.8192419825072887</v>
      </c>
      <c r="Y159" s="25">
        <f t="shared" si="512"/>
        <v>2.8192419825072887</v>
      </c>
      <c r="Z159" s="25">
        <f t="shared" si="512"/>
        <v>2.8192419825072887</v>
      </c>
      <c r="AA159" s="25">
        <f t="shared" si="512"/>
        <v>2.8192419825072887</v>
      </c>
      <c r="AB159" s="25">
        <f t="shared" si="512"/>
        <v>2.8192419825072883</v>
      </c>
      <c r="AC159" s="25">
        <f t="shared" si="512"/>
        <v>2.8192419825072883</v>
      </c>
      <c r="AD159" s="25">
        <f t="shared" si="512"/>
        <v>2.8192419825072887</v>
      </c>
      <c r="AE159" s="25">
        <f t="shared" si="512"/>
        <v>2.8192419825072883</v>
      </c>
      <c r="AF159" s="118">
        <f t="shared" si="506"/>
        <v>0</v>
      </c>
      <c r="AG159" s="20"/>
      <c r="AH159" s="20"/>
    </row>
    <row r="160" spans="2:34">
      <c r="B160" s="20" t="s">
        <v>353</v>
      </c>
      <c r="C160" s="20"/>
      <c r="D160" s="20"/>
      <c r="E160" s="20"/>
      <c r="F160" s="20"/>
      <c r="G160" s="25">
        <f t="shared" ref="G160:H160" si="513">G10/(G10+G7)</f>
        <v>0.71036585365853655</v>
      </c>
      <c r="H160" s="25">
        <f t="shared" si="513"/>
        <v>0.71505376344086025</v>
      </c>
      <c r="I160" s="25">
        <f t="shared" ref="I160:S160" si="514">I10/(I10+I7)</f>
        <v>0.78227360308285165</v>
      </c>
      <c r="J160" s="25">
        <f t="shared" si="514"/>
        <v>0.79134466769706335</v>
      </c>
      <c r="K160" s="25">
        <f t="shared" si="514"/>
        <v>0.81704260651629068</v>
      </c>
      <c r="L160" s="25">
        <f t="shared" si="514"/>
        <v>0.77934272300469487</v>
      </c>
      <c r="M160" s="25">
        <f t="shared" si="514"/>
        <v>0.80804953560371517</v>
      </c>
      <c r="N160" s="25">
        <f t="shared" si="514"/>
        <v>0.8563829787234043</v>
      </c>
      <c r="O160" s="25">
        <f t="shared" si="514"/>
        <v>0.7316087308003234</v>
      </c>
      <c r="P160" s="25">
        <f t="shared" si="514"/>
        <v>0.72771474878444087</v>
      </c>
      <c r="Q160" s="25">
        <f t="shared" si="514"/>
        <v>0.66926898509581267</v>
      </c>
      <c r="R160" s="25">
        <f t="shared" si="514"/>
        <v>0.71081504702194354</v>
      </c>
      <c r="S160" s="25">
        <f t="shared" si="514"/>
        <v>0.73816793893129773</v>
      </c>
      <c r="T160" s="118">
        <f t="shared" si="453"/>
        <v>3.2043926310274529E-3</v>
      </c>
      <c r="U160" s="128"/>
      <c r="V160" s="25">
        <f t="shared" ref="V160:AE160" si="515">V10/(V10+V7)</f>
        <v>0.73816793893129773</v>
      </c>
      <c r="W160" s="25">
        <f t="shared" si="515"/>
        <v>0.73816793893129773</v>
      </c>
      <c r="X160" s="25">
        <f t="shared" si="515"/>
        <v>0.73816793893129773</v>
      </c>
      <c r="Y160" s="25">
        <f t="shared" si="515"/>
        <v>0.73816793893129773</v>
      </c>
      <c r="Z160" s="25">
        <f t="shared" si="515"/>
        <v>0.73816793893129773</v>
      </c>
      <c r="AA160" s="25">
        <f t="shared" si="515"/>
        <v>0.73816793893129762</v>
      </c>
      <c r="AB160" s="25">
        <f t="shared" si="515"/>
        <v>0.73816793893129773</v>
      </c>
      <c r="AC160" s="25">
        <f t="shared" si="515"/>
        <v>0.73816793893129762</v>
      </c>
      <c r="AD160" s="25">
        <f t="shared" si="515"/>
        <v>0.73816793893129773</v>
      </c>
      <c r="AE160" s="25">
        <f t="shared" si="515"/>
        <v>0.73816793893129762</v>
      </c>
      <c r="AF160" s="118">
        <f t="shared" si="506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358</v>
      </c>
      <c r="C162" s="20"/>
      <c r="D162" s="20"/>
      <c r="E162" s="20"/>
      <c r="F162" s="20"/>
      <c r="G162" s="25">
        <f t="shared" ref="G162:H162" si="516">G16</f>
        <v>280</v>
      </c>
      <c r="H162" s="25">
        <f t="shared" si="516"/>
        <v>315</v>
      </c>
      <c r="I162" s="25">
        <f t="shared" ref="I162:S162" si="517">I16</f>
        <v>406</v>
      </c>
      <c r="J162" s="25">
        <f t="shared" si="517"/>
        <v>515</v>
      </c>
      <c r="K162" s="25">
        <f t="shared" si="517"/>
        <v>675</v>
      </c>
      <c r="L162" s="25">
        <f t="shared" si="517"/>
        <v>734</v>
      </c>
      <c r="M162" s="25">
        <f t="shared" si="517"/>
        <v>853</v>
      </c>
      <c r="N162" s="25">
        <f t="shared" si="517"/>
        <v>988</v>
      </c>
      <c r="O162" s="25">
        <f t="shared" si="517"/>
        <v>1053</v>
      </c>
      <c r="P162" s="25">
        <f t="shared" si="517"/>
        <v>1046</v>
      </c>
      <c r="Q162" s="25">
        <f t="shared" si="517"/>
        <v>1222</v>
      </c>
      <c r="R162" s="25">
        <f t="shared" si="517"/>
        <v>1112</v>
      </c>
      <c r="S162" s="25">
        <f t="shared" si="517"/>
        <v>1146</v>
      </c>
      <c r="T162" s="118">
        <f t="shared" si="453"/>
        <v>0.12461071107821264</v>
      </c>
      <c r="U162" s="128"/>
      <c r="V162" s="25">
        <f t="shared" ref="V162:AE162" si="518">V16</f>
        <v>1203.3</v>
      </c>
      <c r="W162" s="25">
        <f t="shared" si="518"/>
        <v>1263.4649999999999</v>
      </c>
      <c r="X162" s="25">
        <f t="shared" si="518"/>
        <v>1326.63825</v>
      </c>
      <c r="Y162" s="25">
        <f t="shared" si="518"/>
        <v>1392.9701625</v>
      </c>
      <c r="Z162" s="25">
        <f t="shared" si="518"/>
        <v>1462.618670625</v>
      </c>
      <c r="AA162" s="25">
        <f t="shared" si="518"/>
        <v>1535.7496041562501</v>
      </c>
      <c r="AB162" s="25">
        <f t="shared" si="518"/>
        <v>1612.5370843640628</v>
      </c>
      <c r="AC162" s="25">
        <f t="shared" si="518"/>
        <v>1693.1639385822659</v>
      </c>
      <c r="AD162" s="25">
        <f t="shared" si="518"/>
        <v>1777.8221355113792</v>
      </c>
      <c r="AE162" s="25">
        <f t="shared" si="518"/>
        <v>1866.7132422869483</v>
      </c>
      <c r="AF162" s="118">
        <f t="shared" si="506"/>
        <v>3.727037479422779E-2</v>
      </c>
      <c r="AG162" s="20"/>
      <c r="AH162" s="20"/>
    </row>
    <row r="163" spans="2:34">
      <c r="B163" s="20" t="s">
        <v>359</v>
      </c>
      <c r="C163" s="20"/>
      <c r="D163" s="20"/>
      <c r="E163" s="20"/>
      <c r="F163" s="20"/>
      <c r="G163" s="119">
        <f t="shared" ref="G163:H163" si="519">G162*365/G25</f>
        <v>195.03816793893131</v>
      </c>
      <c r="H163" s="119">
        <f t="shared" si="519"/>
        <v>207.91139240506328</v>
      </c>
      <c r="I163" s="119">
        <f t="shared" ref="I163:S163" si="520">I162*365/I25</f>
        <v>249.47811447811449</v>
      </c>
      <c r="J163" s="119">
        <f t="shared" si="520"/>
        <v>264.00983146067415</v>
      </c>
      <c r="K163" s="119">
        <f t="shared" si="520"/>
        <v>301.56058751529986</v>
      </c>
      <c r="L163" s="119">
        <f t="shared" si="520"/>
        <v>355.31830238726792</v>
      </c>
      <c r="M163" s="119">
        <f t="shared" si="520"/>
        <v>327.7315789473684</v>
      </c>
      <c r="N163" s="119">
        <f t="shared" si="520"/>
        <v>322.55813953488371</v>
      </c>
      <c r="O163" s="119">
        <f t="shared" si="520"/>
        <v>270.47501759324422</v>
      </c>
      <c r="P163" s="119">
        <f t="shared" si="520"/>
        <v>313.71405094494656</v>
      </c>
      <c r="Q163" s="119">
        <f t="shared" si="520"/>
        <v>321.57894736842104</v>
      </c>
      <c r="R163" s="119">
        <f t="shared" si="520"/>
        <v>307.25208175624527</v>
      </c>
      <c r="S163" s="119">
        <f t="shared" si="520"/>
        <v>334.63200000000001</v>
      </c>
      <c r="T163" s="118">
        <f t="shared" si="453"/>
        <v>4.6013577204495615E-2</v>
      </c>
      <c r="U163" s="128"/>
      <c r="V163" s="119">
        <f t="shared" ref="V163:AE163" si="521">V162*365/V25</f>
        <v>334.63200000000001</v>
      </c>
      <c r="W163" s="119">
        <f t="shared" si="521"/>
        <v>334.63200000000001</v>
      </c>
      <c r="X163" s="119">
        <f t="shared" si="521"/>
        <v>334.63200000000001</v>
      </c>
      <c r="Y163" s="119">
        <f t="shared" si="521"/>
        <v>334.63200000000001</v>
      </c>
      <c r="Z163" s="119">
        <f t="shared" si="521"/>
        <v>334.63200000000001</v>
      </c>
      <c r="AA163" s="119">
        <f t="shared" si="521"/>
        <v>334.63200000000001</v>
      </c>
      <c r="AB163" s="119">
        <f t="shared" si="521"/>
        <v>334.63200000000001</v>
      </c>
      <c r="AC163" s="119">
        <f t="shared" si="521"/>
        <v>334.63200000000001</v>
      </c>
      <c r="AD163" s="119">
        <f t="shared" si="521"/>
        <v>334.63199999999995</v>
      </c>
      <c r="AE163" s="119">
        <f t="shared" si="521"/>
        <v>334.63200000000001</v>
      </c>
      <c r="AF163" s="118">
        <f t="shared" si="506"/>
        <v>0</v>
      </c>
      <c r="AG163" s="20"/>
      <c r="AH163" s="20"/>
    </row>
    <row r="164" spans="2:34">
      <c r="B164" s="20" t="s">
        <v>362</v>
      </c>
      <c r="C164" s="20"/>
      <c r="D164" s="20"/>
      <c r="E164" s="20"/>
      <c r="F164" s="20"/>
      <c r="G164" s="133">
        <f t="shared" ref="G164:H164" si="522">G98/G29</f>
        <v>1.2755102040816326</v>
      </c>
      <c r="H164" s="133">
        <f t="shared" si="522"/>
        <v>1.6156462585034015</v>
      </c>
      <c r="I164" s="133">
        <f t="shared" ref="I164:S164" si="523">I98/I29</f>
        <v>1.5986394557823129</v>
      </c>
      <c r="J164" s="133">
        <f t="shared" si="523"/>
        <v>1.5063168124392614</v>
      </c>
      <c r="K164" s="133">
        <f t="shared" si="523"/>
        <v>0.53854875283446713</v>
      </c>
      <c r="L164" s="133">
        <f t="shared" si="523"/>
        <v>0.70538891713268936</v>
      </c>
      <c r="M164" s="133">
        <f t="shared" si="523"/>
        <v>0.54397559735638024</v>
      </c>
      <c r="N164" s="133">
        <f t="shared" si="523"/>
        <v>0.6040457014422177</v>
      </c>
      <c r="O164" s="133">
        <f t="shared" si="523"/>
        <v>0.35587188612099646</v>
      </c>
      <c r="P164" s="133">
        <f t="shared" si="523"/>
        <v>0.35587188612099641</v>
      </c>
      <c r="Q164" s="133">
        <f t="shared" si="523"/>
        <v>0.28409090909090906</v>
      </c>
      <c r="R164" s="133">
        <f t="shared" si="523"/>
        <v>8.1168831168831179E-3</v>
      </c>
      <c r="S164" s="133">
        <f t="shared" si="523"/>
        <v>0.32233391608391609</v>
      </c>
      <c r="T164" s="118">
        <f t="shared" si="453"/>
        <v>-0.10830053597260569</v>
      </c>
      <c r="U164" s="128"/>
      <c r="V164" s="133">
        <f t="shared" ref="V164:AE164" si="524">V98/V29</f>
        <v>0.31601364321952558</v>
      </c>
      <c r="W164" s="133">
        <f t="shared" si="524"/>
        <v>0.30981729727404461</v>
      </c>
      <c r="X164" s="133">
        <f t="shared" si="524"/>
        <v>0.30374244830788688</v>
      </c>
      <c r="Y164" s="133">
        <f t="shared" si="524"/>
        <v>0.29778671402734008</v>
      </c>
      <c r="Z164" s="133">
        <f t="shared" si="524"/>
        <v>0.29194775885033342</v>
      </c>
      <c r="AA164" s="133">
        <f t="shared" si="524"/>
        <v>0.2862232929905229</v>
      </c>
      <c r="AB164" s="133">
        <f t="shared" si="524"/>
        <v>0.28061107155933623</v>
      </c>
      <c r="AC164" s="133">
        <f t="shared" si="524"/>
        <v>0.27510889368562369</v>
      </c>
      <c r="AD164" s="133">
        <f t="shared" si="524"/>
        <v>0.26971460165257233</v>
      </c>
      <c r="AE164" s="133">
        <f t="shared" si="524"/>
        <v>0.2644260800515415</v>
      </c>
      <c r="AF164" s="118">
        <f t="shared" si="506"/>
        <v>-1.4742223947839528E-2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369</v>
      </c>
      <c r="C166" s="20"/>
      <c r="D166" s="20"/>
      <c r="E166" s="20"/>
      <c r="F166" s="20"/>
      <c r="G166" s="178">
        <f t="shared" ref="G166:H166" si="525">G25/G14</f>
        <v>2.3603603603603602</v>
      </c>
      <c r="H166" s="178">
        <f t="shared" si="525"/>
        <v>2.0405904059040592</v>
      </c>
      <c r="I166" s="178">
        <f t="shared" ref="I166:S166" si="526">I25/I14</f>
        <v>1.7731343283582091</v>
      </c>
      <c r="J166" s="178">
        <f t="shared" si="526"/>
        <v>1.6832151300236406</v>
      </c>
      <c r="K166" s="178">
        <f t="shared" si="526"/>
        <v>1.611439842209073</v>
      </c>
      <c r="L166" s="178">
        <f t="shared" si="526"/>
        <v>1.3</v>
      </c>
      <c r="M166" s="178">
        <f t="shared" si="526"/>
        <v>1.330532212885154</v>
      </c>
      <c r="N166" s="178">
        <f t="shared" si="526"/>
        <v>1.2835820895522387</v>
      </c>
      <c r="O166" s="178">
        <f t="shared" si="526"/>
        <v>1.4817518248175183</v>
      </c>
      <c r="P166" s="178">
        <f t="shared" si="526"/>
        <v>1.1668264621284756</v>
      </c>
      <c r="Q166" s="178">
        <f t="shared" si="526"/>
        <v>1.1248986212489862</v>
      </c>
      <c r="R166" s="178">
        <f t="shared" si="526"/>
        <v>1.1437229437229437</v>
      </c>
      <c r="S166" s="178">
        <f t="shared" si="526"/>
        <v>1.1984659635666348</v>
      </c>
      <c r="T166" s="118">
        <f t="shared" si="453"/>
        <v>-5.4915553333863221E-2</v>
      </c>
      <c r="U166" s="128"/>
      <c r="V166" s="20">
        <f t="shared" ref="V166:AE166" si="527">V25/V14</f>
        <v>1.1984659635666346</v>
      </c>
      <c r="W166" s="20">
        <f t="shared" si="527"/>
        <v>1.1984659635666344</v>
      </c>
      <c r="X166" s="20">
        <f t="shared" si="527"/>
        <v>1.1984659635666346</v>
      </c>
      <c r="Y166" s="20">
        <f t="shared" si="527"/>
        <v>1.1984659635666344</v>
      </c>
      <c r="Z166" s="20">
        <f t="shared" si="527"/>
        <v>1.1984659635666346</v>
      </c>
      <c r="AA166" s="20">
        <f t="shared" si="527"/>
        <v>1.1984659635666344</v>
      </c>
      <c r="AB166" s="20">
        <f t="shared" si="527"/>
        <v>1.1984659635666344</v>
      </c>
      <c r="AC166" s="20">
        <f t="shared" si="527"/>
        <v>1.1984659635666342</v>
      </c>
      <c r="AD166" s="20">
        <f t="shared" si="527"/>
        <v>1.1984659635666344</v>
      </c>
      <c r="AE166" s="20">
        <f t="shared" si="527"/>
        <v>1.1984659635666342</v>
      </c>
      <c r="AF166" s="118">
        <f t="shared" si="506"/>
        <v>0</v>
      </c>
      <c r="AG166" s="20"/>
      <c r="AH166" s="20"/>
    </row>
    <row r="167" spans="2:34">
      <c r="B167" s="20" t="s">
        <v>370</v>
      </c>
      <c r="C167" s="20"/>
      <c r="D167" s="20"/>
      <c r="E167" s="20"/>
      <c r="F167" s="20"/>
      <c r="G167" s="178">
        <f t="shared" ref="G167:H167" si="528">G27/G14</f>
        <v>2.1936936936936937</v>
      </c>
      <c r="H167" s="178">
        <f t="shared" si="528"/>
        <v>1.8929889298892988</v>
      </c>
      <c r="I167" s="178">
        <f t="shared" ref="I167:S167" si="529">I27/I14</f>
        <v>1.6268656716417911</v>
      </c>
      <c r="J167" s="178">
        <f t="shared" si="529"/>
        <v>1.5366430260047281</v>
      </c>
      <c r="K167" s="178">
        <f t="shared" si="529"/>
        <v>1.4319526627218935</v>
      </c>
      <c r="L167" s="178">
        <f t="shared" si="529"/>
        <v>1.2172413793103449</v>
      </c>
      <c r="M167" s="178">
        <f t="shared" si="529"/>
        <v>1.2212885154061626</v>
      </c>
      <c r="N167" s="178">
        <f t="shared" si="529"/>
        <v>1.1963260619977039</v>
      </c>
      <c r="O167" s="178">
        <f t="shared" si="529"/>
        <v>1.1303441084462982</v>
      </c>
      <c r="P167" s="178">
        <f t="shared" si="529"/>
        <v>1.0488974113135188</v>
      </c>
      <c r="Q167" s="178">
        <f t="shared" si="529"/>
        <v>1.0162206001622061</v>
      </c>
      <c r="R167" s="178">
        <f t="shared" si="529"/>
        <v>1.1376623376623376</v>
      </c>
      <c r="S167" s="178">
        <f t="shared" si="529"/>
        <v>1.1064237775647172</v>
      </c>
      <c r="T167" s="118">
        <f t="shared" si="453"/>
        <v>-5.5441647353995593E-2</v>
      </c>
      <c r="U167" s="128"/>
      <c r="V167" s="20">
        <f t="shared" ref="V167:AE167" si="530">V27/V14</f>
        <v>1.1064237775647172</v>
      </c>
      <c r="W167" s="20">
        <f t="shared" si="530"/>
        <v>1.106423777564717</v>
      </c>
      <c r="X167" s="20">
        <f t="shared" si="530"/>
        <v>1.106423777564717</v>
      </c>
      <c r="Y167" s="20">
        <f t="shared" si="530"/>
        <v>1.106423777564717</v>
      </c>
      <c r="Z167" s="20">
        <f t="shared" si="530"/>
        <v>1.1064237775647172</v>
      </c>
      <c r="AA167" s="20">
        <f t="shared" si="530"/>
        <v>1.106423777564717</v>
      </c>
      <c r="AB167" s="20">
        <f t="shared" si="530"/>
        <v>1.106423777564717</v>
      </c>
      <c r="AC167" s="20">
        <f t="shared" si="530"/>
        <v>1.106423777564717</v>
      </c>
      <c r="AD167" s="20">
        <f t="shared" si="530"/>
        <v>1.106423777564717</v>
      </c>
      <c r="AE167" s="20">
        <f t="shared" si="530"/>
        <v>1.106423777564717</v>
      </c>
      <c r="AF167" s="118">
        <f t="shared" si="506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464</v>
      </c>
      <c r="T169" s="23"/>
      <c r="U169" s="23" t="s">
        <v>465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5.5681818181818175</v>
      </c>
      <c r="T170" s="158">
        <f>AVERAGE(I72:S72)</f>
        <v>4.7237656275415665</v>
      </c>
      <c r="U170" s="158">
        <f>AVERAGE(I102:S102)</f>
        <v>2.7892561983471071</v>
      </c>
      <c r="V170" s="192" t="s">
        <v>424</v>
      </c>
      <c r="W170" s="193" t="s">
        <v>425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-18.64491640618099</v>
      </c>
      <c r="V171" s="133">
        <f>PV($C$1, ($AE$3-$V$3), 0, -AE72)</f>
        <v>-2.05410096000299</v>
      </c>
      <c r="W171" s="133">
        <f>PV($C$1, ($AE$3-$V$3), 0, -AH72)</f>
        <v>-16.590815446177999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31">V172+W172</f>
        <v>266.46693030500325</v>
      </c>
      <c r="V172" s="133">
        <f>PV($C$1, ($AE$3-$V$3), 0, -AE74)</f>
        <v>29.356526220042728</v>
      </c>
      <c r="W172" s="133">
        <f>PV($C$1, ($AE$3-$V$3), 0, -AH74)</f>
        <v>237.11040408496052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31"/>
        <v>239.27642721265596</v>
      </c>
      <c r="V173" s="133">
        <f>PV($C$1, ($AE$3-$V$3), 0, -AE75)</f>
        <v>26.360962320038364</v>
      </c>
      <c r="W173" s="133">
        <f>PV($C$1, ($AE$3-$V$3), 0, -AH75)</f>
        <v>212.91546489261759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31"/>
        <v>751.23475686570873</v>
      </c>
      <c r="V174" s="133">
        <f>PV($C$1, ($AE$3-$V$3), 0, -AE76)</f>
        <v>82.76315118012046</v>
      </c>
      <c r="W174" s="133">
        <f>PV($C$1, ($AE$3-$V$3), 0, -AH76)</f>
        <v>668.47160568558832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31"/>
        <v>10.099329720014698</v>
      </c>
      <c r="V175" s="133">
        <f>PV($C$1, ($AE$3-$V$3), 0, -AE82)</f>
        <v>1.1126380200016195</v>
      </c>
      <c r="W175" s="133">
        <f>PV($C$1, ($AE$3-$V$3), 0, -AH82)</f>
        <v>8.986691700013079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31"/>
        <v>-484.76782656070554</v>
      </c>
      <c r="V177" s="133">
        <f>PV($C$1, ($AE$3-$V$3), 0, -AE78)</f>
        <v>-53.406624960077728</v>
      </c>
      <c r="W177" s="133">
        <f>PV($C$1, ($AE$3-$V$3), 0, -$AH$78)</f>
        <v>-431.36120160062779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31"/>
        <v>-606.73665471780623</v>
      </c>
      <c r="V178" s="133">
        <f>PV($C$1, ($AE$3-$V$3), 0, -AE79)</f>
        <v>-66.843868740097292</v>
      </c>
      <c r="W178" s="133">
        <f>PV($C$1, ($AE$3-$V$3), 0, -$AH$79)</f>
        <v>-539.89278597770897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31"/>
        <v>333.277880760485</v>
      </c>
      <c r="V179" s="133">
        <f>PV($C$1, ($AE$3-$V$3), 0, -AE80)</f>
        <v>36.717054660053435</v>
      </c>
      <c r="W179" s="133">
        <f>PV($C$1, ($AE$3-$V$3), 0, -$AH$80)</f>
        <v>296.5608261004316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31"/>
        <v>940.01453547829124</v>
      </c>
      <c r="V181" s="133">
        <f>PV($C$1, ($AE$3-$V$3), 0, -AE85)</f>
        <v>103.56092340015073</v>
      </c>
      <c r="W181" s="133">
        <f>PV($C$1, ($AE$3-$V$3), 0, -AH85)</f>
        <v>836.45361207814051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31"/>
        <v>642.99065884093579</v>
      </c>
      <c r="V182" s="133">
        <f>PV($C$1, ($AE$3-$V$3), 0, -AE86)</f>
        <v>98.083320840142747</v>
      </c>
      <c r="W182" s="133">
        <f>PV($C$1, ($AE$3-$V$3), 0, -AH86)</f>
        <v>544.90733800079306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2">V184+W184</f>
        <v>43.334813541835665</v>
      </c>
      <c r="V184" s="133">
        <f>PV($C$1, ($AE$3-$V$3), 0, -AE12)</f>
        <v>4.7741743732530812</v>
      </c>
      <c r="W184" s="133">
        <f>PV($C$1, ($AE$3-$V$3), 0, -AH12)</f>
        <v>38.560639168582583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12.311026574385131</v>
      </c>
      <c r="V185" s="139">
        <f>V184/R57</f>
        <v>1.356299537855989</v>
      </c>
      <c r="W185" s="139">
        <f>W184/R57</f>
        <v>10.954727036529142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3">V188+W188</f>
        <v>0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0</v>
      </c>
      <c r="W188" s="133">
        <f>PV($C$1, ($AE$3-$V$3), 0, -AH88)</f>
        <v>0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1"/>
        <v>452.56640419762925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336.88448669188148</v>
      </c>
      <c r="W190" s="133">
        <f>PV($C$1, ($AE$3-$V$3), 0, -AH90)</f>
        <v>115.68191750574776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454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4">V192+W192</f>
        <v>105.47218189322089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78.512106793181644</v>
      </c>
      <c r="W192" s="133">
        <f>PV($C$1, ($AE$3-$V$3), 0, -AH92)</f>
        <v>26.960075100039248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4"/>
        <v>132.51633109661086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98.643416227330775</v>
      </c>
      <c r="W193" s="133">
        <f>PV($C$1, ($AE$3-$V$3), 0, -AH93)</f>
        <v>33.872914869280081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4"/>
        <v>-27.044149203389964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-20.131309434149131</v>
      </c>
      <c r="W194" s="133">
        <f>PV($C$1, ($AE$3-$V$3), 0, -AH94)</f>
        <v>-6.912839769240831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4"/>
        <v>-108.17659681355985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-80.525237736596523</v>
      </c>
      <c r="W195" s="133">
        <f>PV($C$1, ($AE$3-$V$3), 0, -AH95)</f>
        <v>-27.651359076963324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452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-2.7044149203389622</v>
      </c>
      <c r="V196" s="110">
        <f t="shared" ref="V196:W196" si="535">V193+V194+V195</f>
        <v>-2.013130943414879</v>
      </c>
      <c r="W196" s="110">
        <f t="shared" si="535"/>
        <v>-0.69128397692407617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18.930904442372977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14.091916603904394</v>
      </c>
      <c r="W198" s="133">
        <f>PV($C$1, ($AE$3-$V$3), 0, -AH96)</f>
        <v>4.838987838468582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 t="s">
        <v>487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463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385</v>
      </c>
      <c r="R200" s="20">
        <v>45</v>
      </c>
      <c r="S200" s="20"/>
      <c r="T200" s="20" t="s">
        <v>487</v>
      </c>
      <c r="U200" s="23" t="s">
        <v>386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78</v>
      </c>
      <c r="H201" s="22">
        <v>90</v>
      </c>
      <c r="I201" s="22">
        <v>75</v>
      </c>
      <c r="J201" s="22">
        <v>65</v>
      </c>
      <c r="K201" s="22">
        <v>110</v>
      </c>
      <c r="L201" s="22">
        <v>50</v>
      </c>
      <c r="M201" s="22">
        <v>57</v>
      </c>
      <c r="N201" s="22">
        <v>45</v>
      </c>
      <c r="O201" s="22">
        <v>32</v>
      </c>
      <c r="P201" s="22">
        <v>24</v>
      </c>
      <c r="Q201" s="22">
        <v>39</v>
      </c>
      <c r="R201" s="22">
        <v>50</v>
      </c>
      <c r="S201" s="22">
        <v>40</v>
      </c>
      <c r="T201" s="118">
        <f t="shared" ref="T201:T227" si="536">((S201/G201)^(1/($J$2-$J$1) ))-1</f>
        <v>-5.4132182708348187E-2</v>
      </c>
      <c r="U201" s="31">
        <v>0</v>
      </c>
      <c r="V201" s="195">
        <v>50</v>
      </c>
      <c r="W201" s="119">
        <f t="shared" ref="W201:AE201" si="537">V201*(1+$U201)</f>
        <v>50</v>
      </c>
      <c r="X201" s="119">
        <f t="shared" si="537"/>
        <v>50</v>
      </c>
      <c r="Y201" s="119">
        <f t="shared" si="537"/>
        <v>50</v>
      </c>
      <c r="Z201" s="119">
        <f t="shared" si="537"/>
        <v>50</v>
      </c>
      <c r="AA201" s="119">
        <f t="shared" si="537"/>
        <v>50</v>
      </c>
      <c r="AB201" s="119">
        <f t="shared" si="537"/>
        <v>50</v>
      </c>
      <c r="AC201" s="119">
        <f t="shared" si="537"/>
        <v>50</v>
      </c>
      <c r="AD201" s="119">
        <f t="shared" si="537"/>
        <v>50</v>
      </c>
      <c r="AE201" s="119">
        <f t="shared" si="537"/>
        <v>50</v>
      </c>
      <c r="AF201" s="137">
        <f t="shared" ref="AF201:AF208" si="538">((AE201/I201)^(1/($AE$3-$J$1) ))-1</f>
        <v>-1.9122659390482077E-2</v>
      </c>
      <c r="AG201" s="31">
        <f t="shared" ref="AG201:AG208" si="539">$N$1</f>
        <v>0.05</v>
      </c>
      <c r="AH201" s="127">
        <f t="shared" ref="AH201:AH212" si="540">(AE201*(1+AF201))/($C$1-AG201)</f>
        <v>377.26051561904535</v>
      </c>
    </row>
    <row r="202" spans="2:34">
      <c r="B202" s="20" t="s">
        <v>356</v>
      </c>
      <c r="C202" s="25"/>
      <c r="D202" s="25"/>
      <c r="E202" s="25"/>
      <c r="F202" s="25"/>
      <c r="G202" s="25">
        <f t="shared" ref="G202:H202" si="541">G201/G66</f>
        <v>0.2917557251908397</v>
      </c>
      <c r="H202" s="25">
        <f t="shared" si="541"/>
        <v>0.31898734177215188</v>
      </c>
      <c r="I202" s="25">
        <f t="shared" ref="I202:S202" si="542">I201/I66</f>
        <v>0.24747474747474749</v>
      </c>
      <c r="J202" s="25">
        <f t="shared" si="542"/>
        <v>0.17893258426966294</v>
      </c>
      <c r="K202" s="25">
        <f t="shared" si="542"/>
        <v>0.26389228886168914</v>
      </c>
      <c r="L202" s="25">
        <f t="shared" si="542"/>
        <v>0.18633952254641911</v>
      </c>
      <c r="M202" s="25">
        <f t="shared" si="542"/>
        <v>0.1686</v>
      </c>
      <c r="N202" s="25">
        <f t="shared" si="542"/>
        <v>0.11310375670840787</v>
      </c>
      <c r="O202" s="25">
        <f t="shared" si="542"/>
        <v>6.3279380717804368E-2</v>
      </c>
      <c r="P202" s="25">
        <f t="shared" si="542"/>
        <v>5.5414954806902214E-2</v>
      </c>
      <c r="Q202" s="25">
        <f t="shared" si="542"/>
        <v>9.8976207642393649E-2</v>
      </c>
      <c r="R202" s="25">
        <f t="shared" si="542"/>
        <v>0.13323239969719908</v>
      </c>
      <c r="S202" s="25">
        <f t="shared" si="542"/>
        <v>0.11263999999999999</v>
      </c>
      <c r="T202" s="118">
        <f t="shared" si="536"/>
        <v>-7.6246483704035861E-2</v>
      </c>
      <c r="U202" s="128"/>
      <c r="V202" s="25">
        <f t="shared" ref="V202:AE202" si="543">V201/V66</f>
        <v>0.13677714285714287</v>
      </c>
      <c r="W202" s="25">
        <f t="shared" si="543"/>
        <v>0.13286922448979593</v>
      </c>
      <c r="X202" s="25">
        <f t="shared" si="543"/>
        <v>0.12907296093294462</v>
      </c>
      <c r="Y202" s="25">
        <f t="shared" si="543"/>
        <v>0.12538516204914621</v>
      </c>
      <c r="Z202" s="25">
        <f t="shared" si="543"/>
        <v>0.12180272884774201</v>
      </c>
      <c r="AA202" s="25">
        <f t="shared" si="543"/>
        <v>0.11832265088066367</v>
      </c>
      <c r="AB202" s="25">
        <f t="shared" si="543"/>
        <v>0.11494200371264471</v>
      </c>
      <c r="AC202" s="25">
        <f t="shared" si="543"/>
        <v>0.11165794646371201</v>
      </c>
      <c r="AD202" s="25">
        <f t="shared" si="543"/>
        <v>0.10846771942189164</v>
      </c>
      <c r="AE202" s="25">
        <f t="shared" si="543"/>
        <v>0.1053686417241233</v>
      </c>
      <c r="AF202" s="137">
        <f t="shared" ref="AF202" si="544">((AE202/I202)^(1/($AE$3-$J$1) ))-1</f>
        <v>-3.9843716948066321E-2</v>
      </c>
      <c r="AG202" s="31">
        <f t="shared" si="539"/>
        <v>0.05</v>
      </c>
      <c r="AH202" s="127">
        <f t="shared" ref="AH202" si="545">(AE202*(1+AF202))/($C$1-AG202)</f>
        <v>0.77823356452357784</v>
      </c>
    </row>
    <row r="203" spans="2:34">
      <c r="B203" s="20" t="s">
        <v>384</v>
      </c>
      <c r="C203" s="25"/>
      <c r="D203" s="25"/>
      <c r="E203" s="25"/>
      <c r="F203" s="25"/>
      <c r="G203" s="25">
        <f t="shared" ref="G203:H203" si="546">G201/G72</f>
        <v>11.76</v>
      </c>
      <c r="H203" s="25">
        <f t="shared" si="546"/>
        <v>11.380645161290323</v>
      </c>
      <c r="I203" s="25">
        <f t="shared" ref="I203:S203" si="547">I201/I72</f>
        <v>8.6470588235294112</v>
      </c>
      <c r="J203" s="25">
        <f t="shared" si="547"/>
        <v>6.0666666666666664</v>
      </c>
      <c r="K203" s="25">
        <f t="shared" si="547"/>
        <v>43.12</v>
      </c>
      <c r="L203" s="25">
        <f t="shared" si="547"/>
        <v>-8.264705882352942</v>
      </c>
      <c r="M203" s="25">
        <f t="shared" si="547"/>
        <v>-22.881428571428572</v>
      </c>
      <c r="N203" s="25">
        <f t="shared" si="547"/>
        <v>-14.05</v>
      </c>
      <c r="O203" s="25">
        <f t="shared" si="547"/>
        <v>0.47829787234042553</v>
      </c>
      <c r="P203" s="25">
        <f t="shared" si="547"/>
        <v>11.240000000000002</v>
      </c>
      <c r="Q203" s="25">
        <f t="shared" si="547"/>
        <v>5.9686956521739134</v>
      </c>
      <c r="R203" s="25">
        <f t="shared" si="547"/>
        <v>-1.8526315789473684</v>
      </c>
      <c r="S203" s="25">
        <f t="shared" si="547"/>
        <v>-5.8666666666666663</v>
      </c>
      <c r="T203" s="118" t="e">
        <f t="shared" si="536"/>
        <v>#NUM!</v>
      </c>
      <c r="U203" s="128"/>
      <c r="V203" s="119">
        <f t="shared" ref="V203:AE203" si="548">V201/V72</f>
        <v>-7.1238095238095243</v>
      </c>
      <c r="W203" s="119">
        <f t="shared" si="548"/>
        <v>-6.9202721088435366</v>
      </c>
      <c r="X203" s="119">
        <f t="shared" si="548"/>
        <v>-6.7225500485908647</v>
      </c>
      <c r="Y203" s="119">
        <f t="shared" si="548"/>
        <v>-6.5304771900596972</v>
      </c>
      <c r="Z203" s="119">
        <f t="shared" si="548"/>
        <v>-6.3438921274865629</v>
      </c>
      <c r="AA203" s="119">
        <f t="shared" si="548"/>
        <v>-6.1626380667012315</v>
      </c>
      <c r="AB203" s="119">
        <f t="shared" si="548"/>
        <v>-5.9865626933669107</v>
      </c>
      <c r="AC203" s="119">
        <f t="shared" si="548"/>
        <v>-5.8155180449849979</v>
      </c>
      <c r="AD203" s="119">
        <f t="shared" si="548"/>
        <v>-5.6493603865568547</v>
      </c>
      <c r="AE203" s="119">
        <f t="shared" si="548"/>
        <v>-5.4879500897980869</v>
      </c>
      <c r="AF203" s="137">
        <f t="shared" si="538"/>
        <v>-1.9785820058505892</v>
      </c>
      <c r="AG203" s="31">
        <f t="shared" si="539"/>
        <v>0.05</v>
      </c>
      <c r="AH203" s="127">
        <f t="shared" si="540"/>
        <v>41.310840052942559</v>
      </c>
    </row>
    <row r="204" spans="2:34">
      <c r="B204" s="20" t="s">
        <v>457</v>
      </c>
      <c r="C204" s="25"/>
      <c r="D204" s="25"/>
      <c r="E204" s="25"/>
      <c r="F204" s="25"/>
      <c r="G204" s="25">
        <f t="shared" ref="G204:H204" si="549">G201/G70</f>
        <v>4.3679999999999994</v>
      </c>
      <c r="H204" s="25">
        <f t="shared" si="549"/>
        <v>4.6421052631578945</v>
      </c>
      <c r="I204" s="25">
        <f t="shared" ref="I204:S204" si="550">I201/I70</f>
        <v>3.1276595744680851</v>
      </c>
      <c r="J204" s="25">
        <f t="shared" si="550"/>
        <v>2.0548387096774192</v>
      </c>
      <c r="K204" s="25">
        <f t="shared" si="550"/>
        <v>2.8368421052631576</v>
      </c>
      <c r="L204" s="25">
        <f t="shared" si="550"/>
        <v>1.2657657657657657</v>
      </c>
      <c r="M204" s="25">
        <f t="shared" si="550"/>
        <v>1.4969158878504674</v>
      </c>
      <c r="N204" s="25">
        <f t="shared" si="550"/>
        <v>0.98023255813953492</v>
      </c>
      <c r="O204" s="25">
        <f t="shared" si="550"/>
        <v>2.7248484848484851</v>
      </c>
      <c r="P204" s="25">
        <f t="shared" si="550"/>
        <v>0.56672268907563028</v>
      </c>
      <c r="Q204" s="25">
        <f t="shared" si="550"/>
        <v>0.93387755102040826</v>
      </c>
      <c r="R204" s="25">
        <f t="shared" si="550"/>
        <v>58.666666666666664</v>
      </c>
      <c r="S204" s="25">
        <f t="shared" si="550"/>
        <v>1.1932203389830509</v>
      </c>
      <c r="T204" s="118">
        <f t="shared" si="536"/>
        <v>-0.1024957754387017</v>
      </c>
      <c r="U204" s="128"/>
      <c r="V204" s="25">
        <f t="shared" ref="V204:AE204" si="551">V201/V70</f>
        <v>1.448910411622276</v>
      </c>
      <c r="W204" s="25">
        <f t="shared" si="551"/>
        <v>1.4075129712902112</v>
      </c>
      <c r="X204" s="25">
        <f t="shared" si="551"/>
        <v>1.3672983149676337</v>
      </c>
      <c r="Y204" s="25">
        <f t="shared" si="551"/>
        <v>1.328232648825701</v>
      </c>
      <c r="Z204" s="25">
        <f t="shared" si="551"/>
        <v>1.2902831445735383</v>
      </c>
      <c r="AA204" s="25">
        <f t="shared" si="551"/>
        <v>1.2534179118714373</v>
      </c>
      <c r="AB204" s="25">
        <f t="shared" si="551"/>
        <v>1.2176059715322531</v>
      </c>
      <c r="AC204" s="25">
        <f t="shared" si="551"/>
        <v>1.1828172294884745</v>
      </c>
      <c r="AD204" s="25">
        <f t="shared" si="551"/>
        <v>1.1490224515030893</v>
      </c>
      <c r="AE204" s="25">
        <f t="shared" si="551"/>
        <v>1.1161932386030009</v>
      </c>
      <c r="AF204" s="137">
        <f t="shared" ref="AF204:AF205" si="552">((AE204/I204)^(1/($AE$3-$J$1) ))-1</f>
        <v>-4.7880577947029823E-2</v>
      </c>
      <c r="AG204" s="31">
        <f t="shared" si="539"/>
        <v>0.05</v>
      </c>
      <c r="AH204" s="127">
        <f t="shared" ref="AH204:AH205" si="553">(AE204*(1+AF204))/($C$1-AG204)</f>
        <v>8.1749943172163242</v>
      </c>
    </row>
    <row r="205" spans="2:34">
      <c r="B205" s="20" t="s">
        <v>458</v>
      </c>
      <c r="C205" s="25"/>
      <c r="D205" s="25"/>
      <c r="E205" s="25"/>
      <c r="F205" s="25"/>
      <c r="G205" s="25">
        <f t="shared" ref="G205:H205" si="554">G201/G71</f>
        <v>8.9929411764705893</v>
      </c>
      <c r="H205" s="25">
        <f t="shared" si="554"/>
        <v>8.0181818181818176</v>
      </c>
      <c r="I205" s="25">
        <f t="shared" ref="I205:S205" si="555">I201/I71</f>
        <v>6.125</v>
      </c>
      <c r="J205" s="25">
        <f t="shared" si="555"/>
        <v>4.246666666666667</v>
      </c>
      <c r="K205" s="25">
        <f t="shared" si="555"/>
        <v>43.12</v>
      </c>
      <c r="L205" s="25">
        <f t="shared" si="555"/>
        <v>-6.1086956521739131</v>
      </c>
      <c r="M205" s="25">
        <f t="shared" si="555"/>
        <v>-22.881428571428572</v>
      </c>
      <c r="N205" s="25">
        <f t="shared" si="555"/>
        <v>-7.0250000000000004</v>
      </c>
      <c r="O205" s="25">
        <f t="shared" si="555"/>
        <v>0.39266375545851528</v>
      </c>
      <c r="P205" s="25">
        <f t="shared" si="555"/>
        <v>5.620000000000001</v>
      </c>
      <c r="Q205" s="25">
        <f t="shared" si="555"/>
        <v>5.4912000000000001</v>
      </c>
      <c r="R205" s="25">
        <f t="shared" si="555"/>
        <v>-1.4666666666666666</v>
      </c>
      <c r="S205" s="25">
        <f t="shared" si="555"/>
        <v>-6.4</v>
      </c>
      <c r="T205" s="118" t="e">
        <f t="shared" si="536"/>
        <v>#NUM!</v>
      </c>
      <c r="U205" s="128"/>
      <c r="V205" s="25">
        <f t="shared" ref="V205:AE205" si="556">V201/V71</f>
        <v>-7.7714285714285714</v>
      </c>
      <c r="W205" s="25">
        <f t="shared" si="556"/>
        <v>-7.5493877551020407</v>
      </c>
      <c r="X205" s="25">
        <f t="shared" si="556"/>
        <v>-7.3336909620991255</v>
      </c>
      <c r="Y205" s="25">
        <f t="shared" si="556"/>
        <v>-7.1241569346105784</v>
      </c>
      <c r="Z205" s="25">
        <f t="shared" si="556"/>
        <v>-6.9206095936217045</v>
      </c>
      <c r="AA205" s="25">
        <f t="shared" si="556"/>
        <v>-6.7228778909467994</v>
      </c>
      <c r="AB205" s="25">
        <f t="shared" si="556"/>
        <v>-6.5307956654911754</v>
      </c>
      <c r="AC205" s="25">
        <f t="shared" si="556"/>
        <v>-6.3442015036199999</v>
      </c>
      <c r="AD205" s="25">
        <f t="shared" si="556"/>
        <v>-6.1629386035165705</v>
      </c>
      <c r="AE205" s="25">
        <f t="shared" si="556"/>
        <v>-5.9868546434160965</v>
      </c>
      <c r="AF205" s="137">
        <f t="shared" si="552"/>
        <v>-1.9989142763256984</v>
      </c>
      <c r="AG205" s="31">
        <f t="shared" si="539"/>
        <v>0.05</v>
      </c>
      <c r="AH205" s="127">
        <f t="shared" si="553"/>
        <v>46.002727489193362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7">G201/G75</f>
        <v>2.0383999999999998</v>
      </c>
      <c r="H206" s="25">
        <f t="shared" si="557"/>
        <v>2.0511627906976746</v>
      </c>
      <c r="I206" s="25">
        <f t="shared" ref="I206:S206" si="558">I201/I75</f>
        <v>1.5638297872340425</v>
      </c>
      <c r="J206" s="25">
        <f t="shared" si="558"/>
        <v>1.0982758620689654</v>
      </c>
      <c r="K206" s="25">
        <f t="shared" si="558"/>
        <v>1.8271186440677964</v>
      </c>
      <c r="L206" s="25">
        <f t="shared" si="558"/>
        <v>0.91830065359477131</v>
      </c>
      <c r="M206" s="25">
        <f t="shared" si="558"/>
        <v>1.0201910828025478</v>
      </c>
      <c r="N206" s="25">
        <f t="shared" si="558"/>
        <v>0.94365671641791038</v>
      </c>
      <c r="O206" s="25">
        <f t="shared" si="558"/>
        <v>0.29676567656765673</v>
      </c>
      <c r="P206" s="25">
        <f t="shared" si="558"/>
        <v>0.21896103896103894</v>
      </c>
      <c r="Q206" s="25">
        <f t="shared" si="558"/>
        <v>0.3192558139534884</v>
      </c>
      <c r="R206" s="25">
        <f t="shared" si="558"/>
        <v>0.52694610778443107</v>
      </c>
      <c r="S206" s="25">
        <f t="shared" si="558"/>
        <v>0.45714285714285713</v>
      </c>
      <c r="T206" s="118">
        <f t="shared" si="536"/>
        <v>-0.11712976093538674</v>
      </c>
      <c r="U206" s="128"/>
      <c r="V206" s="119">
        <f t="shared" ref="V206:AE206" si="559">V201/V75</f>
        <v>0.55510204081632653</v>
      </c>
      <c r="W206" s="119">
        <f t="shared" si="559"/>
        <v>0.53924198250728861</v>
      </c>
      <c r="X206" s="119">
        <f t="shared" si="559"/>
        <v>0.52383506872136609</v>
      </c>
      <c r="Y206" s="119">
        <f t="shared" si="559"/>
        <v>0.5088683524721842</v>
      </c>
      <c r="Z206" s="119">
        <f t="shared" si="559"/>
        <v>0.49432925668726468</v>
      </c>
      <c r="AA206" s="119">
        <f t="shared" si="559"/>
        <v>0.48020556363905703</v>
      </c>
      <c r="AB206" s="119">
        <f t="shared" si="559"/>
        <v>0.46648540467794108</v>
      </c>
      <c r="AC206" s="119">
        <f t="shared" si="559"/>
        <v>0.45315725025857129</v>
      </c>
      <c r="AD206" s="119">
        <f t="shared" si="559"/>
        <v>0.44020990025118351</v>
      </c>
      <c r="AE206" s="119">
        <f t="shared" si="559"/>
        <v>0.42763247452972114</v>
      </c>
      <c r="AF206" s="137">
        <f t="shared" si="538"/>
        <v>-5.9876694490056503E-2</v>
      </c>
      <c r="AG206" s="31">
        <f t="shared" si="539"/>
        <v>0.05</v>
      </c>
      <c r="AH206" s="127">
        <f t="shared" si="540"/>
        <v>3.0925173499867551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60">G201/G84</f>
        <v>11.76</v>
      </c>
      <c r="H207" s="25">
        <f t="shared" si="560"/>
        <v>10.376470588235295</v>
      </c>
      <c r="I207" s="25">
        <f t="shared" ref="I207:S207" si="561">I201/I84</f>
        <v>4.2241379310344831</v>
      </c>
      <c r="J207" s="25">
        <f t="shared" si="561"/>
        <v>11.581818181818182</v>
      </c>
      <c r="K207" s="25">
        <f t="shared" si="561"/>
        <v>5.8270270270270261</v>
      </c>
      <c r="L207" s="25">
        <f t="shared" si="561"/>
        <v>8.264705882352942</v>
      </c>
      <c r="M207" s="25">
        <f t="shared" si="561"/>
        <v>4.8536363636363635</v>
      </c>
      <c r="N207" s="25">
        <f t="shared" si="561"/>
        <v>4.6833333333333327</v>
      </c>
      <c r="O207" s="25">
        <f t="shared" si="561"/>
        <v>1.3031884057971015</v>
      </c>
      <c r="P207" s="25">
        <f t="shared" si="561"/>
        <v>0.97739130434782606</v>
      </c>
      <c r="Q207" s="25">
        <f t="shared" si="561"/>
        <v>2.048955223880597</v>
      </c>
      <c r="R207" s="25">
        <f t="shared" si="561"/>
        <v>2.6268656716417911</v>
      </c>
      <c r="S207" s="25">
        <f t="shared" si="561"/>
        <v>2.5142857142857142</v>
      </c>
      <c r="T207" s="118">
        <f t="shared" si="536"/>
        <v>-0.12063884829724347</v>
      </c>
      <c r="U207" s="128"/>
      <c r="V207" s="119">
        <f t="shared" ref="V207:AE207" si="562">V201/V84</f>
        <v>3.0530612244897961</v>
      </c>
      <c r="W207" s="119">
        <f t="shared" si="562"/>
        <v>2.9658309037900876</v>
      </c>
      <c r="X207" s="119">
        <f t="shared" si="562"/>
        <v>2.8810928779675136</v>
      </c>
      <c r="Y207" s="119">
        <f t="shared" si="562"/>
        <v>2.798775938597013</v>
      </c>
      <c r="Z207" s="119">
        <f t="shared" si="562"/>
        <v>2.718810911779955</v>
      </c>
      <c r="AA207" s="119">
        <f t="shared" si="562"/>
        <v>2.6411306000148138</v>
      </c>
      <c r="AB207" s="119">
        <f t="shared" si="562"/>
        <v>2.565669725728676</v>
      </c>
      <c r="AC207" s="119">
        <f t="shared" si="562"/>
        <v>2.4923648764221422</v>
      </c>
      <c r="AD207" s="119">
        <f t="shared" si="562"/>
        <v>2.4211544513815091</v>
      </c>
      <c r="AE207" s="119">
        <f t="shared" si="562"/>
        <v>2.3519786099134659</v>
      </c>
      <c r="AF207" s="137">
        <f t="shared" si="538"/>
        <v>-2.749856399375028E-2</v>
      </c>
      <c r="AG207" s="31">
        <f t="shared" si="539"/>
        <v>0.05</v>
      </c>
      <c r="AH207" s="127">
        <f t="shared" si="540"/>
        <v>17.594635196898679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3">G201/G86</f>
        <v>0.54599999999999993</v>
      </c>
      <c r="H208" s="25">
        <f t="shared" si="563"/>
        <v>0.55999999999999994</v>
      </c>
      <c r="I208" s="25">
        <f t="shared" ref="I208:S208" si="564">I201/I86</f>
        <v>0.36206896551724138</v>
      </c>
      <c r="J208" s="25">
        <f t="shared" si="564"/>
        <v>0.24737864077669902</v>
      </c>
      <c r="K208" s="25">
        <f t="shared" si="564"/>
        <v>0.31940740740740736</v>
      </c>
      <c r="L208" s="25">
        <f t="shared" si="564"/>
        <v>0.19141689373297005</v>
      </c>
      <c r="M208" s="25">
        <f t="shared" si="564"/>
        <v>0.18777256740914419</v>
      </c>
      <c r="N208" s="25">
        <f t="shared" si="564"/>
        <v>0.12798582995951416</v>
      </c>
      <c r="O208" s="25">
        <f t="shared" si="564"/>
        <v>8.5394112060778724E-2</v>
      </c>
      <c r="P208" s="25">
        <f t="shared" si="564"/>
        <v>6.4474187380497136E-2</v>
      </c>
      <c r="Q208" s="25">
        <f t="shared" si="564"/>
        <v>0.11234042553191488</v>
      </c>
      <c r="R208" s="25">
        <f t="shared" si="564"/>
        <v>0.15827338129496402</v>
      </c>
      <c r="S208" s="25">
        <f t="shared" si="564"/>
        <v>0.12286212914485166</v>
      </c>
      <c r="T208" s="118">
        <f t="shared" si="536"/>
        <v>-0.11688190628966355</v>
      </c>
      <c r="U208" s="128"/>
      <c r="V208" s="119">
        <f t="shared" ref="V208:AE208" si="565">V201/V86</f>
        <v>0.14918972824731988</v>
      </c>
      <c r="W208" s="119">
        <f t="shared" si="565"/>
        <v>0.14492716458311075</v>
      </c>
      <c r="X208" s="119">
        <f t="shared" si="565"/>
        <v>0.14078638845216473</v>
      </c>
      <c r="Y208" s="119">
        <f t="shared" si="565"/>
        <v>0.13676392021067429</v>
      </c>
      <c r="Z208" s="119">
        <f t="shared" si="565"/>
        <v>0.13285637963322647</v>
      </c>
      <c r="AA208" s="119">
        <f t="shared" si="565"/>
        <v>0.12906048307227713</v>
      </c>
      <c r="AB208" s="119">
        <f t="shared" si="565"/>
        <v>0.12537304069878347</v>
      </c>
      <c r="AC208" s="119">
        <f t="shared" si="565"/>
        <v>0.12179095382167539</v>
      </c>
      <c r="AD208" s="119">
        <f t="shared" si="565"/>
        <v>0.11831121228391323</v>
      </c>
      <c r="AE208" s="119">
        <f t="shared" si="565"/>
        <v>0.11493089193294426</v>
      </c>
      <c r="AF208" s="137">
        <f t="shared" si="538"/>
        <v>-5.3176928004407209E-2</v>
      </c>
      <c r="AG208" s="31">
        <f t="shared" si="539"/>
        <v>0.05</v>
      </c>
      <c r="AH208" s="127">
        <f t="shared" si="540"/>
        <v>0.83707092436264441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6">G201/G80</f>
        <v>1.3529203539823009</v>
      </c>
      <c r="H209" s="180">
        <f t="shared" si="566"/>
        <v>1.2782608695652173</v>
      </c>
      <c r="I209" s="180">
        <f t="shared" ref="I209:S209" si="567">I201/I80</f>
        <v>1.3611111111111112</v>
      </c>
      <c r="J209" s="180">
        <f t="shared" si="567"/>
        <v>1.2250000000000001</v>
      </c>
      <c r="K209" s="180">
        <f t="shared" si="567"/>
        <v>1.8117647058823529</v>
      </c>
      <c r="L209" s="180">
        <f t="shared" si="567"/>
        <v>0.72797927461139889</v>
      </c>
      <c r="M209" s="180">
        <f t="shared" si="567"/>
        <v>0.81304568527918786</v>
      </c>
      <c r="N209" s="180">
        <f t="shared" si="567"/>
        <v>1.0364754098360656</v>
      </c>
      <c r="O209" s="180">
        <f t="shared" si="567"/>
        <v>0.21207547169811319</v>
      </c>
      <c r="P209" s="180">
        <f t="shared" si="567"/>
        <v>0.16019002375296912</v>
      </c>
      <c r="Q209" s="180">
        <f t="shared" si="567"/>
        <v>0.2061261261261261</v>
      </c>
      <c r="R209" s="180">
        <f t="shared" si="567"/>
        <v>0.37606837606837601</v>
      </c>
      <c r="S209" s="180">
        <f t="shared" si="567"/>
        <v>0.3282051282051282</v>
      </c>
      <c r="T209" s="118">
        <f t="shared" si="536"/>
        <v>-0.11133223386571012</v>
      </c>
      <c r="U209" s="128"/>
      <c r="V209" s="134">
        <f t="shared" ref="V209:AE209" si="568">V201/V80</f>
        <v>0.39853479853479851</v>
      </c>
      <c r="W209" s="134">
        <f t="shared" si="568"/>
        <v>0.38714809000523281</v>
      </c>
      <c r="X209" s="134">
        <f t="shared" si="568"/>
        <v>0.3760867160050832</v>
      </c>
      <c r="Y209" s="134">
        <f t="shared" si="568"/>
        <v>0.36534138126208088</v>
      </c>
      <c r="Z209" s="134">
        <f t="shared" si="568"/>
        <v>0.3549030560831643</v>
      </c>
      <c r="AA209" s="134">
        <f t="shared" si="568"/>
        <v>0.34476296876650253</v>
      </c>
      <c r="AB209" s="134">
        <f t="shared" si="568"/>
        <v>0.3349125982303166</v>
      </c>
      <c r="AC209" s="134">
        <f t="shared" si="568"/>
        <v>0.32534366685230759</v>
      </c>
      <c r="AD209" s="134">
        <f t="shared" si="568"/>
        <v>0.31604813351367023</v>
      </c>
      <c r="AE209" s="134">
        <f t="shared" si="568"/>
        <v>0.30701818684185106</v>
      </c>
      <c r="AF209" s="137">
        <f t="shared" ref="AF209" si="569">((AE209/I209)^(1/($AE$3-$J$1) ))-1</f>
        <v>-6.8456031475976009E-2</v>
      </c>
      <c r="AG209" s="31">
        <f t="shared" ref="AG209:AG212" si="570">$N$1</f>
        <v>0.05</v>
      </c>
      <c r="AH209" s="127">
        <f t="shared" si="540"/>
        <v>2.2000072321516018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70"/>
        <v>0.05</v>
      </c>
      <c r="AH210" s="127"/>
    </row>
    <row r="211" spans="2:34">
      <c r="B211" s="20" t="s">
        <v>315</v>
      </c>
      <c r="C211" s="150"/>
      <c r="D211" s="150"/>
      <c r="E211" s="150"/>
      <c r="F211" s="150"/>
      <c r="G211" s="150">
        <f t="shared" ref="G211:H211" si="571">G59/G201</f>
        <v>1.9230769230769232E-2</v>
      </c>
      <c r="H211" s="150">
        <f t="shared" si="571"/>
        <v>2.2222222222222223E-2</v>
      </c>
      <c r="I211" s="150">
        <f t="shared" ref="I211:S211" si="572">I59/I201</f>
        <v>2.9333333333333336E-2</v>
      </c>
      <c r="J211" s="150">
        <f t="shared" si="572"/>
        <v>1.5384615384615385E-2</v>
      </c>
      <c r="K211" s="150">
        <f t="shared" si="572"/>
        <v>0</v>
      </c>
      <c r="L211" s="150">
        <f t="shared" si="572"/>
        <v>0</v>
      </c>
      <c r="M211" s="150">
        <f t="shared" si="572"/>
        <v>0</v>
      </c>
      <c r="N211" s="150">
        <f t="shared" si="572"/>
        <v>0</v>
      </c>
      <c r="O211" s="150">
        <f t="shared" si="572"/>
        <v>0</v>
      </c>
      <c r="P211" s="150">
        <f t="shared" si="572"/>
        <v>0</v>
      </c>
      <c r="Q211" s="150">
        <f t="shared" si="572"/>
        <v>0</v>
      </c>
      <c r="R211" s="150">
        <f t="shared" si="572"/>
        <v>0</v>
      </c>
      <c r="S211" s="150">
        <f t="shared" si="572"/>
        <v>0</v>
      </c>
      <c r="T211" s="118">
        <f t="shared" si="536"/>
        <v>-1</v>
      </c>
      <c r="U211" s="128"/>
      <c r="V211" s="150">
        <f t="shared" ref="V211:AE211" si="573">V59/V201</f>
        <v>0</v>
      </c>
      <c r="W211" s="150">
        <f t="shared" si="573"/>
        <v>0</v>
      </c>
      <c r="X211" s="150">
        <f t="shared" si="573"/>
        <v>0</v>
      </c>
      <c r="Y211" s="150">
        <f t="shared" si="573"/>
        <v>0</v>
      </c>
      <c r="Z211" s="150">
        <f t="shared" si="573"/>
        <v>0</v>
      </c>
      <c r="AA211" s="150">
        <f t="shared" si="573"/>
        <v>0</v>
      </c>
      <c r="AB211" s="150">
        <f t="shared" si="573"/>
        <v>0</v>
      </c>
      <c r="AC211" s="150">
        <f t="shared" si="573"/>
        <v>0</v>
      </c>
      <c r="AD211" s="150">
        <f t="shared" si="573"/>
        <v>0</v>
      </c>
      <c r="AE211" s="150">
        <f t="shared" si="573"/>
        <v>0</v>
      </c>
      <c r="AF211" s="137">
        <f t="shared" ref="AF211:AF216" si="574">((AE211/I211)^(1/($AE$3-$J$1) ))-1</f>
        <v>-1</v>
      </c>
      <c r="AG211" s="31">
        <f t="shared" si="570"/>
        <v>0.05</v>
      </c>
      <c r="AH211" s="127">
        <f t="shared" si="540"/>
        <v>0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5">G201*G57</f>
        <v>152.88</v>
      </c>
      <c r="H212" s="163">
        <f t="shared" si="575"/>
        <v>176.4</v>
      </c>
      <c r="I212" s="163">
        <f t="shared" ref="I212:S212" si="576">I201*I57</f>
        <v>147</v>
      </c>
      <c r="J212" s="163">
        <f t="shared" si="576"/>
        <v>127.39999999999999</v>
      </c>
      <c r="K212" s="163">
        <f t="shared" si="576"/>
        <v>215.6</v>
      </c>
      <c r="L212" s="163">
        <f t="shared" si="576"/>
        <v>140.5</v>
      </c>
      <c r="M212" s="163">
        <f t="shared" si="576"/>
        <v>160.17000000000002</v>
      </c>
      <c r="N212" s="163">
        <f t="shared" si="576"/>
        <v>126.45</v>
      </c>
      <c r="O212" s="163">
        <f t="shared" si="576"/>
        <v>89.92</v>
      </c>
      <c r="P212" s="163">
        <f t="shared" si="576"/>
        <v>67.44</v>
      </c>
      <c r="Q212" s="163">
        <f t="shared" si="576"/>
        <v>137.28</v>
      </c>
      <c r="R212" s="163">
        <f t="shared" si="576"/>
        <v>176</v>
      </c>
      <c r="S212" s="163">
        <f t="shared" si="576"/>
        <v>140.80000000000001</v>
      </c>
      <c r="T212" s="118">
        <f t="shared" si="536"/>
        <v>-6.8359326663828268E-3</v>
      </c>
      <c r="U212" s="128"/>
      <c r="V212" s="163">
        <f t="shared" ref="V212:AE212" si="577">V201*V57</f>
        <v>179.52</v>
      </c>
      <c r="W212" s="163">
        <f t="shared" si="577"/>
        <v>183.1104</v>
      </c>
      <c r="X212" s="163">
        <f t="shared" si="577"/>
        <v>186.77260800000002</v>
      </c>
      <c r="Y212" s="163">
        <f t="shared" si="577"/>
        <v>190.50806016000001</v>
      </c>
      <c r="Z212" s="163">
        <f t="shared" si="577"/>
        <v>194.31822136320002</v>
      </c>
      <c r="AA212" s="163">
        <f t="shared" si="577"/>
        <v>198.20458579046402</v>
      </c>
      <c r="AB212" s="163">
        <f t="shared" si="577"/>
        <v>202.1686775062733</v>
      </c>
      <c r="AC212" s="163">
        <f t="shared" si="577"/>
        <v>206.21205105639876</v>
      </c>
      <c r="AD212" s="163">
        <f t="shared" si="577"/>
        <v>210.33629207752674</v>
      </c>
      <c r="AE212" s="163">
        <f t="shared" si="577"/>
        <v>214.54301791907727</v>
      </c>
      <c r="AF212" s="137">
        <f t="shared" si="574"/>
        <v>1.8166742689302628E-2</v>
      </c>
      <c r="AG212" s="31">
        <f t="shared" si="570"/>
        <v>0.05</v>
      </c>
      <c r="AH212" s="127">
        <f t="shared" si="540"/>
        <v>1680.3120440107662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366</v>
      </c>
      <c r="C214" s="159"/>
      <c r="D214" s="159"/>
      <c r="E214" s="159"/>
      <c r="F214" s="159"/>
      <c r="G214" s="159">
        <f t="shared" ref="G214:H214" si="578">G72/G201</f>
        <v>8.5034013605442174E-2</v>
      </c>
      <c r="H214" s="159">
        <f t="shared" si="578"/>
        <v>8.7868480725623588E-2</v>
      </c>
      <c r="I214" s="159">
        <f t="shared" ref="I214:S214" si="579">I72/I201</f>
        <v>0.11564625850340135</v>
      </c>
      <c r="J214" s="159">
        <f t="shared" si="579"/>
        <v>0.16483516483516486</v>
      </c>
      <c r="K214" s="159">
        <f t="shared" si="579"/>
        <v>2.3191094619666047E-2</v>
      </c>
      <c r="L214" s="159">
        <f t="shared" si="579"/>
        <v>-0.12099644128113879</v>
      </c>
      <c r="M214" s="159">
        <f t="shared" si="579"/>
        <v>-4.3703564962227631E-2</v>
      </c>
      <c r="N214" s="159">
        <f t="shared" si="579"/>
        <v>-7.1174377224199281E-2</v>
      </c>
      <c r="O214" s="159">
        <f t="shared" si="579"/>
        <v>2.0907473309608542</v>
      </c>
      <c r="P214" s="159">
        <f t="shared" si="579"/>
        <v>8.8967971530249101E-2</v>
      </c>
      <c r="Q214" s="159">
        <f t="shared" si="579"/>
        <v>0.16754079254079254</v>
      </c>
      <c r="R214" s="159">
        <f t="shared" si="579"/>
        <v>-0.53977272727272729</v>
      </c>
      <c r="S214" s="159">
        <f t="shared" si="579"/>
        <v>-0.17045454545454547</v>
      </c>
      <c r="T214" s="118" t="e">
        <f t="shared" si="536"/>
        <v>#NUM!</v>
      </c>
      <c r="U214" s="128"/>
      <c r="V214" s="159">
        <f t="shared" ref="V214:AE214" si="580">V72/V201</f>
        <v>-0.14037433155080214</v>
      </c>
      <c r="W214" s="159">
        <f t="shared" si="580"/>
        <v>-0.14450298836111986</v>
      </c>
      <c r="X214" s="159">
        <f t="shared" si="580"/>
        <v>-0.14875307625409395</v>
      </c>
      <c r="Y214" s="159">
        <f t="shared" si="580"/>
        <v>-0.15312816673215557</v>
      </c>
      <c r="Z214" s="159">
        <f t="shared" si="580"/>
        <v>-0.15763193634192485</v>
      </c>
      <c r="AA214" s="159">
        <f t="shared" si="580"/>
        <v>-0.16226816976374617</v>
      </c>
      <c r="AB214" s="159">
        <f t="shared" si="580"/>
        <v>-0.16704076299209167</v>
      </c>
      <c r="AC214" s="159">
        <f t="shared" si="580"/>
        <v>-0.17195372660950614</v>
      </c>
      <c r="AD214" s="159">
        <f t="shared" si="580"/>
        <v>-0.17701118915684458</v>
      </c>
      <c r="AE214" s="159">
        <f t="shared" si="580"/>
        <v>-0.18221740060263414</v>
      </c>
      <c r="AF214" s="137">
        <f t="shared" ref="AF214" si="581">((AE214/I214)^(1/($AE$3-$J$1) ))-1</f>
        <v>-2.0218867647487491</v>
      </c>
      <c r="AG214" s="31">
        <f t="shared" ref="AG214" si="582">$N$1</f>
        <v>0.05</v>
      </c>
      <c r="AH214" s="127">
        <f t="shared" ref="AH214" si="583">(AE214*(1+AF214))/($C$1-AG214)</f>
        <v>1.4323503844827121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4">G203</f>
        <v>11.76</v>
      </c>
      <c r="H215" s="179">
        <f t="shared" si="584"/>
        <v>11.380645161290323</v>
      </c>
      <c r="I215" s="179">
        <f t="shared" ref="I215:S215" si="585">I203</f>
        <v>8.6470588235294112</v>
      </c>
      <c r="J215" s="179">
        <f t="shared" si="585"/>
        <v>6.0666666666666664</v>
      </c>
      <c r="K215" s="179">
        <f t="shared" si="585"/>
        <v>43.12</v>
      </c>
      <c r="L215" s="179">
        <f t="shared" si="585"/>
        <v>-8.264705882352942</v>
      </c>
      <c r="M215" s="179">
        <f t="shared" si="585"/>
        <v>-22.881428571428572</v>
      </c>
      <c r="N215" s="179">
        <f t="shared" si="585"/>
        <v>-14.05</v>
      </c>
      <c r="O215" s="179">
        <f t="shared" si="585"/>
        <v>0.47829787234042553</v>
      </c>
      <c r="P215" s="179">
        <f t="shared" si="585"/>
        <v>11.240000000000002</v>
      </c>
      <c r="Q215" s="179">
        <f t="shared" si="585"/>
        <v>5.9686956521739134</v>
      </c>
      <c r="R215" s="179">
        <f t="shared" si="585"/>
        <v>-1.8526315789473684</v>
      </c>
      <c r="S215" s="179">
        <f t="shared" si="585"/>
        <v>-5.8666666666666663</v>
      </c>
      <c r="T215" s="118" t="e">
        <f t="shared" si="536"/>
        <v>#NUM!</v>
      </c>
      <c r="U215" s="128"/>
      <c r="V215" s="150">
        <f t="shared" ref="V215:AE215" si="586">V203</f>
        <v>-7.1238095238095243</v>
      </c>
      <c r="W215" s="150">
        <f t="shared" si="586"/>
        <v>-6.9202721088435366</v>
      </c>
      <c r="X215" s="150">
        <f t="shared" si="586"/>
        <v>-6.7225500485908647</v>
      </c>
      <c r="Y215" s="150">
        <f t="shared" si="586"/>
        <v>-6.5304771900596972</v>
      </c>
      <c r="Z215" s="150">
        <f t="shared" si="586"/>
        <v>-6.3438921274865629</v>
      </c>
      <c r="AA215" s="150">
        <f t="shared" si="586"/>
        <v>-6.1626380667012315</v>
      </c>
      <c r="AB215" s="150">
        <f t="shared" si="586"/>
        <v>-5.9865626933669107</v>
      </c>
      <c r="AC215" s="150">
        <f t="shared" si="586"/>
        <v>-5.8155180449849979</v>
      </c>
      <c r="AD215" s="150">
        <f t="shared" si="586"/>
        <v>-5.6493603865568547</v>
      </c>
      <c r="AE215" s="150">
        <f t="shared" si="586"/>
        <v>-5.4879500897980869</v>
      </c>
      <c r="AF215" s="137">
        <f t="shared" ref="AF215" si="587">((AE215/I215)^(1/($AE$3-$J$1) ))-1</f>
        <v>-1.9785820058505892</v>
      </c>
      <c r="AG215" s="31">
        <f t="shared" ref="AG215:AG217" si="588">$N$1</f>
        <v>0.05</v>
      </c>
      <c r="AH215" s="179">
        <f>(AH202)/($N$2*100)</f>
        <v>0.15564671290471557</v>
      </c>
    </row>
    <row r="216" spans="2:34">
      <c r="B216" s="20" t="s">
        <v>490</v>
      </c>
      <c r="C216" s="179"/>
      <c r="D216" s="179"/>
      <c r="E216" s="179"/>
      <c r="F216" s="179"/>
      <c r="G216" s="179">
        <f t="shared" ref="G216:H216" si="589">(G203)/($N$2*100)</f>
        <v>2.3519999999999999</v>
      </c>
      <c r="H216" s="179">
        <f t="shared" si="589"/>
        <v>2.2761290322580647</v>
      </c>
      <c r="I216" s="179">
        <f t="shared" ref="I216:S216" si="590">(I203)/($N$2*100)</f>
        <v>1.7294117647058822</v>
      </c>
      <c r="J216" s="179">
        <f t="shared" si="590"/>
        <v>1.2133333333333334</v>
      </c>
      <c r="K216" s="179">
        <f t="shared" si="590"/>
        <v>8.6239999999999988</v>
      </c>
      <c r="L216" s="179">
        <f t="shared" si="590"/>
        <v>-1.6529411764705884</v>
      </c>
      <c r="M216" s="179">
        <f t="shared" si="590"/>
        <v>-4.5762857142857145</v>
      </c>
      <c r="N216" s="179">
        <f t="shared" si="590"/>
        <v>-2.81</v>
      </c>
      <c r="O216" s="179">
        <f t="shared" si="590"/>
        <v>9.565957446808511E-2</v>
      </c>
      <c r="P216" s="179">
        <f t="shared" si="590"/>
        <v>2.2480000000000002</v>
      </c>
      <c r="Q216" s="179">
        <f t="shared" si="590"/>
        <v>1.1937391304347826</v>
      </c>
      <c r="R216" s="179">
        <f t="shared" si="590"/>
        <v>-0.3705263157894737</v>
      </c>
      <c r="S216" s="179">
        <f t="shared" si="590"/>
        <v>-1.1733333333333333</v>
      </c>
      <c r="T216" s="118" t="e">
        <f t="shared" si="536"/>
        <v>#NUM!</v>
      </c>
      <c r="U216" s="128"/>
      <c r="V216" s="179">
        <f t="shared" ref="V216:AE216" si="591">(V203)/($N$2*100)</f>
        <v>-1.4247619047619049</v>
      </c>
      <c r="W216" s="179">
        <f t="shared" si="591"/>
        <v>-1.3840544217687074</v>
      </c>
      <c r="X216" s="179">
        <f t="shared" si="591"/>
        <v>-1.344510009718173</v>
      </c>
      <c r="Y216" s="179">
        <f t="shared" si="591"/>
        <v>-1.3060954380119394</v>
      </c>
      <c r="Z216" s="179">
        <f t="shared" si="591"/>
        <v>-1.2687784254973127</v>
      </c>
      <c r="AA216" s="179">
        <f t="shared" si="591"/>
        <v>-1.2325276133402463</v>
      </c>
      <c r="AB216" s="179">
        <f t="shared" si="591"/>
        <v>-1.1973125386733821</v>
      </c>
      <c r="AC216" s="179">
        <f t="shared" si="591"/>
        <v>-1.1631036089969995</v>
      </c>
      <c r="AD216" s="179">
        <f t="shared" si="591"/>
        <v>-1.1298720773113708</v>
      </c>
      <c r="AE216" s="179">
        <f t="shared" si="591"/>
        <v>-1.0975900179596174</v>
      </c>
      <c r="AF216" s="137">
        <f t="shared" si="574"/>
        <v>-1.9785820058505892</v>
      </c>
      <c r="AG216" s="31">
        <f t="shared" si="588"/>
        <v>0.05</v>
      </c>
      <c r="AH216" s="179">
        <f>(AH203)/($N$2*100)</f>
        <v>8.2621680105885122</v>
      </c>
    </row>
    <row r="217" spans="2:34">
      <c r="B217" s="20" t="s">
        <v>491</v>
      </c>
      <c r="C217" s="150"/>
      <c r="D217" s="150"/>
      <c r="E217" s="150"/>
      <c r="F217" s="150"/>
      <c r="G217" s="150">
        <f t="shared" ref="G217:H217" si="592">G216-1</f>
        <v>1.3519999999999999</v>
      </c>
      <c r="H217" s="150">
        <f t="shared" si="592"/>
        <v>1.2761290322580647</v>
      </c>
      <c r="I217" s="150">
        <f t="shared" ref="I217:R217" si="593">I216-1</f>
        <v>0.7294117647058822</v>
      </c>
      <c r="J217" s="150">
        <f t="shared" si="593"/>
        <v>0.21333333333333337</v>
      </c>
      <c r="K217" s="150">
        <f t="shared" si="593"/>
        <v>7.6239999999999988</v>
      </c>
      <c r="L217" s="150">
        <f t="shared" si="593"/>
        <v>-2.6529411764705886</v>
      </c>
      <c r="M217" s="150">
        <f t="shared" si="593"/>
        <v>-5.5762857142857145</v>
      </c>
      <c r="N217" s="150">
        <f t="shared" si="593"/>
        <v>-3.81</v>
      </c>
      <c r="O217" s="150">
        <f t="shared" si="593"/>
        <v>-0.90434042553191485</v>
      </c>
      <c r="P217" s="150">
        <f t="shared" si="593"/>
        <v>1.2480000000000002</v>
      </c>
      <c r="Q217" s="150">
        <f t="shared" si="593"/>
        <v>0.19373913043478264</v>
      </c>
      <c r="R217" s="150">
        <f t="shared" si="593"/>
        <v>-1.3705263157894736</v>
      </c>
      <c r="S217" s="150">
        <f>S216-1</f>
        <v>-2.1733333333333333</v>
      </c>
      <c r="T217" s="118" t="e">
        <f t="shared" si="536"/>
        <v>#NUM!</v>
      </c>
      <c r="U217" s="128"/>
      <c r="V217" s="150">
        <f t="shared" ref="V217:AE217" si="594">V216-1</f>
        <v>-2.4247619047619047</v>
      </c>
      <c r="W217" s="150">
        <f t="shared" si="594"/>
        <v>-2.3840544217687074</v>
      </c>
      <c r="X217" s="150">
        <f t="shared" si="594"/>
        <v>-2.344510009718173</v>
      </c>
      <c r="Y217" s="150">
        <f t="shared" si="594"/>
        <v>-2.3060954380119396</v>
      </c>
      <c r="Z217" s="150">
        <f t="shared" si="594"/>
        <v>-2.2687784254973127</v>
      </c>
      <c r="AA217" s="150">
        <f t="shared" si="594"/>
        <v>-2.2325276133402463</v>
      </c>
      <c r="AB217" s="150">
        <f t="shared" si="594"/>
        <v>-2.1973125386733821</v>
      </c>
      <c r="AC217" s="150">
        <f t="shared" si="594"/>
        <v>-2.1631036089969995</v>
      </c>
      <c r="AD217" s="150">
        <f t="shared" si="594"/>
        <v>-2.1298720773113708</v>
      </c>
      <c r="AE217" s="150">
        <f t="shared" si="594"/>
        <v>-2.0975900179596172</v>
      </c>
      <c r="AF217" s="137">
        <f t="shared" ref="AF217" si="595">((AE217/I217)^(1/($AE$3-$J$1) ))-1</f>
        <v>-2.0515868227996741</v>
      </c>
      <c r="AG217" s="31">
        <f t="shared" si="588"/>
        <v>0.05</v>
      </c>
      <c r="AH217" s="179">
        <f>(AH204)/($N$2*100)</f>
        <v>1.6349988634432648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466</v>
      </c>
      <c r="C219" s="150"/>
      <c r="D219" s="150"/>
      <c r="E219" s="150"/>
      <c r="F219" s="150"/>
      <c r="G219" s="150">
        <f t="shared" ref="G219:S219" si="596">1/G220</f>
        <v>3.5759694850603936E-2</v>
      </c>
      <c r="H219" s="150">
        <f t="shared" si="596"/>
        <v>3.0991735537190077E-2</v>
      </c>
      <c r="I219" s="150">
        <f t="shared" si="596"/>
        <v>3.7190082644628093E-2</v>
      </c>
      <c r="J219" s="150">
        <f t="shared" si="596"/>
        <v>4.2911633820724722E-2</v>
      </c>
      <c r="K219" s="150">
        <f t="shared" si="596"/>
        <v>2.5356874530428244E-2</v>
      </c>
      <c r="L219" s="150">
        <f t="shared" si="596"/>
        <v>5.5785123966942143E-2</v>
      </c>
      <c r="M219" s="150">
        <f t="shared" si="596"/>
        <v>4.8934319269247496E-2</v>
      </c>
      <c r="N219" s="150">
        <f t="shared" si="596"/>
        <v>6.1983471074380153E-2</v>
      </c>
      <c r="O219" s="150">
        <f t="shared" si="596"/>
        <v>8.7164256198347098E-2</v>
      </c>
      <c r="P219" s="150">
        <f t="shared" si="596"/>
        <v>0.11621900826446281</v>
      </c>
      <c r="Q219" s="150">
        <f t="shared" si="596"/>
        <v>7.1519389701207872E-2</v>
      </c>
      <c r="R219" s="150">
        <f t="shared" si="596"/>
        <v>5.5785123966942143E-2</v>
      </c>
      <c r="S219" s="150">
        <f t="shared" si="596"/>
        <v>6.9731404958677676E-2</v>
      </c>
      <c r="T219" s="118">
        <f t="shared" si="536"/>
        <v>5.7230177112217895E-2</v>
      </c>
      <c r="U219" s="128"/>
      <c r="V219" s="150">
        <f t="shared" ref="V219:AE219" si="597">1/V220</f>
        <v>5.5785123966942143E-2</v>
      </c>
      <c r="W219" s="150">
        <f t="shared" si="597"/>
        <v>5.5785123966942143E-2</v>
      </c>
      <c r="X219" s="150">
        <f t="shared" si="597"/>
        <v>5.5785123966942143E-2</v>
      </c>
      <c r="Y219" s="150">
        <f t="shared" si="597"/>
        <v>5.5785123966942143E-2</v>
      </c>
      <c r="Z219" s="150">
        <f t="shared" si="597"/>
        <v>5.5785123966942143E-2</v>
      </c>
      <c r="AA219" s="150">
        <f t="shared" si="597"/>
        <v>5.5785123966942143E-2</v>
      </c>
      <c r="AB219" s="150">
        <f t="shared" si="597"/>
        <v>5.5785123966942143E-2</v>
      </c>
      <c r="AC219" s="150">
        <f t="shared" si="597"/>
        <v>5.5785123966942143E-2</v>
      </c>
      <c r="AD219" s="150">
        <f t="shared" si="597"/>
        <v>5.5785123966942143E-2</v>
      </c>
      <c r="AE219" s="150">
        <f t="shared" si="597"/>
        <v>5.5785123966942143E-2</v>
      </c>
      <c r="AF219" s="137">
        <f t="shared" ref="AF219" si="598">((AE219/I219)^(1/($AE$3-$J$1) ))-1</f>
        <v>1.9495464518121342E-2</v>
      </c>
      <c r="AG219" s="31">
        <f t="shared" ref="AG219:AG222" si="599">$N$1</f>
        <v>0.05</v>
      </c>
      <c r="AH219" s="179">
        <f>(AH206)/($N$2*100)</f>
        <v>0.61850346999735106</v>
      </c>
    </row>
    <row r="220" spans="2:34">
      <c r="B220" s="20" t="s">
        <v>467</v>
      </c>
      <c r="C220" s="129"/>
      <c r="D220" s="129"/>
      <c r="E220" s="129"/>
      <c r="F220" s="129"/>
      <c r="G220" s="134">
        <f t="shared" ref="G220:H220" si="600">G201/$U$170</f>
        <v>27.964444444444446</v>
      </c>
      <c r="H220" s="134">
        <f t="shared" si="600"/>
        <v>32.266666666666673</v>
      </c>
      <c r="I220" s="134">
        <f t="shared" ref="I220:S220" si="601">I201/$U$170</f>
        <v>26.888888888888893</v>
      </c>
      <c r="J220" s="134">
        <f t="shared" si="601"/>
        <v>23.303703703703707</v>
      </c>
      <c r="K220" s="134">
        <f t="shared" si="601"/>
        <v>39.437037037037044</v>
      </c>
      <c r="L220" s="134">
        <f t="shared" si="601"/>
        <v>17.925925925925927</v>
      </c>
      <c r="M220" s="134">
        <f t="shared" si="601"/>
        <v>20.435555555555556</v>
      </c>
      <c r="N220" s="134">
        <f t="shared" si="601"/>
        <v>16.133333333333336</v>
      </c>
      <c r="O220" s="134">
        <f t="shared" si="601"/>
        <v>11.472592592592594</v>
      </c>
      <c r="P220" s="134">
        <f t="shared" si="601"/>
        <v>8.6044444444444448</v>
      </c>
      <c r="Q220" s="134">
        <f t="shared" si="601"/>
        <v>13.982222222222223</v>
      </c>
      <c r="R220" s="134">
        <f t="shared" si="601"/>
        <v>17.925925925925927</v>
      </c>
      <c r="S220" s="134">
        <f t="shared" si="601"/>
        <v>14.340740740740742</v>
      </c>
      <c r="T220" s="118">
        <f t="shared" si="536"/>
        <v>-5.4132182708348187E-2</v>
      </c>
      <c r="U220" s="128"/>
      <c r="V220" s="134">
        <f t="shared" ref="V220:AE220" si="602">V201/$U$170</f>
        <v>17.925925925925927</v>
      </c>
      <c r="W220" s="134">
        <f t="shared" si="602"/>
        <v>17.925925925925927</v>
      </c>
      <c r="X220" s="134">
        <f t="shared" si="602"/>
        <v>17.925925925925927</v>
      </c>
      <c r="Y220" s="134">
        <f t="shared" si="602"/>
        <v>17.925925925925927</v>
      </c>
      <c r="Z220" s="134">
        <f t="shared" si="602"/>
        <v>17.925925925925927</v>
      </c>
      <c r="AA220" s="134">
        <f t="shared" si="602"/>
        <v>17.925925925925927</v>
      </c>
      <c r="AB220" s="134">
        <f t="shared" si="602"/>
        <v>17.925925925925927</v>
      </c>
      <c r="AC220" s="134">
        <f t="shared" si="602"/>
        <v>17.925925925925927</v>
      </c>
      <c r="AD220" s="134">
        <f t="shared" si="602"/>
        <v>17.925925925925927</v>
      </c>
      <c r="AE220" s="134">
        <f t="shared" si="602"/>
        <v>17.925925925925927</v>
      </c>
      <c r="AF220" s="137">
        <f t="shared" ref="AF220:AF222" si="603">((AE220/I220)^(1/($AE$3-$J$1) ))-1</f>
        <v>-1.9122659390482077E-2</v>
      </c>
      <c r="AG220" s="31">
        <f t="shared" si="599"/>
        <v>0.05</v>
      </c>
      <c r="AH220" s="179">
        <f>(AH206)/($N$2*100)</f>
        <v>0.61850346999735106</v>
      </c>
    </row>
    <row r="221" spans="2:34">
      <c r="B221" s="20" t="s">
        <v>490</v>
      </c>
      <c r="C221" s="129"/>
      <c r="D221" s="129"/>
      <c r="E221" s="129"/>
      <c r="F221" s="129"/>
      <c r="G221" s="179">
        <f t="shared" ref="G221:H221" si="604">(G220)/($N$2*100)</f>
        <v>5.592888888888889</v>
      </c>
      <c r="H221" s="179">
        <f t="shared" si="604"/>
        <v>6.4533333333333349</v>
      </c>
      <c r="I221" s="179">
        <f t="shared" ref="I221:S221" si="605">(I220)/($N$2*100)</f>
        <v>5.3777777777777782</v>
      </c>
      <c r="J221" s="179">
        <f t="shared" si="605"/>
        <v>4.6607407407407413</v>
      </c>
      <c r="K221" s="179">
        <f t="shared" si="605"/>
        <v>7.8874074074074088</v>
      </c>
      <c r="L221" s="179">
        <f t="shared" si="605"/>
        <v>3.5851851851851855</v>
      </c>
      <c r="M221" s="179">
        <f t="shared" si="605"/>
        <v>4.0871111111111116</v>
      </c>
      <c r="N221" s="179">
        <f t="shared" si="605"/>
        <v>3.2266666666666675</v>
      </c>
      <c r="O221" s="179">
        <f t="shared" si="605"/>
        <v>2.2945185185185188</v>
      </c>
      <c r="P221" s="179">
        <f t="shared" si="605"/>
        <v>1.7208888888888889</v>
      </c>
      <c r="Q221" s="179">
        <f t="shared" si="605"/>
        <v>2.7964444444444445</v>
      </c>
      <c r="R221" s="179">
        <f t="shared" si="605"/>
        <v>3.5851851851851855</v>
      </c>
      <c r="S221" s="179">
        <f t="shared" si="605"/>
        <v>2.8681481481481486</v>
      </c>
      <c r="T221" s="118">
        <f t="shared" si="536"/>
        <v>-5.4132182708348187E-2</v>
      </c>
      <c r="U221" s="128"/>
      <c r="V221" s="179">
        <f t="shared" ref="V221:AE221" si="606">(V220)/($N$2*100)</f>
        <v>3.5851851851851855</v>
      </c>
      <c r="W221" s="179">
        <f t="shared" si="606"/>
        <v>3.5851851851851855</v>
      </c>
      <c r="X221" s="179">
        <f t="shared" si="606"/>
        <v>3.5851851851851855</v>
      </c>
      <c r="Y221" s="179">
        <f t="shared" si="606"/>
        <v>3.5851851851851855</v>
      </c>
      <c r="Z221" s="179">
        <f t="shared" si="606"/>
        <v>3.5851851851851855</v>
      </c>
      <c r="AA221" s="179">
        <f t="shared" si="606"/>
        <v>3.5851851851851855</v>
      </c>
      <c r="AB221" s="179">
        <f t="shared" si="606"/>
        <v>3.5851851851851855</v>
      </c>
      <c r="AC221" s="179">
        <f t="shared" si="606"/>
        <v>3.5851851851851855</v>
      </c>
      <c r="AD221" s="179">
        <f t="shared" si="606"/>
        <v>3.5851851851851855</v>
      </c>
      <c r="AE221" s="179">
        <f t="shared" si="606"/>
        <v>3.5851851851851855</v>
      </c>
      <c r="AF221" s="137">
        <f t="shared" si="603"/>
        <v>-1.9122659390482077E-2</v>
      </c>
      <c r="AG221" s="31">
        <f t="shared" si="599"/>
        <v>0.05</v>
      </c>
      <c r="AH221" s="179">
        <f>(AH207)/($N$2*100)</f>
        <v>3.5189270393797356</v>
      </c>
    </row>
    <row r="222" spans="2:34">
      <c r="B222" s="20" t="s">
        <v>492</v>
      </c>
      <c r="C222" s="129"/>
      <c r="D222" s="129"/>
      <c r="E222" s="129"/>
      <c r="F222" s="129"/>
      <c r="G222" s="150">
        <f t="shared" ref="G222:H222" si="607">G221-1</f>
        <v>4.592888888888889</v>
      </c>
      <c r="H222" s="150">
        <f t="shared" si="607"/>
        <v>5.4533333333333349</v>
      </c>
      <c r="I222" s="150">
        <f t="shared" ref="I222:S222" si="608">I221-1</f>
        <v>4.3777777777777782</v>
      </c>
      <c r="J222" s="150">
        <f t="shared" si="608"/>
        <v>3.6607407407407413</v>
      </c>
      <c r="K222" s="150">
        <f t="shared" si="608"/>
        <v>6.8874074074074088</v>
      </c>
      <c r="L222" s="150">
        <f t="shared" si="608"/>
        <v>2.5851851851851855</v>
      </c>
      <c r="M222" s="150">
        <f t="shared" si="608"/>
        <v>3.0871111111111116</v>
      </c>
      <c r="N222" s="150">
        <f t="shared" si="608"/>
        <v>2.2266666666666675</v>
      </c>
      <c r="O222" s="150">
        <f t="shared" si="608"/>
        <v>1.2945185185185188</v>
      </c>
      <c r="P222" s="150">
        <f t="shared" si="608"/>
        <v>0.72088888888888891</v>
      </c>
      <c r="Q222" s="150">
        <f t="shared" si="608"/>
        <v>1.7964444444444445</v>
      </c>
      <c r="R222" s="150">
        <f t="shared" si="608"/>
        <v>2.5851851851851855</v>
      </c>
      <c r="S222" s="150">
        <f t="shared" si="608"/>
        <v>1.8681481481481486</v>
      </c>
      <c r="T222" s="118">
        <f t="shared" si="536"/>
        <v>-7.2222617059218508E-2</v>
      </c>
      <c r="U222" s="128"/>
      <c r="V222" s="150">
        <f t="shared" ref="V222:AE222" si="609">V221-1</f>
        <v>2.5851851851851855</v>
      </c>
      <c r="W222" s="150">
        <f t="shared" si="609"/>
        <v>2.5851851851851855</v>
      </c>
      <c r="X222" s="150">
        <f t="shared" si="609"/>
        <v>2.5851851851851855</v>
      </c>
      <c r="Y222" s="150">
        <f t="shared" si="609"/>
        <v>2.5851851851851855</v>
      </c>
      <c r="Z222" s="150">
        <f t="shared" si="609"/>
        <v>2.5851851851851855</v>
      </c>
      <c r="AA222" s="150">
        <f t="shared" si="609"/>
        <v>2.5851851851851855</v>
      </c>
      <c r="AB222" s="150">
        <f t="shared" si="609"/>
        <v>2.5851851851851855</v>
      </c>
      <c r="AC222" s="150">
        <f t="shared" si="609"/>
        <v>2.5851851851851855</v>
      </c>
      <c r="AD222" s="150">
        <f t="shared" si="609"/>
        <v>2.5851851851851855</v>
      </c>
      <c r="AE222" s="150">
        <f t="shared" si="609"/>
        <v>2.5851851851851855</v>
      </c>
      <c r="AF222" s="137">
        <f t="shared" si="603"/>
        <v>-2.4771086195685244E-2</v>
      </c>
      <c r="AG222" s="31">
        <f t="shared" si="599"/>
        <v>0.05</v>
      </c>
      <c r="AH222" s="179">
        <f>(AH208)/($N$2*100)</f>
        <v>0.16741418487252888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466</v>
      </c>
      <c r="C224" s="129"/>
      <c r="D224" s="129"/>
      <c r="E224" s="129"/>
      <c r="F224" s="129"/>
      <c r="G224" s="150">
        <f t="shared" ref="G224:S224" si="610">1/G225</f>
        <v>7.1386946386946384E-2</v>
      </c>
      <c r="H224" s="150">
        <f t="shared" si="610"/>
        <v>6.1868686868686865E-2</v>
      </c>
      <c r="I224" s="150">
        <f t="shared" si="610"/>
        <v>7.4242424242424235E-2</v>
      </c>
      <c r="J224" s="150">
        <f t="shared" si="610"/>
        <v>8.566433566433565E-2</v>
      </c>
      <c r="K224" s="150">
        <f t="shared" si="610"/>
        <v>5.0619834710743793E-2</v>
      </c>
      <c r="L224" s="150">
        <f t="shared" si="610"/>
        <v>0.11136363636363635</v>
      </c>
      <c r="M224" s="150">
        <f t="shared" si="610"/>
        <v>9.7687400318979253E-2</v>
      </c>
      <c r="N224" s="150">
        <f t="shared" si="610"/>
        <v>0.12373737373737373</v>
      </c>
      <c r="O224" s="150">
        <f t="shared" si="610"/>
        <v>0.1740056818181818</v>
      </c>
      <c r="P224" s="150">
        <f t="shared" si="610"/>
        <v>0.23200757575757575</v>
      </c>
      <c r="Q224" s="150">
        <f t="shared" si="610"/>
        <v>0.14277389277389277</v>
      </c>
      <c r="R224" s="150">
        <f t="shared" si="610"/>
        <v>0.11136363636363635</v>
      </c>
      <c r="S224" s="150">
        <f t="shared" si="610"/>
        <v>0.13920454545454544</v>
      </c>
      <c r="T224" s="118">
        <f t="shared" si="536"/>
        <v>5.7230177112217895E-2</v>
      </c>
      <c r="U224" s="128"/>
      <c r="V224" s="150">
        <f t="shared" ref="V224:AE224" si="611">1/V225</f>
        <v>0.11136363636363635</v>
      </c>
      <c r="W224" s="150">
        <f t="shared" si="611"/>
        <v>0.11136363636363635</v>
      </c>
      <c r="X224" s="150">
        <f t="shared" si="611"/>
        <v>0.11136363636363635</v>
      </c>
      <c r="Y224" s="150">
        <f t="shared" si="611"/>
        <v>0.11136363636363635</v>
      </c>
      <c r="Z224" s="150">
        <f t="shared" si="611"/>
        <v>0.11136363636363635</v>
      </c>
      <c r="AA224" s="150">
        <f t="shared" si="611"/>
        <v>0.11136363636363635</v>
      </c>
      <c r="AB224" s="150">
        <f t="shared" si="611"/>
        <v>0.11136363636363635</v>
      </c>
      <c r="AC224" s="150">
        <f t="shared" si="611"/>
        <v>0.11136363636363635</v>
      </c>
      <c r="AD224" s="150">
        <f t="shared" si="611"/>
        <v>0.11136363636363635</v>
      </c>
      <c r="AE224" s="150">
        <f t="shared" si="611"/>
        <v>0.11136363636363635</v>
      </c>
      <c r="AF224" s="137">
        <f t="shared" ref="AF224" si="612">((AE224/I224)^(1/($AE$3-$J$1) ))-1</f>
        <v>1.9495464518121342E-2</v>
      </c>
      <c r="AG224" s="31">
        <f t="shared" ref="AG224" si="613">$N$1</f>
        <v>0.05</v>
      </c>
      <c r="AH224" s="179">
        <f>(AH210)/($N$2*100)</f>
        <v>0</v>
      </c>
    </row>
    <row r="225" spans="2:48">
      <c r="B225" s="20" t="s">
        <v>468</v>
      </c>
      <c r="C225" s="129"/>
      <c r="D225" s="129"/>
      <c r="E225" s="129"/>
      <c r="F225" s="129"/>
      <c r="G225" s="134">
        <f t="shared" ref="G225:H225" si="614">G201/$S$170</f>
        <v>14.008163265306123</v>
      </c>
      <c r="H225" s="134">
        <f t="shared" si="614"/>
        <v>16.163265306122451</v>
      </c>
      <c r="I225" s="134">
        <f t="shared" ref="I225:S225" si="615">I201/$S$170</f>
        <v>13.469387755102042</v>
      </c>
      <c r="J225" s="134">
        <f t="shared" si="615"/>
        <v>11.673469387755103</v>
      </c>
      <c r="K225" s="134">
        <f t="shared" si="615"/>
        <v>19.755102040816329</v>
      </c>
      <c r="L225" s="134">
        <f t="shared" si="615"/>
        <v>8.979591836734695</v>
      </c>
      <c r="M225" s="134">
        <f t="shared" si="615"/>
        <v>10.236734693877553</v>
      </c>
      <c r="N225" s="134">
        <f t="shared" si="615"/>
        <v>8.0816326530612255</v>
      </c>
      <c r="O225" s="134">
        <f t="shared" si="615"/>
        <v>5.7469387755102046</v>
      </c>
      <c r="P225" s="134">
        <f t="shared" si="615"/>
        <v>4.3102040816326532</v>
      </c>
      <c r="Q225" s="134">
        <f t="shared" si="615"/>
        <v>7.0040816326530617</v>
      </c>
      <c r="R225" s="134">
        <f t="shared" si="615"/>
        <v>8.979591836734695</v>
      </c>
      <c r="S225" s="134">
        <f t="shared" si="615"/>
        <v>7.183673469387756</v>
      </c>
      <c r="T225" s="118">
        <f t="shared" si="536"/>
        <v>-5.4132182708348187E-2</v>
      </c>
      <c r="U225" s="128"/>
      <c r="V225" s="134">
        <f t="shared" ref="V225:AE225" si="616">V201/$S$170</f>
        <v>8.979591836734695</v>
      </c>
      <c r="W225" s="134">
        <f t="shared" si="616"/>
        <v>8.979591836734695</v>
      </c>
      <c r="X225" s="134">
        <f t="shared" si="616"/>
        <v>8.979591836734695</v>
      </c>
      <c r="Y225" s="134">
        <f t="shared" si="616"/>
        <v>8.979591836734695</v>
      </c>
      <c r="Z225" s="134">
        <f t="shared" si="616"/>
        <v>8.979591836734695</v>
      </c>
      <c r="AA225" s="134">
        <f t="shared" si="616"/>
        <v>8.979591836734695</v>
      </c>
      <c r="AB225" s="134">
        <f t="shared" si="616"/>
        <v>8.979591836734695</v>
      </c>
      <c r="AC225" s="134">
        <f t="shared" si="616"/>
        <v>8.979591836734695</v>
      </c>
      <c r="AD225" s="134">
        <f t="shared" si="616"/>
        <v>8.979591836734695</v>
      </c>
      <c r="AE225" s="134">
        <f t="shared" si="616"/>
        <v>8.979591836734695</v>
      </c>
      <c r="AF225" s="137">
        <f t="shared" ref="AF225:AF227" si="617">((AE225/I225)^(1/($AE$3-$J$1) ))-1</f>
        <v>-1.9122659390482077E-2</v>
      </c>
      <c r="AG225" s="31">
        <f t="shared" ref="AG225:AG227" si="618">$N$1</f>
        <v>0.05</v>
      </c>
      <c r="AH225" s="179">
        <f>(AH210)/($N$2*100)</f>
        <v>0</v>
      </c>
    </row>
    <row r="226" spans="2:48">
      <c r="B226" s="20" t="s">
        <v>490</v>
      </c>
      <c r="C226" s="129"/>
      <c r="D226" s="129"/>
      <c r="E226" s="129"/>
      <c r="F226" s="129"/>
      <c r="G226" s="179">
        <f t="shared" ref="G226:H226" si="619">(G225)/($N$2*100)</f>
        <v>2.8016326530612248</v>
      </c>
      <c r="H226" s="179">
        <f t="shared" si="619"/>
        <v>3.2326530612244904</v>
      </c>
      <c r="I226" s="179">
        <f t="shared" ref="I226:S226" si="620">(I225)/($N$2*100)</f>
        <v>2.6938775510204085</v>
      </c>
      <c r="J226" s="179">
        <f t="shared" si="620"/>
        <v>2.3346938775510209</v>
      </c>
      <c r="K226" s="179">
        <f t="shared" si="620"/>
        <v>3.9510204081632656</v>
      </c>
      <c r="L226" s="179">
        <f t="shared" si="620"/>
        <v>1.795918367346939</v>
      </c>
      <c r="M226" s="179">
        <f t="shared" si="620"/>
        <v>2.0473469387755108</v>
      </c>
      <c r="N226" s="179">
        <f t="shared" si="620"/>
        <v>1.6163265306122452</v>
      </c>
      <c r="O226" s="179">
        <f t="shared" si="620"/>
        <v>1.1493877551020408</v>
      </c>
      <c r="P226" s="179">
        <f t="shared" si="620"/>
        <v>0.86204081632653062</v>
      </c>
      <c r="Q226" s="179">
        <f t="shared" si="620"/>
        <v>1.4008163265306124</v>
      </c>
      <c r="R226" s="179">
        <f t="shared" si="620"/>
        <v>1.795918367346939</v>
      </c>
      <c r="S226" s="179">
        <f t="shared" si="620"/>
        <v>1.4367346938775512</v>
      </c>
      <c r="T226" s="118">
        <f t="shared" si="536"/>
        <v>-5.4132182708348187E-2</v>
      </c>
      <c r="U226" s="128"/>
      <c r="V226" s="179">
        <f t="shared" ref="V226:AE226" si="621">(V225)/($N$2*100)</f>
        <v>1.795918367346939</v>
      </c>
      <c r="W226" s="179">
        <f t="shared" si="621"/>
        <v>1.795918367346939</v>
      </c>
      <c r="X226" s="179">
        <f t="shared" si="621"/>
        <v>1.795918367346939</v>
      </c>
      <c r="Y226" s="179">
        <f t="shared" si="621"/>
        <v>1.795918367346939</v>
      </c>
      <c r="Z226" s="179">
        <f t="shared" si="621"/>
        <v>1.795918367346939</v>
      </c>
      <c r="AA226" s="179">
        <f t="shared" si="621"/>
        <v>1.795918367346939</v>
      </c>
      <c r="AB226" s="179">
        <f t="shared" si="621"/>
        <v>1.795918367346939</v>
      </c>
      <c r="AC226" s="179">
        <f t="shared" si="621"/>
        <v>1.795918367346939</v>
      </c>
      <c r="AD226" s="179">
        <f t="shared" si="621"/>
        <v>1.795918367346939</v>
      </c>
      <c r="AE226" s="179">
        <f t="shared" si="621"/>
        <v>1.795918367346939</v>
      </c>
      <c r="AF226" s="137">
        <f t="shared" si="617"/>
        <v>-1.9122659390482077E-2</v>
      </c>
      <c r="AG226" s="31">
        <f t="shared" si="618"/>
        <v>0.05</v>
      </c>
      <c r="AH226" s="179" t="e">
        <f>(#REF!)/($N$2*100)</f>
        <v>#REF!</v>
      </c>
    </row>
    <row r="227" spans="2:48">
      <c r="B227" s="20" t="s">
        <v>492</v>
      </c>
      <c r="C227" s="129"/>
      <c r="D227" s="129"/>
      <c r="E227" s="129"/>
      <c r="F227" s="129"/>
      <c r="G227" s="150">
        <f t="shared" ref="G227:H227" si="622">G226-1</f>
        <v>1.8016326530612248</v>
      </c>
      <c r="H227" s="150">
        <f t="shared" si="622"/>
        <v>2.2326530612244904</v>
      </c>
      <c r="I227" s="150">
        <f t="shared" ref="I227:S227" si="623">I226-1</f>
        <v>1.6938775510204085</v>
      </c>
      <c r="J227" s="150">
        <f t="shared" si="623"/>
        <v>1.3346938775510209</v>
      </c>
      <c r="K227" s="150">
        <f t="shared" si="623"/>
        <v>2.9510204081632656</v>
      </c>
      <c r="L227" s="150">
        <f t="shared" si="623"/>
        <v>0.79591836734693899</v>
      </c>
      <c r="M227" s="150">
        <f t="shared" si="623"/>
        <v>1.0473469387755108</v>
      </c>
      <c r="N227" s="150">
        <f t="shared" si="623"/>
        <v>0.61632653061224518</v>
      </c>
      <c r="O227" s="150">
        <f t="shared" si="623"/>
        <v>0.14938775510204083</v>
      </c>
      <c r="P227" s="150">
        <f t="shared" si="623"/>
        <v>-0.13795918367346938</v>
      </c>
      <c r="Q227" s="150">
        <f t="shared" si="623"/>
        <v>0.40081632653061239</v>
      </c>
      <c r="R227" s="150">
        <f t="shared" si="623"/>
        <v>0.79591836734693899</v>
      </c>
      <c r="S227" s="150">
        <f t="shared" si="623"/>
        <v>0.43673469387755115</v>
      </c>
      <c r="T227" s="118">
        <f t="shared" si="536"/>
        <v>-0.11138708540819464</v>
      </c>
      <c r="U227" s="128"/>
      <c r="V227" s="150">
        <f t="shared" ref="V227:AE227" si="624">V226-1</f>
        <v>0.79591836734693899</v>
      </c>
      <c r="W227" s="150">
        <f t="shared" si="624"/>
        <v>0.79591836734693899</v>
      </c>
      <c r="X227" s="150">
        <f t="shared" si="624"/>
        <v>0.79591836734693899</v>
      </c>
      <c r="Y227" s="150">
        <f t="shared" si="624"/>
        <v>0.79591836734693899</v>
      </c>
      <c r="Z227" s="150">
        <f t="shared" si="624"/>
        <v>0.79591836734693899</v>
      </c>
      <c r="AA227" s="150">
        <f t="shared" si="624"/>
        <v>0.79591836734693899</v>
      </c>
      <c r="AB227" s="150">
        <f t="shared" si="624"/>
        <v>0.79591836734693899</v>
      </c>
      <c r="AC227" s="150">
        <f t="shared" si="624"/>
        <v>0.79591836734693899</v>
      </c>
      <c r="AD227" s="150">
        <f t="shared" si="624"/>
        <v>0.79591836734693899</v>
      </c>
      <c r="AE227" s="150">
        <f t="shared" si="624"/>
        <v>0.79591836734693899</v>
      </c>
      <c r="AF227" s="137">
        <f t="shared" si="617"/>
        <v>-3.5326584870680522E-2</v>
      </c>
      <c r="AG227" s="31">
        <f t="shared" si="618"/>
        <v>0.05</v>
      </c>
      <c r="AH227" s="179">
        <f>(AH211)/($N$2*100)</f>
        <v>0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346</v>
      </c>
      <c r="N229" s="217"/>
      <c r="O229" s="20"/>
      <c r="P229" s="20"/>
      <c r="Q229" s="20"/>
      <c r="R229" s="108" t="s">
        <v>425</v>
      </c>
      <c r="S229" s="108" t="s">
        <v>424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310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347</v>
      </c>
      <c r="N230" s="22">
        <v>1</v>
      </c>
      <c r="O230" s="20"/>
      <c r="P230" s="20"/>
      <c r="Q230" s="20"/>
      <c r="R230" s="128">
        <f>(S201-U188)/S201</f>
        <v>1</v>
      </c>
      <c r="S230" s="128">
        <f>(S201-V188)/S201</f>
        <v>1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344</v>
      </c>
      <c r="C231" s="20" t="s">
        <v>310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-5.6655576152096998</v>
      </c>
      <c r="P231" s="20"/>
      <c r="Q231" s="20"/>
      <c r="R231" s="128">
        <f>(S201-U179)/S201</f>
        <v>-7.3319470190121248</v>
      </c>
      <c r="S231" s="128">
        <f>(S201-V179)/S201</f>
        <v>8.2073633498664117E-2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345</v>
      </c>
      <c r="C232" s="20" t="s">
        <v>310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-4.3293386061000652</v>
      </c>
      <c r="P232" s="20"/>
      <c r="Q232" s="20"/>
      <c r="R232" s="128">
        <f>(S201-U172)/S201</f>
        <v>-5.6616732576250808</v>
      </c>
      <c r="S232" s="128">
        <f>(S201-V172)/S201</f>
        <v>0.26608684449893183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348</v>
      </c>
      <c r="C233" s="20" t="s">
        <v>310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0.75377946851229738</v>
      </c>
      <c r="P233" s="20"/>
      <c r="Q233" s="20"/>
      <c r="R233" s="128">
        <f>(S201-U185)/S201</f>
        <v>0.69222433564037167</v>
      </c>
      <c r="S233" s="128">
        <f>(S201-V185)/S201</f>
        <v>0.96609251155360032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394</v>
      </c>
      <c r="C234" s="20" t="s">
        <v>310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0.62138191115254049</v>
      </c>
      <c r="P234" s="20"/>
      <c r="Q234" s="20"/>
      <c r="R234" s="128">
        <f>(S201-U198)/S201</f>
        <v>0.52672738894067561</v>
      </c>
      <c r="S234" s="128">
        <f>(S201-V198)/S201</f>
        <v>0.64770208490239012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-2.1453568966787953</v>
      </c>
      <c r="S235" s="25">
        <f>S201/V171</f>
        <v>-19.473239523699835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402</v>
      </c>
      <c r="AG235" s="115" t="s">
        <v>403</v>
      </c>
      <c r="AH235" s="115" t="s">
        <v>404</v>
      </c>
      <c r="AI235" s="115" t="s">
        <v>405</v>
      </c>
      <c r="AJ235" s="115" t="s">
        <v>406</v>
      </c>
      <c r="AK235" s="115" t="s">
        <v>407</v>
      </c>
      <c r="AL235" s="115" t="s">
        <v>408</v>
      </c>
      <c r="AM235" s="115" t="s">
        <v>409</v>
      </c>
      <c r="AN235" s="115" t="s">
        <v>410</v>
      </c>
      <c r="AO235" s="115" t="s">
        <v>411</v>
      </c>
      <c r="AP235" s="115" t="s">
        <v>412</v>
      </c>
      <c r="AQ235" s="115" t="s">
        <v>413</v>
      </c>
      <c r="AR235" s="115" t="s">
        <v>414</v>
      </c>
      <c r="AS235" s="115" t="s">
        <v>415</v>
      </c>
      <c r="AT235" s="115" t="s">
        <v>416</v>
      </c>
      <c r="AU235" s="115" t="s">
        <v>417</v>
      </c>
      <c r="AV235" s="115" t="s">
        <v>418</v>
      </c>
    </row>
    <row r="236" spans="2:48">
      <c r="B236" s="20" t="s">
        <v>366</v>
      </c>
      <c r="C236" s="20"/>
      <c r="D236" s="20"/>
      <c r="E236" s="20"/>
      <c r="F236" s="20"/>
      <c r="G236" s="20"/>
      <c r="H236" s="20"/>
      <c r="I236" s="187" t="s">
        <v>441</v>
      </c>
      <c r="J236" s="188"/>
      <c r="K236" s="187" t="s">
        <v>442</v>
      </c>
      <c r="L236" s="188"/>
      <c r="M236" s="20"/>
      <c r="N236" s="187" t="s">
        <v>443</v>
      </c>
      <c r="O236" s="188"/>
      <c r="P236" s="187" t="s">
        <v>444</v>
      </c>
      <c r="Q236" s="188"/>
      <c r="R236" s="150">
        <f>1/R235</f>
        <v>-0.46612291015452467</v>
      </c>
      <c r="S236" s="150">
        <f>1/S235</f>
        <v>-5.1352524000074749E-2</v>
      </c>
      <c r="T236" s="20"/>
      <c r="U236" s="20"/>
      <c r="V236" s="129">
        <f>S201-V237</f>
        <v>35.040046091081358</v>
      </c>
      <c r="W236" s="183">
        <f>V236-W237</f>
        <v>29.83209448671678</v>
      </c>
      <c r="X236" s="183">
        <f t="shared" ref="X236:Z236" si="625">W236-X237</f>
        <v>24.363745302133974</v>
      </c>
      <c r="Y236" s="183">
        <f t="shared" si="625"/>
        <v>18.621978658322028</v>
      </c>
      <c r="Z236" s="183">
        <f t="shared" si="625"/>
        <v>12.593123682319483</v>
      </c>
      <c r="AA236" s="183">
        <f>Z236-AA237</f>
        <v>6.262825957516811</v>
      </c>
      <c r="AB236" s="183">
        <f t="shared" ref="AB236:AE236" si="626">AA236-AB237</f>
        <v>-0.38398665352599437</v>
      </c>
      <c r="AC236" s="183">
        <f t="shared" si="626"/>
        <v>-7.3631398951209404</v>
      </c>
      <c r="AD236" s="183">
        <f t="shared" si="626"/>
        <v>-14.691250798795634</v>
      </c>
      <c r="AE236" s="183">
        <f t="shared" si="626"/>
        <v>-22.385767247654062</v>
      </c>
      <c r="AF236" s="183">
        <f t="shared" ref="AF236" si="627">AE236-AF237</f>
        <v>-30.465009518955412</v>
      </c>
      <c r="AG236" s="183">
        <f t="shared" ref="AG236" si="628">AF236-AG237</f>
        <v>-38.948213903821831</v>
      </c>
      <c r="AH236" s="183">
        <f t="shared" ref="AH236" si="629">AG236-AH237</f>
        <v>-47.855578507931568</v>
      </c>
      <c r="AI236" s="183">
        <f t="shared" ref="AI236" si="630">AH236-AI237</f>
        <v>-57.208311342246795</v>
      </c>
      <c r="AJ236" s="183">
        <f t="shared" ref="AJ236" si="631">AI236-AJ237</f>
        <v>-67.028680818277778</v>
      </c>
      <c r="AK236" s="183">
        <f t="shared" ref="AK236" si="632">AJ236-AK237</f>
        <v>-77.340068768110314</v>
      </c>
      <c r="AL236" s="183">
        <f t="shared" ref="AL236" si="633">AK236-AL237</f>
        <v>-88.167026115434481</v>
      </c>
      <c r="AM236" s="183">
        <f t="shared" ref="AM236" si="634">AL236-AM237</f>
        <v>-99.535331330124862</v>
      </c>
      <c r="AN236" s="183">
        <f t="shared" ref="AN236" si="635">AM236-AN237</f>
        <v>-111.47205180554975</v>
      </c>
      <c r="AO236" s="183">
        <f t="shared" ref="AO236" si="636">AN236-AO237</f>
        <v>-124.00560830474589</v>
      </c>
      <c r="AP236" s="183">
        <f t="shared" ref="AP236" si="637">AO236-AP237</f>
        <v>-137.16584262890183</v>
      </c>
      <c r="AQ236" s="183">
        <f t="shared" ref="AQ236" si="638">AP236-AQ237</f>
        <v>-150.98408866926559</v>
      </c>
      <c r="AR236" s="183">
        <f t="shared" ref="AR236" si="639">AQ236-AR237</f>
        <v>-165.49324701164753</v>
      </c>
      <c r="AS236" s="183">
        <f t="shared" ref="AS236" si="640">AR236-AS237</f>
        <v>-180.72786327114855</v>
      </c>
      <c r="AT236" s="183">
        <f t="shared" ref="AT236" si="641">AS236-AT237</f>
        <v>-196.72421034362463</v>
      </c>
      <c r="AU236" s="183">
        <f t="shared" ref="AU236" si="642">AT236-AU237</f>
        <v>-213.52037476972453</v>
      </c>
      <c r="AV236" s="183">
        <f t="shared" ref="AV236" si="643">AU236-AV237</f>
        <v>-231.15634741712941</v>
      </c>
    </row>
    <row r="237" spans="2:48">
      <c r="B237" s="20" t="s">
        <v>391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14.340740740740742</v>
      </c>
      <c r="S237" s="179" t="s">
        <v>462</v>
      </c>
      <c r="T237" s="20"/>
      <c r="U237" s="20"/>
      <c r="V237" s="184">
        <f>T170*(1+$M$237)</f>
        <v>4.9599539089186448</v>
      </c>
      <c r="W237" s="184">
        <f>V237*(1+$M$237)</f>
        <v>5.2079516043645775</v>
      </c>
      <c r="X237" s="184">
        <f t="shared" ref="X237:AE237" si="644">W237*(1+$M$237)</f>
        <v>5.4683491845828067</v>
      </c>
      <c r="Y237" s="184">
        <f t="shared" si="644"/>
        <v>5.741766643811947</v>
      </c>
      <c r="Z237" s="184">
        <f t="shared" si="644"/>
        <v>6.0288549760025445</v>
      </c>
      <c r="AA237" s="184">
        <f t="shared" si="644"/>
        <v>6.3302977248026719</v>
      </c>
      <c r="AB237" s="184">
        <f t="shared" si="644"/>
        <v>6.6468126110428054</v>
      </c>
      <c r="AC237" s="184">
        <f t="shared" si="644"/>
        <v>6.979153241594946</v>
      </c>
      <c r="AD237" s="184">
        <f t="shared" si="644"/>
        <v>7.3281109036746939</v>
      </c>
      <c r="AE237" s="184">
        <f t="shared" si="644"/>
        <v>7.6945164488584288</v>
      </c>
      <c r="AF237" s="184">
        <f t="shared" ref="AF237" si="645">AE237*(1+$M$237)</f>
        <v>8.0792422713013501</v>
      </c>
      <c r="AG237" s="184">
        <f t="shared" ref="AG237" si="646">AF237*(1+$M$237)</f>
        <v>8.4832043848664185</v>
      </c>
      <c r="AH237" s="184">
        <f t="shared" ref="AH237" si="647">AG237*(1+$M$237)</f>
        <v>8.9073646041097394</v>
      </c>
      <c r="AI237" s="184">
        <f t="shared" ref="AI237" si="648">AH237*(1+$M$237)</f>
        <v>9.3527328343152263</v>
      </c>
      <c r="AJ237" s="184">
        <f t="shared" ref="AJ237" si="649">AI237*(1+$M$237)</f>
        <v>9.8203694760309883</v>
      </c>
      <c r="AK237" s="184">
        <f t="shared" ref="AK237" si="650">AJ237*(1+$M$237)</f>
        <v>10.311387949832538</v>
      </c>
      <c r="AL237" s="184">
        <f t="shared" ref="AL237" si="651">AK237*(1+$M$237)</f>
        <v>10.826957347324166</v>
      </c>
      <c r="AM237" s="184">
        <f t="shared" ref="AM237" si="652">AL237*(1+$M$237)</f>
        <v>11.368305214690375</v>
      </c>
      <c r="AN237" s="184">
        <f t="shared" ref="AN237" si="653">AM237*(1+$M$237)</f>
        <v>11.936720475424895</v>
      </c>
      <c r="AO237" s="184">
        <f t="shared" ref="AO237" si="654">AN237*(1+$M$237)</f>
        <v>12.533556499196141</v>
      </c>
      <c r="AP237" s="184">
        <f t="shared" ref="AP237" si="655">AO237*(1+$M$237)</f>
        <v>13.160234324155949</v>
      </c>
      <c r="AQ237" s="184">
        <f t="shared" ref="AQ237" si="656">AP237*(1+$M$237)</f>
        <v>13.818246040363746</v>
      </c>
      <c r="AR237" s="184">
        <f t="shared" ref="AR237" si="657">AQ237*(1+$M$237)</f>
        <v>14.509158342381934</v>
      </c>
      <c r="AS237" s="184">
        <f t="shared" ref="AS237" si="658">AR237*(1+$M$237)</f>
        <v>15.234616259501031</v>
      </c>
      <c r="AT237" s="184">
        <f t="shared" ref="AT237" si="659">AS237*(1+$M$237)</f>
        <v>15.996347072476084</v>
      </c>
      <c r="AU237" s="184">
        <f t="shared" ref="AU237" si="660">AT237*(1+$M$237)</f>
        <v>16.796164426099889</v>
      </c>
      <c r="AV237" s="184">
        <f t="shared" ref="AV237" si="661">AU237*(1+$M$237)</f>
        <v>17.635972647404884</v>
      </c>
    </row>
    <row r="238" spans="2:48">
      <c r="B238" s="20" t="s">
        <v>390</v>
      </c>
      <c r="C238" s="20"/>
      <c r="D238" s="20"/>
      <c r="E238" s="23" t="s">
        <v>386</v>
      </c>
      <c r="F238" s="23"/>
      <c r="G238" s="23"/>
      <c r="H238" s="22"/>
      <c r="I238" s="189">
        <v>0</v>
      </c>
      <c r="J238" s="190">
        <f>S203</f>
        <v>-5.8666666666666663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461</v>
      </c>
      <c r="R238" s="179">
        <f>S201/S72</f>
        <v>-5.8666666666666663</v>
      </c>
      <c r="S238" s="179" t="s">
        <v>462</v>
      </c>
      <c r="T238" s="20"/>
      <c r="U238" s="20"/>
      <c r="V238" s="184">
        <f>S72*(1+$M$238)</f>
        <v>-7.1590909090909092</v>
      </c>
      <c r="W238" s="184">
        <f>V238*(1+$M$238)</f>
        <v>-7.517045454545455</v>
      </c>
      <c r="X238" s="184">
        <f t="shared" ref="X238:AE238" si="662">W238*(1+$M$238)</f>
        <v>-7.8928977272727279</v>
      </c>
      <c r="Y238" s="184">
        <f t="shared" si="662"/>
        <v>-8.287542613636365</v>
      </c>
      <c r="Z238" s="184">
        <f t="shared" si="662"/>
        <v>-8.7019197443181842</v>
      </c>
      <c r="AA238" s="184">
        <f t="shared" si="662"/>
        <v>-9.1370157315340936</v>
      </c>
      <c r="AB238" s="184">
        <f t="shared" si="662"/>
        <v>-9.5938665181107989</v>
      </c>
      <c r="AC238" s="184">
        <f t="shared" si="662"/>
        <v>-10.073559844016339</v>
      </c>
      <c r="AD238" s="184">
        <f t="shared" si="662"/>
        <v>-10.577237836217156</v>
      </c>
      <c r="AE238" s="184">
        <f t="shared" si="662"/>
        <v>-11.106099728028015</v>
      </c>
      <c r="AF238" s="184">
        <f t="shared" ref="AF238" si="663">AE238*(1+$M$238)</f>
        <v>-11.661404714429416</v>
      </c>
      <c r="AG238" s="184">
        <f t="shared" ref="AG238" si="664">AF238*(1+$M$238)</f>
        <v>-12.244474950150888</v>
      </c>
      <c r="AH238" s="184">
        <f t="shared" ref="AH238" si="665">AG238*(1+$M$238)</f>
        <v>-12.856698697658434</v>
      </c>
      <c r="AI238" s="184">
        <f t="shared" ref="AI238" si="666">AH238*(1+$M$238)</f>
        <v>-13.499533632541356</v>
      </c>
      <c r="AJ238" s="184">
        <f t="shared" ref="AJ238" si="667">AI238*(1+$M$238)</f>
        <v>-14.174510314168424</v>
      </c>
      <c r="AK238" s="184">
        <f t="shared" ref="AK238" si="668">AJ238*(1+$M$238)</f>
        <v>-14.883235829876845</v>
      </c>
      <c r="AL238" s="184">
        <f t="shared" ref="AL238" si="669">AK238*(1+$M$238)</f>
        <v>-15.627397621370688</v>
      </c>
      <c r="AM238" s="184">
        <f t="shared" ref="AM238" si="670">AL238*(1+$M$238)</f>
        <v>-16.408767502439222</v>
      </c>
      <c r="AN238" s="184">
        <f t="shared" ref="AN238" si="671">AM238*(1+$M$238)</f>
        <v>-17.229205877561185</v>
      </c>
      <c r="AO238" s="184">
        <f t="shared" ref="AO238" si="672">AN238*(1+$M$238)</f>
        <v>-18.090666171439246</v>
      </c>
      <c r="AP238" s="184">
        <f t="shared" ref="AP238" si="673">AO238*(1+$M$238)</f>
        <v>-18.995199480011209</v>
      </c>
      <c r="AQ238" s="184">
        <f t="shared" ref="AQ238" si="674">AP238*(1+$M$238)</f>
        <v>-19.944959454011769</v>
      </c>
      <c r="AR238" s="184">
        <f t="shared" ref="AR238" si="675">AQ238*(1+$M$238)</f>
        <v>-20.942207426712358</v>
      </c>
      <c r="AS238" s="184">
        <f t="shared" ref="AS238" si="676">AR238*(1+$M$238)</f>
        <v>-21.989317798047978</v>
      </c>
      <c r="AT238" s="184">
        <f t="shared" ref="AT238" si="677">AS238*(1+$M$238)</f>
        <v>-23.088783687950379</v>
      </c>
      <c r="AU238" s="184">
        <f t="shared" ref="AU238" si="678">AT238*(1+$M$238)</f>
        <v>-24.2432228723479</v>
      </c>
      <c r="AV238" s="184">
        <f t="shared" ref="AV238" si="679">AU238*(1+$M$238)</f>
        <v>-25.455384015965297</v>
      </c>
    </row>
    <row r="239" spans="2:48">
      <c r="B239" s="20"/>
      <c r="C239" s="20"/>
      <c r="D239" s="20"/>
      <c r="E239" s="23" t="s">
        <v>447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47.159090909090907</v>
      </c>
      <c r="W239" s="183">
        <f>V239-W238</f>
        <v>54.67613636363636</v>
      </c>
      <c r="X239" s="183">
        <f t="shared" ref="X239:AC239" si="680">W239-X238</f>
        <v>62.569034090909085</v>
      </c>
      <c r="Y239" s="183">
        <f t="shared" si="680"/>
        <v>70.856576704545446</v>
      </c>
      <c r="Z239" s="183">
        <f t="shared" si="680"/>
        <v>79.558496448863636</v>
      </c>
      <c r="AA239" s="183">
        <f t="shared" si="680"/>
        <v>88.695512180397728</v>
      </c>
      <c r="AB239" s="183">
        <f t="shared" si="680"/>
        <v>98.289378698508528</v>
      </c>
      <c r="AC239" s="183">
        <f t="shared" si="680"/>
        <v>108.36293854252487</v>
      </c>
      <c r="AD239" s="183">
        <f>AC239-AD238</f>
        <v>118.94017637874202</v>
      </c>
      <c r="AE239" s="183">
        <f t="shared" ref="AE239" si="681">AD239-AE238</f>
        <v>130.04627610677005</v>
      </c>
      <c r="AF239" s="183">
        <f t="shared" ref="AF239" si="682">AE239-AF238</f>
        <v>141.70768082119946</v>
      </c>
      <c r="AG239" s="183">
        <f t="shared" ref="AG239" si="683">AF239-AG238</f>
        <v>153.95215577135036</v>
      </c>
      <c r="AH239" s="183">
        <f t="shared" ref="AH239" si="684">AG239-AH238</f>
        <v>166.80885446900879</v>
      </c>
      <c r="AI239" s="183">
        <f t="shared" ref="AI239" si="685">AH239-AI238</f>
        <v>180.30838810155015</v>
      </c>
      <c r="AJ239" s="183">
        <f t="shared" ref="AJ239" si="686">AI239-AJ238</f>
        <v>194.48289841571858</v>
      </c>
      <c r="AK239" s="183">
        <f t="shared" ref="AK239" si="687">AJ239-AK238</f>
        <v>209.36613424559542</v>
      </c>
      <c r="AL239" s="183">
        <f t="shared" ref="AL239" si="688">AK239-AL238</f>
        <v>224.99353186696609</v>
      </c>
      <c r="AM239" s="183">
        <f t="shared" ref="AM239" si="689">AL239-AM238</f>
        <v>241.40229936940531</v>
      </c>
      <c r="AN239" s="183">
        <f t="shared" ref="AN239" si="690">AM239-AN238</f>
        <v>258.63150524696653</v>
      </c>
      <c r="AO239" s="183">
        <f t="shared" ref="AO239" si="691">AN239-AO238</f>
        <v>276.72217141840576</v>
      </c>
      <c r="AP239" s="183">
        <f t="shared" ref="AP239" si="692">AO239-AP238</f>
        <v>295.71737089841696</v>
      </c>
      <c r="AQ239" s="183">
        <f t="shared" ref="AQ239" si="693">AP239-AQ238</f>
        <v>315.66233035242874</v>
      </c>
      <c r="AR239" s="183">
        <f t="shared" ref="AR239" si="694">AQ239-AR238</f>
        <v>336.60453777914108</v>
      </c>
      <c r="AS239" s="183">
        <f t="shared" ref="AS239" si="695">AR239-AS238</f>
        <v>358.59385557718906</v>
      </c>
      <c r="AT239" s="183">
        <f t="shared" ref="AT239" si="696">AS239-AT238</f>
        <v>381.68263926513941</v>
      </c>
      <c r="AU239" s="183">
        <f t="shared" ref="AU239" si="697">AT239-AU238</f>
        <v>405.92586213748734</v>
      </c>
      <c r="AV239" s="183">
        <f t="shared" ref="AV239" si="698">AU239-AV238</f>
        <v>431.38124615345265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99">G10/G7</f>
        <v>2.4526315789473685</v>
      </c>
      <c r="H241" s="25">
        <f t="shared" si="699"/>
        <v>2.5094339622641511</v>
      </c>
      <c r="I241" s="25">
        <f t="shared" ref="I241:S241" si="700">I10/I7</f>
        <v>3.5929203539823007</v>
      </c>
      <c r="J241" s="25">
        <f t="shared" si="700"/>
        <v>3.7925925925925927</v>
      </c>
      <c r="K241" s="25">
        <f t="shared" si="700"/>
        <v>4.4657534246575343</v>
      </c>
      <c r="L241" s="25">
        <f t="shared" si="700"/>
        <v>3.5319148936170213</v>
      </c>
      <c r="M241" s="25">
        <f t="shared" si="700"/>
        <v>4.209677419354839</v>
      </c>
      <c r="N241" s="25">
        <f t="shared" si="700"/>
        <v>5.9629629629629628</v>
      </c>
      <c r="O241" s="25">
        <f t="shared" si="700"/>
        <v>2.7259036144578315</v>
      </c>
      <c r="P241" s="25">
        <f t="shared" si="700"/>
        <v>2.6726190476190474</v>
      </c>
      <c r="Q241" s="25">
        <f t="shared" si="700"/>
        <v>2.0236051502145922</v>
      </c>
      <c r="R241" s="25">
        <f t="shared" si="700"/>
        <v>2.4579945799457996</v>
      </c>
      <c r="S241" s="25">
        <f t="shared" si="700"/>
        <v>2.8192419825072887</v>
      </c>
      <c r="T241" s="118">
        <f t="shared" ref="T241:T243" si="701">((R241/I241)^(1/($J$2-$J$1) ))-1</f>
        <v>-3.1139810937563017E-2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2">G10/G12</f>
        <v>38.833333333333336</v>
      </c>
      <c r="H242" s="112">
        <f t="shared" si="702"/>
        <v>66.5</v>
      </c>
      <c r="I242" s="112">
        <f t="shared" ref="I242:S242" si="703">I10/I12</f>
        <v>11.941176470588236</v>
      </c>
      <c r="J242" s="112">
        <f t="shared" si="703"/>
        <v>64</v>
      </c>
      <c r="K242" s="112">
        <f t="shared" si="703"/>
        <v>19.757575757575758</v>
      </c>
      <c r="L242" s="112">
        <f t="shared" si="703"/>
        <v>60.363636363636367</v>
      </c>
      <c r="M242" s="112">
        <f t="shared" si="703"/>
        <v>30.115384615384617</v>
      </c>
      <c r="N242" s="112">
        <f t="shared" si="703"/>
        <v>50.842105263157897</v>
      </c>
      <c r="O242" s="112">
        <f t="shared" si="703"/>
        <v>43.095238095238095</v>
      </c>
      <c r="P242" s="112">
        <f t="shared" si="703"/>
        <v>39.043478260869563</v>
      </c>
      <c r="Q242" s="112">
        <f t="shared" si="703"/>
        <v>41</v>
      </c>
      <c r="R242" s="112">
        <f t="shared" si="703"/>
        <v>39.434782608695649</v>
      </c>
      <c r="S242" s="112">
        <f t="shared" si="703"/>
        <v>74.384615384615387</v>
      </c>
      <c r="T242" s="118">
        <f t="shared" si="701"/>
        <v>0.10467882130402728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4">G10/(G12+G13)</f>
        <v>17.923076923076923</v>
      </c>
      <c r="H243" s="25">
        <f t="shared" si="704"/>
        <v>15.647058823529411</v>
      </c>
      <c r="I243" s="25">
        <f t="shared" ref="I243:S243" si="705">I10/(I12+I13)</f>
        <v>11.666666666666668</v>
      </c>
      <c r="J243" s="25">
        <f t="shared" si="705"/>
        <v>46.545454545454547</v>
      </c>
      <c r="K243" s="25">
        <f t="shared" si="705"/>
        <v>17.621621621621621</v>
      </c>
      <c r="L243" s="25">
        <f t="shared" si="705"/>
        <v>39.058823529411768</v>
      </c>
      <c r="M243" s="25">
        <f t="shared" si="705"/>
        <v>23.727272727272727</v>
      </c>
      <c r="N243" s="25">
        <f t="shared" si="705"/>
        <v>35.777777777777779</v>
      </c>
      <c r="O243" s="25">
        <f t="shared" si="705"/>
        <v>13.115942028985508</v>
      </c>
      <c r="P243" s="25">
        <f t="shared" si="705"/>
        <v>13.014492753623188</v>
      </c>
      <c r="Q243" s="25">
        <f t="shared" si="705"/>
        <v>14.074626865671641</v>
      </c>
      <c r="R243" s="25">
        <f t="shared" si="705"/>
        <v>13.537313432835822</v>
      </c>
      <c r="S243" s="25">
        <f t="shared" si="705"/>
        <v>17.267857142857142</v>
      </c>
      <c r="T243" s="118">
        <f t="shared" si="701"/>
        <v>1.2469947583023E-2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372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332</v>
      </c>
      <c r="O246" s="214"/>
      <c r="P246" s="215"/>
      <c r="Q246" s="23" t="s">
        <v>335</v>
      </c>
      <c r="R246" s="20"/>
      <c r="S246" s="136"/>
      <c r="T246" s="213" t="s">
        <v>333</v>
      </c>
      <c r="U246" s="214"/>
      <c r="V246" s="215"/>
      <c r="W246" s="23" t="s">
        <v>335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334</v>
      </c>
      <c r="D247" s="164" t="s">
        <v>0</v>
      </c>
      <c r="E247" s="164" t="s">
        <v>373</v>
      </c>
      <c r="F247" s="164"/>
      <c r="G247" s="164"/>
      <c r="H247" s="164" t="s">
        <v>374</v>
      </c>
      <c r="I247" s="164" t="s">
        <v>375</v>
      </c>
      <c r="J247" s="164" t="s">
        <v>376</v>
      </c>
      <c r="K247" s="164" t="s">
        <v>377</v>
      </c>
      <c r="L247" s="164" t="s">
        <v>378</v>
      </c>
      <c r="M247" s="20"/>
      <c r="N247" s="164" t="s">
        <v>334</v>
      </c>
      <c r="O247" s="164"/>
      <c r="P247" s="164" t="s">
        <v>0</v>
      </c>
      <c r="Q247" s="164" t="s">
        <v>367</v>
      </c>
      <c r="R247" s="20"/>
      <c r="S247" s="20"/>
      <c r="T247" s="164" t="s">
        <v>334</v>
      </c>
      <c r="U247" s="164"/>
      <c r="V247" s="164" t="s">
        <v>0</v>
      </c>
      <c r="W247" s="164" t="s">
        <v>367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336</v>
      </c>
      <c r="D248" s="21">
        <v>78</v>
      </c>
      <c r="E248" s="174" t="s">
        <v>379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336</v>
      </c>
      <c r="O248" s="165"/>
      <c r="P248" s="21">
        <v>1</v>
      </c>
      <c r="Q248" s="171">
        <f>P248</f>
        <v>1</v>
      </c>
      <c r="R248" s="20"/>
      <c r="S248" s="20"/>
      <c r="T248" s="165" t="s">
        <v>336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337</v>
      </c>
      <c r="D249" s="21">
        <v>1</v>
      </c>
      <c r="E249" s="174" t="s">
        <v>380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337</v>
      </c>
      <c r="O249" s="165"/>
      <c r="P249" s="21">
        <v>1</v>
      </c>
      <c r="Q249" s="171">
        <f>P249</f>
        <v>1</v>
      </c>
      <c r="R249" s="20"/>
      <c r="S249" s="20"/>
      <c r="T249" s="165" t="s">
        <v>337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339</v>
      </c>
      <c r="D250" s="166">
        <f>D248*D249</f>
        <v>78</v>
      </c>
      <c r="E250" s="174" t="s">
        <v>392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338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339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448</v>
      </c>
      <c r="F251" s="174"/>
      <c r="G251" s="174"/>
      <c r="H251" s="22">
        <v>0</v>
      </c>
      <c r="I251" s="22">
        <v>1</v>
      </c>
      <c r="J251" s="165">
        <f t="shared" ref="J251:J254" si="706">H251/I251</f>
        <v>0</v>
      </c>
      <c r="K251" s="165">
        <f t="shared" ref="K251:K253" si="707">J251*L250</f>
        <v>0</v>
      </c>
      <c r="L251" s="165">
        <f t="shared" ref="L251:L253" si="708">K251+L250</f>
        <v>2</v>
      </c>
      <c r="M251" s="20"/>
      <c r="N251" s="165" t="s">
        <v>340</v>
      </c>
      <c r="O251" s="165"/>
      <c r="P251" s="21">
        <v>1</v>
      </c>
      <c r="Q251" s="21">
        <v>1</v>
      </c>
      <c r="R251" s="20"/>
      <c r="S251" s="20"/>
      <c r="T251" s="165" t="s">
        <v>340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449</v>
      </c>
      <c r="F252" s="174"/>
      <c r="G252" s="174"/>
      <c r="H252" s="22">
        <v>0</v>
      </c>
      <c r="I252" s="22">
        <v>1</v>
      </c>
      <c r="J252" s="165">
        <f t="shared" si="706"/>
        <v>0</v>
      </c>
      <c r="K252" s="165">
        <f t="shared" si="707"/>
        <v>0</v>
      </c>
      <c r="L252" s="165">
        <f t="shared" si="708"/>
        <v>2</v>
      </c>
      <c r="M252" s="20"/>
      <c r="N252" s="165" t="s">
        <v>341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337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450</v>
      </c>
      <c r="F253" s="174"/>
      <c r="G253" s="174"/>
      <c r="H253" s="22">
        <v>0</v>
      </c>
      <c r="I253" s="22">
        <v>1</v>
      </c>
      <c r="J253" s="165">
        <f t="shared" si="706"/>
        <v>0</v>
      </c>
      <c r="K253" s="165">
        <f t="shared" si="707"/>
        <v>0</v>
      </c>
      <c r="L253" s="165">
        <f t="shared" si="708"/>
        <v>2</v>
      </c>
      <c r="M253" s="20"/>
      <c r="N253" s="165"/>
      <c r="O253" s="165"/>
      <c r="P253" s="166"/>
      <c r="Q253" s="166"/>
      <c r="R253" s="20"/>
      <c r="S253" s="20"/>
      <c r="T253" s="165" t="s">
        <v>339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381</v>
      </c>
      <c r="F254" s="174"/>
      <c r="G254" s="174"/>
      <c r="H254" s="22">
        <v>10</v>
      </c>
      <c r="I254" s="22">
        <v>2</v>
      </c>
      <c r="J254" s="165">
        <f t="shared" si="706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451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342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342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340</v>
      </c>
      <c r="D256" s="21">
        <v>45</v>
      </c>
      <c r="E256" s="174"/>
      <c r="F256" s="174"/>
      <c r="G256" s="174"/>
      <c r="H256" s="165"/>
      <c r="I256" s="165"/>
      <c r="J256" s="167" t="s">
        <v>382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337</v>
      </c>
      <c r="D257" s="21">
        <v>1</v>
      </c>
      <c r="E257" s="174" t="s">
        <v>381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339</v>
      </c>
      <c r="D258" s="166">
        <f>D257*D256</f>
        <v>45</v>
      </c>
      <c r="E258" s="165"/>
      <c r="F258" s="165"/>
      <c r="G258" s="165"/>
      <c r="H258" s="165"/>
      <c r="I258" s="165"/>
      <c r="J258" s="167" t="s">
        <v>382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381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342</v>
      </c>
      <c r="D260" s="168">
        <f>D258/D250</f>
        <v>0.57692307692307687</v>
      </c>
      <c r="E260" s="174"/>
      <c r="F260" s="174"/>
      <c r="G260" s="174"/>
      <c r="H260" s="165"/>
      <c r="I260" s="165"/>
      <c r="J260" s="167" t="s">
        <v>382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387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78</v>
      </c>
      <c r="I264" s="21">
        <f>D250</f>
        <v>78</v>
      </c>
      <c r="J264" s="20"/>
      <c r="K264" s="20" t="s">
        <v>28</v>
      </c>
      <c r="L264" s="127"/>
      <c r="M264" s="21">
        <f>I264</f>
        <v>78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45</v>
      </c>
      <c r="J265" s="20"/>
      <c r="K265" s="20" t="s">
        <v>29</v>
      </c>
      <c r="L265" s="20"/>
      <c r="M265" s="21">
        <f>I265</f>
        <v>45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-0.35316942594031486</v>
      </c>
      <c r="I267" s="3">
        <f>((I265/I264)^(1/I266))-1</f>
        <v>-5.3519237756944449E-2</v>
      </c>
      <c r="J267" s="20"/>
      <c r="K267" s="23" t="s">
        <v>388</v>
      </c>
      <c r="L267" s="23"/>
      <c r="M267" s="191">
        <f>(M265-M264)/M264</f>
        <v>-0.42307692307692307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389</v>
      </c>
      <c r="L268" s="23"/>
      <c r="M268" s="23">
        <f>M265/M264</f>
        <v>0.57692307692307687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-0.35316942594031486</v>
      </c>
      <c r="I270" s="3">
        <f>((I265/I264)^(1/I269))-1</f>
        <v>-5.3519237756944449E-2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426</v>
      </c>
      <c r="C3" s="225"/>
      <c r="F3" s="224" t="s">
        <v>427</v>
      </c>
      <c r="G3" s="225"/>
    </row>
    <row r="4" spans="2:7">
      <c r="B4" s="186" t="s">
        <v>428</v>
      </c>
      <c r="C4" s="186"/>
      <c r="F4" s="186" t="s">
        <v>429</v>
      </c>
      <c r="G4" s="186"/>
    </row>
    <row r="5" spans="2:7">
      <c r="B5" s="186" t="s">
        <v>430</v>
      </c>
      <c r="C5" s="186"/>
      <c r="F5" s="186" t="s">
        <v>291</v>
      </c>
      <c r="G5" s="186"/>
    </row>
    <row r="6" spans="2:7">
      <c r="B6" s="186" t="s">
        <v>431</v>
      </c>
      <c r="C6" s="186"/>
      <c r="F6" s="186" t="s">
        <v>432</v>
      </c>
      <c r="G6" s="186"/>
    </row>
    <row r="7" spans="2:7">
      <c r="B7" s="186" t="s">
        <v>433</v>
      </c>
      <c r="C7" s="186"/>
      <c r="F7" s="186" t="s">
        <v>434</v>
      </c>
      <c r="G7" s="186"/>
    </row>
    <row r="8" spans="2:7">
      <c r="B8" s="186" t="s">
        <v>435</v>
      </c>
      <c r="C8" s="186"/>
      <c r="F8" s="186" t="s">
        <v>436</v>
      </c>
      <c r="G8" s="186"/>
    </row>
    <row r="9" spans="2:7">
      <c r="B9" s="186" t="s">
        <v>437</v>
      </c>
      <c r="C9" s="186"/>
      <c r="F9" s="186" t="s">
        <v>438</v>
      </c>
      <c r="G9" s="186"/>
    </row>
    <row r="10" spans="2:7">
      <c r="B10" s="186" t="s">
        <v>436</v>
      </c>
      <c r="C10" s="186"/>
      <c r="F10" s="186"/>
      <c r="G10" s="186"/>
    </row>
    <row r="11" spans="2:7">
      <c r="B11" s="186" t="s">
        <v>439</v>
      </c>
      <c r="C11" s="186"/>
      <c r="F11" s="186"/>
      <c r="G11" s="186"/>
    </row>
    <row r="12" spans="2:7">
      <c r="B12" s="186" t="s">
        <v>440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2016-11-23T03:20:44Z</dcterms:modified>
</cp:coreProperties>
</file>
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X46" i="20"/>
  <c r="W46"/>
  <c r="V46"/>
  <c r="X51"/>
  <c r="W51"/>
  <c r="V51"/>
  <c r="X50"/>
  <c r="W50"/>
  <c r="V50"/>
  <c r="V42"/>
  <c r="V41"/>
  <c r="W45"/>
  <c r="X45"/>
  <c r="V45"/>
  <c r="W35"/>
  <c r="W36"/>
  <c r="V37"/>
  <c r="V38" s="1"/>
  <c r="V34"/>
  <c r="X32"/>
  <c r="V32"/>
  <c r="X31"/>
  <c r="V31"/>
  <c r="U31"/>
  <c r="X28"/>
  <c r="V28"/>
  <c r="G104" i="18" l="1"/>
  <c r="H104"/>
  <c r="I104"/>
  <c r="J104"/>
  <c r="K104"/>
  <c r="L104"/>
  <c r="M104"/>
  <c r="N104"/>
  <c r="O104"/>
  <c r="P104"/>
  <c r="Q104"/>
  <c r="R104"/>
  <c r="S104"/>
  <c r="T104"/>
  <c r="U104"/>
  <c r="H203"/>
  <c r="G203" s="1"/>
  <c r="V203" s="1"/>
  <c r="I203"/>
  <c r="J203"/>
  <c r="K203"/>
  <c r="L203"/>
  <c r="U51"/>
  <c r="U27"/>
  <c r="U252"/>
  <c r="V252" s="1"/>
  <c r="U251"/>
  <c r="U250"/>
  <c r="V250" s="1"/>
  <c r="X57"/>
  <c r="X59"/>
  <c r="V251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1"/>
  <c r="V53"/>
  <c r="V55"/>
  <c r="V57"/>
  <c r="V59"/>
  <c r="V61"/>
  <c r="V62"/>
  <c r="V63"/>
  <c r="V6"/>
  <c r="U68"/>
  <c r="U69"/>
  <c r="U70"/>
  <c r="U112" s="1"/>
  <c r="U72"/>
  <c r="U206" s="1"/>
  <c r="U73"/>
  <c r="U207" s="1"/>
  <c r="U74"/>
  <c r="S247" s="1"/>
  <c r="U75"/>
  <c r="U76"/>
  <c r="U77"/>
  <c r="U78"/>
  <c r="U80"/>
  <c r="U81"/>
  <c r="U82"/>
  <c r="U84"/>
  <c r="U85"/>
  <c r="U87"/>
  <c r="U88"/>
  <c r="U90"/>
  <c r="U92"/>
  <c r="U94" s="1"/>
  <c r="U95"/>
  <c r="U96"/>
  <c r="U97"/>
  <c r="U98"/>
  <c r="U100"/>
  <c r="U166" s="1"/>
  <c r="U101"/>
  <c r="U102"/>
  <c r="U107"/>
  <c r="U108"/>
  <c r="U109"/>
  <c r="U110"/>
  <c r="U111"/>
  <c r="U114"/>
  <c r="U120" s="1"/>
  <c r="U115"/>
  <c r="U116"/>
  <c r="U122" s="1"/>
  <c r="U117"/>
  <c r="U123" s="1"/>
  <c r="U118"/>
  <c r="U126"/>
  <c r="U127"/>
  <c r="U128"/>
  <c r="U129"/>
  <c r="U130"/>
  <c r="U131"/>
  <c r="U132"/>
  <c r="U133"/>
  <c r="U134"/>
  <c r="U136"/>
  <c r="U137"/>
  <c r="U138"/>
  <c r="U139"/>
  <c r="U141"/>
  <c r="U147"/>
  <c r="U148"/>
  <c r="U149"/>
  <c r="U151"/>
  <c r="U152"/>
  <c r="U153"/>
  <c r="U156"/>
  <c r="U157"/>
  <c r="U158"/>
  <c r="U159"/>
  <c r="U161"/>
  <c r="U162"/>
  <c r="U164"/>
  <c r="U165" s="1"/>
  <c r="U168"/>
  <c r="U169"/>
  <c r="U204"/>
  <c r="U208"/>
  <c r="U210"/>
  <c r="U211"/>
  <c r="U213"/>
  <c r="U214"/>
  <c r="U216"/>
  <c r="U8"/>
  <c r="U11"/>
  <c r="U26"/>
  <c r="U28"/>
  <c r="U30"/>
  <c r="U37"/>
  <c r="U39"/>
  <c r="U44"/>
  <c r="U46"/>
  <c r="U48"/>
  <c r="U52"/>
  <c r="U54"/>
  <c r="U56"/>
  <c r="U58"/>
  <c r="U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F203" l="1"/>
  <c r="U86"/>
  <c r="U142"/>
  <c r="U205"/>
  <c r="U121"/>
  <c r="U124"/>
  <c r="U145"/>
  <c r="G213"/>
  <c r="V213" s="1"/>
  <c r="G214"/>
  <c r="V214" s="1"/>
  <c r="G58"/>
  <c r="G60"/>
  <c r="G68"/>
  <c r="G204" s="1"/>
  <c r="V204" s="1"/>
  <c r="G69"/>
  <c r="V69" s="1"/>
  <c r="G70"/>
  <c r="V70" s="1"/>
  <c r="G72"/>
  <c r="G206" s="1"/>
  <c r="V206" s="1"/>
  <c r="G73"/>
  <c r="G207" s="1"/>
  <c r="V207" s="1"/>
  <c r="G74"/>
  <c r="V74" s="1"/>
  <c r="G75"/>
  <c r="V75" s="1"/>
  <c r="G76"/>
  <c r="V76" s="1"/>
  <c r="G77"/>
  <c r="G208" s="1"/>
  <c r="V208" s="1"/>
  <c r="G78"/>
  <c r="V78" s="1"/>
  <c r="G80"/>
  <c r="V80" s="1"/>
  <c r="G81"/>
  <c r="V81" s="1"/>
  <c r="G82"/>
  <c r="G211" s="1"/>
  <c r="V211" s="1"/>
  <c r="G84"/>
  <c r="V84" s="1"/>
  <c r="G85"/>
  <c r="V85" s="1"/>
  <c r="G87"/>
  <c r="V87" s="1"/>
  <c r="G88"/>
  <c r="G210" s="1"/>
  <c r="V210" s="1"/>
  <c r="G90"/>
  <c r="G92"/>
  <c r="G94" s="1"/>
  <c r="V94" s="1"/>
  <c r="G95"/>
  <c r="V95" s="1"/>
  <c r="G96"/>
  <c r="V96" s="1"/>
  <c r="G97"/>
  <c r="V97" s="1"/>
  <c r="G98"/>
  <c r="V98" s="1"/>
  <c r="G100"/>
  <c r="G166" s="1"/>
  <c r="V166" s="1"/>
  <c r="G101"/>
  <c r="V101" s="1"/>
  <c r="G102"/>
  <c r="V102" s="1"/>
  <c r="G107"/>
  <c r="V107" s="1"/>
  <c r="G108"/>
  <c r="V108" s="1"/>
  <c r="G109"/>
  <c r="V109" s="1"/>
  <c r="G110"/>
  <c r="V110" s="1"/>
  <c r="G111"/>
  <c r="V111" s="1"/>
  <c r="G112"/>
  <c r="V112" s="1"/>
  <c r="G114"/>
  <c r="G120" s="1"/>
  <c r="V120" s="1"/>
  <c r="G115"/>
  <c r="G121" s="1"/>
  <c r="G116"/>
  <c r="G122" s="1"/>
  <c r="V122" s="1"/>
  <c r="G117"/>
  <c r="G123" s="1"/>
  <c r="V123" s="1"/>
  <c r="G118"/>
  <c r="G124" s="1"/>
  <c r="G136"/>
  <c r="V136" s="1"/>
  <c r="G137"/>
  <c r="V137" s="1"/>
  <c r="G138"/>
  <c r="V138" s="1"/>
  <c r="G139"/>
  <c r="V139" s="1"/>
  <c r="G147"/>
  <c r="V147" s="1"/>
  <c r="G148"/>
  <c r="V148" s="1"/>
  <c r="G149"/>
  <c r="V149" s="1"/>
  <c r="G151"/>
  <c r="V151" s="1"/>
  <c r="G152"/>
  <c r="V152" s="1"/>
  <c r="G153"/>
  <c r="V153" s="1"/>
  <c r="G156"/>
  <c r="V156" s="1"/>
  <c r="G157"/>
  <c r="V157" s="1"/>
  <c r="G158"/>
  <c r="V158" s="1"/>
  <c r="G159"/>
  <c r="V159" s="1"/>
  <c r="G161"/>
  <c r="V161" s="1"/>
  <c r="G162"/>
  <c r="V162" s="1"/>
  <c r="G164"/>
  <c r="G165" s="1"/>
  <c r="V165" s="1"/>
  <c r="G168"/>
  <c r="V168" s="1"/>
  <c r="G169"/>
  <c r="V169" s="1"/>
  <c r="AI234"/>
  <c r="AJ233"/>
  <c r="AI233"/>
  <c r="AI232"/>
  <c r="AI231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V92" l="1"/>
  <c r="G141"/>
  <c r="G142" s="1"/>
  <c r="G143" s="1"/>
  <c r="G144" s="1"/>
  <c r="V90"/>
  <c r="V164"/>
  <c r="V77"/>
  <c r="V82"/>
  <c r="V88"/>
  <c r="V141"/>
  <c r="V73"/>
  <c r="V100"/>
  <c r="V72"/>
  <c r="V124"/>
  <c r="V115"/>
  <c r="V116"/>
  <c r="V121"/>
  <c r="V117"/>
  <c r="V118"/>
  <c r="V68"/>
  <c r="V114"/>
  <c r="U209"/>
  <c r="U143"/>
  <c r="V142"/>
  <c r="V104"/>
  <c r="U217"/>
  <c r="U218"/>
  <c r="G205"/>
  <c r="G218" s="1"/>
  <c r="G219" s="1"/>
  <c r="G86"/>
  <c r="G209" s="1"/>
  <c r="G145"/>
  <c r="V145" s="1"/>
  <c r="G216"/>
  <c r="V216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V209" i="18"/>
  <c r="V86"/>
  <c r="G217"/>
  <c r="V205"/>
  <c r="V217"/>
  <c r="U144"/>
  <c r="V144" s="1"/>
  <c r="V143"/>
  <c r="U219"/>
  <c r="V219" s="1"/>
  <c r="V218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5" i="18"/>
  <c r="G277" s="1"/>
  <c r="G278" s="1"/>
  <c r="H250"/>
  <c r="I250"/>
  <c r="H251"/>
  <c r="I251"/>
  <c r="H252"/>
  <c r="I252"/>
  <c r="H213"/>
  <c r="I213"/>
  <c r="H214"/>
  <c r="I214"/>
  <c r="I60"/>
  <c r="H60"/>
  <c r="H68"/>
  <c r="I68"/>
  <c r="I204" s="1"/>
  <c r="H69"/>
  <c r="I69"/>
  <c r="H70"/>
  <c r="I70"/>
  <c r="H72"/>
  <c r="H206" s="1"/>
  <c r="I72"/>
  <c r="I206" s="1"/>
  <c r="H73"/>
  <c r="H207" s="1"/>
  <c r="I73"/>
  <c r="I207" s="1"/>
  <c r="H74"/>
  <c r="I74"/>
  <c r="I205" s="1"/>
  <c r="H75"/>
  <c r="I75"/>
  <c r="H76"/>
  <c r="I76"/>
  <c r="I77"/>
  <c r="I208" s="1"/>
  <c r="H78"/>
  <c r="I78"/>
  <c r="H80"/>
  <c r="I80"/>
  <c r="H81"/>
  <c r="I81"/>
  <c r="H82"/>
  <c r="I82"/>
  <c r="I211" s="1"/>
  <c r="H84"/>
  <c r="I84"/>
  <c r="H85"/>
  <c r="I85"/>
  <c r="H86"/>
  <c r="H209" s="1"/>
  <c r="I86"/>
  <c r="I209" s="1"/>
  <c r="H87"/>
  <c r="I87"/>
  <c r="H88"/>
  <c r="H210" s="1"/>
  <c r="I88"/>
  <c r="I210" s="1"/>
  <c r="H90"/>
  <c r="H141" s="1"/>
  <c r="H142" s="1"/>
  <c r="I90"/>
  <c r="H92"/>
  <c r="I92"/>
  <c r="H94"/>
  <c r="I94"/>
  <c r="H95"/>
  <c r="I95"/>
  <c r="H96"/>
  <c r="I96"/>
  <c r="H97"/>
  <c r="I97"/>
  <c r="H98"/>
  <c r="I98"/>
  <c r="H100"/>
  <c r="I100"/>
  <c r="I166" s="1"/>
  <c r="H101"/>
  <c r="I101"/>
  <c r="I102"/>
  <c r="H107"/>
  <c r="I107"/>
  <c r="H108"/>
  <c r="I108"/>
  <c r="H109"/>
  <c r="I109"/>
  <c r="H110"/>
  <c r="I110"/>
  <c r="H111"/>
  <c r="I111"/>
  <c r="H112"/>
  <c r="I112"/>
  <c r="H114"/>
  <c r="I114"/>
  <c r="H115"/>
  <c r="I115"/>
  <c r="H116"/>
  <c r="I116"/>
  <c r="H117"/>
  <c r="I117"/>
  <c r="H118"/>
  <c r="I118"/>
  <c r="H120"/>
  <c r="I120"/>
  <c r="H121"/>
  <c r="I121"/>
  <c r="H122"/>
  <c r="I122"/>
  <c r="H123"/>
  <c r="I123"/>
  <c r="H124"/>
  <c r="I124"/>
  <c r="H136"/>
  <c r="I136"/>
  <c r="H137"/>
  <c r="I137"/>
  <c r="H138"/>
  <c r="I138"/>
  <c r="H139"/>
  <c r="I139"/>
  <c r="I141"/>
  <c r="I142" s="1"/>
  <c r="I143" s="1"/>
  <c r="I144" s="1"/>
  <c r="H147"/>
  <c r="I147"/>
  <c r="H148"/>
  <c r="I148"/>
  <c r="H149"/>
  <c r="I149"/>
  <c r="H151"/>
  <c r="I151"/>
  <c r="H152"/>
  <c r="I152"/>
  <c r="H153"/>
  <c r="I153"/>
  <c r="H156"/>
  <c r="I156"/>
  <c r="H157"/>
  <c r="I157"/>
  <c r="H158"/>
  <c r="I158"/>
  <c r="H159"/>
  <c r="I159"/>
  <c r="H161"/>
  <c r="I161"/>
  <c r="H162"/>
  <c r="I162"/>
  <c r="H164"/>
  <c r="H165" s="1"/>
  <c r="I164"/>
  <c r="I165" s="1"/>
  <c r="H166"/>
  <c r="H168"/>
  <c r="I168"/>
  <c r="H169"/>
  <c r="I169"/>
  <c r="J47"/>
  <c r="I47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5"/>
  <c r="H143"/>
  <c r="H144" s="1"/>
  <c r="H145"/>
  <c r="G40"/>
  <c r="V40" s="1"/>
  <c r="G42"/>
  <c r="V42" s="1"/>
  <c r="G41"/>
  <c r="V41" s="1"/>
  <c r="H43"/>
  <c r="G43" s="1"/>
  <c r="V43" s="1"/>
  <c r="I127"/>
  <c r="I128"/>
  <c r="I129"/>
  <c r="I130"/>
  <c r="I133"/>
  <c r="H47"/>
  <c r="G47" s="1"/>
  <c r="V47" s="1"/>
  <c r="I131"/>
  <c r="I39"/>
  <c r="H39"/>
  <c r="H36"/>
  <c r="G36" s="1"/>
  <c r="V36" s="1"/>
  <c r="I126"/>
  <c r="I134"/>
  <c r="I46"/>
  <c r="H46"/>
  <c r="I217"/>
  <c r="I218"/>
  <c r="I219" s="1"/>
  <c r="I216"/>
  <c r="H216"/>
  <c r="H205"/>
  <c r="H211"/>
  <c r="H204"/>
  <c r="G98" i="20"/>
  <c r="C99" s="1"/>
  <c r="J53"/>
  <c r="P52"/>
  <c r="I100"/>
  <c r="M99"/>
  <c r="N99" s="1"/>
  <c r="J100" s="1"/>
  <c r="B100"/>
  <c r="F99"/>
  <c r="G99" s="1"/>
  <c r="C100" s="1"/>
  <c r="F56"/>
  <c r="G56" s="1"/>
  <c r="H102" i="18"/>
  <c r="H77"/>
  <c r="T131"/>
  <c r="S131"/>
  <c r="R131"/>
  <c r="Q131"/>
  <c r="P131"/>
  <c r="O131"/>
  <c r="N131"/>
  <c r="M131"/>
  <c r="L131"/>
  <c r="K131"/>
  <c r="J131"/>
  <c r="AI47"/>
  <c r="W47"/>
  <c r="T48"/>
  <c r="S48"/>
  <c r="R48"/>
  <c r="Q48"/>
  <c r="P48"/>
  <c r="O48"/>
  <c r="N48"/>
  <c r="M48"/>
  <c r="L48"/>
  <c r="K48"/>
  <c r="J48"/>
  <c r="T132"/>
  <c r="S132"/>
  <c r="R132"/>
  <c r="Q132"/>
  <c r="P132"/>
  <c r="O132"/>
  <c r="N132"/>
  <c r="M132"/>
  <c r="L132"/>
  <c r="K132"/>
  <c r="X47" l="1"/>
  <c r="Y47" s="1"/>
  <c r="Z47" s="1"/>
  <c r="AA47" s="1"/>
  <c r="AB47" s="1"/>
  <c r="AC47" s="1"/>
  <c r="AD47" s="1"/>
  <c r="AE47" s="1"/>
  <c r="AF47" s="1"/>
  <c r="AG47" s="1"/>
  <c r="AH47" s="1"/>
  <c r="G131"/>
  <c r="V131" s="1"/>
  <c r="G48"/>
  <c r="G127"/>
  <c r="V127" s="1"/>
  <c r="G129"/>
  <c r="V129" s="1"/>
  <c r="G133"/>
  <c r="V133" s="1"/>
  <c r="G44"/>
  <c r="G128"/>
  <c r="V128" s="1"/>
  <c r="G130"/>
  <c r="V130" s="1"/>
  <c r="G37"/>
  <c r="G126"/>
  <c r="V126" s="1"/>
  <c r="G134"/>
  <c r="V134" s="1"/>
  <c r="I48"/>
  <c r="H131"/>
  <c r="H48"/>
  <c r="I44"/>
  <c r="H127"/>
  <c r="H128"/>
  <c r="H129"/>
  <c r="H130"/>
  <c r="H133"/>
  <c r="H44"/>
  <c r="I37"/>
  <c r="H126"/>
  <c r="H134"/>
  <c r="H37"/>
  <c r="H217"/>
  <c r="H218"/>
  <c r="H208"/>
  <c r="H56" i="20"/>
  <c r="H75" s="1"/>
  <c r="C57"/>
  <c r="B101"/>
  <c r="F100"/>
  <c r="G100" s="1"/>
  <c r="C101" s="1"/>
  <c r="I101"/>
  <c r="M100"/>
  <c r="N100" s="1"/>
  <c r="J101" s="1"/>
  <c r="M53"/>
  <c r="N53" s="1"/>
  <c r="T128" i="18"/>
  <c r="S128"/>
  <c r="R128"/>
  <c r="Q128"/>
  <c r="P128"/>
  <c r="O128"/>
  <c r="N128"/>
  <c r="M128"/>
  <c r="L128"/>
  <c r="K128"/>
  <c r="K46"/>
  <c r="W49"/>
  <c r="X49" s="1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8"/>
  <c r="I49" l="1"/>
  <c r="J132"/>
  <c r="H219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4"/>
  <c r="T133"/>
  <c r="T130"/>
  <c r="T129"/>
  <c r="S134"/>
  <c r="S133"/>
  <c r="S130"/>
  <c r="S129"/>
  <c r="R134"/>
  <c r="R133"/>
  <c r="R130"/>
  <c r="R129"/>
  <c r="Q134"/>
  <c r="Q133"/>
  <c r="Q130"/>
  <c r="Q129"/>
  <c r="P134"/>
  <c r="P133"/>
  <c r="P130"/>
  <c r="P129"/>
  <c r="O134"/>
  <c r="O133"/>
  <c r="O130"/>
  <c r="O129"/>
  <c r="N134"/>
  <c r="N133"/>
  <c r="N130"/>
  <c r="N129"/>
  <c r="M134"/>
  <c r="M133"/>
  <c r="M130"/>
  <c r="M129"/>
  <c r="L134"/>
  <c r="L133"/>
  <c r="L130"/>
  <c r="L129"/>
  <c r="K134"/>
  <c r="K133"/>
  <c r="K130"/>
  <c r="K129"/>
  <c r="J134"/>
  <c r="J130"/>
  <c r="J133"/>
  <c r="J129"/>
  <c r="T127"/>
  <c r="S127"/>
  <c r="R127"/>
  <c r="Q127"/>
  <c r="P127"/>
  <c r="O127"/>
  <c r="N127"/>
  <c r="M127"/>
  <c r="L127"/>
  <c r="K127"/>
  <c r="J127"/>
  <c r="T126"/>
  <c r="S126"/>
  <c r="R126"/>
  <c r="Q126"/>
  <c r="P126"/>
  <c r="O126"/>
  <c r="N126"/>
  <c r="M126"/>
  <c r="L126"/>
  <c r="K126"/>
  <c r="J126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49"/>
  <c r="G49" s="1"/>
  <c r="I132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G132" l="1"/>
  <c r="V132" s="1"/>
  <c r="V49"/>
  <c r="X41"/>
  <c r="Y41" s="1"/>
  <c r="Z41" s="1"/>
  <c r="AA41" s="1"/>
  <c r="AB41" s="1"/>
  <c r="AC41" s="1"/>
  <c r="AD41" s="1"/>
  <c r="AE41" s="1"/>
  <c r="AF41" s="1"/>
  <c r="AG41" s="1"/>
  <c r="AH41" s="1"/>
  <c r="X42"/>
  <c r="Y42" s="1"/>
  <c r="Z42" s="1"/>
  <c r="AA42" s="1"/>
  <c r="AB42" s="1"/>
  <c r="AC42" s="1"/>
  <c r="AD42" s="1"/>
  <c r="AE42" s="1"/>
  <c r="AF42" s="1"/>
  <c r="AG42" s="1"/>
  <c r="AH42" s="1"/>
  <c r="X43"/>
  <c r="Y43" s="1"/>
  <c r="Z43" s="1"/>
  <c r="AA43" s="1"/>
  <c r="AB43" s="1"/>
  <c r="AC43" s="1"/>
  <c r="AD43" s="1"/>
  <c r="AE43" s="1"/>
  <c r="AF43" s="1"/>
  <c r="AG43" s="1"/>
  <c r="AH43" s="1"/>
  <c r="H132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9"/>
  <c r="Y36"/>
  <c r="X128"/>
  <c r="B217"/>
  <c r="AI229"/>
  <c r="AI226"/>
  <c r="AI228"/>
  <c r="AI227"/>
  <c r="AI224"/>
  <c r="AI223"/>
  <c r="AI222"/>
  <c r="AI221"/>
  <c r="AI216"/>
  <c r="AI219"/>
  <c r="AI218"/>
  <c r="AI217"/>
  <c r="AI214"/>
  <c r="AI213"/>
  <c r="AI210"/>
  <c r="AI209"/>
  <c r="AI212"/>
  <c r="AI211"/>
  <c r="AI208"/>
  <c r="AI207"/>
  <c r="AI206"/>
  <c r="AI205"/>
  <c r="AI204"/>
  <c r="AI203"/>
  <c r="AJ226"/>
  <c r="X130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9"/>
  <c r="Z36"/>
  <c r="Y128"/>
  <c r="Y130"/>
  <c r="AJ227"/>
  <c r="T214"/>
  <c r="S214"/>
  <c r="R214"/>
  <c r="Q214"/>
  <c r="P214"/>
  <c r="O214"/>
  <c r="N214"/>
  <c r="M214"/>
  <c r="L214"/>
  <c r="K214"/>
  <c r="J214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9"/>
  <c r="AA36"/>
  <c r="Z130"/>
  <c r="Z128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9"/>
  <c r="AB36"/>
  <c r="AA130"/>
  <c r="AA128"/>
  <c r="T172"/>
  <c r="U227" s="1"/>
  <c r="S172" l="1"/>
  <c r="U226"/>
  <c r="U228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9"/>
  <c r="AC36"/>
  <c r="AB128"/>
  <c r="AB130"/>
  <c r="C1"/>
  <c r="AJ47" s="1"/>
  <c r="S246" l="1"/>
  <c r="U222"/>
  <c r="G222"/>
  <c r="U229"/>
  <c r="T227"/>
  <c r="G227"/>
  <c r="V227" s="1"/>
  <c r="G221"/>
  <c r="X227"/>
  <c r="X228" s="1"/>
  <c r="X229" s="1"/>
  <c r="H227"/>
  <c r="I227"/>
  <c r="X222"/>
  <c r="X223" s="1"/>
  <c r="X224" s="1"/>
  <c r="H222"/>
  <c r="I222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9"/>
  <c r="AD36"/>
  <c r="AC128"/>
  <c r="AC130"/>
  <c r="AJ45"/>
  <c r="AJ40"/>
  <c r="AJ49"/>
  <c r="AJ41"/>
  <c r="AJ42"/>
  <c r="AJ43"/>
  <c r="N227"/>
  <c r="N228" s="1"/>
  <c r="N229" s="1"/>
  <c r="S227"/>
  <c r="S226" s="1"/>
  <c r="R227"/>
  <c r="M227"/>
  <c r="L227"/>
  <c r="Q227"/>
  <c r="K227"/>
  <c r="P227"/>
  <c r="J227"/>
  <c r="O227"/>
  <c r="P222"/>
  <c r="S222"/>
  <c r="S221" s="1"/>
  <c r="O222"/>
  <c r="K222"/>
  <c r="R222"/>
  <c r="N222"/>
  <c r="J222"/>
  <c r="Q222"/>
  <c r="M222"/>
  <c r="T222"/>
  <c r="L222"/>
  <c r="AI73"/>
  <c r="AI72"/>
  <c r="AI70"/>
  <c r="J73"/>
  <c r="J207" s="1"/>
  <c r="K73"/>
  <c r="K207" s="1"/>
  <c r="L73"/>
  <c r="L207" s="1"/>
  <c r="M73"/>
  <c r="M207" s="1"/>
  <c r="N73"/>
  <c r="N207" s="1"/>
  <c r="O73"/>
  <c r="O207" s="1"/>
  <c r="P73"/>
  <c r="P207" s="1"/>
  <c r="Q73"/>
  <c r="Q207" s="1"/>
  <c r="R73"/>
  <c r="R207" s="1"/>
  <c r="S73"/>
  <c r="T73"/>
  <c r="J72"/>
  <c r="J206" s="1"/>
  <c r="K72"/>
  <c r="K206" s="1"/>
  <c r="L72"/>
  <c r="L206" s="1"/>
  <c r="M72"/>
  <c r="M206" s="1"/>
  <c r="N72"/>
  <c r="N206" s="1"/>
  <c r="O72"/>
  <c r="O206" s="1"/>
  <c r="P72"/>
  <c r="P206" s="1"/>
  <c r="Q72"/>
  <c r="Q206" s="1"/>
  <c r="R72"/>
  <c r="R206" s="1"/>
  <c r="S72"/>
  <c r="S206" s="1"/>
  <c r="T72"/>
  <c r="V222" l="1"/>
  <c r="U221"/>
  <c r="U223"/>
  <c r="U224" s="1"/>
  <c r="V221"/>
  <c r="G223"/>
  <c r="G224" s="1"/>
  <c r="V224" s="1"/>
  <c r="X226"/>
  <c r="G226"/>
  <c r="V226" s="1"/>
  <c r="G228"/>
  <c r="T221"/>
  <c r="X221"/>
  <c r="T207"/>
  <c r="T206"/>
  <c r="H221"/>
  <c r="H223"/>
  <c r="I226"/>
  <c r="I228"/>
  <c r="I229" s="1"/>
  <c r="I221"/>
  <c r="I223"/>
  <c r="I224" s="1"/>
  <c r="H226"/>
  <c r="H228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9"/>
  <c r="AE36"/>
  <c r="AD130"/>
  <c r="AD128"/>
  <c r="N226"/>
  <c r="S228"/>
  <c r="S229" s="1"/>
  <c r="M223"/>
  <c r="M224" s="1"/>
  <c r="M221"/>
  <c r="R223"/>
  <c r="R224" s="1"/>
  <c r="R221"/>
  <c r="P223"/>
  <c r="P224" s="1"/>
  <c r="P221"/>
  <c r="O228"/>
  <c r="O229" s="1"/>
  <c r="O226"/>
  <c r="Q228"/>
  <c r="Q229" s="1"/>
  <c r="Q226"/>
  <c r="Q223"/>
  <c r="Q224" s="1"/>
  <c r="Q221"/>
  <c r="K223"/>
  <c r="K224" s="1"/>
  <c r="K221"/>
  <c r="J228"/>
  <c r="J229" s="1"/>
  <c r="J226"/>
  <c r="L228"/>
  <c r="L229" s="1"/>
  <c r="L226"/>
  <c r="L223"/>
  <c r="L224" s="1"/>
  <c r="L221"/>
  <c r="J223"/>
  <c r="J224" s="1"/>
  <c r="J221"/>
  <c r="O223"/>
  <c r="O224" s="1"/>
  <c r="O221"/>
  <c r="P228"/>
  <c r="P229" s="1"/>
  <c r="P226"/>
  <c r="M228"/>
  <c r="M229" s="1"/>
  <c r="M226"/>
  <c r="T223"/>
  <c r="T224" s="1"/>
  <c r="N223"/>
  <c r="N224" s="1"/>
  <c r="N221"/>
  <c r="K228"/>
  <c r="K229" s="1"/>
  <c r="K226"/>
  <c r="R228"/>
  <c r="R229" s="1"/>
  <c r="R226"/>
  <c r="T228"/>
  <c r="T229" s="1"/>
  <c r="T226"/>
  <c r="S223"/>
  <c r="S207"/>
  <c r="V223" l="1"/>
  <c r="G229"/>
  <c r="V229" s="1"/>
  <c r="V228"/>
  <c r="H224"/>
  <c r="H229"/>
  <c r="M58" i="20"/>
  <c r="N58" s="1"/>
  <c r="B111"/>
  <c r="F110"/>
  <c r="G110" s="1"/>
  <c r="C111" s="1"/>
  <c r="I111"/>
  <c r="M110"/>
  <c r="N110" s="1"/>
  <c r="J111" s="1"/>
  <c r="F66"/>
  <c r="G66"/>
  <c r="AF38" i="18"/>
  <c r="AE129"/>
  <c r="AF36"/>
  <c r="AE130"/>
  <c r="AE128"/>
  <c r="S224"/>
  <c r="J149"/>
  <c r="K149"/>
  <c r="L149"/>
  <c r="M149"/>
  <c r="N149"/>
  <c r="O149"/>
  <c r="P149"/>
  <c r="Q149"/>
  <c r="R149"/>
  <c r="S149"/>
  <c r="T149"/>
  <c r="T148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9"/>
  <c r="AG36"/>
  <c r="AF128"/>
  <c r="AF130"/>
  <c r="I263"/>
  <c r="I260"/>
  <c r="I261"/>
  <c r="I262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9"/>
  <c r="AH129" s="1"/>
  <c r="AJ38"/>
  <c r="AG128"/>
  <c r="AH128" s="1"/>
  <c r="AG130"/>
  <c r="AH130" s="1"/>
  <c r="AH36"/>
  <c r="AJ36"/>
  <c r="T252"/>
  <c r="T251"/>
  <c r="T250"/>
  <c r="T213"/>
  <c r="T68"/>
  <c r="T69"/>
  <c r="T70"/>
  <c r="T74"/>
  <c r="T75"/>
  <c r="T76"/>
  <c r="T77"/>
  <c r="T78"/>
  <c r="T80"/>
  <c r="T81"/>
  <c r="T82"/>
  <c r="T84"/>
  <c r="T85"/>
  <c r="T87"/>
  <c r="T88"/>
  <c r="T90"/>
  <c r="T92"/>
  <c r="T95"/>
  <c r="T96"/>
  <c r="T97"/>
  <c r="T98"/>
  <c r="T100"/>
  <c r="T101"/>
  <c r="T102"/>
  <c r="T107"/>
  <c r="T108"/>
  <c r="T109"/>
  <c r="T110"/>
  <c r="T111"/>
  <c r="T114"/>
  <c r="T115"/>
  <c r="T116"/>
  <c r="T117"/>
  <c r="T118"/>
  <c r="T136"/>
  <c r="T137"/>
  <c r="T138"/>
  <c r="T139"/>
  <c r="T147"/>
  <c r="T151"/>
  <c r="T152"/>
  <c r="T153"/>
  <c r="T156"/>
  <c r="T157"/>
  <c r="T158"/>
  <c r="T159"/>
  <c r="T161"/>
  <c r="T162"/>
  <c r="T164"/>
  <c r="T168"/>
  <c r="T169"/>
  <c r="T94" l="1"/>
  <c r="T141"/>
  <c r="T216"/>
  <c r="T112"/>
  <c r="T166"/>
  <c r="T124"/>
  <c r="T122"/>
  <c r="T121"/>
  <c r="T204"/>
  <c r="T120"/>
  <c r="T165"/>
  <c r="T210"/>
  <c r="T123"/>
  <c r="T211"/>
  <c r="T208"/>
  <c r="J60" i="20"/>
  <c r="P59"/>
  <c r="H87"/>
  <c r="F68"/>
  <c r="G68" s="1"/>
  <c r="C69" s="1"/>
  <c r="I114"/>
  <c r="M113"/>
  <c r="N113" s="1"/>
  <c r="J114" s="1"/>
  <c r="B114"/>
  <c r="F113"/>
  <c r="G113" s="1"/>
  <c r="C114" s="1"/>
  <c r="T205" i="18"/>
  <c r="T86"/>
  <c r="K70"/>
  <c r="K112" s="1"/>
  <c r="L70"/>
  <c r="L112" s="1"/>
  <c r="M70"/>
  <c r="M112" s="1"/>
  <c r="N70"/>
  <c r="N112" s="1"/>
  <c r="O70"/>
  <c r="O112" s="1"/>
  <c r="P70"/>
  <c r="P112" s="1"/>
  <c r="Q70"/>
  <c r="Q112" s="1"/>
  <c r="R70"/>
  <c r="R112" s="1"/>
  <c r="S70"/>
  <c r="S112" s="1"/>
  <c r="J70"/>
  <c r="J112" s="1"/>
  <c r="T142" l="1"/>
  <c r="T209"/>
  <c r="F69" i="20"/>
  <c r="G69" s="1"/>
  <c r="C70" s="1"/>
  <c r="H88"/>
  <c r="B115"/>
  <c r="F114"/>
  <c r="G114" s="1"/>
  <c r="C115" s="1"/>
  <c r="I115"/>
  <c r="M114"/>
  <c r="N114" s="1"/>
  <c r="J115" s="1"/>
  <c r="N60"/>
  <c r="M60"/>
  <c r="T218" i="18"/>
  <c r="T217"/>
  <c r="K247"/>
  <c r="T145" l="1"/>
  <c r="T143"/>
  <c r="T144" s="1"/>
  <c r="T219"/>
  <c r="F70" i="20"/>
  <c r="G70" s="1"/>
  <c r="C71" s="1"/>
  <c r="J61"/>
  <c r="P60"/>
  <c r="I116"/>
  <c r="M115"/>
  <c r="N115" s="1"/>
  <c r="J116" s="1"/>
  <c r="B116"/>
  <c r="F115"/>
  <c r="G115" s="1"/>
  <c r="C116" s="1"/>
  <c r="N243" i="18"/>
  <c r="N242"/>
  <c r="N241"/>
  <c r="N240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7"/>
  <c r="X248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61"/>
  <c r="W262" s="1"/>
  <c r="D259"/>
  <c r="I259"/>
  <c r="O136"/>
  <c r="M136"/>
  <c r="K136"/>
  <c r="J136"/>
  <c r="L136"/>
  <c r="N136"/>
  <c r="P136"/>
  <c r="Q136"/>
  <c r="R136"/>
  <c r="S136"/>
  <c r="K169"/>
  <c r="L169"/>
  <c r="M169"/>
  <c r="N169"/>
  <c r="O169"/>
  <c r="P169"/>
  <c r="Q169"/>
  <c r="R169"/>
  <c r="S169"/>
  <c r="K168"/>
  <c r="L168"/>
  <c r="M168"/>
  <c r="N168"/>
  <c r="O168"/>
  <c r="P168"/>
  <c r="Q168"/>
  <c r="R168"/>
  <c r="S168"/>
  <c r="H277"/>
  <c r="H278" s="1"/>
  <c r="AI75"/>
  <c r="K75"/>
  <c r="L75"/>
  <c r="M75"/>
  <c r="N75"/>
  <c r="O75"/>
  <c r="P75"/>
  <c r="Q75"/>
  <c r="R75"/>
  <c r="S75"/>
  <c r="J75"/>
  <c r="I268"/>
  <c r="D267"/>
  <c r="I266"/>
  <c r="J266" s="1"/>
  <c r="K266" s="1"/>
  <c r="K267" s="1"/>
  <c r="I264"/>
  <c r="I258"/>
  <c r="I257"/>
  <c r="J257" s="1"/>
  <c r="K257" s="1"/>
  <c r="H274" l="1"/>
  <c r="N274" s="1"/>
  <c r="G274"/>
  <c r="H273"/>
  <c r="N273" s="1"/>
  <c r="N276" s="1"/>
  <c r="G273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9"/>
  <c r="J258"/>
  <c r="K258" s="1"/>
  <c r="J268"/>
  <c r="K268" s="1"/>
  <c r="K269" s="1"/>
  <c r="K111"/>
  <c r="L111"/>
  <c r="M111"/>
  <c r="N111"/>
  <c r="O111"/>
  <c r="P111"/>
  <c r="Q111"/>
  <c r="R111"/>
  <c r="S111"/>
  <c r="J111"/>
  <c r="J169"/>
  <c r="J168"/>
  <c r="AI14"/>
  <c r="W14"/>
  <c r="X14" s="1"/>
  <c r="W258"/>
  <c r="W257"/>
  <c r="P258"/>
  <c r="P261" s="1"/>
  <c r="P257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64"/>
  <c r="K165" s="1"/>
  <c r="L164"/>
  <c r="L165" s="1"/>
  <c r="M164"/>
  <c r="M165" s="1"/>
  <c r="N164"/>
  <c r="N165" s="1"/>
  <c r="O164"/>
  <c r="O165" s="1"/>
  <c r="P164"/>
  <c r="P165" s="1"/>
  <c r="Q164"/>
  <c r="Q165" s="1"/>
  <c r="R164"/>
  <c r="R165" s="1"/>
  <c r="S164"/>
  <c r="S165" s="1"/>
  <c r="J164"/>
  <c r="J165" s="1"/>
  <c r="N277" l="1"/>
  <c r="H276"/>
  <c r="H279"/>
  <c r="G279"/>
  <c r="G276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9"/>
  <c r="K259" s="1"/>
  <c r="S110"/>
  <c r="S109"/>
  <c r="K110"/>
  <c r="L110"/>
  <c r="M110"/>
  <c r="N110"/>
  <c r="O110"/>
  <c r="P110"/>
  <c r="Q110"/>
  <c r="R110"/>
  <c r="J110"/>
  <c r="J109"/>
  <c r="K162"/>
  <c r="L162"/>
  <c r="M162"/>
  <c r="N162"/>
  <c r="O162"/>
  <c r="P162"/>
  <c r="Q162"/>
  <c r="R162"/>
  <c r="S162"/>
  <c r="J162"/>
  <c r="K161"/>
  <c r="L161"/>
  <c r="M161"/>
  <c r="N161"/>
  <c r="O161"/>
  <c r="P161"/>
  <c r="Q161"/>
  <c r="R161"/>
  <c r="S161"/>
  <c r="J161"/>
  <c r="K158"/>
  <c r="L158"/>
  <c r="M158"/>
  <c r="N158"/>
  <c r="O158"/>
  <c r="P158"/>
  <c r="Q158"/>
  <c r="R158"/>
  <c r="S158"/>
  <c r="J158"/>
  <c r="K159"/>
  <c r="L159"/>
  <c r="M159"/>
  <c r="N159"/>
  <c r="O159"/>
  <c r="P159"/>
  <c r="Q159"/>
  <c r="R159"/>
  <c r="S159"/>
  <c r="J159"/>
  <c r="K157"/>
  <c r="L157"/>
  <c r="M157"/>
  <c r="N157"/>
  <c r="O157"/>
  <c r="P157"/>
  <c r="Q157"/>
  <c r="R157"/>
  <c r="S157"/>
  <c r="J157"/>
  <c r="K156"/>
  <c r="L156"/>
  <c r="M156"/>
  <c r="N156"/>
  <c r="O156"/>
  <c r="P156"/>
  <c r="Q156"/>
  <c r="R156"/>
  <c r="S156"/>
  <c r="J156"/>
  <c r="K153"/>
  <c r="L153"/>
  <c r="M153"/>
  <c r="N153"/>
  <c r="O153"/>
  <c r="P153"/>
  <c r="Q153"/>
  <c r="R153"/>
  <c r="S153"/>
  <c r="J153"/>
  <c r="K152"/>
  <c r="L152"/>
  <c r="M152"/>
  <c r="N152"/>
  <c r="O152"/>
  <c r="P152"/>
  <c r="Q152"/>
  <c r="R152"/>
  <c r="S152"/>
  <c r="J152"/>
  <c r="K151"/>
  <c r="L151"/>
  <c r="M151"/>
  <c r="N151"/>
  <c r="O151"/>
  <c r="P151"/>
  <c r="Q151"/>
  <c r="R151"/>
  <c r="S151"/>
  <c r="J151"/>
  <c r="B153"/>
  <c r="B152"/>
  <c r="AI32"/>
  <c r="W32"/>
  <c r="X32" s="1"/>
  <c r="J139"/>
  <c r="K139"/>
  <c r="L139"/>
  <c r="M139"/>
  <c r="N139"/>
  <c r="O139"/>
  <c r="P139"/>
  <c r="Q139"/>
  <c r="R139"/>
  <c r="S139"/>
  <c r="V262"/>
  <c r="O261"/>
  <c r="V259"/>
  <c r="W259" s="1"/>
  <c r="W264" s="1"/>
  <c r="O259"/>
  <c r="P259" s="1"/>
  <c r="P264" s="1"/>
  <c r="K148"/>
  <c r="L148"/>
  <c r="M148"/>
  <c r="N148"/>
  <c r="O148"/>
  <c r="P148"/>
  <c r="Q148"/>
  <c r="R148"/>
  <c r="S148"/>
  <c r="J148"/>
  <c r="K147"/>
  <c r="L147"/>
  <c r="M147"/>
  <c r="N147"/>
  <c r="O147"/>
  <c r="P147"/>
  <c r="Q147"/>
  <c r="R147"/>
  <c r="S147"/>
  <c r="J147"/>
  <c r="F77" i="20" l="1"/>
  <c r="G77"/>
  <c r="C78" s="1"/>
  <c r="M64"/>
  <c r="N64" s="1"/>
  <c r="J260" i="18"/>
  <c r="K260" s="1"/>
  <c r="J261" s="1"/>
  <c r="K261" s="1"/>
  <c r="J262" s="1"/>
  <c r="K262" s="1"/>
  <c r="J263" s="1"/>
  <c r="K263" s="1"/>
  <c r="J264" s="1"/>
  <c r="K264" s="1"/>
  <c r="K265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4"/>
  <c r="V264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8"/>
  <c r="AI69"/>
  <c r="AI74"/>
  <c r="AI76"/>
  <c r="AI77"/>
  <c r="AI78"/>
  <c r="AI80"/>
  <c r="AI81"/>
  <c r="AI82"/>
  <c r="AI84"/>
  <c r="AI85"/>
  <c r="AI86"/>
  <c r="AI87"/>
  <c r="AI89"/>
  <c r="AI90"/>
  <c r="AI92"/>
  <c r="AI94"/>
  <c r="AI95"/>
  <c r="AI96"/>
  <c r="AI97"/>
  <c r="AI98"/>
  <c r="AI100"/>
  <c r="AI101"/>
  <c r="AI102"/>
  <c r="AI7"/>
  <c r="AI6"/>
  <c r="X25" l="1"/>
  <c r="X131" s="1"/>
  <c r="X55"/>
  <c r="X132" s="1"/>
  <c r="J65" i="20"/>
  <c r="P64"/>
  <c r="F78"/>
  <c r="G78" s="1"/>
  <c r="X127" i="18"/>
  <c r="AD53"/>
  <c r="AJ32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J114"/>
  <c r="J120" s="1"/>
  <c r="X126" l="1"/>
  <c r="X70"/>
  <c r="X112" s="1"/>
  <c r="X134"/>
  <c r="X133"/>
  <c r="G81" i="20"/>
  <c r="G82" s="1"/>
  <c r="C79"/>
  <c r="M65"/>
  <c r="N65"/>
  <c r="J66" s="1"/>
  <c r="AE53" i="18"/>
  <c r="Y31"/>
  <c r="X149"/>
  <c r="Y29"/>
  <c r="K138"/>
  <c r="L138"/>
  <c r="M138"/>
  <c r="N138"/>
  <c r="O138"/>
  <c r="P138"/>
  <c r="Q138"/>
  <c r="R138"/>
  <c r="S138"/>
  <c r="J138"/>
  <c r="K137"/>
  <c r="L137"/>
  <c r="M137"/>
  <c r="N137"/>
  <c r="O137"/>
  <c r="P137"/>
  <c r="Q137"/>
  <c r="R137"/>
  <c r="S137"/>
  <c r="J137"/>
  <c r="M66" i="20" l="1"/>
  <c r="N66"/>
  <c r="J67" s="1"/>
  <c r="F79"/>
  <c r="G79"/>
  <c r="AF53" i="18"/>
  <c r="Z31"/>
  <c r="Z29"/>
  <c r="AJ89"/>
  <c r="M67" i="20" l="1"/>
  <c r="N67"/>
  <c r="J68" s="1"/>
  <c r="AG53" i="18"/>
  <c r="AA31"/>
  <c r="AA29"/>
  <c r="J213"/>
  <c r="K213"/>
  <c r="L213"/>
  <c r="M213"/>
  <c r="N213"/>
  <c r="O213"/>
  <c r="P213"/>
  <c r="Q213"/>
  <c r="R213"/>
  <c r="S213"/>
  <c r="J90"/>
  <c r="J141" s="1"/>
  <c r="J142" s="1"/>
  <c r="J145" s="1"/>
  <c r="K90"/>
  <c r="K141" s="1"/>
  <c r="K142" s="1"/>
  <c r="K145" s="1"/>
  <c r="L90"/>
  <c r="L141" s="1"/>
  <c r="L142" s="1"/>
  <c r="L145" s="1"/>
  <c r="M90"/>
  <c r="M141" s="1"/>
  <c r="M142" s="1"/>
  <c r="M145" s="1"/>
  <c r="N90"/>
  <c r="N141" s="1"/>
  <c r="N142" s="1"/>
  <c r="N145" s="1"/>
  <c r="O90"/>
  <c r="O141" s="1"/>
  <c r="O142" s="1"/>
  <c r="O145" s="1"/>
  <c r="P90"/>
  <c r="P141" s="1"/>
  <c r="P142" s="1"/>
  <c r="P145" s="1"/>
  <c r="Q90"/>
  <c r="Q141" s="1"/>
  <c r="Q142" s="1"/>
  <c r="Q145" s="1"/>
  <c r="R90"/>
  <c r="R141" s="1"/>
  <c r="R142" s="1"/>
  <c r="R145" s="1"/>
  <c r="S90"/>
  <c r="S141" s="1"/>
  <c r="M68" i="20" l="1"/>
  <c r="N68" s="1"/>
  <c r="J69" s="1"/>
  <c r="AH53" i="18"/>
  <c r="AJ53"/>
  <c r="AB31"/>
  <c r="X90"/>
  <c r="AB29"/>
  <c r="Q143"/>
  <c r="Q144" s="1"/>
  <c r="M143"/>
  <c r="M144" s="1"/>
  <c r="O143"/>
  <c r="O144" s="1"/>
  <c r="K143"/>
  <c r="K144" s="1"/>
  <c r="P143"/>
  <c r="P144" s="1"/>
  <c r="L143"/>
  <c r="L144" s="1"/>
  <c r="R143"/>
  <c r="R144" s="1"/>
  <c r="N143"/>
  <c r="N144" s="1"/>
  <c r="J143"/>
  <c r="J144" s="1"/>
  <c r="S142"/>
  <c r="S145" s="1"/>
  <c r="Y59"/>
  <c r="M69" i="20" l="1"/>
  <c r="N69"/>
  <c r="J70" s="1"/>
  <c r="AC31" i="18"/>
  <c r="Z59"/>
  <c r="AC29"/>
  <c r="S143"/>
  <c r="Y90"/>
  <c r="J100"/>
  <c r="J166" s="1"/>
  <c r="K100"/>
  <c r="K166" s="1"/>
  <c r="L100"/>
  <c r="L166" s="1"/>
  <c r="M100"/>
  <c r="M166" s="1"/>
  <c r="N100"/>
  <c r="N166" s="1"/>
  <c r="O100"/>
  <c r="O166" s="1"/>
  <c r="P100"/>
  <c r="P166" s="1"/>
  <c r="Q100"/>
  <c r="Q166" s="1"/>
  <c r="R100"/>
  <c r="R166" s="1"/>
  <c r="J101"/>
  <c r="K101"/>
  <c r="L101"/>
  <c r="M101"/>
  <c r="N101"/>
  <c r="O101"/>
  <c r="P101"/>
  <c r="Q101"/>
  <c r="R101"/>
  <c r="J102"/>
  <c r="K102"/>
  <c r="L102"/>
  <c r="M102"/>
  <c r="N102"/>
  <c r="O102"/>
  <c r="P102"/>
  <c r="Q102"/>
  <c r="R102"/>
  <c r="S102"/>
  <c r="S101"/>
  <c r="S100"/>
  <c r="S166" s="1"/>
  <c r="K109"/>
  <c r="L109"/>
  <c r="M109"/>
  <c r="N109"/>
  <c r="O109"/>
  <c r="P109"/>
  <c r="Q109"/>
  <c r="R109"/>
  <c r="J108"/>
  <c r="K108"/>
  <c r="L108"/>
  <c r="M108"/>
  <c r="N108"/>
  <c r="O108"/>
  <c r="P108"/>
  <c r="Q108"/>
  <c r="R108"/>
  <c r="J107"/>
  <c r="K107"/>
  <c r="L107"/>
  <c r="M107"/>
  <c r="N107"/>
  <c r="O107"/>
  <c r="P107"/>
  <c r="Q107"/>
  <c r="R107"/>
  <c r="S108"/>
  <c r="M70" i="20" l="1"/>
  <c r="N70"/>
  <c r="J71" s="1"/>
  <c r="AD31" i="18"/>
  <c r="AA59"/>
  <c r="Z90"/>
  <c r="AD29"/>
  <c r="S107"/>
  <c r="K252"/>
  <c r="L252"/>
  <c r="M252"/>
  <c r="N252"/>
  <c r="O252"/>
  <c r="P252"/>
  <c r="Q252"/>
  <c r="R252"/>
  <c r="S252"/>
  <c r="J252"/>
  <c r="K251"/>
  <c r="L251"/>
  <c r="M251"/>
  <c r="N251"/>
  <c r="O251"/>
  <c r="P251"/>
  <c r="Q251"/>
  <c r="R251"/>
  <c r="S251"/>
  <c r="J251"/>
  <c r="K250"/>
  <c r="L250"/>
  <c r="M250"/>
  <c r="N250"/>
  <c r="O250"/>
  <c r="P250"/>
  <c r="Q250"/>
  <c r="R250"/>
  <c r="S250"/>
  <c r="J250"/>
  <c r="K69"/>
  <c r="L69"/>
  <c r="M69"/>
  <c r="N69"/>
  <c r="O69"/>
  <c r="P69"/>
  <c r="Q69"/>
  <c r="R69"/>
  <c r="S69"/>
  <c r="J69"/>
  <c r="J74"/>
  <c r="K68"/>
  <c r="K204" s="1"/>
  <c r="L68"/>
  <c r="L204" s="1"/>
  <c r="M68"/>
  <c r="M204" s="1"/>
  <c r="N68"/>
  <c r="N204" s="1"/>
  <c r="O68"/>
  <c r="O204" s="1"/>
  <c r="P68"/>
  <c r="P204" s="1"/>
  <c r="Q68"/>
  <c r="Q204" s="1"/>
  <c r="R68"/>
  <c r="R204" s="1"/>
  <c r="S68"/>
  <c r="S204" s="1"/>
  <c r="J68"/>
  <c r="J204" s="1"/>
  <c r="X115"/>
  <c r="X121" s="1"/>
  <c r="J216" l="1"/>
  <c r="M71" i="20"/>
  <c r="N71" s="1"/>
  <c r="J72" s="1"/>
  <c r="AE31" i="18"/>
  <c r="AB59"/>
  <c r="AA90"/>
  <c r="AE29"/>
  <c r="Y51"/>
  <c r="M72" i="20" l="1"/>
  <c r="N72" s="1"/>
  <c r="J73" s="1"/>
  <c r="Y115" i="18"/>
  <c r="Y121" s="1"/>
  <c r="AF31"/>
  <c r="AC59"/>
  <c r="AB90"/>
  <c r="AF29"/>
  <c r="Z51"/>
  <c r="L97"/>
  <c r="M97"/>
  <c r="N97"/>
  <c r="O97"/>
  <c r="P97"/>
  <c r="Q97"/>
  <c r="R97"/>
  <c r="S97"/>
  <c r="L98"/>
  <c r="M98"/>
  <c r="N98"/>
  <c r="O98"/>
  <c r="P98"/>
  <c r="Q98"/>
  <c r="R98"/>
  <c r="S98"/>
  <c r="L92"/>
  <c r="L94" s="1"/>
  <c r="M92"/>
  <c r="M94" s="1"/>
  <c r="N92"/>
  <c r="N94" s="1"/>
  <c r="O92"/>
  <c r="O94" s="1"/>
  <c r="P92"/>
  <c r="P94" s="1"/>
  <c r="Q92"/>
  <c r="Q94" s="1"/>
  <c r="R92"/>
  <c r="R94" s="1"/>
  <c r="S92"/>
  <c r="S94" s="1"/>
  <c r="L95"/>
  <c r="M95"/>
  <c r="N95"/>
  <c r="O95"/>
  <c r="P95"/>
  <c r="Q95"/>
  <c r="R95"/>
  <c r="S95"/>
  <c r="L96"/>
  <c r="M96"/>
  <c r="N96"/>
  <c r="O96"/>
  <c r="P96"/>
  <c r="Q96"/>
  <c r="R96"/>
  <c r="S96"/>
  <c r="J95"/>
  <c r="J96"/>
  <c r="J97"/>
  <c r="J98"/>
  <c r="K98"/>
  <c r="K97"/>
  <c r="Y22"/>
  <c r="Z22" s="1"/>
  <c r="AA22" s="1"/>
  <c r="AB22" s="1"/>
  <c r="AC22" s="1"/>
  <c r="AD22" s="1"/>
  <c r="AE22" s="1"/>
  <c r="AF22" s="1"/>
  <c r="AG22" s="1"/>
  <c r="J92"/>
  <c r="J94" s="1"/>
  <c r="K92"/>
  <c r="K94" s="1"/>
  <c r="K96"/>
  <c r="K95"/>
  <c r="N73" i="20" l="1"/>
  <c r="J74" s="1"/>
  <c r="M73"/>
  <c r="Z115" i="18"/>
  <c r="Z121" s="1"/>
  <c r="AG31"/>
  <c r="AH31" s="1"/>
  <c r="AD59"/>
  <c r="AC90"/>
  <c r="Y23"/>
  <c r="X118"/>
  <c r="X124" s="1"/>
  <c r="AG29"/>
  <c r="AH22"/>
  <c r="AJ22"/>
  <c r="AA51"/>
  <c r="Y21"/>
  <c r="M74" i="20" l="1"/>
  <c r="N74" s="1"/>
  <c r="J75" s="1"/>
  <c r="AJ31" i="18"/>
  <c r="AA115"/>
  <c r="AA121" s="1"/>
  <c r="AD90"/>
  <c r="AE59"/>
  <c r="Z23"/>
  <c r="Y118"/>
  <c r="Y124" s="1"/>
  <c r="AJ29"/>
  <c r="AH29"/>
  <c r="Y20"/>
  <c r="X92"/>
  <c r="Z21"/>
  <c r="Y9"/>
  <c r="Z9" s="1"/>
  <c r="AA9" s="1"/>
  <c r="AB9" s="1"/>
  <c r="AC9" s="1"/>
  <c r="AD9" s="1"/>
  <c r="AE9" s="1"/>
  <c r="AF9" s="1"/>
  <c r="AG9" s="1"/>
  <c r="AJ9" s="1"/>
  <c r="X111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8"/>
  <c r="R210" s="1"/>
  <c r="R87"/>
  <c r="R85"/>
  <c r="R84"/>
  <c r="R82"/>
  <c r="R211" s="1"/>
  <c r="R81"/>
  <c r="R80"/>
  <c r="R78"/>
  <c r="R77"/>
  <c r="R208" s="1"/>
  <c r="R76"/>
  <c r="R74"/>
  <c r="R216" s="1"/>
  <c r="N75" i="20" l="1"/>
  <c r="J76" s="1"/>
  <c r="M75"/>
  <c r="AB115" i="18"/>
  <c r="AB121" s="1"/>
  <c r="AE90"/>
  <c r="AF59"/>
  <c r="Y92"/>
  <c r="X158"/>
  <c r="X168"/>
  <c r="X159"/>
  <c r="X169"/>
  <c r="AA23"/>
  <c r="Z118"/>
  <c r="Z124" s="1"/>
  <c r="X152"/>
  <c r="X153"/>
  <c r="X151"/>
  <c r="X139"/>
  <c r="S144"/>
  <c r="X114"/>
  <c r="X120" s="1"/>
  <c r="X148"/>
  <c r="X147"/>
  <c r="Y18"/>
  <c r="R205"/>
  <c r="Z20"/>
  <c r="Y27"/>
  <c r="AC51"/>
  <c r="Y25"/>
  <c r="Y131" s="1"/>
  <c r="X107"/>
  <c r="AA21"/>
  <c r="AH33"/>
  <c r="AH34"/>
  <c r="AH9"/>
  <c r="R86"/>
  <c r="R209" s="1"/>
  <c r="J82"/>
  <c r="J211" s="1"/>
  <c r="K82"/>
  <c r="K211" s="1"/>
  <c r="L82"/>
  <c r="L211" s="1"/>
  <c r="M82"/>
  <c r="M211" s="1"/>
  <c r="N82"/>
  <c r="N211" s="1"/>
  <c r="O82"/>
  <c r="O211" s="1"/>
  <c r="P82"/>
  <c r="P211" s="1"/>
  <c r="Q82"/>
  <c r="Q211" s="1"/>
  <c r="S82"/>
  <c r="M76" i="20" l="1"/>
  <c r="N76" s="1"/>
  <c r="J77" s="1"/>
  <c r="Y126" i="18"/>
  <c r="Y127"/>
  <c r="R218"/>
  <c r="R219" s="1"/>
  <c r="R217"/>
  <c r="AC115"/>
  <c r="AC121" s="1"/>
  <c r="Y111"/>
  <c r="Y149"/>
  <c r="AG59"/>
  <c r="AF90"/>
  <c r="Y159"/>
  <c r="Y169"/>
  <c r="Y158"/>
  <c r="Y168"/>
  <c r="AB23"/>
  <c r="AA118"/>
  <c r="AA124" s="1"/>
  <c r="Y151"/>
  <c r="Y153"/>
  <c r="Y152"/>
  <c r="Y139"/>
  <c r="Y114"/>
  <c r="Y120" s="1"/>
  <c r="Y148"/>
  <c r="Y147"/>
  <c r="Z18"/>
  <c r="AA20"/>
  <c r="Z92"/>
  <c r="Z27"/>
  <c r="Z25"/>
  <c r="Y107"/>
  <c r="AD51"/>
  <c r="AB21"/>
  <c r="S211"/>
  <c r="J81"/>
  <c r="K81"/>
  <c r="L81"/>
  <c r="M81"/>
  <c r="N81"/>
  <c r="O81"/>
  <c r="P81"/>
  <c r="Q81"/>
  <c r="S81"/>
  <c r="J80"/>
  <c r="K80"/>
  <c r="L80"/>
  <c r="M80"/>
  <c r="N80"/>
  <c r="O80"/>
  <c r="P80"/>
  <c r="Q80"/>
  <c r="S80"/>
  <c r="N77" i="20" l="1"/>
  <c r="J78" s="1"/>
  <c r="M77"/>
  <c r="Z127" i="18"/>
  <c r="Z131"/>
  <c r="Z149"/>
  <c r="Z126"/>
  <c r="AD115"/>
  <c r="AD121" s="1"/>
  <c r="AJ59"/>
  <c r="AG90"/>
  <c r="AH59"/>
  <c r="Z158"/>
  <c r="Z168"/>
  <c r="Z159"/>
  <c r="Z169"/>
  <c r="Z111"/>
  <c r="AC23"/>
  <c r="AB118"/>
  <c r="AB124" s="1"/>
  <c r="Z153"/>
  <c r="Z152"/>
  <c r="Z151"/>
  <c r="Z139"/>
  <c r="Z114"/>
  <c r="Z120" s="1"/>
  <c r="Z148"/>
  <c r="Z147"/>
  <c r="AA18"/>
  <c r="AB20"/>
  <c r="AA92"/>
  <c r="AA27"/>
  <c r="AA25"/>
  <c r="AA131" s="1"/>
  <c r="Z107"/>
  <c r="AE51"/>
  <c r="AC21"/>
  <c r="M78" i="20" l="1"/>
  <c r="N78" s="1"/>
  <c r="AA126" i="18"/>
  <c r="AA127"/>
  <c r="AE115"/>
  <c r="AE121" s="1"/>
  <c r="AA111"/>
  <c r="AA149"/>
  <c r="X190"/>
  <c r="T239" s="1"/>
  <c r="AJ90"/>
  <c r="Y190" s="1"/>
  <c r="S239" s="1"/>
  <c r="AH90"/>
  <c r="AA159"/>
  <c r="AA169"/>
  <c r="AA158"/>
  <c r="AA168"/>
  <c r="AD23"/>
  <c r="AC118"/>
  <c r="AC124" s="1"/>
  <c r="AA139"/>
  <c r="AA153"/>
  <c r="AA152"/>
  <c r="AA151"/>
  <c r="AA114"/>
  <c r="AA120" s="1"/>
  <c r="AA148"/>
  <c r="AA147"/>
  <c r="AB18"/>
  <c r="AC20"/>
  <c r="AB92"/>
  <c r="AB27"/>
  <c r="AB25"/>
  <c r="AA107"/>
  <c r="AF51"/>
  <c r="AD21"/>
  <c r="K74"/>
  <c r="L74"/>
  <c r="M74"/>
  <c r="M216" s="1"/>
  <c r="N74"/>
  <c r="N216" s="1"/>
  <c r="O74"/>
  <c r="O216" s="1"/>
  <c r="P74"/>
  <c r="P216" s="1"/>
  <c r="Q74"/>
  <c r="S74"/>
  <c r="S216" s="1"/>
  <c r="J88"/>
  <c r="K88"/>
  <c r="K210" s="1"/>
  <c r="L88"/>
  <c r="L210" s="1"/>
  <c r="M88"/>
  <c r="M210" s="1"/>
  <c r="N88"/>
  <c r="N210" s="1"/>
  <c r="O88"/>
  <c r="O210" s="1"/>
  <c r="P88"/>
  <c r="P210" s="1"/>
  <c r="Q88"/>
  <c r="S88"/>
  <c r="J87"/>
  <c r="K87"/>
  <c r="L87"/>
  <c r="M87"/>
  <c r="N87"/>
  <c r="O87"/>
  <c r="P87"/>
  <c r="Q87"/>
  <c r="S87"/>
  <c r="J85"/>
  <c r="K85"/>
  <c r="L85"/>
  <c r="M85"/>
  <c r="N85"/>
  <c r="O85"/>
  <c r="P85"/>
  <c r="Q85"/>
  <c r="S85"/>
  <c r="J84"/>
  <c r="K84"/>
  <c r="L84"/>
  <c r="M84"/>
  <c r="N84"/>
  <c r="O84"/>
  <c r="P84"/>
  <c r="Q84"/>
  <c r="S84"/>
  <c r="J78"/>
  <c r="K78"/>
  <c r="L78"/>
  <c r="M78"/>
  <c r="N78"/>
  <c r="O78"/>
  <c r="P78"/>
  <c r="Q78"/>
  <c r="S78"/>
  <c r="J77"/>
  <c r="K77"/>
  <c r="K208" s="1"/>
  <c r="L77"/>
  <c r="L208" s="1"/>
  <c r="M77"/>
  <c r="M208" s="1"/>
  <c r="N77"/>
  <c r="N208" s="1"/>
  <c r="O77"/>
  <c r="O208" s="1"/>
  <c r="P77"/>
  <c r="P208" s="1"/>
  <c r="Q77"/>
  <c r="S77"/>
  <c r="J76"/>
  <c r="K76"/>
  <c r="L76"/>
  <c r="M76"/>
  <c r="N76"/>
  <c r="O76"/>
  <c r="P76"/>
  <c r="Q76"/>
  <c r="S76"/>
  <c r="X156"/>
  <c r="X164"/>
  <c r="X165" s="1"/>
  <c r="X116"/>
  <c r="X122" s="1"/>
  <c r="L216" l="1"/>
  <c r="V172"/>
  <c r="Q216"/>
  <c r="U172"/>
  <c r="K216"/>
  <c r="X246"/>
  <c r="X245" s="1"/>
  <c r="N81" i="20"/>
  <c r="N82" s="1"/>
  <c r="J79"/>
  <c r="AB127" i="18"/>
  <c r="AB131"/>
  <c r="AB149"/>
  <c r="AB126"/>
  <c r="X213"/>
  <c r="AF115"/>
  <c r="AF121" s="1"/>
  <c r="X136"/>
  <c r="W190"/>
  <c r="AB158"/>
  <c r="AB168"/>
  <c r="AB111"/>
  <c r="AB159"/>
  <c r="AB169"/>
  <c r="AE23"/>
  <c r="AD118"/>
  <c r="AD124" s="1"/>
  <c r="X109"/>
  <c r="X110"/>
  <c r="X162"/>
  <c r="X161"/>
  <c r="X117"/>
  <c r="X123" s="1"/>
  <c r="X157"/>
  <c r="K205"/>
  <c r="AB139"/>
  <c r="AB152"/>
  <c r="AB151"/>
  <c r="AB153"/>
  <c r="X138"/>
  <c r="AB114"/>
  <c r="AB120" s="1"/>
  <c r="AB148"/>
  <c r="AB147"/>
  <c r="X137"/>
  <c r="AC18"/>
  <c r="S205"/>
  <c r="N205"/>
  <c r="M205"/>
  <c r="P205"/>
  <c r="L205"/>
  <c r="AD20"/>
  <c r="AC92"/>
  <c r="K86"/>
  <c r="K209" s="1"/>
  <c r="AC27"/>
  <c r="Y12"/>
  <c r="Y15"/>
  <c r="Y156" s="1"/>
  <c r="Y13"/>
  <c r="Y10"/>
  <c r="Y16"/>
  <c r="Y164" s="1"/>
  <c r="Y165" s="1"/>
  <c r="Y6"/>
  <c r="Y7"/>
  <c r="AC25"/>
  <c r="AC131" s="1"/>
  <c r="AB107"/>
  <c r="Y55"/>
  <c r="Y132" s="1"/>
  <c r="X108"/>
  <c r="AG51"/>
  <c r="O86"/>
  <c r="O209" s="1"/>
  <c r="N86"/>
  <c r="N209" s="1"/>
  <c r="M86"/>
  <c r="M209" s="1"/>
  <c r="AE21"/>
  <c r="Y203"/>
  <c r="L86"/>
  <c r="L209" s="1"/>
  <c r="J208"/>
  <c r="J205"/>
  <c r="J210"/>
  <c r="J86"/>
  <c r="Q208"/>
  <c r="Q205"/>
  <c r="Q210"/>
  <c r="S208"/>
  <c r="O205"/>
  <c r="Q86"/>
  <c r="P86"/>
  <c r="P209" s="1"/>
  <c r="S210"/>
  <c r="S86"/>
  <c r="C6" i="12"/>
  <c r="N79" i="20" l="1"/>
  <c r="J80" s="1"/>
  <c r="M79"/>
  <c r="Y134" i="18"/>
  <c r="Y133"/>
  <c r="AC126"/>
  <c r="AC127"/>
  <c r="Y213"/>
  <c r="Y222"/>
  <c r="Y227"/>
  <c r="J218"/>
  <c r="J219" s="1"/>
  <c r="J217"/>
  <c r="P218"/>
  <c r="P219" s="1"/>
  <c r="P217"/>
  <c r="N218"/>
  <c r="N219" s="1"/>
  <c r="N217"/>
  <c r="Q218"/>
  <c r="Q219" s="1"/>
  <c r="Q217"/>
  <c r="K218"/>
  <c r="K219" s="1"/>
  <c r="K217"/>
  <c r="L218"/>
  <c r="L219" s="1"/>
  <c r="L217"/>
  <c r="M218"/>
  <c r="M219" s="1"/>
  <c r="M217"/>
  <c r="S218"/>
  <c r="S219" s="1"/>
  <c r="S217"/>
  <c r="O218"/>
  <c r="O219" s="1"/>
  <c r="O217"/>
  <c r="AC111"/>
  <c r="AC149"/>
  <c r="Y116"/>
  <c r="Y122" s="1"/>
  <c r="Y70"/>
  <c r="Y112" s="1"/>
  <c r="Y247"/>
  <c r="Z247" s="1"/>
  <c r="AA247" s="1"/>
  <c r="AB247" s="1"/>
  <c r="AC247" s="1"/>
  <c r="AD247" s="1"/>
  <c r="AE247" s="1"/>
  <c r="AF247" s="1"/>
  <c r="AG247" s="1"/>
  <c r="AH247" s="1"/>
  <c r="AI247" s="1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Y136"/>
  <c r="AC158"/>
  <c r="AC168"/>
  <c r="AC159"/>
  <c r="AC169"/>
  <c r="AJ51"/>
  <c r="AG115"/>
  <c r="AF23"/>
  <c r="AE118"/>
  <c r="AE124" s="1"/>
  <c r="Y162"/>
  <c r="Y161"/>
  <c r="Y117"/>
  <c r="Y123" s="1"/>
  <c r="Y157"/>
  <c r="Y110"/>
  <c r="AC151"/>
  <c r="AC152"/>
  <c r="AC153"/>
  <c r="AC139"/>
  <c r="AC114"/>
  <c r="AC120" s="1"/>
  <c r="AC148"/>
  <c r="AC147"/>
  <c r="Y137"/>
  <c r="Y138"/>
  <c r="AD18"/>
  <c r="AE20"/>
  <c r="AD92"/>
  <c r="AD27"/>
  <c r="Z15"/>
  <c r="Z156" s="1"/>
  <c r="Z13"/>
  <c r="Z12"/>
  <c r="Z16"/>
  <c r="Z164" s="1"/>
  <c r="Z165" s="1"/>
  <c r="Z10"/>
  <c r="Z7"/>
  <c r="Z6"/>
  <c r="AH51"/>
  <c r="AD25"/>
  <c r="AD131" s="1"/>
  <c r="AC107"/>
  <c r="Z55"/>
  <c r="Z132" s="1"/>
  <c r="Y109"/>
  <c r="Y108"/>
  <c r="AF21"/>
  <c r="Z203"/>
  <c r="J209"/>
  <c r="Q209"/>
  <c r="S209"/>
  <c r="M80" i="20" l="1"/>
  <c r="N80" s="1"/>
  <c r="Z133" i="18"/>
  <c r="Z134"/>
  <c r="AD126"/>
  <c r="AD127"/>
  <c r="Y228"/>
  <c r="Y229" s="1"/>
  <c r="Y226"/>
  <c r="Y223"/>
  <c r="Y224" s="1"/>
  <c r="Y221"/>
  <c r="Z213"/>
  <c r="Z227"/>
  <c r="Z222"/>
  <c r="AD111"/>
  <c r="AD149"/>
  <c r="Z116"/>
  <c r="Z122" s="1"/>
  <c r="Z70"/>
  <c r="Z112" s="1"/>
  <c r="Y248"/>
  <c r="Z248" s="1"/>
  <c r="AA248" s="1"/>
  <c r="AB248" s="1"/>
  <c r="AC248" s="1"/>
  <c r="AD248" s="1"/>
  <c r="AE248" s="1"/>
  <c r="AF248" s="1"/>
  <c r="AG248" s="1"/>
  <c r="AH248" s="1"/>
  <c r="AI248" s="1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H115"/>
  <c r="AG121"/>
  <c r="AH121" s="1"/>
  <c r="Y246"/>
  <c r="Z246" s="1"/>
  <c r="AA246" s="1"/>
  <c r="AB246" s="1"/>
  <c r="AC246" s="1"/>
  <c r="AD246" s="1"/>
  <c r="AE246" s="1"/>
  <c r="AF246" s="1"/>
  <c r="AG246" s="1"/>
  <c r="AH246" s="1"/>
  <c r="Z136"/>
  <c r="AD158"/>
  <c r="AD168"/>
  <c r="AD159"/>
  <c r="AD169"/>
  <c r="AG23"/>
  <c r="AF118"/>
  <c r="AF124" s="1"/>
  <c r="Z117"/>
  <c r="Z123" s="1"/>
  <c r="Z157"/>
  <c r="Z162"/>
  <c r="Z161"/>
  <c r="Z110"/>
  <c r="AD153"/>
  <c r="AD152"/>
  <c r="AD151"/>
  <c r="AD139"/>
  <c r="AD114"/>
  <c r="AD120" s="1"/>
  <c r="AD148"/>
  <c r="AD147"/>
  <c r="Z137"/>
  <c r="Z138"/>
  <c r="AE18"/>
  <c r="AF20"/>
  <c r="AE92"/>
  <c r="AE27"/>
  <c r="AA13"/>
  <c r="AA12"/>
  <c r="AA15"/>
  <c r="AA156" s="1"/>
  <c r="AA10"/>
  <c r="AA16"/>
  <c r="AA164" s="1"/>
  <c r="AA165" s="1"/>
  <c r="AA6"/>
  <c r="AA7"/>
  <c r="AA55"/>
  <c r="AA132" s="1"/>
  <c r="Z109"/>
  <c r="Z108"/>
  <c r="AE25"/>
  <c r="AE131" s="1"/>
  <c r="AD107"/>
  <c r="AG21"/>
  <c r="AJ21" s="1"/>
  <c r="AA203"/>
  <c r="AA134" l="1"/>
  <c r="AA133"/>
  <c r="AE126"/>
  <c r="AE127"/>
  <c r="Z223"/>
  <c r="Z224" s="1"/>
  <c r="Z221"/>
  <c r="Z228"/>
  <c r="Z229" s="1"/>
  <c r="Z226"/>
  <c r="AA213"/>
  <c r="AA222"/>
  <c r="AA227"/>
  <c r="AE111"/>
  <c r="AE149"/>
  <c r="AA116"/>
  <c r="AA122" s="1"/>
  <c r="AA70"/>
  <c r="AA112" s="1"/>
  <c r="Y245"/>
  <c r="Z245" s="1"/>
  <c r="AA245" s="1"/>
  <c r="AB245" s="1"/>
  <c r="AC245" s="1"/>
  <c r="AD245" s="1"/>
  <c r="AE245" s="1"/>
  <c r="AF245" s="1"/>
  <c r="AG245" s="1"/>
  <c r="AH245" s="1"/>
  <c r="AI246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A136"/>
  <c r="AE158"/>
  <c r="AE168"/>
  <c r="AE159"/>
  <c r="AE169"/>
  <c r="AJ23"/>
  <c r="AG118"/>
  <c r="AH23"/>
  <c r="AA110"/>
  <c r="AA161"/>
  <c r="AA162"/>
  <c r="AA117"/>
  <c r="AA123" s="1"/>
  <c r="AA157"/>
  <c r="AE153"/>
  <c r="AE152"/>
  <c r="AE151"/>
  <c r="AE139"/>
  <c r="AE114"/>
  <c r="AE120" s="1"/>
  <c r="AE148"/>
  <c r="AE147"/>
  <c r="AA138"/>
  <c r="AA137"/>
  <c r="AF18"/>
  <c r="AG20"/>
  <c r="AF92"/>
  <c r="AF27"/>
  <c r="AB12"/>
  <c r="AB15"/>
  <c r="AB156" s="1"/>
  <c r="AB13"/>
  <c r="AB16"/>
  <c r="AB164" s="1"/>
  <c r="AB165" s="1"/>
  <c r="AB10"/>
  <c r="AB7"/>
  <c r="AB6"/>
  <c r="AF25"/>
  <c r="AE107"/>
  <c r="AB55"/>
  <c r="AB132" s="1"/>
  <c r="AA108"/>
  <c r="AA109"/>
  <c r="AH21"/>
  <c r="AB20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7" i="18" l="1"/>
  <c r="AF131"/>
  <c r="AB134"/>
  <c r="AB133"/>
  <c r="AF149"/>
  <c r="AF126"/>
  <c r="AA228"/>
  <c r="AA229" s="1"/>
  <c r="AA226"/>
  <c r="AA223"/>
  <c r="AA224" s="1"/>
  <c r="AA221"/>
  <c r="AB213"/>
  <c r="AB227"/>
  <c r="AB222"/>
  <c r="AB116"/>
  <c r="AB122" s="1"/>
  <c r="AB70"/>
  <c r="AB112" s="1"/>
  <c r="AI245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AH118"/>
  <c r="AG124"/>
  <c r="AH124" s="1"/>
  <c r="AB136"/>
  <c r="AF158"/>
  <c r="AF168"/>
  <c r="AF159"/>
  <c r="AF169"/>
  <c r="AJ20"/>
  <c r="AF111"/>
  <c r="AB162"/>
  <c r="AB161"/>
  <c r="AB117"/>
  <c r="AB123" s="1"/>
  <c r="AB157"/>
  <c r="AB110"/>
  <c r="AF152"/>
  <c r="AF151"/>
  <c r="AF153"/>
  <c r="AF139"/>
  <c r="AF114"/>
  <c r="AF120" s="1"/>
  <c r="AF148"/>
  <c r="AF147"/>
  <c r="AB138"/>
  <c r="AB137"/>
  <c r="AG18"/>
  <c r="AH20"/>
  <c r="AG92"/>
  <c r="AG27"/>
  <c r="AG169" s="1"/>
  <c r="AH169" s="1"/>
  <c r="AC15"/>
  <c r="AC156" s="1"/>
  <c r="AC13"/>
  <c r="AC12"/>
  <c r="AC10"/>
  <c r="AC16"/>
  <c r="AC164" s="1"/>
  <c r="AC165" s="1"/>
  <c r="AC6"/>
  <c r="AC7"/>
  <c r="AC55"/>
  <c r="AC132" s="1"/>
  <c r="AB109"/>
  <c r="AB108"/>
  <c r="AG25"/>
  <c r="AG131" s="1"/>
  <c r="AH131" s="1"/>
  <c r="AF107"/>
  <c r="AC20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4" i="18" l="1"/>
  <c r="AC133"/>
  <c r="AG126"/>
  <c r="AH126" s="1"/>
  <c r="AG127"/>
  <c r="AH127" s="1"/>
  <c r="AB223"/>
  <c r="AB224" s="1"/>
  <c r="AB221"/>
  <c r="AB228"/>
  <c r="AB229" s="1"/>
  <c r="AB226"/>
  <c r="AC213"/>
  <c r="AC227"/>
  <c r="AC222"/>
  <c r="AG111"/>
  <c r="AH111" s="1"/>
  <c r="AG149"/>
  <c r="AH149" s="1"/>
  <c r="AC116"/>
  <c r="AC122" s="1"/>
  <c r="AC70"/>
  <c r="AC112" s="1"/>
  <c r="AC136"/>
  <c r="AG158"/>
  <c r="AH158" s="1"/>
  <c r="AG168"/>
  <c r="AH168" s="1"/>
  <c r="AC117"/>
  <c r="AC123" s="1"/>
  <c r="AC157"/>
  <c r="AC162"/>
  <c r="AC161"/>
  <c r="AJ27"/>
  <c r="AG159"/>
  <c r="AH159" s="1"/>
  <c r="AC110"/>
  <c r="AG151"/>
  <c r="AH151" s="1"/>
  <c r="AG153"/>
  <c r="AH153" s="1"/>
  <c r="AG152"/>
  <c r="AH152" s="1"/>
  <c r="N32" i="9"/>
  <c r="N33" s="1"/>
  <c r="N34" s="1"/>
  <c r="N35" s="1"/>
  <c r="N36" s="1"/>
  <c r="N37" s="1"/>
  <c r="N38" s="1"/>
  <c r="N39" s="1"/>
  <c r="N40" s="1"/>
  <c r="N41" s="1"/>
  <c r="N42" s="1"/>
  <c r="M45"/>
  <c r="AG139" i="18"/>
  <c r="AH139" s="1"/>
  <c r="AG114"/>
  <c r="AG148"/>
  <c r="AH148" s="1"/>
  <c r="AG147"/>
  <c r="AH147" s="1"/>
  <c r="AC138"/>
  <c r="AC137"/>
  <c r="AJ25"/>
  <c r="AJ18"/>
  <c r="AH18"/>
  <c r="X192"/>
  <c r="AJ92"/>
  <c r="AH92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6" s="1"/>
  <c r="AD13"/>
  <c r="AD10"/>
  <c r="AD16"/>
  <c r="AD164" s="1"/>
  <c r="AD165" s="1"/>
  <c r="AD7"/>
  <c r="AD6"/>
  <c r="AH25"/>
  <c r="AG107"/>
  <c r="AH107" s="1"/>
  <c r="AD55"/>
  <c r="AD132" s="1"/>
  <c r="AC109"/>
  <c r="AC108"/>
  <c r="O31" i="9"/>
  <c r="O32" s="1"/>
  <c r="AD203" i="18"/>
  <c r="P31" i="11"/>
  <c r="N32"/>
  <c r="T19" i="9"/>
  <c r="D22"/>
  <c r="AD133" i="18" l="1"/>
  <c r="AD134"/>
  <c r="AC223"/>
  <c r="AC224" s="1"/>
  <c r="AC221"/>
  <c r="AC228"/>
  <c r="AC229" s="1"/>
  <c r="AC226"/>
  <c r="AD213"/>
  <c r="AD222"/>
  <c r="AD227"/>
  <c r="AD116"/>
  <c r="AD122" s="1"/>
  <c r="AD70"/>
  <c r="AD112" s="1"/>
  <c r="AH114"/>
  <c r="AG120"/>
  <c r="AH120" s="1"/>
  <c r="AD136"/>
  <c r="AD162"/>
  <c r="AD161"/>
  <c r="AD117"/>
  <c r="AD123" s="1"/>
  <c r="AD157"/>
  <c r="AD110"/>
  <c r="AD137"/>
  <c r="AD138"/>
  <c r="Y192"/>
  <c r="W192" s="1"/>
  <c r="AE13"/>
  <c r="AE12"/>
  <c r="AE15"/>
  <c r="AE156" s="1"/>
  <c r="AE10"/>
  <c r="AE16"/>
  <c r="AE164" s="1"/>
  <c r="AE165" s="1"/>
  <c r="AE6"/>
  <c r="AE7"/>
  <c r="AE55"/>
  <c r="AE132" s="1"/>
  <c r="AD109"/>
  <c r="AD108"/>
  <c r="AE20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4" i="18" l="1"/>
  <c r="AE133"/>
  <c r="AD228"/>
  <c r="AD229" s="1"/>
  <c r="AD226"/>
  <c r="AD223"/>
  <c r="AD224" s="1"/>
  <c r="AD221"/>
  <c r="AE213"/>
  <c r="AE227"/>
  <c r="AE222"/>
  <c r="AE116"/>
  <c r="AE122" s="1"/>
  <c r="AE70"/>
  <c r="AE112" s="1"/>
  <c r="AE136"/>
  <c r="AE117"/>
  <c r="AE123" s="1"/>
  <c r="AE157"/>
  <c r="AE161"/>
  <c r="AE162"/>
  <c r="AE110"/>
  <c r="AE137"/>
  <c r="AE138"/>
  <c r="AF12"/>
  <c r="AF15"/>
  <c r="AF156" s="1"/>
  <c r="AF13"/>
  <c r="AF10"/>
  <c r="AF16"/>
  <c r="AF164" s="1"/>
  <c r="AF165" s="1"/>
  <c r="AF7"/>
  <c r="AF6"/>
  <c r="AF55"/>
  <c r="AF132" s="1"/>
  <c r="AE108"/>
  <c r="AE109"/>
  <c r="AF203"/>
  <c r="N34" i="11"/>
  <c r="O33"/>
  <c r="AF134" i="18" l="1"/>
  <c r="AF133"/>
  <c r="AE223"/>
  <c r="AE224" s="1"/>
  <c r="AE221"/>
  <c r="AE228"/>
  <c r="AE229" s="1"/>
  <c r="AE226"/>
  <c r="AF213"/>
  <c r="AF227"/>
  <c r="AF222"/>
  <c r="AF116"/>
  <c r="AF122" s="1"/>
  <c r="AF70"/>
  <c r="AF112" s="1"/>
  <c r="AF136"/>
  <c r="AF110"/>
  <c r="AF161"/>
  <c r="AF162"/>
  <c r="AF117"/>
  <c r="AF123" s="1"/>
  <c r="AF157"/>
  <c r="AF137"/>
  <c r="AF138"/>
  <c r="AG15"/>
  <c r="AG13"/>
  <c r="AJ13" s="1"/>
  <c r="AG12"/>
  <c r="AG157" s="1"/>
  <c r="AH157" s="1"/>
  <c r="AG10"/>
  <c r="AG16"/>
  <c r="AG6"/>
  <c r="AJ6" s="1"/>
  <c r="AG7"/>
  <c r="AJ7" s="1"/>
  <c r="AG55"/>
  <c r="AG132" s="1"/>
  <c r="AH132" s="1"/>
  <c r="AF109"/>
  <c r="AF108"/>
  <c r="AG203"/>
  <c r="N35" i="11"/>
  <c r="O34"/>
  <c r="AG134" i="18" l="1"/>
  <c r="AH134" s="1"/>
  <c r="AG133"/>
  <c r="AH133" s="1"/>
  <c r="AF223"/>
  <c r="AF224" s="1"/>
  <c r="AF221"/>
  <c r="AF228"/>
  <c r="AF229" s="1"/>
  <c r="AF226"/>
  <c r="AG213"/>
  <c r="AH213" s="1"/>
  <c r="AJ213" s="1"/>
  <c r="AJ229" s="1"/>
  <c r="AG227"/>
  <c r="AG226" s="1"/>
  <c r="AH226" s="1"/>
  <c r="AG222"/>
  <c r="AG221" s="1"/>
  <c r="AH221" s="1"/>
  <c r="AG116"/>
  <c r="AG122" s="1"/>
  <c r="AH122" s="1"/>
  <c r="AG70"/>
  <c r="AG136"/>
  <c r="AH136" s="1"/>
  <c r="AJ16"/>
  <c r="AG164"/>
  <c r="AG162"/>
  <c r="AH162" s="1"/>
  <c r="AG161"/>
  <c r="AH161" s="1"/>
  <c r="AJ15"/>
  <c r="AG156"/>
  <c r="AH156" s="1"/>
  <c r="AG110"/>
  <c r="AH110" s="1"/>
  <c r="AJ10"/>
  <c r="AJ12"/>
  <c r="AG117"/>
  <c r="AJ55"/>
  <c r="AG137"/>
  <c r="AH137" s="1"/>
  <c r="AG138"/>
  <c r="AH138" s="1"/>
  <c r="AH15"/>
  <c r="AH13"/>
  <c r="X186"/>
  <c r="AH12"/>
  <c r="AH10"/>
  <c r="AH16"/>
  <c r="AH7"/>
  <c r="AH6"/>
  <c r="AG109"/>
  <c r="AH109" s="1"/>
  <c r="AG108"/>
  <c r="AH108" s="1"/>
  <c r="AH55"/>
  <c r="AH203"/>
  <c r="AJ203" s="1"/>
  <c r="N36" i="11"/>
  <c r="O35"/>
  <c r="AG223" i="18" l="1"/>
  <c r="AH222"/>
  <c r="AH227"/>
  <c r="AG228"/>
  <c r="AH70"/>
  <c r="AJ70"/>
  <c r="AH116"/>
  <c r="AG112"/>
  <c r="AH112" s="1"/>
  <c r="AH117"/>
  <c r="AG123"/>
  <c r="AH123" s="1"/>
  <c r="AH164"/>
  <c r="AG165"/>
  <c r="AH165" s="1"/>
  <c r="Y186"/>
  <c r="Y187" s="1"/>
  <c r="S242" s="1"/>
  <c r="X187"/>
  <c r="T242" s="1"/>
  <c r="N37" i="11"/>
  <c r="O36"/>
  <c r="AH223" i="18" l="1"/>
  <c r="AG224"/>
  <c r="AH224" s="1"/>
  <c r="AG229"/>
  <c r="AH229" s="1"/>
  <c r="AH228"/>
  <c r="W186"/>
  <c r="W187"/>
  <c r="N38" i="11"/>
  <c r="O37"/>
  <c r="P242" i="18" l="1"/>
  <c r="N39" i="11"/>
  <c r="O38"/>
  <c r="N40" l="1"/>
  <c r="O39"/>
  <c r="N41" l="1"/>
  <c r="O40"/>
  <c r="N42" l="1"/>
  <c r="O41"/>
  <c r="X214" i="18"/>
  <c r="X95"/>
  <c r="X76"/>
  <c r="X81"/>
  <c r="X102"/>
  <c r="X104"/>
  <c r="X97"/>
  <c r="X94"/>
  <c r="X80"/>
  <c r="X75"/>
  <c r="X69"/>
  <c r="X87"/>
  <c r="X101"/>
  <c r="X85"/>
  <c r="X78"/>
  <c r="X96"/>
  <c r="X98"/>
  <c r="X82"/>
  <c r="X211" s="1"/>
  <c r="X68"/>
  <c r="X204" s="1"/>
  <c r="X73"/>
  <c r="X207" s="1"/>
  <c r="X88"/>
  <c r="X210" s="1"/>
  <c r="X100"/>
  <c r="X166" s="1"/>
  <c r="X72"/>
  <c r="X206" s="1"/>
  <c r="X84"/>
  <c r="X141"/>
  <c r="X142" s="1"/>
  <c r="X74"/>
  <c r="X216" s="1"/>
  <c r="X77"/>
  <c r="X208" s="1"/>
  <c r="X232" s="1"/>
  <c r="Y57"/>
  <c r="X233" l="1"/>
  <c r="X234" s="1"/>
  <c r="X231"/>
  <c r="X86"/>
  <c r="X209" s="1"/>
  <c r="Y78"/>
  <c r="Y101"/>
  <c r="Y85"/>
  <c r="Y97"/>
  <c r="Y81"/>
  <c r="Y80"/>
  <c r="Y214"/>
  <c r="Y96"/>
  <c r="Y76"/>
  <c r="Y100"/>
  <c r="Y166" s="1"/>
  <c r="Y88"/>
  <c r="Y210" s="1"/>
  <c r="Y72"/>
  <c r="Y206" s="1"/>
  <c r="Y141"/>
  <c r="Y142" s="1"/>
  <c r="Y94"/>
  <c r="Y75"/>
  <c r="Y104"/>
  <c r="Y87"/>
  <c r="Y102"/>
  <c r="Y95"/>
  <c r="Y98"/>
  <c r="Y69"/>
  <c r="Y77"/>
  <c r="Y208" s="1"/>
  <c r="Y232" s="1"/>
  <c r="Y68"/>
  <c r="Y204" s="1"/>
  <c r="Y82"/>
  <c r="Y211" s="1"/>
  <c r="Y73"/>
  <c r="Y207" s="1"/>
  <c r="Y74"/>
  <c r="Y216" s="1"/>
  <c r="Z57"/>
  <c r="Y84"/>
  <c r="X143"/>
  <c r="X144" s="1"/>
  <c r="X145"/>
  <c r="X205"/>
  <c r="Y233" l="1"/>
  <c r="Y234" s="1"/>
  <c r="Y231"/>
  <c r="Y86"/>
  <c r="Y209" s="1"/>
  <c r="X218"/>
  <c r="X219" s="1"/>
  <c r="X217"/>
  <c r="Z95"/>
  <c r="Z72"/>
  <c r="Z206" s="1"/>
  <c r="Z96"/>
  <c r="Z97"/>
  <c r="Z101"/>
  <c r="Z81"/>
  <c r="Z78"/>
  <c r="Z104"/>
  <c r="Z87"/>
  <c r="Z85"/>
  <c r="Z68"/>
  <c r="Z204" s="1"/>
  <c r="Z77"/>
  <c r="Z208" s="1"/>
  <c r="Z232" s="1"/>
  <c r="Z73"/>
  <c r="Z207" s="1"/>
  <c r="Z76"/>
  <c r="Z75"/>
  <c r="Z94"/>
  <c r="Z98"/>
  <c r="Z69"/>
  <c r="Z82"/>
  <c r="Z211" s="1"/>
  <c r="Z102"/>
  <c r="Z80"/>
  <c r="Z214"/>
  <c r="Z100"/>
  <c r="Z166" s="1"/>
  <c r="Z88"/>
  <c r="Z210" s="1"/>
  <c r="Z84"/>
  <c r="Z141"/>
  <c r="Z142" s="1"/>
  <c r="Z74"/>
  <c r="Z216" s="1"/>
  <c r="AA57"/>
  <c r="Y205"/>
  <c r="Y145"/>
  <c r="Y143"/>
  <c r="Y144" s="1"/>
  <c r="Z233" l="1"/>
  <c r="Z234" s="1"/>
  <c r="Z231"/>
  <c r="Y218"/>
  <c r="Y219" s="1"/>
  <c r="Y217"/>
  <c r="AA95"/>
  <c r="AA214"/>
  <c r="AA69"/>
  <c r="AA96"/>
  <c r="AA81"/>
  <c r="AA76"/>
  <c r="AA80"/>
  <c r="AA94"/>
  <c r="AA100"/>
  <c r="AA166" s="1"/>
  <c r="AA72"/>
  <c r="AA206" s="1"/>
  <c r="AA73"/>
  <c r="AA207" s="1"/>
  <c r="AA88"/>
  <c r="AA210" s="1"/>
  <c r="AA104"/>
  <c r="AA75"/>
  <c r="AA98"/>
  <c r="AA102"/>
  <c r="AA101"/>
  <c r="AA78"/>
  <c r="AA97"/>
  <c r="AA87"/>
  <c r="AA85"/>
  <c r="AA82"/>
  <c r="AA211" s="1"/>
  <c r="AA68"/>
  <c r="AA204" s="1"/>
  <c r="AA141"/>
  <c r="AA142" s="1"/>
  <c r="AA74"/>
  <c r="AA216" s="1"/>
  <c r="AA77"/>
  <c r="AA208" s="1"/>
  <c r="AA232" s="1"/>
  <c r="AB57"/>
  <c r="AA84"/>
  <c r="Z205"/>
  <c r="Z143"/>
  <c r="Z144" s="1"/>
  <c r="Z145"/>
  <c r="Z86"/>
  <c r="Z209" s="1"/>
  <c r="AA233" l="1"/>
  <c r="AA234" s="1"/>
  <c r="AA231"/>
  <c r="Z218"/>
  <c r="Z219" s="1"/>
  <c r="Z217"/>
  <c r="AA205"/>
  <c r="AA86"/>
  <c r="AA209" s="1"/>
  <c r="AA145"/>
  <c r="AA143"/>
  <c r="AA144" s="1"/>
  <c r="AB75"/>
  <c r="AB96"/>
  <c r="AB85"/>
  <c r="AB95"/>
  <c r="AB94"/>
  <c r="AB80"/>
  <c r="AB69"/>
  <c r="AB78"/>
  <c r="AB77"/>
  <c r="AB208" s="1"/>
  <c r="AB232" s="1"/>
  <c r="AB68"/>
  <c r="AB204" s="1"/>
  <c r="AB100"/>
  <c r="AB166" s="1"/>
  <c r="AB214"/>
  <c r="AB98"/>
  <c r="AB76"/>
  <c r="AB104"/>
  <c r="AB97"/>
  <c r="AB81"/>
  <c r="AB87"/>
  <c r="AB101"/>
  <c r="AB102"/>
  <c r="AB72"/>
  <c r="AB206" s="1"/>
  <c r="AB73"/>
  <c r="AB207" s="1"/>
  <c r="AB88"/>
  <c r="AB210" s="1"/>
  <c r="AB82"/>
  <c r="AB211" s="1"/>
  <c r="AB84"/>
  <c r="AB74"/>
  <c r="AB216" s="1"/>
  <c r="AB141"/>
  <c r="AB142" s="1"/>
  <c r="AC57"/>
  <c r="AB233" l="1"/>
  <c r="AB234" s="1"/>
  <c r="AB231"/>
  <c r="AB86"/>
  <c r="AB209" s="1"/>
  <c r="AA218"/>
  <c r="AA219" s="1"/>
  <c r="AA217"/>
  <c r="AC75"/>
  <c r="AC78"/>
  <c r="AC80"/>
  <c r="AC69"/>
  <c r="AC82"/>
  <c r="AC211" s="1"/>
  <c r="AC94"/>
  <c r="AC87"/>
  <c r="AC95"/>
  <c r="AC85"/>
  <c r="AC73"/>
  <c r="AC207" s="1"/>
  <c r="AC68"/>
  <c r="AC204" s="1"/>
  <c r="AC77"/>
  <c r="AC208" s="1"/>
  <c r="AC232" s="1"/>
  <c r="AC97"/>
  <c r="AC96"/>
  <c r="AC76"/>
  <c r="AC102"/>
  <c r="AC88"/>
  <c r="AC210" s="1"/>
  <c r="AC104"/>
  <c r="AC214"/>
  <c r="AC101"/>
  <c r="AC98"/>
  <c r="AC81"/>
  <c r="AC100"/>
  <c r="AC166" s="1"/>
  <c r="AC72"/>
  <c r="AC206" s="1"/>
  <c r="AD57"/>
  <c r="AC141"/>
  <c r="AC142" s="1"/>
  <c r="AC84"/>
  <c r="AC74"/>
  <c r="AC216" s="1"/>
  <c r="AB143"/>
  <c r="AB144" s="1"/>
  <c r="AB145"/>
  <c r="AB205"/>
  <c r="AC233" l="1"/>
  <c r="AC234" s="1"/>
  <c r="AC231"/>
  <c r="AB218"/>
  <c r="AB219" s="1"/>
  <c r="AB217"/>
  <c r="AC86"/>
  <c r="AC209" s="1"/>
  <c r="AD94"/>
  <c r="AD81"/>
  <c r="AD214"/>
  <c r="AD80"/>
  <c r="AD82"/>
  <c r="AD211" s="1"/>
  <c r="AD97"/>
  <c r="AD69"/>
  <c r="AD85"/>
  <c r="AD102"/>
  <c r="AD100"/>
  <c r="AD166" s="1"/>
  <c r="AD68"/>
  <c r="AD204" s="1"/>
  <c r="AD101"/>
  <c r="AD76"/>
  <c r="AD78"/>
  <c r="AD98"/>
  <c r="AD88"/>
  <c r="AD210" s="1"/>
  <c r="AD75"/>
  <c r="AD104"/>
  <c r="AD96"/>
  <c r="AD95"/>
  <c r="AD87"/>
  <c r="AD72"/>
  <c r="AD206" s="1"/>
  <c r="AD73"/>
  <c r="AD207" s="1"/>
  <c r="AD77"/>
  <c r="AD208" s="1"/>
  <c r="AD232" s="1"/>
  <c r="AD141"/>
  <c r="AD142" s="1"/>
  <c r="AD74"/>
  <c r="AD216" s="1"/>
  <c r="AD84"/>
  <c r="AE57"/>
  <c r="AC205"/>
  <c r="AC143"/>
  <c r="AC144" s="1"/>
  <c r="AC145"/>
  <c r="AD233" l="1"/>
  <c r="AD234" s="1"/>
  <c r="AD231"/>
  <c r="AC218"/>
  <c r="AC219" s="1"/>
  <c r="AC217"/>
  <c r="AD86"/>
  <c r="AD209" s="1"/>
  <c r="AD145"/>
  <c r="AD143"/>
  <c r="AD144" s="1"/>
  <c r="AE94"/>
  <c r="AE96"/>
  <c r="AE78"/>
  <c r="AE98"/>
  <c r="AE68"/>
  <c r="AE204" s="1"/>
  <c r="AE76"/>
  <c r="AE85"/>
  <c r="AE102"/>
  <c r="AE97"/>
  <c r="AE72"/>
  <c r="AE206" s="1"/>
  <c r="AE82"/>
  <c r="AE211" s="1"/>
  <c r="AE87"/>
  <c r="AE81"/>
  <c r="AE214"/>
  <c r="AE101"/>
  <c r="AE104"/>
  <c r="AE95"/>
  <c r="AE69"/>
  <c r="AE75"/>
  <c r="AE80"/>
  <c r="AE73"/>
  <c r="AE207" s="1"/>
  <c r="AE88"/>
  <c r="AE210" s="1"/>
  <c r="AE100"/>
  <c r="AE166" s="1"/>
  <c r="AE77"/>
  <c r="AE208" s="1"/>
  <c r="AE232" s="1"/>
  <c r="AE141"/>
  <c r="AE142" s="1"/>
  <c r="AE84"/>
  <c r="AE74"/>
  <c r="AE216" s="1"/>
  <c r="AF57"/>
  <c r="AD205"/>
  <c r="AE233" l="1"/>
  <c r="AE234" s="1"/>
  <c r="AE231"/>
  <c r="AD218"/>
  <c r="AD219" s="1"/>
  <c r="AD217"/>
  <c r="AE205"/>
  <c r="AE86"/>
  <c r="AE209" s="1"/>
  <c r="AE143"/>
  <c r="AE144" s="1"/>
  <c r="AE145"/>
  <c r="AF81"/>
  <c r="AF94"/>
  <c r="AF85"/>
  <c r="AF75"/>
  <c r="AF100"/>
  <c r="AF166" s="1"/>
  <c r="AF102"/>
  <c r="AF95"/>
  <c r="AF101"/>
  <c r="AF78"/>
  <c r="AF68"/>
  <c r="AF204" s="1"/>
  <c r="AF88"/>
  <c r="AF210" s="1"/>
  <c r="AF98"/>
  <c r="AF73"/>
  <c r="AF207" s="1"/>
  <c r="AF104"/>
  <c r="AF96"/>
  <c r="AF97"/>
  <c r="AF87"/>
  <c r="AF80"/>
  <c r="AF69"/>
  <c r="AF214"/>
  <c r="AF76"/>
  <c r="AF72"/>
  <c r="AF206" s="1"/>
  <c r="AF82"/>
  <c r="AF211" s="1"/>
  <c r="AF77"/>
  <c r="AF208" s="1"/>
  <c r="AF232" s="1"/>
  <c r="AF141"/>
  <c r="AF142" s="1"/>
  <c r="AF74"/>
  <c r="AF216" s="1"/>
  <c r="AG57"/>
  <c r="AF84"/>
  <c r="AF233" l="1"/>
  <c r="AF234" s="1"/>
  <c r="AF231"/>
  <c r="AE218"/>
  <c r="AE219" s="1"/>
  <c r="AE217"/>
  <c r="AF86"/>
  <c r="AF209" s="1"/>
  <c r="AF205"/>
  <c r="AG214"/>
  <c r="AG101"/>
  <c r="AG102"/>
  <c r="AG69"/>
  <c r="AH57"/>
  <c r="AG75"/>
  <c r="AJ57"/>
  <c r="AG104"/>
  <c r="AG100"/>
  <c r="AG72"/>
  <c r="AG68"/>
  <c r="AG73"/>
  <c r="AG77"/>
  <c r="AG87"/>
  <c r="AG74"/>
  <c r="AG216" s="1"/>
  <c r="AG88"/>
  <c r="AG95"/>
  <c r="AG97"/>
  <c r="AG82"/>
  <c r="AG84"/>
  <c r="AG80"/>
  <c r="AG85"/>
  <c r="AG96"/>
  <c r="AG94"/>
  <c r="AG78"/>
  <c r="AG98"/>
  <c r="AG141"/>
  <c r="AG76"/>
  <c r="AG81"/>
  <c r="AF145"/>
  <c r="AF143"/>
  <c r="AF144" s="1"/>
  <c r="AF218" l="1"/>
  <c r="AF219" s="1"/>
  <c r="AF217"/>
  <c r="AG142"/>
  <c r="AH141"/>
  <c r="AH96"/>
  <c r="X196"/>
  <c r="AJ96"/>
  <c r="Y196" s="1"/>
  <c r="AJ82"/>
  <c r="Y181" s="1"/>
  <c r="S240" s="1"/>
  <c r="AG211"/>
  <c r="AH82"/>
  <c r="X181"/>
  <c r="T240" s="1"/>
  <c r="AH74"/>
  <c r="AJ74"/>
  <c r="Y173" s="1"/>
  <c r="S244" s="1"/>
  <c r="X173"/>
  <c r="T244" s="1"/>
  <c r="AG205"/>
  <c r="AG217" s="1"/>
  <c r="AH217" s="1"/>
  <c r="AJ68"/>
  <c r="AH68"/>
  <c r="AG204"/>
  <c r="AH102"/>
  <c r="AJ102"/>
  <c r="X200"/>
  <c r="T243" s="1"/>
  <c r="AJ98"/>
  <c r="Y200" s="1"/>
  <c r="S243" s="1"/>
  <c r="AH98"/>
  <c r="AJ85"/>
  <c r="AH85"/>
  <c r="AJ97"/>
  <c r="Y197" s="1"/>
  <c r="AH97"/>
  <c r="X197"/>
  <c r="AH87"/>
  <c r="X183"/>
  <c r="AJ87"/>
  <c r="Y183" s="1"/>
  <c r="AH72"/>
  <c r="AJ72"/>
  <c r="AG206"/>
  <c r="AH75"/>
  <c r="AJ75"/>
  <c r="AJ101"/>
  <c r="AH101"/>
  <c r="AH81"/>
  <c r="AJ81"/>
  <c r="Y180" s="1"/>
  <c r="X180"/>
  <c r="AH78"/>
  <c r="X176"/>
  <c r="AJ78"/>
  <c r="Y176" s="1"/>
  <c r="X179"/>
  <c r="AH80"/>
  <c r="AJ80"/>
  <c r="Y179" s="1"/>
  <c r="AH95"/>
  <c r="X195"/>
  <c r="AJ95"/>
  <c r="Y195" s="1"/>
  <c r="AH77"/>
  <c r="AJ77"/>
  <c r="Y175" s="1"/>
  <c r="AG208"/>
  <c r="AG232" s="1"/>
  <c r="X175"/>
  <c r="AJ100"/>
  <c r="AH100"/>
  <c r="AG166"/>
  <c r="AH166" s="1"/>
  <c r="AH214"/>
  <c r="AJ214" s="1"/>
  <c r="X174"/>
  <c r="T241" s="1"/>
  <c r="AJ76"/>
  <c r="Y174" s="1"/>
  <c r="S241" s="1"/>
  <c r="AH76"/>
  <c r="AH94"/>
  <c r="X194"/>
  <c r="AJ94"/>
  <c r="Y194" s="1"/>
  <c r="AH84"/>
  <c r="AJ84"/>
  <c r="Y177" s="1"/>
  <c r="X177"/>
  <c r="AG86"/>
  <c r="AH88"/>
  <c r="AG210"/>
  <c r="X184"/>
  <c r="AJ88"/>
  <c r="Y184" s="1"/>
  <c r="AH73"/>
  <c r="AJ73"/>
  <c r="AG207"/>
  <c r="AH69"/>
  <c r="AJ69"/>
  <c r="G232" l="1"/>
  <c r="G233" s="1"/>
  <c r="G234" s="1"/>
  <c r="U232"/>
  <c r="G231"/>
  <c r="AG233"/>
  <c r="AG234" s="1"/>
  <c r="AG231"/>
  <c r="I232"/>
  <c r="K232"/>
  <c r="M232"/>
  <c r="O232"/>
  <c r="Q232"/>
  <c r="S232"/>
  <c r="H232"/>
  <c r="J232"/>
  <c r="L232"/>
  <c r="N232"/>
  <c r="P232"/>
  <c r="R232"/>
  <c r="T232"/>
  <c r="W177"/>
  <c r="Y198"/>
  <c r="AH216"/>
  <c r="AJ216" s="1"/>
  <c r="W194"/>
  <c r="W179"/>
  <c r="W175"/>
  <c r="W183"/>
  <c r="AJ86"/>
  <c r="AG209"/>
  <c r="AH86"/>
  <c r="AH208"/>
  <c r="AJ208" s="1"/>
  <c r="X198"/>
  <c r="W195"/>
  <c r="W180"/>
  <c r="W200"/>
  <c r="AJ228"/>
  <c r="W196"/>
  <c r="AH207"/>
  <c r="AJ207" s="1"/>
  <c r="W184"/>
  <c r="W174"/>
  <c r="W197"/>
  <c r="AH211"/>
  <c r="AJ211" s="1"/>
  <c r="AH210"/>
  <c r="AJ210" s="1"/>
  <c r="AJ224" s="1"/>
  <c r="W176"/>
  <c r="AG218"/>
  <c r="AH205"/>
  <c r="AJ205" s="1"/>
  <c r="AJ218" s="1"/>
  <c r="AJ234" s="1"/>
  <c r="AH206"/>
  <c r="AJ206" s="1"/>
  <c r="AJ219" s="1"/>
  <c r="AH204"/>
  <c r="AJ204" s="1"/>
  <c r="AJ217" s="1"/>
  <c r="W173"/>
  <c r="S245" s="1"/>
  <c r="T245"/>
  <c r="W181"/>
  <c r="AG145"/>
  <c r="AH142"/>
  <c r="AG143"/>
  <c r="U231" l="1"/>
  <c r="V231" s="1"/>
  <c r="V232"/>
  <c r="U233"/>
  <c r="AJ232"/>
  <c r="AJ231"/>
  <c r="T233"/>
  <c r="T231"/>
  <c r="P233"/>
  <c r="P234" s="1"/>
  <c r="P231"/>
  <c r="L233"/>
  <c r="L234" s="1"/>
  <c r="L231"/>
  <c r="H233"/>
  <c r="H234" s="1"/>
  <c r="H231"/>
  <c r="Q233"/>
  <c r="Q234" s="1"/>
  <c r="Q231"/>
  <c r="M233"/>
  <c r="M234" s="1"/>
  <c r="M231"/>
  <c r="I233"/>
  <c r="I234" s="1"/>
  <c r="I231"/>
  <c r="R231"/>
  <c r="R233"/>
  <c r="R234" s="1"/>
  <c r="N231"/>
  <c r="N233"/>
  <c r="N234" s="1"/>
  <c r="J231"/>
  <c r="AH231" s="1"/>
  <c r="J233"/>
  <c r="AH232"/>
  <c r="S233"/>
  <c r="S234" s="1"/>
  <c r="S231"/>
  <c r="O233"/>
  <c r="O234" s="1"/>
  <c r="O231"/>
  <c r="K233"/>
  <c r="K234" s="1"/>
  <c r="K231"/>
  <c r="AJ222"/>
  <c r="AJ221"/>
  <c r="AH218"/>
  <c r="AG219"/>
  <c r="AH219" s="1"/>
  <c r="W198"/>
  <c r="AH143"/>
  <c r="AG144"/>
  <c r="AH144" s="1"/>
  <c r="P240"/>
  <c r="P241"/>
  <c r="P243"/>
  <c r="AH209"/>
  <c r="AJ209" s="1"/>
  <c r="AJ223" s="1"/>
  <c r="U234" l="1"/>
  <c r="V234" s="1"/>
  <c r="V233"/>
  <c r="J234"/>
  <c r="AH234" s="1"/>
  <c r="AH233"/>
  <c r="T234"/>
</calcChain>
</file>

<file path=xl/comments1.xml><?xml version="1.0" encoding="utf-8"?>
<comments xmlns="http://schemas.openxmlformats.org/spreadsheetml/2006/main">
  <authors>
    <author>Author</author>
  </authors>
  <commentList>
    <comment ref="B16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<sst xmlns="http://schemas.openxmlformats.org/spreadsheetml/2006/main" count="804" uniqueCount="531">
  <si>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</si>
  <si>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</si>
  <si>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</si>
  <si>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</si>
  <si>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</si>
  <si>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</si>
  <si>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</si>
  <si>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</si>
  <si>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</si>
  <si>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</si>
  <si>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</si>
  <si>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</si>
  <si>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</si>
  <si>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</si>
  <si>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</si>
  <si>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</si>
  <si>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</si>
  <si>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</si>
  <si>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</si>
  <si>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</si>
  <si>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</si>
  <si>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</si>
  <si>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</si>
  <si>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</si>
  <si>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</si>
  <si>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</si>
  <si>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</si>
  <si>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</si>
  <si>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</si>
  <si>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</si>
  <si>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</si>
  <si>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</si>
  <si>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</si>
  <si>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</si>
  <si>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</si>
  <si>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</si>
  <si>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</si>
  <si>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</si>
  <si>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</si>
  <si>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</si>
  <si>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</si>
  <si>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</si>
  <si>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</si>
  <si>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</si>
  <si>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</si>
  <si>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</si>
  <si>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</si>
  <si>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</si>
  <si>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</si>
  <si>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</si>
  <si>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</si>
  <si>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</si>
  <si>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</si>
  <si>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</si>
  <si>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</si>
  <si>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</si>
  <si>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</si>
  <si>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</si>
  <si>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</si>
  <si>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</si>
  <si>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</si>
  <si>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</si>
  <si>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</si>
  <si>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</si>
  <si>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</si>
  <si>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</si>
  <si>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</si>
  <si>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</si>
  <si>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</si>
  <si>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</si>
  <si>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</si>
  <si>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</si>
  <si>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</si>
  <si>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</si>
  <si>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</si>
  <si>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</si>
  <si>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</si>
  <si>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</si>
  <si>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</si>
  <si>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</si>
  <si>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</si>
  <si>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</si>
  <si>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</si>
  <si>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</si>
  <si>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</si>
  <si>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</si>
  <si>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</si>
  <si>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</si>
  <si>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</si>
  <si>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</si>
  <si>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</si>
  <si>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</si>
  <si>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</si>
  <si>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</si>
  <si>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</si>
  <si>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</si>
  <si>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</si>
  <si>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</si>
  <si>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</si>
  <si>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</si>
  <si>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</si>
  <si>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</si>
  <si>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</si>
  <si>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</si>
  <si>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</si>
  <si>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</si>
  <si>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</si>
  <si>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</si>
  <si>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</si>
  <si>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</si>
  <si>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</si>
  <si>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</si>
  <si>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</si>
  <si>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</si>
  <si>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</si>
  <si>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</si>
  <si>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</si>
  <si>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</si>
  <si>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</si>
  <si>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</si>
  <si>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</si>
  <si>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</si>
  <si>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</si>
  <si>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</si>
  <si>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</si>
  <si>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</si>
  <si>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</si>
  <si>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</si>
  <si>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</si>
  <si>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</si>
  <si>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</si>
  <si>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</si>
  <si>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</si>
  <si>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</si>
  <si>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</si>
  <si>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</si>
  <si>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</si>
  <si>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</si>
  <si>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</si>
  <si>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</si>
  <si>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</si>
  <si>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</si>
  <si>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</si>
  <si>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</si>
  <si>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</si>
  <si>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</si>
  <si>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</si>
  <si>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</si>
  <si>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</si>
  <si>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</si>
  <si>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</si>
  <si>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</si>
  <si>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</si>
  <si>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</si>
  <si>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</si>
  <si>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</si>
  <si>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</si>
  <si>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</si>
  <si>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</si>
  <si>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</si>
  <si>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</si>
  <si>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</si>
  <si>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</si>
  <si>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</si>
  <si>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</si>
  <si>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</si>
  <si>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</si>
  <si>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</si>
  <si>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</si>
  <si>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</si>
  <si>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</si>
  <si>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</si>
  <si>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</si>
  <si>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</si>
  <si>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</si>
  <si>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</si>
  <si>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</si>
  <si>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</si>
  <si>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</si>
  <si>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</si>
  <si>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</si>
  <si>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</si>
  <si>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</si>
  <si>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</si>
  <si>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</si>
  <si>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</si>
  <si>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</si>
  <si>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</si>
  <si>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</si>
  <si>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</si>
  <si>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</si>
  <si>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</si>
  <si>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</si>
  <si>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</si>
  <si>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</si>
  <si>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</si>
  <si>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</si>
  <si>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</si>
  <si>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</si>
  <si>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</si>
  <si>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</si>
  <si>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</si>
  <si>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</si>
  <si>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</si>
  <si>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</si>
  <si>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</si>
  <si>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</si>
  <si>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</si>
  <si>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</si>
  <si>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</si>
  <si>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</si>
  <si>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</si>
  <si>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</si>
  <si>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</si>
  <si>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</si>
  <si>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</si>
  <si>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</si>
  <si>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</si>
  <si>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</si>
  <si>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</si>
  <si>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</si>
  <si>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</si>
  <si>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</si>
  <si>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</si>
  <si>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</si>
  <si>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</si>
  <si>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</si>
  <si>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</si>
  <si>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</si>
  <si>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</si>
  <si>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</si>
  <si>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</si>
  <si>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</si>
  <si>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</si>
  <si>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</si>
  <si>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</si>
  <si>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</si>
  <si>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</si>
  <si>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</si>
  <si>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</si>
  <si>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</si>
  <si>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</si>
  <si>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</si>
  <si>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</si>
  <si>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</si>
  <si>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</si>
  <si>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</si>
  <si>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</si>
  <si>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</si>
  <si>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</si>
  <si>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</si>
  <si>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</si>
  <si>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</si>
  <si>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</si>
  <si>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</si>
  <si>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</si>
  <si>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</si>
  <si>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</si>
  <si>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</si>
  <si>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</si>
  <si>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</si>
  <si>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</si>
  <si>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</si>
  <si>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</si>
  <si>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</si>
  <si>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</si>
  <si>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</si>
  <si>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</si>
  <si>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</si>
  <si>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</si>
  <si>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</si>
  <si>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</si>
  <si>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</si>
  <si>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</si>
  <si>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</si>
  <si>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</si>
  <si>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</si>
  <si>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</si>
  <si>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</si>
  <si>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</si>
  <si>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</si>
  <si>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</si>
  <si>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</si>
  <si>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</si>
  <si>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</si>
  <si>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</si>
  <si>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</si>
  <si>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</si>
  <si>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</si>
  <si>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</si>
  <si>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</si>
  <si>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</si>
  <si>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</si>
  <si>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</si>
  <si>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</si>
  <si>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</si>
  <si>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</si>
  <si>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</si>
  <si>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</si>
  <si>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</si>
  <si>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</si>
  <si>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</si>
  <si>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</si>
  <si>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</si>
  <si>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</si>
  <si>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</si>
  <si>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</si>
  <si>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</si>
  <si>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</si>
  <si>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</si>
  <si>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</si>
  <si>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</si>
  <si>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</si>
  <si>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</si>
  <si>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</si>
  <si>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</si>
  <si>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</si>
  <si>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</si>
  <si>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</si>
  <si>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</si>
  <si>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</si>
  <si>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</si>
  <si>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</si>
  <si>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</si>
  <si>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</si>
  <si>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</si>
  <si>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</si>
  <si>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</si>
  <si>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</si>
  <si>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</si>
  <si>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</si>
  <si>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</si>
  <si>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</si>
  <si>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</si>
  <si>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</si>
  <si>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</si>
  <si>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</si>
  <si>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</si>
  <si>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</si>
  <si>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</si>
  <si>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</si>
  <si>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</si>
  <si>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</si>
  <si>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</si>
  <si>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</si>
  <si>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</si>
  <si>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</si>
  <si>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</si>
  <si>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</si>
  <si>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</si>
  <si>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</si>
  <si>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</si>
  <si>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</si>
  <si>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</si>
  <si>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</si>
  <si>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</si>
  <si>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</si>
  <si>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</si>
  <si>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</si>
  <si>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</si>
  <si>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</si>
  <si>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</si>
  <si>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</si>
  <si>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</si>
  <si>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</si>
  <si>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</si>
  <si>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</si>
  <si>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</si>
  <si>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</si>
  <si>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</si>
  <si>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</si>
  <si>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</si>
  <si>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</si>
  <si>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</si>
  <si>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</si>
  <si>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</si>
  <si>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</si>
  <si>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</si>
  <si>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</si>
  <si>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</si>
  <si>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</si>
  <si>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</si>
  <si>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</si>
  <si>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</si>
  <si>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</si>
  <si>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</si>
  <si>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</si>
  <si>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</si>
  <si>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</si>
  <si>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</si>
  <si>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</si>
  <si>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</si>
  <si>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</si>
  <si>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</si>
  <si>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</si>
  <si>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</si>
  <si>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</si>
  <si>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</si>
  <si>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</si>
  <si>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</si>
  <si>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</si>
  <si>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</si>
  <si>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</si>
  <si>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</si>
  <si>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</si>
  <si>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</si>
  <si>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</si>
  <si>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</si>
  <si>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</si>
  <si>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</si>
  <si>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</si>
  <si>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</si>
  <si>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</si>
  <si>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</si>
  <si>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</si>
  <si>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</si>
  <si>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</si>
  <si>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</si>
  <si>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</si>
  <si>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</si>
  <si>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</si>
  <si>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</si>
  <si>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</si>
  <si>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</si>
  <si>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</si>
  <si>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</si>
  <si>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</si>
  <si>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</si>
  <si>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</si>
  <si>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</si>
  <si>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</si>
  <si>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</si>
  <si>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</si>
  <si>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</si>
  <si>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</si>
  <si>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</si>
  <si>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</si>
  <si>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</si>
  <si>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</si>
  <si>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</si>
  <si>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</si>
  <si>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</si>
  <si>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</si>
  <si>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</si>
  <si>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</si>
  <si>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</si>
  <si>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</si>
  <si>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</si>
  <si>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</si>
  <si>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</si>
  <si>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</si>
  <si>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</si>
  <si>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</si>
  <si>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</si>
  <si>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</si>
  <si>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</si>
  <si>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</si>
  <si>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</si>
  <si>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</si>
  <si>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</si>
  <si>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</si>
  <si>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</si>
  <si>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</si>
  <si>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</si>
  <si>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</si>
  <si>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</si>
  <si>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</si>
  <si>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</si>
  <si>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</si>
  <si>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</si>
  <si>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</si>
  <si>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</si>
  <si>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</si>
  <si>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</si>
  <si>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</si>
  <si>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</si>
  <si>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</si>
  <si>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</si>
  <si>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</si>
  <si>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</si>
  <si>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</si>
  <si>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</si>
  <si>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</si>
  <si>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</si>
  <si>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</si>
  <si>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</si>
  <si>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</si>
  <si>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</si>
  <si>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</si>
  <si>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</si>
  <si>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</si>
  <si>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</si>
  <si>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</si>
  <si>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</si>
  <si>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</si>
  <si>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</si>
  <si>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</si>
  <si>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</si>
  <si>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</si>
  <si>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</si>
  <si>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</si>
  <si>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</si>
  <si>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</si>
  <si>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</si>
  <si>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</si>
  <si>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</si>
  <si>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</si>
  <si>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</si>
  <si>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</si>
  <si>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</si>
  <si>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</si>
  <si>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</si>
  <si>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</si>
  <si>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</si>
  <si>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t>DUMMY</t>
  </si>
  <si>
    <t>2nd highest Expenses Comp. ( Misc Exp )</t>
  </si>
  <si>
    <t>5x7</t>
  </si>
  <si>
    <t>10x1</t>
  </si>
  <si>
    <t>Future</t>
  </si>
  <si>
    <t>Invested</t>
  </si>
  <si>
    <t>Loss</t>
  </si>
  <si>
    <t>SP</t>
  </si>
  <si>
    <t>PP</t>
  </si>
  <si>
    <t>in-hand</t>
  </si>
  <si>
    <t>NewP</t>
  </si>
  <si>
    <t>Scenario-1</t>
  </si>
  <si>
    <t>value</t>
  </si>
  <si>
    <t>Amt</t>
  </si>
  <si>
    <t>Scenario-2</t>
  </si>
  <si>
    <t>Difference</t>
  </si>
  <si>
    <t>My Current Shareholding / Expected</t>
  </si>
</sst>
</file>

<file path=xl/styles.xml><?xml version="1.0" encoding="utf-8"?>
<styleSheet xmlns="http://schemas.openxmlformats.org/spreadsheetml/2006/main">
  <numFmts count="20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  <numFmt numFmtId="183" formatCode="#,##0.0000_ ;[Red]\-#,##0.0000\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4" fontId="5" fillId="16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183" fontId="7" fillId="5" borderId="1" xfId="2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9253376"/>
        <c:axId val="69267456"/>
      </c:lineChart>
      <c:catAx>
        <c:axId val="69253376"/>
        <c:scaling>
          <c:orientation val="minMax"/>
        </c:scaling>
        <c:axPos val="b"/>
        <c:tickLblPos val="nextTo"/>
        <c:crossAx val="69267456"/>
        <c:crosses val="autoZero"/>
        <c:auto val="1"/>
        <c:lblAlgn val="ctr"/>
        <c:lblOffset val="100"/>
      </c:catAx>
      <c:valAx>
        <c:axId val="69267456"/>
        <c:scaling>
          <c:orientation val="minMax"/>
        </c:scaling>
        <c:axPos val="l"/>
        <c:majorGridlines/>
        <c:numFmt formatCode="General" sourceLinked="1"/>
        <c:tickLblPos val="nextTo"/>
        <c:crossAx val="6925337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33" l="0.70000000000000062" r="0.70000000000000062" t="0.750000000000007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X125"/>
  <sheetViews>
    <sheetView topLeftCell="J22" zoomScale="80" zoomScaleNormal="80" workbookViewId="0">
      <selection activeCell="V46" sqref="V46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  <col min="21" max="21" width="10.7109375" customWidth="1"/>
    <col min="22" max="22" width="12.42578125" bestFit="1" customWidth="1"/>
    <col min="23" max="23" width="12.28515625" bestFit="1" customWidth="1"/>
    <col min="24" max="24" width="14" bestFit="1" customWidth="1"/>
  </cols>
  <sheetData>
    <row r="2" spans="2:23" ht="15.75" thickBot="1"/>
    <row r="3" spans="2:23">
      <c r="B3" s="275" t="s">
        <v>440</v>
      </c>
      <c r="C3" s="275"/>
      <c r="D3" s="275"/>
      <c r="G3" s="275" t="s">
        <v>441</v>
      </c>
      <c r="H3" s="275"/>
      <c r="I3" s="275"/>
      <c r="P3" s="276" t="s">
        <v>442</v>
      </c>
      <c r="Q3" s="277"/>
      <c r="R3" s="277"/>
      <c r="S3" s="278"/>
      <c r="T3" s="276" t="s">
        <v>443</v>
      </c>
      <c r="U3" s="277"/>
      <c r="V3" s="277"/>
      <c r="W3" s="278"/>
    </row>
    <row r="4" spans="2:23">
      <c r="B4" s="184" t="s">
        <v>444</v>
      </c>
      <c r="C4" s="279">
        <v>9500000</v>
      </c>
      <c r="D4" s="279"/>
      <c r="G4" s="184" t="s">
        <v>445</v>
      </c>
      <c r="H4" s="280">
        <v>200000</v>
      </c>
      <c r="I4" s="280"/>
      <c r="K4" s="185" t="s">
        <v>446</v>
      </c>
      <c r="L4" s="185" t="s">
        <v>78</v>
      </c>
      <c r="M4" s="185" t="s">
        <v>393</v>
      </c>
      <c r="N4" s="185" t="s">
        <v>447</v>
      </c>
      <c r="O4" s="185" t="s">
        <v>448</v>
      </c>
      <c r="P4" s="186" t="s">
        <v>449</v>
      </c>
      <c r="Q4" s="187" t="s">
        <v>287</v>
      </c>
      <c r="R4" s="187" t="s">
        <v>448</v>
      </c>
      <c r="S4" s="188" t="s">
        <v>450</v>
      </c>
      <c r="T4" s="186" t="s">
        <v>449</v>
      </c>
      <c r="U4" s="187" t="s">
        <v>287</v>
      </c>
      <c r="V4" s="187" t="s">
        <v>448</v>
      </c>
      <c r="W4" s="188" t="s">
        <v>450</v>
      </c>
    </row>
    <row r="5" spans="2:23">
      <c r="B5" s="184" t="s">
        <v>451</v>
      </c>
      <c r="C5" s="281">
        <v>0.08</v>
      </c>
      <c r="D5" s="282"/>
      <c r="G5" s="184" t="s">
        <v>451</v>
      </c>
      <c r="H5" s="283">
        <v>0.12</v>
      </c>
      <c r="I5" s="283"/>
      <c r="K5" s="184" t="s">
        <v>452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>
      <c r="B6" s="184" t="s">
        <v>453</v>
      </c>
      <c r="C6" s="280">
        <v>30</v>
      </c>
      <c r="D6" s="280"/>
      <c r="G6" s="184" t="s">
        <v>453</v>
      </c>
      <c r="H6" s="280">
        <v>10</v>
      </c>
      <c r="I6" s="280"/>
      <c r="K6" s="184" t="s">
        <v>454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455</v>
      </c>
    </row>
    <row r="7" spans="2:23">
      <c r="B7" s="184"/>
      <c r="C7" s="284"/>
      <c r="D7" s="284"/>
      <c r="G7" s="184"/>
      <c r="H7" s="284"/>
      <c r="I7" s="284"/>
      <c r="K7" s="184" t="s">
        <v>456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>
      <c r="B8" s="184"/>
      <c r="C8" s="284"/>
      <c r="D8" s="284"/>
      <c r="G8" s="184"/>
      <c r="H8" s="284"/>
      <c r="I8" s="284"/>
      <c r="K8" s="184" t="s">
        <v>457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>
      <c r="B9" s="202" t="s">
        <v>445</v>
      </c>
      <c r="C9" s="285">
        <f>C4*(1/(1+C5)^C6)</f>
        <v>944084.6592231117</v>
      </c>
      <c r="D9" s="285"/>
      <c r="G9" s="202" t="s">
        <v>458</v>
      </c>
      <c r="H9" s="285">
        <f>H4*((1+H5)^H6)</f>
        <v>621169.64166884217</v>
      </c>
      <c r="I9" s="285"/>
      <c r="K9" s="184" t="s">
        <v>459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>
      <c r="B10" s="202" t="s">
        <v>460</v>
      </c>
      <c r="C10" s="285">
        <f>C4-C9</f>
        <v>8555915.3407768887</v>
      </c>
      <c r="D10" s="285"/>
      <c r="G10" s="202" t="s">
        <v>460</v>
      </c>
      <c r="H10" s="286">
        <f>H9-H4</f>
        <v>421169.64166884217</v>
      </c>
      <c r="I10" s="286"/>
      <c r="K10" s="184" t="s">
        <v>461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>
      <c r="K11" s="184" t="s">
        <v>462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>
      <c r="K12" s="184" t="s">
        <v>463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>
      <c r="K13" s="208" t="s">
        <v>322</v>
      </c>
    </row>
    <row r="14" spans="2:23">
      <c r="B14" s="275" t="s">
        <v>464</v>
      </c>
      <c r="C14" s="275"/>
      <c r="D14" s="275"/>
      <c r="G14" s="275" t="s">
        <v>465</v>
      </c>
      <c r="H14" s="275"/>
      <c r="I14" s="275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>
      <c r="B15" s="184" t="s">
        <v>466</v>
      </c>
      <c r="C15" s="280">
        <v>24000</v>
      </c>
      <c r="D15" s="280"/>
      <c r="G15" s="184" t="s">
        <v>466</v>
      </c>
      <c r="H15" s="280">
        <v>200000</v>
      </c>
      <c r="I15" s="280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>
      <c r="B16" s="184" t="s">
        <v>451</v>
      </c>
      <c r="C16" s="281">
        <v>0.1</v>
      </c>
      <c r="D16" s="282"/>
      <c r="G16" s="184" t="s">
        <v>451</v>
      </c>
      <c r="H16" s="281">
        <v>0.12</v>
      </c>
      <c r="I16" s="282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24">
      <c r="B17" s="184" t="s">
        <v>453</v>
      </c>
      <c r="C17" s="280">
        <v>20</v>
      </c>
      <c r="D17" s="280"/>
      <c r="G17" s="184" t="s">
        <v>453</v>
      </c>
      <c r="H17" s="280">
        <v>10</v>
      </c>
      <c r="I17" s="280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24">
      <c r="B18" s="184"/>
      <c r="C18" s="284"/>
      <c r="D18" s="284"/>
      <c r="G18" s="184"/>
      <c r="H18" s="284"/>
      <c r="I18" s="284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24">
      <c r="B19" s="202" t="s">
        <v>467</v>
      </c>
      <c r="C19" s="287">
        <f>( ( 1-  (1/ ( (1+C16)^C17) ) ) / C16)</f>
        <v>8.5135637197585652</v>
      </c>
      <c r="D19" s="288"/>
      <c r="G19" s="202" t="s">
        <v>468</v>
      </c>
      <c r="H19" s="287">
        <f>( ((1+H16)^H17) -1 ) / H16</f>
        <v>17.548735069535095</v>
      </c>
      <c r="I19" s="288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24">
      <c r="B20" s="202" t="s">
        <v>469</v>
      </c>
      <c r="C20" s="289">
        <f>C19 * C15</f>
        <v>204325.52927420556</v>
      </c>
      <c r="D20" s="290"/>
      <c r="G20" s="202" t="s">
        <v>470</v>
      </c>
      <c r="H20" s="287">
        <f>H19 * H15</f>
        <v>3509747.013907019</v>
      </c>
      <c r="I20" s="288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24">
      <c r="B21" s="202"/>
      <c r="C21" s="291"/>
      <c r="D21" s="292"/>
      <c r="G21" s="202"/>
      <c r="H21" s="291"/>
      <c r="I21" s="292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24">
      <c r="B22" s="202"/>
      <c r="C22" s="285"/>
      <c r="D22" s="285"/>
      <c r="G22" s="202"/>
      <c r="H22" s="285"/>
      <c r="I22" s="285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24">
      <c r="B26" s="275" t="s">
        <v>471</v>
      </c>
      <c r="C26" s="275"/>
      <c r="D26" s="275"/>
      <c r="G26" s="275" t="s">
        <v>472</v>
      </c>
      <c r="H26" s="275"/>
      <c r="I26" s="275"/>
      <c r="K26" s="275" t="s">
        <v>15</v>
      </c>
      <c r="L26" s="275"/>
    </row>
    <row r="27" spans="2:24">
      <c r="B27" s="184" t="s">
        <v>466</v>
      </c>
      <c r="C27" s="280">
        <v>100</v>
      </c>
      <c r="D27" s="280"/>
      <c r="G27" s="184" t="s">
        <v>466</v>
      </c>
      <c r="H27" s="280">
        <v>200000</v>
      </c>
      <c r="I27" s="280"/>
      <c r="K27" s="10" t="s">
        <v>16</v>
      </c>
      <c r="L27" s="11">
        <v>0.12</v>
      </c>
      <c r="M27" s="215">
        <f>L27*M39</f>
        <v>1574803.1496062991</v>
      </c>
      <c r="N27" t="s">
        <v>473</v>
      </c>
      <c r="T27" t="s">
        <v>0</v>
      </c>
      <c r="U27" t="s">
        <v>335</v>
      </c>
      <c r="W27" t="s">
        <v>518</v>
      </c>
    </row>
    <row r="28" spans="2:24">
      <c r="B28" s="184" t="s">
        <v>451</v>
      </c>
      <c r="C28" s="281">
        <v>0.05</v>
      </c>
      <c r="D28" s="282"/>
      <c r="G28" s="184" t="s">
        <v>451</v>
      </c>
      <c r="H28" s="281">
        <v>0.12</v>
      </c>
      <c r="I28" s="282"/>
      <c r="K28" s="10" t="s">
        <v>17</v>
      </c>
      <c r="L28" s="11">
        <v>3.81</v>
      </c>
      <c r="M28" s="216"/>
      <c r="R28">
        <v>416</v>
      </c>
      <c r="S28">
        <v>1</v>
      </c>
      <c r="T28">
        <v>1000</v>
      </c>
      <c r="U28">
        <v>15</v>
      </c>
      <c r="V28">
        <f>U28*T28</f>
        <v>15000</v>
      </c>
      <c r="W28">
        <v>40</v>
      </c>
      <c r="X28">
        <f>W28*T28</f>
        <v>40000</v>
      </c>
    </row>
    <row r="29" spans="2:24">
      <c r="B29" s="184" t="s">
        <v>453</v>
      </c>
      <c r="C29" s="280">
        <v>3</v>
      </c>
      <c r="D29" s="280"/>
      <c r="G29" s="184" t="s">
        <v>453</v>
      </c>
      <c r="H29" s="280">
        <v>11</v>
      </c>
      <c r="I29" s="280"/>
      <c r="K29" s="10" t="s">
        <v>18</v>
      </c>
      <c r="L29" s="12">
        <v>14</v>
      </c>
      <c r="M29" s="217">
        <f>L27/100000</f>
        <v>1.1999999999999999E-6</v>
      </c>
      <c r="N29" t="s">
        <v>474</v>
      </c>
      <c r="S29">
        <v>2</v>
      </c>
    </row>
    <row r="30" spans="2:24" ht="15.75" thickBot="1">
      <c r="B30" s="184"/>
      <c r="C30" s="284"/>
      <c r="D30" s="284"/>
      <c r="G30" s="184"/>
      <c r="H30" s="284"/>
      <c r="I30" s="284"/>
      <c r="K30" s="13" t="s">
        <v>19</v>
      </c>
      <c r="L30" s="3">
        <f>((L28/L27)^(1/L29))-1</f>
        <v>0.2801693034743713</v>
      </c>
      <c r="M30" s="217">
        <f>L28/100000</f>
        <v>3.8099999999999998E-5</v>
      </c>
      <c r="N30" t="s">
        <v>475</v>
      </c>
    </row>
    <row r="31" spans="2:24">
      <c r="B31" s="202" t="s">
        <v>467</v>
      </c>
      <c r="C31" s="287">
        <f>( ( ( 1-  (1/ ( (1+C28)^C29) ) ) / C28) ) * (1+C28)</f>
        <v>2.859410430839004</v>
      </c>
      <c r="D31" s="288"/>
      <c r="G31" s="202" t="s">
        <v>468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168</v>
      </c>
      <c r="P31" s="218" t="s">
        <v>476</v>
      </c>
      <c r="Q31" s="219" t="s">
        <v>477</v>
      </c>
      <c r="T31">
        <v>24100</v>
      </c>
      <c r="U31">
        <f>31</f>
        <v>31</v>
      </c>
      <c r="V31">
        <f>U31*T31</f>
        <v>747100</v>
      </c>
      <c r="W31">
        <v>16</v>
      </c>
      <c r="X31">
        <f>V31/W31</f>
        <v>46693.75</v>
      </c>
    </row>
    <row r="32" spans="2:24">
      <c r="B32" s="202" t="s">
        <v>478</v>
      </c>
      <c r="C32" s="287">
        <f>C31 * C27</f>
        <v>285.94104308390041</v>
      </c>
      <c r="D32" s="288"/>
      <c r="G32" s="202" t="s">
        <v>479</v>
      </c>
      <c r="H32" s="287">
        <f>H31 * H27</f>
        <v>4626626.6542449668</v>
      </c>
      <c r="I32" s="288"/>
      <c r="K32" s="10" t="s">
        <v>18</v>
      </c>
      <c r="L32" s="15">
        <f>L31/12</f>
        <v>14</v>
      </c>
      <c r="M32">
        <v>62.56</v>
      </c>
      <c r="P32" s="220">
        <v>0.05</v>
      </c>
      <c r="Q32" s="221">
        <v>14</v>
      </c>
      <c r="T32">
        <v>47000</v>
      </c>
      <c r="U32">
        <v>16</v>
      </c>
      <c r="V32" s="216">
        <f>U32*T32</f>
        <v>752000</v>
      </c>
      <c r="W32">
        <v>30</v>
      </c>
      <c r="X32" s="216">
        <f>W32*T32</f>
        <v>1410000</v>
      </c>
    </row>
    <row r="33" spans="2:24">
      <c r="B33" s="202"/>
      <c r="C33" s="291"/>
      <c r="D33" s="292"/>
      <c r="G33" s="202"/>
      <c r="H33" s="291"/>
      <c r="I33" s="292"/>
      <c r="K33" s="13" t="s">
        <v>21</v>
      </c>
      <c r="L33" s="3">
        <f>((L28/L27)^(1/L32))-1</f>
        <v>0.2801693034743713</v>
      </c>
      <c r="P33" s="220">
        <v>0.08</v>
      </c>
      <c r="Q33" s="221">
        <v>9</v>
      </c>
    </row>
    <row r="34" spans="2:24">
      <c r="B34" s="202"/>
      <c r="C34" s="285"/>
      <c r="D34" s="285"/>
      <c r="G34" s="202"/>
      <c r="H34" s="285"/>
      <c r="I34" s="285"/>
      <c r="P34" s="220">
        <v>0.1</v>
      </c>
      <c r="Q34" s="221">
        <v>10</v>
      </c>
      <c r="U34" t="s">
        <v>519</v>
      </c>
      <c r="V34" s="216">
        <f>24100-8000</f>
        <v>16100</v>
      </c>
    </row>
    <row r="35" spans="2:24">
      <c r="P35" s="220">
        <v>0.15</v>
      </c>
      <c r="Q35" s="221">
        <v>5</v>
      </c>
      <c r="U35" t="s">
        <v>521</v>
      </c>
      <c r="V35" s="216">
        <v>15</v>
      </c>
      <c r="W35">
        <f>V35*V34</f>
        <v>241500</v>
      </c>
    </row>
    <row r="36" spans="2:24">
      <c r="B36" s="275" t="s">
        <v>24</v>
      </c>
      <c r="C36" s="275"/>
      <c r="D36" s="275"/>
      <c r="E36" s="222"/>
      <c r="G36" s="275" t="s">
        <v>53</v>
      </c>
      <c r="H36" s="275"/>
      <c r="K36" s="275" t="s">
        <v>337</v>
      </c>
      <c r="L36" s="275"/>
      <c r="P36" s="220">
        <v>0.2</v>
      </c>
      <c r="Q36" s="221">
        <v>4</v>
      </c>
      <c r="U36" t="s">
        <v>522</v>
      </c>
      <c r="V36" s="215">
        <v>38</v>
      </c>
      <c r="W36">
        <f>V36*V34</f>
        <v>611800</v>
      </c>
    </row>
    <row r="37" spans="2:24">
      <c r="B37" s="19" t="s">
        <v>25</v>
      </c>
      <c r="C37" s="19"/>
      <c r="D37" s="223">
        <v>1000000</v>
      </c>
      <c r="E37" s="222"/>
      <c r="G37" s="19" t="s">
        <v>29</v>
      </c>
      <c r="H37" s="44">
        <v>342</v>
      </c>
      <c r="K37" s="10" t="s">
        <v>16</v>
      </c>
      <c r="L37" s="11">
        <f>L27</f>
        <v>0.12</v>
      </c>
      <c r="M37" s="216">
        <v>50000000</v>
      </c>
      <c r="N37" t="s">
        <v>480</v>
      </c>
      <c r="P37" s="220">
        <v>0.25</v>
      </c>
      <c r="Q37" s="221">
        <v>3</v>
      </c>
      <c r="U37" t="s">
        <v>520</v>
      </c>
      <c r="V37" s="215">
        <f>(V36-V35)*V34</f>
        <v>370300</v>
      </c>
    </row>
    <row r="38" spans="2:24">
      <c r="B38" s="19" t="s">
        <v>26</v>
      </c>
      <c r="C38" s="19"/>
      <c r="D38" s="21">
        <v>0.66</v>
      </c>
      <c r="E38" s="222"/>
      <c r="G38" s="19" t="s">
        <v>26</v>
      </c>
      <c r="H38" s="21">
        <v>0.12</v>
      </c>
      <c r="K38" s="10" t="s">
        <v>17</v>
      </c>
      <c r="L38" s="11">
        <f>L28</f>
        <v>3.81</v>
      </c>
      <c r="M38" s="216">
        <f>L38/L37</f>
        <v>31.75</v>
      </c>
      <c r="N38" t="s">
        <v>481</v>
      </c>
      <c r="P38" s="220">
        <v>0.3</v>
      </c>
      <c r="Q38" s="221">
        <v>2.5</v>
      </c>
      <c r="U38" t="s">
        <v>523</v>
      </c>
      <c r="V38" s="215">
        <f>W36-V37</f>
        <v>241500</v>
      </c>
    </row>
    <row r="39" spans="2:24">
      <c r="B39" s="19" t="s">
        <v>27</v>
      </c>
      <c r="C39" s="19"/>
      <c r="D39" s="224">
        <v>6</v>
      </c>
      <c r="E39" s="222"/>
      <c r="G39" s="19" t="s">
        <v>27</v>
      </c>
      <c r="H39" s="22">
        <v>10</v>
      </c>
      <c r="K39" s="10" t="s">
        <v>482</v>
      </c>
      <c r="L39" s="10"/>
      <c r="M39" s="216">
        <f>M37/L38</f>
        <v>13123359.580052493</v>
      </c>
      <c r="N39" t="s">
        <v>483</v>
      </c>
      <c r="P39" s="225">
        <v>0.4</v>
      </c>
      <c r="Q39" s="226">
        <v>2</v>
      </c>
    </row>
    <row r="40" spans="2:24">
      <c r="B40" s="19" t="s">
        <v>28</v>
      </c>
      <c r="C40" s="19"/>
      <c r="D40" s="23">
        <v>500000</v>
      </c>
      <c r="E40" s="222"/>
      <c r="G40" s="19" t="s">
        <v>28</v>
      </c>
      <c r="H40" s="20">
        <v>0</v>
      </c>
      <c r="K40" s="10" t="s">
        <v>338</v>
      </c>
      <c r="L40" s="189">
        <f>(L38-L37)/L37</f>
        <v>30.75</v>
      </c>
      <c r="P40" s="225">
        <v>0.5</v>
      </c>
      <c r="Q40" s="226">
        <v>1</v>
      </c>
      <c r="U40" t="s">
        <v>524</v>
      </c>
      <c r="V40">
        <v>16</v>
      </c>
    </row>
    <row r="41" spans="2:24">
      <c r="B41" s="24" t="s">
        <v>29</v>
      </c>
      <c r="C41" s="24"/>
      <c r="D41" s="45">
        <f>FV(D38,D39,-D40,-D37)</f>
        <v>36018262.604416013</v>
      </c>
      <c r="E41" s="222"/>
      <c r="G41" s="24" t="s">
        <v>54</v>
      </c>
      <c r="H41" s="45">
        <f>PV(H38,H39,H40,-H37)</f>
        <v>110.11484691401803</v>
      </c>
      <c r="K41" s="10" t="s">
        <v>339</v>
      </c>
      <c r="L41" s="227">
        <f>L38/L37</f>
        <v>31.75</v>
      </c>
      <c r="P41" s="225">
        <v>0.75</v>
      </c>
      <c r="Q41" s="226">
        <v>1.3</v>
      </c>
      <c r="U41" t="s">
        <v>527</v>
      </c>
      <c r="V41" s="215">
        <f>V38</f>
        <v>241500</v>
      </c>
    </row>
    <row r="42" spans="2:24" ht="15.75" thickBot="1">
      <c r="B42" s="228" t="s">
        <v>484</v>
      </c>
      <c r="D42" s="229">
        <f>D41/10000000</f>
        <v>3.6018262604416011</v>
      </c>
      <c r="P42" s="230">
        <v>1</v>
      </c>
      <c r="Q42" s="231">
        <v>1</v>
      </c>
      <c r="U42" t="s">
        <v>0</v>
      </c>
      <c r="V42" s="215">
        <f>V41/V40</f>
        <v>15093.75</v>
      </c>
    </row>
    <row r="43" spans="2:24" ht="15.75" thickBot="1">
      <c r="C43" s="295" t="s">
        <v>458</v>
      </c>
      <c r="D43" s="295"/>
      <c r="E43" s="295"/>
      <c r="F43" s="295"/>
      <c r="J43" s="295" t="s">
        <v>458</v>
      </c>
      <c r="K43" s="295"/>
      <c r="L43" s="295"/>
      <c r="M43" s="295"/>
      <c r="U43" t="s">
        <v>525</v>
      </c>
      <c r="V43">
        <v>30</v>
      </c>
      <c r="W43">
        <v>40</v>
      </c>
      <c r="X43">
        <v>60</v>
      </c>
    </row>
    <row r="44" spans="2:24" ht="15.75" thickBot="1">
      <c r="B44" s="232"/>
      <c r="C44" s="293" t="s">
        <v>485</v>
      </c>
      <c r="D44" s="294"/>
      <c r="E44" s="233" t="s">
        <v>486</v>
      </c>
      <c r="F44" s="233"/>
      <c r="G44" s="234"/>
      <c r="I44" s="232"/>
      <c r="J44" s="293" t="s">
        <v>487</v>
      </c>
      <c r="K44" s="294"/>
      <c r="L44" s="233" t="s">
        <v>488</v>
      </c>
      <c r="M44" s="233"/>
      <c r="N44" s="234"/>
      <c r="U44" t="s">
        <v>0</v>
      </c>
      <c r="V44">
        <v>15000</v>
      </c>
      <c r="W44">
        <v>15000</v>
      </c>
      <c r="X44">
        <v>15000</v>
      </c>
    </row>
    <row r="45" spans="2:24" ht="15.75" thickBot="1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  <c r="U45" t="s">
        <v>526</v>
      </c>
      <c r="V45" s="216">
        <f>V44*V43</f>
        <v>450000</v>
      </c>
      <c r="W45" s="216">
        <f t="shared" ref="W45:X45" si="1">W44*W43</f>
        <v>600000</v>
      </c>
      <c r="X45" s="216">
        <f t="shared" si="1"/>
        <v>900000</v>
      </c>
    </row>
    <row r="46" spans="2:24" ht="15.75" thickBot="1">
      <c r="B46" s="296" t="s">
        <v>489</v>
      </c>
      <c r="C46" s="297"/>
      <c r="D46" s="297"/>
      <c r="E46" s="297"/>
      <c r="F46" s="297"/>
      <c r="G46" s="298"/>
      <c r="I46" s="296" t="s">
        <v>489</v>
      </c>
      <c r="J46" s="297"/>
      <c r="K46" s="297"/>
      <c r="L46" s="297"/>
      <c r="M46" s="297"/>
      <c r="N46" s="298"/>
      <c r="U46" t="s">
        <v>529</v>
      </c>
      <c r="V46" s="215">
        <f>V45-V37</f>
        <v>79700</v>
      </c>
      <c r="W46" s="215">
        <f>W45-V37</f>
        <v>229700</v>
      </c>
      <c r="X46" s="215">
        <f>X45-V37</f>
        <v>529700</v>
      </c>
    </row>
    <row r="47" spans="2:24">
      <c r="B47" s="200"/>
      <c r="C47" s="197"/>
      <c r="D47" s="235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24" ht="30">
      <c r="B48" s="236" t="s">
        <v>14</v>
      </c>
      <c r="C48" s="237" t="s">
        <v>490</v>
      </c>
      <c r="D48" s="237" t="s">
        <v>491</v>
      </c>
      <c r="E48" s="237" t="s">
        <v>492</v>
      </c>
      <c r="F48" s="237" t="s">
        <v>493</v>
      </c>
      <c r="G48" s="238" t="s">
        <v>494</v>
      </c>
      <c r="I48" s="236" t="s">
        <v>14</v>
      </c>
      <c r="J48" s="237" t="s">
        <v>490</v>
      </c>
      <c r="K48" s="237" t="s">
        <v>495</v>
      </c>
      <c r="L48" s="237" t="s">
        <v>492</v>
      </c>
      <c r="M48" s="237" t="s">
        <v>493</v>
      </c>
      <c r="N48" s="238" t="s">
        <v>494</v>
      </c>
      <c r="O48" s="239" t="s">
        <v>496</v>
      </c>
      <c r="P48" s="240" t="s">
        <v>4</v>
      </c>
      <c r="U48" t="s">
        <v>528</v>
      </c>
      <c r="V48">
        <v>30</v>
      </c>
      <c r="W48">
        <v>40</v>
      </c>
      <c r="X48">
        <v>60</v>
      </c>
    </row>
    <row r="49" spans="1:24">
      <c r="A49">
        <v>2013</v>
      </c>
      <c r="B49" s="241">
        <v>0</v>
      </c>
      <c r="C49" s="242">
        <v>0</v>
      </c>
      <c r="D49" s="243">
        <v>1000000</v>
      </c>
      <c r="E49" s="244">
        <v>0.5</v>
      </c>
      <c r="F49" s="245">
        <f xml:space="preserve"> (C49) * E49</f>
        <v>0</v>
      </c>
      <c r="G49" s="246">
        <f>C49+D49+F49</f>
        <v>1000000</v>
      </c>
      <c r="H49" s="216"/>
      <c r="I49" s="241">
        <v>0</v>
      </c>
      <c r="J49" s="242">
        <v>1</v>
      </c>
      <c r="K49" s="243">
        <v>0</v>
      </c>
      <c r="L49" s="244">
        <v>3</v>
      </c>
      <c r="M49" s="242">
        <f xml:space="preserve"> (J49+K49) * L49</f>
        <v>3</v>
      </c>
      <c r="N49" s="247">
        <f>J49+K49+M49</f>
        <v>4</v>
      </c>
      <c r="O49">
        <v>2015</v>
      </c>
      <c r="P49" s="248">
        <f t="shared" ref="P49:P64" si="2">N49/10000000</f>
        <v>3.9999999999999998E-7</v>
      </c>
      <c r="U49" t="s">
        <v>0</v>
      </c>
      <c r="V49">
        <v>16100</v>
      </c>
      <c r="W49">
        <v>16100</v>
      </c>
      <c r="X49">
        <v>16100</v>
      </c>
    </row>
    <row r="50" spans="1:24">
      <c r="A50">
        <f>A49+1</f>
        <v>2014</v>
      </c>
      <c r="B50" s="241">
        <f>B49+1</f>
        <v>1</v>
      </c>
      <c r="C50" s="242">
        <f t="shared" ref="C50:C79" si="3">G49</f>
        <v>1000000</v>
      </c>
      <c r="D50" s="243">
        <v>1500000</v>
      </c>
      <c r="E50" s="244">
        <f>E49</f>
        <v>0.5</v>
      </c>
      <c r="F50" s="245">
        <f t="shared" ref="F50:F79" si="4" xml:space="preserve"> (C50) * E50</f>
        <v>500000</v>
      </c>
      <c r="G50" s="246">
        <f t="shared" ref="G50:G80" si="5">C50+D50+F50</f>
        <v>3000000</v>
      </c>
      <c r="H50" s="216"/>
      <c r="I50" s="241">
        <f>I49+1</f>
        <v>1</v>
      </c>
      <c r="J50" s="242">
        <f>N49</f>
        <v>4</v>
      </c>
      <c r="K50" s="243">
        <v>0</v>
      </c>
      <c r="L50" s="244">
        <v>2</v>
      </c>
      <c r="M50" s="242">
        <f t="shared" ref="M50:M80" si="6" xml:space="preserve"> (J50+K50) * L50</f>
        <v>8</v>
      </c>
      <c r="N50" s="247">
        <f t="shared" ref="N50:N80" si="7">J50+K50+M50</f>
        <v>12</v>
      </c>
      <c r="O50">
        <f t="shared" ref="O50:O64" si="8">O49+1</f>
        <v>2016</v>
      </c>
      <c r="P50" s="248">
        <f t="shared" si="2"/>
        <v>1.1999999999999999E-6</v>
      </c>
      <c r="U50" t="s">
        <v>526</v>
      </c>
      <c r="V50" s="216">
        <f>V49*V48</f>
        <v>483000</v>
      </c>
      <c r="W50" s="216">
        <f t="shared" ref="W50" si="9">W49*W48</f>
        <v>644000</v>
      </c>
      <c r="X50" s="216">
        <f t="shared" ref="X50" si="10">X49*X48</f>
        <v>966000</v>
      </c>
    </row>
    <row r="51" spans="1:24">
      <c r="A51">
        <f t="shared" ref="A51:B66" si="11">A50+1</f>
        <v>2015</v>
      </c>
      <c r="B51" s="241">
        <f t="shared" si="11"/>
        <v>2</v>
      </c>
      <c r="C51" s="242">
        <f t="shared" si="3"/>
        <v>3000000</v>
      </c>
      <c r="D51" s="243">
        <v>2000000</v>
      </c>
      <c r="E51" s="244">
        <f>E50</f>
        <v>0.5</v>
      </c>
      <c r="F51" s="245">
        <f t="shared" si="4"/>
        <v>1500000</v>
      </c>
      <c r="G51" s="246">
        <f t="shared" si="5"/>
        <v>6500000</v>
      </c>
      <c r="H51" s="216"/>
      <c r="I51" s="241">
        <f t="shared" ref="I51:I79" si="12">I50+1</f>
        <v>2</v>
      </c>
      <c r="J51" s="242">
        <f t="shared" ref="J51:J80" si="13">N50</f>
        <v>12</v>
      </c>
      <c r="K51" s="243">
        <v>0</v>
      </c>
      <c r="L51" s="244">
        <v>0.8</v>
      </c>
      <c r="M51" s="242">
        <f t="shared" si="6"/>
        <v>9.6000000000000014</v>
      </c>
      <c r="N51" s="247">
        <f t="shared" si="7"/>
        <v>21.6</v>
      </c>
      <c r="O51">
        <f t="shared" si="8"/>
        <v>2017</v>
      </c>
      <c r="P51" s="248">
        <f t="shared" si="2"/>
        <v>2.1600000000000001E-6</v>
      </c>
      <c r="U51" t="s">
        <v>529</v>
      </c>
      <c r="V51" s="215">
        <f>V50-W36</f>
        <v>-128800</v>
      </c>
      <c r="W51" s="215">
        <f>W50-W36</f>
        <v>32200</v>
      </c>
      <c r="X51" s="215">
        <f>X50-W36</f>
        <v>354200</v>
      </c>
    </row>
    <row r="52" spans="1:24">
      <c r="A52">
        <f t="shared" si="11"/>
        <v>2016</v>
      </c>
      <c r="B52" s="241">
        <f t="shared" si="11"/>
        <v>3</v>
      </c>
      <c r="C52" s="242">
        <f t="shared" si="3"/>
        <v>6500000</v>
      </c>
      <c r="D52" s="243">
        <v>2500000</v>
      </c>
      <c r="E52" s="244">
        <f t="shared" ref="E52:E70" si="14">E51</f>
        <v>0.5</v>
      </c>
      <c r="F52" s="245">
        <f t="shared" si="4"/>
        <v>3250000</v>
      </c>
      <c r="G52" s="246">
        <f t="shared" si="5"/>
        <v>12250000</v>
      </c>
      <c r="H52" s="216"/>
      <c r="I52" s="241">
        <f t="shared" si="12"/>
        <v>3</v>
      </c>
      <c r="J52" s="242">
        <f t="shared" si="13"/>
        <v>21.6</v>
      </c>
      <c r="K52" s="243">
        <v>0</v>
      </c>
      <c r="L52" s="249">
        <v>0.4</v>
      </c>
      <c r="M52" s="242">
        <f t="shared" si="6"/>
        <v>8.64</v>
      </c>
      <c r="N52" s="247">
        <f t="shared" si="7"/>
        <v>30.240000000000002</v>
      </c>
      <c r="O52">
        <f t="shared" si="8"/>
        <v>2018</v>
      </c>
      <c r="P52" s="248">
        <f t="shared" si="2"/>
        <v>3.0240000000000002E-6</v>
      </c>
    </row>
    <row r="53" spans="1:24">
      <c r="A53">
        <f t="shared" si="11"/>
        <v>2017</v>
      </c>
      <c r="B53" s="241">
        <f t="shared" si="11"/>
        <v>4</v>
      </c>
      <c r="C53" s="242">
        <f t="shared" si="3"/>
        <v>12250000</v>
      </c>
      <c r="D53" s="243">
        <v>3000000</v>
      </c>
      <c r="E53" s="244">
        <f t="shared" si="14"/>
        <v>0.5</v>
      </c>
      <c r="F53" s="245">
        <f t="shared" si="4"/>
        <v>6125000</v>
      </c>
      <c r="G53" s="246">
        <f t="shared" si="5"/>
        <v>21375000</v>
      </c>
      <c r="H53" s="216"/>
      <c r="I53" s="241">
        <f t="shared" si="12"/>
        <v>4</v>
      </c>
      <c r="J53" s="242">
        <f t="shared" si="13"/>
        <v>30.240000000000002</v>
      </c>
      <c r="K53" s="243">
        <v>0</v>
      </c>
      <c r="L53" s="249">
        <v>0.3</v>
      </c>
      <c r="M53" s="242">
        <f t="shared" si="6"/>
        <v>9.072000000000001</v>
      </c>
      <c r="N53" s="247">
        <f t="shared" si="7"/>
        <v>39.312000000000005</v>
      </c>
      <c r="O53">
        <f t="shared" si="8"/>
        <v>2019</v>
      </c>
      <c r="P53" s="248">
        <f t="shared" si="2"/>
        <v>3.9312000000000006E-6</v>
      </c>
    </row>
    <row r="54" spans="1:24">
      <c r="A54">
        <f t="shared" si="11"/>
        <v>2018</v>
      </c>
      <c r="B54" s="241">
        <f t="shared" si="11"/>
        <v>5</v>
      </c>
      <c r="C54" s="242">
        <f t="shared" si="3"/>
        <v>21375000</v>
      </c>
      <c r="D54" s="243">
        <v>3500000</v>
      </c>
      <c r="E54" s="244">
        <f t="shared" si="14"/>
        <v>0.5</v>
      </c>
      <c r="F54" s="245">
        <f t="shared" si="4"/>
        <v>10687500</v>
      </c>
      <c r="G54" s="246">
        <f t="shared" si="5"/>
        <v>35562500</v>
      </c>
      <c r="H54" s="216"/>
      <c r="I54" s="241">
        <f t="shared" si="12"/>
        <v>5</v>
      </c>
      <c r="J54" s="242">
        <f t="shared" si="13"/>
        <v>39.312000000000005</v>
      </c>
      <c r="K54" s="243">
        <v>0</v>
      </c>
      <c r="L54" s="244">
        <v>0.2</v>
      </c>
      <c r="M54" s="242">
        <f t="shared" si="6"/>
        <v>7.8624000000000009</v>
      </c>
      <c r="N54" s="247">
        <f t="shared" si="7"/>
        <v>47.174400000000006</v>
      </c>
      <c r="O54">
        <f t="shared" si="8"/>
        <v>2020</v>
      </c>
      <c r="P54" s="248">
        <f t="shared" si="2"/>
        <v>4.7174400000000002E-6</v>
      </c>
    </row>
    <row r="55" spans="1:24">
      <c r="A55">
        <f t="shared" si="11"/>
        <v>2019</v>
      </c>
      <c r="B55" s="241">
        <f t="shared" si="11"/>
        <v>6</v>
      </c>
      <c r="C55" s="242">
        <f t="shared" si="3"/>
        <v>35562500</v>
      </c>
      <c r="D55" s="243">
        <v>4000000</v>
      </c>
      <c r="E55" s="244">
        <f t="shared" si="14"/>
        <v>0.5</v>
      </c>
      <c r="F55" s="245">
        <f t="shared" si="4"/>
        <v>17781250</v>
      </c>
      <c r="G55" s="246">
        <f t="shared" si="5"/>
        <v>57343750</v>
      </c>
      <c r="H55" s="216"/>
      <c r="I55" s="241">
        <f t="shared" si="12"/>
        <v>6</v>
      </c>
      <c r="J55" s="242">
        <f t="shared" si="13"/>
        <v>47.174400000000006</v>
      </c>
      <c r="K55" s="243">
        <v>0</v>
      </c>
      <c r="L55" s="244">
        <f t="shared" ref="L55:L67" si="15">L54</f>
        <v>0.2</v>
      </c>
      <c r="M55" s="242">
        <f t="shared" si="6"/>
        <v>9.4348800000000015</v>
      </c>
      <c r="N55" s="247">
        <f t="shared" si="7"/>
        <v>56.609280000000005</v>
      </c>
      <c r="O55">
        <f t="shared" si="8"/>
        <v>2021</v>
      </c>
      <c r="P55" s="248">
        <f t="shared" si="2"/>
        <v>5.6609280000000002E-6</v>
      </c>
    </row>
    <row r="56" spans="1:24">
      <c r="A56">
        <f t="shared" si="11"/>
        <v>2020</v>
      </c>
      <c r="B56" s="241">
        <f t="shared" si="11"/>
        <v>7</v>
      </c>
      <c r="C56" s="242">
        <f t="shared" si="3"/>
        <v>57343750</v>
      </c>
      <c r="D56" s="243">
        <v>5000000</v>
      </c>
      <c r="E56" s="244">
        <f t="shared" si="14"/>
        <v>0.5</v>
      </c>
      <c r="F56" s="245">
        <f t="shared" si="4"/>
        <v>28671875</v>
      </c>
      <c r="G56" s="246">
        <f t="shared" si="5"/>
        <v>91015625</v>
      </c>
      <c r="H56" s="216">
        <f>G56/10000000</f>
        <v>9.1015625</v>
      </c>
      <c r="I56" s="241">
        <f t="shared" si="12"/>
        <v>7</v>
      </c>
      <c r="J56" s="242">
        <f t="shared" si="13"/>
        <v>56.609280000000005</v>
      </c>
      <c r="K56" s="243">
        <v>0</v>
      </c>
      <c r="L56" s="244">
        <f t="shared" si="15"/>
        <v>0.2</v>
      </c>
      <c r="M56" s="242">
        <f t="shared" si="6"/>
        <v>11.321856000000002</v>
      </c>
      <c r="N56" s="247">
        <f t="shared" si="7"/>
        <v>67.931136000000009</v>
      </c>
      <c r="O56">
        <f t="shared" si="8"/>
        <v>2022</v>
      </c>
      <c r="P56" s="248">
        <f t="shared" si="2"/>
        <v>6.7931136000000013E-6</v>
      </c>
    </row>
    <row r="57" spans="1:24">
      <c r="A57">
        <f t="shared" si="11"/>
        <v>2021</v>
      </c>
      <c r="B57" s="241">
        <f t="shared" si="11"/>
        <v>8</v>
      </c>
      <c r="C57" s="242">
        <f t="shared" si="3"/>
        <v>91015625</v>
      </c>
      <c r="D57" s="243">
        <v>0</v>
      </c>
      <c r="E57" s="244">
        <f t="shared" si="14"/>
        <v>0.5</v>
      </c>
      <c r="F57" s="245">
        <f t="shared" si="4"/>
        <v>45507812.5</v>
      </c>
      <c r="G57" s="246">
        <f t="shared" si="5"/>
        <v>136523437.5</v>
      </c>
      <c r="H57" s="216"/>
      <c r="I57" s="241">
        <f t="shared" si="12"/>
        <v>8</v>
      </c>
      <c r="J57" s="242">
        <f t="shared" si="13"/>
        <v>67.931136000000009</v>
      </c>
      <c r="K57" s="243">
        <v>0</v>
      </c>
      <c r="L57" s="244">
        <f t="shared" si="15"/>
        <v>0.2</v>
      </c>
      <c r="M57" s="242">
        <f t="shared" si="6"/>
        <v>13.586227200000003</v>
      </c>
      <c r="N57" s="247">
        <f t="shared" si="7"/>
        <v>81.517363200000005</v>
      </c>
      <c r="O57">
        <f t="shared" si="8"/>
        <v>2023</v>
      </c>
      <c r="P57" s="248">
        <f t="shared" si="2"/>
        <v>8.1517363199999998E-6</v>
      </c>
    </row>
    <row r="58" spans="1:24">
      <c r="A58">
        <f t="shared" si="11"/>
        <v>2022</v>
      </c>
      <c r="B58" s="241">
        <f t="shared" si="11"/>
        <v>9</v>
      </c>
      <c r="C58" s="242">
        <f t="shared" si="3"/>
        <v>136523437.5</v>
      </c>
      <c r="D58" s="243">
        <v>0</v>
      </c>
      <c r="E58" s="244">
        <f t="shared" si="14"/>
        <v>0.5</v>
      </c>
      <c r="F58" s="245">
        <f t="shared" si="4"/>
        <v>68261718.75</v>
      </c>
      <c r="G58" s="246">
        <f t="shared" si="5"/>
        <v>204785156.25</v>
      </c>
      <c r="H58" s="216"/>
      <c r="I58" s="241">
        <f t="shared" si="12"/>
        <v>9</v>
      </c>
      <c r="J58" s="242">
        <f t="shared" si="13"/>
        <v>81.517363200000005</v>
      </c>
      <c r="K58" s="243">
        <v>0</v>
      </c>
      <c r="L58" s="244">
        <f t="shared" si="15"/>
        <v>0.2</v>
      </c>
      <c r="M58" s="242">
        <f t="shared" si="6"/>
        <v>16.303472640000003</v>
      </c>
      <c r="N58" s="247">
        <f t="shared" si="7"/>
        <v>97.820835840000001</v>
      </c>
      <c r="O58">
        <f t="shared" si="8"/>
        <v>2024</v>
      </c>
      <c r="P58" s="248">
        <f t="shared" si="2"/>
        <v>9.7820835840000005E-6</v>
      </c>
    </row>
    <row r="59" spans="1:24">
      <c r="A59">
        <f t="shared" si="11"/>
        <v>2023</v>
      </c>
      <c r="B59" s="241">
        <f t="shared" si="11"/>
        <v>10</v>
      </c>
      <c r="C59" s="242">
        <f t="shared" si="3"/>
        <v>204785156.25</v>
      </c>
      <c r="D59" s="243">
        <v>0</v>
      </c>
      <c r="E59" s="244">
        <f t="shared" si="14"/>
        <v>0.5</v>
      </c>
      <c r="F59" s="245">
        <f t="shared" si="4"/>
        <v>102392578.125</v>
      </c>
      <c r="G59" s="246">
        <f t="shared" si="5"/>
        <v>307177734.375</v>
      </c>
      <c r="H59" s="216"/>
      <c r="I59" s="241">
        <f t="shared" si="12"/>
        <v>10</v>
      </c>
      <c r="J59" s="242">
        <f t="shared" si="13"/>
        <v>97.820835840000001</v>
      </c>
      <c r="K59" s="243">
        <v>0</v>
      </c>
      <c r="L59" s="244">
        <f t="shared" si="15"/>
        <v>0.2</v>
      </c>
      <c r="M59" s="242">
        <f t="shared" si="6"/>
        <v>19.564167168000001</v>
      </c>
      <c r="N59" s="247">
        <f t="shared" si="7"/>
        <v>117.385003008</v>
      </c>
      <c r="O59">
        <f t="shared" si="8"/>
        <v>2025</v>
      </c>
      <c r="P59" s="248">
        <f t="shared" si="2"/>
        <v>1.17385003008E-5</v>
      </c>
    </row>
    <row r="60" spans="1:24">
      <c r="A60">
        <f t="shared" si="11"/>
        <v>2024</v>
      </c>
      <c r="B60" s="241">
        <f t="shared" si="11"/>
        <v>11</v>
      </c>
      <c r="C60" s="242">
        <f t="shared" si="3"/>
        <v>307177734.375</v>
      </c>
      <c r="D60" s="243">
        <v>0</v>
      </c>
      <c r="E60" s="244">
        <f t="shared" si="14"/>
        <v>0.5</v>
      </c>
      <c r="F60" s="245">
        <f t="shared" si="4"/>
        <v>153588867.1875</v>
      </c>
      <c r="G60" s="246">
        <f t="shared" si="5"/>
        <v>460766601.5625</v>
      </c>
      <c r="H60" s="216"/>
      <c r="I60" s="241">
        <f t="shared" si="12"/>
        <v>11</v>
      </c>
      <c r="J60" s="242">
        <f t="shared" si="13"/>
        <v>117.385003008</v>
      </c>
      <c r="K60" s="243">
        <v>0</v>
      </c>
      <c r="L60" s="244">
        <f t="shared" si="15"/>
        <v>0.2</v>
      </c>
      <c r="M60" s="242">
        <f t="shared" si="6"/>
        <v>23.4770006016</v>
      </c>
      <c r="N60" s="247">
        <f t="shared" si="7"/>
        <v>140.86200360960001</v>
      </c>
      <c r="O60">
        <f t="shared" si="8"/>
        <v>2026</v>
      </c>
      <c r="P60" s="248">
        <f t="shared" si="2"/>
        <v>1.4086200360960001E-5</v>
      </c>
    </row>
    <row r="61" spans="1:24">
      <c r="A61">
        <f t="shared" si="11"/>
        <v>2025</v>
      </c>
      <c r="B61" s="241">
        <f t="shared" si="11"/>
        <v>12</v>
      </c>
      <c r="C61" s="242">
        <f t="shared" si="3"/>
        <v>460766601.5625</v>
      </c>
      <c r="D61" s="243">
        <v>0</v>
      </c>
      <c r="E61" s="244">
        <f t="shared" si="14"/>
        <v>0.5</v>
      </c>
      <c r="F61" s="245">
        <f t="shared" si="4"/>
        <v>230383300.78125</v>
      </c>
      <c r="G61" s="246">
        <f t="shared" si="5"/>
        <v>691149902.34375</v>
      </c>
      <c r="H61" s="216"/>
      <c r="I61" s="241">
        <f t="shared" si="12"/>
        <v>12</v>
      </c>
      <c r="J61" s="242">
        <f t="shared" si="13"/>
        <v>140.86200360960001</v>
      </c>
      <c r="K61" s="243">
        <v>0</v>
      </c>
      <c r="L61" s="244">
        <f t="shared" si="15"/>
        <v>0.2</v>
      </c>
      <c r="M61" s="242">
        <f t="shared" si="6"/>
        <v>28.172400721920003</v>
      </c>
      <c r="N61" s="247">
        <f t="shared" si="7"/>
        <v>169.03440433152002</v>
      </c>
      <c r="O61">
        <f t="shared" si="8"/>
        <v>2027</v>
      </c>
      <c r="P61" s="248">
        <f t="shared" si="2"/>
        <v>1.6903440433152003E-5</v>
      </c>
    </row>
    <row r="62" spans="1:24">
      <c r="A62">
        <f t="shared" si="11"/>
        <v>2026</v>
      </c>
      <c r="B62" s="241">
        <f t="shared" si="11"/>
        <v>13</v>
      </c>
      <c r="C62" s="242">
        <f t="shared" si="3"/>
        <v>691149902.34375</v>
      </c>
      <c r="D62" s="243">
        <v>0</v>
      </c>
      <c r="E62" s="244">
        <f t="shared" si="14"/>
        <v>0.5</v>
      </c>
      <c r="F62" s="245">
        <f t="shared" si="4"/>
        <v>345574951.171875</v>
      </c>
      <c r="G62" s="246">
        <f t="shared" si="5"/>
        <v>1036724853.515625</v>
      </c>
      <c r="H62" s="216"/>
      <c r="I62" s="241">
        <f t="shared" si="12"/>
        <v>13</v>
      </c>
      <c r="J62" s="242">
        <f t="shared" si="13"/>
        <v>169.03440433152002</v>
      </c>
      <c r="K62" s="243">
        <v>0</v>
      </c>
      <c r="L62" s="244">
        <f t="shared" si="15"/>
        <v>0.2</v>
      </c>
      <c r="M62" s="242">
        <f t="shared" si="6"/>
        <v>33.806880866304006</v>
      </c>
      <c r="N62" s="247">
        <f t="shared" si="7"/>
        <v>202.84128519782402</v>
      </c>
      <c r="O62">
        <f t="shared" si="8"/>
        <v>2028</v>
      </c>
      <c r="P62" s="248">
        <f t="shared" si="2"/>
        <v>2.0284128519782403E-5</v>
      </c>
    </row>
    <row r="63" spans="1:24">
      <c r="A63">
        <f t="shared" si="11"/>
        <v>2027</v>
      </c>
      <c r="B63" s="241">
        <f t="shared" si="11"/>
        <v>14</v>
      </c>
      <c r="C63" s="242">
        <f t="shared" si="3"/>
        <v>1036724853.515625</v>
      </c>
      <c r="D63" s="243">
        <v>0</v>
      </c>
      <c r="E63" s="244">
        <f t="shared" si="14"/>
        <v>0.5</v>
      </c>
      <c r="F63" s="245">
        <f t="shared" si="4"/>
        <v>518362426.7578125</v>
      </c>
      <c r="G63" s="246">
        <f t="shared" si="5"/>
        <v>1555087280.2734375</v>
      </c>
      <c r="H63" s="216"/>
      <c r="I63" s="241">
        <f t="shared" si="12"/>
        <v>14</v>
      </c>
      <c r="J63" s="242">
        <f t="shared" si="13"/>
        <v>202.84128519782402</v>
      </c>
      <c r="K63" s="243">
        <v>0</v>
      </c>
      <c r="L63" s="244">
        <f t="shared" si="15"/>
        <v>0.2</v>
      </c>
      <c r="M63" s="242">
        <f t="shared" si="6"/>
        <v>40.568257039564806</v>
      </c>
      <c r="N63" s="247">
        <f t="shared" si="7"/>
        <v>243.40954223738882</v>
      </c>
      <c r="O63">
        <f t="shared" si="8"/>
        <v>2029</v>
      </c>
      <c r="P63" s="248">
        <f t="shared" si="2"/>
        <v>2.4340954223738881E-5</v>
      </c>
    </row>
    <row r="64" spans="1:24">
      <c r="A64">
        <f t="shared" si="11"/>
        <v>2028</v>
      </c>
      <c r="B64" s="241">
        <f t="shared" si="11"/>
        <v>15</v>
      </c>
      <c r="C64" s="242">
        <f t="shared" si="3"/>
        <v>1555087280.2734375</v>
      </c>
      <c r="D64" s="243">
        <v>0</v>
      </c>
      <c r="E64" s="244">
        <f t="shared" si="14"/>
        <v>0.5</v>
      </c>
      <c r="F64" s="245">
        <f t="shared" si="4"/>
        <v>777543640.13671875</v>
      </c>
      <c r="G64" s="246">
        <f t="shared" si="5"/>
        <v>2332630920.4101562</v>
      </c>
      <c r="H64" s="216"/>
      <c r="I64" s="241">
        <f t="shared" si="12"/>
        <v>15</v>
      </c>
      <c r="J64" s="242">
        <f t="shared" si="13"/>
        <v>243.40954223738882</v>
      </c>
      <c r="K64" s="243">
        <v>0</v>
      </c>
      <c r="L64" s="244">
        <f t="shared" si="15"/>
        <v>0.2</v>
      </c>
      <c r="M64" s="242">
        <f t="shared" si="6"/>
        <v>48.681908447477767</v>
      </c>
      <c r="N64" s="247">
        <f t="shared" si="7"/>
        <v>292.09145068486657</v>
      </c>
      <c r="O64">
        <f t="shared" si="8"/>
        <v>2030</v>
      </c>
      <c r="P64" s="248">
        <f t="shared" si="2"/>
        <v>2.9209145068486657E-5</v>
      </c>
    </row>
    <row r="65" spans="1:14">
      <c r="A65">
        <f t="shared" si="11"/>
        <v>2029</v>
      </c>
      <c r="B65" s="241">
        <f t="shared" si="11"/>
        <v>16</v>
      </c>
      <c r="C65" s="242">
        <f t="shared" si="3"/>
        <v>2332630920.4101562</v>
      </c>
      <c r="D65" s="243">
        <v>0</v>
      </c>
      <c r="E65" s="244">
        <f t="shared" si="14"/>
        <v>0.5</v>
      </c>
      <c r="F65" s="245">
        <f t="shared" si="4"/>
        <v>1166315460.2050781</v>
      </c>
      <c r="G65" s="246">
        <f t="shared" si="5"/>
        <v>3498946380.6152344</v>
      </c>
      <c r="H65" s="216"/>
      <c r="I65" s="241">
        <f t="shared" si="12"/>
        <v>16</v>
      </c>
      <c r="J65" s="242">
        <f t="shared" si="13"/>
        <v>292.09145068486657</v>
      </c>
      <c r="K65" s="243">
        <v>0</v>
      </c>
      <c r="L65" s="244">
        <f t="shared" si="15"/>
        <v>0.2</v>
      </c>
      <c r="M65" s="242">
        <f t="shared" si="6"/>
        <v>58.418290136973319</v>
      </c>
      <c r="N65" s="247">
        <f t="shared" si="7"/>
        <v>350.5097408218399</v>
      </c>
    </row>
    <row r="66" spans="1:14">
      <c r="A66" s="250">
        <f t="shared" si="11"/>
        <v>2030</v>
      </c>
      <c r="B66" s="241">
        <f t="shared" si="11"/>
        <v>17</v>
      </c>
      <c r="C66" s="242">
        <f t="shared" si="3"/>
        <v>3498946380.6152344</v>
      </c>
      <c r="D66" s="243">
        <v>0</v>
      </c>
      <c r="E66" s="244">
        <f t="shared" si="14"/>
        <v>0.5</v>
      </c>
      <c r="F66" s="245">
        <f t="shared" si="4"/>
        <v>1749473190.3076172</v>
      </c>
      <c r="G66" s="251">
        <f t="shared" si="5"/>
        <v>5248419570.9228516</v>
      </c>
      <c r="H66" s="216">
        <f>G66/10000000</f>
        <v>524.84195709228516</v>
      </c>
      <c r="I66" s="241">
        <f t="shared" si="12"/>
        <v>17</v>
      </c>
      <c r="J66" s="242">
        <f t="shared" si="13"/>
        <v>350.5097408218399</v>
      </c>
      <c r="K66" s="243">
        <v>0</v>
      </c>
      <c r="L66" s="244">
        <f t="shared" si="15"/>
        <v>0.2</v>
      </c>
      <c r="M66" s="242">
        <f t="shared" si="6"/>
        <v>70.101948164367982</v>
      </c>
      <c r="N66" s="247">
        <f t="shared" si="7"/>
        <v>420.61168898620787</v>
      </c>
    </row>
    <row r="67" spans="1:14">
      <c r="A67">
        <f t="shared" ref="A67:B79" si="16">A66+1</f>
        <v>2031</v>
      </c>
      <c r="B67" s="241">
        <f t="shared" si="16"/>
        <v>18</v>
      </c>
      <c r="C67" s="242">
        <f t="shared" si="3"/>
        <v>5248419570.9228516</v>
      </c>
      <c r="D67" s="243">
        <v>0</v>
      </c>
      <c r="E67" s="244">
        <v>0</v>
      </c>
      <c r="F67" s="245">
        <f t="shared" si="4"/>
        <v>0</v>
      </c>
      <c r="G67" s="246">
        <f t="shared" si="5"/>
        <v>5248419570.9228516</v>
      </c>
      <c r="H67" s="252"/>
      <c r="I67" s="241">
        <f t="shared" si="12"/>
        <v>18</v>
      </c>
      <c r="J67" s="242">
        <f t="shared" si="13"/>
        <v>420.61168898620787</v>
      </c>
      <c r="K67" s="243">
        <v>0</v>
      </c>
      <c r="L67" s="244">
        <f t="shared" si="15"/>
        <v>0.2</v>
      </c>
      <c r="M67" s="242">
        <f t="shared" si="6"/>
        <v>84.122337797241585</v>
      </c>
      <c r="N67" s="247">
        <f t="shared" si="7"/>
        <v>504.73402678344945</v>
      </c>
    </row>
    <row r="68" spans="1:14">
      <c r="B68" s="241">
        <f t="shared" si="16"/>
        <v>19</v>
      </c>
      <c r="C68" s="242">
        <f t="shared" si="3"/>
        <v>5248419570.9228516</v>
      </c>
      <c r="D68" s="243">
        <v>0</v>
      </c>
      <c r="E68" s="244">
        <v>0</v>
      </c>
      <c r="F68" s="245">
        <f t="shared" si="4"/>
        <v>0</v>
      </c>
      <c r="G68" s="246">
        <f t="shared" si="5"/>
        <v>5248419570.9228516</v>
      </c>
      <c r="H68" s="253" t="e">
        <f>H49/C49</f>
        <v>#DIV/0!</v>
      </c>
      <c r="I68" s="241">
        <f t="shared" si="12"/>
        <v>19</v>
      </c>
      <c r="J68" s="242">
        <f t="shared" si="13"/>
        <v>504.73402678344945</v>
      </c>
      <c r="K68" s="243"/>
      <c r="L68" s="244"/>
      <c r="M68" s="242">
        <f t="shared" si="6"/>
        <v>0</v>
      </c>
      <c r="N68" s="247">
        <f t="shared" si="7"/>
        <v>504.73402678344945</v>
      </c>
    </row>
    <row r="69" spans="1:14">
      <c r="B69" s="241">
        <f t="shared" si="16"/>
        <v>20</v>
      </c>
      <c r="C69" s="242">
        <f t="shared" si="3"/>
        <v>5248419570.9228516</v>
      </c>
      <c r="D69" s="243">
        <v>0</v>
      </c>
      <c r="E69" s="244">
        <f t="shared" si="14"/>
        <v>0</v>
      </c>
      <c r="F69" s="245">
        <f t="shared" si="4"/>
        <v>0</v>
      </c>
      <c r="G69" s="246">
        <f t="shared" si="5"/>
        <v>5248419570.9228516</v>
      </c>
      <c r="H69" s="253">
        <f t="shared" ref="H69:H88" si="17">H50/C50</f>
        <v>0</v>
      </c>
      <c r="I69" s="241">
        <f t="shared" si="12"/>
        <v>20</v>
      </c>
      <c r="J69" s="242">
        <f t="shared" si="13"/>
        <v>504.73402678344945</v>
      </c>
      <c r="K69" s="243"/>
      <c r="L69" s="244"/>
      <c r="M69" s="242">
        <f t="shared" si="6"/>
        <v>0</v>
      </c>
      <c r="N69" s="247">
        <f t="shared" si="7"/>
        <v>504.73402678344945</v>
      </c>
    </row>
    <row r="70" spans="1:14">
      <c r="B70" s="241">
        <f t="shared" si="16"/>
        <v>21</v>
      </c>
      <c r="C70" s="242">
        <f t="shared" si="3"/>
        <v>5248419570.9228516</v>
      </c>
      <c r="D70" s="243"/>
      <c r="E70" s="244">
        <f t="shared" si="14"/>
        <v>0</v>
      </c>
      <c r="F70" s="245">
        <f t="shared" si="4"/>
        <v>0</v>
      </c>
      <c r="G70" s="246">
        <f t="shared" si="5"/>
        <v>5248419570.9228516</v>
      </c>
      <c r="H70" s="253">
        <f t="shared" si="17"/>
        <v>0</v>
      </c>
      <c r="I70" s="241">
        <f t="shared" si="12"/>
        <v>21</v>
      </c>
      <c r="J70" s="242">
        <f t="shared" si="13"/>
        <v>504.73402678344945</v>
      </c>
      <c r="K70" s="243"/>
      <c r="L70" s="244"/>
      <c r="M70" s="242">
        <f t="shared" si="6"/>
        <v>0</v>
      </c>
      <c r="N70" s="247">
        <f t="shared" si="7"/>
        <v>504.73402678344945</v>
      </c>
    </row>
    <row r="71" spans="1:14">
      <c r="B71" s="241">
        <f t="shared" si="16"/>
        <v>22</v>
      </c>
      <c r="C71" s="242">
        <f t="shared" si="3"/>
        <v>5248419570.9228516</v>
      </c>
      <c r="D71" s="243"/>
      <c r="E71" s="244"/>
      <c r="F71" s="245">
        <f t="shared" si="4"/>
        <v>0</v>
      </c>
      <c r="G71" s="246">
        <f t="shared" si="5"/>
        <v>5248419570.9228516</v>
      </c>
      <c r="H71" s="253">
        <f t="shared" si="17"/>
        <v>0</v>
      </c>
      <c r="I71" s="241">
        <f t="shared" si="12"/>
        <v>22</v>
      </c>
      <c r="J71" s="242">
        <f t="shared" si="13"/>
        <v>504.73402678344945</v>
      </c>
      <c r="K71" s="243"/>
      <c r="L71" s="244"/>
      <c r="M71" s="242">
        <f t="shared" si="6"/>
        <v>0</v>
      </c>
      <c r="N71" s="247">
        <f t="shared" si="7"/>
        <v>504.73402678344945</v>
      </c>
    </row>
    <row r="72" spans="1:14">
      <c r="B72" s="241">
        <f t="shared" si="16"/>
        <v>23</v>
      </c>
      <c r="C72" s="242">
        <f t="shared" si="3"/>
        <v>5248419570.9228516</v>
      </c>
      <c r="D72" s="243"/>
      <c r="E72" s="244"/>
      <c r="F72" s="245">
        <f t="shared" si="4"/>
        <v>0</v>
      </c>
      <c r="G72" s="246">
        <f t="shared" si="5"/>
        <v>5248419570.9228516</v>
      </c>
      <c r="H72" s="253">
        <f t="shared" si="17"/>
        <v>0</v>
      </c>
      <c r="I72" s="241">
        <f t="shared" si="12"/>
        <v>23</v>
      </c>
      <c r="J72" s="242">
        <f t="shared" si="13"/>
        <v>504.73402678344945</v>
      </c>
      <c r="K72" s="243"/>
      <c r="L72" s="244"/>
      <c r="M72" s="242">
        <f t="shared" si="6"/>
        <v>0</v>
      </c>
      <c r="N72" s="247">
        <f t="shared" si="7"/>
        <v>504.73402678344945</v>
      </c>
    </row>
    <row r="73" spans="1:14">
      <c r="B73" s="241">
        <f t="shared" si="16"/>
        <v>24</v>
      </c>
      <c r="C73" s="242">
        <f t="shared" si="3"/>
        <v>5248419570.9228516</v>
      </c>
      <c r="D73" s="243"/>
      <c r="E73" s="244"/>
      <c r="F73" s="245">
        <f t="shared" si="4"/>
        <v>0</v>
      </c>
      <c r="G73" s="246">
        <f t="shared" si="5"/>
        <v>5248419570.9228516</v>
      </c>
      <c r="H73" s="253">
        <f t="shared" si="17"/>
        <v>0</v>
      </c>
      <c r="I73" s="241">
        <f t="shared" si="12"/>
        <v>24</v>
      </c>
      <c r="J73" s="242">
        <f t="shared" si="13"/>
        <v>504.73402678344945</v>
      </c>
      <c r="K73" s="243"/>
      <c r="L73" s="244"/>
      <c r="M73" s="242">
        <f t="shared" si="6"/>
        <v>0</v>
      </c>
      <c r="N73" s="247">
        <f t="shared" si="7"/>
        <v>504.73402678344945</v>
      </c>
    </row>
    <row r="74" spans="1:14">
      <c r="B74" s="241">
        <f t="shared" si="16"/>
        <v>25</v>
      </c>
      <c r="C74" s="242">
        <f t="shared" si="3"/>
        <v>5248419570.9228516</v>
      </c>
      <c r="D74" s="243"/>
      <c r="E74" s="244"/>
      <c r="F74" s="245">
        <f t="shared" si="4"/>
        <v>0</v>
      </c>
      <c r="G74" s="246">
        <f t="shared" si="5"/>
        <v>5248419570.9228516</v>
      </c>
      <c r="H74" s="253">
        <f t="shared" si="17"/>
        <v>0</v>
      </c>
      <c r="I74" s="241">
        <f t="shared" si="12"/>
        <v>25</v>
      </c>
      <c r="J74" s="242">
        <f t="shared" si="13"/>
        <v>504.73402678344945</v>
      </c>
      <c r="K74" s="243"/>
      <c r="L74" s="244"/>
      <c r="M74" s="242">
        <f t="shared" si="6"/>
        <v>0</v>
      </c>
      <c r="N74" s="247">
        <f t="shared" si="7"/>
        <v>504.73402678344945</v>
      </c>
    </row>
    <row r="75" spans="1:14">
      <c r="B75" s="241">
        <f t="shared" si="16"/>
        <v>26</v>
      </c>
      <c r="C75" s="242">
        <f t="shared" si="3"/>
        <v>5248419570.9228516</v>
      </c>
      <c r="D75" s="243"/>
      <c r="E75" s="244"/>
      <c r="F75" s="245">
        <f t="shared" si="4"/>
        <v>0</v>
      </c>
      <c r="G75" s="246">
        <f t="shared" si="5"/>
        <v>5248419570.9228516</v>
      </c>
      <c r="H75" s="253">
        <f t="shared" si="17"/>
        <v>1.5871934604904632E-7</v>
      </c>
      <c r="I75" s="241">
        <f t="shared" si="12"/>
        <v>26</v>
      </c>
      <c r="J75" s="242">
        <f t="shared" si="13"/>
        <v>504.73402678344945</v>
      </c>
      <c r="K75" s="243"/>
      <c r="L75" s="244"/>
      <c r="M75" s="242">
        <f t="shared" si="6"/>
        <v>0</v>
      </c>
      <c r="N75" s="247">
        <f t="shared" si="7"/>
        <v>504.73402678344945</v>
      </c>
    </row>
    <row r="76" spans="1:14">
      <c r="B76" s="241">
        <f t="shared" si="16"/>
        <v>27</v>
      </c>
      <c r="C76" s="242">
        <f t="shared" si="3"/>
        <v>5248419570.9228516</v>
      </c>
      <c r="D76" s="243"/>
      <c r="E76" s="244"/>
      <c r="F76" s="245">
        <f t="shared" si="4"/>
        <v>0</v>
      </c>
      <c r="G76" s="246">
        <f t="shared" si="5"/>
        <v>5248419570.9228516</v>
      </c>
      <c r="H76" s="253">
        <f t="shared" si="17"/>
        <v>0</v>
      </c>
      <c r="I76" s="241">
        <f t="shared" si="12"/>
        <v>27</v>
      </c>
      <c r="J76" s="242">
        <f t="shared" si="13"/>
        <v>504.73402678344945</v>
      </c>
      <c r="K76" s="243"/>
      <c r="L76" s="244"/>
      <c r="M76" s="242">
        <f t="shared" si="6"/>
        <v>0</v>
      </c>
      <c r="N76" s="247">
        <f t="shared" si="7"/>
        <v>504.73402678344945</v>
      </c>
    </row>
    <row r="77" spans="1:14">
      <c r="B77" s="241">
        <f t="shared" si="16"/>
        <v>28</v>
      </c>
      <c r="C77" s="242">
        <f t="shared" si="3"/>
        <v>5248419570.9228516</v>
      </c>
      <c r="D77" s="243"/>
      <c r="E77" s="244"/>
      <c r="F77" s="245">
        <f t="shared" si="4"/>
        <v>0</v>
      </c>
      <c r="G77" s="246">
        <f t="shared" si="5"/>
        <v>5248419570.9228516</v>
      </c>
      <c r="H77" s="253">
        <f t="shared" si="17"/>
        <v>0</v>
      </c>
      <c r="I77" s="241">
        <f t="shared" si="12"/>
        <v>28</v>
      </c>
      <c r="J77" s="242">
        <f t="shared" si="13"/>
        <v>504.73402678344945</v>
      </c>
      <c r="K77" s="243"/>
      <c r="L77" s="244"/>
      <c r="M77" s="242">
        <f t="shared" si="6"/>
        <v>0</v>
      </c>
      <c r="N77" s="247">
        <f t="shared" si="7"/>
        <v>504.73402678344945</v>
      </c>
    </row>
    <row r="78" spans="1:14">
      <c r="B78" s="241">
        <f t="shared" si="16"/>
        <v>29</v>
      </c>
      <c r="C78" s="242">
        <f t="shared" si="3"/>
        <v>5248419570.9228516</v>
      </c>
      <c r="D78" s="243"/>
      <c r="E78" s="244"/>
      <c r="F78" s="245">
        <f t="shared" si="4"/>
        <v>0</v>
      </c>
      <c r="G78" s="246">
        <f t="shared" si="5"/>
        <v>5248419570.9228516</v>
      </c>
      <c r="H78" s="253">
        <f t="shared" si="17"/>
        <v>0</v>
      </c>
      <c r="I78" s="241">
        <f t="shared" si="12"/>
        <v>29</v>
      </c>
      <c r="J78" s="242">
        <f t="shared" si="13"/>
        <v>504.73402678344945</v>
      </c>
      <c r="K78" s="243"/>
      <c r="L78" s="244"/>
      <c r="M78" s="242">
        <f t="shared" si="6"/>
        <v>0</v>
      </c>
      <c r="N78" s="247">
        <f t="shared" si="7"/>
        <v>504.73402678344945</v>
      </c>
    </row>
    <row r="79" spans="1:14">
      <c r="B79" s="241">
        <f t="shared" si="16"/>
        <v>30</v>
      </c>
      <c r="C79" s="242">
        <f t="shared" si="3"/>
        <v>5248419570.9228516</v>
      </c>
      <c r="D79" s="243"/>
      <c r="E79" s="244"/>
      <c r="F79" s="245">
        <f t="shared" si="4"/>
        <v>0</v>
      </c>
      <c r="G79" s="246">
        <f t="shared" si="5"/>
        <v>5248419570.9228516</v>
      </c>
      <c r="H79" s="253">
        <f t="shared" si="17"/>
        <v>0</v>
      </c>
      <c r="I79" s="241">
        <f t="shared" si="12"/>
        <v>30</v>
      </c>
      <c r="J79" s="242">
        <f t="shared" si="13"/>
        <v>504.73402678344945</v>
      </c>
      <c r="K79" s="243"/>
      <c r="L79" s="244"/>
      <c r="M79" s="242">
        <f t="shared" si="6"/>
        <v>0</v>
      </c>
      <c r="N79" s="247">
        <f t="shared" si="7"/>
        <v>504.73402678344945</v>
      </c>
    </row>
    <row r="80" spans="1:14" ht="15.75" thickBot="1">
      <c r="B80" s="241"/>
      <c r="C80" s="254"/>
      <c r="D80" s="243"/>
      <c r="E80" s="244"/>
      <c r="F80" s="254"/>
      <c r="G80" s="246">
        <f t="shared" si="5"/>
        <v>0</v>
      </c>
      <c r="H80" s="253">
        <f t="shared" si="17"/>
        <v>0</v>
      </c>
      <c r="I80" s="241"/>
      <c r="J80" s="242">
        <f t="shared" si="13"/>
        <v>504.73402678344945</v>
      </c>
      <c r="K80" s="243"/>
      <c r="L80" s="244"/>
      <c r="M80" s="242">
        <f t="shared" si="6"/>
        <v>0</v>
      </c>
      <c r="N80" s="247">
        <f t="shared" si="7"/>
        <v>504.73402678344945</v>
      </c>
    </row>
    <row r="81" spans="2:14" ht="15.75" thickBot="1">
      <c r="B81" s="299" t="s">
        <v>497</v>
      </c>
      <c r="C81" s="300"/>
      <c r="D81" s="255">
        <f>SUM(D48:D80)</f>
        <v>22500000</v>
      </c>
      <c r="E81" s="256"/>
      <c r="F81" s="256"/>
      <c r="G81" s="257">
        <f>G78</f>
        <v>5248419570.9228516</v>
      </c>
      <c r="H81" s="253">
        <f t="shared" si="17"/>
        <v>0</v>
      </c>
      <c r="I81" s="299" t="s">
        <v>497</v>
      </c>
      <c r="J81" s="300"/>
      <c r="K81" s="258">
        <f>SUM(K48:K80)</f>
        <v>0</v>
      </c>
      <c r="L81" s="256"/>
      <c r="M81" s="255"/>
      <c r="N81" s="259">
        <f>N78</f>
        <v>504.73402678344945</v>
      </c>
    </row>
    <row r="82" spans="2:14" ht="15.75" thickBot="1">
      <c r="B82" s="260"/>
      <c r="C82" s="261" t="s">
        <v>498</v>
      </c>
      <c r="D82" s="262">
        <f>D81/10000000</f>
        <v>2.25</v>
      </c>
      <c r="E82" s="261"/>
      <c r="F82" s="261"/>
      <c r="G82" s="263">
        <f>G81/10000000</f>
        <v>524.84195709228516</v>
      </c>
      <c r="H82" s="253">
        <f t="shared" si="17"/>
        <v>0</v>
      </c>
      <c r="I82" s="260"/>
      <c r="J82" s="261" t="s">
        <v>498</v>
      </c>
      <c r="K82" s="262">
        <f>K81/10000000</f>
        <v>0</v>
      </c>
      <c r="L82" s="261"/>
      <c r="M82" s="261"/>
      <c r="N82" s="263">
        <f>N81/10000000</f>
        <v>5.0473402678344942E-5</v>
      </c>
    </row>
    <row r="83" spans="2:14">
      <c r="G83" s="264"/>
      <c r="H83" s="253">
        <f t="shared" si="17"/>
        <v>0</v>
      </c>
    </row>
    <row r="84" spans="2:14" ht="15.75" thickBot="1">
      <c r="C84" s="295" t="s">
        <v>499</v>
      </c>
      <c r="D84" s="295"/>
      <c r="E84" s="295"/>
      <c r="F84" s="295"/>
      <c r="H84" s="253">
        <f t="shared" si="17"/>
        <v>0</v>
      </c>
      <c r="J84" s="295" t="s">
        <v>499</v>
      </c>
      <c r="K84" s="295"/>
      <c r="L84" s="295"/>
      <c r="M84" s="295"/>
    </row>
    <row r="85" spans="2:14" ht="15.75" thickBot="1">
      <c r="H85" s="253">
        <f t="shared" si="17"/>
        <v>1.4999999999999999E-7</v>
      </c>
    </row>
    <row r="86" spans="2:14" ht="15.75" thickBot="1">
      <c r="B86" s="232"/>
      <c r="C86" s="293" t="s">
        <v>485</v>
      </c>
      <c r="D86" s="294"/>
      <c r="E86" s="233" t="s">
        <v>486</v>
      </c>
      <c r="F86" s="233"/>
      <c r="G86" s="234"/>
      <c r="H86" s="253">
        <f t="shared" si="17"/>
        <v>0</v>
      </c>
      <c r="I86" s="232"/>
      <c r="J86" s="293" t="s">
        <v>500</v>
      </c>
      <c r="K86" s="294"/>
      <c r="L86" s="233" t="s">
        <v>501</v>
      </c>
      <c r="M86" s="233"/>
      <c r="N86" s="234"/>
    </row>
    <row r="87" spans="2:14" ht="15.75" thickBot="1">
      <c r="B87" s="200"/>
      <c r="C87" s="197"/>
      <c r="D87" s="197"/>
      <c r="E87" s="197"/>
      <c r="F87" s="197"/>
      <c r="G87" s="198"/>
      <c r="H87" s="253" t="e">
        <f t="shared" si="17"/>
        <v>#DIV/0!</v>
      </c>
      <c r="I87" s="200"/>
      <c r="J87" s="197"/>
      <c r="K87" s="197"/>
      <c r="L87" s="197"/>
      <c r="M87" s="197"/>
      <c r="N87" s="198"/>
    </row>
    <row r="88" spans="2:14" ht="15.75" thickBot="1">
      <c r="B88" s="296" t="s">
        <v>502</v>
      </c>
      <c r="C88" s="297"/>
      <c r="D88" s="297"/>
      <c r="E88" s="297"/>
      <c r="F88" s="297"/>
      <c r="G88" s="298"/>
      <c r="H88" s="253">
        <f t="shared" si="17"/>
        <v>0</v>
      </c>
      <c r="I88" s="296" t="s">
        <v>502</v>
      </c>
      <c r="J88" s="297"/>
      <c r="K88" s="297"/>
      <c r="L88" s="297"/>
      <c r="M88" s="297"/>
      <c r="N88" s="298"/>
    </row>
    <row r="89" spans="2:14">
      <c r="B89" s="265"/>
      <c r="C89" s="266"/>
      <c r="D89" s="266"/>
      <c r="E89" s="266"/>
      <c r="F89" s="266"/>
      <c r="G89" s="267">
        <f>G124</f>
        <v>1413.1902480939689</v>
      </c>
      <c r="I89" s="265"/>
      <c r="J89" s="266"/>
      <c r="K89" s="266"/>
      <c r="L89" s="266"/>
      <c r="M89" s="266"/>
      <c r="N89" s="267">
        <f>N124</f>
        <v>285.94104308390024</v>
      </c>
    </row>
    <row r="90" spans="2:14" ht="30">
      <c r="B90" s="236" t="s">
        <v>14</v>
      </c>
      <c r="C90" s="237" t="s">
        <v>490</v>
      </c>
      <c r="D90" s="237" t="s">
        <v>503</v>
      </c>
      <c r="E90" s="237" t="s">
        <v>492</v>
      </c>
      <c r="F90" s="237" t="s">
        <v>504</v>
      </c>
      <c r="G90" s="238" t="s">
        <v>505</v>
      </c>
      <c r="I90" s="236" t="s">
        <v>14</v>
      </c>
      <c r="J90" s="237" t="s">
        <v>506</v>
      </c>
      <c r="K90" s="237" t="s">
        <v>507</v>
      </c>
      <c r="L90" s="237" t="s">
        <v>492</v>
      </c>
      <c r="M90" s="237" t="s">
        <v>504</v>
      </c>
      <c r="N90" s="238" t="s">
        <v>505</v>
      </c>
    </row>
    <row r="91" spans="2:14">
      <c r="B91" s="241">
        <v>0</v>
      </c>
      <c r="C91" s="254">
        <v>0</v>
      </c>
      <c r="D91" s="254">
        <v>100</v>
      </c>
      <c r="E91" s="268">
        <v>0.06</v>
      </c>
      <c r="F91" s="254">
        <f>((1/(1+E91) ) ^ (B91 + 1) ) * D91</f>
        <v>94.339622641509422</v>
      </c>
      <c r="G91" s="269">
        <f>F91+C91</f>
        <v>94.339622641509422</v>
      </c>
      <c r="I91" s="241">
        <v>0</v>
      </c>
      <c r="J91" s="254">
        <v>0</v>
      </c>
      <c r="K91" s="254">
        <v>100</v>
      </c>
      <c r="L91" s="268">
        <v>0</v>
      </c>
      <c r="M91" s="254">
        <f t="shared" ref="M91:M92" si="18">((1/(1+L91) ) ^ (I91) ) * K91</f>
        <v>100</v>
      </c>
      <c r="N91" s="269">
        <f>M91+J91</f>
        <v>100</v>
      </c>
    </row>
    <row r="92" spans="2:14">
      <c r="B92" s="241">
        <f>B91+1</f>
        <v>1</v>
      </c>
      <c r="C92" s="254">
        <f>G91</f>
        <v>94.339622641509422</v>
      </c>
      <c r="D92" s="254">
        <v>200</v>
      </c>
      <c r="E92" s="268">
        <v>0.06</v>
      </c>
      <c r="F92" s="254">
        <f>((1/(1+E92) ) ^ (B92 + 1) ) * D92</f>
        <v>177.99928800284795</v>
      </c>
      <c r="G92" s="269">
        <f>F92+C92</f>
        <v>272.33891064435738</v>
      </c>
      <c r="I92" s="241">
        <f>I91+1</f>
        <v>1</v>
      </c>
      <c r="J92" s="254">
        <f>N91</f>
        <v>100</v>
      </c>
      <c r="K92" s="254">
        <v>100</v>
      </c>
      <c r="L92" s="268">
        <v>0.05</v>
      </c>
      <c r="M92" s="254">
        <f t="shared" si="18"/>
        <v>95.238095238095227</v>
      </c>
      <c r="N92" s="269">
        <f>M92+J92</f>
        <v>195.23809523809524</v>
      </c>
    </row>
    <row r="93" spans="2:14">
      <c r="B93" s="241">
        <f t="shared" ref="B93:B121" si="19">B92+1</f>
        <v>2</v>
      </c>
      <c r="C93" s="254">
        <f t="shared" ref="C93:C121" si="20">G92</f>
        <v>272.33891064435738</v>
      </c>
      <c r="D93" s="254">
        <v>200</v>
      </c>
      <c r="E93" s="268">
        <v>0.06</v>
      </c>
      <c r="F93" s="254">
        <f t="shared" ref="F93:F121" si="21">((1/(1+E93) ) ^ (B93 + 1) ) * D93</f>
        <v>167.9238566064603</v>
      </c>
      <c r="G93" s="269">
        <f t="shared" ref="G93:G121" si="22">F93+C93</f>
        <v>440.26276725081766</v>
      </c>
      <c r="I93" s="241">
        <f t="shared" ref="I93:I121" si="23">I92+1</f>
        <v>2</v>
      </c>
      <c r="J93" s="254">
        <f t="shared" ref="J93:J121" si="24">N92</f>
        <v>195.23809523809524</v>
      </c>
      <c r="K93" s="254">
        <v>100</v>
      </c>
      <c r="L93" s="268">
        <v>0.05</v>
      </c>
      <c r="M93" s="254">
        <f>((1/(1+L93) ) ^ (I93) ) * K93</f>
        <v>90.702947845804985</v>
      </c>
      <c r="N93" s="269">
        <f t="shared" ref="N93:N121" si="25">M93+J93</f>
        <v>285.94104308390024</v>
      </c>
    </row>
    <row r="94" spans="2:14">
      <c r="B94" s="241">
        <f t="shared" si="19"/>
        <v>3</v>
      </c>
      <c r="C94" s="254">
        <f t="shared" si="20"/>
        <v>440.26276725081766</v>
      </c>
      <c r="D94" s="254">
        <v>200</v>
      </c>
      <c r="E94" s="268">
        <v>0.06</v>
      </c>
      <c r="F94" s="254">
        <f t="shared" si="21"/>
        <v>158.41873264760403</v>
      </c>
      <c r="G94" s="269">
        <f t="shared" si="22"/>
        <v>598.68149989842163</v>
      </c>
      <c r="I94" s="241">
        <f t="shared" si="23"/>
        <v>3</v>
      </c>
      <c r="J94" s="254">
        <f t="shared" si="24"/>
        <v>285.94104308390024</v>
      </c>
      <c r="K94" s="254"/>
      <c r="L94" s="268">
        <v>0.05</v>
      </c>
      <c r="M94" s="254">
        <f t="shared" ref="M94:M121" si="26">((1/(1+L94) ) ^ (I94) ) * K94</f>
        <v>0</v>
      </c>
      <c r="N94" s="269">
        <f t="shared" si="25"/>
        <v>285.94104308390024</v>
      </c>
    </row>
    <row r="95" spans="2:14">
      <c r="B95" s="241">
        <f t="shared" si="19"/>
        <v>4</v>
      </c>
      <c r="C95" s="254">
        <f t="shared" si="20"/>
        <v>598.68149989842163</v>
      </c>
      <c r="D95" s="254">
        <v>200</v>
      </c>
      <c r="E95" s="268">
        <v>0.06</v>
      </c>
      <c r="F95" s="254">
        <f t="shared" si="21"/>
        <v>149.45163457321135</v>
      </c>
      <c r="G95" s="269">
        <f t="shared" si="22"/>
        <v>748.13313447163296</v>
      </c>
      <c r="I95" s="241">
        <f t="shared" si="23"/>
        <v>4</v>
      </c>
      <c r="J95" s="254">
        <f t="shared" si="24"/>
        <v>285.94104308390024</v>
      </c>
      <c r="K95" s="254"/>
      <c r="L95" s="268">
        <v>0.05</v>
      </c>
      <c r="M95" s="254">
        <f t="shared" si="26"/>
        <v>0</v>
      </c>
      <c r="N95" s="269">
        <f t="shared" si="25"/>
        <v>285.94104308390024</v>
      </c>
    </row>
    <row r="96" spans="2:14">
      <c r="B96" s="241">
        <f t="shared" si="19"/>
        <v>5</v>
      </c>
      <c r="C96" s="254">
        <f t="shared" si="20"/>
        <v>748.13313447163296</v>
      </c>
      <c r="D96" s="254">
        <v>0</v>
      </c>
      <c r="E96" s="268">
        <v>0.06</v>
      </c>
      <c r="F96" s="254">
        <f t="shared" si="21"/>
        <v>0</v>
      </c>
      <c r="G96" s="269">
        <f t="shared" si="22"/>
        <v>748.13313447163296</v>
      </c>
      <c r="I96" s="241">
        <f t="shared" si="23"/>
        <v>5</v>
      </c>
      <c r="J96" s="254">
        <f t="shared" si="24"/>
        <v>285.94104308390024</v>
      </c>
      <c r="K96" s="254"/>
      <c r="L96" s="268">
        <v>0.05</v>
      </c>
      <c r="M96" s="254">
        <f t="shared" si="26"/>
        <v>0</v>
      </c>
      <c r="N96" s="269">
        <f t="shared" si="25"/>
        <v>285.94104308390024</v>
      </c>
    </row>
    <row r="97" spans="2:14">
      <c r="B97" s="241">
        <f t="shared" si="19"/>
        <v>6</v>
      </c>
      <c r="C97" s="254">
        <f t="shared" si="20"/>
        <v>748.13313447163296</v>
      </c>
      <c r="D97" s="254">
        <v>1000</v>
      </c>
      <c r="E97" s="268">
        <v>0.06</v>
      </c>
      <c r="F97" s="254">
        <f t="shared" si="21"/>
        <v>665.05711362233581</v>
      </c>
      <c r="G97" s="269">
        <f t="shared" si="22"/>
        <v>1413.1902480939689</v>
      </c>
      <c r="I97" s="241">
        <f t="shared" si="23"/>
        <v>6</v>
      </c>
      <c r="J97" s="254">
        <f t="shared" si="24"/>
        <v>285.94104308390024</v>
      </c>
      <c r="K97" s="254"/>
      <c r="L97" s="268">
        <v>0.05</v>
      </c>
      <c r="M97" s="254">
        <f t="shared" si="26"/>
        <v>0</v>
      </c>
      <c r="N97" s="269">
        <f t="shared" si="25"/>
        <v>285.94104308390024</v>
      </c>
    </row>
    <row r="98" spans="2:14">
      <c r="B98" s="241">
        <f t="shared" si="19"/>
        <v>7</v>
      </c>
      <c r="C98" s="254">
        <f t="shared" si="20"/>
        <v>1413.1902480939689</v>
      </c>
      <c r="D98" s="254"/>
      <c r="E98" s="268">
        <v>0.05</v>
      </c>
      <c r="F98" s="254">
        <f t="shared" si="21"/>
        <v>0</v>
      </c>
      <c r="G98" s="269">
        <f t="shared" si="22"/>
        <v>1413.1902480939689</v>
      </c>
      <c r="I98" s="241">
        <f t="shared" si="23"/>
        <v>7</v>
      </c>
      <c r="J98" s="254">
        <f t="shared" si="24"/>
        <v>285.94104308390024</v>
      </c>
      <c r="K98" s="254"/>
      <c r="L98" s="268">
        <v>0.05</v>
      </c>
      <c r="M98" s="254">
        <f t="shared" si="26"/>
        <v>0</v>
      </c>
      <c r="N98" s="269">
        <f t="shared" si="25"/>
        <v>285.94104308390024</v>
      </c>
    </row>
    <row r="99" spans="2:14">
      <c r="B99" s="241">
        <f t="shared" si="19"/>
        <v>8</v>
      </c>
      <c r="C99" s="254">
        <f t="shared" si="20"/>
        <v>1413.1902480939689</v>
      </c>
      <c r="D99" s="254"/>
      <c r="E99" s="268">
        <v>0.05</v>
      </c>
      <c r="F99" s="254">
        <f t="shared" si="21"/>
        <v>0</v>
      </c>
      <c r="G99" s="269">
        <f t="shared" si="22"/>
        <v>1413.1902480939689</v>
      </c>
      <c r="I99" s="241">
        <f t="shared" si="23"/>
        <v>8</v>
      </c>
      <c r="J99" s="254">
        <f t="shared" si="24"/>
        <v>285.94104308390024</v>
      </c>
      <c r="K99" s="254"/>
      <c r="L99" s="268">
        <v>0.05</v>
      </c>
      <c r="M99" s="254">
        <f t="shared" si="26"/>
        <v>0</v>
      </c>
      <c r="N99" s="269">
        <f t="shared" si="25"/>
        <v>285.94104308390024</v>
      </c>
    </row>
    <row r="100" spans="2:14">
      <c r="B100" s="241">
        <f t="shared" si="19"/>
        <v>9</v>
      </c>
      <c r="C100" s="254">
        <f t="shared" si="20"/>
        <v>1413.1902480939689</v>
      </c>
      <c r="D100" s="254"/>
      <c r="E100" s="268">
        <v>0.05</v>
      </c>
      <c r="F100" s="254">
        <f t="shared" si="21"/>
        <v>0</v>
      </c>
      <c r="G100" s="269">
        <f t="shared" si="22"/>
        <v>1413.1902480939689</v>
      </c>
      <c r="I100" s="241">
        <f t="shared" si="23"/>
        <v>9</v>
      </c>
      <c r="J100" s="254">
        <f t="shared" si="24"/>
        <v>285.94104308390024</v>
      </c>
      <c r="K100" s="254"/>
      <c r="L100" s="268">
        <v>0.05</v>
      </c>
      <c r="M100" s="254">
        <f t="shared" si="26"/>
        <v>0</v>
      </c>
      <c r="N100" s="269">
        <f t="shared" si="25"/>
        <v>285.94104308390024</v>
      </c>
    </row>
    <row r="101" spans="2:14">
      <c r="B101" s="241">
        <f t="shared" si="19"/>
        <v>10</v>
      </c>
      <c r="C101" s="254">
        <f t="shared" si="20"/>
        <v>1413.1902480939689</v>
      </c>
      <c r="D101" s="254"/>
      <c r="E101" s="268">
        <v>0.05</v>
      </c>
      <c r="F101" s="254">
        <f t="shared" si="21"/>
        <v>0</v>
      </c>
      <c r="G101" s="269">
        <f t="shared" si="22"/>
        <v>1413.1902480939689</v>
      </c>
      <c r="I101" s="241">
        <f t="shared" si="23"/>
        <v>10</v>
      </c>
      <c r="J101" s="254">
        <f t="shared" si="24"/>
        <v>285.94104308390024</v>
      </c>
      <c r="K101" s="254"/>
      <c r="L101" s="268">
        <v>0.05</v>
      </c>
      <c r="M101" s="254">
        <f t="shared" si="26"/>
        <v>0</v>
      </c>
      <c r="N101" s="269">
        <f t="shared" si="25"/>
        <v>285.94104308390024</v>
      </c>
    </row>
    <row r="102" spans="2:14">
      <c r="B102" s="241">
        <f t="shared" si="19"/>
        <v>11</v>
      </c>
      <c r="C102" s="254">
        <f t="shared" si="20"/>
        <v>1413.1902480939689</v>
      </c>
      <c r="D102" s="254"/>
      <c r="E102" s="268">
        <v>0.05</v>
      </c>
      <c r="F102" s="254">
        <f t="shared" si="21"/>
        <v>0</v>
      </c>
      <c r="G102" s="269">
        <f t="shared" si="22"/>
        <v>1413.1902480939689</v>
      </c>
      <c r="I102" s="241">
        <f t="shared" si="23"/>
        <v>11</v>
      </c>
      <c r="J102" s="254">
        <f t="shared" si="24"/>
        <v>285.94104308390024</v>
      </c>
      <c r="K102" s="254"/>
      <c r="L102" s="268">
        <v>0.05</v>
      </c>
      <c r="M102" s="254">
        <f t="shared" si="26"/>
        <v>0</v>
      </c>
      <c r="N102" s="269">
        <f t="shared" si="25"/>
        <v>285.94104308390024</v>
      </c>
    </row>
    <row r="103" spans="2:14">
      <c r="B103" s="241">
        <f t="shared" si="19"/>
        <v>12</v>
      </c>
      <c r="C103" s="254">
        <f t="shared" si="20"/>
        <v>1413.1902480939689</v>
      </c>
      <c r="D103" s="254"/>
      <c r="E103" s="268">
        <v>0.05</v>
      </c>
      <c r="F103" s="254">
        <f t="shared" si="21"/>
        <v>0</v>
      </c>
      <c r="G103" s="269">
        <f t="shared" si="22"/>
        <v>1413.1902480939689</v>
      </c>
      <c r="I103" s="241">
        <f t="shared" si="23"/>
        <v>12</v>
      </c>
      <c r="J103" s="254">
        <f t="shared" si="24"/>
        <v>285.94104308390024</v>
      </c>
      <c r="K103" s="254"/>
      <c r="L103" s="268">
        <v>0.05</v>
      </c>
      <c r="M103" s="254">
        <f t="shared" si="26"/>
        <v>0</v>
      </c>
      <c r="N103" s="269">
        <f t="shared" si="25"/>
        <v>285.94104308390024</v>
      </c>
    </row>
    <row r="104" spans="2:14">
      <c r="B104" s="241">
        <f t="shared" si="19"/>
        <v>13</v>
      </c>
      <c r="C104" s="254">
        <f t="shared" si="20"/>
        <v>1413.1902480939689</v>
      </c>
      <c r="D104" s="254"/>
      <c r="E104" s="268">
        <v>0.05</v>
      </c>
      <c r="F104" s="254">
        <f t="shared" si="21"/>
        <v>0</v>
      </c>
      <c r="G104" s="269">
        <f t="shared" si="22"/>
        <v>1413.1902480939689</v>
      </c>
      <c r="I104" s="241">
        <f t="shared" si="23"/>
        <v>13</v>
      </c>
      <c r="J104" s="254">
        <f t="shared" si="24"/>
        <v>285.94104308390024</v>
      </c>
      <c r="K104" s="254"/>
      <c r="L104" s="268">
        <v>0.05</v>
      </c>
      <c r="M104" s="254">
        <f t="shared" si="26"/>
        <v>0</v>
      </c>
      <c r="N104" s="269">
        <f t="shared" si="25"/>
        <v>285.94104308390024</v>
      </c>
    </row>
    <row r="105" spans="2:14">
      <c r="B105" s="241">
        <f t="shared" si="19"/>
        <v>14</v>
      </c>
      <c r="C105" s="254">
        <f t="shared" si="20"/>
        <v>1413.1902480939689</v>
      </c>
      <c r="D105" s="254"/>
      <c r="E105" s="268">
        <v>0.05</v>
      </c>
      <c r="F105" s="254">
        <f t="shared" si="21"/>
        <v>0</v>
      </c>
      <c r="G105" s="269">
        <f t="shared" si="22"/>
        <v>1413.1902480939689</v>
      </c>
      <c r="I105" s="241">
        <f t="shared" si="23"/>
        <v>14</v>
      </c>
      <c r="J105" s="254">
        <f t="shared" si="24"/>
        <v>285.94104308390024</v>
      </c>
      <c r="K105" s="254"/>
      <c r="L105" s="268">
        <v>0.05</v>
      </c>
      <c r="M105" s="254">
        <f t="shared" si="26"/>
        <v>0</v>
      </c>
      <c r="N105" s="269">
        <f t="shared" si="25"/>
        <v>285.94104308390024</v>
      </c>
    </row>
    <row r="106" spans="2:14">
      <c r="B106" s="241">
        <f t="shared" si="19"/>
        <v>15</v>
      </c>
      <c r="C106" s="254">
        <f t="shared" si="20"/>
        <v>1413.1902480939689</v>
      </c>
      <c r="D106" s="254"/>
      <c r="E106" s="268">
        <v>0.05</v>
      </c>
      <c r="F106" s="254">
        <f t="shared" si="21"/>
        <v>0</v>
      </c>
      <c r="G106" s="269">
        <f t="shared" si="22"/>
        <v>1413.1902480939689</v>
      </c>
      <c r="I106" s="241">
        <f t="shared" si="23"/>
        <v>15</v>
      </c>
      <c r="J106" s="254">
        <f t="shared" si="24"/>
        <v>285.94104308390024</v>
      </c>
      <c r="K106" s="254"/>
      <c r="L106" s="268">
        <v>0.05</v>
      </c>
      <c r="M106" s="254">
        <f t="shared" si="26"/>
        <v>0</v>
      </c>
      <c r="N106" s="269">
        <f t="shared" si="25"/>
        <v>285.94104308390024</v>
      </c>
    </row>
    <row r="107" spans="2:14">
      <c r="B107" s="241">
        <f t="shared" si="19"/>
        <v>16</v>
      </c>
      <c r="C107" s="254">
        <f t="shared" si="20"/>
        <v>1413.1902480939689</v>
      </c>
      <c r="D107" s="254"/>
      <c r="E107" s="268">
        <v>0.05</v>
      </c>
      <c r="F107" s="254">
        <f t="shared" si="21"/>
        <v>0</v>
      </c>
      <c r="G107" s="269">
        <f t="shared" si="22"/>
        <v>1413.1902480939689</v>
      </c>
      <c r="I107" s="241">
        <f t="shared" si="23"/>
        <v>16</v>
      </c>
      <c r="J107" s="254">
        <f t="shared" si="24"/>
        <v>285.94104308390024</v>
      </c>
      <c r="K107" s="254"/>
      <c r="L107" s="268">
        <v>0.05</v>
      </c>
      <c r="M107" s="254">
        <f t="shared" si="26"/>
        <v>0</v>
      </c>
      <c r="N107" s="269">
        <f t="shared" si="25"/>
        <v>285.94104308390024</v>
      </c>
    </row>
    <row r="108" spans="2:14">
      <c r="B108" s="241">
        <f t="shared" si="19"/>
        <v>17</v>
      </c>
      <c r="C108" s="254">
        <f t="shared" si="20"/>
        <v>1413.1902480939689</v>
      </c>
      <c r="D108" s="254"/>
      <c r="E108" s="268">
        <v>0.05</v>
      </c>
      <c r="F108" s="254">
        <f t="shared" si="21"/>
        <v>0</v>
      </c>
      <c r="G108" s="269">
        <f t="shared" si="22"/>
        <v>1413.1902480939689</v>
      </c>
      <c r="I108" s="241">
        <f t="shared" si="23"/>
        <v>17</v>
      </c>
      <c r="J108" s="254">
        <f t="shared" si="24"/>
        <v>285.94104308390024</v>
      </c>
      <c r="K108" s="254"/>
      <c r="L108" s="268">
        <v>0.05</v>
      </c>
      <c r="M108" s="254">
        <f t="shared" si="26"/>
        <v>0</v>
      </c>
      <c r="N108" s="269">
        <f t="shared" si="25"/>
        <v>285.94104308390024</v>
      </c>
    </row>
    <row r="109" spans="2:14">
      <c r="B109" s="241">
        <f t="shared" si="19"/>
        <v>18</v>
      </c>
      <c r="C109" s="254">
        <f t="shared" si="20"/>
        <v>1413.1902480939689</v>
      </c>
      <c r="D109" s="254"/>
      <c r="E109" s="268">
        <v>0.05</v>
      </c>
      <c r="F109" s="254">
        <f t="shared" si="21"/>
        <v>0</v>
      </c>
      <c r="G109" s="269">
        <f t="shared" si="22"/>
        <v>1413.1902480939689</v>
      </c>
      <c r="I109" s="241">
        <f t="shared" si="23"/>
        <v>18</v>
      </c>
      <c r="J109" s="254">
        <f t="shared" si="24"/>
        <v>285.94104308390024</v>
      </c>
      <c r="K109" s="254"/>
      <c r="L109" s="268">
        <v>0.05</v>
      </c>
      <c r="M109" s="254">
        <f t="shared" si="26"/>
        <v>0</v>
      </c>
      <c r="N109" s="269">
        <f t="shared" si="25"/>
        <v>285.94104308390024</v>
      </c>
    </row>
    <row r="110" spans="2:14">
      <c r="B110" s="241">
        <f t="shared" si="19"/>
        <v>19</v>
      </c>
      <c r="C110" s="254">
        <f t="shared" si="20"/>
        <v>1413.1902480939689</v>
      </c>
      <c r="D110" s="254"/>
      <c r="E110" s="268">
        <v>0.05</v>
      </c>
      <c r="F110" s="254">
        <f t="shared" si="21"/>
        <v>0</v>
      </c>
      <c r="G110" s="269">
        <f t="shared" si="22"/>
        <v>1413.1902480939689</v>
      </c>
      <c r="I110" s="241">
        <f t="shared" si="23"/>
        <v>19</v>
      </c>
      <c r="J110" s="254">
        <f t="shared" si="24"/>
        <v>285.94104308390024</v>
      </c>
      <c r="K110" s="254"/>
      <c r="L110" s="268">
        <v>0.05</v>
      </c>
      <c r="M110" s="254">
        <f t="shared" si="26"/>
        <v>0</v>
      </c>
      <c r="N110" s="269">
        <f t="shared" si="25"/>
        <v>285.94104308390024</v>
      </c>
    </row>
    <row r="111" spans="2:14">
      <c r="B111" s="241">
        <f t="shared" si="19"/>
        <v>20</v>
      </c>
      <c r="C111" s="254">
        <f t="shared" si="20"/>
        <v>1413.1902480939689</v>
      </c>
      <c r="D111" s="254"/>
      <c r="E111" s="268">
        <v>0.05</v>
      </c>
      <c r="F111" s="254">
        <f t="shared" si="21"/>
        <v>0</v>
      </c>
      <c r="G111" s="269">
        <f t="shared" si="22"/>
        <v>1413.1902480939689</v>
      </c>
      <c r="I111" s="241">
        <f t="shared" si="23"/>
        <v>20</v>
      </c>
      <c r="J111" s="254">
        <f t="shared" si="24"/>
        <v>285.94104308390024</v>
      </c>
      <c r="K111" s="254"/>
      <c r="L111" s="268">
        <v>0.05</v>
      </c>
      <c r="M111" s="254">
        <f t="shared" si="26"/>
        <v>0</v>
      </c>
      <c r="N111" s="269">
        <f t="shared" si="25"/>
        <v>285.94104308390024</v>
      </c>
    </row>
    <row r="112" spans="2:14">
      <c r="B112" s="241">
        <f t="shared" si="19"/>
        <v>21</v>
      </c>
      <c r="C112" s="254">
        <f t="shared" si="20"/>
        <v>1413.1902480939689</v>
      </c>
      <c r="D112" s="254"/>
      <c r="E112" s="268">
        <v>0.05</v>
      </c>
      <c r="F112" s="254">
        <f t="shared" si="21"/>
        <v>0</v>
      </c>
      <c r="G112" s="269">
        <f t="shared" si="22"/>
        <v>1413.1902480939689</v>
      </c>
      <c r="I112" s="241">
        <f t="shared" si="23"/>
        <v>21</v>
      </c>
      <c r="J112" s="254">
        <f t="shared" si="24"/>
        <v>285.94104308390024</v>
      </c>
      <c r="K112" s="254"/>
      <c r="L112" s="268">
        <v>0.05</v>
      </c>
      <c r="M112" s="254">
        <f t="shared" si="26"/>
        <v>0</v>
      </c>
      <c r="N112" s="269">
        <f t="shared" si="25"/>
        <v>285.94104308390024</v>
      </c>
    </row>
    <row r="113" spans="2:14">
      <c r="B113" s="241">
        <f t="shared" si="19"/>
        <v>22</v>
      </c>
      <c r="C113" s="254">
        <f t="shared" si="20"/>
        <v>1413.1902480939689</v>
      </c>
      <c r="D113" s="254"/>
      <c r="E113" s="268">
        <v>0.05</v>
      </c>
      <c r="F113" s="254">
        <f t="shared" si="21"/>
        <v>0</v>
      </c>
      <c r="G113" s="269">
        <f t="shared" si="22"/>
        <v>1413.1902480939689</v>
      </c>
      <c r="I113" s="241">
        <f t="shared" si="23"/>
        <v>22</v>
      </c>
      <c r="J113" s="254">
        <f t="shared" si="24"/>
        <v>285.94104308390024</v>
      </c>
      <c r="K113" s="254"/>
      <c r="L113" s="268">
        <v>0.05</v>
      </c>
      <c r="M113" s="254">
        <f t="shared" si="26"/>
        <v>0</v>
      </c>
      <c r="N113" s="269">
        <f t="shared" si="25"/>
        <v>285.94104308390024</v>
      </c>
    </row>
    <row r="114" spans="2:14">
      <c r="B114" s="241">
        <f t="shared" si="19"/>
        <v>23</v>
      </c>
      <c r="C114" s="254">
        <f t="shared" si="20"/>
        <v>1413.1902480939689</v>
      </c>
      <c r="D114" s="254"/>
      <c r="E114" s="268">
        <v>0.05</v>
      </c>
      <c r="F114" s="254">
        <f t="shared" si="21"/>
        <v>0</v>
      </c>
      <c r="G114" s="269">
        <f t="shared" si="22"/>
        <v>1413.1902480939689</v>
      </c>
      <c r="I114" s="241">
        <f t="shared" si="23"/>
        <v>23</v>
      </c>
      <c r="J114" s="254">
        <f t="shared" si="24"/>
        <v>285.94104308390024</v>
      </c>
      <c r="K114" s="254"/>
      <c r="L114" s="268">
        <v>0.05</v>
      </c>
      <c r="M114" s="254">
        <f t="shared" si="26"/>
        <v>0</v>
      </c>
      <c r="N114" s="269">
        <f t="shared" si="25"/>
        <v>285.94104308390024</v>
      </c>
    </row>
    <row r="115" spans="2:14">
      <c r="B115" s="241">
        <f t="shared" si="19"/>
        <v>24</v>
      </c>
      <c r="C115" s="254">
        <f t="shared" si="20"/>
        <v>1413.1902480939689</v>
      </c>
      <c r="D115" s="254"/>
      <c r="E115" s="268">
        <v>0.05</v>
      </c>
      <c r="F115" s="254">
        <f t="shared" si="21"/>
        <v>0</v>
      </c>
      <c r="G115" s="269">
        <f t="shared" si="22"/>
        <v>1413.1902480939689</v>
      </c>
      <c r="I115" s="241">
        <f t="shared" si="23"/>
        <v>24</v>
      </c>
      <c r="J115" s="254">
        <f t="shared" si="24"/>
        <v>285.94104308390024</v>
      </c>
      <c r="K115" s="254"/>
      <c r="L115" s="268">
        <v>0.05</v>
      </c>
      <c r="M115" s="254">
        <f t="shared" si="26"/>
        <v>0</v>
      </c>
      <c r="N115" s="269">
        <f t="shared" si="25"/>
        <v>285.94104308390024</v>
      </c>
    </row>
    <row r="116" spans="2:14">
      <c r="B116" s="241">
        <f t="shared" si="19"/>
        <v>25</v>
      </c>
      <c r="C116" s="254">
        <f t="shared" si="20"/>
        <v>1413.1902480939689</v>
      </c>
      <c r="D116" s="254"/>
      <c r="E116" s="268">
        <v>0.05</v>
      </c>
      <c r="F116" s="254">
        <f t="shared" si="21"/>
        <v>0</v>
      </c>
      <c r="G116" s="269">
        <f t="shared" si="22"/>
        <v>1413.1902480939689</v>
      </c>
      <c r="I116" s="241">
        <f t="shared" si="23"/>
        <v>25</v>
      </c>
      <c r="J116" s="254">
        <f t="shared" si="24"/>
        <v>285.94104308390024</v>
      </c>
      <c r="K116" s="254"/>
      <c r="L116" s="268">
        <v>0.05</v>
      </c>
      <c r="M116" s="254">
        <f t="shared" si="26"/>
        <v>0</v>
      </c>
      <c r="N116" s="269">
        <f t="shared" si="25"/>
        <v>285.94104308390024</v>
      </c>
    </row>
    <row r="117" spans="2:14">
      <c r="B117" s="241">
        <f t="shared" si="19"/>
        <v>26</v>
      </c>
      <c r="C117" s="254">
        <f t="shared" si="20"/>
        <v>1413.1902480939689</v>
      </c>
      <c r="D117" s="254"/>
      <c r="E117" s="268">
        <v>0.05</v>
      </c>
      <c r="F117" s="254">
        <f t="shared" si="21"/>
        <v>0</v>
      </c>
      <c r="G117" s="269">
        <f t="shared" si="22"/>
        <v>1413.1902480939689</v>
      </c>
      <c r="I117" s="241">
        <f t="shared" si="23"/>
        <v>26</v>
      </c>
      <c r="J117" s="254">
        <f t="shared" si="24"/>
        <v>285.94104308390024</v>
      </c>
      <c r="K117" s="254"/>
      <c r="L117" s="268">
        <v>0.05</v>
      </c>
      <c r="M117" s="254">
        <f t="shared" si="26"/>
        <v>0</v>
      </c>
      <c r="N117" s="269">
        <f t="shared" si="25"/>
        <v>285.94104308390024</v>
      </c>
    </row>
    <row r="118" spans="2:14">
      <c r="B118" s="241">
        <f t="shared" si="19"/>
        <v>27</v>
      </c>
      <c r="C118" s="254">
        <f t="shared" si="20"/>
        <v>1413.1902480939689</v>
      </c>
      <c r="D118" s="254"/>
      <c r="E118" s="268">
        <v>0.05</v>
      </c>
      <c r="F118" s="254">
        <f t="shared" si="21"/>
        <v>0</v>
      </c>
      <c r="G118" s="269">
        <f t="shared" si="22"/>
        <v>1413.1902480939689</v>
      </c>
      <c r="I118" s="241">
        <f t="shared" si="23"/>
        <v>27</v>
      </c>
      <c r="J118" s="254">
        <f t="shared" si="24"/>
        <v>285.94104308390024</v>
      </c>
      <c r="K118" s="254"/>
      <c r="L118" s="268">
        <v>0.05</v>
      </c>
      <c r="M118" s="254">
        <f t="shared" si="26"/>
        <v>0</v>
      </c>
      <c r="N118" s="269">
        <f t="shared" si="25"/>
        <v>285.94104308390024</v>
      </c>
    </row>
    <row r="119" spans="2:14">
      <c r="B119" s="241">
        <f t="shared" si="19"/>
        <v>28</v>
      </c>
      <c r="C119" s="254">
        <f t="shared" si="20"/>
        <v>1413.1902480939689</v>
      </c>
      <c r="D119" s="254"/>
      <c r="E119" s="268">
        <v>0.05</v>
      </c>
      <c r="F119" s="254">
        <f t="shared" si="21"/>
        <v>0</v>
      </c>
      <c r="G119" s="269">
        <f t="shared" si="22"/>
        <v>1413.1902480939689</v>
      </c>
      <c r="I119" s="241">
        <f t="shared" si="23"/>
        <v>28</v>
      </c>
      <c r="J119" s="254">
        <f t="shared" si="24"/>
        <v>285.94104308390024</v>
      </c>
      <c r="K119" s="254"/>
      <c r="L119" s="268">
        <v>0.05</v>
      </c>
      <c r="M119" s="254">
        <f t="shared" si="26"/>
        <v>0</v>
      </c>
      <c r="N119" s="269">
        <f t="shared" si="25"/>
        <v>285.94104308390024</v>
      </c>
    </row>
    <row r="120" spans="2:14">
      <c r="B120" s="241">
        <f t="shared" si="19"/>
        <v>29</v>
      </c>
      <c r="C120" s="254">
        <f t="shared" si="20"/>
        <v>1413.1902480939689</v>
      </c>
      <c r="D120" s="254"/>
      <c r="E120" s="268">
        <v>0.05</v>
      </c>
      <c r="F120" s="254">
        <f t="shared" si="21"/>
        <v>0</v>
      </c>
      <c r="G120" s="269">
        <f t="shared" si="22"/>
        <v>1413.1902480939689</v>
      </c>
      <c r="I120" s="241">
        <f t="shared" si="23"/>
        <v>29</v>
      </c>
      <c r="J120" s="254">
        <f t="shared" si="24"/>
        <v>285.94104308390024</v>
      </c>
      <c r="K120" s="254"/>
      <c r="L120" s="268">
        <v>0.05</v>
      </c>
      <c r="M120" s="254">
        <f t="shared" si="26"/>
        <v>0</v>
      </c>
      <c r="N120" s="269">
        <f t="shared" si="25"/>
        <v>285.94104308390024</v>
      </c>
    </row>
    <row r="121" spans="2:14">
      <c r="B121" s="241">
        <f t="shared" si="19"/>
        <v>30</v>
      </c>
      <c r="C121" s="254">
        <f t="shared" si="20"/>
        <v>1413.1902480939689</v>
      </c>
      <c r="D121" s="254"/>
      <c r="E121" s="268">
        <v>0.05</v>
      </c>
      <c r="F121" s="254">
        <f t="shared" si="21"/>
        <v>0</v>
      </c>
      <c r="G121" s="269">
        <f t="shared" si="22"/>
        <v>1413.1902480939689</v>
      </c>
      <c r="I121" s="241">
        <f t="shared" si="23"/>
        <v>30</v>
      </c>
      <c r="J121" s="254">
        <f t="shared" si="24"/>
        <v>285.94104308390024</v>
      </c>
      <c r="K121" s="254"/>
      <c r="L121" s="268">
        <v>0.05</v>
      </c>
      <c r="M121" s="254">
        <f t="shared" si="26"/>
        <v>0</v>
      </c>
      <c r="N121" s="269">
        <f t="shared" si="25"/>
        <v>285.94104308390024</v>
      </c>
    </row>
    <row r="122" spans="2:14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>
      <c r="B124" s="299" t="s">
        <v>508</v>
      </c>
      <c r="C124" s="300"/>
      <c r="D124" s="258">
        <f>SUM(D91:D123)</f>
        <v>1900</v>
      </c>
      <c r="E124" s="256"/>
      <c r="F124" s="256"/>
      <c r="G124" s="270">
        <f>G121</f>
        <v>1413.1902480939689</v>
      </c>
      <c r="I124" s="299" t="s">
        <v>508</v>
      </c>
      <c r="J124" s="300"/>
      <c r="K124" s="258">
        <f>SUM(K91:K123)</f>
        <v>300</v>
      </c>
      <c r="L124" s="256"/>
      <c r="M124" s="256"/>
      <c r="N124" s="270">
        <f>N121</f>
        <v>285.94104308390024</v>
      </c>
    </row>
    <row r="125" spans="2:14" ht="15.75" thickBot="1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1"/>
  <sheetViews>
    <sheetView tabSelected="1" zoomScale="80" zoomScaleNormal="80" workbookViewId="0">
      <pane xSplit="2" ySplit="3" topLeftCell="M51" activePane="bottomRight" state="frozen"/>
      <selection pane="topRight" activeCell="C1" sqref="C1"/>
      <selection pane="bottomLeft" activeCell="A5" sqref="A5"/>
      <selection pane="bottomRight" activeCell="R86" sqref="R8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0">
        <v>0.05</v>
      </c>
      <c r="Q1" s="89" t="s">
        <v>343</v>
      </c>
      <c r="S1" s="140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0">
        <v>0.08</v>
      </c>
      <c r="Q2" s="89" t="s">
        <v>409</v>
      </c>
      <c r="S2" s="140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241</v>
      </c>
      <c r="AJ2" s="306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4" t="s">
        <v>1</v>
      </c>
      <c r="AI3" s="307" t="s">
        <v>242</v>
      </c>
      <c r="AJ3" s="308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274" t="s">
        <v>514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>
        <v>-10</v>
      </c>
      <c r="G6" s="125">
        <v>-6</v>
      </c>
      <c r="H6" s="125">
        <v>-4</v>
      </c>
      <c r="I6" s="125">
        <v>-2</v>
      </c>
      <c r="J6" s="125">
        <v>2</v>
      </c>
      <c r="K6" s="125">
        <v>6</v>
      </c>
      <c r="L6" s="125">
        <v>14</v>
      </c>
      <c r="M6" s="125">
        <v>29</v>
      </c>
      <c r="N6" s="125">
        <v>70</v>
      </c>
      <c r="O6" s="125">
        <v>160</v>
      </c>
      <c r="P6" s="125">
        <v>264</v>
      </c>
      <c r="Q6" s="125">
        <v>408</v>
      </c>
      <c r="R6" s="125">
        <v>624</v>
      </c>
      <c r="S6" s="181">
        <v>829</v>
      </c>
      <c r="T6" s="181">
        <v>1093</v>
      </c>
      <c r="U6" s="181">
        <v>1232</v>
      </c>
      <c r="V6" s="101" t="e">
        <f>((U6/G6)^(1/($K$2-$K$1) ))-1</f>
        <v>#NUM!</v>
      </c>
      <c r="W6" s="21">
        <f>$O$2</f>
        <v>0.08</v>
      </c>
      <c r="X6" s="131">
        <f>U6*(1+$W6)</f>
        <v>1330.5600000000002</v>
      </c>
      <c r="Y6" s="131">
        <f>X6*(1+$W6)</f>
        <v>1437.0048000000004</v>
      </c>
      <c r="Z6" s="131">
        <f t="shared" ref="Z6:AG6" si="0">Y6*(1+$W6)</f>
        <v>1551.9651840000006</v>
      </c>
      <c r="AA6" s="131">
        <f t="shared" si="0"/>
        <v>1676.1223987200008</v>
      </c>
      <c r="AB6" s="131">
        <f t="shared" si="0"/>
        <v>1810.212190617601</v>
      </c>
      <c r="AC6" s="131">
        <f t="shared" si="0"/>
        <v>1955.0291658670092</v>
      </c>
      <c r="AD6" s="131">
        <f t="shared" si="0"/>
        <v>2111.4314991363699</v>
      </c>
      <c r="AE6" s="131">
        <f t="shared" si="0"/>
        <v>2280.3460190672795</v>
      </c>
      <c r="AF6" s="131">
        <f t="shared" si="0"/>
        <v>2462.773700592662</v>
      </c>
      <c r="AG6" s="131">
        <f t="shared" si="0"/>
        <v>2659.795596640075</v>
      </c>
      <c r="AH6" s="116">
        <f>((AG6/J6)^(1/($AG$3-$K$1) ))-1</f>
        <v>0.34945713670749923</v>
      </c>
      <c r="AI6" s="21">
        <f>$O$1</f>
        <v>0.05</v>
      </c>
      <c r="AJ6" s="124">
        <f t="shared" ref="AJ6:AJ59" si="1">(AG6*(1+AI6))/($C$1-AI6)</f>
        <v>16428.149273365172</v>
      </c>
    </row>
    <row r="7" spans="2:36">
      <c r="B7" s="10" t="s">
        <v>198</v>
      </c>
      <c r="C7" s="119"/>
      <c r="D7" s="119"/>
      <c r="E7" s="125"/>
      <c r="F7" s="125">
        <v>9</v>
      </c>
      <c r="G7" s="125">
        <v>12</v>
      </c>
      <c r="H7" s="125">
        <v>14</v>
      </c>
      <c r="I7" s="125">
        <v>16</v>
      </c>
      <c r="J7" s="125">
        <v>20</v>
      </c>
      <c r="K7" s="125">
        <v>25</v>
      </c>
      <c r="L7" s="125">
        <v>32</v>
      </c>
      <c r="M7" s="125">
        <v>48</v>
      </c>
      <c r="N7" s="125">
        <v>91</v>
      </c>
      <c r="O7" s="125">
        <v>181</v>
      </c>
      <c r="P7" s="125">
        <v>284</v>
      </c>
      <c r="Q7" s="125">
        <v>428</v>
      </c>
      <c r="R7" s="125">
        <v>665</v>
      </c>
      <c r="S7" s="181">
        <v>864</v>
      </c>
      <c r="T7" s="181">
        <v>1117</v>
      </c>
      <c r="U7" s="181">
        <v>1256</v>
      </c>
      <c r="V7" s="101">
        <f t="shared" ref="V7:V72" si="2">((U7/G7)^(1/($K$2-$K$1) ))-1</f>
        <v>0.39402970491347911</v>
      </c>
      <c r="W7" s="21">
        <f>$O$2</f>
        <v>0.08</v>
      </c>
      <c r="X7" s="131">
        <f>U7*(1+$W7)</f>
        <v>1356.48</v>
      </c>
      <c r="Y7" s="131">
        <f t="shared" ref="Y7:AG7" si="3">X7*(1+$W7)</f>
        <v>1464.9984000000002</v>
      </c>
      <c r="Z7" s="131">
        <f t="shared" si="3"/>
        <v>1582.1982720000003</v>
      </c>
      <c r="AA7" s="131">
        <f t="shared" si="3"/>
        <v>1708.7741337600005</v>
      </c>
      <c r="AB7" s="131">
        <f t="shared" si="3"/>
        <v>1845.4760644608007</v>
      </c>
      <c r="AC7" s="131">
        <f t="shared" si="3"/>
        <v>1993.1141496176649</v>
      </c>
      <c r="AD7" s="131">
        <f t="shared" si="3"/>
        <v>2152.5632815870781</v>
      </c>
      <c r="AE7" s="131">
        <f t="shared" si="3"/>
        <v>2324.7683441140443</v>
      </c>
      <c r="AF7" s="131">
        <f t="shared" si="3"/>
        <v>2510.749811643168</v>
      </c>
      <c r="AG7" s="131">
        <f t="shared" si="3"/>
        <v>2711.6097965746217</v>
      </c>
      <c r="AH7" s="116">
        <f>((AG7/J7)^(1/($AG$3-$K$1) ))-1</f>
        <v>0.22699148809252989</v>
      </c>
      <c r="AI7" s="21">
        <f>$O$1</f>
        <v>0.05</v>
      </c>
      <c r="AJ7" s="124">
        <f t="shared" si="1"/>
        <v>16748.178155313843</v>
      </c>
    </row>
    <row r="8" spans="2:36">
      <c r="B8" s="10"/>
      <c r="C8" s="119"/>
      <c r="D8" s="119"/>
      <c r="E8" s="125"/>
      <c r="F8" s="271"/>
      <c r="G8" s="271">
        <f>(G7-F7)/G7</f>
        <v>0.25</v>
      </c>
      <c r="H8" s="128">
        <f>(H7-G7)/H7</f>
        <v>0.14285714285714285</v>
      </c>
      <c r="I8" s="128">
        <f t="shared" ref="I8:P8" si="4">(I7-H7)/I7</f>
        <v>0.125</v>
      </c>
      <c r="J8" s="128">
        <f t="shared" si="4"/>
        <v>0.2</v>
      </c>
      <c r="K8" s="128">
        <f t="shared" si="4"/>
        <v>0.2</v>
      </c>
      <c r="L8" s="128">
        <f t="shared" si="4"/>
        <v>0.21875</v>
      </c>
      <c r="M8" s="128">
        <f t="shared" si="4"/>
        <v>0.33333333333333331</v>
      </c>
      <c r="N8" s="128">
        <f t="shared" si="4"/>
        <v>0.47252747252747251</v>
      </c>
      <c r="O8" s="128">
        <f t="shared" si="4"/>
        <v>0.49723756906077349</v>
      </c>
      <c r="P8" s="128">
        <f t="shared" si="4"/>
        <v>0.36267605633802819</v>
      </c>
      <c r="Q8" s="128">
        <f t="shared" ref="Q8:R8" si="5">(Q7-P7)/Q7</f>
        <v>0.3364485981308411</v>
      </c>
      <c r="R8" s="128">
        <f t="shared" si="5"/>
        <v>0.35639097744360904</v>
      </c>
      <c r="S8" s="128">
        <f t="shared" ref="S8:U8" si="6">(S7-R7)/R7</f>
        <v>0.29924812030075187</v>
      </c>
      <c r="T8" s="128">
        <f t="shared" si="6"/>
        <v>0.29282407407407407</v>
      </c>
      <c r="U8" s="128">
        <f t="shared" si="6"/>
        <v>0.12444046553267682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>
        <v>0.61</v>
      </c>
      <c r="G9" s="125">
        <v>3.67</v>
      </c>
      <c r="H9" s="125">
        <v>5.25</v>
      </c>
      <c r="I9" s="125">
        <v>13</v>
      </c>
      <c r="J9" s="125">
        <v>32</v>
      </c>
      <c r="K9" s="125">
        <v>65</v>
      </c>
      <c r="L9" s="125">
        <v>93</v>
      </c>
      <c r="M9" s="125">
        <v>62</v>
      </c>
      <c r="N9" s="125">
        <v>49</v>
      </c>
      <c r="O9" s="125">
        <v>46</v>
      </c>
      <c r="P9" s="125">
        <v>119</v>
      </c>
      <c r="Q9" s="125">
        <v>213</v>
      </c>
      <c r="R9" s="125">
        <v>92</v>
      </c>
      <c r="S9" s="181">
        <v>166</v>
      </c>
      <c r="T9" s="181">
        <v>316</v>
      </c>
      <c r="U9" s="181">
        <v>316</v>
      </c>
      <c r="V9" s="101">
        <f t="shared" si="2"/>
        <v>0.37472486212474077</v>
      </c>
      <c r="W9" s="21">
        <f t="shared" ref="W9:W55" si="7">$O$2</f>
        <v>0.08</v>
      </c>
      <c r="X9" s="131">
        <f t="shared" ref="X9:X59" si="8">U9*(1+$W9)</f>
        <v>341.28000000000003</v>
      </c>
      <c r="Y9" s="131">
        <f t="shared" ref="Y9" si="9">X9*(1+$W9)</f>
        <v>368.58240000000006</v>
      </c>
      <c r="Z9" s="131">
        <f t="shared" ref="Z9" si="10">Y9*(1+$W9)</f>
        <v>398.06899200000009</v>
      </c>
      <c r="AA9" s="131">
        <f t="shared" ref="AA9" si="11">Z9*(1+$W9)</f>
        <v>429.91451136000012</v>
      </c>
      <c r="AB9" s="131">
        <f t="shared" ref="AB9" si="12">AA9*(1+$W9)</f>
        <v>464.30767226880016</v>
      </c>
      <c r="AC9" s="131">
        <f t="shared" ref="AC9" si="13">AB9*(1+$W9)</f>
        <v>501.45228605030422</v>
      </c>
      <c r="AD9" s="131">
        <f t="shared" ref="AD9" si="14">AC9*(1+$W9)</f>
        <v>541.56846893432862</v>
      </c>
      <c r="AE9" s="131">
        <f t="shared" ref="AE9" si="15">AD9*(1+$W9)</f>
        <v>584.89394644907497</v>
      </c>
      <c r="AF9" s="131">
        <f t="shared" ref="AF9" si="16">AE9*(1+$W9)</f>
        <v>631.68546216500101</v>
      </c>
      <c r="AG9" s="131">
        <f t="shared" ref="AG9" si="17">AF9*(1+$W9)</f>
        <v>682.22029913820109</v>
      </c>
      <c r="AH9" s="116">
        <f>((AG9/J9)^(1/($AG$3-$K$1) ))-1</f>
        <v>0.13596672680936783</v>
      </c>
      <c r="AI9" s="21">
        <f t="shared" ref="AI9:AI101" si="18">$O$1</f>
        <v>0.05</v>
      </c>
      <c r="AJ9" s="124">
        <f t="shared" si="1"/>
        <v>4213.7136123241844</v>
      </c>
    </row>
    <row r="10" spans="2:36">
      <c r="B10" s="10" t="s">
        <v>3</v>
      </c>
      <c r="C10" s="119"/>
      <c r="D10" s="119"/>
      <c r="E10" s="125"/>
      <c r="F10" s="125">
        <v>5</v>
      </c>
      <c r="G10" s="125">
        <v>14</v>
      </c>
      <c r="H10" s="125">
        <v>10</v>
      </c>
      <c r="I10" s="125">
        <v>10</v>
      </c>
      <c r="J10" s="125">
        <v>15</v>
      </c>
      <c r="K10" s="125">
        <v>35</v>
      </c>
      <c r="L10" s="125">
        <v>91</v>
      </c>
      <c r="M10" s="125">
        <v>219</v>
      </c>
      <c r="N10" s="125">
        <v>402</v>
      </c>
      <c r="O10" s="125">
        <v>652</v>
      </c>
      <c r="P10" s="125">
        <v>944</v>
      </c>
      <c r="Q10" s="125">
        <v>1077</v>
      </c>
      <c r="R10" s="125">
        <v>1236</v>
      </c>
      <c r="S10" s="181">
        <v>1470</v>
      </c>
      <c r="T10" s="181">
        <v>1589</v>
      </c>
      <c r="U10" s="181">
        <v>1589</v>
      </c>
      <c r="V10" s="101">
        <f t="shared" si="2"/>
        <v>0.40212075709163675</v>
      </c>
      <c r="W10" s="21">
        <f t="shared" si="7"/>
        <v>0.08</v>
      </c>
      <c r="X10" s="131">
        <f t="shared" si="8"/>
        <v>1716.1200000000001</v>
      </c>
      <c r="Y10" s="131">
        <f t="shared" ref="Y10:AG10" si="19">X10*(1+$W10)</f>
        <v>1853.4096000000002</v>
      </c>
      <c r="Z10" s="131">
        <f t="shared" si="19"/>
        <v>2001.6823680000002</v>
      </c>
      <c r="AA10" s="131">
        <f t="shared" si="19"/>
        <v>2161.8169574400004</v>
      </c>
      <c r="AB10" s="131">
        <f t="shared" si="19"/>
        <v>2334.7623140352007</v>
      </c>
      <c r="AC10" s="131">
        <f t="shared" si="19"/>
        <v>2521.5432991580169</v>
      </c>
      <c r="AD10" s="131">
        <f t="shared" si="19"/>
        <v>2723.2667630906585</v>
      </c>
      <c r="AE10" s="131">
        <f t="shared" si="19"/>
        <v>2941.1281041379116</v>
      </c>
      <c r="AF10" s="131">
        <f t="shared" si="19"/>
        <v>3176.4183524689447</v>
      </c>
      <c r="AG10" s="131">
        <f t="shared" si="19"/>
        <v>3430.5318206664606</v>
      </c>
      <c r="AH10" s="116">
        <f t="shared" ref="AH10:AH57" si="20">((AG10/J10)^(1/($AG$3-$K$1) ))-1</f>
        <v>0.25401555825183997</v>
      </c>
      <c r="AI10" s="21">
        <f t="shared" si="18"/>
        <v>0.05</v>
      </c>
      <c r="AJ10" s="124">
        <f t="shared" si="1"/>
        <v>21188.57889235167</v>
      </c>
    </row>
    <row r="11" spans="2:36">
      <c r="B11" s="10"/>
      <c r="C11" s="119"/>
      <c r="D11" s="119"/>
      <c r="E11" s="125"/>
      <c r="F11" s="271"/>
      <c r="G11" s="271">
        <f>(G10-F10)/G10</f>
        <v>0.6428571428571429</v>
      </c>
      <c r="H11" s="271">
        <f t="shared" ref="H11:P11" si="21">(H10-G10)/H10</f>
        <v>-0.4</v>
      </c>
      <c r="I11" s="271">
        <f t="shared" si="21"/>
        <v>0</v>
      </c>
      <c r="J11" s="271">
        <f t="shared" si="21"/>
        <v>0.33333333333333331</v>
      </c>
      <c r="K11" s="271">
        <f t="shared" si="21"/>
        <v>0.5714285714285714</v>
      </c>
      <c r="L11" s="271">
        <f t="shared" si="21"/>
        <v>0.61538461538461542</v>
      </c>
      <c r="M11" s="271">
        <f t="shared" si="21"/>
        <v>0.58447488584474883</v>
      </c>
      <c r="N11" s="271">
        <f t="shared" si="21"/>
        <v>0.45522388059701491</v>
      </c>
      <c r="O11" s="271">
        <f t="shared" si="21"/>
        <v>0.3834355828220859</v>
      </c>
      <c r="P11" s="271">
        <f t="shared" si="21"/>
        <v>0.30932203389830509</v>
      </c>
      <c r="Q11" s="271">
        <f t="shared" ref="Q11:R11" si="22">(Q10-P10)/Q10</f>
        <v>0.12349117920148561</v>
      </c>
      <c r="R11" s="271">
        <f t="shared" si="22"/>
        <v>0.12864077669902912</v>
      </c>
      <c r="S11" s="128">
        <f t="shared" ref="S11:U11" si="23">(S10-R10)/R10</f>
        <v>0.18932038834951456</v>
      </c>
      <c r="T11" s="128">
        <f t="shared" si="23"/>
        <v>8.0952380952380956E-2</v>
      </c>
      <c r="U11" s="128">
        <f t="shared" si="23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>
        <v>0.04</v>
      </c>
      <c r="G12" s="125">
        <v>0.26</v>
      </c>
      <c r="H12" s="125">
        <v>0.21</v>
      </c>
      <c r="I12" s="125">
        <v>0.28000000000000003</v>
      </c>
      <c r="J12" s="125">
        <v>0.51</v>
      </c>
      <c r="K12" s="125">
        <v>0.75</v>
      </c>
      <c r="L12" s="125">
        <v>0.3</v>
      </c>
      <c r="M12" s="125">
        <v>0.83</v>
      </c>
      <c r="N12" s="125">
        <v>1</v>
      </c>
      <c r="O12" s="125">
        <v>13</v>
      </c>
      <c r="P12" s="125">
        <v>88</v>
      </c>
      <c r="Q12" s="125">
        <v>31</v>
      </c>
      <c r="R12" s="125">
        <v>51</v>
      </c>
      <c r="S12" s="181">
        <v>86</v>
      </c>
      <c r="T12" s="181">
        <v>113</v>
      </c>
      <c r="U12" s="181">
        <v>113</v>
      </c>
      <c r="V12" s="101">
        <f t="shared" si="2"/>
        <v>0.54324926305341381</v>
      </c>
      <c r="W12" s="21">
        <f t="shared" si="7"/>
        <v>0.08</v>
      </c>
      <c r="X12" s="131">
        <f t="shared" si="8"/>
        <v>122.04</v>
      </c>
      <c r="Y12" s="131">
        <f t="shared" ref="Y12:AG12" si="24">X12*(1+$W12)</f>
        <v>131.8032</v>
      </c>
      <c r="Z12" s="131">
        <f t="shared" si="24"/>
        <v>142.34745600000002</v>
      </c>
      <c r="AA12" s="131">
        <f t="shared" si="24"/>
        <v>153.73525248000004</v>
      </c>
      <c r="AB12" s="131">
        <f t="shared" si="24"/>
        <v>166.03407267840007</v>
      </c>
      <c r="AC12" s="131">
        <f t="shared" si="24"/>
        <v>179.31679849267209</v>
      </c>
      <c r="AD12" s="131">
        <f t="shared" si="24"/>
        <v>193.66214237208587</v>
      </c>
      <c r="AE12" s="131">
        <f t="shared" si="24"/>
        <v>209.15511376185276</v>
      </c>
      <c r="AF12" s="131">
        <f t="shared" si="24"/>
        <v>225.88752286280101</v>
      </c>
      <c r="AG12" s="131">
        <f t="shared" si="24"/>
        <v>243.95852469182509</v>
      </c>
      <c r="AH12" s="116">
        <f t="shared" si="20"/>
        <v>0.29317135477758316</v>
      </c>
      <c r="AI12" s="21">
        <f t="shared" si="18"/>
        <v>0.05</v>
      </c>
      <c r="AJ12" s="124">
        <f t="shared" si="1"/>
        <v>1506.8026525083317</v>
      </c>
    </row>
    <row r="13" spans="2:36">
      <c r="B13" s="10" t="s">
        <v>191</v>
      </c>
      <c r="C13" s="119"/>
      <c r="D13" s="119"/>
      <c r="E13" s="125"/>
      <c r="F13" s="125">
        <v>0</v>
      </c>
      <c r="G13" s="125">
        <v>0</v>
      </c>
      <c r="H13" s="125">
        <v>0</v>
      </c>
      <c r="I13" s="125">
        <v>0</v>
      </c>
      <c r="J13" s="125">
        <v>0</v>
      </c>
      <c r="K13" s="125">
        <v>0</v>
      </c>
      <c r="L13" s="125">
        <v>0</v>
      </c>
      <c r="M13" s="125">
        <v>0</v>
      </c>
      <c r="N13" s="125">
        <v>0</v>
      </c>
      <c r="O13" s="125">
        <v>0</v>
      </c>
      <c r="P13" s="125">
        <v>0</v>
      </c>
      <c r="Q13" s="125">
        <v>0</v>
      </c>
      <c r="R13" s="125">
        <v>0</v>
      </c>
      <c r="S13" s="181">
        <v>0</v>
      </c>
      <c r="T13" s="181">
        <v>0</v>
      </c>
      <c r="U13" s="181">
        <v>0</v>
      </c>
      <c r="V13" s="101" t="e">
        <f t="shared" si="2"/>
        <v>#DIV/0!</v>
      </c>
      <c r="W13" s="21">
        <f t="shared" si="7"/>
        <v>0.08</v>
      </c>
      <c r="X13" s="131">
        <f t="shared" si="8"/>
        <v>0</v>
      </c>
      <c r="Y13" s="131">
        <f t="shared" ref="Y13:AG13" si="25">X13*(1+$W13)</f>
        <v>0</v>
      </c>
      <c r="Z13" s="131">
        <f t="shared" si="25"/>
        <v>0</v>
      </c>
      <c r="AA13" s="131">
        <f t="shared" si="25"/>
        <v>0</v>
      </c>
      <c r="AB13" s="131">
        <f t="shared" si="25"/>
        <v>0</v>
      </c>
      <c r="AC13" s="131">
        <f t="shared" si="25"/>
        <v>0</v>
      </c>
      <c r="AD13" s="131">
        <f t="shared" si="25"/>
        <v>0</v>
      </c>
      <c r="AE13" s="131">
        <f t="shared" si="25"/>
        <v>0</v>
      </c>
      <c r="AF13" s="131">
        <f t="shared" si="25"/>
        <v>0</v>
      </c>
      <c r="AG13" s="131">
        <f t="shared" si="25"/>
        <v>0</v>
      </c>
      <c r="AH13" s="116" t="e">
        <f t="shared" si="20"/>
        <v>#DIV/0!</v>
      </c>
      <c r="AI13" s="21">
        <f t="shared" si="18"/>
        <v>0.05</v>
      </c>
      <c r="AJ13" s="124">
        <f t="shared" si="1"/>
        <v>0</v>
      </c>
    </row>
    <row r="14" spans="2:36">
      <c r="B14" s="10" t="s">
        <v>318</v>
      </c>
      <c r="C14" s="119"/>
      <c r="D14" s="119"/>
      <c r="E14" s="125"/>
      <c r="F14" s="125">
        <v>3</v>
      </c>
      <c r="G14" s="125">
        <v>11</v>
      </c>
      <c r="H14" s="125">
        <v>8</v>
      </c>
      <c r="I14" s="125">
        <v>11</v>
      </c>
      <c r="J14" s="125">
        <v>18</v>
      </c>
      <c r="K14" s="125">
        <v>26</v>
      </c>
      <c r="L14" s="125">
        <v>33</v>
      </c>
      <c r="M14" s="125">
        <v>49</v>
      </c>
      <c r="N14" s="125">
        <v>63</v>
      </c>
      <c r="O14" s="125">
        <v>100</v>
      </c>
      <c r="P14" s="125">
        <v>103</v>
      </c>
      <c r="Q14" s="125">
        <v>187</v>
      </c>
      <c r="R14" s="125">
        <v>291</v>
      </c>
      <c r="S14" s="181">
        <v>170</v>
      </c>
      <c r="T14" s="181">
        <v>351</v>
      </c>
      <c r="U14" s="181">
        <v>351</v>
      </c>
      <c r="V14" s="101">
        <f t="shared" si="2"/>
        <v>0.28062642611514099</v>
      </c>
      <c r="W14" s="21">
        <f t="shared" si="7"/>
        <v>0.08</v>
      </c>
      <c r="X14" s="131">
        <f t="shared" si="8"/>
        <v>379.08000000000004</v>
      </c>
      <c r="Y14" s="131">
        <f t="shared" ref="Y14" si="26">X14*(1+$W14)</f>
        <v>409.40640000000008</v>
      </c>
      <c r="Z14" s="131">
        <f t="shared" ref="Z14" si="27">Y14*(1+$W14)</f>
        <v>442.1589120000001</v>
      </c>
      <c r="AA14" s="131">
        <f t="shared" ref="AA14" si="28">Z14*(1+$W14)</f>
        <v>477.53162496000016</v>
      </c>
      <c r="AB14" s="131">
        <f t="shared" ref="AB14" si="29">AA14*(1+$W14)</f>
        <v>515.73415495680024</v>
      </c>
      <c r="AC14" s="131">
        <f t="shared" ref="AC14" si="30">AB14*(1+$W14)</f>
        <v>556.99288735334426</v>
      </c>
      <c r="AD14" s="131">
        <f t="shared" ref="AD14" si="31">AC14*(1+$W14)</f>
        <v>601.55231834161179</v>
      </c>
      <c r="AE14" s="131">
        <f t="shared" ref="AE14" si="32">AD14*(1+$W14)</f>
        <v>649.67650380894077</v>
      </c>
      <c r="AF14" s="131">
        <f t="shared" ref="AF14" si="33">AE14*(1+$W14)</f>
        <v>701.65062411365602</v>
      </c>
      <c r="AG14" s="131">
        <f t="shared" ref="AG14" si="34">AF14*(1+$W14)</f>
        <v>757.78267404274857</v>
      </c>
      <c r="AH14" s="116">
        <f t="shared" ref="AH14" si="35">((AG14/J14)^(1/($AG$3-$K$1) ))-1</f>
        <v>0.16863262628790476</v>
      </c>
      <c r="AI14" s="21">
        <f t="shared" si="18"/>
        <v>0.05</v>
      </c>
      <c r="AJ14" s="124">
        <f t="shared" ref="AJ14" si="36">(AG14*(1+AI14))/($C$1-AI14)</f>
        <v>4680.4223984993296</v>
      </c>
    </row>
    <row r="15" spans="2:36">
      <c r="B15" s="10" t="s">
        <v>11</v>
      </c>
      <c r="C15" s="119"/>
      <c r="D15" s="119"/>
      <c r="E15" s="125"/>
      <c r="F15" s="125">
        <v>3</v>
      </c>
      <c r="G15" s="125">
        <v>16</v>
      </c>
      <c r="H15" s="125">
        <v>18</v>
      </c>
      <c r="I15" s="125">
        <v>28</v>
      </c>
      <c r="J15" s="125">
        <v>42</v>
      </c>
      <c r="K15" s="125">
        <v>92</v>
      </c>
      <c r="L15" s="125">
        <v>190</v>
      </c>
      <c r="M15" s="125">
        <v>311</v>
      </c>
      <c r="N15" s="125">
        <v>479</v>
      </c>
      <c r="O15" s="125">
        <v>773</v>
      </c>
      <c r="P15" s="125">
        <v>1200</v>
      </c>
      <c r="Q15" s="125">
        <v>1550</v>
      </c>
      <c r="R15" s="125">
        <v>1667</v>
      </c>
      <c r="S15" s="181">
        <v>1912</v>
      </c>
      <c r="T15" s="181">
        <v>2043</v>
      </c>
      <c r="U15" s="181">
        <v>2043</v>
      </c>
      <c r="V15" s="101">
        <f t="shared" si="2"/>
        <v>0.41396666311457353</v>
      </c>
      <c r="W15" s="21">
        <f t="shared" si="7"/>
        <v>0.08</v>
      </c>
      <c r="X15" s="131">
        <f t="shared" si="8"/>
        <v>2206.44</v>
      </c>
      <c r="Y15" s="131">
        <f t="shared" ref="Y15:AG15" si="37">X15*(1+$W15)</f>
        <v>2382.9552000000003</v>
      </c>
      <c r="Z15" s="131">
        <f t="shared" si="37"/>
        <v>2573.5916160000006</v>
      </c>
      <c r="AA15" s="131">
        <f t="shared" si="37"/>
        <v>2779.478945280001</v>
      </c>
      <c r="AB15" s="131">
        <f t="shared" si="37"/>
        <v>3001.8372609024013</v>
      </c>
      <c r="AC15" s="131">
        <f t="shared" si="37"/>
        <v>3241.9842417745936</v>
      </c>
      <c r="AD15" s="131">
        <f t="shared" si="37"/>
        <v>3501.3429811165611</v>
      </c>
      <c r="AE15" s="131">
        <f t="shared" si="37"/>
        <v>3781.4504196058861</v>
      </c>
      <c r="AF15" s="131">
        <f t="shared" si="37"/>
        <v>4083.9664531743574</v>
      </c>
      <c r="AG15" s="131">
        <f t="shared" si="37"/>
        <v>4410.6837694283067</v>
      </c>
      <c r="AH15" s="116">
        <f t="shared" si="20"/>
        <v>0.21400094917639678</v>
      </c>
      <c r="AI15" s="21">
        <f t="shared" si="18"/>
        <v>0.05</v>
      </c>
      <c r="AJ15" s="124">
        <f t="shared" si="1"/>
        <v>27242.458575880719</v>
      </c>
    </row>
    <row r="16" spans="2:36">
      <c r="B16" s="10" t="s">
        <v>12</v>
      </c>
      <c r="C16" s="119"/>
      <c r="D16" s="119"/>
      <c r="E16" s="125"/>
      <c r="F16" s="125">
        <v>8</v>
      </c>
      <c r="G16" s="125">
        <v>17</v>
      </c>
      <c r="H16" s="125">
        <v>17</v>
      </c>
      <c r="I16" s="125">
        <v>20</v>
      </c>
      <c r="J16" s="125">
        <v>28</v>
      </c>
      <c r="K16" s="125">
        <v>51</v>
      </c>
      <c r="L16" s="125">
        <v>114</v>
      </c>
      <c r="M16" s="125">
        <v>248</v>
      </c>
      <c r="N16" s="125">
        <v>451</v>
      </c>
      <c r="O16" s="125">
        <v>79</v>
      </c>
      <c r="P16" s="125">
        <v>1146</v>
      </c>
      <c r="Q16" s="125">
        <v>1377</v>
      </c>
      <c r="R16" s="125">
        <v>1715</v>
      </c>
      <c r="S16" s="181">
        <v>2067</v>
      </c>
      <c r="T16" s="181">
        <v>2261</v>
      </c>
      <c r="U16" s="181">
        <v>2261</v>
      </c>
      <c r="V16" s="101">
        <f t="shared" si="2"/>
        <v>0.41808965433269019</v>
      </c>
      <c r="W16" s="21">
        <f t="shared" si="7"/>
        <v>0.08</v>
      </c>
      <c r="X16" s="131">
        <f t="shared" si="8"/>
        <v>2441.88</v>
      </c>
      <c r="Y16" s="131">
        <f t="shared" ref="Y16:AG16" si="38">X16*(1+$W16)</f>
        <v>2637.2304000000004</v>
      </c>
      <c r="Z16" s="131">
        <f t="shared" si="38"/>
        <v>2848.2088320000007</v>
      </c>
      <c r="AA16" s="131">
        <f t="shared" si="38"/>
        <v>3076.0655385600012</v>
      </c>
      <c r="AB16" s="131">
        <f t="shared" si="38"/>
        <v>3322.1507816448016</v>
      </c>
      <c r="AC16" s="131">
        <f t="shared" si="38"/>
        <v>3587.9228441763858</v>
      </c>
      <c r="AD16" s="131">
        <f t="shared" si="38"/>
        <v>3874.9566717104967</v>
      </c>
      <c r="AE16" s="131">
        <f t="shared" si="38"/>
        <v>4184.9532054473366</v>
      </c>
      <c r="AF16" s="131">
        <f t="shared" si="38"/>
        <v>4519.7494618831242</v>
      </c>
      <c r="AG16" s="131">
        <f t="shared" si="38"/>
        <v>4881.3294188337741</v>
      </c>
      <c r="AH16" s="116">
        <f t="shared" si="20"/>
        <v>0.23991192503201475</v>
      </c>
      <c r="AI16" s="21">
        <f t="shared" si="18"/>
        <v>0.05</v>
      </c>
      <c r="AJ16" s="124">
        <f t="shared" si="1"/>
        <v>30149.38758691449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1"/>
      <c r="T17" s="181"/>
      <c r="U17" s="181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>
        <v>5</v>
      </c>
      <c r="G18" s="125">
        <v>8</v>
      </c>
      <c r="H18" s="125">
        <v>7</v>
      </c>
      <c r="I18" s="125">
        <v>7</v>
      </c>
      <c r="J18" s="125">
        <v>7</v>
      </c>
      <c r="K18" s="125">
        <v>8</v>
      </c>
      <c r="L18" s="125">
        <v>9</v>
      </c>
      <c r="M18" s="125">
        <v>18</v>
      </c>
      <c r="N18" s="125">
        <v>42</v>
      </c>
      <c r="O18" s="125">
        <v>64</v>
      </c>
      <c r="P18" s="125">
        <v>73</v>
      </c>
      <c r="Q18" s="125">
        <v>106</v>
      </c>
      <c r="R18" s="125">
        <v>67</v>
      </c>
      <c r="S18" s="181">
        <v>72</v>
      </c>
      <c r="T18" s="181">
        <v>432</v>
      </c>
      <c r="U18" s="181">
        <v>432</v>
      </c>
      <c r="V18" s="101">
        <f t="shared" si="2"/>
        <v>0.32966553331551229</v>
      </c>
      <c r="W18" s="21">
        <f t="shared" si="7"/>
        <v>0.08</v>
      </c>
      <c r="X18" s="131">
        <f t="shared" si="8"/>
        <v>466.56000000000006</v>
      </c>
      <c r="Y18" s="131">
        <f t="shared" ref="Y18:Y34" si="39">X18*(1+$W18)</f>
        <v>503.8848000000001</v>
      </c>
      <c r="Z18" s="131">
        <f t="shared" ref="Z18:Z34" si="40">Y18*(1+$W18)</f>
        <v>544.19558400000017</v>
      </c>
      <c r="AA18" s="131">
        <f t="shared" ref="AA18:AA34" si="41">Z18*(1+$W18)</f>
        <v>587.73123072000021</v>
      </c>
      <c r="AB18" s="131">
        <f t="shared" ref="AB18:AB51" si="42">AA18*(1+$W18)</f>
        <v>634.74972917760022</v>
      </c>
      <c r="AC18" s="131">
        <f t="shared" ref="AC18:AC51" si="43">AB18*(1+$W18)</f>
        <v>685.52970751180828</v>
      </c>
      <c r="AD18" s="131">
        <f t="shared" ref="AD18:AD51" si="44">AC18*(1+$W18)</f>
        <v>740.37208411275299</v>
      </c>
      <c r="AE18" s="131">
        <f t="shared" ref="AE18:AE51" si="45">AD18*(1+$W18)</f>
        <v>799.60185084177328</v>
      </c>
      <c r="AF18" s="131">
        <f t="shared" ref="AF18:AF51" si="46">AE18*(1+$W18)</f>
        <v>863.56999890911516</v>
      </c>
      <c r="AG18" s="131">
        <f t="shared" ref="AG18:AG51" si="47">AF18*(1+$W18)</f>
        <v>932.65559882184448</v>
      </c>
      <c r="AH18" s="116">
        <f t="shared" si="20"/>
        <v>0.22610021683586434</v>
      </c>
      <c r="AI18" s="21">
        <f t="shared" si="18"/>
        <v>0.05</v>
      </c>
      <c r="AJ18" s="124">
        <f t="shared" si="1"/>
        <v>5760.5198750760992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1"/>
      <c r="T19" s="181"/>
      <c r="U19" s="181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1"/>
      <c r="T20" s="181"/>
      <c r="U20" s="181"/>
      <c r="V20" s="101" t="e">
        <f t="shared" si="2"/>
        <v>#DIV/0!</v>
      </c>
      <c r="W20" s="21">
        <f t="shared" si="7"/>
        <v>0.08</v>
      </c>
      <c r="X20" s="131">
        <f t="shared" si="8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1"/>
      <c r="T21" s="181"/>
      <c r="U21" s="181"/>
      <c r="V21" s="101" t="e">
        <f t="shared" si="2"/>
        <v>#DIV/0!</v>
      </c>
      <c r="W21" s="21">
        <f t="shared" si="7"/>
        <v>0.08</v>
      </c>
      <c r="X21" s="131">
        <f t="shared" si="8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1"/>
      <c r="T22" s="181"/>
      <c r="U22" s="181"/>
      <c r="V22" s="101" t="e">
        <f t="shared" si="2"/>
        <v>#DIV/0!</v>
      </c>
      <c r="W22" s="21">
        <f t="shared" si="7"/>
        <v>0.08</v>
      </c>
      <c r="X22" s="131">
        <f t="shared" si="8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1"/>
      <c r="T23" s="181"/>
      <c r="U23" s="181"/>
      <c r="V23" s="101" t="e">
        <f t="shared" si="2"/>
        <v>#DIV/0!</v>
      </c>
      <c r="W23" s="21">
        <f t="shared" si="7"/>
        <v>0.08</v>
      </c>
      <c r="X23" s="131">
        <f t="shared" si="8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1"/>
      <c r="T24" s="181"/>
      <c r="U24" s="181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>
        <v>4.87</v>
      </c>
      <c r="G25" s="125">
        <v>74</v>
      </c>
      <c r="H25" s="125">
        <v>68</v>
      </c>
      <c r="I25" s="125">
        <v>102</v>
      </c>
      <c r="J25" s="125">
        <v>156</v>
      </c>
      <c r="K25" s="125">
        <v>341</v>
      </c>
      <c r="L25" s="125">
        <v>589</v>
      </c>
      <c r="M25" s="125">
        <v>1068</v>
      </c>
      <c r="N25" s="125">
        <v>1622</v>
      </c>
      <c r="O25" s="125">
        <v>2452</v>
      </c>
      <c r="P25" s="125">
        <v>3930</v>
      </c>
      <c r="Q25" s="125">
        <v>5014</v>
      </c>
      <c r="R25" s="125">
        <v>5980</v>
      </c>
      <c r="S25" s="181">
        <v>6443</v>
      </c>
      <c r="T25" s="181">
        <v>6885</v>
      </c>
      <c r="U25" s="181">
        <v>7332</v>
      </c>
      <c r="V25" s="101">
        <f t="shared" si="2"/>
        <v>0.38857955609391537</v>
      </c>
      <c r="W25" s="21">
        <f t="shared" si="7"/>
        <v>0.08</v>
      </c>
      <c r="X25" s="131">
        <f t="shared" si="8"/>
        <v>7918.56</v>
      </c>
      <c r="Y25" s="131">
        <f t="shared" si="39"/>
        <v>8552.0448000000015</v>
      </c>
      <c r="Z25" s="131">
        <f t="shared" si="40"/>
        <v>9236.2083840000014</v>
      </c>
      <c r="AA25" s="131">
        <f t="shared" si="41"/>
        <v>9975.105054720003</v>
      </c>
      <c r="AB25" s="131">
        <f t="shared" si="42"/>
        <v>10773.113459097603</v>
      </c>
      <c r="AC25" s="131">
        <f t="shared" si="43"/>
        <v>11634.962535825412</v>
      </c>
      <c r="AD25" s="131">
        <f t="shared" si="44"/>
        <v>12565.759538691445</v>
      </c>
      <c r="AE25" s="131">
        <f t="shared" si="45"/>
        <v>13571.020301786763</v>
      </c>
      <c r="AF25" s="131">
        <f t="shared" si="46"/>
        <v>14656.701925929705</v>
      </c>
      <c r="AG25" s="131">
        <f t="shared" si="47"/>
        <v>15829.238080004083</v>
      </c>
      <c r="AH25" s="116">
        <f t="shared" si="20"/>
        <v>0.21226428064123959</v>
      </c>
      <c r="AI25" s="21">
        <f t="shared" si="18"/>
        <v>0.05</v>
      </c>
      <c r="AJ25" s="124">
        <f t="shared" si="1"/>
        <v>97768.823435319355</v>
      </c>
    </row>
    <row r="26" spans="2:36" s="106" customFormat="1">
      <c r="B26" s="13"/>
      <c r="C26" s="126"/>
      <c r="D26" s="126"/>
      <c r="E26" s="127"/>
      <c r="F26" s="271"/>
      <c r="G26" s="271">
        <f>(G25-F25)/G25</f>
        <v>0.93418918918918914</v>
      </c>
      <c r="H26" s="271">
        <f>(H25-G25)/H25</f>
        <v>-8.8235294117647065E-2</v>
      </c>
      <c r="I26" s="271">
        <f t="shared" ref="I26:P26" si="68">(I25-H25)/I25</f>
        <v>0.33333333333333331</v>
      </c>
      <c r="J26" s="271">
        <f t="shared" si="68"/>
        <v>0.34615384615384615</v>
      </c>
      <c r="K26" s="271">
        <f t="shared" si="68"/>
        <v>0.54252199413489732</v>
      </c>
      <c r="L26" s="271">
        <f t="shared" si="68"/>
        <v>0.42105263157894735</v>
      </c>
      <c r="M26" s="271">
        <f t="shared" si="68"/>
        <v>0.44850187265917602</v>
      </c>
      <c r="N26" s="271">
        <f t="shared" si="68"/>
        <v>0.34155363748458695</v>
      </c>
      <c r="O26" s="271">
        <f t="shared" si="68"/>
        <v>0.33849918433931486</v>
      </c>
      <c r="P26" s="271">
        <f t="shared" si="68"/>
        <v>0.37608142493638674</v>
      </c>
      <c r="Q26" s="271">
        <f t="shared" ref="Q26:R26" si="69">(Q25-P25)/Q25</f>
        <v>0.21619465496609494</v>
      </c>
      <c r="R26" s="271">
        <f t="shared" si="69"/>
        <v>0.16153846153846155</v>
      </c>
      <c r="S26" s="128">
        <f t="shared" ref="S26:U26" si="70">(S25-R25)/R25</f>
        <v>7.7424749163879605E-2</v>
      </c>
      <c r="T26" s="128">
        <f t="shared" si="70"/>
        <v>6.860158311345646E-2</v>
      </c>
      <c r="U26" s="128">
        <f t="shared" si="70"/>
        <v>6.4923747276688454E-2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>
        <v>4</v>
      </c>
      <c r="G27" s="125">
        <v>68</v>
      </c>
      <c r="H27" s="125">
        <v>62</v>
      </c>
      <c r="I27" s="125">
        <v>94</v>
      </c>
      <c r="J27" s="125">
        <v>148</v>
      </c>
      <c r="K27" s="125">
        <v>328</v>
      </c>
      <c r="L27" s="125">
        <v>562</v>
      </c>
      <c r="M27" s="125">
        <v>1016</v>
      </c>
      <c r="N27" s="125">
        <v>1521</v>
      </c>
      <c r="O27" s="125">
        <v>2286</v>
      </c>
      <c r="P27" s="125">
        <v>3707</v>
      </c>
      <c r="Q27" s="125">
        <v>4798</v>
      </c>
      <c r="R27" s="125">
        <v>5631</v>
      </c>
      <c r="S27" s="181">
        <v>5901</v>
      </c>
      <c r="T27" s="181">
        <v>6597</v>
      </c>
      <c r="U27" s="181">
        <f>7167-244-126</f>
        <v>6797</v>
      </c>
      <c r="V27" s="101">
        <f t="shared" si="2"/>
        <v>0.38945169877897268</v>
      </c>
      <c r="W27" s="21">
        <f t="shared" si="7"/>
        <v>0.08</v>
      </c>
      <c r="X27" s="131">
        <f t="shared" si="8"/>
        <v>7340.76</v>
      </c>
      <c r="Y27" s="131">
        <f t="shared" si="39"/>
        <v>7928.0208000000011</v>
      </c>
      <c r="Z27" s="131">
        <f t="shared" si="40"/>
        <v>8562.2624640000013</v>
      </c>
      <c r="AA27" s="131">
        <f t="shared" si="41"/>
        <v>9247.2434611200024</v>
      </c>
      <c r="AB27" s="131">
        <f t="shared" si="42"/>
        <v>9987.0229380096025</v>
      </c>
      <c r="AC27" s="131">
        <f t="shared" si="43"/>
        <v>10785.984773050372</v>
      </c>
      <c r="AD27" s="131">
        <f t="shared" si="44"/>
        <v>11648.863554894402</v>
      </c>
      <c r="AE27" s="131">
        <f t="shared" si="45"/>
        <v>12580.772639285955</v>
      </c>
      <c r="AF27" s="131">
        <f t="shared" si="46"/>
        <v>13587.234450428832</v>
      </c>
      <c r="AG27" s="131">
        <f t="shared" si="47"/>
        <v>14674.213206463141</v>
      </c>
      <c r="AH27" s="116">
        <f t="shared" si="20"/>
        <v>0.21109686395482274</v>
      </c>
      <c r="AI27" s="21">
        <f t="shared" si="18"/>
        <v>0.05</v>
      </c>
      <c r="AJ27" s="124">
        <f t="shared" si="1"/>
        <v>90634.846275213524</v>
      </c>
    </row>
    <row r="28" spans="2:36" s="106" customFormat="1">
      <c r="B28" s="13"/>
      <c r="C28" s="126"/>
      <c r="D28" s="126"/>
      <c r="E28" s="127"/>
      <c r="F28" s="271"/>
      <c r="G28" s="271">
        <f t="shared" ref="G28:P28" si="71">(G27-F27)/G27</f>
        <v>0.94117647058823528</v>
      </c>
      <c r="H28" s="271">
        <f t="shared" si="71"/>
        <v>-9.6774193548387094E-2</v>
      </c>
      <c r="I28" s="271">
        <f t="shared" si="71"/>
        <v>0.34042553191489361</v>
      </c>
      <c r="J28" s="271">
        <f t="shared" si="71"/>
        <v>0.36486486486486486</v>
      </c>
      <c r="K28" s="271">
        <f t="shared" si="71"/>
        <v>0.54878048780487809</v>
      </c>
      <c r="L28" s="271">
        <f t="shared" si="71"/>
        <v>0.41637010676156583</v>
      </c>
      <c r="M28" s="271">
        <f t="shared" si="71"/>
        <v>0.44685039370078738</v>
      </c>
      <c r="N28" s="271">
        <f t="shared" si="71"/>
        <v>0.33201840894148588</v>
      </c>
      <c r="O28" s="271">
        <f t="shared" si="71"/>
        <v>0.3346456692913386</v>
      </c>
      <c r="P28" s="271">
        <f t="shared" si="71"/>
        <v>0.38332883733477208</v>
      </c>
      <c r="Q28" s="271">
        <f t="shared" ref="Q28:R28" si="72">(Q27-P27)/Q27</f>
        <v>0.22738641100458523</v>
      </c>
      <c r="R28" s="271">
        <f t="shared" si="72"/>
        <v>0.14793109572012075</v>
      </c>
      <c r="S28" s="128">
        <f t="shared" ref="S28:U28" si="73">(S27-R27)/R27</f>
        <v>4.7948854555141182E-2</v>
      </c>
      <c r="T28" s="128">
        <f t="shared" si="73"/>
        <v>0.11794611082867311</v>
      </c>
      <c r="U28" s="128">
        <f t="shared" si="73"/>
        <v>3.0316810671517355E-2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>
        <v>0.16</v>
      </c>
      <c r="G29" s="125">
        <v>0.93</v>
      </c>
      <c r="H29" s="125">
        <v>1.98</v>
      </c>
      <c r="I29" s="125">
        <v>1.6</v>
      </c>
      <c r="J29" s="125">
        <v>1.91</v>
      </c>
      <c r="K29" s="125">
        <v>5</v>
      </c>
      <c r="L29" s="125">
        <v>12</v>
      </c>
      <c r="M29" s="125">
        <v>20</v>
      </c>
      <c r="N29" s="125">
        <v>37</v>
      </c>
      <c r="O29" s="125">
        <v>65</v>
      </c>
      <c r="P29" s="125">
        <v>93</v>
      </c>
      <c r="Q29" s="125">
        <v>116</v>
      </c>
      <c r="R29" s="125">
        <v>140</v>
      </c>
      <c r="S29" s="181">
        <v>157</v>
      </c>
      <c r="T29" s="181">
        <v>181</v>
      </c>
      <c r="U29" s="181">
        <v>245</v>
      </c>
      <c r="V29" s="101">
        <f t="shared" si="2"/>
        <v>0.48903853917466278</v>
      </c>
      <c r="W29" s="21">
        <f t="shared" si="7"/>
        <v>0.08</v>
      </c>
      <c r="X29" s="131">
        <f t="shared" si="8"/>
        <v>264.60000000000002</v>
      </c>
      <c r="Y29" s="131">
        <f t="shared" ref="Y29" si="74">X29*(1+$W29)</f>
        <v>285.76800000000003</v>
      </c>
      <c r="Z29" s="131">
        <f t="shared" ref="Z29" si="75">Y29*(1+$W29)</f>
        <v>308.62944000000005</v>
      </c>
      <c r="AA29" s="131">
        <f t="shared" ref="AA29" si="76">Z29*(1+$W29)</f>
        <v>333.31979520000004</v>
      </c>
      <c r="AB29" s="131">
        <f t="shared" ref="AB29" si="77">AA29*(1+$W29)</f>
        <v>359.98537881600009</v>
      </c>
      <c r="AC29" s="131">
        <f t="shared" ref="AC29" si="78">AB29*(1+$W29)</f>
        <v>388.78420912128013</v>
      </c>
      <c r="AD29" s="131">
        <f t="shared" ref="AD29" si="79">AC29*(1+$W29)</f>
        <v>419.88694585098256</v>
      </c>
      <c r="AE29" s="131">
        <f t="shared" ref="AE29" si="80">AD29*(1+$W29)</f>
        <v>453.47790151906116</v>
      </c>
      <c r="AF29" s="131">
        <f t="shared" ref="AF29" si="81">AE29*(1+$W29)</f>
        <v>489.75613364058609</v>
      </c>
      <c r="AG29" s="131">
        <f t="shared" ref="AG29" si="82">AF29*(1+$W29)</f>
        <v>528.93662433183306</v>
      </c>
      <c r="AH29" s="116">
        <f t="shared" ref="AH29" si="83">((AG29/J29)^(1/($AG$3-$K$1) ))-1</f>
        <v>0.26405342000479348</v>
      </c>
      <c r="AI29" s="21">
        <f t="shared" si="18"/>
        <v>0.05</v>
      </c>
      <c r="AJ29" s="124">
        <f t="shared" ref="AJ29" si="84">(AG29*(1+AI29))/($C$1-AI29)</f>
        <v>3266.9615032260285</v>
      </c>
    </row>
    <row r="30" spans="2:36" s="106" customFormat="1">
      <c r="B30" s="13"/>
      <c r="C30" s="126"/>
      <c r="D30" s="126"/>
      <c r="E30" s="127"/>
      <c r="F30" s="271"/>
      <c r="G30" s="271">
        <f t="shared" ref="G30:P30" si="85">(G29-F29)/G29</f>
        <v>0.82795698924731176</v>
      </c>
      <c r="H30" s="271">
        <f t="shared" si="85"/>
        <v>0.53030303030303017</v>
      </c>
      <c r="I30" s="271">
        <f t="shared" si="85"/>
        <v>-0.23749999999999993</v>
      </c>
      <c r="J30" s="271">
        <f t="shared" si="85"/>
        <v>0.16230366492146589</v>
      </c>
      <c r="K30" s="271">
        <f t="shared" si="85"/>
        <v>0.61799999999999999</v>
      </c>
      <c r="L30" s="271">
        <f t="shared" si="85"/>
        <v>0.58333333333333337</v>
      </c>
      <c r="M30" s="271">
        <f t="shared" si="85"/>
        <v>0.4</v>
      </c>
      <c r="N30" s="271">
        <f t="shared" si="85"/>
        <v>0.45945945945945948</v>
      </c>
      <c r="O30" s="271">
        <f t="shared" si="85"/>
        <v>0.43076923076923079</v>
      </c>
      <c r="P30" s="271">
        <f t="shared" si="85"/>
        <v>0.30107526881720431</v>
      </c>
      <c r="Q30" s="271">
        <f t="shared" ref="Q30:R30" si="86">(Q29-P29)/Q29</f>
        <v>0.19827586206896552</v>
      </c>
      <c r="R30" s="271">
        <f t="shared" si="86"/>
        <v>0.17142857142857143</v>
      </c>
      <c r="S30" s="128">
        <f t="shared" ref="S30:U30" si="87">(S29-R29)/R29</f>
        <v>0.12142857142857143</v>
      </c>
      <c r="T30" s="128">
        <f t="shared" si="87"/>
        <v>0.15286624203821655</v>
      </c>
      <c r="U30" s="128">
        <f t="shared" si="87"/>
        <v>0.35359116022099446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8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1">
        <v>0</v>
      </c>
      <c r="T31" s="181">
        <v>0</v>
      </c>
      <c r="U31" s="181">
        <v>0</v>
      </c>
      <c r="V31" s="101" t="e">
        <f t="shared" si="2"/>
        <v>#DIV/0!</v>
      </c>
      <c r="W31" s="21">
        <f t="shared" si="7"/>
        <v>0.08</v>
      </c>
      <c r="X31" s="131">
        <f t="shared" si="8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1"/>
      <c r="T32" s="181"/>
      <c r="U32" s="181"/>
      <c r="V32" s="101" t="e">
        <f t="shared" si="2"/>
        <v>#DIV/0!</v>
      </c>
      <c r="W32" s="21">
        <f t="shared" si="7"/>
        <v>0.08</v>
      </c>
      <c r="X32" s="131">
        <f t="shared" si="8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509</v>
      </c>
      <c r="C33" s="119"/>
      <c r="D33" s="119"/>
      <c r="E33" s="125"/>
      <c r="F33" s="125">
        <v>4</v>
      </c>
      <c r="G33" s="125">
        <v>65</v>
      </c>
      <c r="H33" s="125">
        <v>58</v>
      </c>
      <c r="I33" s="125">
        <v>90</v>
      </c>
      <c r="J33" s="125">
        <v>142</v>
      </c>
      <c r="K33" s="125">
        <v>315</v>
      </c>
      <c r="L33" s="125">
        <v>545</v>
      </c>
      <c r="M33" s="125">
        <v>995</v>
      </c>
      <c r="N33" s="125">
        <v>1485</v>
      </c>
      <c r="O33" s="125">
        <v>2236</v>
      </c>
      <c r="P33" s="125">
        <v>3621</v>
      </c>
      <c r="Q33" s="125">
        <v>4691</v>
      </c>
      <c r="R33" s="125">
        <v>5495</v>
      </c>
      <c r="S33" s="181">
        <v>5729</v>
      </c>
      <c r="T33" s="181">
        <v>6450</v>
      </c>
      <c r="U33" s="181">
        <v>6690</v>
      </c>
      <c r="V33" s="101">
        <f t="shared" si="2"/>
        <v>0.39235799051887454</v>
      </c>
      <c r="W33" s="21">
        <f t="shared" si="7"/>
        <v>0.08</v>
      </c>
      <c r="X33" s="131">
        <f t="shared" si="8"/>
        <v>7225.2000000000007</v>
      </c>
      <c r="Y33" s="131">
        <f t="shared" si="39"/>
        <v>7803.2160000000013</v>
      </c>
      <c r="Z33" s="131">
        <f t="shared" si="40"/>
        <v>8427.473280000002</v>
      </c>
      <c r="AA33" s="131">
        <f t="shared" si="41"/>
        <v>9101.6711424000023</v>
      </c>
      <c r="AB33" s="131">
        <f t="shared" si="42"/>
        <v>9829.8048337920027</v>
      </c>
      <c r="AC33" s="131">
        <f t="shared" si="43"/>
        <v>10616.189220495364</v>
      </c>
      <c r="AD33" s="131">
        <f t="shared" si="44"/>
        <v>11465.484358134994</v>
      </c>
      <c r="AE33" s="131">
        <f t="shared" si="45"/>
        <v>12382.723106785794</v>
      </c>
      <c r="AF33" s="131">
        <f t="shared" si="46"/>
        <v>13373.340955328658</v>
      </c>
      <c r="AG33" s="131">
        <f t="shared" si="47"/>
        <v>14443.208231754952</v>
      </c>
      <c r="AH33" s="116">
        <f t="shared" si="20"/>
        <v>0.21238523497986628</v>
      </c>
      <c r="AI33" s="21">
        <f t="shared" si="18"/>
        <v>0.05</v>
      </c>
      <c r="AJ33" s="124">
        <f t="shared" si="1"/>
        <v>89208.050843192366</v>
      </c>
    </row>
    <row r="34" spans="1:36">
      <c r="B34" s="10" t="s">
        <v>515</v>
      </c>
      <c r="C34" s="119"/>
      <c r="D34" s="119"/>
      <c r="E34" s="125"/>
      <c r="F34" s="125">
        <v>0.05</v>
      </c>
      <c r="G34" s="125">
        <v>7.0000000000000007E-2</v>
      </c>
      <c r="H34" s="125">
        <v>0.22</v>
      </c>
      <c r="I34" s="125">
        <v>0.26</v>
      </c>
      <c r="J34" s="125">
        <v>0.37</v>
      </c>
      <c r="K34" s="125">
        <v>0.46</v>
      </c>
      <c r="L34" s="125">
        <v>0.53</v>
      </c>
      <c r="M34" s="125">
        <v>1</v>
      </c>
      <c r="N34" s="125">
        <v>17</v>
      </c>
      <c r="O34" s="125">
        <v>33</v>
      </c>
      <c r="P34" s="125">
        <v>58</v>
      </c>
      <c r="Q34" s="125">
        <v>69</v>
      </c>
      <c r="R34" s="125">
        <v>90</v>
      </c>
      <c r="S34" s="181">
        <v>120</v>
      </c>
      <c r="T34" s="181">
        <v>72</v>
      </c>
      <c r="U34" s="181">
        <v>75</v>
      </c>
      <c r="V34" s="101">
        <f t="shared" si="2"/>
        <v>0.64598527058809774</v>
      </c>
      <c r="W34" s="21">
        <f t="shared" si="7"/>
        <v>0.08</v>
      </c>
      <c r="X34" s="131">
        <f t="shared" si="8"/>
        <v>81</v>
      </c>
      <c r="Y34" s="131">
        <f t="shared" si="39"/>
        <v>87.48</v>
      </c>
      <c r="Z34" s="131">
        <f t="shared" si="40"/>
        <v>94.478400000000008</v>
      </c>
      <c r="AA34" s="131">
        <f t="shared" si="41"/>
        <v>102.03667200000001</v>
      </c>
      <c r="AB34" s="131">
        <f t="shared" si="42"/>
        <v>110.19960576000001</v>
      </c>
      <c r="AC34" s="131">
        <f t="shared" si="43"/>
        <v>119.01557422080002</v>
      </c>
      <c r="AD34" s="131">
        <f t="shared" si="44"/>
        <v>128.53682015846402</v>
      </c>
      <c r="AE34" s="131">
        <f t="shared" si="45"/>
        <v>138.81976577114116</v>
      </c>
      <c r="AF34" s="131">
        <f t="shared" si="46"/>
        <v>149.92534703283246</v>
      </c>
      <c r="AG34" s="131">
        <f t="shared" si="47"/>
        <v>161.91937479545908</v>
      </c>
      <c r="AH34" s="116">
        <f t="shared" si="20"/>
        <v>0.28838515529337894</v>
      </c>
      <c r="AI34" s="21">
        <f t="shared" si="18"/>
        <v>0.05</v>
      </c>
      <c r="AJ34" s="124">
        <f t="shared" si="1"/>
        <v>1000.0902560896003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1" t="s">
        <v>423</v>
      </c>
      <c r="B36" s="178" t="s">
        <v>417</v>
      </c>
      <c r="C36" s="119"/>
      <c r="D36" s="119"/>
      <c r="E36" s="125"/>
      <c r="F36" s="181"/>
      <c r="G36" s="181">
        <f t="shared" ref="G36" si="91">H36</f>
        <v>0</v>
      </c>
      <c r="H36" s="181">
        <f t="shared" ref="H36:I36" si="92">I36</f>
        <v>0</v>
      </c>
      <c r="I36" s="181">
        <f t="shared" si="92"/>
        <v>0</v>
      </c>
      <c r="J36" s="181">
        <f>K36</f>
        <v>0</v>
      </c>
      <c r="K36" s="181">
        <v>0</v>
      </c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>
        <v>0</v>
      </c>
      <c r="U36" s="181">
        <v>0</v>
      </c>
      <c r="V36" s="101" t="e">
        <f t="shared" si="2"/>
        <v>#DIV/0!</v>
      </c>
      <c r="W36" s="21">
        <f t="shared" si="7"/>
        <v>0.08</v>
      </c>
      <c r="X36" s="131">
        <f t="shared" si="8"/>
        <v>0</v>
      </c>
      <c r="Y36" s="131">
        <f t="shared" ref="Y36:Y49" si="93">X36*(1+$W36)</f>
        <v>0</v>
      </c>
      <c r="Z36" s="131">
        <f t="shared" ref="Z36:Z49" si="94">Y36*(1+$W36)</f>
        <v>0</v>
      </c>
      <c r="AA36" s="131">
        <f t="shared" ref="AA36:AA49" si="95">Z36*(1+$W36)</f>
        <v>0</v>
      </c>
      <c r="AB36" s="131">
        <f t="shared" ref="AB36:AB49" si="96">AA36*(1+$W36)</f>
        <v>0</v>
      </c>
      <c r="AC36" s="131">
        <f t="shared" ref="AC36:AC49" si="97">AB36*(1+$W36)</f>
        <v>0</v>
      </c>
      <c r="AD36" s="131">
        <f t="shared" ref="AD36:AD49" si="98">AC36*(1+$W36)</f>
        <v>0</v>
      </c>
      <c r="AE36" s="131">
        <f t="shared" ref="AE36:AE49" si="99">AD36*(1+$W36)</f>
        <v>0</v>
      </c>
      <c r="AF36" s="131">
        <f t="shared" ref="AF36:AF49" si="100">AE36*(1+$W36)</f>
        <v>0</v>
      </c>
      <c r="AG36" s="131">
        <f t="shared" ref="AG36:AG49" si="101">AF36*(1+$W36)</f>
        <v>0</v>
      </c>
      <c r="AH36" s="116" t="e">
        <f t="shared" ref="AH36:AH49" si="102">((AG36/J36)^(1/($AG$3-$K$1) ))-1</f>
        <v>#DIV/0!</v>
      </c>
      <c r="AI36" s="21">
        <f t="shared" si="18"/>
        <v>0.05</v>
      </c>
      <c r="AJ36" s="124">
        <f t="shared" ref="AJ36:AJ49" si="103">(AG36*(1+AI36))/($C$1-AI36)</f>
        <v>0</v>
      </c>
    </row>
    <row r="37" spans="1:36">
      <c r="A37" s="301"/>
      <c r="B37" s="178"/>
      <c r="C37" s="119"/>
      <c r="D37" s="119"/>
      <c r="E37" s="125"/>
      <c r="F37" s="128"/>
      <c r="G37" s="128" t="e">
        <f t="shared" ref="G37" si="104">(G36-E36)/E36</f>
        <v>#DIV/0!</v>
      </c>
      <c r="H37" s="128" t="e">
        <f t="shared" ref="H37" si="105">(H36-F36)/F36</f>
        <v>#DIV/0!</v>
      </c>
      <c r="I37" s="128" t="e">
        <f t="shared" ref="I37" si="106">(I36-H36)/H36</f>
        <v>#DIV/0!</v>
      </c>
      <c r="J37" s="128" t="e">
        <f t="shared" ref="J37" si="107">(J36-I36)/I36</f>
        <v>#DIV/0!</v>
      </c>
      <c r="K37" s="128" t="e">
        <f t="shared" ref="K37" si="108">(K36-J36)/J36</f>
        <v>#DIV/0!</v>
      </c>
      <c r="L37" s="128" t="e">
        <f t="shared" ref="L37" si="109">(L36-K36)/K36</f>
        <v>#DIV/0!</v>
      </c>
      <c r="M37" s="128" t="e">
        <f t="shared" ref="M37" si="110">(M36-L36)/L36</f>
        <v>#DIV/0!</v>
      </c>
      <c r="N37" s="128" t="e">
        <f t="shared" ref="N37" si="111">(N36-M36)/M36</f>
        <v>#DIV/0!</v>
      </c>
      <c r="O37" s="128" t="e">
        <f t="shared" ref="O37" si="112">(O36-N36)/N36</f>
        <v>#DIV/0!</v>
      </c>
      <c r="P37" s="128" t="e">
        <f t="shared" ref="P37" si="113">(P36-O36)/O36</f>
        <v>#DIV/0!</v>
      </c>
      <c r="Q37" s="128" t="e">
        <f t="shared" ref="Q37" si="114">(Q36-P36)/P36</f>
        <v>#DIV/0!</v>
      </c>
      <c r="R37" s="128" t="e">
        <f t="shared" ref="R37" si="115">(R36-Q36)/Q36</f>
        <v>#DIV/0!</v>
      </c>
      <c r="S37" s="128" t="e">
        <f t="shared" ref="S37" si="116">(S36-R36)/R36</f>
        <v>#DIV/0!</v>
      </c>
      <c r="T37" s="128" t="e">
        <f t="shared" ref="T37:U37" si="117">(T36-S36)/S36</f>
        <v>#DIV/0!</v>
      </c>
      <c r="U37" s="128" t="e">
        <f t="shared" si="117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1"/>
      <c r="B38" s="178" t="s">
        <v>418</v>
      </c>
      <c r="C38" s="119"/>
      <c r="D38" s="119"/>
      <c r="E38" s="125"/>
      <c r="F38" s="181"/>
      <c r="G38" s="181">
        <f t="shared" ref="G38" si="118">H38</f>
        <v>0</v>
      </c>
      <c r="H38" s="181">
        <f t="shared" ref="H38:I38" si="119">I38</f>
        <v>0</v>
      </c>
      <c r="I38" s="181">
        <f t="shared" si="119"/>
        <v>0</v>
      </c>
      <c r="J38" s="181">
        <f>K38</f>
        <v>0</v>
      </c>
      <c r="K38" s="181">
        <v>0</v>
      </c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>
        <v>0</v>
      </c>
      <c r="U38" s="181">
        <v>1</v>
      </c>
      <c r="V38" s="101" t="e">
        <f t="shared" si="2"/>
        <v>#DIV/0!</v>
      </c>
      <c r="W38" s="21">
        <f t="shared" si="7"/>
        <v>0.08</v>
      </c>
      <c r="X38" s="131">
        <f t="shared" si="8"/>
        <v>1.08</v>
      </c>
      <c r="Y38" s="131">
        <f t="shared" si="93"/>
        <v>1.1664000000000001</v>
      </c>
      <c r="Z38" s="131">
        <f t="shared" si="94"/>
        <v>1.2597120000000002</v>
      </c>
      <c r="AA38" s="131">
        <f t="shared" si="95"/>
        <v>1.3604889600000003</v>
      </c>
      <c r="AB38" s="131">
        <f t="shared" si="96"/>
        <v>1.4693280768000003</v>
      </c>
      <c r="AC38" s="131">
        <f t="shared" si="97"/>
        <v>1.5868743229440005</v>
      </c>
      <c r="AD38" s="131">
        <f t="shared" si="98"/>
        <v>1.7138242687795207</v>
      </c>
      <c r="AE38" s="131">
        <f t="shared" si="99"/>
        <v>1.8509302102818825</v>
      </c>
      <c r="AF38" s="131">
        <f t="shared" si="100"/>
        <v>1.9990046271044333</v>
      </c>
      <c r="AG38" s="131">
        <f t="shared" si="101"/>
        <v>2.1589249972727882</v>
      </c>
      <c r="AH38" s="116" t="e">
        <f t="shared" si="102"/>
        <v>#DIV/0!</v>
      </c>
      <c r="AI38" s="21">
        <f t="shared" si="18"/>
        <v>0.05</v>
      </c>
      <c r="AJ38" s="124">
        <f t="shared" si="103"/>
        <v>13.334536747861341</v>
      </c>
    </row>
    <row r="39" spans="1:36">
      <c r="A39" s="301"/>
      <c r="B39" s="178"/>
      <c r="C39" s="119"/>
      <c r="D39" s="119"/>
      <c r="E39" s="125"/>
      <c r="F39" s="128"/>
      <c r="G39" s="128" t="e">
        <f t="shared" ref="G39" si="120">(G38-E38)/E38</f>
        <v>#DIV/0!</v>
      </c>
      <c r="H39" s="128" t="e">
        <f t="shared" ref="H39" si="121">(H38-F38)/F38</f>
        <v>#DIV/0!</v>
      </c>
      <c r="I39" s="128" t="e">
        <f t="shared" ref="I39" si="122">(I38-H38)/H38</f>
        <v>#DIV/0!</v>
      </c>
      <c r="J39" s="128" t="e">
        <f t="shared" ref="J39" si="123">(J38-I38)/I38</f>
        <v>#DIV/0!</v>
      </c>
      <c r="K39" s="128" t="e">
        <f t="shared" ref="K39" si="124">(K38-J38)/J38</f>
        <v>#DIV/0!</v>
      </c>
      <c r="L39" s="128" t="e">
        <f t="shared" ref="L39" si="125">(L38-K38)/K38</f>
        <v>#DIV/0!</v>
      </c>
      <c r="M39" s="128" t="e">
        <f t="shared" ref="M39" si="126">(M38-L38)/L38</f>
        <v>#DIV/0!</v>
      </c>
      <c r="N39" s="128" t="e">
        <f t="shared" ref="N39" si="127">(N38-M38)/M38</f>
        <v>#DIV/0!</v>
      </c>
      <c r="O39" s="128" t="e">
        <f t="shared" ref="O39" si="128">(O38-N38)/N38</f>
        <v>#DIV/0!</v>
      </c>
      <c r="P39" s="128" t="e">
        <f t="shared" ref="P39" si="129">(P38-O38)/O38</f>
        <v>#DIV/0!</v>
      </c>
      <c r="Q39" s="128" t="e">
        <f t="shared" ref="Q39" si="130">(Q38-P38)/P38</f>
        <v>#DIV/0!</v>
      </c>
      <c r="R39" s="128" t="e">
        <f t="shared" ref="R39" si="131">(R38-Q38)/Q38</f>
        <v>#DIV/0!</v>
      </c>
      <c r="S39" s="128" t="e">
        <f t="shared" ref="S39" si="132">(S38-R38)/R38</f>
        <v>#DIV/0!</v>
      </c>
      <c r="T39" s="128" t="e">
        <f t="shared" ref="T39:U39" si="133">(T38-S38)/S38</f>
        <v>#DIV/0!</v>
      </c>
      <c r="U39" s="128" t="e">
        <f t="shared" si="133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1"/>
      <c r="B40" s="178" t="s">
        <v>422</v>
      </c>
      <c r="C40" s="119"/>
      <c r="D40" s="119"/>
      <c r="E40" s="125"/>
      <c r="F40" s="181"/>
      <c r="G40" s="181">
        <f t="shared" ref="G40:G43" si="134">H40</f>
        <v>0</v>
      </c>
      <c r="H40" s="181">
        <f t="shared" ref="H40:I40" si="135">I40</f>
        <v>0</v>
      </c>
      <c r="I40" s="181">
        <f t="shared" si="135"/>
        <v>0</v>
      </c>
      <c r="J40" s="181">
        <f>K40</f>
        <v>0</v>
      </c>
      <c r="K40" s="181">
        <v>0</v>
      </c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>
        <v>0</v>
      </c>
      <c r="U40" s="181">
        <v>0</v>
      </c>
      <c r="V40" s="101" t="e">
        <f t="shared" si="2"/>
        <v>#DIV/0!</v>
      </c>
      <c r="W40" s="21">
        <f t="shared" si="7"/>
        <v>0.08</v>
      </c>
      <c r="X40" s="131">
        <f t="shared" si="8"/>
        <v>0</v>
      </c>
      <c r="Y40" s="131">
        <f t="shared" si="93"/>
        <v>0</v>
      </c>
      <c r="Z40" s="131">
        <f t="shared" si="94"/>
        <v>0</v>
      </c>
      <c r="AA40" s="131">
        <f t="shared" si="95"/>
        <v>0</v>
      </c>
      <c r="AB40" s="131">
        <f t="shared" si="96"/>
        <v>0</v>
      </c>
      <c r="AC40" s="131">
        <f t="shared" si="97"/>
        <v>0</v>
      </c>
      <c r="AD40" s="131">
        <f t="shared" si="98"/>
        <v>0</v>
      </c>
      <c r="AE40" s="131">
        <f t="shared" si="99"/>
        <v>0</v>
      </c>
      <c r="AF40" s="131">
        <f t="shared" si="100"/>
        <v>0</v>
      </c>
      <c r="AG40" s="131">
        <f t="shared" si="101"/>
        <v>0</v>
      </c>
      <c r="AH40" s="116" t="e">
        <f t="shared" si="102"/>
        <v>#DIV/0!</v>
      </c>
      <c r="AI40" s="21">
        <f t="shared" si="18"/>
        <v>0.05</v>
      </c>
      <c r="AJ40" s="124">
        <f t="shared" si="103"/>
        <v>0</v>
      </c>
    </row>
    <row r="41" spans="1:36">
      <c r="A41" s="301"/>
      <c r="B41" s="178" t="s">
        <v>419</v>
      </c>
      <c r="C41" s="119"/>
      <c r="D41" s="119"/>
      <c r="E41" s="125"/>
      <c r="F41" s="181"/>
      <c r="G41" s="181">
        <f t="shared" si="134"/>
        <v>0</v>
      </c>
      <c r="H41" s="181">
        <f t="shared" ref="H41:I41" si="136">I41</f>
        <v>0</v>
      </c>
      <c r="I41" s="181">
        <f t="shared" si="136"/>
        <v>0</v>
      </c>
      <c r="J41" s="181">
        <f>K41</f>
        <v>0</v>
      </c>
      <c r="K41" s="181">
        <v>0</v>
      </c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>
        <v>0</v>
      </c>
      <c r="U41" s="181">
        <v>0</v>
      </c>
      <c r="V41" s="101" t="e">
        <f t="shared" si="2"/>
        <v>#DIV/0!</v>
      </c>
      <c r="W41" s="21">
        <f t="shared" si="7"/>
        <v>0.08</v>
      </c>
      <c r="X41" s="131">
        <f t="shared" si="8"/>
        <v>0</v>
      </c>
      <c r="Y41" s="131">
        <f t="shared" si="93"/>
        <v>0</v>
      </c>
      <c r="Z41" s="131">
        <f t="shared" si="94"/>
        <v>0</v>
      </c>
      <c r="AA41" s="131">
        <f t="shared" si="95"/>
        <v>0</v>
      </c>
      <c r="AB41" s="131">
        <f t="shared" si="96"/>
        <v>0</v>
      </c>
      <c r="AC41" s="131">
        <f t="shared" si="97"/>
        <v>0</v>
      </c>
      <c r="AD41" s="131">
        <f t="shared" si="98"/>
        <v>0</v>
      </c>
      <c r="AE41" s="131">
        <f t="shared" si="99"/>
        <v>0</v>
      </c>
      <c r="AF41" s="131">
        <f t="shared" si="100"/>
        <v>0</v>
      </c>
      <c r="AG41" s="131">
        <f t="shared" si="101"/>
        <v>0</v>
      </c>
      <c r="AH41" s="116" t="e">
        <f t="shared" si="102"/>
        <v>#DIV/0!</v>
      </c>
      <c r="AI41" s="21">
        <f t="shared" si="18"/>
        <v>0.05</v>
      </c>
      <c r="AJ41" s="124">
        <f t="shared" si="103"/>
        <v>0</v>
      </c>
    </row>
    <row r="42" spans="1:36">
      <c r="A42" s="301"/>
      <c r="B42" s="178" t="s">
        <v>421</v>
      </c>
      <c r="C42" s="119"/>
      <c r="D42" s="119"/>
      <c r="E42" s="125"/>
      <c r="F42" s="181"/>
      <c r="G42" s="181">
        <f t="shared" si="134"/>
        <v>0</v>
      </c>
      <c r="H42" s="181">
        <f t="shared" ref="H42:I42" si="137">I42</f>
        <v>0</v>
      </c>
      <c r="I42" s="181">
        <f t="shared" si="137"/>
        <v>0</v>
      </c>
      <c r="J42" s="181">
        <f>K42</f>
        <v>0</v>
      </c>
      <c r="K42" s="181">
        <v>0</v>
      </c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>
        <v>0</v>
      </c>
      <c r="U42" s="181">
        <v>0</v>
      </c>
      <c r="V42" s="101" t="e">
        <f t="shared" si="2"/>
        <v>#DIV/0!</v>
      </c>
      <c r="W42" s="21">
        <f t="shared" si="7"/>
        <v>0.08</v>
      </c>
      <c r="X42" s="131">
        <f t="shared" si="8"/>
        <v>0</v>
      </c>
      <c r="Y42" s="131">
        <f t="shared" si="93"/>
        <v>0</v>
      </c>
      <c r="Z42" s="131">
        <f t="shared" si="94"/>
        <v>0</v>
      </c>
      <c r="AA42" s="131">
        <f t="shared" si="95"/>
        <v>0</v>
      </c>
      <c r="AB42" s="131">
        <f t="shared" si="96"/>
        <v>0</v>
      </c>
      <c r="AC42" s="131">
        <f t="shared" si="97"/>
        <v>0</v>
      </c>
      <c r="AD42" s="131">
        <f t="shared" si="98"/>
        <v>0</v>
      </c>
      <c r="AE42" s="131">
        <f t="shared" si="99"/>
        <v>0</v>
      </c>
      <c r="AF42" s="131">
        <f t="shared" si="100"/>
        <v>0</v>
      </c>
      <c r="AG42" s="131">
        <f t="shared" si="101"/>
        <v>0</v>
      </c>
      <c r="AH42" s="116" t="e">
        <f t="shared" si="102"/>
        <v>#DIV/0!</v>
      </c>
      <c r="AI42" s="21">
        <f t="shared" si="18"/>
        <v>0.05</v>
      </c>
      <c r="AJ42" s="124">
        <f t="shared" si="103"/>
        <v>0</v>
      </c>
    </row>
    <row r="43" spans="1:36">
      <c r="A43" s="301"/>
      <c r="B43" s="178" t="s">
        <v>420</v>
      </c>
      <c r="C43" s="119"/>
      <c r="D43" s="119"/>
      <c r="E43" s="125"/>
      <c r="F43" s="181"/>
      <c r="G43" s="181">
        <f t="shared" si="134"/>
        <v>0</v>
      </c>
      <c r="H43" s="181">
        <f t="shared" ref="H43:I43" si="138">I43</f>
        <v>0</v>
      </c>
      <c r="I43" s="181">
        <f t="shared" si="138"/>
        <v>0</v>
      </c>
      <c r="J43" s="181">
        <f>K43</f>
        <v>0</v>
      </c>
      <c r="K43" s="181">
        <v>0</v>
      </c>
      <c r="L43" s="181">
        <v>0</v>
      </c>
      <c r="M43" s="181">
        <v>0</v>
      </c>
      <c r="N43" s="181">
        <v>0</v>
      </c>
      <c r="O43" s="181">
        <v>0</v>
      </c>
      <c r="P43" s="181">
        <v>0</v>
      </c>
      <c r="Q43" s="181">
        <v>0</v>
      </c>
      <c r="R43" s="181">
        <v>0</v>
      </c>
      <c r="S43" s="181">
        <v>0</v>
      </c>
      <c r="T43" s="181">
        <v>0</v>
      </c>
      <c r="U43" s="181">
        <v>0</v>
      </c>
      <c r="V43" s="101" t="e">
        <f t="shared" si="2"/>
        <v>#DIV/0!</v>
      </c>
      <c r="W43" s="21">
        <f t="shared" si="7"/>
        <v>0.08</v>
      </c>
      <c r="X43" s="131">
        <f t="shared" si="8"/>
        <v>0</v>
      </c>
      <c r="Y43" s="131">
        <f t="shared" si="93"/>
        <v>0</v>
      </c>
      <c r="Z43" s="131">
        <f t="shared" si="94"/>
        <v>0</v>
      </c>
      <c r="AA43" s="131">
        <f t="shared" si="95"/>
        <v>0</v>
      </c>
      <c r="AB43" s="131">
        <f t="shared" si="96"/>
        <v>0</v>
      </c>
      <c r="AC43" s="131">
        <f t="shared" si="97"/>
        <v>0</v>
      </c>
      <c r="AD43" s="131">
        <f t="shared" si="98"/>
        <v>0</v>
      </c>
      <c r="AE43" s="131">
        <f t="shared" si="99"/>
        <v>0</v>
      </c>
      <c r="AF43" s="131">
        <f t="shared" si="100"/>
        <v>0</v>
      </c>
      <c r="AG43" s="131">
        <f t="shared" si="101"/>
        <v>0</v>
      </c>
      <c r="AH43" s="116" t="e">
        <f t="shared" si="102"/>
        <v>#DIV/0!</v>
      </c>
      <c r="AI43" s="21">
        <f t="shared" si="18"/>
        <v>0.05</v>
      </c>
      <c r="AJ43" s="124">
        <f t="shared" si="103"/>
        <v>0</v>
      </c>
    </row>
    <row r="44" spans="1:36">
      <c r="A44" s="301"/>
      <c r="B44" s="178"/>
      <c r="C44" s="119"/>
      <c r="D44" s="119"/>
      <c r="E44" s="125"/>
      <c r="F44" s="128"/>
      <c r="G44" s="128" t="e">
        <f t="shared" ref="G44" si="139">(G43-E43)/E43</f>
        <v>#DIV/0!</v>
      </c>
      <c r="H44" s="128" t="e">
        <f t="shared" ref="H44" si="140">(H43-F43)/F43</f>
        <v>#DIV/0!</v>
      </c>
      <c r="I44" s="128" t="e">
        <f t="shared" ref="I44" si="141">(I43-H43)/H43</f>
        <v>#DIV/0!</v>
      </c>
      <c r="J44" s="128" t="e">
        <f t="shared" ref="J44" si="142">(J43-I43)/I43</f>
        <v>#DIV/0!</v>
      </c>
      <c r="K44" s="128" t="e">
        <f t="shared" ref="K44" si="143">(K43-J43)/J43</f>
        <v>#DIV/0!</v>
      </c>
      <c r="L44" s="128" t="e">
        <f t="shared" ref="L44" si="144">(L43-K43)/K43</f>
        <v>#DIV/0!</v>
      </c>
      <c r="M44" s="128" t="e">
        <f t="shared" ref="M44" si="145">(M43-L43)/L43</f>
        <v>#DIV/0!</v>
      </c>
      <c r="N44" s="128" t="e">
        <f t="shared" ref="N44" si="146">(N43-M43)/M43</f>
        <v>#DIV/0!</v>
      </c>
      <c r="O44" s="128" t="e">
        <f t="shared" ref="O44" si="147">(O43-N43)/N43</f>
        <v>#DIV/0!</v>
      </c>
      <c r="P44" s="128" t="e">
        <f t="shared" ref="P44" si="148">(P43-O43)/O43</f>
        <v>#DIV/0!</v>
      </c>
      <c r="Q44" s="128" t="e">
        <f t="shared" ref="Q44" si="149">(Q43-P43)/P43</f>
        <v>#DIV/0!</v>
      </c>
      <c r="R44" s="128" t="e">
        <f t="shared" ref="R44" si="150">(R43-Q43)/Q43</f>
        <v>#DIV/0!</v>
      </c>
      <c r="S44" s="128" t="e">
        <f t="shared" ref="S44" si="151">(S43-R43)/R43</f>
        <v>#DIV/0!</v>
      </c>
      <c r="T44" s="128" t="e">
        <f t="shared" ref="T44:U44" si="152">(T43-S43)/S43</f>
        <v>#DIV/0!</v>
      </c>
      <c r="U44" s="128" t="e">
        <f t="shared" si="152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1"/>
      <c r="B45" s="178" t="s">
        <v>191</v>
      </c>
      <c r="C45" s="119"/>
      <c r="D45" s="119"/>
      <c r="E45" s="125"/>
      <c r="F45" s="181"/>
      <c r="G45" s="181">
        <f t="shared" ref="G45" si="153">H45</f>
        <v>0</v>
      </c>
      <c r="H45" s="181">
        <f t="shared" ref="H45:I45" si="154">I45</f>
        <v>0</v>
      </c>
      <c r="I45" s="181">
        <f t="shared" si="154"/>
        <v>0</v>
      </c>
      <c r="J45" s="181">
        <f>K45</f>
        <v>0</v>
      </c>
      <c r="K45" s="181">
        <v>0</v>
      </c>
      <c r="L45" s="181">
        <v>0</v>
      </c>
      <c r="M45" s="181">
        <v>0</v>
      </c>
      <c r="N45" s="181">
        <v>0</v>
      </c>
      <c r="O45" s="181">
        <v>0</v>
      </c>
      <c r="P45" s="181">
        <v>0</v>
      </c>
      <c r="Q45" s="181">
        <v>0</v>
      </c>
      <c r="R45" s="181">
        <v>0</v>
      </c>
      <c r="S45" s="181">
        <v>0</v>
      </c>
      <c r="T45" s="181">
        <v>0</v>
      </c>
      <c r="U45" s="181">
        <v>1</v>
      </c>
      <c r="V45" s="101" t="e">
        <f t="shared" si="2"/>
        <v>#DIV/0!</v>
      </c>
      <c r="W45" s="21">
        <f t="shared" si="7"/>
        <v>0.08</v>
      </c>
      <c r="X45" s="131">
        <f t="shared" si="8"/>
        <v>1.08</v>
      </c>
      <c r="Y45" s="131">
        <f t="shared" si="93"/>
        <v>1.1664000000000001</v>
      </c>
      <c r="Z45" s="131">
        <f t="shared" si="94"/>
        <v>1.2597120000000002</v>
      </c>
      <c r="AA45" s="131">
        <f t="shared" si="95"/>
        <v>1.3604889600000003</v>
      </c>
      <c r="AB45" s="131">
        <f t="shared" si="96"/>
        <v>1.4693280768000003</v>
      </c>
      <c r="AC45" s="131">
        <f t="shared" si="97"/>
        <v>1.5868743229440005</v>
      </c>
      <c r="AD45" s="131">
        <f t="shared" si="98"/>
        <v>1.7138242687795207</v>
      </c>
      <c r="AE45" s="131">
        <f t="shared" si="99"/>
        <v>1.8509302102818825</v>
      </c>
      <c r="AF45" s="131">
        <f t="shared" si="100"/>
        <v>1.9990046271044333</v>
      </c>
      <c r="AG45" s="131">
        <f t="shared" si="101"/>
        <v>2.1589249972727882</v>
      </c>
      <c r="AH45" s="116" t="e">
        <f t="shared" si="102"/>
        <v>#DIV/0!</v>
      </c>
      <c r="AI45" s="21">
        <f t="shared" si="18"/>
        <v>0.05</v>
      </c>
      <c r="AJ45" s="124">
        <f t="shared" si="103"/>
        <v>13.334536747861341</v>
      </c>
    </row>
    <row r="46" spans="1:36">
      <c r="A46" s="179"/>
      <c r="B46" s="178"/>
      <c r="C46" s="119"/>
      <c r="D46" s="119"/>
      <c r="E46" s="125"/>
      <c r="F46" s="128"/>
      <c r="G46" s="128" t="e">
        <f t="shared" ref="G46" si="155">(G45-E45)/E45</f>
        <v>#DIV/0!</v>
      </c>
      <c r="H46" s="128" t="e">
        <f t="shared" ref="H46" si="156">(H45-F45)/F45</f>
        <v>#DIV/0!</v>
      </c>
      <c r="I46" s="128" t="e">
        <f t="shared" ref="I46" si="157">(I45-H45)/H45</f>
        <v>#DIV/0!</v>
      </c>
      <c r="J46" s="128" t="e">
        <f t="shared" ref="J46" si="158">(J45-I45)/I45</f>
        <v>#DIV/0!</v>
      </c>
      <c r="K46" s="128" t="e">
        <f t="shared" ref="K46" si="159">(K45-J45)/J45</f>
        <v>#DIV/0!</v>
      </c>
      <c r="L46" s="128" t="e">
        <f t="shared" ref="L46" si="160">(L45-K45)/K45</f>
        <v>#DIV/0!</v>
      </c>
      <c r="M46" s="128" t="e">
        <f t="shared" ref="M46" si="161">(M45-L45)/L45</f>
        <v>#DIV/0!</v>
      </c>
      <c r="N46" s="128" t="e">
        <f t="shared" ref="N46" si="162">(N45-M45)/M45</f>
        <v>#DIV/0!</v>
      </c>
      <c r="O46" s="128" t="e">
        <f t="shared" ref="O46" si="163">(O45-N45)/N45</f>
        <v>#DIV/0!</v>
      </c>
      <c r="P46" s="128" t="e">
        <f t="shared" ref="P46" si="164">(P45-O45)/O45</f>
        <v>#DIV/0!</v>
      </c>
      <c r="Q46" s="128" t="e">
        <f t="shared" ref="Q46" si="165">(Q45-P45)/P45</f>
        <v>#DIV/0!</v>
      </c>
      <c r="R46" s="128" t="e">
        <f t="shared" ref="R46" si="166">(R45-Q45)/Q45</f>
        <v>#DIV/0!</v>
      </c>
      <c r="S46" s="128" t="e">
        <f t="shared" ref="S46" si="167">(S45-R45)/R45</f>
        <v>#DIV/0!</v>
      </c>
      <c r="T46" s="128" t="e">
        <f t="shared" ref="T46:U46" si="168">(T45-S45)/S45</f>
        <v>#DIV/0!</v>
      </c>
      <c r="U46" s="128" t="e">
        <f t="shared" si="168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79"/>
      <c r="B47" s="178" t="s">
        <v>433</v>
      </c>
      <c r="C47" s="119"/>
      <c r="D47" s="119"/>
      <c r="E47" s="125"/>
      <c r="F47" s="181"/>
      <c r="G47" s="181">
        <f t="shared" ref="G47" si="169">H47</f>
        <v>0</v>
      </c>
      <c r="H47" s="181">
        <f t="shared" ref="H47:I47" si="170">I47</f>
        <v>0</v>
      </c>
      <c r="I47" s="181">
        <f t="shared" si="170"/>
        <v>0</v>
      </c>
      <c r="J47" s="181">
        <f>K47</f>
        <v>0</v>
      </c>
      <c r="K47" s="181">
        <v>0</v>
      </c>
      <c r="L47" s="181">
        <v>0</v>
      </c>
      <c r="M47" s="181">
        <v>0</v>
      </c>
      <c r="N47" s="181">
        <v>0</v>
      </c>
      <c r="O47" s="181">
        <v>0</v>
      </c>
      <c r="P47" s="181">
        <v>0</v>
      </c>
      <c r="Q47" s="181">
        <v>0</v>
      </c>
      <c r="R47" s="181">
        <v>0</v>
      </c>
      <c r="S47" s="181">
        <v>0</v>
      </c>
      <c r="T47" s="181">
        <v>0</v>
      </c>
      <c r="U47" s="181">
        <v>1</v>
      </c>
      <c r="V47" s="101" t="e">
        <f t="shared" si="2"/>
        <v>#DIV/0!</v>
      </c>
      <c r="W47" s="21">
        <f t="shared" si="7"/>
        <v>0.08</v>
      </c>
      <c r="X47" s="131">
        <f t="shared" si="8"/>
        <v>1.08</v>
      </c>
      <c r="Y47" s="131">
        <f t="shared" ref="Y47" si="171">X47*(1+$W47)</f>
        <v>1.1664000000000001</v>
      </c>
      <c r="Z47" s="131">
        <f t="shared" ref="Z47" si="172">Y47*(1+$W47)</f>
        <v>1.2597120000000002</v>
      </c>
      <c r="AA47" s="131">
        <f t="shared" ref="AA47" si="173">Z47*(1+$W47)</f>
        <v>1.3604889600000003</v>
      </c>
      <c r="AB47" s="131">
        <f t="shared" ref="AB47" si="174">AA47*(1+$W47)</f>
        <v>1.4693280768000003</v>
      </c>
      <c r="AC47" s="131">
        <f t="shared" ref="AC47" si="175">AB47*(1+$W47)</f>
        <v>1.5868743229440005</v>
      </c>
      <c r="AD47" s="131">
        <f t="shared" ref="AD47" si="176">AC47*(1+$W47)</f>
        <v>1.7138242687795207</v>
      </c>
      <c r="AE47" s="131">
        <f t="shared" ref="AE47" si="177">AD47*(1+$W47)</f>
        <v>1.8509302102818825</v>
      </c>
      <c r="AF47" s="131">
        <f t="shared" ref="AF47" si="178">AE47*(1+$W47)</f>
        <v>1.9990046271044333</v>
      </c>
      <c r="AG47" s="131">
        <f t="shared" ref="AG47" si="179">AF47*(1+$W47)</f>
        <v>2.1589249972727882</v>
      </c>
      <c r="AH47" s="116" t="e">
        <f t="shared" ref="AH47" si="180">((AG47/J47)^(1/($AG$3-$K$1) ))-1</f>
        <v>#DIV/0!</v>
      </c>
      <c r="AI47" s="21">
        <f t="shared" si="18"/>
        <v>0.05</v>
      </c>
      <c r="AJ47" s="124">
        <f t="shared" si="103"/>
        <v>13.334536747861341</v>
      </c>
    </row>
    <row r="48" spans="1:36">
      <c r="A48" s="179"/>
      <c r="B48" s="178"/>
      <c r="C48" s="119"/>
      <c r="D48" s="119"/>
      <c r="E48" s="125"/>
      <c r="F48" s="128"/>
      <c r="G48" s="128" t="e">
        <f t="shared" ref="G48" si="181">(G47-E47)/E47</f>
        <v>#DIV/0!</v>
      </c>
      <c r="H48" s="128" t="e">
        <f t="shared" ref="H48" si="182">(H47-F47)/F47</f>
        <v>#DIV/0!</v>
      </c>
      <c r="I48" s="128" t="e">
        <f t="shared" ref="I48" si="183">(I47-H47)/H47</f>
        <v>#DIV/0!</v>
      </c>
      <c r="J48" s="128" t="e">
        <f t="shared" ref="J48" si="184">(J47-I47)/I47</f>
        <v>#DIV/0!</v>
      </c>
      <c r="K48" s="128" t="e">
        <f t="shared" ref="K48" si="185">(K47-J47)/J47</f>
        <v>#DIV/0!</v>
      </c>
      <c r="L48" s="128" t="e">
        <f t="shared" ref="L48" si="186">(L47-K47)/K47</f>
        <v>#DIV/0!</v>
      </c>
      <c r="M48" s="128" t="e">
        <f t="shared" ref="M48" si="187">(M47-L47)/L47</f>
        <v>#DIV/0!</v>
      </c>
      <c r="N48" s="128" t="e">
        <f t="shared" ref="N48" si="188">(N47-M47)/M47</f>
        <v>#DIV/0!</v>
      </c>
      <c r="O48" s="128" t="e">
        <f t="shared" ref="O48" si="189">(O47-N47)/N47</f>
        <v>#DIV/0!</v>
      </c>
      <c r="P48" s="128" t="e">
        <f t="shared" ref="P48" si="190">(P47-O47)/O47</f>
        <v>#DIV/0!</v>
      </c>
      <c r="Q48" s="128" t="e">
        <f t="shared" ref="Q48" si="191">(Q47-P47)/P47</f>
        <v>#DIV/0!</v>
      </c>
      <c r="R48" s="128" t="e">
        <f t="shared" ref="R48" si="192">(R47-Q47)/Q47</f>
        <v>#DIV/0!</v>
      </c>
      <c r="S48" s="128" t="e">
        <f t="shared" ref="S48" si="193">(S47-R47)/R47</f>
        <v>#DIV/0!</v>
      </c>
      <c r="T48" s="128" t="e">
        <f t="shared" ref="T48:U48" si="194">(T47-S47)/S47</f>
        <v>#DIV/0!</v>
      </c>
      <c r="U48" s="128" t="e">
        <f t="shared" si="194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79"/>
      <c r="B49" s="178" t="s">
        <v>424</v>
      </c>
      <c r="C49" s="119"/>
      <c r="D49" s="119"/>
      <c r="E49" s="125"/>
      <c r="F49" s="181"/>
      <c r="G49" s="181">
        <f t="shared" ref="G49" si="195">H49</f>
        <v>0</v>
      </c>
      <c r="H49" s="181">
        <f t="shared" ref="H49:I49" si="196">I49</f>
        <v>0</v>
      </c>
      <c r="I49" s="181">
        <f t="shared" si="196"/>
        <v>0</v>
      </c>
      <c r="J49" s="181">
        <f>K49</f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81">
        <v>1</v>
      </c>
      <c r="V49" s="101" t="e">
        <f t="shared" si="2"/>
        <v>#DIV/0!</v>
      </c>
      <c r="W49" s="21">
        <f t="shared" si="7"/>
        <v>0.08</v>
      </c>
      <c r="X49" s="131">
        <f t="shared" si="8"/>
        <v>1.08</v>
      </c>
      <c r="Y49" s="131">
        <f t="shared" si="93"/>
        <v>1.1664000000000001</v>
      </c>
      <c r="Z49" s="131">
        <f t="shared" si="94"/>
        <v>1.2597120000000002</v>
      </c>
      <c r="AA49" s="131">
        <f t="shared" si="95"/>
        <v>1.3604889600000003</v>
      </c>
      <c r="AB49" s="131">
        <f t="shared" si="96"/>
        <v>1.4693280768000003</v>
      </c>
      <c r="AC49" s="131">
        <f t="shared" si="97"/>
        <v>1.5868743229440005</v>
      </c>
      <c r="AD49" s="131">
        <f t="shared" si="98"/>
        <v>1.7138242687795207</v>
      </c>
      <c r="AE49" s="131">
        <f t="shared" si="99"/>
        <v>1.8509302102818825</v>
      </c>
      <c r="AF49" s="131">
        <f t="shared" si="100"/>
        <v>1.9990046271044333</v>
      </c>
      <c r="AG49" s="131">
        <f t="shared" si="101"/>
        <v>2.1589249972727882</v>
      </c>
      <c r="AH49" s="116" t="e">
        <f t="shared" si="102"/>
        <v>#DIV/0!</v>
      </c>
      <c r="AI49" s="21">
        <f t="shared" si="18"/>
        <v>0.05</v>
      </c>
      <c r="AJ49" s="124">
        <f t="shared" si="103"/>
        <v>13.334536747861341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>
        <v>0.17</v>
      </c>
      <c r="G51" s="125">
        <v>6.38</v>
      </c>
      <c r="H51" s="125">
        <v>6.4</v>
      </c>
      <c r="I51" s="125">
        <v>7.74</v>
      </c>
      <c r="J51" s="125">
        <v>8.4700000000000006</v>
      </c>
      <c r="K51" s="125">
        <v>13</v>
      </c>
      <c r="L51" s="125">
        <v>27</v>
      </c>
      <c r="M51" s="125">
        <v>52</v>
      </c>
      <c r="N51" s="125">
        <v>100</v>
      </c>
      <c r="O51" s="125">
        <v>166</v>
      </c>
      <c r="P51" s="125">
        <v>223</v>
      </c>
      <c r="Q51" s="125">
        <v>293</v>
      </c>
      <c r="R51" s="125">
        <v>349</v>
      </c>
      <c r="S51" s="181">
        <v>388</v>
      </c>
      <c r="T51" s="181">
        <v>453</v>
      </c>
      <c r="U51" s="181">
        <f>7332-7167+245+126</f>
        <v>536</v>
      </c>
      <c r="V51" s="101">
        <f t="shared" si="2"/>
        <v>0.37231291571765324</v>
      </c>
      <c r="W51" s="21">
        <f t="shared" si="7"/>
        <v>0.08</v>
      </c>
      <c r="X51" s="131">
        <f t="shared" si="8"/>
        <v>578.88</v>
      </c>
      <c r="Y51" s="131">
        <f t="shared" ref="Y51" si="197">X51*(1+$W51)</f>
        <v>625.19040000000007</v>
      </c>
      <c r="Z51" s="131">
        <f t="shared" ref="Z51" si="198">Y51*(1+$W51)</f>
        <v>675.20563200000015</v>
      </c>
      <c r="AA51" s="131">
        <f t="shared" ref="AA51" si="199">Z51*(1+$W51)</f>
        <v>729.22208256000022</v>
      </c>
      <c r="AB51" s="131">
        <f t="shared" si="42"/>
        <v>787.55984916480031</v>
      </c>
      <c r="AC51" s="131">
        <f t="shared" si="43"/>
        <v>850.56463709798436</v>
      </c>
      <c r="AD51" s="131">
        <f t="shared" si="44"/>
        <v>918.60980806582313</v>
      </c>
      <c r="AE51" s="131">
        <f t="shared" si="45"/>
        <v>992.09859271108905</v>
      </c>
      <c r="AF51" s="131">
        <f t="shared" si="46"/>
        <v>1071.4664801279762</v>
      </c>
      <c r="AG51" s="131">
        <f t="shared" si="47"/>
        <v>1157.1837985382144</v>
      </c>
      <c r="AH51" s="116">
        <f t="shared" si="20"/>
        <v>0.22738258129338718</v>
      </c>
      <c r="AI51" s="21">
        <f t="shared" si="18"/>
        <v>0.05</v>
      </c>
      <c r="AJ51" s="124">
        <f t="shared" si="1"/>
        <v>7147.3116968536788</v>
      </c>
    </row>
    <row r="52" spans="1:36" s="106" customFormat="1">
      <c r="B52" s="13"/>
      <c r="C52" s="126"/>
      <c r="D52" s="126"/>
      <c r="E52" s="127"/>
      <c r="F52" s="271"/>
      <c r="G52" s="271">
        <f t="shared" ref="G52:P52" si="200">(G51-F51)/G51</f>
        <v>0.97335423197492166</v>
      </c>
      <c r="H52" s="271">
        <f t="shared" si="200"/>
        <v>3.1250000000000722E-3</v>
      </c>
      <c r="I52" s="271">
        <f t="shared" si="200"/>
        <v>0.17312661498708007</v>
      </c>
      <c r="J52" s="271">
        <f t="shared" si="200"/>
        <v>8.6186540731995318E-2</v>
      </c>
      <c r="K52" s="271">
        <f t="shared" si="200"/>
        <v>0.34846153846153843</v>
      </c>
      <c r="L52" s="271">
        <f t="shared" si="200"/>
        <v>0.51851851851851849</v>
      </c>
      <c r="M52" s="271">
        <f t="shared" si="200"/>
        <v>0.48076923076923078</v>
      </c>
      <c r="N52" s="271">
        <f t="shared" si="200"/>
        <v>0.48</v>
      </c>
      <c r="O52" s="271">
        <f t="shared" si="200"/>
        <v>0.39759036144578314</v>
      </c>
      <c r="P52" s="271">
        <f t="shared" si="200"/>
        <v>0.2556053811659193</v>
      </c>
      <c r="Q52" s="271">
        <f t="shared" ref="Q52:R52" si="201">(Q51-P51)/Q51</f>
        <v>0.23890784982935154</v>
      </c>
      <c r="R52" s="271">
        <f t="shared" si="201"/>
        <v>0.16045845272206305</v>
      </c>
      <c r="S52" s="128">
        <f t="shared" ref="S52:U52" si="202">(S51-R51)/R51</f>
        <v>0.11174785100286533</v>
      </c>
      <c r="T52" s="128">
        <f t="shared" si="202"/>
        <v>0.16752577319587628</v>
      </c>
      <c r="U52" s="128">
        <f t="shared" si="202"/>
        <v>0.18322295805739514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>
        <v>-0.72</v>
      </c>
      <c r="G53" s="125">
        <v>4.5999999999999996</v>
      </c>
      <c r="H53" s="125">
        <v>3</v>
      </c>
      <c r="I53" s="125">
        <v>5</v>
      </c>
      <c r="J53" s="125">
        <v>5</v>
      </c>
      <c r="K53" s="125">
        <v>7</v>
      </c>
      <c r="L53" s="125">
        <v>14</v>
      </c>
      <c r="M53" s="125">
        <v>29</v>
      </c>
      <c r="N53" s="125">
        <v>60</v>
      </c>
      <c r="O53" s="125">
        <v>94</v>
      </c>
      <c r="P53" s="125">
        <v>117</v>
      </c>
      <c r="Q53" s="125">
        <v>168</v>
      </c>
      <c r="R53" s="125">
        <v>196</v>
      </c>
      <c r="S53" s="181">
        <v>237</v>
      </c>
      <c r="T53" s="181">
        <v>263</v>
      </c>
      <c r="U53" s="181">
        <v>165</v>
      </c>
      <c r="V53" s="101">
        <f t="shared" si="2"/>
        <v>0.29137348538228691</v>
      </c>
      <c r="W53" s="21">
        <f t="shared" si="7"/>
        <v>0.08</v>
      </c>
      <c r="X53" s="131">
        <f t="shared" si="8"/>
        <v>178.20000000000002</v>
      </c>
      <c r="Y53" s="131">
        <f t="shared" ref="Y53" si="203">X53*(1+$W53)</f>
        <v>192.45600000000002</v>
      </c>
      <c r="Z53" s="131">
        <f t="shared" ref="Z53" si="204">Y53*(1+$W53)</f>
        <v>207.85248000000004</v>
      </c>
      <c r="AA53" s="131">
        <f t="shared" ref="AA53" si="205">Z53*(1+$W53)</f>
        <v>224.48067840000007</v>
      </c>
      <c r="AB53" s="131">
        <f t="shared" ref="AB53" si="206">AA53*(1+$W53)</f>
        <v>242.43913267200008</v>
      </c>
      <c r="AC53" s="131">
        <f t="shared" ref="AC53" si="207">AB53*(1+$W53)</f>
        <v>261.83426328576013</v>
      </c>
      <c r="AD53" s="131">
        <f t="shared" ref="AD53" si="208">AC53*(1+$W53)</f>
        <v>282.78100434862097</v>
      </c>
      <c r="AE53" s="131">
        <f t="shared" ref="AE53" si="209">AD53*(1+$W53)</f>
        <v>305.40348469651065</v>
      </c>
      <c r="AF53" s="131">
        <f t="shared" ref="AF53" si="210">AE53*(1+$W53)</f>
        <v>329.83576347223152</v>
      </c>
      <c r="AG53" s="131">
        <f t="shared" ref="AG53" si="211">AF53*(1+$W53)</f>
        <v>356.22262455001004</v>
      </c>
      <c r="AH53" s="116">
        <f t="shared" ref="AH53" si="212">((AG53/J53)^(1/($AG$3-$K$1) ))-1</f>
        <v>0.19453252399106202</v>
      </c>
      <c r="AI53" s="21">
        <f t="shared" si="18"/>
        <v>0.05</v>
      </c>
      <c r="AJ53" s="124">
        <f t="shared" ref="AJ53" si="213">(AG53*(1+AI53))/($C$1-AI53)</f>
        <v>2200.1985633971212</v>
      </c>
    </row>
    <row r="54" spans="1:36" s="106" customFormat="1">
      <c r="B54" s="13"/>
      <c r="C54" s="126"/>
      <c r="D54" s="126"/>
      <c r="E54" s="127"/>
      <c r="F54" s="271"/>
      <c r="G54" s="271">
        <f t="shared" ref="G54:P54" si="214">(G53-F53)/G53</f>
        <v>1.1565217391304348</v>
      </c>
      <c r="H54" s="271">
        <f t="shared" si="214"/>
        <v>-0.53333333333333321</v>
      </c>
      <c r="I54" s="271">
        <f t="shared" si="214"/>
        <v>0.4</v>
      </c>
      <c r="J54" s="271">
        <f t="shared" si="214"/>
        <v>0</v>
      </c>
      <c r="K54" s="271">
        <f t="shared" si="214"/>
        <v>0.2857142857142857</v>
      </c>
      <c r="L54" s="271">
        <f t="shared" si="214"/>
        <v>0.5</v>
      </c>
      <c r="M54" s="271">
        <f t="shared" si="214"/>
        <v>0.51724137931034486</v>
      </c>
      <c r="N54" s="271">
        <f t="shared" si="214"/>
        <v>0.51666666666666672</v>
      </c>
      <c r="O54" s="271">
        <f t="shared" si="214"/>
        <v>0.36170212765957449</v>
      </c>
      <c r="P54" s="271">
        <f t="shared" si="214"/>
        <v>0.19658119658119658</v>
      </c>
      <c r="Q54" s="271">
        <f t="shared" ref="Q54:R54" si="215">(Q53-P53)/Q53</f>
        <v>0.30357142857142855</v>
      </c>
      <c r="R54" s="271">
        <f t="shared" si="215"/>
        <v>0.14285714285714285</v>
      </c>
      <c r="S54" s="128">
        <f t="shared" ref="S54:U54" si="216">(S53-R53)/R53</f>
        <v>0.20918367346938777</v>
      </c>
      <c r="T54" s="128">
        <f t="shared" si="216"/>
        <v>0.10970464135021098</v>
      </c>
      <c r="U54" s="128">
        <f t="shared" si="216"/>
        <v>-0.37262357414448671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>
        <v>-0.25</v>
      </c>
      <c r="G55" s="125">
        <v>2.8</v>
      </c>
      <c r="H55" s="125">
        <v>2.2000000000000002</v>
      </c>
      <c r="I55" s="125">
        <v>2.7</v>
      </c>
      <c r="J55" s="125">
        <v>3.73</v>
      </c>
      <c r="K55" s="125">
        <v>4</v>
      </c>
      <c r="L55" s="125">
        <v>9</v>
      </c>
      <c r="M55" s="125">
        <v>18</v>
      </c>
      <c r="N55" s="125">
        <v>46</v>
      </c>
      <c r="O55" s="125">
        <v>92</v>
      </c>
      <c r="P55" s="125">
        <v>105</v>
      </c>
      <c r="Q55" s="125">
        <v>145</v>
      </c>
      <c r="R55" s="125">
        <v>166</v>
      </c>
      <c r="S55" s="181">
        <v>173</v>
      </c>
      <c r="T55" s="181">
        <v>194</v>
      </c>
      <c r="U55" s="181">
        <v>92</v>
      </c>
      <c r="V55" s="101">
        <f t="shared" si="2"/>
        <v>0.28330740338932014</v>
      </c>
      <c r="W55" s="21">
        <f t="shared" si="7"/>
        <v>0.08</v>
      </c>
      <c r="X55" s="131">
        <f t="shared" si="8"/>
        <v>99.360000000000014</v>
      </c>
      <c r="Y55" s="131">
        <f t="shared" ref="Y55:AG55" si="217">X55*(1+$W55)</f>
        <v>107.30880000000002</v>
      </c>
      <c r="Z55" s="131">
        <f t="shared" si="217"/>
        <v>115.89350400000002</v>
      </c>
      <c r="AA55" s="131">
        <f t="shared" si="217"/>
        <v>125.16498432000003</v>
      </c>
      <c r="AB55" s="131">
        <f t="shared" si="217"/>
        <v>135.17818306560005</v>
      </c>
      <c r="AC55" s="131">
        <f t="shared" si="217"/>
        <v>145.99243771084807</v>
      </c>
      <c r="AD55" s="131">
        <f t="shared" si="217"/>
        <v>157.67183272771592</v>
      </c>
      <c r="AE55" s="131">
        <f t="shared" si="217"/>
        <v>170.2855793459332</v>
      </c>
      <c r="AF55" s="131">
        <f t="shared" si="217"/>
        <v>183.90842569360788</v>
      </c>
      <c r="AG55" s="131">
        <f t="shared" si="217"/>
        <v>198.62109974909652</v>
      </c>
      <c r="AH55" s="116">
        <f t="shared" si="20"/>
        <v>0.18013001520073013</v>
      </c>
      <c r="AI55" s="21">
        <f t="shared" si="18"/>
        <v>0.05</v>
      </c>
      <c r="AJ55" s="124">
        <f t="shared" si="1"/>
        <v>1226.7773808032434</v>
      </c>
    </row>
    <row r="56" spans="1:36" s="106" customFormat="1">
      <c r="B56" s="13"/>
      <c r="C56" s="126"/>
      <c r="D56" s="126"/>
      <c r="E56" s="127"/>
      <c r="F56" s="271"/>
      <c r="G56" s="271">
        <f>(G55-F55)/G55</f>
        <v>1.0892857142857142</v>
      </c>
      <c r="H56" s="271">
        <f t="shared" ref="H56:P56" si="218">(H55-G55)/H55</f>
        <v>-0.27272727272727254</v>
      </c>
      <c r="I56" s="271">
        <f t="shared" si="218"/>
        <v>0.18518518518518517</v>
      </c>
      <c r="J56" s="271">
        <f t="shared" si="218"/>
        <v>0.27613941018766752</v>
      </c>
      <c r="K56" s="271">
        <f t="shared" si="218"/>
        <v>6.7500000000000004E-2</v>
      </c>
      <c r="L56" s="271">
        <f t="shared" si="218"/>
        <v>0.55555555555555558</v>
      </c>
      <c r="M56" s="271">
        <f t="shared" si="218"/>
        <v>0.5</v>
      </c>
      <c r="N56" s="271">
        <f t="shared" si="218"/>
        <v>0.60869565217391308</v>
      </c>
      <c r="O56" s="271">
        <f t="shared" si="218"/>
        <v>0.5</v>
      </c>
      <c r="P56" s="271">
        <f t="shared" si="218"/>
        <v>0.12380952380952381</v>
      </c>
      <c r="Q56" s="271">
        <f t="shared" ref="Q56:R56" si="219">(Q55-P55)/Q55</f>
        <v>0.27586206896551724</v>
      </c>
      <c r="R56" s="271">
        <f t="shared" si="219"/>
        <v>0.12650602409638553</v>
      </c>
      <c r="S56" s="128">
        <f t="shared" ref="S56:U56" si="220">(S55-R55)/R55</f>
        <v>4.2168674698795178E-2</v>
      </c>
      <c r="T56" s="128">
        <f t="shared" si="220"/>
        <v>0.12138728323699421</v>
      </c>
      <c r="U56" s="128">
        <f t="shared" si="220"/>
        <v>-0.52577319587628868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>
        <v>1.82</v>
      </c>
      <c r="G57" s="273">
        <v>1.82</v>
      </c>
      <c r="H57" s="273">
        <v>1.82</v>
      </c>
      <c r="I57" s="273">
        <v>1.82</v>
      </c>
      <c r="J57" s="273">
        <v>1.82</v>
      </c>
      <c r="K57" s="273">
        <v>1.82</v>
      </c>
      <c r="L57" s="273">
        <v>1.82</v>
      </c>
      <c r="M57" s="273">
        <v>18.2</v>
      </c>
      <c r="N57" s="273">
        <v>20.309999999999999</v>
      </c>
      <c r="O57" s="273">
        <v>20.309999999999999</v>
      </c>
      <c r="P57" s="273">
        <v>20.309999999999999</v>
      </c>
      <c r="Q57" s="123">
        <v>20.309999999999999</v>
      </c>
      <c r="R57" s="123">
        <v>21.87</v>
      </c>
      <c r="S57" s="123">
        <v>22.39</v>
      </c>
      <c r="T57" s="123">
        <v>23.73</v>
      </c>
      <c r="U57" s="123">
        <v>24.13</v>
      </c>
      <c r="V57" s="101">
        <f t="shared" si="2"/>
        <v>0.20275609591192167</v>
      </c>
      <c r="W57" s="21">
        <v>0.02</v>
      </c>
      <c r="X57" s="131">
        <f t="shared" si="8"/>
        <v>24.6126</v>
      </c>
      <c r="Y57" s="131">
        <f>X57*(1+$W57)</f>
        <v>25.104852000000001</v>
      </c>
      <c r="Z57" s="131">
        <f t="shared" ref="Z57:AG57" si="221">Y57*(1+$W57)</f>
        <v>25.60694904</v>
      </c>
      <c r="AA57" s="131">
        <f t="shared" si="221"/>
        <v>26.1190880208</v>
      </c>
      <c r="AB57" s="131">
        <f t="shared" si="221"/>
        <v>26.641469781215999</v>
      </c>
      <c r="AC57" s="131">
        <f t="shared" si="221"/>
        <v>27.174299176840321</v>
      </c>
      <c r="AD57" s="131">
        <f t="shared" si="221"/>
        <v>27.717785160377129</v>
      </c>
      <c r="AE57" s="131">
        <f t="shared" si="221"/>
        <v>28.272140863584674</v>
      </c>
      <c r="AF57" s="131">
        <f t="shared" si="221"/>
        <v>28.837583680856369</v>
      </c>
      <c r="AG57" s="131">
        <f t="shared" si="221"/>
        <v>29.414335354473497</v>
      </c>
      <c r="AH57" s="116">
        <f t="shared" si="20"/>
        <v>0.12293250193114691</v>
      </c>
      <c r="AI57" s="21">
        <f t="shared" si="18"/>
        <v>0.05</v>
      </c>
      <c r="AJ57" s="124">
        <f t="shared" si="1"/>
        <v>181.67677718939515</v>
      </c>
    </row>
    <row r="58" spans="1:36">
      <c r="B58" s="10"/>
      <c r="C58" s="120"/>
      <c r="D58" s="120"/>
      <c r="E58" s="121"/>
      <c r="F58" s="271"/>
      <c r="G58" s="271">
        <f t="shared" ref="G58" si="222">(G57-E57)/G57</f>
        <v>1</v>
      </c>
      <c r="H58" s="271">
        <f>(H57-F57)/H57</f>
        <v>0</v>
      </c>
      <c r="I58" s="271">
        <f t="shared" ref="I58:R58" si="223">(I57-H57)/I57</f>
        <v>0</v>
      </c>
      <c r="J58" s="271">
        <f t="shared" si="223"/>
        <v>0</v>
      </c>
      <c r="K58" s="271">
        <f t="shared" si="223"/>
        <v>0</v>
      </c>
      <c r="L58" s="271">
        <f t="shared" si="223"/>
        <v>0</v>
      </c>
      <c r="M58" s="271">
        <f t="shared" si="223"/>
        <v>0.9</v>
      </c>
      <c r="N58" s="271">
        <f t="shared" si="223"/>
        <v>0.10388970950270801</v>
      </c>
      <c r="O58" s="271">
        <f t="shared" si="223"/>
        <v>0</v>
      </c>
      <c r="P58" s="271">
        <f t="shared" si="223"/>
        <v>0</v>
      </c>
      <c r="Q58" s="271">
        <f t="shared" si="223"/>
        <v>0</v>
      </c>
      <c r="R58" s="271">
        <f t="shared" si="223"/>
        <v>7.1330589849108464E-2</v>
      </c>
      <c r="S58" s="128">
        <f t="shared" ref="S58:U58" si="224">(S57-R57)/R57</f>
        <v>2.37768632830361E-2</v>
      </c>
      <c r="T58" s="128">
        <f t="shared" si="224"/>
        <v>5.9848146493970515E-2</v>
      </c>
      <c r="U58" s="128">
        <f t="shared" si="224"/>
        <v>1.6856300042140691E-2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3">
        <v>0.01</v>
      </c>
      <c r="G59" s="123">
        <v>0.01</v>
      </c>
      <c r="H59" s="123">
        <v>0</v>
      </c>
      <c r="I59" s="123">
        <v>0</v>
      </c>
      <c r="J59" s="123">
        <v>0</v>
      </c>
      <c r="K59" s="123">
        <v>0</v>
      </c>
      <c r="L59" s="123">
        <v>10</v>
      </c>
      <c r="M59" s="123">
        <v>0.1</v>
      </c>
      <c r="N59" s="123">
        <v>0.1</v>
      </c>
      <c r="O59" s="123">
        <v>0.1</v>
      </c>
      <c r="P59" s="123">
        <v>0.1</v>
      </c>
      <c r="Q59" s="123">
        <v>0.1</v>
      </c>
      <c r="R59" s="123">
        <v>0.1</v>
      </c>
      <c r="S59" s="123">
        <v>0.1</v>
      </c>
      <c r="T59" s="123">
        <v>0.1</v>
      </c>
      <c r="U59" s="123">
        <v>0.1</v>
      </c>
      <c r="V59" s="101">
        <f t="shared" si="2"/>
        <v>0.17876863479358729</v>
      </c>
      <c r="W59" s="21">
        <v>0.02</v>
      </c>
      <c r="X59" s="131">
        <f t="shared" si="8"/>
        <v>0.10200000000000001</v>
      </c>
      <c r="Y59" s="131">
        <f t="shared" ref="Y59" si="225">X59*(1+$W59)</f>
        <v>0.10404000000000001</v>
      </c>
      <c r="Z59" s="131">
        <f t="shared" ref="Z59" si="226">Y59*(1+$W59)</f>
        <v>0.10612080000000002</v>
      </c>
      <c r="AA59" s="131">
        <f t="shared" ref="AA59" si="227">Z59*(1+$W59)</f>
        <v>0.10824321600000002</v>
      </c>
      <c r="AB59" s="131">
        <f t="shared" ref="AB59" si="228">AA59*(1+$W59)</f>
        <v>0.11040808032000002</v>
      </c>
      <c r="AC59" s="131">
        <f t="shared" ref="AC59" si="229">AB59*(1+$W59)</f>
        <v>0.11261624192640002</v>
      </c>
      <c r="AD59" s="131">
        <f t="shared" ref="AD59" si="230">AC59*(1+$W59)</f>
        <v>0.11486856676492802</v>
      </c>
      <c r="AE59" s="131">
        <f t="shared" ref="AE59" si="231">AD59*(1+$W59)</f>
        <v>0.11716593810022657</v>
      </c>
      <c r="AF59" s="131">
        <f t="shared" ref="AF59" si="232">AE59*(1+$W59)</f>
        <v>0.11950925686223111</v>
      </c>
      <c r="AG59" s="131">
        <f t="shared" ref="AG59" si="233">AF59*(1+$W59)</f>
        <v>0.12189944199947574</v>
      </c>
      <c r="AH59" s="116" t="e">
        <f t="shared" ref="AH59" si="234">((AG59/J59)^(1/($AG$3-$K$1) ))-1</f>
        <v>#DIV/0!</v>
      </c>
      <c r="AI59" s="21">
        <f t="shared" si="18"/>
        <v>0.05</v>
      </c>
      <c r="AJ59" s="124">
        <f t="shared" si="1"/>
        <v>0.75290831823205617</v>
      </c>
    </row>
    <row r="60" spans="1:36">
      <c r="B60" s="10"/>
      <c r="C60" s="123"/>
      <c r="D60" s="123"/>
      <c r="E60" s="123"/>
      <c r="F60" s="128"/>
      <c r="G60" s="128" t="e">
        <f t="shared" ref="G60" si="235">(G59-E59)/E59</f>
        <v>#DIV/0!</v>
      </c>
      <c r="H60" s="128">
        <f t="shared" ref="H60" si="236">(H59-F59)/F59</f>
        <v>-1</v>
      </c>
      <c r="I60" s="128" t="e">
        <f t="shared" ref="I60" si="237">(I59-H59)/H59</f>
        <v>#DIV/0!</v>
      </c>
      <c r="J60" s="128" t="e">
        <f t="shared" ref="J60:U60" si="238">(J59-I59)/I59</f>
        <v>#DIV/0!</v>
      </c>
      <c r="K60" s="128" t="e">
        <f t="shared" si="238"/>
        <v>#DIV/0!</v>
      </c>
      <c r="L60" s="128" t="e">
        <f t="shared" si="238"/>
        <v>#DIV/0!</v>
      </c>
      <c r="M60" s="128">
        <f t="shared" si="238"/>
        <v>-0.99</v>
      </c>
      <c r="N60" s="128">
        <f t="shared" si="238"/>
        <v>0</v>
      </c>
      <c r="O60" s="128">
        <f t="shared" si="238"/>
        <v>0</v>
      </c>
      <c r="P60" s="128">
        <f t="shared" si="238"/>
        <v>0</v>
      </c>
      <c r="Q60" s="128">
        <f t="shared" si="238"/>
        <v>0</v>
      </c>
      <c r="R60" s="128">
        <f t="shared" si="238"/>
        <v>0</v>
      </c>
      <c r="S60" s="128">
        <f t="shared" si="238"/>
        <v>0</v>
      </c>
      <c r="T60" s="128">
        <f t="shared" si="238"/>
        <v>0</v>
      </c>
      <c r="U60" s="128">
        <f t="shared" si="238"/>
        <v>0</v>
      </c>
      <c r="V60" s="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 t="s">
        <v>517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01" t="e">
        <f t="shared" si="2"/>
        <v>#DIV/0!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 t="s">
        <v>516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01" t="e">
        <f t="shared" si="2"/>
        <v>#DIV/0!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01" t="e">
        <f t="shared" si="2"/>
        <v>#DIV/0!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 t="s">
        <v>530</v>
      </c>
      <c r="C64" s="10"/>
      <c r="D64" s="10"/>
      <c r="E64" s="109"/>
      <c r="F64" s="125"/>
      <c r="G64" s="321">
        <v>0</v>
      </c>
      <c r="H64" s="321">
        <v>0</v>
      </c>
      <c r="I64" s="321">
        <v>0</v>
      </c>
      <c r="J64" s="321">
        <v>0</v>
      </c>
      <c r="K64" s="321">
        <v>0</v>
      </c>
      <c r="L64" s="321">
        <v>0</v>
      </c>
      <c r="M64" s="321">
        <v>0</v>
      </c>
      <c r="N64" s="321">
        <v>0</v>
      </c>
      <c r="O64" s="321">
        <v>0</v>
      </c>
      <c r="P64" s="321">
        <v>0</v>
      </c>
      <c r="Q64" s="321">
        <v>0</v>
      </c>
      <c r="R64" s="321">
        <v>0</v>
      </c>
      <c r="S64" s="321">
        <v>0</v>
      </c>
      <c r="T64" s="321">
        <v>0</v>
      </c>
      <c r="U64" s="321">
        <v>5.0000000000000001E-3</v>
      </c>
      <c r="V64" s="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10"/>
      <c r="C65" s="10"/>
      <c r="D65" s="10"/>
      <c r="E65" s="109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/>
      <c r="C66" s="10"/>
      <c r="D66" s="10"/>
      <c r="E66" s="109"/>
      <c r="F66" s="109"/>
      <c r="G66" s="109"/>
      <c r="H66" s="109"/>
      <c r="I66" s="109"/>
      <c r="J66" s="10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17"/>
      <c r="AI66" s="115"/>
      <c r="AJ66" s="131"/>
    </row>
    <row r="67" spans="2:36">
      <c r="B67" s="93" t="s">
        <v>201</v>
      </c>
      <c r="C67" s="10"/>
      <c r="D67" s="10"/>
      <c r="E67" s="109"/>
      <c r="F67" s="109"/>
      <c r="G67" s="109"/>
      <c r="H67" s="109"/>
      <c r="I67" s="109"/>
      <c r="J67" s="10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17"/>
      <c r="AI67" s="115"/>
      <c r="AJ67" s="131"/>
    </row>
    <row r="68" spans="2:36">
      <c r="B68" s="10" t="s">
        <v>253</v>
      </c>
      <c r="C68" s="112"/>
      <c r="D68" s="112"/>
      <c r="E68" s="112"/>
      <c r="F68" s="112"/>
      <c r="G68" s="112">
        <f t="shared" ref="G68" si="239">G25/G57</f>
        <v>40.659340659340657</v>
      </c>
      <c r="H68" s="112">
        <f t="shared" ref="H68:I68" si="240">H25/H57</f>
        <v>37.362637362637365</v>
      </c>
      <c r="I68" s="112">
        <f t="shared" si="240"/>
        <v>56.043956043956044</v>
      </c>
      <c r="J68" s="112">
        <f t="shared" ref="J68:S68" si="241">J25/J57</f>
        <v>85.714285714285708</v>
      </c>
      <c r="K68" s="112">
        <f t="shared" si="241"/>
        <v>187.36263736263734</v>
      </c>
      <c r="L68" s="112">
        <f t="shared" si="241"/>
        <v>323.62637362637361</v>
      </c>
      <c r="M68" s="112">
        <f t="shared" si="241"/>
        <v>58.681318681318686</v>
      </c>
      <c r="N68" s="112">
        <f t="shared" si="241"/>
        <v>79.86213687838503</v>
      </c>
      <c r="O68" s="112">
        <f t="shared" si="241"/>
        <v>120.72870507139341</v>
      </c>
      <c r="P68" s="112">
        <f t="shared" si="241"/>
        <v>193.50073855243724</v>
      </c>
      <c r="Q68" s="112">
        <f t="shared" si="241"/>
        <v>246.87346134908913</v>
      </c>
      <c r="R68" s="112">
        <f t="shared" si="241"/>
        <v>273.43392775491537</v>
      </c>
      <c r="S68" s="112">
        <f t="shared" si="241"/>
        <v>287.76239392585973</v>
      </c>
      <c r="T68" s="112">
        <f t="shared" ref="T68:U68" si="242">T25/T57</f>
        <v>290.13906447534765</v>
      </c>
      <c r="U68" s="112">
        <f t="shared" si="242"/>
        <v>303.85412349772071</v>
      </c>
      <c r="V68" s="101">
        <f t="shared" si="2"/>
        <v>0.15449804063649619</v>
      </c>
      <c r="W68" s="110"/>
      <c r="X68" s="135">
        <f t="shared" ref="X68:AG68" si="243">X25/X57</f>
        <v>321.72789546817484</v>
      </c>
      <c r="Y68" s="135">
        <f t="shared" si="243"/>
        <v>340.65306578983223</v>
      </c>
      <c r="Z68" s="135">
        <f t="shared" si="243"/>
        <v>360.69148142452826</v>
      </c>
      <c r="AA68" s="135">
        <f t="shared" si="243"/>
        <v>381.90862739067705</v>
      </c>
      <c r="AB68" s="135">
        <f t="shared" si="243"/>
        <v>404.37384076659924</v>
      </c>
      <c r="AC68" s="135">
        <f t="shared" si="243"/>
        <v>428.1605372822815</v>
      </c>
      <c r="AD68" s="135">
        <f t="shared" si="243"/>
        <v>453.34645124006278</v>
      </c>
      <c r="AE68" s="135">
        <f t="shared" si="243"/>
        <v>480.01388954830173</v>
      </c>
      <c r="AF68" s="135">
        <f t="shared" si="243"/>
        <v>508.25000069820186</v>
      </c>
      <c r="AG68" s="135">
        <f t="shared" si="243"/>
        <v>538.14705956280204</v>
      </c>
      <c r="AH68" s="116">
        <f t="shared" ref="AH68" si="244">((AG68/J68)^(1/($AG$3-$K$1) ))-1</f>
        <v>7.9552224694241058E-2</v>
      </c>
      <c r="AI68" s="21">
        <f t="shared" si="18"/>
        <v>0.05</v>
      </c>
      <c r="AJ68" s="124">
        <f t="shared" ref="AJ68:AJ69" si="245">(AG68*(1+AI68))/($C$1-AI68)</f>
        <v>3323.8494855349541</v>
      </c>
    </row>
    <row r="69" spans="2:36">
      <c r="B69" s="10" t="s">
        <v>254</v>
      </c>
      <c r="C69" s="112"/>
      <c r="D69" s="112"/>
      <c r="E69" s="112"/>
      <c r="F69" s="112"/>
      <c r="G69" s="112">
        <f t="shared" ref="G69" si="246">G27/G57</f>
        <v>37.362637362637365</v>
      </c>
      <c r="H69" s="112">
        <f t="shared" ref="H69:I69" si="247">H27/H57</f>
        <v>34.065934065934066</v>
      </c>
      <c r="I69" s="112">
        <f t="shared" si="247"/>
        <v>51.64835164835165</v>
      </c>
      <c r="J69" s="112">
        <f t="shared" ref="J69:S69" si="248">J27/J57</f>
        <v>81.318681318681314</v>
      </c>
      <c r="K69" s="112">
        <f t="shared" si="248"/>
        <v>180.2197802197802</v>
      </c>
      <c r="L69" s="112">
        <f t="shared" si="248"/>
        <v>308.79120879120876</v>
      </c>
      <c r="M69" s="112">
        <f t="shared" si="248"/>
        <v>55.824175824175825</v>
      </c>
      <c r="N69" s="112">
        <f t="shared" si="248"/>
        <v>74.889217134416555</v>
      </c>
      <c r="O69" s="112">
        <f t="shared" si="248"/>
        <v>112.55539143279174</v>
      </c>
      <c r="P69" s="112">
        <f t="shared" si="248"/>
        <v>182.520925652388</v>
      </c>
      <c r="Q69" s="112">
        <f t="shared" si="248"/>
        <v>236.23830625307733</v>
      </c>
      <c r="R69" s="112">
        <f t="shared" si="248"/>
        <v>257.47599451303154</v>
      </c>
      <c r="S69" s="112">
        <f t="shared" si="248"/>
        <v>263.55515855292543</v>
      </c>
      <c r="T69" s="112">
        <f t="shared" ref="T69:U69" si="249">T27/T57</f>
        <v>278.00252844500631</v>
      </c>
      <c r="U69" s="112">
        <f t="shared" si="249"/>
        <v>281.68255283878989</v>
      </c>
      <c r="V69" s="101">
        <f t="shared" si="2"/>
        <v>0.15522316079013465</v>
      </c>
      <c r="W69" s="110"/>
      <c r="X69" s="135">
        <f t="shared" ref="X69:AG69" si="250">X27/X57</f>
        <v>298.25211477048339</v>
      </c>
      <c r="Y69" s="135">
        <f t="shared" si="250"/>
        <v>315.79635681580601</v>
      </c>
      <c r="Z69" s="135">
        <f t="shared" si="250"/>
        <v>334.37261309908871</v>
      </c>
      <c r="AA69" s="135">
        <f t="shared" si="250"/>
        <v>354.04159034021166</v>
      </c>
      <c r="AB69" s="135">
        <f t="shared" si="250"/>
        <v>374.86756624257703</v>
      </c>
      <c r="AC69" s="135">
        <f t="shared" si="250"/>
        <v>396.9185995509639</v>
      </c>
      <c r="AD69" s="135">
        <f t="shared" si="250"/>
        <v>420.26675246572648</v>
      </c>
      <c r="AE69" s="135">
        <f t="shared" si="250"/>
        <v>444.98832614018096</v>
      </c>
      <c r="AF69" s="135">
        <f t="shared" si="250"/>
        <v>471.16411003077985</v>
      </c>
      <c r="AG69" s="135">
        <f t="shared" si="250"/>
        <v>498.87964591494341</v>
      </c>
      <c r="AH69" s="116">
        <f t="shared" ref="AH69" si="251">((AG69/J69)^(1/($AG$3-$K$1) ))-1</f>
        <v>7.8512610394708915E-2</v>
      </c>
      <c r="AI69" s="21">
        <f t="shared" si="18"/>
        <v>0.05</v>
      </c>
      <c r="AJ69" s="124">
        <f t="shared" si="245"/>
        <v>3081.3154600628859</v>
      </c>
    </row>
    <row r="70" spans="2:36">
      <c r="B70" s="10" t="s">
        <v>372</v>
      </c>
      <c r="C70" s="112"/>
      <c r="D70" s="112"/>
      <c r="E70" s="112"/>
      <c r="F70" s="112"/>
      <c r="G70" s="112">
        <f t="shared" ref="G70" si="252">G53-G55</f>
        <v>1.7999999999999998</v>
      </c>
      <c r="H70" s="112">
        <f t="shared" ref="H70:I70" si="253">H53-H55</f>
        <v>0.79999999999999982</v>
      </c>
      <c r="I70" s="112">
        <f t="shared" si="253"/>
        <v>2.2999999999999998</v>
      </c>
      <c r="J70" s="112">
        <f>J53-J55</f>
        <v>1.27</v>
      </c>
      <c r="K70" s="112">
        <f t="shared" ref="K70:S70" si="254">K53-K55</f>
        <v>3</v>
      </c>
      <c r="L70" s="112">
        <f t="shared" si="254"/>
        <v>5</v>
      </c>
      <c r="M70" s="112">
        <f t="shared" si="254"/>
        <v>11</v>
      </c>
      <c r="N70" s="112">
        <f t="shared" si="254"/>
        <v>14</v>
      </c>
      <c r="O70" s="112">
        <f t="shared" si="254"/>
        <v>2</v>
      </c>
      <c r="P70" s="112">
        <f t="shared" si="254"/>
        <v>12</v>
      </c>
      <c r="Q70" s="112">
        <f t="shared" si="254"/>
        <v>23</v>
      </c>
      <c r="R70" s="112">
        <f t="shared" si="254"/>
        <v>30</v>
      </c>
      <c r="S70" s="112">
        <f t="shared" si="254"/>
        <v>64</v>
      </c>
      <c r="T70" s="112">
        <f t="shared" ref="T70:U70" si="255">T53-T55</f>
        <v>69</v>
      </c>
      <c r="U70" s="112">
        <f t="shared" si="255"/>
        <v>73</v>
      </c>
      <c r="V70" s="101">
        <f t="shared" si="2"/>
        <v>0.30274897352140084</v>
      </c>
      <c r="W70" s="110"/>
      <c r="X70" s="112">
        <f t="shared" ref="X70:AG70" si="256">X53-X55</f>
        <v>78.84</v>
      </c>
      <c r="Y70" s="112">
        <f t="shared" si="256"/>
        <v>85.147199999999998</v>
      </c>
      <c r="Z70" s="112">
        <f t="shared" si="256"/>
        <v>91.958976000000021</v>
      </c>
      <c r="AA70" s="112">
        <f t="shared" si="256"/>
        <v>99.315694080000043</v>
      </c>
      <c r="AB70" s="112">
        <f t="shared" si="256"/>
        <v>107.26094960640003</v>
      </c>
      <c r="AC70" s="112">
        <f t="shared" si="256"/>
        <v>115.84182557491206</v>
      </c>
      <c r="AD70" s="112">
        <f t="shared" si="256"/>
        <v>125.10917162090504</v>
      </c>
      <c r="AE70" s="112">
        <f t="shared" si="256"/>
        <v>135.11790535057744</v>
      </c>
      <c r="AF70" s="112">
        <f t="shared" si="256"/>
        <v>145.92733777862364</v>
      </c>
      <c r="AG70" s="112">
        <f t="shared" si="256"/>
        <v>157.60152480091352</v>
      </c>
      <c r="AH70" s="116">
        <f t="shared" ref="AH70" si="257">((AG70/J70)^(1/($AG$3-$K$1) ))-1</f>
        <v>0.22247465046379777</v>
      </c>
      <c r="AI70" s="21">
        <f t="shared" si="18"/>
        <v>0.05</v>
      </c>
      <c r="AJ70" s="124">
        <f t="shared" ref="AJ70" si="258">(AG70*(1+AI70))/($C$1-AI70)</f>
        <v>973.4211825938778</v>
      </c>
    </row>
    <row r="71" spans="2:36">
      <c r="B71" s="10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0"/>
      <c r="W71" s="10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02"/>
      <c r="AI71" s="115"/>
      <c r="AJ71" s="124"/>
    </row>
    <row r="72" spans="2:36">
      <c r="B72" s="10" t="s">
        <v>405</v>
      </c>
      <c r="C72" s="112"/>
      <c r="D72" s="112"/>
      <c r="E72" s="112"/>
      <c r="F72" s="15"/>
      <c r="G72" s="15">
        <f t="shared" ref="G72" si="259">G51/G57</f>
        <v>3.5054945054945055</v>
      </c>
      <c r="H72" s="15">
        <f t="shared" ref="H72:I72" si="260">H51/H57</f>
        <v>3.5164835164835164</v>
      </c>
      <c r="I72" s="15">
        <f t="shared" si="260"/>
        <v>4.2527472527472527</v>
      </c>
      <c r="J72" s="15">
        <f t="shared" ref="J72:S72" si="261">J51/J57</f>
        <v>4.6538461538461542</v>
      </c>
      <c r="K72" s="15">
        <f t="shared" si="261"/>
        <v>7.1428571428571423</v>
      </c>
      <c r="L72" s="15">
        <f t="shared" si="261"/>
        <v>14.835164835164834</v>
      </c>
      <c r="M72" s="15">
        <f t="shared" si="261"/>
        <v>2.8571428571428572</v>
      </c>
      <c r="N72" s="15">
        <f t="shared" si="261"/>
        <v>4.9236829148202856</v>
      </c>
      <c r="O72" s="15">
        <f t="shared" si="261"/>
        <v>8.1733136386016749</v>
      </c>
      <c r="P72" s="15">
        <f t="shared" si="261"/>
        <v>10.979812900049238</v>
      </c>
      <c r="Q72" s="15">
        <f t="shared" si="261"/>
        <v>14.426390940423438</v>
      </c>
      <c r="R72" s="15">
        <f t="shared" si="261"/>
        <v>15.957933241883859</v>
      </c>
      <c r="S72" s="15">
        <f t="shared" si="261"/>
        <v>17.329164805716836</v>
      </c>
      <c r="T72" s="15">
        <f>T51/T57</f>
        <v>19.089759797724398</v>
      </c>
      <c r="U72" s="15">
        <f>U51/U57</f>
        <v>22.213012847078328</v>
      </c>
      <c r="V72" s="101">
        <f t="shared" si="2"/>
        <v>0.14097356927314064</v>
      </c>
      <c r="W72" s="110"/>
      <c r="X72" s="96">
        <f>X51/X57</f>
        <v>23.519660661612345</v>
      </c>
      <c r="Y72" s="96">
        <f t="shared" ref="Y72:AG72" si="262">Y51/Y57</f>
        <v>24.903170112295427</v>
      </c>
      <c r="Z72" s="96">
        <f t="shared" si="262"/>
        <v>26.368062471842219</v>
      </c>
      <c r="AA72" s="96">
        <f t="shared" si="262"/>
        <v>27.919124970185884</v>
      </c>
      <c r="AB72" s="96">
        <f t="shared" si="262"/>
        <v>29.561426439020348</v>
      </c>
      <c r="AC72" s="96">
        <f t="shared" si="262"/>
        <v>31.300333876609781</v>
      </c>
      <c r="AD72" s="96">
        <f t="shared" si="262"/>
        <v>33.141529986998592</v>
      </c>
      <c r="AE72" s="96">
        <f t="shared" si="262"/>
        <v>35.091031750939685</v>
      </c>
      <c r="AF72" s="96">
        <f t="shared" si="262"/>
        <v>37.155210089230252</v>
      </c>
      <c r="AG72" s="96">
        <f t="shared" si="262"/>
        <v>39.340810682714384</v>
      </c>
      <c r="AH72" s="116">
        <f t="shared" ref="AH72:AH73" si="263">((AG72/J72)^(1/($AG$3-$K$1) ))-1</f>
        <v>9.3015456568060761E-2</v>
      </c>
      <c r="AI72" s="21">
        <f t="shared" si="18"/>
        <v>0.05</v>
      </c>
      <c r="AJ72" s="124">
        <f t="shared" ref="AJ72:AJ73" si="264">(AG72*(1+AI72))/($C$1-AI72)</f>
        <v>242.98736009911829</v>
      </c>
    </row>
    <row r="73" spans="2:36">
      <c r="B73" s="10" t="s">
        <v>406</v>
      </c>
      <c r="C73" s="112"/>
      <c r="D73" s="112"/>
      <c r="E73" s="112"/>
      <c r="F73" s="15"/>
      <c r="G73" s="15">
        <f t="shared" ref="G73" si="265">G53/G57</f>
        <v>2.5274725274725274</v>
      </c>
      <c r="H73" s="15">
        <f t="shared" ref="H73:I73" si="266">H53/H57</f>
        <v>1.6483516483516483</v>
      </c>
      <c r="I73" s="15">
        <f t="shared" si="266"/>
        <v>2.7472527472527473</v>
      </c>
      <c r="J73" s="15">
        <f t="shared" ref="J73:S73" si="267">J53/J57</f>
        <v>2.7472527472527473</v>
      </c>
      <c r="K73" s="15">
        <f t="shared" si="267"/>
        <v>3.8461538461538458</v>
      </c>
      <c r="L73" s="15">
        <f t="shared" si="267"/>
        <v>7.6923076923076916</v>
      </c>
      <c r="M73" s="15">
        <f t="shared" si="267"/>
        <v>1.5934065934065935</v>
      </c>
      <c r="N73" s="15">
        <f t="shared" si="267"/>
        <v>2.9542097488921715</v>
      </c>
      <c r="O73" s="15">
        <f t="shared" si="267"/>
        <v>4.6282619399310692</v>
      </c>
      <c r="P73" s="15">
        <f t="shared" si="267"/>
        <v>5.7607090103397347</v>
      </c>
      <c r="Q73" s="15">
        <f t="shared" si="267"/>
        <v>8.271787296898081</v>
      </c>
      <c r="R73" s="15">
        <f t="shared" si="267"/>
        <v>8.9620484682213082</v>
      </c>
      <c r="S73" s="15">
        <f t="shared" si="267"/>
        <v>10.585082626172397</v>
      </c>
      <c r="T73" s="15">
        <f>T53/T57</f>
        <v>11.083017277707542</v>
      </c>
      <c r="U73" s="15">
        <f>U53/U57</f>
        <v>6.8379610443431416</v>
      </c>
      <c r="V73" s="101">
        <f t="shared" ref="V73:V136" si="268">((U73/G73)^(1/($K$2-$K$1) ))-1</f>
        <v>7.3678603477104865E-2</v>
      </c>
      <c r="W73" s="110"/>
      <c r="X73" s="96">
        <f>X53/X57</f>
        <v>7.2401940469515615</v>
      </c>
      <c r="Y73" s="96">
        <f t="shared" ref="Y73:AG73" si="269">Y53/Y57</f>
        <v>7.666087814419301</v>
      </c>
      <c r="Z73" s="96">
        <f t="shared" si="269"/>
        <v>8.1170341564439674</v>
      </c>
      <c r="AA73" s="96">
        <f t="shared" si="269"/>
        <v>8.5945067538818485</v>
      </c>
      <c r="AB73" s="96">
        <f t="shared" si="269"/>
        <v>9.1000659746984276</v>
      </c>
      <c r="AC73" s="96">
        <f t="shared" si="269"/>
        <v>9.6353639732101009</v>
      </c>
      <c r="AD73" s="96">
        <f t="shared" si="269"/>
        <v>10.202150089281284</v>
      </c>
      <c r="AE73" s="96">
        <f t="shared" si="269"/>
        <v>10.802276565121359</v>
      </c>
      <c r="AF73" s="96">
        <f t="shared" si="269"/>
        <v>11.437704598363791</v>
      </c>
      <c r="AG73" s="96">
        <f t="shared" si="269"/>
        <v>12.11051075120872</v>
      </c>
      <c r="AH73" s="116">
        <f t="shared" si="263"/>
        <v>6.3761643675627866E-2</v>
      </c>
      <c r="AI73" s="21">
        <f t="shared" si="18"/>
        <v>0.05</v>
      </c>
      <c r="AJ73" s="124">
        <f t="shared" si="264"/>
        <v>74.800213463347987</v>
      </c>
    </row>
    <row r="74" spans="2:36">
      <c r="B74" s="10" t="s">
        <v>215</v>
      </c>
      <c r="C74" s="15"/>
      <c r="D74" s="15"/>
      <c r="E74" s="15"/>
      <c r="F74" s="112"/>
      <c r="G74" s="112">
        <f t="shared" ref="G74" si="270">G55/G57</f>
        <v>1.5384615384615383</v>
      </c>
      <c r="H74" s="112">
        <f t="shared" ref="H74:I74" si="271">H55/H57</f>
        <v>1.2087912087912089</v>
      </c>
      <c r="I74" s="112">
        <f t="shared" si="271"/>
        <v>1.4835164835164836</v>
      </c>
      <c r="J74" s="112">
        <f t="shared" ref="J74:S74" si="272">J55/J57</f>
        <v>2.0494505494505493</v>
      </c>
      <c r="K74" s="112">
        <f t="shared" si="272"/>
        <v>2.1978021978021975</v>
      </c>
      <c r="L74" s="112">
        <f t="shared" si="272"/>
        <v>4.9450549450549453</v>
      </c>
      <c r="M74" s="112">
        <f t="shared" si="272"/>
        <v>0.98901098901098905</v>
      </c>
      <c r="N74" s="112">
        <f t="shared" si="272"/>
        <v>2.2648941408173315</v>
      </c>
      <c r="O74" s="112">
        <f t="shared" si="272"/>
        <v>4.5297882816346631</v>
      </c>
      <c r="P74" s="112">
        <f t="shared" si="272"/>
        <v>5.1698670605613</v>
      </c>
      <c r="Q74" s="112">
        <f t="shared" si="272"/>
        <v>7.1393402264894146</v>
      </c>
      <c r="R74" s="112">
        <f t="shared" si="272"/>
        <v>7.5903063557384538</v>
      </c>
      <c r="S74" s="112">
        <f t="shared" si="272"/>
        <v>7.7266636891469407</v>
      </c>
      <c r="T74" s="112">
        <f t="shared" ref="T74:U74" si="273">T55/T57</f>
        <v>8.175305520438263</v>
      </c>
      <c r="U74" s="112">
        <f t="shared" si="273"/>
        <v>3.8126813095731458</v>
      </c>
      <c r="V74" s="101">
        <f t="shared" si="268"/>
        <v>6.6972271228710856E-2</v>
      </c>
      <c r="W74" s="110"/>
      <c r="X74" s="135">
        <f t="shared" ref="X74:AG74" si="274">X55/X57</f>
        <v>4.0369566807245079</v>
      </c>
      <c r="Y74" s="135">
        <f t="shared" si="274"/>
        <v>4.2744247207671258</v>
      </c>
      <c r="Z74" s="135">
        <f t="shared" si="274"/>
        <v>4.5258614690475447</v>
      </c>
      <c r="AA74" s="135">
        <f t="shared" si="274"/>
        <v>4.7920886142856363</v>
      </c>
      <c r="AB74" s="135">
        <f t="shared" si="274"/>
        <v>5.0739761798318508</v>
      </c>
      <c r="AC74" s="135">
        <f t="shared" si="274"/>
        <v>5.3724453668807834</v>
      </c>
      <c r="AD74" s="135">
        <f t="shared" si="274"/>
        <v>5.6884715649325939</v>
      </c>
      <c r="AE74" s="135">
        <f t="shared" si="274"/>
        <v>6.0230875393403931</v>
      </c>
      <c r="AF74" s="135">
        <f t="shared" si="274"/>
        <v>6.3773868063604171</v>
      </c>
      <c r="AG74" s="135">
        <f t="shared" si="274"/>
        <v>6.752527206734559</v>
      </c>
      <c r="AH74" s="116">
        <f t="shared" ref="AH74:AH88" si="275">((AG74/J74)^(1/($AG$3-$K$1) ))-1</f>
        <v>5.0935842689759925E-2</v>
      </c>
      <c r="AI74" s="21">
        <f t="shared" si="18"/>
        <v>0.05</v>
      </c>
      <c r="AJ74" s="124">
        <f t="shared" ref="AJ74:AJ102" si="276">(AG74*(1+AI74))/($C$1-AI74)</f>
        <v>41.706785688654634</v>
      </c>
    </row>
    <row r="75" spans="2:36">
      <c r="B75" s="10" t="s">
        <v>333</v>
      </c>
      <c r="C75" s="112"/>
      <c r="D75" s="112"/>
      <c r="E75" s="112"/>
      <c r="F75" s="112"/>
      <c r="G75" s="112">
        <f t="shared" ref="G75" si="277">G20/G57</f>
        <v>0</v>
      </c>
      <c r="H75" s="112">
        <f t="shared" ref="H75:I75" si="278">H20/H57</f>
        <v>0</v>
      </c>
      <c r="I75" s="112">
        <f t="shared" si="278"/>
        <v>0</v>
      </c>
      <c r="J75" s="112">
        <f>J20/J57</f>
        <v>0</v>
      </c>
      <c r="K75" s="112">
        <f t="shared" ref="K75:S75" si="279">K20/K57</f>
        <v>0</v>
      </c>
      <c r="L75" s="112">
        <f t="shared" si="279"/>
        <v>0</v>
      </c>
      <c r="M75" s="112">
        <f t="shared" si="279"/>
        <v>0</v>
      </c>
      <c r="N75" s="112">
        <f t="shared" si="279"/>
        <v>0</v>
      </c>
      <c r="O75" s="112">
        <f t="shared" si="279"/>
        <v>0</v>
      </c>
      <c r="P75" s="112">
        <f t="shared" si="279"/>
        <v>0</v>
      </c>
      <c r="Q75" s="112">
        <f t="shared" si="279"/>
        <v>0</v>
      </c>
      <c r="R75" s="112">
        <f t="shared" si="279"/>
        <v>0</v>
      </c>
      <c r="S75" s="112">
        <f t="shared" si="279"/>
        <v>0</v>
      </c>
      <c r="T75" s="112">
        <f t="shared" ref="T75:U75" si="280">T20/T57</f>
        <v>0</v>
      </c>
      <c r="U75" s="112">
        <f t="shared" si="280"/>
        <v>0</v>
      </c>
      <c r="V75" s="101" t="e">
        <f t="shared" si="268"/>
        <v>#DIV/0!</v>
      </c>
      <c r="W75" s="110"/>
      <c r="X75" s="112">
        <f t="shared" ref="X75:AG75" si="281">X20/X57</f>
        <v>0</v>
      </c>
      <c r="Y75" s="112">
        <f t="shared" si="281"/>
        <v>0</v>
      </c>
      <c r="Z75" s="112">
        <f t="shared" si="281"/>
        <v>0</v>
      </c>
      <c r="AA75" s="112">
        <f t="shared" si="281"/>
        <v>0</v>
      </c>
      <c r="AB75" s="112">
        <f t="shared" si="281"/>
        <v>0</v>
      </c>
      <c r="AC75" s="112">
        <f t="shared" si="281"/>
        <v>0</v>
      </c>
      <c r="AD75" s="112">
        <f t="shared" si="281"/>
        <v>0</v>
      </c>
      <c r="AE75" s="112">
        <f t="shared" si="281"/>
        <v>0</v>
      </c>
      <c r="AF75" s="112">
        <f t="shared" si="281"/>
        <v>0</v>
      </c>
      <c r="AG75" s="112">
        <f t="shared" si="281"/>
        <v>0</v>
      </c>
      <c r="AH75" s="116" t="e">
        <f t="shared" ref="AH75" si="282">((AG75/J75)^(1/($AG$3-$K$1) ))-1</f>
        <v>#DIV/0!</v>
      </c>
      <c r="AI75" s="21">
        <f t="shared" si="18"/>
        <v>0.05</v>
      </c>
      <c r="AJ75" s="124">
        <f t="shared" si="276"/>
        <v>0</v>
      </c>
    </row>
    <row r="76" spans="2:36">
      <c r="B76" s="10" t="s">
        <v>203</v>
      </c>
      <c r="C76" s="15"/>
      <c r="D76" s="15"/>
      <c r="E76" s="15"/>
      <c r="F76" s="112"/>
      <c r="G76" s="112">
        <f t="shared" ref="G76" si="283">G7/G57</f>
        <v>6.5934065934065931</v>
      </c>
      <c r="H76" s="112">
        <f t="shared" ref="H76:I76" si="284">H7/H57</f>
        <v>7.6923076923076916</v>
      </c>
      <c r="I76" s="112">
        <f t="shared" si="284"/>
        <v>8.7912087912087902</v>
      </c>
      <c r="J76" s="112">
        <f t="shared" ref="J76:S76" si="285">J7/J57</f>
        <v>10.989010989010989</v>
      </c>
      <c r="K76" s="112">
        <f t="shared" si="285"/>
        <v>13.736263736263735</v>
      </c>
      <c r="L76" s="112">
        <f t="shared" si="285"/>
        <v>17.58241758241758</v>
      </c>
      <c r="M76" s="112">
        <f t="shared" si="285"/>
        <v>2.6373626373626373</v>
      </c>
      <c r="N76" s="112">
        <f t="shared" si="285"/>
        <v>4.48055145248646</v>
      </c>
      <c r="O76" s="112">
        <f t="shared" si="285"/>
        <v>8.911866075824717</v>
      </c>
      <c r="P76" s="112">
        <f t="shared" si="285"/>
        <v>13.983259478089613</v>
      </c>
      <c r="Q76" s="112">
        <f t="shared" si="285"/>
        <v>21.073362875430824</v>
      </c>
      <c r="R76" s="112">
        <f t="shared" si="285"/>
        <v>30.40695016003658</v>
      </c>
      <c r="S76" s="112">
        <f t="shared" si="285"/>
        <v>38.58865564984368</v>
      </c>
      <c r="T76" s="112">
        <f t="shared" ref="T76:U76" si="286">T7/T57</f>
        <v>47.071217867678044</v>
      </c>
      <c r="U76" s="112">
        <f t="shared" si="286"/>
        <v>52.051388313302944</v>
      </c>
      <c r="V76" s="101">
        <f t="shared" si="268"/>
        <v>0.1590294238804375</v>
      </c>
      <c r="W76" s="110"/>
      <c r="X76" s="135">
        <f t="shared" ref="X76:AG76" si="287">X7/X57</f>
        <v>55.113234684673706</v>
      </c>
      <c r="Y76" s="135">
        <f t="shared" si="287"/>
        <v>58.355189666125099</v>
      </c>
      <c r="Z76" s="135">
        <f t="shared" si="287"/>
        <v>61.787847881779527</v>
      </c>
      <c r="AA76" s="135">
        <f t="shared" si="287"/>
        <v>65.422427168943031</v>
      </c>
      <c r="AB76" s="135">
        <f t="shared" si="287"/>
        <v>69.270805237704394</v>
      </c>
      <c r="AC76" s="135">
        <f t="shared" si="287"/>
        <v>73.345558486981133</v>
      </c>
      <c r="AD76" s="135">
        <f t="shared" si="287"/>
        <v>77.660003103862365</v>
      </c>
      <c r="AE76" s="135">
        <f t="shared" si="287"/>
        <v>82.228238580560145</v>
      </c>
      <c r="AF76" s="135">
        <f t="shared" si="287"/>
        <v>87.065193791181329</v>
      </c>
      <c r="AG76" s="135">
        <f t="shared" si="287"/>
        <v>92.186675778897879</v>
      </c>
      <c r="AH76" s="116">
        <f t="shared" si="275"/>
        <v>9.2667178109484993E-2</v>
      </c>
      <c r="AI76" s="21">
        <f t="shared" si="18"/>
        <v>0.05</v>
      </c>
      <c r="AJ76" s="124">
        <f t="shared" si="276"/>
        <v>569.38829157554574</v>
      </c>
    </row>
    <row r="77" spans="2:36">
      <c r="B77" s="10" t="s">
        <v>204</v>
      </c>
      <c r="C77" s="109"/>
      <c r="D77" s="109"/>
      <c r="E77" s="109"/>
      <c r="F77" s="122"/>
      <c r="G77" s="122">
        <f t="shared" ref="G77" si="288">G6/G57</f>
        <v>-3.2967032967032965</v>
      </c>
      <c r="H77" s="122">
        <f t="shared" ref="H77:I77" si="289">H6/H57</f>
        <v>-2.1978021978021975</v>
      </c>
      <c r="I77" s="122">
        <f t="shared" si="289"/>
        <v>-1.0989010989010988</v>
      </c>
      <c r="J77" s="122">
        <f t="shared" ref="J77:S77" si="290">J6/J57</f>
        <v>1.0989010989010988</v>
      </c>
      <c r="K77" s="122">
        <f t="shared" si="290"/>
        <v>3.2967032967032965</v>
      </c>
      <c r="L77" s="122">
        <f t="shared" si="290"/>
        <v>7.6923076923076916</v>
      </c>
      <c r="M77" s="122">
        <f t="shared" si="290"/>
        <v>1.5934065934065935</v>
      </c>
      <c r="N77" s="122">
        <f t="shared" si="290"/>
        <v>3.4465780403742001</v>
      </c>
      <c r="O77" s="122">
        <f t="shared" si="290"/>
        <v>7.8778926637124576</v>
      </c>
      <c r="P77" s="122">
        <f t="shared" si="290"/>
        <v>12.998522895125555</v>
      </c>
      <c r="Q77" s="122">
        <f t="shared" si="290"/>
        <v>20.088626292466767</v>
      </c>
      <c r="R77" s="122">
        <f t="shared" si="290"/>
        <v>28.532235939643346</v>
      </c>
      <c r="S77" s="122">
        <f t="shared" si="290"/>
        <v>37.025457793657885</v>
      </c>
      <c r="T77" s="122">
        <f t="shared" ref="T77:U77" si="291">T6/T57</f>
        <v>46.059839865149598</v>
      </c>
      <c r="U77" s="122">
        <f t="shared" si="291"/>
        <v>51.056775797762121</v>
      </c>
      <c r="V77" s="101" t="e">
        <f t="shared" si="268"/>
        <v>#NUM!</v>
      </c>
      <c r="W77" s="110"/>
      <c r="X77" s="134">
        <f t="shared" ref="X77:AG77" si="292">X6/X57</f>
        <v>54.060115550571666</v>
      </c>
      <c r="Y77" s="134">
        <f t="shared" si="292"/>
        <v>57.240122347664119</v>
      </c>
      <c r="Z77" s="134">
        <f t="shared" si="292"/>
        <v>60.607188368114961</v>
      </c>
      <c r="AA77" s="134">
        <f t="shared" si="292"/>
        <v>64.172317095651138</v>
      </c>
      <c r="AB77" s="134">
        <f t="shared" si="292"/>
        <v>67.94715927774827</v>
      </c>
      <c r="AC77" s="134">
        <f t="shared" si="292"/>
        <v>71.944050999968766</v>
      </c>
      <c r="AD77" s="134">
        <f t="shared" si="292"/>
        <v>76.176053999966911</v>
      </c>
      <c r="AE77" s="134">
        <f t="shared" si="292"/>
        <v>80.656998352906143</v>
      </c>
      <c r="AF77" s="134">
        <f t="shared" si="292"/>
        <v>85.401527667782972</v>
      </c>
      <c r="AG77" s="134">
        <f t="shared" si="292"/>
        <v>90.425146942358438</v>
      </c>
      <c r="AH77" s="116">
        <f t="shared" si="275"/>
        <v>0.20172595804893878</v>
      </c>
      <c r="AI77" s="21">
        <f t="shared" si="18"/>
        <v>0.05</v>
      </c>
      <c r="AJ77" s="124">
        <f t="shared" si="276"/>
        <v>558.50826052633158</v>
      </c>
    </row>
    <row r="78" spans="2:36">
      <c r="B78" s="10" t="s">
        <v>205</v>
      </c>
      <c r="C78" s="109"/>
      <c r="D78" s="109"/>
      <c r="E78" s="109"/>
      <c r="F78" s="122"/>
      <c r="G78" s="122">
        <f t="shared" ref="G78" si="293">G10/G57</f>
        <v>7.6923076923076916</v>
      </c>
      <c r="H78" s="122">
        <f t="shared" ref="H78:I78" si="294">H10/H57</f>
        <v>5.4945054945054945</v>
      </c>
      <c r="I78" s="122">
        <f t="shared" si="294"/>
        <v>5.4945054945054945</v>
      </c>
      <c r="J78" s="122">
        <f t="shared" ref="J78:S78" si="295">J10/J57</f>
        <v>8.2417582417582409</v>
      </c>
      <c r="K78" s="122">
        <f t="shared" si="295"/>
        <v>19.23076923076923</v>
      </c>
      <c r="L78" s="122">
        <f t="shared" si="295"/>
        <v>50</v>
      </c>
      <c r="M78" s="122">
        <f t="shared" si="295"/>
        <v>12.032967032967033</v>
      </c>
      <c r="N78" s="122">
        <f t="shared" si="295"/>
        <v>19.793205317577549</v>
      </c>
      <c r="O78" s="122">
        <f t="shared" si="295"/>
        <v>32.102412604628263</v>
      </c>
      <c r="P78" s="122">
        <f t="shared" si="295"/>
        <v>46.479566715903502</v>
      </c>
      <c r="Q78" s="122">
        <f t="shared" si="295"/>
        <v>53.028064992614482</v>
      </c>
      <c r="R78" s="122">
        <f t="shared" si="295"/>
        <v>56.515775034293547</v>
      </c>
      <c r="S78" s="122">
        <f t="shared" si="295"/>
        <v>65.654309959803484</v>
      </c>
      <c r="T78" s="122">
        <f t="shared" ref="T78:U78" si="296">T10/T57</f>
        <v>66.961651917404126</v>
      </c>
      <c r="U78" s="122">
        <f t="shared" si="296"/>
        <v>65.851636966431826</v>
      </c>
      <c r="V78" s="101">
        <f t="shared" si="268"/>
        <v>0.16575651693418192</v>
      </c>
      <c r="W78" s="110"/>
      <c r="X78" s="134">
        <f t="shared" ref="X78:AG78" si="297">X10/X57</f>
        <v>69.725262670339589</v>
      </c>
      <c r="Y78" s="134">
        <f t="shared" si="297"/>
        <v>73.826748709771323</v>
      </c>
      <c r="Z78" s="134">
        <f t="shared" si="297"/>
        <v>78.16949863387552</v>
      </c>
      <c r="AA78" s="134">
        <f t="shared" si="297"/>
        <v>82.767704435868211</v>
      </c>
      <c r="AB78" s="134">
        <f t="shared" si="297"/>
        <v>87.63639293209576</v>
      </c>
      <c r="AC78" s="134">
        <f t="shared" si="297"/>
        <v>92.791474869277863</v>
      </c>
      <c r="AD78" s="134">
        <f t="shared" si="297"/>
        <v>98.249796920411868</v>
      </c>
      <c r="AE78" s="134">
        <f t="shared" si="297"/>
        <v>104.02919673925962</v>
      </c>
      <c r="AF78" s="134">
        <f t="shared" si="297"/>
        <v>110.14856125333372</v>
      </c>
      <c r="AG78" s="134">
        <f t="shared" si="297"/>
        <v>116.62788838588277</v>
      </c>
      <c r="AH78" s="116">
        <f t="shared" si="275"/>
        <v>0.11673280103235495</v>
      </c>
      <c r="AI78" s="21">
        <f t="shared" si="18"/>
        <v>0.05</v>
      </c>
      <c r="AJ78" s="124">
        <f t="shared" si="276"/>
        <v>720.34872238339369</v>
      </c>
    </row>
    <row r="79" spans="2:36">
      <c r="B79" s="10"/>
      <c r="C79" s="109"/>
      <c r="D79" s="109"/>
      <c r="E79" s="109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0"/>
      <c r="W79" s="10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17"/>
      <c r="AI79" s="115"/>
      <c r="AJ79" s="124"/>
    </row>
    <row r="80" spans="2:36">
      <c r="B80" s="10" t="s">
        <v>222</v>
      </c>
      <c r="C80" s="109"/>
      <c r="D80" s="109"/>
      <c r="E80" s="109"/>
      <c r="F80" s="122"/>
      <c r="G80" s="122">
        <f t="shared" ref="G80" si="298">(G7-G10)/G57</f>
        <v>-1.0989010989010988</v>
      </c>
      <c r="H80" s="122">
        <f t="shared" ref="H80:I80" si="299">(H7-H10)/H57</f>
        <v>2.1978021978021975</v>
      </c>
      <c r="I80" s="122">
        <f t="shared" si="299"/>
        <v>3.2967032967032965</v>
      </c>
      <c r="J80" s="122">
        <f t="shared" ref="J80:S80" si="300">(J7-J10)/J57</f>
        <v>2.7472527472527473</v>
      </c>
      <c r="K80" s="122">
        <f t="shared" si="300"/>
        <v>-5.4945054945054945</v>
      </c>
      <c r="L80" s="122">
        <f t="shared" si="300"/>
        <v>-32.417582417582416</v>
      </c>
      <c r="M80" s="122">
        <f t="shared" si="300"/>
        <v>-9.395604395604396</v>
      </c>
      <c r="N80" s="122">
        <f t="shared" si="300"/>
        <v>-15.31265386509109</v>
      </c>
      <c r="O80" s="122">
        <f t="shared" si="300"/>
        <v>-23.190546528803548</v>
      </c>
      <c r="P80" s="122">
        <f t="shared" si="300"/>
        <v>-32.496307237813888</v>
      </c>
      <c r="Q80" s="122">
        <f t="shared" si="300"/>
        <v>-31.954702117183654</v>
      </c>
      <c r="R80" s="122">
        <f t="shared" si="300"/>
        <v>-26.108824874256971</v>
      </c>
      <c r="S80" s="122">
        <f t="shared" si="300"/>
        <v>-27.065654309959804</v>
      </c>
      <c r="T80" s="122">
        <f t="shared" ref="T80:U80" si="301">(T7-T10)/T57</f>
        <v>-19.890434049726085</v>
      </c>
      <c r="U80" s="122">
        <f t="shared" si="301"/>
        <v>-13.800248653128886</v>
      </c>
      <c r="V80" s="101">
        <f t="shared" si="268"/>
        <v>0.19810499519570435</v>
      </c>
      <c r="W80" s="110"/>
      <c r="X80" s="134">
        <f t="shared" ref="X80:AG80" si="302">(X7-X10)/X57</f>
        <v>-14.612027985665883</v>
      </c>
      <c r="Y80" s="134">
        <f t="shared" si="302"/>
        <v>-15.471559043646224</v>
      </c>
      <c r="Z80" s="134">
        <f t="shared" si="302"/>
        <v>-16.381650752096</v>
      </c>
      <c r="AA80" s="134">
        <f t="shared" si="302"/>
        <v>-17.345277266925173</v>
      </c>
      <c r="AB80" s="134">
        <f t="shared" si="302"/>
        <v>-18.365587694391365</v>
      </c>
      <c r="AC80" s="134">
        <f t="shared" si="302"/>
        <v>-19.44591638229674</v>
      </c>
      <c r="AD80" s="134">
        <f t="shared" si="302"/>
        <v>-20.589793816549495</v>
      </c>
      <c r="AE80" s="134">
        <f t="shared" si="302"/>
        <v>-21.80095815869948</v>
      </c>
      <c r="AF80" s="134">
        <f t="shared" si="302"/>
        <v>-23.083367462152392</v>
      </c>
      <c r="AG80" s="134">
        <f t="shared" si="302"/>
        <v>-24.441212606984887</v>
      </c>
      <c r="AH80" s="116" t="e">
        <f t="shared" si="275"/>
        <v>#NUM!</v>
      </c>
      <c r="AI80" s="21">
        <f t="shared" si="18"/>
        <v>0.05</v>
      </c>
      <c r="AJ80" s="124">
        <f t="shared" si="276"/>
        <v>-150.96043080784784</v>
      </c>
    </row>
    <row r="81" spans="2:36">
      <c r="B81" s="10" t="s">
        <v>223</v>
      </c>
      <c r="C81" s="109"/>
      <c r="D81" s="109"/>
      <c r="E81" s="109"/>
      <c r="F81" s="122"/>
      <c r="G81" s="122">
        <f t="shared" ref="G81" si="303">(G7-G10-G9)/G57</f>
        <v>-3.1153846153846154</v>
      </c>
      <c r="H81" s="122">
        <f t="shared" ref="H81:I81" si="304">(H7-H10-H9)/H57</f>
        <v>-0.68681318681318682</v>
      </c>
      <c r="I81" s="122">
        <f t="shared" si="304"/>
        <v>-3.8461538461538458</v>
      </c>
      <c r="J81" s="122">
        <f t="shared" ref="J81:S81" si="305">(J7-J10-J9)/J57</f>
        <v>-14.835164835164834</v>
      </c>
      <c r="K81" s="122">
        <f t="shared" si="305"/>
        <v>-41.208791208791204</v>
      </c>
      <c r="L81" s="122">
        <f t="shared" si="305"/>
        <v>-83.516483516483518</v>
      </c>
      <c r="M81" s="122">
        <f t="shared" si="305"/>
        <v>-12.802197802197803</v>
      </c>
      <c r="N81" s="122">
        <f t="shared" si="305"/>
        <v>-17.725258493353028</v>
      </c>
      <c r="O81" s="122">
        <f t="shared" si="305"/>
        <v>-25.455440669620877</v>
      </c>
      <c r="P81" s="122">
        <f t="shared" si="305"/>
        <v>-38.355489906450025</v>
      </c>
      <c r="Q81" s="122">
        <f t="shared" si="305"/>
        <v>-42.442146725750867</v>
      </c>
      <c r="R81" s="122">
        <f t="shared" si="305"/>
        <v>-30.315500685871054</v>
      </c>
      <c r="S81" s="122">
        <f t="shared" si="305"/>
        <v>-34.479678427869587</v>
      </c>
      <c r="T81" s="122">
        <f t="shared" ref="T81:U81" si="306">(T7-T10-T9)/T57</f>
        <v>-33.206911083017275</v>
      </c>
      <c r="U81" s="122">
        <f t="shared" si="306"/>
        <v>-26.89598010774969</v>
      </c>
      <c r="V81" s="101">
        <f t="shared" si="268"/>
        <v>0.16645957695150204</v>
      </c>
      <c r="W81" s="110"/>
      <c r="X81" s="134">
        <f t="shared" ref="X81:AG81" si="307">(X7-X10-X9)/X57</f>
        <v>-28.478096584676145</v>
      </c>
      <c r="Y81" s="134">
        <f t="shared" si="307"/>
        <v>-30.153278736715915</v>
      </c>
      <c r="Z81" s="134">
        <f t="shared" si="307"/>
        <v>-31.927001015346264</v>
      </c>
      <c r="AA81" s="134">
        <f t="shared" si="307"/>
        <v>-33.805059898601925</v>
      </c>
      <c r="AB81" s="134">
        <f t="shared" si="307"/>
        <v>-35.793592833813811</v>
      </c>
      <c r="AC81" s="134">
        <f t="shared" si="307"/>
        <v>-37.899098294626384</v>
      </c>
      <c r="AD81" s="134">
        <f t="shared" si="307"/>
        <v>-40.128457017839715</v>
      </c>
      <c r="AE81" s="134">
        <f t="shared" si="307"/>
        <v>-42.488954489477358</v>
      </c>
      <c r="AF81" s="134">
        <f t="shared" si="307"/>
        <v>-44.988304753564258</v>
      </c>
      <c r="AG81" s="134">
        <f t="shared" si="307"/>
        <v>-47.634675621420982</v>
      </c>
      <c r="AH81" s="116">
        <f t="shared" si="275"/>
        <v>4.9807372005171269E-2</v>
      </c>
      <c r="AI81" s="21">
        <f t="shared" si="18"/>
        <v>0.05</v>
      </c>
      <c r="AJ81" s="124">
        <f t="shared" si="276"/>
        <v>-294.21417295583552</v>
      </c>
    </row>
    <row r="82" spans="2:36">
      <c r="B82" s="10" t="s">
        <v>228</v>
      </c>
      <c r="C82" s="109"/>
      <c r="D82" s="109"/>
      <c r="E82" s="109"/>
      <c r="F82" s="122"/>
      <c r="G82" s="122">
        <f t="shared" ref="G82" si="308">(G7+G15-G10-G9)/G57</f>
        <v>5.6758241758241761</v>
      </c>
      <c r="H82" s="122">
        <f t="shared" ref="H82:I82" si="309">(H7+H15-H10-H9)/H57</f>
        <v>9.2032967032967026</v>
      </c>
      <c r="I82" s="122">
        <f t="shared" si="309"/>
        <v>11.538461538461538</v>
      </c>
      <c r="J82" s="122">
        <f t="shared" ref="J82:S82" si="310">(J7+J15-J10-J9)/J57</f>
        <v>8.2417582417582409</v>
      </c>
      <c r="K82" s="122">
        <f t="shared" si="310"/>
        <v>9.3406593406593412</v>
      </c>
      <c r="L82" s="122">
        <f t="shared" si="310"/>
        <v>20.87912087912088</v>
      </c>
      <c r="M82" s="122">
        <f t="shared" si="310"/>
        <v>4.2857142857142856</v>
      </c>
      <c r="N82" s="122">
        <f t="shared" si="310"/>
        <v>5.8591826686361399</v>
      </c>
      <c r="O82" s="122">
        <f t="shared" si="310"/>
        <v>12.604628261939931</v>
      </c>
      <c r="P82" s="122">
        <f t="shared" si="310"/>
        <v>20.728705071393403</v>
      </c>
      <c r="Q82" s="122">
        <f t="shared" si="310"/>
        <v>33.874938453963566</v>
      </c>
      <c r="R82" s="122">
        <f t="shared" si="310"/>
        <v>45.907636031092821</v>
      </c>
      <c r="S82" s="122">
        <f t="shared" si="310"/>
        <v>50.915587315765968</v>
      </c>
      <c r="T82" s="122">
        <f t="shared" ref="T82:U82" si="311">(T7+T15-T10-T9)/T57</f>
        <v>52.886641382216602</v>
      </c>
      <c r="U82" s="122">
        <f t="shared" si="311"/>
        <v>57.770410277662663</v>
      </c>
      <c r="V82" s="101">
        <f t="shared" si="268"/>
        <v>0.18025784054659311</v>
      </c>
      <c r="W82" s="110"/>
      <c r="X82" s="134">
        <f t="shared" ref="X82:AG82" si="312">(X7+X15-X10-X9)/X57</f>
        <v>61.168669705760465</v>
      </c>
      <c r="Y82" s="134">
        <f t="shared" si="312"/>
        <v>64.7668267472758</v>
      </c>
      <c r="Z82" s="134">
        <f t="shared" si="312"/>
        <v>68.576640085350874</v>
      </c>
      <c r="AA82" s="134">
        <f t="shared" si="312"/>
        <v>72.610560090371507</v>
      </c>
      <c r="AB82" s="134">
        <f t="shared" si="312"/>
        <v>76.881769507452191</v>
      </c>
      <c r="AC82" s="134">
        <f t="shared" si="312"/>
        <v>81.404226537302307</v>
      </c>
      <c r="AD82" s="134">
        <f t="shared" si="312"/>
        <v>86.192710451261263</v>
      </c>
      <c r="AE82" s="134">
        <f t="shared" si="312"/>
        <v>91.262869889570723</v>
      </c>
      <c r="AF82" s="134">
        <f t="shared" si="312"/>
        <v>96.631274000721959</v>
      </c>
      <c r="AG82" s="134">
        <f t="shared" si="312"/>
        <v>102.31546658899975</v>
      </c>
      <c r="AH82" s="116">
        <f t="shared" si="275"/>
        <v>0.11065725819336447</v>
      </c>
      <c r="AI82" s="21">
        <f t="shared" si="18"/>
        <v>0.05</v>
      </c>
      <c r="AJ82" s="124">
        <f t="shared" si="276"/>
        <v>631.948470108528</v>
      </c>
    </row>
    <row r="83" spans="2:36">
      <c r="B83" s="10"/>
      <c r="C83" s="109"/>
      <c r="D83" s="109"/>
      <c r="E83" s="109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0"/>
      <c r="W83" s="10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17"/>
      <c r="AI83" s="115"/>
      <c r="AJ83" s="131"/>
    </row>
    <row r="84" spans="2:36">
      <c r="B84" s="10" t="s">
        <v>206</v>
      </c>
      <c r="C84" s="109"/>
      <c r="D84" s="109"/>
      <c r="E84" s="109"/>
      <c r="F84" s="122"/>
      <c r="G84" s="122">
        <f t="shared" ref="G84" si="313">G12/G57</f>
        <v>0.14285714285714285</v>
      </c>
      <c r="H84" s="122">
        <f t="shared" ref="H84:I84" si="314">H12/H57</f>
        <v>0.11538461538461538</v>
      </c>
      <c r="I84" s="122">
        <f t="shared" si="314"/>
        <v>0.15384615384615385</v>
      </c>
      <c r="J84" s="122">
        <f t="shared" ref="J84:S84" si="315">J12/J57</f>
        <v>0.28021978021978022</v>
      </c>
      <c r="K84" s="122">
        <f t="shared" si="315"/>
        <v>0.41208791208791207</v>
      </c>
      <c r="L84" s="122">
        <f t="shared" si="315"/>
        <v>0.16483516483516483</v>
      </c>
      <c r="M84" s="122">
        <f t="shared" si="315"/>
        <v>4.5604395604395602E-2</v>
      </c>
      <c r="N84" s="122">
        <f t="shared" si="315"/>
        <v>4.9236829148202856E-2</v>
      </c>
      <c r="O84" s="122">
        <f t="shared" si="315"/>
        <v>0.64007877892663712</v>
      </c>
      <c r="P84" s="122">
        <f t="shared" si="315"/>
        <v>4.3328409650418518</v>
      </c>
      <c r="Q84" s="122">
        <f t="shared" si="315"/>
        <v>1.5263417035942886</v>
      </c>
      <c r="R84" s="122">
        <f t="shared" si="315"/>
        <v>2.3319615912208502</v>
      </c>
      <c r="S84" s="122">
        <f t="shared" si="315"/>
        <v>3.8410004466279588</v>
      </c>
      <c r="T84" s="122">
        <f t="shared" ref="T84:U84" si="316">T12/T57</f>
        <v>4.7619047619047619</v>
      </c>
      <c r="U84" s="122">
        <f t="shared" si="316"/>
        <v>4.6829672606713633</v>
      </c>
      <c r="V84" s="101">
        <f t="shared" si="268"/>
        <v>0.28309411051733857</v>
      </c>
      <c r="W84" s="110"/>
      <c r="X84" s="134">
        <f t="shared" ref="X84:AG84" si="317">X12/X57</f>
        <v>4.9584359230637967</v>
      </c>
      <c r="Y84" s="134">
        <f t="shared" si="317"/>
        <v>5.2501086244204904</v>
      </c>
      <c r="Z84" s="134">
        <f t="shared" si="317"/>
        <v>5.5589385435040493</v>
      </c>
      <c r="AA84" s="134">
        <f t="shared" si="317"/>
        <v>5.8859349284160531</v>
      </c>
      <c r="AB84" s="134">
        <f t="shared" si="317"/>
        <v>6.2321663947934693</v>
      </c>
      <c r="AC84" s="134">
        <f t="shared" si="317"/>
        <v>6.5987644180166143</v>
      </c>
      <c r="AD84" s="134">
        <f t="shared" si="317"/>
        <v>6.9869270308411213</v>
      </c>
      <c r="AE84" s="134">
        <f t="shared" si="317"/>
        <v>7.397922738537658</v>
      </c>
      <c r="AF84" s="134">
        <f t="shared" si="317"/>
        <v>7.8330946643339914</v>
      </c>
      <c r="AG84" s="134">
        <f t="shared" si="317"/>
        <v>8.2938649387065784</v>
      </c>
      <c r="AH84" s="116">
        <f t="shared" si="275"/>
        <v>0.15160203534377215</v>
      </c>
      <c r="AI84" s="21">
        <f t="shared" si="18"/>
        <v>0.05</v>
      </c>
      <c r="AJ84" s="124">
        <f t="shared" si="276"/>
        <v>51.226812856717103</v>
      </c>
    </row>
    <row r="85" spans="2:36">
      <c r="B85" s="10" t="s">
        <v>213</v>
      </c>
      <c r="C85" s="109"/>
      <c r="D85" s="109"/>
      <c r="E85" s="109"/>
      <c r="F85" s="122"/>
      <c r="G85" s="122">
        <f t="shared" ref="G85" si="318">G13/G57</f>
        <v>0</v>
      </c>
      <c r="H85" s="122">
        <f t="shared" ref="H85:I85" si="319">H13/H57</f>
        <v>0</v>
      </c>
      <c r="I85" s="122">
        <f t="shared" si="319"/>
        <v>0</v>
      </c>
      <c r="J85" s="122">
        <f t="shared" ref="J85:S85" si="320">J13/J57</f>
        <v>0</v>
      </c>
      <c r="K85" s="122">
        <f t="shared" si="320"/>
        <v>0</v>
      </c>
      <c r="L85" s="122">
        <f t="shared" si="320"/>
        <v>0</v>
      </c>
      <c r="M85" s="122">
        <f t="shared" si="320"/>
        <v>0</v>
      </c>
      <c r="N85" s="122">
        <f t="shared" si="320"/>
        <v>0</v>
      </c>
      <c r="O85" s="122">
        <f t="shared" si="320"/>
        <v>0</v>
      </c>
      <c r="P85" s="122">
        <f t="shared" si="320"/>
        <v>0</v>
      </c>
      <c r="Q85" s="122">
        <f t="shared" si="320"/>
        <v>0</v>
      </c>
      <c r="R85" s="122">
        <f t="shared" si="320"/>
        <v>0</v>
      </c>
      <c r="S85" s="122">
        <f t="shared" si="320"/>
        <v>0</v>
      </c>
      <c r="T85" s="122">
        <f t="shared" ref="T85:U85" si="321">T13/T57</f>
        <v>0</v>
      </c>
      <c r="U85" s="122">
        <f t="shared" si="321"/>
        <v>0</v>
      </c>
      <c r="V85" s="101" t="e">
        <f t="shared" si="268"/>
        <v>#DIV/0!</v>
      </c>
      <c r="W85" s="110"/>
      <c r="X85" s="134">
        <f t="shared" ref="X85:AG85" si="322">X13/X57</f>
        <v>0</v>
      </c>
      <c r="Y85" s="134">
        <f t="shared" si="322"/>
        <v>0</v>
      </c>
      <c r="Z85" s="134">
        <f t="shared" si="322"/>
        <v>0</v>
      </c>
      <c r="AA85" s="134">
        <f t="shared" si="322"/>
        <v>0</v>
      </c>
      <c r="AB85" s="134">
        <f t="shared" si="322"/>
        <v>0</v>
      </c>
      <c r="AC85" s="134">
        <f t="shared" si="322"/>
        <v>0</v>
      </c>
      <c r="AD85" s="134">
        <f t="shared" si="322"/>
        <v>0</v>
      </c>
      <c r="AE85" s="134">
        <f t="shared" si="322"/>
        <v>0</v>
      </c>
      <c r="AF85" s="134">
        <f t="shared" si="322"/>
        <v>0</v>
      </c>
      <c r="AG85" s="134">
        <f t="shared" si="322"/>
        <v>0</v>
      </c>
      <c r="AH85" s="116" t="e">
        <f t="shared" si="275"/>
        <v>#DIV/0!</v>
      </c>
      <c r="AI85" s="21">
        <f t="shared" si="18"/>
        <v>0.05</v>
      </c>
      <c r="AJ85" s="124">
        <f t="shared" si="276"/>
        <v>0</v>
      </c>
    </row>
    <row r="86" spans="2:36">
      <c r="B86" s="10" t="s">
        <v>214</v>
      </c>
      <c r="C86" s="109"/>
      <c r="D86" s="109"/>
      <c r="E86" s="109"/>
      <c r="F86" s="122"/>
      <c r="G86" s="122">
        <f t="shared" ref="G86" si="323">(G84+G85)</f>
        <v>0.14285714285714285</v>
      </c>
      <c r="H86" s="122">
        <f t="shared" ref="H86:I86" si="324">(H84+H85)</f>
        <v>0.11538461538461538</v>
      </c>
      <c r="I86" s="122">
        <f t="shared" si="324"/>
        <v>0.15384615384615385</v>
      </c>
      <c r="J86" s="122">
        <f t="shared" ref="J86:S86" si="325">(J84+J85)</f>
        <v>0.28021978021978022</v>
      </c>
      <c r="K86" s="122">
        <f t="shared" si="325"/>
        <v>0.41208791208791207</v>
      </c>
      <c r="L86" s="122">
        <f t="shared" si="325"/>
        <v>0.16483516483516483</v>
      </c>
      <c r="M86" s="122">
        <f t="shared" si="325"/>
        <v>4.5604395604395602E-2</v>
      </c>
      <c r="N86" s="122">
        <f t="shared" si="325"/>
        <v>4.9236829148202856E-2</v>
      </c>
      <c r="O86" s="122">
        <f t="shared" si="325"/>
        <v>0.64007877892663712</v>
      </c>
      <c r="P86" s="122">
        <f t="shared" si="325"/>
        <v>4.3328409650418518</v>
      </c>
      <c r="Q86" s="122">
        <f t="shared" si="325"/>
        <v>1.5263417035942886</v>
      </c>
      <c r="R86" s="122">
        <f t="shared" ref="R86" si="326">(R84+R85)</f>
        <v>2.3319615912208502</v>
      </c>
      <c r="S86" s="122">
        <f t="shared" si="325"/>
        <v>3.8410004466279588</v>
      </c>
      <c r="T86" s="122">
        <f t="shared" ref="T86:U86" si="327">(T84+T85)</f>
        <v>4.7619047619047619</v>
      </c>
      <c r="U86" s="122">
        <f t="shared" si="327"/>
        <v>4.6829672606713633</v>
      </c>
      <c r="V86" s="101">
        <f t="shared" si="268"/>
        <v>0.28309411051733857</v>
      </c>
      <c r="W86" s="110"/>
      <c r="X86" s="134">
        <f t="shared" ref="X86:AG86" si="328">(X84+X85)</f>
        <v>4.9584359230637967</v>
      </c>
      <c r="Y86" s="134">
        <f t="shared" si="328"/>
        <v>5.2501086244204904</v>
      </c>
      <c r="Z86" s="134">
        <f t="shared" si="328"/>
        <v>5.5589385435040493</v>
      </c>
      <c r="AA86" s="134">
        <f t="shared" si="328"/>
        <v>5.8859349284160531</v>
      </c>
      <c r="AB86" s="134">
        <f t="shared" si="328"/>
        <v>6.2321663947934693</v>
      </c>
      <c r="AC86" s="134">
        <f t="shared" si="328"/>
        <v>6.5987644180166143</v>
      </c>
      <c r="AD86" s="134">
        <f t="shared" si="328"/>
        <v>6.9869270308411213</v>
      </c>
      <c r="AE86" s="134">
        <f t="shared" si="328"/>
        <v>7.397922738537658</v>
      </c>
      <c r="AF86" s="134">
        <f t="shared" si="328"/>
        <v>7.8330946643339914</v>
      </c>
      <c r="AG86" s="134">
        <f t="shared" si="328"/>
        <v>8.2938649387065784</v>
      </c>
      <c r="AH86" s="116">
        <f t="shared" si="275"/>
        <v>0.15160203534377215</v>
      </c>
      <c r="AI86" s="21">
        <f t="shared" si="18"/>
        <v>0.05</v>
      </c>
      <c r="AJ86" s="124">
        <f t="shared" si="276"/>
        <v>51.226812856717103</v>
      </c>
    </row>
    <row r="87" spans="2:36">
      <c r="B87" s="10" t="s">
        <v>207</v>
      </c>
      <c r="C87" s="109"/>
      <c r="D87" s="109"/>
      <c r="E87" s="109"/>
      <c r="F87" s="122"/>
      <c r="G87" s="122">
        <f t="shared" ref="G87" si="329">G15/G57</f>
        <v>8.7912087912087902</v>
      </c>
      <c r="H87" s="122">
        <f t="shared" ref="H87:I87" si="330">H15/H57</f>
        <v>9.8901098901098905</v>
      </c>
      <c r="I87" s="122">
        <f t="shared" si="330"/>
        <v>15.384615384615383</v>
      </c>
      <c r="J87" s="122">
        <f t="shared" ref="J87:S87" si="331">J15/J57</f>
        <v>23.076923076923077</v>
      </c>
      <c r="K87" s="122">
        <f t="shared" si="331"/>
        <v>50.549450549450547</v>
      </c>
      <c r="L87" s="122">
        <f t="shared" si="331"/>
        <v>104.39560439560439</v>
      </c>
      <c r="M87" s="122">
        <f t="shared" si="331"/>
        <v>17.087912087912088</v>
      </c>
      <c r="N87" s="122">
        <f t="shared" si="331"/>
        <v>23.584441161989169</v>
      </c>
      <c r="O87" s="122">
        <f t="shared" si="331"/>
        <v>38.060068931560807</v>
      </c>
      <c r="P87" s="122">
        <f t="shared" si="331"/>
        <v>59.084194977843431</v>
      </c>
      <c r="Q87" s="122">
        <f t="shared" si="331"/>
        <v>76.317085179714425</v>
      </c>
      <c r="R87" s="122">
        <f t="shared" si="331"/>
        <v>76.223136716963879</v>
      </c>
      <c r="S87" s="122">
        <f t="shared" si="331"/>
        <v>85.395265743635548</v>
      </c>
      <c r="T87" s="122">
        <f t="shared" ref="T87:U87" si="332">T15/T57</f>
        <v>86.093552465233884</v>
      </c>
      <c r="U87" s="122">
        <f t="shared" si="332"/>
        <v>84.666390385412356</v>
      </c>
      <c r="V87" s="101">
        <f t="shared" si="268"/>
        <v>0.17560548470345805</v>
      </c>
      <c r="W87" s="110"/>
      <c r="X87" s="134">
        <f t="shared" ref="X87:AG87" si="333">X15/X57</f>
        <v>89.646766290436602</v>
      </c>
      <c r="Y87" s="134">
        <f t="shared" si="333"/>
        <v>94.920105483991705</v>
      </c>
      <c r="Z87" s="134">
        <f t="shared" si="333"/>
        <v>100.50364110069712</v>
      </c>
      <c r="AA87" s="134">
        <f t="shared" si="333"/>
        <v>106.41561998897343</v>
      </c>
      <c r="AB87" s="134">
        <f t="shared" si="333"/>
        <v>112.67536234126599</v>
      </c>
      <c r="AC87" s="134">
        <f t="shared" si="333"/>
        <v>119.30332483192871</v>
      </c>
      <c r="AD87" s="134">
        <f t="shared" si="333"/>
        <v>126.32116746910097</v>
      </c>
      <c r="AE87" s="134">
        <f t="shared" si="333"/>
        <v>133.75182437904809</v>
      </c>
      <c r="AF87" s="134">
        <f t="shared" si="333"/>
        <v>141.61957875428621</v>
      </c>
      <c r="AG87" s="134">
        <f t="shared" si="333"/>
        <v>149.95014221042072</v>
      </c>
      <c r="AH87" s="116">
        <f t="shared" si="275"/>
        <v>8.1098772266931851E-2</v>
      </c>
      <c r="AI87" s="21">
        <f t="shared" si="18"/>
        <v>0.05</v>
      </c>
      <c r="AJ87" s="124">
        <f t="shared" si="276"/>
        <v>926.16264306436335</v>
      </c>
    </row>
    <row r="88" spans="2:36">
      <c r="B88" s="10" t="s">
        <v>208</v>
      </c>
      <c r="C88" s="109"/>
      <c r="D88" s="109"/>
      <c r="E88" s="109"/>
      <c r="F88" s="122"/>
      <c r="G88" s="122">
        <f t="shared" ref="G88" si="334">G16/G57</f>
        <v>9.3406593406593412</v>
      </c>
      <c r="H88" s="122">
        <f t="shared" ref="H88:I88" si="335">H16/H57</f>
        <v>9.3406593406593412</v>
      </c>
      <c r="I88" s="122">
        <f t="shared" si="335"/>
        <v>10.989010989010989</v>
      </c>
      <c r="J88" s="122">
        <f t="shared" ref="J88:S88" si="336">J16/J57</f>
        <v>15.384615384615383</v>
      </c>
      <c r="K88" s="122">
        <f t="shared" si="336"/>
        <v>28.021978021978022</v>
      </c>
      <c r="L88" s="122">
        <f t="shared" si="336"/>
        <v>62.637362637362635</v>
      </c>
      <c r="M88" s="122">
        <f t="shared" si="336"/>
        <v>13.626373626373628</v>
      </c>
      <c r="N88" s="122">
        <f t="shared" si="336"/>
        <v>22.205809945839491</v>
      </c>
      <c r="O88" s="122">
        <f t="shared" si="336"/>
        <v>3.8897095027080257</v>
      </c>
      <c r="P88" s="122">
        <f t="shared" si="336"/>
        <v>56.425406203840474</v>
      </c>
      <c r="Q88" s="122">
        <f t="shared" si="336"/>
        <v>67.799113737075331</v>
      </c>
      <c r="R88" s="122">
        <f t="shared" si="336"/>
        <v>78.417924096936446</v>
      </c>
      <c r="S88" s="122">
        <f t="shared" si="336"/>
        <v>92.317999106744082</v>
      </c>
      <c r="T88" s="122">
        <f t="shared" ref="T88:U88" si="337">T16/T57</f>
        <v>95.280235988200587</v>
      </c>
      <c r="U88" s="122">
        <f t="shared" si="337"/>
        <v>93.7007874015748</v>
      </c>
      <c r="V88" s="101">
        <f t="shared" si="268"/>
        <v>0.17903343757946533</v>
      </c>
      <c r="W88" s="110"/>
      <c r="X88" s="134">
        <f t="shared" ref="X88:AG88" si="338">X16/X57</f>
        <v>99.212598425196859</v>
      </c>
      <c r="Y88" s="134">
        <f t="shared" si="338"/>
        <v>105.04863362667903</v>
      </c>
      <c r="Z88" s="134">
        <f t="shared" si="338"/>
        <v>111.22796501648369</v>
      </c>
      <c r="AA88" s="134">
        <f t="shared" si="338"/>
        <v>117.77078648804158</v>
      </c>
      <c r="AB88" s="134">
        <f t="shared" si="338"/>
        <v>124.69847981086757</v>
      </c>
      <c r="AC88" s="134">
        <f t="shared" si="338"/>
        <v>132.03368450562448</v>
      </c>
      <c r="AD88" s="134">
        <f t="shared" si="338"/>
        <v>139.80037182948473</v>
      </c>
      <c r="AE88" s="134">
        <f t="shared" si="338"/>
        <v>148.02392311357207</v>
      </c>
      <c r="AF88" s="134">
        <f t="shared" si="338"/>
        <v>156.73121270848807</v>
      </c>
      <c r="AG88" s="134">
        <f t="shared" si="338"/>
        <v>165.95069580898738</v>
      </c>
      <c r="AH88" s="116">
        <f t="shared" si="275"/>
        <v>0.10417315635596469</v>
      </c>
      <c r="AI88" s="115"/>
      <c r="AJ88" s="124">
        <f t="shared" si="276"/>
        <v>754.32134458630628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0"/>
      <c r="W89" s="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21">
        <f t="shared" si="18"/>
        <v>0.05</v>
      </c>
      <c r="AJ89" s="124">
        <f t="shared" si="276"/>
        <v>0</v>
      </c>
    </row>
    <row r="90" spans="2:36">
      <c r="B90" s="10" t="s">
        <v>233</v>
      </c>
      <c r="C90" s="136"/>
      <c r="D90" s="136"/>
      <c r="E90" s="136"/>
      <c r="F90" s="136"/>
      <c r="G90" s="136">
        <f t="shared" ref="G90" si="339">G59</f>
        <v>0.01</v>
      </c>
      <c r="H90" s="136">
        <f t="shared" ref="H90:I90" si="340">H59</f>
        <v>0</v>
      </c>
      <c r="I90" s="136">
        <f t="shared" si="340"/>
        <v>0</v>
      </c>
      <c r="J90" s="136">
        <f t="shared" ref="J90:S90" si="341">J59</f>
        <v>0</v>
      </c>
      <c r="K90" s="136">
        <f t="shared" si="341"/>
        <v>0</v>
      </c>
      <c r="L90" s="136">
        <f t="shared" si="341"/>
        <v>10</v>
      </c>
      <c r="M90" s="136">
        <f t="shared" si="341"/>
        <v>0.1</v>
      </c>
      <c r="N90" s="136">
        <f t="shared" si="341"/>
        <v>0.1</v>
      </c>
      <c r="O90" s="136">
        <f t="shared" si="341"/>
        <v>0.1</v>
      </c>
      <c r="P90" s="136">
        <f t="shared" si="341"/>
        <v>0.1</v>
      </c>
      <c r="Q90" s="136">
        <f t="shared" si="341"/>
        <v>0.1</v>
      </c>
      <c r="R90" s="136">
        <f t="shared" si="341"/>
        <v>0.1</v>
      </c>
      <c r="S90" s="136">
        <f t="shared" si="341"/>
        <v>0.1</v>
      </c>
      <c r="T90" s="136">
        <f t="shared" ref="T90:U90" si="342">T59</f>
        <v>0.1</v>
      </c>
      <c r="U90" s="136">
        <f t="shared" si="342"/>
        <v>0.1</v>
      </c>
      <c r="V90" s="101">
        <f t="shared" si="268"/>
        <v>0.17876863479358729</v>
      </c>
      <c r="W90" s="110"/>
      <c r="X90" s="136">
        <f t="shared" ref="X90:AG90" si="343">X59</f>
        <v>0.10200000000000001</v>
      </c>
      <c r="Y90" s="136">
        <f t="shared" si="343"/>
        <v>0.10404000000000001</v>
      </c>
      <c r="Z90" s="136">
        <f t="shared" si="343"/>
        <v>0.10612080000000002</v>
      </c>
      <c r="AA90" s="136">
        <f t="shared" si="343"/>
        <v>0.10824321600000002</v>
      </c>
      <c r="AB90" s="136">
        <f t="shared" si="343"/>
        <v>0.11040808032000002</v>
      </c>
      <c r="AC90" s="136">
        <f t="shared" si="343"/>
        <v>0.11261624192640002</v>
      </c>
      <c r="AD90" s="136">
        <f t="shared" si="343"/>
        <v>0.11486856676492802</v>
      </c>
      <c r="AE90" s="136">
        <f t="shared" si="343"/>
        <v>0.11716593810022657</v>
      </c>
      <c r="AF90" s="136">
        <f t="shared" si="343"/>
        <v>0.11950925686223111</v>
      </c>
      <c r="AG90" s="136">
        <f t="shared" si="343"/>
        <v>0.12189944199947574</v>
      </c>
      <c r="AH90" s="116" t="e">
        <f t="shared" ref="AH90" si="344">((AG90/J90)^(1/($AG$3-$K$1) ))-1</f>
        <v>#DIV/0!</v>
      </c>
      <c r="AI90" s="21">
        <f t="shared" si="18"/>
        <v>0.05</v>
      </c>
      <c r="AJ90" s="124">
        <f t="shared" si="276"/>
        <v>0.75290831823205617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0"/>
      <c r="W91" s="10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17"/>
      <c r="AI91" s="115"/>
      <c r="AJ91" s="131"/>
    </row>
    <row r="92" spans="2:36">
      <c r="B92" s="10" t="s">
        <v>263</v>
      </c>
      <c r="C92" s="109"/>
      <c r="D92" s="109"/>
      <c r="E92" s="109"/>
      <c r="F92" s="122"/>
      <c r="G92" s="122">
        <f t="shared" ref="G92" si="345">G20+G21</f>
        <v>0</v>
      </c>
      <c r="H92" s="122">
        <f t="shared" ref="H92:I92" si="346">H20+H21</f>
        <v>0</v>
      </c>
      <c r="I92" s="122">
        <f t="shared" si="346"/>
        <v>0</v>
      </c>
      <c r="J92" s="122">
        <f t="shared" ref="J92:S92" si="347">J20+J21</f>
        <v>0</v>
      </c>
      <c r="K92" s="122">
        <f t="shared" si="347"/>
        <v>0</v>
      </c>
      <c r="L92" s="122">
        <f t="shared" si="347"/>
        <v>0</v>
      </c>
      <c r="M92" s="122">
        <f t="shared" si="347"/>
        <v>0</v>
      </c>
      <c r="N92" s="122">
        <f t="shared" si="347"/>
        <v>0</v>
      </c>
      <c r="O92" s="122">
        <f t="shared" si="347"/>
        <v>0</v>
      </c>
      <c r="P92" s="122">
        <f t="shared" si="347"/>
        <v>0</v>
      </c>
      <c r="Q92" s="122">
        <f t="shared" si="347"/>
        <v>0</v>
      </c>
      <c r="R92" s="122">
        <f t="shared" si="347"/>
        <v>0</v>
      </c>
      <c r="S92" s="122">
        <f t="shared" si="347"/>
        <v>0</v>
      </c>
      <c r="T92" s="122">
        <f t="shared" ref="T92:U92" si="348">T20+T21</f>
        <v>0</v>
      </c>
      <c r="U92" s="122">
        <f t="shared" si="348"/>
        <v>0</v>
      </c>
      <c r="V92" s="101" t="e">
        <f t="shared" si="268"/>
        <v>#DIV/0!</v>
      </c>
      <c r="W92" s="110"/>
      <c r="X92" s="122">
        <f t="shared" ref="X92:AG92" si="349">X20+X21</f>
        <v>0</v>
      </c>
      <c r="Y92" s="122">
        <f t="shared" si="349"/>
        <v>0</v>
      </c>
      <c r="Z92" s="122">
        <f t="shared" si="349"/>
        <v>0</v>
      </c>
      <c r="AA92" s="122">
        <f t="shared" si="349"/>
        <v>0</v>
      </c>
      <c r="AB92" s="122">
        <f t="shared" si="349"/>
        <v>0</v>
      </c>
      <c r="AC92" s="122">
        <f t="shared" si="349"/>
        <v>0</v>
      </c>
      <c r="AD92" s="122">
        <f t="shared" si="349"/>
        <v>0</v>
      </c>
      <c r="AE92" s="122">
        <f t="shared" si="349"/>
        <v>0</v>
      </c>
      <c r="AF92" s="122">
        <f t="shared" si="349"/>
        <v>0</v>
      </c>
      <c r="AG92" s="122">
        <f t="shared" si="349"/>
        <v>0</v>
      </c>
      <c r="AH92" s="116" t="e">
        <f t="shared" ref="AH92:AH97" si="350">((AG92/J92)^(1/($AG$3-$K$1) ))-1</f>
        <v>#DIV/0!</v>
      </c>
      <c r="AI92" s="21">
        <f t="shared" si="18"/>
        <v>0.05</v>
      </c>
      <c r="AJ92" s="124">
        <f t="shared" si="276"/>
        <v>0</v>
      </c>
    </row>
    <row r="93" spans="2:36">
      <c r="B93" s="10"/>
      <c r="C93" s="109"/>
      <c r="D93" s="109"/>
      <c r="E93" s="109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0"/>
      <c r="W93" s="10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17"/>
      <c r="AI93" s="115"/>
      <c r="AJ93" s="124"/>
    </row>
    <row r="94" spans="2:36">
      <c r="B94" s="10" t="s">
        <v>264</v>
      </c>
      <c r="C94" s="109"/>
      <c r="D94" s="109"/>
      <c r="E94" s="109"/>
      <c r="F94" s="122"/>
      <c r="G94" s="122">
        <f t="shared" ref="G94" si="351">G92/G57</f>
        <v>0</v>
      </c>
      <c r="H94" s="122">
        <f t="shared" ref="H94:I94" si="352">H92/H57</f>
        <v>0</v>
      </c>
      <c r="I94" s="122">
        <f t="shared" si="352"/>
        <v>0</v>
      </c>
      <c r="J94" s="122">
        <f t="shared" ref="J94:S94" si="353">J92/J57</f>
        <v>0</v>
      </c>
      <c r="K94" s="122">
        <f t="shared" si="353"/>
        <v>0</v>
      </c>
      <c r="L94" s="122">
        <f t="shared" si="353"/>
        <v>0</v>
      </c>
      <c r="M94" s="122">
        <f t="shared" si="353"/>
        <v>0</v>
      </c>
      <c r="N94" s="122">
        <f t="shared" si="353"/>
        <v>0</v>
      </c>
      <c r="O94" s="122">
        <f t="shared" si="353"/>
        <v>0</v>
      </c>
      <c r="P94" s="122">
        <f t="shared" si="353"/>
        <v>0</v>
      </c>
      <c r="Q94" s="122">
        <f t="shared" si="353"/>
        <v>0</v>
      </c>
      <c r="R94" s="122">
        <f t="shared" si="353"/>
        <v>0</v>
      </c>
      <c r="S94" s="122">
        <f t="shared" si="353"/>
        <v>0</v>
      </c>
      <c r="T94" s="122">
        <f t="shared" ref="T94:U94" si="354">T92/T57</f>
        <v>0</v>
      </c>
      <c r="U94" s="122">
        <f t="shared" si="354"/>
        <v>0</v>
      </c>
      <c r="V94" s="101" t="e">
        <f t="shared" si="268"/>
        <v>#DIV/0!</v>
      </c>
      <c r="W94" s="110"/>
      <c r="X94" s="124">
        <f t="shared" ref="X94:AG94" si="355">X92/X57</f>
        <v>0</v>
      </c>
      <c r="Y94" s="124">
        <f t="shared" si="355"/>
        <v>0</v>
      </c>
      <c r="Z94" s="124">
        <f t="shared" si="355"/>
        <v>0</v>
      </c>
      <c r="AA94" s="124">
        <f t="shared" si="355"/>
        <v>0</v>
      </c>
      <c r="AB94" s="124">
        <f t="shared" si="355"/>
        <v>0</v>
      </c>
      <c r="AC94" s="124">
        <f t="shared" si="355"/>
        <v>0</v>
      </c>
      <c r="AD94" s="124">
        <f t="shared" si="355"/>
        <v>0</v>
      </c>
      <c r="AE94" s="124">
        <f t="shared" si="355"/>
        <v>0</v>
      </c>
      <c r="AF94" s="124">
        <f t="shared" si="355"/>
        <v>0</v>
      </c>
      <c r="AG94" s="124">
        <f t="shared" si="355"/>
        <v>0</v>
      </c>
      <c r="AH94" s="116" t="e">
        <f t="shared" si="350"/>
        <v>#DIV/0!</v>
      </c>
      <c r="AI94" s="21">
        <f t="shared" si="18"/>
        <v>0.05</v>
      </c>
      <c r="AJ94" s="124">
        <f t="shared" si="276"/>
        <v>0</v>
      </c>
    </row>
    <row r="95" spans="2:36">
      <c r="B95" s="10" t="s">
        <v>237</v>
      </c>
      <c r="C95" s="109"/>
      <c r="D95" s="109"/>
      <c r="E95" s="109"/>
      <c r="F95" s="122"/>
      <c r="G95" s="122">
        <f t="shared" ref="G95" si="356">G20/G57</f>
        <v>0</v>
      </c>
      <c r="H95" s="122">
        <f t="shared" ref="H95:I95" si="357">H20/H57</f>
        <v>0</v>
      </c>
      <c r="I95" s="122">
        <f t="shared" si="357"/>
        <v>0</v>
      </c>
      <c r="J95" s="122">
        <f t="shared" ref="J95:S95" si="358">J20/J57</f>
        <v>0</v>
      </c>
      <c r="K95" s="122">
        <f t="shared" si="358"/>
        <v>0</v>
      </c>
      <c r="L95" s="122">
        <f t="shared" si="358"/>
        <v>0</v>
      </c>
      <c r="M95" s="122">
        <f t="shared" si="358"/>
        <v>0</v>
      </c>
      <c r="N95" s="122">
        <f t="shared" si="358"/>
        <v>0</v>
      </c>
      <c r="O95" s="122">
        <f t="shared" si="358"/>
        <v>0</v>
      </c>
      <c r="P95" s="122">
        <f t="shared" si="358"/>
        <v>0</v>
      </c>
      <c r="Q95" s="122">
        <f t="shared" si="358"/>
        <v>0</v>
      </c>
      <c r="R95" s="122">
        <f t="shared" si="358"/>
        <v>0</v>
      </c>
      <c r="S95" s="122">
        <f t="shared" si="358"/>
        <v>0</v>
      </c>
      <c r="T95" s="122">
        <f t="shared" ref="T95:U95" si="359">T20/T57</f>
        <v>0</v>
      </c>
      <c r="U95" s="122">
        <f t="shared" si="359"/>
        <v>0</v>
      </c>
      <c r="V95" s="101" t="e">
        <f t="shared" si="268"/>
        <v>#DIV/0!</v>
      </c>
      <c r="W95" s="110"/>
      <c r="X95" s="124">
        <f t="shared" ref="X95:AG95" si="360">X20/X57</f>
        <v>0</v>
      </c>
      <c r="Y95" s="124">
        <f t="shared" si="360"/>
        <v>0</v>
      </c>
      <c r="Z95" s="124">
        <f t="shared" si="360"/>
        <v>0</v>
      </c>
      <c r="AA95" s="124">
        <f t="shared" si="360"/>
        <v>0</v>
      </c>
      <c r="AB95" s="124">
        <f t="shared" si="360"/>
        <v>0</v>
      </c>
      <c r="AC95" s="124">
        <f t="shared" si="360"/>
        <v>0</v>
      </c>
      <c r="AD95" s="124">
        <f t="shared" si="360"/>
        <v>0</v>
      </c>
      <c r="AE95" s="124">
        <f t="shared" si="360"/>
        <v>0</v>
      </c>
      <c r="AF95" s="124">
        <f t="shared" si="360"/>
        <v>0</v>
      </c>
      <c r="AG95" s="124">
        <f t="shared" si="360"/>
        <v>0</v>
      </c>
      <c r="AH95" s="116" t="e">
        <f t="shared" si="350"/>
        <v>#DIV/0!</v>
      </c>
      <c r="AI95" s="21">
        <f t="shared" si="18"/>
        <v>0.05</v>
      </c>
      <c r="AJ95" s="124">
        <f t="shared" si="276"/>
        <v>0</v>
      </c>
    </row>
    <row r="96" spans="2:36">
      <c r="B96" s="10" t="s">
        <v>238</v>
      </c>
      <c r="C96" s="109"/>
      <c r="D96" s="109"/>
      <c r="E96" s="109"/>
      <c r="F96" s="122"/>
      <c r="G96" s="122">
        <f t="shared" ref="G96" si="361">G21/G57</f>
        <v>0</v>
      </c>
      <c r="H96" s="122">
        <f t="shared" ref="H96:I96" si="362">H21/H57</f>
        <v>0</v>
      </c>
      <c r="I96" s="122">
        <f t="shared" si="362"/>
        <v>0</v>
      </c>
      <c r="J96" s="122">
        <f t="shared" ref="J96:S96" si="363">J21/J57</f>
        <v>0</v>
      </c>
      <c r="K96" s="122">
        <f t="shared" si="363"/>
        <v>0</v>
      </c>
      <c r="L96" s="122">
        <f t="shared" si="363"/>
        <v>0</v>
      </c>
      <c r="M96" s="122">
        <f t="shared" si="363"/>
        <v>0</v>
      </c>
      <c r="N96" s="122">
        <f t="shared" si="363"/>
        <v>0</v>
      </c>
      <c r="O96" s="122">
        <f t="shared" si="363"/>
        <v>0</v>
      </c>
      <c r="P96" s="122">
        <f t="shared" si="363"/>
        <v>0</v>
      </c>
      <c r="Q96" s="122">
        <f t="shared" si="363"/>
        <v>0</v>
      </c>
      <c r="R96" s="122">
        <f t="shared" si="363"/>
        <v>0</v>
      </c>
      <c r="S96" s="122">
        <f t="shared" si="363"/>
        <v>0</v>
      </c>
      <c r="T96" s="122">
        <f t="shared" ref="T96:U96" si="364">T21/T57</f>
        <v>0</v>
      </c>
      <c r="U96" s="122">
        <f t="shared" si="364"/>
        <v>0</v>
      </c>
      <c r="V96" s="101" t="e">
        <f t="shared" si="268"/>
        <v>#DIV/0!</v>
      </c>
      <c r="W96" s="110"/>
      <c r="X96" s="124">
        <f t="shared" ref="X96:AG96" si="365">X21/X57</f>
        <v>0</v>
      </c>
      <c r="Y96" s="124">
        <f t="shared" si="365"/>
        <v>0</v>
      </c>
      <c r="Z96" s="124">
        <f t="shared" si="365"/>
        <v>0</v>
      </c>
      <c r="AA96" s="124">
        <f t="shared" si="365"/>
        <v>0</v>
      </c>
      <c r="AB96" s="124">
        <f t="shared" si="365"/>
        <v>0</v>
      </c>
      <c r="AC96" s="124">
        <f t="shared" si="365"/>
        <v>0</v>
      </c>
      <c r="AD96" s="124">
        <f t="shared" si="365"/>
        <v>0</v>
      </c>
      <c r="AE96" s="124">
        <f t="shared" si="365"/>
        <v>0</v>
      </c>
      <c r="AF96" s="124">
        <f t="shared" si="365"/>
        <v>0</v>
      </c>
      <c r="AG96" s="124">
        <f t="shared" si="365"/>
        <v>0</v>
      </c>
      <c r="AH96" s="116" t="e">
        <f t="shared" si="350"/>
        <v>#DIV/0!</v>
      </c>
      <c r="AI96" s="21">
        <f t="shared" si="18"/>
        <v>0.05</v>
      </c>
      <c r="AJ96" s="124">
        <f t="shared" si="276"/>
        <v>0</v>
      </c>
    </row>
    <row r="97" spans="2:36">
      <c r="B97" s="10" t="s">
        <v>239</v>
      </c>
      <c r="C97" s="109"/>
      <c r="D97" s="109"/>
      <c r="E97" s="109"/>
      <c r="F97" s="122"/>
      <c r="G97" s="122">
        <f t="shared" ref="G97" si="366">G22/G57</f>
        <v>0</v>
      </c>
      <c r="H97" s="122">
        <f t="shared" ref="H97:I97" si="367">H22/H57</f>
        <v>0</v>
      </c>
      <c r="I97" s="122">
        <f t="shared" si="367"/>
        <v>0</v>
      </c>
      <c r="J97" s="122">
        <f t="shared" ref="J97:S97" si="368">J22/J57</f>
        <v>0</v>
      </c>
      <c r="K97" s="122">
        <f t="shared" si="368"/>
        <v>0</v>
      </c>
      <c r="L97" s="122">
        <f t="shared" si="368"/>
        <v>0</v>
      </c>
      <c r="M97" s="122">
        <f t="shared" si="368"/>
        <v>0</v>
      </c>
      <c r="N97" s="122">
        <f t="shared" si="368"/>
        <v>0</v>
      </c>
      <c r="O97" s="122">
        <f t="shared" si="368"/>
        <v>0</v>
      </c>
      <c r="P97" s="122">
        <f t="shared" si="368"/>
        <v>0</v>
      </c>
      <c r="Q97" s="122">
        <f t="shared" si="368"/>
        <v>0</v>
      </c>
      <c r="R97" s="122">
        <f t="shared" si="368"/>
        <v>0</v>
      </c>
      <c r="S97" s="122">
        <f t="shared" si="368"/>
        <v>0</v>
      </c>
      <c r="T97" s="122">
        <f t="shared" ref="T97:U97" si="369">T22/T57</f>
        <v>0</v>
      </c>
      <c r="U97" s="122">
        <f t="shared" si="369"/>
        <v>0</v>
      </c>
      <c r="V97" s="101" t="e">
        <f t="shared" si="268"/>
        <v>#DIV/0!</v>
      </c>
      <c r="W97" s="110"/>
      <c r="X97" s="124">
        <f t="shared" ref="X97:AG97" si="370">X22/X57</f>
        <v>0</v>
      </c>
      <c r="Y97" s="124">
        <f t="shared" si="370"/>
        <v>0</v>
      </c>
      <c r="Z97" s="124">
        <f t="shared" si="370"/>
        <v>0</v>
      </c>
      <c r="AA97" s="124">
        <f t="shared" si="370"/>
        <v>0</v>
      </c>
      <c r="AB97" s="124">
        <f t="shared" si="370"/>
        <v>0</v>
      </c>
      <c r="AC97" s="124">
        <f t="shared" si="370"/>
        <v>0</v>
      </c>
      <c r="AD97" s="124">
        <f t="shared" si="370"/>
        <v>0</v>
      </c>
      <c r="AE97" s="124">
        <f t="shared" si="370"/>
        <v>0</v>
      </c>
      <c r="AF97" s="124">
        <f t="shared" si="370"/>
        <v>0</v>
      </c>
      <c r="AG97" s="124">
        <f t="shared" si="370"/>
        <v>0</v>
      </c>
      <c r="AH97" s="116" t="e">
        <f t="shared" si="350"/>
        <v>#DIV/0!</v>
      </c>
      <c r="AI97" s="21">
        <f t="shared" si="18"/>
        <v>0.05</v>
      </c>
      <c r="AJ97" s="124">
        <f t="shared" si="276"/>
        <v>0</v>
      </c>
    </row>
    <row r="98" spans="2:36">
      <c r="B98" s="10" t="s">
        <v>246</v>
      </c>
      <c r="C98" s="109"/>
      <c r="D98" s="109"/>
      <c r="E98" s="109"/>
      <c r="F98" s="122"/>
      <c r="G98" s="122">
        <f t="shared" ref="G98" si="371">G23/G57</f>
        <v>0</v>
      </c>
      <c r="H98" s="122">
        <f t="shared" ref="H98:I98" si="372">H23/H57</f>
        <v>0</v>
      </c>
      <c r="I98" s="122">
        <f t="shared" si="372"/>
        <v>0</v>
      </c>
      <c r="J98" s="122">
        <f t="shared" ref="J98:S98" si="373">J23/J57</f>
        <v>0</v>
      </c>
      <c r="K98" s="122">
        <f t="shared" si="373"/>
        <v>0</v>
      </c>
      <c r="L98" s="122">
        <f t="shared" si="373"/>
        <v>0</v>
      </c>
      <c r="M98" s="122">
        <f t="shared" si="373"/>
        <v>0</v>
      </c>
      <c r="N98" s="122">
        <f t="shared" si="373"/>
        <v>0</v>
      </c>
      <c r="O98" s="122">
        <f t="shared" si="373"/>
        <v>0</v>
      </c>
      <c r="P98" s="122">
        <f t="shared" si="373"/>
        <v>0</v>
      </c>
      <c r="Q98" s="122">
        <f t="shared" si="373"/>
        <v>0</v>
      </c>
      <c r="R98" s="122">
        <f t="shared" si="373"/>
        <v>0</v>
      </c>
      <c r="S98" s="122">
        <f t="shared" si="373"/>
        <v>0</v>
      </c>
      <c r="T98" s="122">
        <f t="shared" ref="T98:U98" si="374">T23/T57</f>
        <v>0</v>
      </c>
      <c r="U98" s="122">
        <f t="shared" si="374"/>
        <v>0</v>
      </c>
      <c r="V98" s="101" t="e">
        <f t="shared" si="268"/>
        <v>#DIV/0!</v>
      </c>
      <c r="W98" s="110"/>
      <c r="X98" s="124">
        <f t="shared" ref="X98:AG98" si="375">X23/X57</f>
        <v>0</v>
      </c>
      <c r="Y98" s="124">
        <f t="shared" si="375"/>
        <v>0</v>
      </c>
      <c r="Z98" s="124">
        <f t="shared" si="375"/>
        <v>0</v>
      </c>
      <c r="AA98" s="124">
        <f t="shared" si="375"/>
        <v>0</v>
      </c>
      <c r="AB98" s="124">
        <f t="shared" si="375"/>
        <v>0</v>
      </c>
      <c r="AC98" s="124">
        <f t="shared" si="375"/>
        <v>0</v>
      </c>
      <c r="AD98" s="124">
        <f t="shared" si="375"/>
        <v>0</v>
      </c>
      <c r="AE98" s="124">
        <f t="shared" si="375"/>
        <v>0</v>
      </c>
      <c r="AF98" s="124">
        <f t="shared" si="375"/>
        <v>0</v>
      </c>
      <c r="AG98" s="124">
        <f t="shared" si="375"/>
        <v>0</v>
      </c>
      <c r="AH98" s="116" t="e">
        <f t="shared" ref="AH98" si="376">((AG98/J98)^(1/($AG$3-$K$1) ))-1</f>
        <v>#DIV/0!</v>
      </c>
      <c r="AI98" s="21">
        <f t="shared" si="18"/>
        <v>0.05</v>
      </c>
      <c r="AJ98" s="124">
        <f t="shared" si="276"/>
        <v>0</v>
      </c>
    </row>
    <row r="99" spans="2:36">
      <c r="B99" s="10"/>
      <c r="C99" s="109"/>
      <c r="D99" s="109"/>
      <c r="E99" s="109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0"/>
      <c r="W99" s="10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17"/>
      <c r="AI99" s="115"/>
      <c r="AJ99" s="131"/>
    </row>
    <row r="100" spans="2:36">
      <c r="B100" s="10" t="s">
        <v>435</v>
      </c>
      <c r="C100" s="122"/>
      <c r="D100" s="122"/>
      <c r="E100" s="122"/>
      <c r="F100" s="122"/>
      <c r="G100" s="122">
        <f t="shared" ref="G100" si="377">G51/G57</f>
        <v>3.5054945054945055</v>
      </c>
      <c r="H100" s="122">
        <f t="shared" ref="H100:I100" si="378">H51/H57</f>
        <v>3.5164835164835164</v>
      </c>
      <c r="I100" s="122">
        <f t="shared" si="378"/>
        <v>4.2527472527472527</v>
      </c>
      <c r="J100" s="122">
        <f t="shared" ref="J100:S100" si="379">J51/J57</f>
        <v>4.6538461538461542</v>
      </c>
      <c r="K100" s="122">
        <f t="shared" si="379"/>
        <v>7.1428571428571423</v>
      </c>
      <c r="L100" s="122">
        <f t="shared" si="379"/>
        <v>14.835164835164834</v>
      </c>
      <c r="M100" s="122">
        <f t="shared" si="379"/>
        <v>2.8571428571428572</v>
      </c>
      <c r="N100" s="122">
        <f t="shared" si="379"/>
        <v>4.9236829148202856</v>
      </c>
      <c r="O100" s="122">
        <f t="shared" si="379"/>
        <v>8.1733136386016749</v>
      </c>
      <c r="P100" s="122">
        <f t="shared" si="379"/>
        <v>10.979812900049238</v>
      </c>
      <c r="Q100" s="122">
        <f t="shared" si="379"/>
        <v>14.426390940423438</v>
      </c>
      <c r="R100" s="122">
        <f t="shared" si="379"/>
        <v>15.957933241883859</v>
      </c>
      <c r="S100" s="122">
        <f t="shared" si="379"/>
        <v>17.329164805716836</v>
      </c>
      <c r="T100" s="122">
        <f t="shared" ref="T100:U100" si="380">T51/T57</f>
        <v>19.089759797724398</v>
      </c>
      <c r="U100" s="122">
        <f t="shared" si="380"/>
        <v>22.213012847078328</v>
      </c>
      <c r="V100" s="101">
        <f t="shared" si="268"/>
        <v>0.14097356927314064</v>
      </c>
      <c r="W100" s="110"/>
      <c r="X100" s="122">
        <f t="shared" ref="X100:AG100" si="381">X51/X57</f>
        <v>23.519660661612345</v>
      </c>
      <c r="Y100" s="122">
        <f t="shared" si="381"/>
        <v>24.903170112295427</v>
      </c>
      <c r="Z100" s="122">
        <f t="shared" si="381"/>
        <v>26.368062471842219</v>
      </c>
      <c r="AA100" s="122">
        <f t="shared" si="381"/>
        <v>27.919124970185884</v>
      </c>
      <c r="AB100" s="122">
        <f t="shared" si="381"/>
        <v>29.561426439020348</v>
      </c>
      <c r="AC100" s="122">
        <f t="shared" si="381"/>
        <v>31.300333876609781</v>
      </c>
      <c r="AD100" s="122">
        <f t="shared" si="381"/>
        <v>33.141529986998592</v>
      </c>
      <c r="AE100" s="122">
        <f t="shared" si="381"/>
        <v>35.091031750939685</v>
      </c>
      <c r="AF100" s="122">
        <f t="shared" si="381"/>
        <v>37.155210089230252</v>
      </c>
      <c r="AG100" s="122">
        <f t="shared" si="381"/>
        <v>39.340810682714384</v>
      </c>
      <c r="AH100" s="116">
        <f t="shared" ref="AH100:AH102" si="382">((AG100/J100)^(1/($AG$3-$K$1) ))-1</f>
        <v>9.3015456568060761E-2</v>
      </c>
      <c r="AI100" s="21">
        <f t="shared" si="18"/>
        <v>0.05</v>
      </c>
      <c r="AJ100" s="124">
        <f t="shared" si="276"/>
        <v>242.98736009911829</v>
      </c>
    </row>
    <row r="101" spans="2:36">
      <c r="B101" s="10" t="s">
        <v>436</v>
      </c>
      <c r="C101" s="122"/>
      <c r="D101" s="122"/>
      <c r="E101" s="122"/>
      <c r="F101" s="122"/>
      <c r="G101" s="122">
        <f t="shared" ref="G101" si="383">G55/G57</f>
        <v>1.5384615384615383</v>
      </c>
      <c r="H101" s="122">
        <f t="shared" ref="H101:I101" si="384">H55/H57</f>
        <v>1.2087912087912089</v>
      </c>
      <c r="I101" s="122">
        <f t="shared" si="384"/>
        <v>1.4835164835164836</v>
      </c>
      <c r="J101" s="122">
        <f t="shared" ref="J101:S101" si="385">J55/J57</f>
        <v>2.0494505494505493</v>
      </c>
      <c r="K101" s="122">
        <f t="shared" si="385"/>
        <v>2.1978021978021975</v>
      </c>
      <c r="L101" s="122">
        <f t="shared" si="385"/>
        <v>4.9450549450549453</v>
      </c>
      <c r="M101" s="122">
        <f t="shared" si="385"/>
        <v>0.98901098901098905</v>
      </c>
      <c r="N101" s="122">
        <f t="shared" si="385"/>
        <v>2.2648941408173315</v>
      </c>
      <c r="O101" s="122">
        <f t="shared" si="385"/>
        <v>4.5297882816346631</v>
      </c>
      <c r="P101" s="122">
        <f t="shared" si="385"/>
        <v>5.1698670605613</v>
      </c>
      <c r="Q101" s="122">
        <f t="shared" si="385"/>
        <v>7.1393402264894146</v>
      </c>
      <c r="R101" s="122">
        <f t="shared" si="385"/>
        <v>7.5903063557384538</v>
      </c>
      <c r="S101" s="122">
        <f t="shared" si="385"/>
        <v>7.7266636891469407</v>
      </c>
      <c r="T101" s="122">
        <f t="shared" ref="T101:U101" si="386">T55/T57</f>
        <v>8.175305520438263</v>
      </c>
      <c r="U101" s="122">
        <f t="shared" si="386"/>
        <v>3.8126813095731458</v>
      </c>
      <c r="V101" s="101">
        <f t="shared" si="268"/>
        <v>6.6972271228710856E-2</v>
      </c>
      <c r="W101" s="110"/>
      <c r="X101" s="122">
        <f t="shared" ref="X101:AG101" si="387">X55/X57</f>
        <v>4.0369566807245079</v>
      </c>
      <c r="Y101" s="122">
        <f t="shared" si="387"/>
        <v>4.2744247207671258</v>
      </c>
      <c r="Z101" s="122">
        <f t="shared" si="387"/>
        <v>4.5258614690475447</v>
      </c>
      <c r="AA101" s="122">
        <f t="shared" si="387"/>
        <v>4.7920886142856363</v>
      </c>
      <c r="AB101" s="122">
        <f t="shared" si="387"/>
        <v>5.0739761798318508</v>
      </c>
      <c r="AC101" s="122">
        <f t="shared" si="387"/>
        <v>5.3724453668807834</v>
      </c>
      <c r="AD101" s="122">
        <f t="shared" si="387"/>
        <v>5.6884715649325939</v>
      </c>
      <c r="AE101" s="122">
        <f t="shared" si="387"/>
        <v>6.0230875393403931</v>
      </c>
      <c r="AF101" s="122">
        <f t="shared" si="387"/>
        <v>6.3773868063604171</v>
      </c>
      <c r="AG101" s="122">
        <f t="shared" si="387"/>
        <v>6.752527206734559</v>
      </c>
      <c r="AH101" s="116">
        <f t="shared" si="382"/>
        <v>5.0935842689759925E-2</v>
      </c>
      <c r="AI101" s="21">
        <f t="shared" si="18"/>
        <v>0.05</v>
      </c>
      <c r="AJ101" s="124">
        <f t="shared" si="276"/>
        <v>41.706785688654634</v>
      </c>
    </row>
    <row r="102" spans="2:36">
      <c r="B102" s="10" t="s">
        <v>260</v>
      </c>
      <c r="C102" s="122"/>
      <c r="D102" s="122"/>
      <c r="E102" s="122"/>
      <c r="F102" s="122"/>
      <c r="G102" s="122">
        <f t="shared" ref="G102" si="388">G6/G57</f>
        <v>-3.2967032967032965</v>
      </c>
      <c r="H102" s="122">
        <f t="shared" ref="H102:I102" si="389">H6/H57</f>
        <v>-2.1978021978021975</v>
      </c>
      <c r="I102" s="122">
        <f t="shared" si="389"/>
        <v>-1.0989010989010988</v>
      </c>
      <c r="J102" s="122">
        <f t="shared" ref="J102:S102" si="390">J6/J57</f>
        <v>1.0989010989010988</v>
      </c>
      <c r="K102" s="122">
        <f t="shared" si="390"/>
        <v>3.2967032967032965</v>
      </c>
      <c r="L102" s="122">
        <f t="shared" si="390"/>
        <v>7.6923076923076916</v>
      </c>
      <c r="M102" s="122">
        <f t="shared" si="390"/>
        <v>1.5934065934065935</v>
      </c>
      <c r="N102" s="122">
        <f t="shared" si="390"/>
        <v>3.4465780403742001</v>
      </c>
      <c r="O102" s="122">
        <f t="shared" si="390"/>
        <v>7.8778926637124576</v>
      </c>
      <c r="P102" s="122">
        <f t="shared" si="390"/>
        <v>12.998522895125555</v>
      </c>
      <c r="Q102" s="122">
        <f t="shared" si="390"/>
        <v>20.088626292466767</v>
      </c>
      <c r="R102" s="122">
        <f t="shared" si="390"/>
        <v>28.532235939643346</v>
      </c>
      <c r="S102" s="122">
        <f t="shared" si="390"/>
        <v>37.025457793657885</v>
      </c>
      <c r="T102" s="122">
        <f t="shared" ref="T102:U102" si="391">T6/T57</f>
        <v>46.059839865149598</v>
      </c>
      <c r="U102" s="122">
        <f t="shared" si="391"/>
        <v>51.056775797762121</v>
      </c>
      <c r="V102" s="101" t="e">
        <f t="shared" si="268"/>
        <v>#NUM!</v>
      </c>
      <c r="W102" s="110"/>
      <c r="X102" s="122">
        <f t="shared" ref="X102:AG102" si="392">X6/X57</f>
        <v>54.060115550571666</v>
      </c>
      <c r="Y102" s="122">
        <f t="shared" si="392"/>
        <v>57.240122347664119</v>
      </c>
      <c r="Z102" s="122">
        <f t="shared" si="392"/>
        <v>60.607188368114961</v>
      </c>
      <c r="AA102" s="122">
        <f t="shared" si="392"/>
        <v>64.172317095651138</v>
      </c>
      <c r="AB102" s="122">
        <f t="shared" si="392"/>
        <v>67.94715927774827</v>
      </c>
      <c r="AC102" s="122">
        <f t="shared" si="392"/>
        <v>71.944050999968766</v>
      </c>
      <c r="AD102" s="122">
        <f t="shared" si="392"/>
        <v>76.176053999966911</v>
      </c>
      <c r="AE102" s="122">
        <f t="shared" si="392"/>
        <v>80.656998352906143</v>
      </c>
      <c r="AF102" s="122">
        <f t="shared" si="392"/>
        <v>85.401527667782972</v>
      </c>
      <c r="AG102" s="122">
        <f t="shared" si="392"/>
        <v>90.425146942358438</v>
      </c>
      <c r="AH102" s="116">
        <f t="shared" si="382"/>
        <v>0.20172595804893878</v>
      </c>
      <c r="AI102" s="21">
        <f t="shared" ref="AI102" si="393">$O$1</f>
        <v>0.05</v>
      </c>
      <c r="AJ102" s="124">
        <f t="shared" si="276"/>
        <v>558.50826052633158</v>
      </c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10" t="s">
        <v>410</v>
      </c>
      <c r="C104" s="109"/>
      <c r="D104" s="109"/>
      <c r="E104" s="109"/>
      <c r="F104" s="122"/>
      <c r="G104" s="122">
        <f t="shared" ref="G104:T104" si="394">G55/$U$57</f>
        <v>0.11603812681309573</v>
      </c>
      <c r="H104" s="122">
        <f t="shared" si="394"/>
        <v>9.1172813924575227E-2</v>
      </c>
      <c r="I104" s="122">
        <f t="shared" si="394"/>
        <v>0.11189390799834233</v>
      </c>
      <c r="J104" s="122">
        <f t="shared" si="394"/>
        <v>0.15457936179030254</v>
      </c>
      <c r="K104" s="122">
        <f t="shared" si="394"/>
        <v>0.16576875259013676</v>
      </c>
      <c r="L104" s="122">
        <f t="shared" si="394"/>
        <v>0.37297969332780773</v>
      </c>
      <c r="M104" s="122">
        <f t="shared" si="394"/>
        <v>0.74595938665561545</v>
      </c>
      <c r="N104" s="122">
        <f t="shared" si="394"/>
        <v>1.9063406547865729</v>
      </c>
      <c r="O104" s="122">
        <f t="shared" si="394"/>
        <v>3.8126813095731458</v>
      </c>
      <c r="P104" s="122">
        <f t="shared" si="394"/>
        <v>4.3514297554910897</v>
      </c>
      <c r="Q104" s="122">
        <f t="shared" si="394"/>
        <v>6.0091172813924576</v>
      </c>
      <c r="R104" s="122">
        <f t="shared" si="394"/>
        <v>6.8794032324906755</v>
      </c>
      <c r="S104" s="122">
        <f t="shared" si="394"/>
        <v>7.1694985495234151</v>
      </c>
      <c r="T104" s="122">
        <f t="shared" si="394"/>
        <v>8.039784500621634</v>
      </c>
      <c r="U104" s="122">
        <f>U55/$U$57</f>
        <v>3.8126813095731458</v>
      </c>
      <c r="V104" s="101">
        <f t="shared" si="268"/>
        <v>0.28330740338932014</v>
      </c>
      <c r="W104" s="110"/>
      <c r="X104" s="122">
        <f t="shared" ref="X104:AG104" si="395">X55/X57</f>
        <v>4.0369566807245079</v>
      </c>
      <c r="Y104" s="122">
        <f t="shared" si="395"/>
        <v>4.2744247207671258</v>
      </c>
      <c r="Z104" s="122">
        <f t="shared" si="395"/>
        <v>4.5258614690475447</v>
      </c>
      <c r="AA104" s="122">
        <f t="shared" si="395"/>
        <v>4.7920886142856363</v>
      </c>
      <c r="AB104" s="122">
        <f t="shared" si="395"/>
        <v>5.0739761798318508</v>
      </c>
      <c r="AC104" s="122">
        <f t="shared" si="395"/>
        <v>5.3724453668807834</v>
      </c>
      <c r="AD104" s="122">
        <f t="shared" si="395"/>
        <v>5.6884715649325939</v>
      </c>
      <c r="AE104" s="122">
        <f t="shared" si="395"/>
        <v>6.0230875393403931</v>
      </c>
      <c r="AF104" s="122">
        <f t="shared" si="395"/>
        <v>6.3773868063604171</v>
      </c>
      <c r="AG104" s="122">
        <f t="shared" si="395"/>
        <v>6.752527206734559</v>
      </c>
      <c r="AH104" s="117"/>
      <c r="AI104" s="10"/>
      <c r="AJ104" s="131"/>
    </row>
    <row r="105" spans="2:36">
      <c r="B105" s="10"/>
      <c r="C105" s="109"/>
      <c r="D105" s="109"/>
      <c r="E105" s="109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7"/>
      <c r="AI105" s="10"/>
      <c r="AJ105" s="131"/>
    </row>
    <row r="106" spans="2:36">
      <c r="B106" s="93" t="s">
        <v>259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22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2:36">
      <c r="B107" s="10" t="s">
        <v>258</v>
      </c>
      <c r="C107" s="129"/>
      <c r="D107" s="129"/>
      <c r="E107" s="129"/>
      <c r="F107" s="129"/>
      <c r="G107" s="129">
        <f t="shared" ref="G107" si="396">G51/G25</f>
        <v>8.621621621621621E-2</v>
      </c>
      <c r="H107" s="129">
        <f t="shared" ref="H107:I107" si="397">H51/H25</f>
        <v>9.4117647058823528E-2</v>
      </c>
      <c r="I107" s="129">
        <f t="shared" si="397"/>
        <v>7.588235294117647E-2</v>
      </c>
      <c r="J107" s="129">
        <f t="shared" ref="J107:S107" si="398">J51/J25</f>
        <v>5.4294871794871802E-2</v>
      </c>
      <c r="K107" s="129">
        <f t="shared" si="398"/>
        <v>3.8123167155425221E-2</v>
      </c>
      <c r="L107" s="129">
        <f t="shared" si="398"/>
        <v>4.5840407470288627E-2</v>
      </c>
      <c r="M107" s="129">
        <f t="shared" si="398"/>
        <v>4.8689138576779027E-2</v>
      </c>
      <c r="N107" s="129">
        <f t="shared" si="398"/>
        <v>6.1652281134401972E-2</v>
      </c>
      <c r="O107" s="129">
        <f t="shared" si="398"/>
        <v>6.7699836867862975E-2</v>
      </c>
      <c r="P107" s="129">
        <f t="shared" si="398"/>
        <v>5.6743002544529263E-2</v>
      </c>
      <c r="Q107" s="129">
        <f t="shared" si="398"/>
        <v>5.8436378141204628E-2</v>
      </c>
      <c r="R107" s="129">
        <f t="shared" si="398"/>
        <v>5.8361204013377924E-2</v>
      </c>
      <c r="S107" s="129">
        <f t="shared" si="398"/>
        <v>6.02203942262921E-2</v>
      </c>
      <c r="T107" s="129">
        <f t="shared" ref="T107:U107" si="399">T51/T25</f>
        <v>6.5795206971677567E-2</v>
      </c>
      <c r="U107" s="129">
        <f t="shared" si="399"/>
        <v>7.3104200763775232E-2</v>
      </c>
      <c r="V107" s="101">
        <f t="shared" si="268"/>
        <v>-1.1714590139883851E-2</v>
      </c>
      <c r="W107" s="129"/>
      <c r="X107" s="129">
        <f t="shared" ref="X107:AG107" si="400">X51/X25</f>
        <v>7.3104200763775232E-2</v>
      </c>
      <c r="Y107" s="129">
        <f t="shared" si="400"/>
        <v>7.3104200763775232E-2</v>
      </c>
      <c r="Z107" s="129">
        <f t="shared" si="400"/>
        <v>7.3104200763775232E-2</v>
      </c>
      <c r="AA107" s="129">
        <f t="shared" si="400"/>
        <v>7.3104200763775232E-2</v>
      </c>
      <c r="AB107" s="129">
        <f t="shared" si="400"/>
        <v>7.3104200763775232E-2</v>
      </c>
      <c r="AC107" s="129">
        <f t="shared" si="400"/>
        <v>7.3104200763775232E-2</v>
      </c>
      <c r="AD107" s="129">
        <f t="shared" si="400"/>
        <v>7.3104200763775232E-2</v>
      </c>
      <c r="AE107" s="129">
        <f t="shared" si="400"/>
        <v>7.3104200763775232E-2</v>
      </c>
      <c r="AF107" s="129">
        <f t="shared" si="400"/>
        <v>7.3104200763775232E-2</v>
      </c>
      <c r="AG107" s="129">
        <f t="shared" si="400"/>
        <v>7.3104200763775232E-2</v>
      </c>
      <c r="AH107" s="116">
        <f t="shared" ref="AH107:AH156" si="401">((AG107/J107)^(1/($AG$3-$K$1) ))-1</f>
        <v>1.2471126051945225E-2</v>
      </c>
      <c r="AI107" s="124"/>
      <c r="AJ107" s="124"/>
    </row>
    <row r="108" spans="2:36">
      <c r="B108" s="10" t="s">
        <v>220</v>
      </c>
      <c r="C108" s="129"/>
      <c r="D108" s="129"/>
      <c r="E108" s="129"/>
      <c r="F108" s="129"/>
      <c r="G108" s="129">
        <f t="shared" ref="G108" si="402">G55/G25</f>
        <v>3.7837837837837833E-2</v>
      </c>
      <c r="H108" s="129">
        <f t="shared" ref="H108:I108" si="403">H55/H25</f>
        <v>3.2352941176470591E-2</v>
      </c>
      <c r="I108" s="129">
        <f t="shared" si="403"/>
        <v>2.6470588235294121E-2</v>
      </c>
      <c r="J108" s="129">
        <f t="shared" ref="J108:S108" si="404">J55/J25</f>
        <v>2.391025641025641E-2</v>
      </c>
      <c r="K108" s="129">
        <f t="shared" si="404"/>
        <v>1.1730205278592375E-2</v>
      </c>
      <c r="L108" s="129">
        <f t="shared" si="404"/>
        <v>1.5280135823429542E-2</v>
      </c>
      <c r="M108" s="129">
        <f t="shared" si="404"/>
        <v>1.6853932584269662E-2</v>
      </c>
      <c r="N108" s="129">
        <f t="shared" si="404"/>
        <v>2.8360049321824909E-2</v>
      </c>
      <c r="O108" s="129">
        <f t="shared" si="404"/>
        <v>3.7520391517128875E-2</v>
      </c>
      <c r="P108" s="129">
        <f t="shared" si="404"/>
        <v>2.6717557251908396E-2</v>
      </c>
      <c r="Q108" s="129">
        <f t="shared" si="404"/>
        <v>2.8919026725169526E-2</v>
      </c>
      <c r="R108" s="129">
        <f t="shared" si="404"/>
        <v>2.7759197324414717E-2</v>
      </c>
      <c r="S108" s="129">
        <f t="shared" si="404"/>
        <v>2.6850845879248797E-2</v>
      </c>
      <c r="T108" s="129">
        <f t="shared" ref="T108:U108" si="405">T55/T25</f>
        <v>2.8177196804647784E-2</v>
      </c>
      <c r="U108" s="129">
        <f t="shared" si="405"/>
        <v>1.2547735951991271E-2</v>
      </c>
      <c r="V108" s="101">
        <f t="shared" si="268"/>
        <v>-7.5812834952522556E-2</v>
      </c>
      <c r="W108" s="129"/>
      <c r="X108" s="129">
        <f t="shared" ref="X108:AG108" si="406">X55/X25</f>
        <v>1.2547735951991271E-2</v>
      </c>
      <c r="Y108" s="129">
        <f t="shared" si="406"/>
        <v>1.2547735951991271E-2</v>
      </c>
      <c r="Z108" s="129">
        <f t="shared" si="406"/>
        <v>1.2547735951991271E-2</v>
      </c>
      <c r="AA108" s="129">
        <f t="shared" si="406"/>
        <v>1.254773595199127E-2</v>
      </c>
      <c r="AB108" s="129">
        <f t="shared" si="406"/>
        <v>1.2547735951991271E-2</v>
      </c>
      <c r="AC108" s="129">
        <f t="shared" si="406"/>
        <v>1.2547735951991271E-2</v>
      </c>
      <c r="AD108" s="129">
        <f t="shared" si="406"/>
        <v>1.2547735951991273E-2</v>
      </c>
      <c r="AE108" s="129">
        <f t="shared" si="406"/>
        <v>1.2547735951991271E-2</v>
      </c>
      <c r="AF108" s="129">
        <f t="shared" si="406"/>
        <v>1.2547735951991273E-2</v>
      </c>
      <c r="AG108" s="129">
        <f t="shared" si="406"/>
        <v>1.2547735951991271E-2</v>
      </c>
      <c r="AH108" s="116">
        <f t="shared" si="401"/>
        <v>-2.6507640251110742E-2</v>
      </c>
      <c r="AI108" s="124"/>
      <c r="AJ108" s="124"/>
    </row>
    <row r="109" spans="2:36">
      <c r="B109" s="10" t="s">
        <v>304</v>
      </c>
      <c r="C109" s="129"/>
      <c r="D109" s="129"/>
      <c r="E109" s="129"/>
      <c r="F109" s="129"/>
      <c r="G109" s="129">
        <f t="shared" ref="G109" si="407">G55/G7</f>
        <v>0.23333333333333331</v>
      </c>
      <c r="H109" s="129">
        <f t="shared" ref="H109:I109" si="408">H55/H7</f>
        <v>0.15714285714285717</v>
      </c>
      <c r="I109" s="129">
        <f t="shared" si="408"/>
        <v>0.16875000000000001</v>
      </c>
      <c r="J109" s="129">
        <f>J55/J7</f>
        <v>0.1865</v>
      </c>
      <c r="K109" s="129">
        <f t="shared" ref="K109:R109" si="409">K55/K7</f>
        <v>0.16</v>
      </c>
      <c r="L109" s="129">
        <f t="shared" si="409"/>
        <v>0.28125</v>
      </c>
      <c r="M109" s="129">
        <f t="shared" si="409"/>
        <v>0.375</v>
      </c>
      <c r="N109" s="129">
        <f t="shared" si="409"/>
        <v>0.50549450549450547</v>
      </c>
      <c r="O109" s="129">
        <f t="shared" si="409"/>
        <v>0.50828729281767959</v>
      </c>
      <c r="P109" s="129">
        <f t="shared" si="409"/>
        <v>0.36971830985915494</v>
      </c>
      <c r="Q109" s="129">
        <f t="shared" si="409"/>
        <v>0.33878504672897197</v>
      </c>
      <c r="R109" s="129">
        <f t="shared" si="409"/>
        <v>0.24962406015037594</v>
      </c>
      <c r="S109" s="129">
        <f t="shared" ref="S109:T109" si="410">S55/S7</f>
        <v>0.20023148148148148</v>
      </c>
      <c r="T109" s="129">
        <f t="shared" si="410"/>
        <v>0.17367949865711726</v>
      </c>
      <c r="U109" s="129">
        <f t="shared" ref="U109" si="411">U55/U7</f>
        <v>7.32484076433121E-2</v>
      </c>
      <c r="V109" s="101">
        <f t="shared" si="268"/>
        <v>-7.9426070430135387E-2</v>
      </c>
      <c r="W109" s="10"/>
      <c r="X109" s="129">
        <f t="shared" ref="X109" si="412">X55/X7</f>
        <v>7.3248407643312113E-2</v>
      </c>
      <c r="Y109" s="129">
        <f t="shared" ref="Y109:AG109" si="413">Y55/Y7</f>
        <v>7.32484076433121E-2</v>
      </c>
      <c r="Z109" s="129">
        <f t="shared" si="413"/>
        <v>7.32484076433121E-2</v>
      </c>
      <c r="AA109" s="129">
        <f t="shared" si="413"/>
        <v>7.32484076433121E-2</v>
      </c>
      <c r="AB109" s="129">
        <f t="shared" si="413"/>
        <v>7.32484076433121E-2</v>
      </c>
      <c r="AC109" s="129">
        <f t="shared" si="413"/>
        <v>7.32484076433121E-2</v>
      </c>
      <c r="AD109" s="129">
        <f t="shared" si="413"/>
        <v>7.3248407643312113E-2</v>
      </c>
      <c r="AE109" s="129">
        <f t="shared" si="413"/>
        <v>7.3248407643312113E-2</v>
      </c>
      <c r="AF109" s="129">
        <f t="shared" si="413"/>
        <v>7.3248407643312113E-2</v>
      </c>
      <c r="AG109" s="129">
        <f t="shared" si="413"/>
        <v>7.3248407643312113E-2</v>
      </c>
      <c r="AH109" s="116">
        <f t="shared" si="401"/>
        <v>-3.8192174392872258E-2</v>
      </c>
      <c r="AI109" s="124"/>
      <c r="AJ109" s="124"/>
    </row>
    <row r="110" spans="2:36">
      <c r="B110" s="10" t="s">
        <v>305</v>
      </c>
      <c r="C110" s="129"/>
      <c r="D110" s="129"/>
      <c r="E110" s="129"/>
      <c r="F110" s="129"/>
      <c r="G110" s="129">
        <f t="shared" ref="G110" si="414">(G55)/(G7+G10)</f>
        <v>0.10769230769230768</v>
      </c>
      <c r="H110" s="129">
        <f t="shared" ref="H110:I110" si="415">(H55)/(H7+H10)</f>
        <v>9.1666666666666674E-2</v>
      </c>
      <c r="I110" s="129">
        <f t="shared" si="415"/>
        <v>0.10384615384615385</v>
      </c>
      <c r="J110" s="129">
        <f>(J55)/(J7+J10)</f>
        <v>0.10657142857142857</v>
      </c>
      <c r="K110" s="129">
        <f t="shared" ref="K110:R110" si="416">(K55)/(K7+K10)</f>
        <v>6.6666666666666666E-2</v>
      </c>
      <c r="L110" s="129">
        <f t="shared" si="416"/>
        <v>7.3170731707317069E-2</v>
      </c>
      <c r="M110" s="129">
        <f t="shared" si="416"/>
        <v>6.741573033707865E-2</v>
      </c>
      <c r="N110" s="129">
        <f t="shared" si="416"/>
        <v>9.330628803245436E-2</v>
      </c>
      <c r="O110" s="129">
        <f t="shared" si="416"/>
        <v>0.11044417767106843</v>
      </c>
      <c r="P110" s="129">
        <f t="shared" si="416"/>
        <v>8.5504885993485338E-2</v>
      </c>
      <c r="Q110" s="129">
        <f t="shared" si="416"/>
        <v>9.634551495016612E-2</v>
      </c>
      <c r="R110" s="129">
        <f t="shared" si="416"/>
        <v>8.7322461862177805E-2</v>
      </c>
      <c r="S110" s="129">
        <f t="shared" ref="S110:T110" si="417">(S55)/(S7+S10)</f>
        <v>7.412167952013711E-2</v>
      </c>
      <c r="T110" s="129">
        <f t="shared" si="417"/>
        <v>7.1692535107169247E-2</v>
      </c>
      <c r="U110" s="129">
        <f t="shared" ref="U110" si="418">(U55)/(U7+U10)</f>
        <v>3.233743409490334E-2</v>
      </c>
      <c r="V110" s="101">
        <f t="shared" si="268"/>
        <v>-8.2343674956536939E-2</v>
      </c>
      <c r="W110" s="10"/>
      <c r="X110" s="129">
        <f t="shared" ref="X110:AG110" si="419">(X55)/(X7+X10)</f>
        <v>3.233743409490334E-2</v>
      </c>
      <c r="Y110" s="129">
        <f t="shared" si="419"/>
        <v>3.233743409490334E-2</v>
      </c>
      <c r="Z110" s="129">
        <f t="shared" si="419"/>
        <v>3.233743409490334E-2</v>
      </c>
      <c r="AA110" s="129">
        <f t="shared" si="419"/>
        <v>3.233743409490334E-2</v>
      </c>
      <c r="AB110" s="129">
        <f t="shared" si="419"/>
        <v>3.233743409490334E-2</v>
      </c>
      <c r="AC110" s="129">
        <f t="shared" si="419"/>
        <v>3.233743409490334E-2</v>
      </c>
      <c r="AD110" s="129">
        <f t="shared" si="419"/>
        <v>3.233743409490334E-2</v>
      </c>
      <c r="AE110" s="129">
        <f t="shared" si="419"/>
        <v>3.233743409490334E-2</v>
      </c>
      <c r="AF110" s="129">
        <f t="shared" si="419"/>
        <v>3.2337434094903347E-2</v>
      </c>
      <c r="AG110" s="129">
        <f t="shared" si="419"/>
        <v>3.233743409490334E-2</v>
      </c>
      <c r="AH110" s="116">
        <f t="shared" si="401"/>
        <v>-4.847683575879691E-2</v>
      </c>
      <c r="AI110" s="124"/>
      <c r="AJ110" s="124"/>
    </row>
    <row r="111" spans="2:36">
      <c r="B111" s="10" t="s">
        <v>321</v>
      </c>
      <c r="C111" s="129"/>
      <c r="D111" s="129"/>
      <c r="E111" s="129"/>
      <c r="F111" s="129"/>
      <c r="G111" s="129">
        <f t="shared" ref="G111" si="420">G20/G25</f>
        <v>0</v>
      </c>
      <c r="H111" s="129">
        <f t="shared" ref="H111:I111" si="421">H20/H25</f>
        <v>0</v>
      </c>
      <c r="I111" s="129">
        <f t="shared" si="421"/>
        <v>0</v>
      </c>
      <c r="J111" s="129">
        <f>J20/J25</f>
        <v>0</v>
      </c>
      <c r="K111" s="129">
        <f t="shared" ref="K111:S111" si="422">K20/K25</f>
        <v>0</v>
      </c>
      <c r="L111" s="129">
        <f t="shared" si="422"/>
        <v>0</v>
      </c>
      <c r="M111" s="129">
        <f t="shared" si="422"/>
        <v>0</v>
      </c>
      <c r="N111" s="129">
        <f t="shared" si="422"/>
        <v>0</v>
      </c>
      <c r="O111" s="129">
        <f t="shared" si="422"/>
        <v>0</v>
      </c>
      <c r="P111" s="129">
        <f t="shared" si="422"/>
        <v>0</v>
      </c>
      <c r="Q111" s="129">
        <f t="shared" si="422"/>
        <v>0</v>
      </c>
      <c r="R111" s="129">
        <f t="shared" si="422"/>
        <v>0</v>
      </c>
      <c r="S111" s="129">
        <f t="shared" si="422"/>
        <v>0</v>
      </c>
      <c r="T111" s="129">
        <f t="shared" ref="T111:U111" si="423">T20/T25</f>
        <v>0</v>
      </c>
      <c r="U111" s="129">
        <f t="shared" si="423"/>
        <v>0</v>
      </c>
      <c r="V111" s="101" t="e">
        <f t="shared" si="268"/>
        <v>#DIV/0!</v>
      </c>
      <c r="W111" s="10"/>
      <c r="X111" s="129">
        <f t="shared" ref="X111:AG111" si="424">X20/X25</f>
        <v>0</v>
      </c>
      <c r="Y111" s="129">
        <f t="shared" si="424"/>
        <v>0</v>
      </c>
      <c r="Z111" s="129">
        <f t="shared" si="424"/>
        <v>0</v>
      </c>
      <c r="AA111" s="129">
        <f t="shared" si="424"/>
        <v>0</v>
      </c>
      <c r="AB111" s="129">
        <f t="shared" si="424"/>
        <v>0</v>
      </c>
      <c r="AC111" s="129">
        <f t="shared" si="424"/>
        <v>0</v>
      </c>
      <c r="AD111" s="129">
        <f t="shared" si="424"/>
        <v>0</v>
      </c>
      <c r="AE111" s="129">
        <f t="shared" si="424"/>
        <v>0</v>
      </c>
      <c r="AF111" s="129">
        <f t="shared" si="424"/>
        <v>0</v>
      </c>
      <c r="AG111" s="129">
        <f t="shared" si="424"/>
        <v>0</v>
      </c>
      <c r="AH111" s="116" t="e">
        <f t="shared" si="401"/>
        <v>#DIV/0!</v>
      </c>
      <c r="AI111" s="124"/>
      <c r="AJ111" s="124"/>
    </row>
    <row r="112" spans="2:36">
      <c r="B112" s="10" t="s">
        <v>373</v>
      </c>
      <c r="C112" s="129"/>
      <c r="D112" s="129"/>
      <c r="E112" s="129"/>
      <c r="F112" s="129"/>
      <c r="G112" s="129">
        <f t="shared" ref="G112" si="425">G70/G25</f>
        <v>2.4324324324324322E-2</v>
      </c>
      <c r="H112" s="129">
        <f t="shared" ref="H112:I112" si="426">H70/H25</f>
        <v>1.1764705882352939E-2</v>
      </c>
      <c r="I112" s="129">
        <f t="shared" si="426"/>
        <v>2.2549019607843137E-2</v>
      </c>
      <c r="J112" s="129">
        <f>J70/J25</f>
        <v>8.1410256410256419E-3</v>
      </c>
      <c r="K112" s="129">
        <f t="shared" ref="K112:S112" si="427">K70/K25</f>
        <v>8.7976539589442824E-3</v>
      </c>
      <c r="L112" s="129">
        <f t="shared" si="427"/>
        <v>8.4889643463497456E-3</v>
      </c>
      <c r="M112" s="129">
        <f t="shared" si="427"/>
        <v>1.0299625468164793E-2</v>
      </c>
      <c r="N112" s="129">
        <f t="shared" si="427"/>
        <v>8.6313193588162754E-3</v>
      </c>
      <c r="O112" s="129">
        <f t="shared" si="427"/>
        <v>8.1566068515497557E-4</v>
      </c>
      <c r="P112" s="129">
        <f t="shared" si="427"/>
        <v>3.0534351145038168E-3</v>
      </c>
      <c r="Q112" s="129">
        <f t="shared" si="427"/>
        <v>4.5871559633027525E-3</v>
      </c>
      <c r="R112" s="129">
        <f t="shared" si="427"/>
        <v>5.016722408026756E-3</v>
      </c>
      <c r="S112" s="129">
        <f t="shared" si="427"/>
        <v>9.9332609033059138E-3</v>
      </c>
      <c r="T112" s="129">
        <f t="shared" ref="T112:U112" si="428">T70/T25</f>
        <v>1.0021786492374727E-2</v>
      </c>
      <c r="U112" s="129">
        <f t="shared" si="428"/>
        <v>9.9563557010365518E-3</v>
      </c>
      <c r="V112" s="101">
        <f t="shared" si="268"/>
        <v>-6.1811786149262082E-2</v>
      </c>
      <c r="W112" s="10"/>
      <c r="X112" s="129">
        <f t="shared" ref="X112:AG112" si="429">X70/X25</f>
        <v>9.9563557010365518E-3</v>
      </c>
      <c r="Y112" s="129">
        <f t="shared" si="429"/>
        <v>9.9563557010365501E-3</v>
      </c>
      <c r="Z112" s="129">
        <f t="shared" si="429"/>
        <v>9.9563557010365535E-3</v>
      </c>
      <c r="AA112" s="129">
        <f t="shared" si="429"/>
        <v>9.9563557010365535E-3</v>
      </c>
      <c r="AB112" s="129">
        <f t="shared" si="429"/>
        <v>9.9563557010365518E-3</v>
      </c>
      <c r="AC112" s="129">
        <f t="shared" si="429"/>
        <v>9.9563557010365535E-3</v>
      </c>
      <c r="AD112" s="129">
        <f t="shared" si="429"/>
        <v>9.9563557010365553E-3</v>
      </c>
      <c r="AE112" s="129">
        <f t="shared" si="429"/>
        <v>9.9563557010365535E-3</v>
      </c>
      <c r="AF112" s="129">
        <f t="shared" si="429"/>
        <v>9.9563557010365518E-3</v>
      </c>
      <c r="AG112" s="129">
        <f t="shared" si="429"/>
        <v>9.9563557010365518E-3</v>
      </c>
      <c r="AH112" s="116">
        <f t="shared" si="401"/>
        <v>8.4225609758601383E-3</v>
      </c>
      <c r="AI112" s="124"/>
      <c r="AJ112" s="124"/>
    </row>
    <row r="113" spans="1:36">
      <c r="B113" s="10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2"/>
      <c r="V113" s="10"/>
      <c r="W113" s="10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3"/>
      <c r="AI113" s="124"/>
      <c r="AJ113" s="124"/>
    </row>
    <row r="114" spans="1:36">
      <c r="B114" s="10" t="s">
        <v>268</v>
      </c>
      <c r="C114" s="129"/>
      <c r="D114" s="129"/>
      <c r="E114" s="129"/>
      <c r="F114" s="129"/>
      <c r="G114" s="129">
        <f t="shared" ref="G114" si="430">G29/G25</f>
        <v>1.2567567567567568E-2</v>
      </c>
      <c r="H114" s="129">
        <f t="shared" ref="H114:I114" si="431">H29/H25</f>
        <v>2.9117647058823529E-2</v>
      </c>
      <c r="I114" s="129">
        <f t="shared" si="431"/>
        <v>1.5686274509803921E-2</v>
      </c>
      <c r="J114" s="129">
        <f>J29/J25</f>
        <v>1.2243589743589743E-2</v>
      </c>
      <c r="K114" s="129">
        <f t="shared" ref="K114:S114" si="432">K29/K25</f>
        <v>1.466275659824047E-2</v>
      </c>
      <c r="L114" s="129">
        <f t="shared" si="432"/>
        <v>2.037351443123939E-2</v>
      </c>
      <c r="M114" s="129">
        <f t="shared" si="432"/>
        <v>1.8726591760299626E-2</v>
      </c>
      <c r="N114" s="129">
        <f t="shared" si="432"/>
        <v>2.281134401972873E-2</v>
      </c>
      <c r="O114" s="129">
        <f t="shared" si="432"/>
        <v>2.6508972267536703E-2</v>
      </c>
      <c r="P114" s="129">
        <f t="shared" si="432"/>
        <v>2.366412213740458E-2</v>
      </c>
      <c r="Q114" s="129">
        <f t="shared" si="432"/>
        <v>2.3135221380135622E-2</v>
      </c>
      <c r="R114" s="129">
        <f t="shared" si="432"/>
        <v>2.3411371237458192E-2</v>
      </c>
      <c r="S114" s="129">
        <f t="shared" si="432"/>
        <v>2.4367530653422318E-2</v>
      </c>
      <c r="T114" s="129">
        <f t="shared" ref="T114:U114" si="433">T29/T25</f>
        <v>2.6289034132171388E-2</v>
      </c>
      <c r="U114" s="129">
        <f t="shared" si="433"/>
        <v>3.3415166393889799E-2</v>
      </c>
      <c r="V114" s="101">
        <f t="shared" si="268"/>
        <v>7.2346580820575657E-2</v>
      </c>
      <c r="W114" s="10"/>
      <c r="X114" s="129">
        <f t="shared" ref="X114:AG114" si="434">X29/X25</f>
        <v>3.3415166393889799E-2</v>
      </c>
      <c r="Y114" s="129">
        <f t="shared" si="434"/>
        <v>3.3415166393889799E-2</v>
      </c>
      <c r="Z114" s="129">
        <f t="shared" si="434"/>
        <v>3.3415166393889799E-2</v>
      </c>
      <c r="AA114" s="129">
        <f t="shared" si="434"/>
        <v>3.3415166393889792E-2</v>
      </c>
      <c r="AB114" s="129">
        <f t="shared" si="434"/>
        <v>3.3415166393889799E-2</v>
      </c>
      <c r="AC114" s="129">
        <f t="shared" si="434"/>
        <v>3.3415166393889799E-2</v>
      </c>
      <c r="AD114" s="129">
        <f t="shared" si="434"/>
        <v>3.3415166393889799E-2</v>
      </c>
      <c r="AE114" s="129">
        <f t="shared" si="434"/>
        <v>3.3415166393889792E-2</v>
      </c>
      <c r="AF114" s="129">
        <f t="shared" si="434"/>
        <v>3.3415166393889792E-2</v>
      </c>
      <c r="AG114" s="129">
        <f t="shared" si="434"/>
        <v>3.3415166393889799E-2</v>
      </c>
      <c r="AH114" s="116">
        <f t="shared" si="401"/>
        <v>4.272099755026959E-2</v>
      </c>
      <c r="AI114" s="124"/>
      <c r="AJ114" s="124"/>
    </row>
    <row r="115" spans="1:36">
      <c r="B115" s="10" t="s">
        <v>314</v>
      </c>
      <c r="C115" s="129"/>
      <c r="D115" s="129"/>
      <c r="E115" s="129"/>
      <c r="F115" s="129"/>
      <c r="G115" s="129">
        <f t="shared" ref="G115" si="435">G29/G51</f>
        <v>0.14576802507836992</v>
      </c>
      <c r="H115" s="129">
        <f t="shared" ref="H115:I115" si="436">H29/H51</f>
        <v>0.30937499999999996</v>
      </c>
      <c r="I115" s="129">
        <f t="shared" si="436"/>
        <v>0.20671834625322999</v>
      </c>
      <c r="J115" s="129">
        <f>J29/J51</f>
        <v>0.22550177095631638</v>
      </c>
      <c r="K115" s="129">
        <f t="shared" ref="K115:S115" si="437">K29/K51</f>
        <v>0.38461538461538464</v>
      </c>
      <c r="L115" s="129">
        <f t="shared" si="437"/>
        <v>0.44444444444444442</v>
      </c>
      <c r="M115" s="129">
        <f t="shared" si="437"/>
        <v>0.38461538461538464</v>
      </c>
      <c r="N115" s="129">
        <f t="shared" si="437"/>
        <v>0.37</v>
      </c>
      <c r="O115" s="129">
        <f t="shared" si="437"/>
        <v>0.39156626506024095</v>
      </c>
      <c r="P115" s="129">
        <f t="shared" si="437"/>
        <v>0.4170403587443946</v>
      </c>
      <c r="Q115" s="129">
        <f t="shared" si="437"/>
        <v>0.39590443686006827</v>
      </c>
      <c r="R115" s="129">
        <f t="shared" si="437"/>
        <v>0.40114613180515757</v>
      </c>
      <c r="S115" s="129">
        <f t="shared" si="437"/>
        <v>0.40463917525773196</v>
      </c>
      <c r="T115" s="129">
        <f t="shared" ref="T115:U115" si="438">T29/T51</f>
        <v>0.39955849889624723</v>
      </c>
      <c r="U115" s="129">
        <f t="shared" si="438"/>
        <v>0.45708955223880599</v>
      </c>
      <c r="V115" s="101">
        <f t="shared" si="268"/>
        <v>8.5057585715403672E-2</v>
      </c>
      <c r="W115" s="10"/>
      <c r="X115" s="129">
        <f t="shared" ref="X115:AG115" si="439">X29/X51</f>
        <v>0.45708955223880604</v>
      </c>
      <c r="Y115" s="129">
        <f t="shared" si="439"/>
        <v>0.45708955223880599</v>
      </c>
      <c r="Z115" s="129">
        <f t="shared" si="439"/>
        <v>0.45708955223880593</v>
      </c>
      <c r="AA115" s="129">
        <f t="shared" si="439"/>
        <v>0.45708955223880587</v>
      </c>
      <c r="AB115" s="129">
        <f t="shared" si="439"/>
        <v>0.45708955223880593</v>
      </c>
      <c r="AC115" s="129">
        <f t="shared" si="439"/>
        <v>0.45708955223880593</v>
      </c>
      <c r="AD115" s="129">
        <f t="shared" si="439"/>
        <v>0.45708955223880593</v>
      </c>
      <c r="AE115" s="129">
        <f t="shared" si="439"/>
        <v>0.45708955223880593</v>
      </c>
      <c r="AF115" s="129">
        <f t="shared" si="439"/>
        <v>0.45708955223880593</v>
      </c>
      <c r="AG115" s="129">
        <f t="shared" si="439"/>
        <v>0.45708955223880593</v>
      </c>
      <c r="AH115" s="116">
        <f t="shared" ref="AH115" si="440">((AG115/J115)^(1/($AG$3-$K$1) ))-1</f>
        <v>2.9877268319030037E-2</v>
      </c>
      <c r="AI115" s="124"/>
      <c r="AJ115" s="124"/>
    </row>
    <row r="116" spans="1:36" ht="12" customHeight="1">
      <c r="B116" s="10" t="s">
        <v>313</v>
      </c>
      <c r="C116" s="129"/>
      <c r="D116" s="129"/>
      <c r="E116" s="129"/>
      <c r="F116" s="147"/>
      <c r="G116" s="147">
        <f t="shared" ref="G116" si="441">G29/G55</f>
        <v>0.33214285714285718</v>
      </c>
      <c r="H116" s="147">
        <f t="shared" ref="H116:I116" si="442">H29/H55</f>
        <v>0.89999999999999991</v>
      </c>
      <c r="I116" s="147">
        <f t="shared" si="442"/>
        <v>0.59259259259259256</v>
      </c>
      <c r="J116" s="147">
        <f t="shared" ref="J116:S116" si="443">J29/J55</f>
        <v>0.51206434316353888</v>
      </c>
      <c r="K116" s="147">
        <f t="shared" si="443"/>
        <v>1.25</v>
      </c>
      <c r="L116" s="147">
        <f t="shared" si="443"/>
        <v>1.3333333333333333</v>
      </c>
      <c r="M116" s="147">
        <f t="shared" si="443"/>
        <v>1.1111111111111112</v>
      </c>
      <c r="N116" s="147">
        <f t="shared" si="443"/>
        <v>0.80434782608695654</v>
      </c>
      <c r="O116" s="147">
        <f t="shared" si="443"/>
        <v>0.70652173913043481</v>
      </c>
      <c r="P116" s="147">
        <f t="shared" si="443"/>
        <v>0.88571428571428568</v>
      </c>
      <c r="Q116" s="147">
        <f t="shared" si="443"/>
        <v>0.8</v>
      </c>
      <c r="R116" s="147">
        <f t="shared" si="443"/>
        <v>0.84337349397590367</v>
      </c>
      <c r="S116" s="147">
        <f t="shared" si="443"/>
        <v>0.90751445086705207</v>
      </c>
      <c r="T116" s="147">
        <f t="shared" ref="T116:U116" si="444">T29/T55</f>
        <v>0.9329896907216495</v>
      </c>
      <c r="U116" s="147">
        <f t="shared" si="444"/>
        <v>2.6630434782608696</v>
      </c>
      <c r="V116" s="101">
        <f t="shared" si="268"/>
        <v>0.16031321508937757</v>
      </c>
      <c r="W116" s="10"/>
      <c r="X116" s="147">
        <f t="shared" ref="X116:AG116" si="445">X29/X55</f>
        <v>2.6630434782608696</v>
      </c>
      <c r="Y116" s="147">
        <f t="shared" si="445"/>
        <v>2.6630434782608692</v>
      </c>
      <c r="Z116" s="147">
        <f t="shared" si="445"/>
        <v>2.6630434782608696</v>
      </c>
      <c r="AA116" s="147">
        <f t="shared" si="445"/>
        <v>2.6630434782608692</v>
      </c>
      <c r="AB116" s="147">
        <f t="shared" si="445"/>
        <v>2.6630434782608692</v>
      </c>
      <c r="AC116" s="147">
        <f t="shared" si="445"/>
        <v>2.6630434782608692</v>
      </c>
      <c r="AD116" s="147">
        <f t="shared" si="445"/>
        <v>2.6630434782608692</v>
      </c>
      <c r="AE116" s="147">
        <f t="shared" si="445"/>
        <v>2.6630434782608692</v>
      </c>
      <c r="AF116" s="147">
        <f t="shared" si="445"/>
        <v>2.6630434782608687</v>
      </c>
      <c r="AG116" s="147">
        <f t="shared" si="445"/>
        <v>2.6630434782608692</v>
      </c>
      <c r="AH116" s="116">
        <f t="shared" ref="AH116" si="446">((AG116/J116)^(1/($AG$3-$K$1) ))-1</f>
        <v>7.1113694019373508E-2</v>
      </c>
      <c r="AI116" s="124"/>
      <c r="AJ116" s="124"/>
    </row>
    <row r="117" spans="1:36" ht="12" customHeight="1">
      <c r="B117" s="10" t="s">
        <v>270</v>
      </c>
      <c r="C117" s="129"/>
      <c r="D117" s="129"/>
      <c r="E117" s="129"/>
      <c r="F117" s="147"/>
      <c r="G117" s="147">
        <f t="shared" ref="G117" si="447">G29/G12</f>
        <v>3.5769230769230771</v>
      </c>
      <c r="H117" s="147">
        <f t="shared" ref="H117:I117" si="448">H29/H12</f>
        <v>9.4285714285714288</v>
      </c>
      <c r="I117" s="147">
        <f t="shared" si="448"/>
        <v>5.7142857142857144</v>
      </c>
      <c r="J117" s="147">
        <f t="shared" ref="J117:S117" si="449">J29/J12</f>
        <v>3.7450980392156858</v>
      </c>
      <c r="K117" s="147">
        <f t="shared" si="449"/>
        <v>6.666666666666667</v>
      </c>
      <c r="L117" s="147">
        <f t="shared" si="449"/>
        <v>40</v>
      </c>
      <c r="M117" s="147">
        <f t="shared" si="449"/>
        <v>24.096385542168676</v>
      </c>
      <c r="N117" s="147">
        <f t="shared" si="449"/>
        <v>37</v>
      </c>
      <c r="O117" s="147">
        <f t="shared" si="449"/>
        <v>5</v>
      </c>
      <c r="P117" s="147">
        <f t="shared" si="449"/>
        <v>1.0568181818181819</v>
      </c>
      <c r="Q117" s="147">
        <f t="shared" si="449"/>
        <v>3.7419354838709675</v>
      </c>
      <c r="R117" s="147">
        <f t="shared" si="449"/>
        <v>2.7450980392156863</v>
      </c>
      <c r="S117" s="147">
        <f t="shared" si="449"/>
        <v>1.8255813953488371</v>
      </c>
      <c r="T117" s="147">
        <f t="shared" ref="T117:U117" si="450">T29/T12</f>
        <v>1.6017699115044248</v>
      </c>
      <c r="U117" s="147">
        <f t="shared" si="450"/>
        <v>2.168141592920354</v>
      </c>
      <c r="V117" s="101">
        <f t="shared" si="268"/>
        <v>-3.5127652529372777E-2</v>
      </c>
      <c r="W117" s="10"/>
      <c r="X117" s="129">
        <f t="shared" ref="X117:AG117" si="451">X29/X12</f>
        <v>2.168141592920354</v>
      </c>
      <c r="Y117" s="129">
        <f t="shared" si="451"/>
        <v>2.168141592920354</v>
      </c>
      <c r="Z117" s="129">
        <f t="shared" si="451"/>
        <v>2.168141592920354</v>
      </c>
      <c r="AA117" s="129">
        <f t="shared" si="451"/>
        <v>2.1681415929203536</v>
      </c>
      <c r="AB117" s="129">
        <f t="shared" si="451"/>
        <v>2.1681415929203536</v>
      </c>
      <c r="AC117" s="129">
        <f t="shared" si="451"/>
        <v>2.1681415929203536</v>
      </c>
      <c r="AD117" s="129">
        <f t="shared" si="451"/>
        <v>2.1681415929203536</v>
      </c>
      <c r="AE117" s="129">
        <f t="shared" si="451"/>
        <v>2.1681415929203531</v>
      </c>
      <c r="AF117" s="129">
        <f t="shared" si="451"/>
        <v>2.1681415929203531</v>
      </c>
      <c r="AG117" s="129">
        <f t="shared" si="451"/>
        <v>2.1681415929203536</v>
      </c>
      <c r="AH117" s="116">
        <f t="shared" si="401"/>
        <v>-2.2516687108181221E-2</v>
      </c>
      <c r="AI117" s="124"/>
      <c r="AJ117" s="124"/>
    </row>
    <row r="118" spans="1:36" ht="12" customHeight="1">
      <c r="B118" s="10" t="s">
        <v>315</v>
      </c>
      <c r="C118" s="129"/>
      <c r="D118" s="129"/>
      <c r="E118" s="129"/>
      <c r="F118" s="147"/>
      <c r="G118" s="147" t="e">
        <f t="shared" ref="G118" si="452">G29/G23</f>
        <v>#DIV/0!</v>
      </c>
      <c r="H118" s="147" t="e">
        <f t="shared" ref="H118:I118" si="453">H29/H23</f>
        <v>#DIV/0!</v>
      </c>
      <c r="I118" s="147" t="e">
        <f t="shared" si="453"/>
        <v>#DIV/0!</v>
      </c>
      <c r="J118" s="147" t="e">
        <f>J29/J23</f>
        <v>#DIV/0!</v>
      </c>
      <c r="K118" s="147" t="e">
        <f t="shared" ref="K118:S118" si="454">K29/K23</f>
        <v>#DIV/0!</v>
      </c>
      <c r="L118" s="147" t="e">
        <f t="shared" si="454"/>
        <v>#DIV/0!</v>
      </c>
      <c r="M118" s="147" t="e">
        <f t="shared" si="454"/>
        <v>#DIV/0!</v>
      </c>
      <c r="N118" s="147" t="e">
        <f t="shared" si="454"/>
        <v>#DIV/0!</v>
      </c>
      <c r="O118" s="147" t="e">
        <f t="shared" si="454"/>
        <v>#DIV/0!</v>
      </c>
      <c r="P118" s="147" t="e">
        <f t="shared" si="454"/>
        <v>#DIV/0!</v>
      </c>
      <c r="Q118" s="147" t="e">
        <f t="shared" si="454"/>
        <v>#DIV/0!</v>
      </c>
      <c r="R118" s="147" t="e">
        <f t="shared" si="454"/>
        <v>#DIV/0!</v>
      </c>
      <c r="S118" s="147" t="e">
        <f t="shared" si="454"/>
        <v>#DIV/0!</v>
      </c>
      <c r="T118" s="147" t="e">
        <f t="shared" ref="T118:U118" si="455">T29/T23</f>
        <v>#DIV/0!</v>
      </c>
      <c r="U118" s="147" t="e">
        <f t="shared" si="455"/>
        <v>#DIV/0!</v>
      </c>
      <c r="V118" s="101" t="e">
        <f t="shared" si="268"/>
        <v>#DIV/0!</v>
      </c>
      <c r="W118" s="10"/>
      <c r="X118" s="147" t="e">
        <f t="shared" ref="X118:AG118" si="456">X29/X23</f>
        <v>#DIV/0!</v>
      </c>
      <c r="Y118" s="147" t="e">
        <f t="shared" si="456"/>
        <v>#DIV/0!</v>
      </c>
      <c r="Z118" s="147" t="e">
        <f t="shared" si="456"/>
        <v>#DIV/0!</v>
      </c>
      <c r="AA118" s="147" t="e">
        <f t="shared" si="456"/>
        <v>#DIV/0!</v>
      </c>
      <c r="AB118" s="147" t="e">
        <f t="shared" si="456"/>
        <v>#DIV/0!</v>
      </c>
      <c r="AC118" s="147" t="e">
        <f t="shared" si="456"/>
        <v>#DIV/0!</v>
      </c>
      <c r="AD118" s="147" t="e">
        <f t="shared" si="456"/>
        <v>#DIV/0!</v>
      </c>
      <c r="AE118" s="147" t="e">
        <f t="shared" si="456"/>
        <v>#DIV/0!</v>
      </c>
      <c r="AF118" s="147" t="e">
        <f t="shared" si="456"/>
        <v>#DIV/0!</v>
      </c>
      <c r="AG118" s="147" t="e">
        <f t="shared" si="456"/>
        <v>#DIV/0!</v>
      </c>
      <c r="AH118" s="116" t="e">
        <f t="shared" ref="AH118" si="457">((AG118/J118)^(1/($AG$3-$K$1) ))-1</f>
        <v>#DIV/0!</v>
      </c>
      <c r="AI118" s="124"/>
      <c r="AJ118" s="124"/>
    </row>
    <row r="119" spans="1:36" ht="12" customHeight="1">
      <c r="B119" s="10"/>
      <c r="C119" s="129"/>
      <c r="D119" s="129"/>
      <c r="E119" s="129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22"/>
      <c r="V119" s="10"/>
      <c r="W119" s="10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4"/>
      <c r="AJ119" s="124"/>
    </row>
    <row r="120" spans="1:36" ht="12" customHeight="1">
      <c r="B120" s="10" t="s">
        <v>347</v>
      </c>
      <c r="C120" s="129"/>
      <c r="D120" s="129"/>
      <c r="E120" s="129"/>
      <c r="F120" s="109"/>
      <c r="G120" s="109">
        <f t="shared" ref="G120" si="458">1/G114</f>
        <v>79.569892473118273</v>
      </c>
      <c r="H120" s="109">
        <f t="shared" ref="H120:I120" si="459">1/H114</f>
        <v>34.343434343434346</v>
      </c>
      <c r="I120" s="109">
        <f t="shared" si="459"/>
        <v>63.75</v>
      </c>
      <c r="J120" s="109">
        <f>1/J114</f>
        <v>81.67539267015708</v>
      </c>
      <c r="K120" s="109">
        <f t="shared" ref="K120:S120" si="460">1/K114</f>
        <v>68.2</v>
      </c>
      <c r="L120" s="109">
        <f t="shared" si="460"/>
        <v>49.083333333333329</v>
      </c>
      <c r="M120" s="109">
        <f t="shared" si="460"/>
        <v>53.4</v>
      </c>
      <c r="N120" s="109">
        <f t="shared" si="460"/>
        <v>43.837837837837839</v>
      </c>
      <c r="O120" s="109">
        <f t="shared" si="460"/>
        <v>37.723076923076924</v>
      </c>
      <c r="P120" s="109">
        <f t="shared" si="460"/>
        <v>42.258064516129032</v>
      </c>
      <c r="Q120" s="109">
        <f t="shared" si="460"/>
        <v>43.224137931034477</v>
      </c>
      <c r="R120" s="109">
        <f t="shared" si="460"/>
        <v>42.714285714285715</v>
      </c>
      <c r="S120" s="109">
        <f t="shared" si="460"/>
        <v>41.038216560509554</v>
      </c>
      <c r="T120" s="109">
        <f t="shared" ref="T120:U120" si="461">1/T114</f>
        <v>38.038674033149171</v>
      </c>
      <c r="U120" s="109">
        <f t="shared" si="461"/>
        <v>29.926530612244896</v>
      </c>
      <c r="V120" s="101">
        <f t="shared" si="268"/>
        <v>-6.7465670254867605E-2</v>
      </c>
      <c r="W120" s="10"/>
      <c r="X120" s="109">
        <f t="shared" ref="X120:AG120" si="462">1/X114</f>
        <v>29.926530612244896</v>
      </c>
      <c r="Y120" s="109">
        <f t="shared" si="462"/>
        <v>29.926530612244896</v>
      </c>
      <c r="Z120" s="109">
        <f t="shared" si="462"/>
        <v>29.926530612244896</v>
      </c>
      <c r="AA120" s="109">
        <f t="shared" si="462"/>
        <v>29.926530612244903</v>
      </c>
      <c r="AB120" s="109">
        <f t="shared" si="462"/>
        <v>29.926530612244896</v>
      </c>
      <c r="AC120" s="109">
        <f t="shared" si="462"/>
        <v>29.926530612244896</v>
      </c>
      <c r="AD120" s="109">
        <f t="shared" si="462"/>
        <v>29.926530612244896</v>
      </c>
      <c r="AE120" s="109">
        <f t="shared" si="462"/>
        <v>29.926530612244903</v>
      </c>
      <c r="AF120" s="109">
        <f t="shared" si="462"/>
        <v>29.926530612244903</v>
      </c>
      <c r="AG120" s="109">
        <f t="shared" si="462"/>
        <v>29.926530612244896</v>
      </c>
      <c r="AH120" s="116">
        <f t="shared" si="401"/>
        <v>-4.0970688852182691E-2</v>
      </c>
      <c r="AI120" s="124"/>
      <c r="AJ120" s="124"/>
    </row>
    <row r="121" spans="1:36" ht="12" customHeight="1">
      <c r="B121" s="10" t="s">
        <v>348</v>
      </c>
      <c r="C121" s="129"/>
      <c r="D121" s="129"/>
      <c r="E121" s="129"/>
      <c r="F121" s="109"/>
      <c r="G121" s="109">
        <f t="shared" ref="G121" si="463">1/G115</f>
        <v>6.8602150537634401</v>
      </c>
      <c r="H121" s="109">
        <f t="shared" ref="H121:I121" si="464">1/H115</f>
        <v>3.2323232323232327</v>
      </c>
      <c r="I121" s="109">
        <f t="shared" si="464"/>
        <v>4.8374999999999995</v>
      </c>
      <c r="J121" s="109">
        <f t="shared" ref="J121:S124" si="465">1/J115</f>
        <v>4.4345549738219905</v>
      </c>
      <c r="K121" s="109">
        <f t="shared" si="465"/>
        <v>2.5999999999999996</v>
      </c>
      <c r="L121" s="109">
        <f t="shared" si="465"/>
        <v>2.25</v>
      </c>
      <c r="M121" s="109">
        <f t="shared" si="465"/>
        <v>2.5999999999999996</v>
      </c>
      <c r="N121" s="109">
        <f t="shared" si="465"/>
        <v>2.7027027027027026</v>
      </c>
      <c r="O121" s="109">
        <f t="shared" si="465"/>
        <v>2.5538461538461541</v>
      </c>
      <c r="P121" s="109">
        <f t="shared" si="465"/>
        <v>2.3978494623655915</v>
      </c>
      <c r="Q121" s="109">
        <f t="shared" si="465"/>
        <v>2.5258620689655173</v>
      </c>
      <c r="R121" s="109">
        <f t="shared" si="465"/>
        <v>2.4928571428571429</v>
      </c>
      <c r="S121" s="109">
        <f t="shared" si="465"/>
        <v>2.4713375796178343</v>
      </c>
      <c r="T121" s="109">
        <f t="shared" ref="T121:U121" si="466">1/T115</f>
        <v>2.5027624309392267</v>
      </c>
      <c r="U121" s="109">
        <f t="shared" si="466"/>
        <v>2.1877551020408164</v>
      </c>
      <c r="V121" s="101">
        <f t="shared" si="268"/>
        <v>-7.8389927719203167E-2</v>
      </c>
      <c r="W121" s="10"/>
      <c r="X121" s="109">
        <f t="shared" ref="X121:AG121" si="467">1/X115</f>
        <v>2.1877551020408159</v>
      </c>
      <c r="Y121" s="109">
        <f t="shared" si="467"/>
        <v>2.1877551020408164</v>
      </c>
      <c r="Z121" s="109">
        <f t="shared" si="467"/>
        <v>2.1877551020408164</v>
      </c>
      <c r="AA121" s="109">
        <f t="shared" si="467"/>
        <v>2.1877551020408168</v>
      </c>
      <c r="AB121" s="109">
        <f t="shared" si="467"/>
        <v>2.1877551020408164</v>
      </c>
      <c r="AC121" s="109">
        <f t="shared" si="467"/>
        <v>2.1877551020408164</v>
      </c>
      <c r="AD121" s="109">
        <f t="shared" si="467"/>
        <v>2.1877551020408164</v>
      </c>
      <c r="AE121" s="109">
        <f t="shared" si="467"/>
        <v>2.1877551020408164</v>
      </c>
      <c r="AF121" s="109">
        <f t="shared" si="467"/>
        <v>2.1877551020408164</v>
      </c>
      <c r="AG121" s="109">
        <f t="shared" si="467"/>
        <v>2.1877551020408164</v>
      </c>
      <c r="AH121" s="116">
        <f t="shared" si="401"/>
        <v>-2.9010513425348106E-2</v>
      </c>
      <c r="AI121" s="124"/>
      <c r="AJ121" s="124"/>
    </row>
    <row r="122" spans="1:36" ht="12" customHeight="1">
      <c r="B122" s="10" t="s">
        <v>349</v>
      </c>
      <c r="C122" s="129"/>
      <c r="D122" s="129"/>
      <c r="E122" s="129"/>
      <c r="F122" s="109"/>
      <c r="G122" s="109">
        <f t="shared" ref="G122" si="468">1/G116</f>
        <v>3.0107526881720426</v>
      </c>
      <c r="H122" s="109">
        <f t="shared" ref="H122:I122" si="469">1/H116</f>
        <v>1.1111111111111112</v>
      </c>
      <c r="I122" s="109">
        <f t="shared" si="469"/>
        <v>1.6875</v>
      </c>
      <c r="J122" s="109">
        <f t="shared" si="465"/>
        <v>1.9528795811518325</v>
      </c>
      <c r="K122" s="109">
        <f t="shared" si="465"/>
        <v>0.8</v>
      </c>
      <c r="L122" s="109">
        <f t="shared" si="465"/>
        <v>0.75</v>
      </c>
      <c r="M122" s="109">
        <f t="shared" si="465"/>
        <v>0.89999999999999991</v>
      </c>
      <c r="N122" s="109">
        <f t="shared" si="465"/>
        <v>1.2432432432432432</v>
      </c>
      <c r="O122" s="109">
        <f t="shared" si="465"/>
        <v>1.4153846153846152</v>
      </c>
      <c r="P122" s="109">
        <f t="shared" si="465"/>
        <v>1.1290322580645162</v>
      </c>
      <c r="Q122" s="109">
        <f t="shared" si="465"/>
        <v>1.25</v>
      </c>
      <c r="R122" s="109">
        <f t="shared" si="465"/>
        <v>1.1857142857142857</v>
      </c>
      <c r="S122" s="109">
        <f t="shared" si="465"/>
        <v>1.1019108280254777</v>
      </c>
      <c r="T122" s="109">
        <f t="shared" ref="T122:U122" si="470">1/T116</f>
        <v>1.0718232044198894</v>
      </c>
      <c r="U122" s="109">
        <f t="shared" si="470"/>
        <v>0.37551020408163266</v>
      </c>
      <c r="V122" s="101">
        <f t="shared" si="268"/>
        <v>-0.13816374148339661</v>
      </c>
      <c r="W122" s="10"/>
      <c r="X122" s="109">
        <f t="shared" ref="X122:AG122" si="471">1/X116</f>
        <v>0.37551020408163266</v>
      </c>
      <c r="Y122" s="109">
        <f t="shared" si="471"/>
        <v>0.37551020408163271</v>
      </c>
      <c r="Z122" s="109">
        <f t="shared" si="471"/>
        <v>0.37551020408163266</v>
      </c>
      <c r="AA122" s="109">
        <f t="shared" si="471"/>
        <v>0.37551020408163271</v>
      </c>
      <c r="AB122" s="109">
        <f t="shared" si="471"/>
        <v>0.37551020408163271</v>
      </c>
      <c r="AC122" s="109">
        <f t="shared" si="471"/>
        <v>0.37551020408163271</v>
      </c>
      <c r="AD122" s="109">
        <f t="shared" si="471"/>
        <v>0.37551020408163271</v>
      </c>
      <c r="AE122" s="109">
        <f t="shared" si="471"/>
        <v>0.37551020408163271</v>
      </c>
      <c r="AF122" s="109">
        <f t="shared" si="471"/>
        <v>0.37551020408163277</v>
      </c>
      <c r="AG122" s="109">
        <f t="shared" si="471"/>
        <v>0.37551020408163271</v>
      </c>
      <c r="AH122" s="116">
        <f t="shared" si="401"/>
        <v>-6.6392292822359478E-2</v>
      </c>
      <c r="AI122" s="124"/>
      <c r="AJ122" s="124"/>
    </row>
    <row r="123" spans="1:36" ht="12" customHeight="1">
      <c r="B123" s="10" t="s">
        <v>350</v>
      </c>
      <c r="C123" s="129"/>
      <c r="D123" s="129"/>
      <c r="E123" s="129"/>
      <c r="F123" s="109"/>
      <c r="G123" s="109">
        <f t="shared" ref="G123" si="472">1/G117</f>
        <v>0.27956989247311825</v>
      </c>
      <c r="H123" s="109">
        <f t="shared" ref="H123:I123" si="473">1/H117</f>
        <v>0.10606060606060606</v>
      </c>
      <c r="I123" s="109">
        <f t="shared" si="473"/>
        <v>0.17499999999999999</v>
      </c>
      <c r="J123" s="109">
        <f t="shared" si="465"/>
        <v>0.26701570680628273</v>
      </c>
      <c r="K123" s="109">
        <f t="shared" si="465"/>
        <v>0.15</v>
      </c>
      <c r="L123" s="109">
        <f t="shared" si="465"/>
        <v>2.5000000000000001E-2</v>
      </c>
      <c r="M123" s="109">
        <f t="shared" si="465"/>
        <v>4.1499999999999995E-2</v>
      </c>
      <c r="N123" s="109">
        <f t="shared" si="465"/>
        <v>2.7027027027027029E-2</v>
      </c>
      <c r="O123" s="109">
        <f t="shared" si="465"/>
        <v>0.2</v>
      </c>
      <c r="P123" s="109">
        <f t="shared" si="465"/>
        <v>0.94623655913978488</v>
      </c>
      <c r="Q123" s="109">
        <f t="shared" si="465"/>
        <v>0.26724137931034486</v>
      </c>
      <c r="R123" s="109">
        <f t="shared" si="465"/>
        <v>0.36428571428571427</v>
      </c>
      <c r="S123" s="109">
        <f t="shared" si="465"/>
        <v>0.54777070063694266</v>
      </c>
      <c r="T123" s="109">
        <f t="shared" ref="T123:U123" si="474">1/T117</f>
        <v>0.62430939226519333</v>
      </c>
      <c r="U123" s="109">
        <f t="shared" si="474"/>
        <v>0.46122448979591835</v>
      </c>
      <c r="V123" s="101">
        <f t="shared" si="268"/>
        <v>3.6406528409129502E-2</v>
      </c>
      <c r="W123" s="10"/>
      <c r="X123" s="109">
        <f t="shared" ref="X123:AG123" si="475">1/X117</f>
        <v>0.46122448979591835</v>
      </c>
      <c r="Y123" s="109">
        <f t="shared" si="475"/>
        <v>0.46122448979591835</v>
      </c>
      <c r="Z123" s="109">
        <f t="shared" si="475"/>
        <v>0.46122448979591835</v>
      </c>
      <c r="AA123" s="109">
        <f t="shared" si="475"/>
        <v>0.46122448979591846</v>
      </c>
      <c r="AB123" s="109">
        <f t="shared" si="475"/>
        <v>0.46122448979591846</v>
      </c>
      <c r="AC123" s="109">
        <f t="shared" si="475"/>
        <v>0.46122448979591846</v>
      </c>
      <c r="AD123" s="109">
        <f t="shared" si="475"/>
        <v>0.46122448979591846</v>
      </c>
      <c r="AE123" s="109">
        <f t="shared" si="475"/>
        <v>0.46122448979591857</v>
      </c>
      <c r="AF123" s="109">
        <f t="shared" si="475"/>
        <v>0.46122448979591857</v>
      </c>
      <c r="AG123" s="109">
        <f t="shared" si="475"/>
        <v>0.46122448979591846</v>
      </c>
      <c r="AH123" s="116">
        <f t="shared" si="401"/>
        <v>2.303536726531652E-2</v>
      </c>
      <c r="AI123" s="124"/>
      <c r="AJ123" s="124"/>
    </row>
    <row r="124" spans="1:36" ht="12" customHeight="1">
      <c r="B124" s="10" t="s">
        <v>351</v>
      </c>
      <c r="C124" s="129"/>
      <c r="D124" s="129"/>
      <c r="E124" s="129"/>
      <c r="F124" s="109"/>
      <c r="G124" s="109" t="e">
        <f t="shared" ref="G124" si="476">1/G118</f>
        <v>#DIV/0!</v>
      </c>
      <c r="H124" s="109" t="e">
        <f t="shared" ref="H124:I124" si="477">1/H118</f>
        <v>#DIV/0!</v>
      </c>
      <c r="I124" s="109" t="e">
        <f t="shared" si="477"/>
        <v>#DIV/0!</v>
      </c>
      <c r="J124" s="109" t="e">
        <f t="shared" si="465"/>
        <v>#DIV/0!</v>
      </c>
      <c r="K124" s="109" t="e">
        <f t="shared" si="465"/>
        <v>#DIV/0!</v>
      </c>
      <c r="L124" s="109" t="e">
        <f t="shared" si="465"/>
        <v>#DIV/0!</v>
      </c>
      <c r="M124" s="109" t="e">
        <f t="shared" si="465"/>
        <v>#DIV/0!</v>
      </c>
      <c r="N124" s="109" t="e">
        <f t="shared" si="465"/>
        <v>#DIV/0!</v>
      </c>
      <c r="O124" s="109" t="e">
        <f t="shared" si="465"/>
        <v>#DIV/0!</v>
      </c>
      <c r="P124" s="109" t="e">
        <f t="shared" si="465"/>
        <v>#DIV/0!</v>
      </c>
      <c r="Q124" s="109" t="e">
        <f t="shared" si="465"/>
        <v>#DIV/0!</v>
      </c>
      <c r="R124" s="109" t="e">
        <f t="shared" si="465"/>
        <v>#DIV/0!</v>
      </c>
      <c r="S124" s="109" t="e">
        <f t="shared" si="465"/>
        <v>#DIV/0!</v>
      </c>
      <c r="T124" s="109" t="e">
        <f t="shared" ref="T124:U124" si="478">1/T118</f>
        <v>#DIV/0!</v>
      </c>
      <c r="U124" s="109" t="e">
        <f t="shared" si="478"/>
        <v>#DIV/0!</v>
      </c>
      <c r="V124" s="101" t="e">
        <f t="shared" si="268"/>
        <v>#DIV/0!</v>
      </c>
      <c r="W124" s="10"/>
      <c r="X124" s="109" t="e">
        <f t="shared" ref="X124:AG124" si="479">1/X118</f>
        <v>#DIV/0!</v>
      </c>
      <c r="Y124" s="109" t="e">
        <f t="shared" si="479"/>
        <v>#DIV/0!</v>
      </c>
      <c r="Z124" s="109" t="e">
        <f t="shared" si="479"/>
        <v>#DIV/0!</v>
      </c>
      <c r="AA124" s="109" t="e">
        <f t="shared" si="479"/>
        <v>#DIV/0!</v>
      </c>
      <c r="AB124" s="109" t="e">
        <f t="shared" si="479"/>
        <v>#DIV/0!</v>
      </c>
      <c r="AC124" s="109" t="e">
        <f t="shared" si="479"/>
        <v>#DIV/0!</v>
      </c>
      <c r="AD124" s="109" t="e">
        <f t="shared" si="479"/>
        <v>#DIV/0!</v>
      </c>
      <c r="AE124" s="109" t="e">
        <f t="shared" si="479"/>
        <v>#DIV/0!</v>
      </c>
      <c r="AF124" s="109" t="e">
        <f t="shared" si="479"/>
        <v>#DIV/0!</v>
      </c>
      <c r="AG124" s="109" t="e">
        <f t="shared" si="479"/>
        <v>#DIV/0!</v>
      </c>
      <c r="AH124" s="116" t="e">
        <f t="shared" si="401"/>
        <v>#DIV/0!</v>
      </c>
      <c r="AI124" s="124"/>
      <c r="AJ124" s="124"/>
    </row>
    <row r="125" spans="1:36" ht="12" customHeight="1">
      <c r="B125" s="10"/>
      <c r="C125" s="129"/>
      <c r="D125" s="129"/>
      <c r="E125" s="129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22"/>
      <c r="V125" s="10"/>
      <c r="W125" s="10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4"/>
      <c r="AJ125" s="124"/>
    </row>
    <row r="126" spans="1:36" ht="12" customHeight="1">
      <c r="A126" s="301" t="s">
        <v>423</v>
      </c>
      <c r="B126" s="178" t="s">
        <v>430</v>
      </c>
      <c r="C126" s="129"/>
      <c r="D126" s="129"/>
      <c r="E126" s="129"/>
      <c r="F126" s="147"/>
      <c r="G126" s="147" t="e">
        <f t="shared" ref="G126" si="480">G25/(G36+G38)</f>
        <v>#DIV/0!</v>
      </c>
      <c r="H126" s="147" t="e">
        <f t="shared" ref="H126:I126" si="481">H25/(H36+H38)</f>
        <v>#DIV/0!</v>
      </c>
      <c r="I126" s="147" t="e">
        <f t="shared" si="481"/>
        <v>#DIV/0!</v>
      </c>
      <c r="J126" s="147" t="e">
        <f t="shared" ref="J126:T126" si="482">J25/(J36+J38)</f>
        <v>#DIV/0!</v>
      </c>
      <c r="K126" s="147" t="e">
        <f t="shared" si="482"/>
        <v>#DIV/0!</v>
      </c>
      <c r="L126" s="147" t="e">
        <f t="shared" si="482"/>
        <v>#DIV/0!</v>
      </c>
      <c r="M126" s="147" t="e">
        <f t="shared" si="482"/>
        <v>#DIV/0!</v>
      </c>
      <c r="N126" s="147" t="e">
        <f t="shared" si="482"/>
        <v>#DIV/0!</v>
      </c>
      <c r="O126" s="147" t="e">
        <f t="shared" si="482"/>
        <v>#DIV/0!</v>
      </c>
      <c r="P126" s="147" t="e">
        <f t="shared" si="482"/>
        <v>#DIV/0!</v>
      </c>
      <c r="Q126" s="147" t="e">
        <f t="shared" si="482"/>
        <v>#DIV/0!</v>
      </c>
      <c r="R126" s="147" t="e">
        <f t="shared" si="482"/>
        <v>#DIV/0!</v>
      </c>
      <c r="S126" s="147" t="e">
        <f t="shared" si="482"/>
        <v>#DIV/0!</v>
      </c>
      <c r="T126" s="147" t="e">
        <f t="shared" si="482"/>
        <v>#DIV/0!</v>
      </c>
      <c r="U126" s="147">
        <f t="shared" ref="U126" si="483">U25/(U36+U38)</f>
        <v>7332</v>
      </c>
      <c r="V126" s="101" t="e">
        <f t="shared" si="268"/>
        <v>#DIV/0!</v>
      </c>
      <c r="W126" s="10"/>
      <c r="X126" s="147">
        <f t="shared" ref="X126:AG126" si="484">X25/(X36+X38)</f>
        <v>7332</v>
      </c>
      <c r="Y126" s="147">
        <f t="shared" si="484"/>
        <v>7332.0000000000009</v>
      </c>
      <c r="Z126" s="147">
        <f t="shared" si="484"/>
        <v>7332</v>
      </c>
      <c r="AA126" s="147">
        <f t="shared" si="484"/>
        <v>7332.0000000000009</v>
      </c>
      <c r="AB126" s="147">
        <f t="shared" si="484"/>
        <v>7332.0000000000009</v>
      </c>
      <c r="AC126" s="147">
        <f t="shared" si="484"/>
        <v>7332</v>
      </c>
      <c r="AD126" s="147">
        <f t="shared" si="484"/>
        <v>7332</v>
      </c>
      <c r="AE126" s="147">
        <f t="shared" si="484"/>
        <v>7332</v>
      </c>
      <c r="AF126" s="147">
        <f t="shared" si="484"/>
        <v>7332</v>
      </c>
      <c r="AG126" s="147">
        <f t="shared" si="484"/>
        <v>7332</v>
      </c>
      <c r="AH126" s="116" t="e">
        <f t="shared" ref="AH126:AH134" si="485">((AG126/J126)^(1/($AG$3-$K$1) ))-1</f>
        <v>#DIV/0!</v>
      </c>
      <c r="AI126" s="124"/>
      <c r="AJ126" s="124"/>
    </row>
    <row r="127" spans="1:36" ht="12" customHeight="1">
      <c r="A127" s="301"/>
      <c r="B127" s="178" t="s">
        <v>425</v>
      </c>
      <c r="C127" s="129"/>
      <c r="D127" s="129"/>
      <c r="E127" s="129"/>
      <c r="F127" s="147"/>
      <c r="G127" s="147" t="e">
        <f t="shared" ref="G127" si="486">G25/G43</f>
        <v>#DIV/0!</v>
      </c>
      <c r="H127" s="147" t="e">
        <f t="shared" ref="H127:I127" si="487">H25/H43</f>
        <v>#DIV/0!</v>
      </c>
      <c r="I127" s="147" t="e">
        <f t="shared" si="487"/>
        <v>#DIV/0!</v>
      </c>
      <c r="J127" s="147" t="e">
        <f t="shared" ref="J127:T127" si="488">J25/J43</f>
        <v>#DIV/0!</v>
      </c>
      <c r="K127" s="147" t="e">
        <f t="shared" si="488"/>
        <v>#DIV/0!</v>
      </c>
      <c r="L127" s="147" t="e">
        <f t="shared" si="488"/>
        <v>#DIV/0!</v>
      </c>
      <c r="M127" s="147" t="e">
        <f t="shared" si="488"/>
        <v>#DIV/0!</v>
      </c>
      <c r="N127" s="147" t="e">
        <f t="shared" si="488"/>
        <v>#DIV/0!</v>
      </c>
      <c r="O127" s="147" t="e">
        <f t="shared" si="488"/>
        <v>#DIV/0!</v>
      </c>
      <c r="P127" s="147" t="e">
        <f t="shared" si="488"/>
        <v>#DIV/0!</v>
      </c>
      <c r="Q127" s="147" t="e">
        <f t="shared" si="488"/>
        <v>#DIV/0!</v>
      </c>
      <c r="R127" s="147" t="e">
        <f t="shared" si="488"/>
        <v>#DIV/0!</v>
      </c>
      <c r="S127" s="147" t="e">
        <f t="shared" si="488"/>
        <v>#DIV/0!</v>
      </c>
      <c r="T127" s="147" t="e">
        <f t="shared" si="488"/>
        <v>#DIV/0!</v>
      </c>
      <c r="U127" s="147" t="e">
        <f t="shared" ref="U127" si="489">U25/U43</f>
        <v>#DIV/0!</v>
      </c>
      <c r="V127" s="101" t="e">
        <f t="shared" si="268"/>
        <v>#DIV/0!</v>
      </c>
      <c r="W127" s="10"/>
      <c r="X127" s="147" t="e">
        <f t="shared" ref="X127:AG127" si="490">X25/X43</f>
        <v>#DIV/0!</v>
      </c>
      <c r="Y127" s="147" t="e">
        <f t="shared" si="490"/>
        <v>#DIV/0!</v>
      </c>
      <c r="Z127" s="147" t="e">
        <f t="shared" si="490"/>
        <v>#DIV/0!</v>
      </c>
      <c r="AA127" s="147" t="e">
        <f t="shared" si="490"/>
        <v>#DIV/0!</v>
      </c>
      <c r="AB127" s="147" t="e">
        <f t="shared" si="490"/>
        <v>#DIV/0!</v>
      </c>
      <c r="AC127" s="147" t="e">
        <f t="shared" si="490"/>
        <v>#DIV/0!</v>
      </c>
      <c r="AD127" s="147" t="e">
        <f t="shared" si="490"/>
        <v>#DIV/0!</v>
      </c>
      <c r="AE127" s="147" t="e">
        <f t="shared" si="490"/>
        <v>#DIV/0!</v>
      </c>
      <c r="AF127" s="147" t="e">
        <f t="shared" si="490"/>
        <v>#DIV/0!</v>
      </c>
      <c r="AG127" s="147" t="e">
        <f t="shared" si="490"/>
        <v>#DIV/0!</v>
      </c>
      <c r="AH127" s="116" t="e">
        <f t="shared" si="485"/>
        <v>#DIV/0!</v>
      </c>
      <c r="AI127" s="124"/>
      <c r="AJ127" s="124"/>
    </row>
    <row r="128" spans="1:36" ht="12" customHeight="1">
      <c r="A128" s="301"/>
      <c r="B128" s="178" t="s">
        <v>431</v>
      </c>
      <c r="C128" s="129"/>
      <c r="D128" s="129"/>
      <c r="E128" s="129"/>
      <c r="F128" s="147"/>
      <c r="G128" s="147" t="e">
        <f t="shared" ref="G128" si="491">G43/(G36)</f>
        <v>#DIV/0!</v>
      </c>
      <c r="H128" s="147" t="e">
        <f t="shared" ref="H128:I128" si="492">H43/(H36)</f>
        <v>#DIV/0!</v>
      </c>
      <c r="I128" s="147" t="e">
        <f t="shared" si="492"/>
        <v>#DIV/0!</v>
      </c>
      <c r="J128" s="147" t="e">
        <f t="shared" ref="J128:T128" si="493">J43/(J36)</f>
        <v>#DIV/0!</v>
      </c>
      <c r="K128" s="147" t="e">
        <f t="shared" si="493"/>
        <v>#DIV/0!</v>
      </c>
      <c r="L128" s="147" t="e">
        <f t="shared" si="493"/>
        <v>#DIV/0!</v>
      </c>
      <c r="M128" s="147" t="e">
        <f t="shared" si="493"/>
        <v>#DIV/0!</v>
      </c>
      <c r="N128" s="147" t="e">
        <f t="shared" si="493"/>
        <v>#DIV/0!</v>
      </c>
      <c r="O128" s="147" t="e">
        <f t="shared" si="493"/>
        <v>#DIV/0!</v>
      </c>
      <c r="P128" s="147" t="e">
        <f t="shared" si="493"/>
        <v>#DIV/0!</v>
      </c>
      <c r="Q128" s="147" t="e">
        <f t="shared" si="493"/>
        <v>#DIV/0!</v>
      </c>
      <c r="R128" s="147" t="e">
        <f t="shared" si="493"/>
        <v>#DIV/0!</v>
      </c>
      <c r="S128" s="147" t="e">
        <f t="shared" si="493"/>
        <v>#DIV/0!</v>
      </c>
      <c r="T128" s="147" t="e">
        <f t="shared" si="493"/>
        <v>#DIV/0!</v>
      </c>
      <c r="U128" s="147" t="e">
        <f t="shared" ref="U128" si="494">U43/(U36)</f>
        <v>#DIV/0!</v>
      </c>
      <c r="V128" s="101" t="e">
        <f t="shared" si="268"/>
        <v>#DIV/0!</v>
      </c>
      <c r="W128" s="10"/>
      <c r="X128" s="147">
        <f t="shared" ref="X128:AG128" si="495">X43/(X36+X38)</f>
        <v>0</v>
      </c>
      <c r="Y128" s="147">
        <f t="shared" si="495"/>
        <v>0</v>
      </c>
      <c r="Z128" s="147">
        <f t="shared" si="495"/>
        <v>0</v>
      </c>
      <c r="AA128" s="147">
        <f t="shared" si="495"/>
        <v>0</v>
      </c>
      <c r="AB128" s="147">
        <f t="shared" si="495"/>
        <v>0</v>
      </c>
      <c r="AC128" s="147">
        <f t="shared" si="495"/>
        <v>0</v>
      </c>
      <c r="AD128" s="147">
        <f t="shared" si="495"/>
        <v>0</v>
      </c>
      <c r="AE128" s="147">
        <f t="shared" si="495"/>
        <v>0</v>
      </c>
      <c r="AF128" s="147">
        <f t="shared" si="495"/>
        <v>0</v>
      </c>
      <c r="AG128" s="147">
        <f t="shared" si="495"/>
        <v>0</v>
      </c>
      <c r="AH128" s="116" t="e">
        <f t="shared" si="485"/>
        <v>#DIV/0!</v>
      </c>
      <c r="AI128" s="124"/>
      <c r="AJ128" s="124"/>
    </row>
    <row r="129" spans="1:36" ht="12" customHeight="1">
      <c r="A129" s="301"/>
      <c r="B129" s="178" t="s">
        <v>429</v>
      </c>
      <c r="C129" s="129"/>
      <c r="D129" s="129"/>
      <c r="E129" s="129"/>
      <c r="F129" s="147"/>
      <c r="G129" s="147" t="e">
        <f t="shared" ref="G129" si="496">G43/G38</f>
        <v>#DIV/0!</v>
      </c>
      <c r="H129" s="147" t="e">
        <f t="shared" ref="H129:I129" si="497">H43/H38</f>
        <v>#DIV/0!</v>
      </c>
      <c r="I129" s="147" t="e">
        <f t="shared" si="497"/>
        <v>#DIV/0!</v>
      </c>
      <c r="J129" s="147" t="e">
        <f t="shared" ref="J129:T129" si="498">J43/J38</f>
        <v>#DIV/0!</v>
      </c>
      <c r="K129" s="147" t="e">
        <f t="shared" si="498"/>
        <v>#DIV/0!</v>
      </c>
      <c r="L129" s="147" t="e">
        <f t="shared" si="498"/>
        <v>#DIV/0!</v>
      </c>
      <c r="M129" s="147" t="e">
        <f t="shared" si="498"/>
        <v>#DIV/0!</v>
      </c>
      <c r="N129" s="147" t="e">
        <f t="shared" si="498"/>
        <v>#DIV/0!</v>
      </c>
      <c r="O129" s="147" t="e">
        <f t="shared" si="498"/>
        <v>#DIV/0!</v>
      </c>
      <c r="P129" s="147" t="e">
        <f t="shared" si="498"/>
        <v>#DIV/0!</v>
      </c>
      <c r="Q129" s="147" t="e">
        <f t="shared" si="498"/>
        <v>#DIV/0!</v>
      </c>
      <c r="R129" s="147" t="e">
        <f t="shared" si="498"/>
        <v>#DIV/0!</v>
      </c>
      <c r="S129" s="147" t="e">
        <f t="shared" si="498"/>
        <v>#DIV/0!</v>
      </c>
      <c r="T129" s="147" t="e">
        <f t="shared" si="498"/>
        <v>#DIV/0!</v>
      </c>
      <c r="U129" s="147">
        <f t="shared" ref="U129" si="499">U43/U38</f>
        <v>0</v>
      </c>
      <c r="V129" s="101" t="e">
        <f t="shared" si="268"/>
        <v>#DIV/0!</v>
      </c>
      <c r="W129" s="10"/>
      <c r="X129" s="147">
        <f t="shared" ref="X129:AG129" si="500">X43/X38</f>
        <v>0</v>
      </c>
      <c r="Y129" s="147">
        <f t="shared" si="500"/>
        <v>0</v>
      </c>
      <c r="Z129" s="147">
        <f t="shared" si="500"/>
        <v>0</v>
      </c>
      <c r="AA129" s="147">
        <f t="shared" si="500"/>
        <v>0</v>
      </c>
      <c r="AB129" s="147">
        <f t="shared" si="500"/>
        <v>0</v>
      </c>
      <c r="AC129" s="147">
        <f t="shared" si="500"/>
        <v>0</v>
      </c>
      <c r="AD129" s="147">
        <f t="shared" si="500"/>
        <v>0</v>
      </c>
      <c r="AE129" s="147">
        <f t="shared" si="500"/>
        <v>0</v>
      </c>
      <c r="AF129" s="147">
        <f t="shared" si="500"/>
        <v>0</v>
      </c>
      <c r="AG129" s="147">
        <f t="shared" si="500"/>
        <v>0</v>
      </c>
      <c r="AH129" s="116" t="e">
        <f t="shared" si="485"/>
        <v>#DIV/0!</v>
      </c>
      <c r="AI129" s="124"/>
      <c r="AJ129" s="124"/>
    </row>
    <row r="130" spans="1:36" ht="12" customHeight="1">
      <c r="A130" s="301"/>
      <c r="B130" s="178" t="s">
        <v>428</v>
      </c>
      <c r="C130" s="129"/>
      <c r="D130" s="129"/>
      <c r="E130" s="129"/>
      <c r="F130" s="147"/>
      <c r="G130" s="147" t="e">
        <f t="shared" ref="G130" si="501">G43/(G36+G38)</f>
        <v>#DIV/0!</v>
      </c>
      <c r="H130" s="147" t="e">
        <f t="shared" ref="H130:I130" si="502">H43/(H36+H38)</f>
        <v>#DIV/0!</v>
      </c>
      <c r="I130" s="147" t="e">
        <f t="shared" si="502"/>
        <v>#DIV/0!</v>
      </c>
      <c r="J130" s="147" t="e">
        <f t="shared" ref="J130:T130" si="503">J43/(J36+J38)</f>
        <v>#DIV/0!</v>
      </c>
      <c r="K130" s="147" t="e">
        <f t="shared" si="503"/>
        <v>#DIV/0!</v>
      </c>
      <c r="L130" s="147" t="e">
        <f t="shared" si="503"/>
        <v>#DIV/0!</v>
      </c>
      <c r="M130" s="147" t="e">
        <f t="shared" si="503"/>
        <v>#DIV/0!</v>
      </c>
      <c r="N130" s="147" t="e">
        <f t="shared" si="503"/>
        <v>#DIV/0!</v>
      </c>
      <c r="O130" s="147" t="e">
        <f t="shared" si="503"/>
        <v>#DIV/0!</v>
      </c>
      <c r="P130" s="147" t="e">
        <f t="shared" si="503"/>
        <v>#DIV/0!</v>
      </c>
      <c r="Q130" s="147" t="e">
        <f t="shared" si="503"/>
        <v>#DIV/0!</v>
      </c>
      <c r="R130" s="147" t="e">
        <f t="shared" si="503"/>
        <v>#DIV/0!</v>
      </c>
      <c r="S130" s="147" t="e">
        <f t="shared" si="503"/>
        <v>#DIV/0!</v>
      </c>
      <c r="T130" s="147" t="e">
        <f t="shared" si="503"/>
        <v>#DIV/0!</v>
      </c>
      <c r="U130" s="147">
        <f t="shared" ref="U130" si="504">U43/(U36+U38)</f>
        <v>0</v>
      </c>
      <c r="V130" s="101" t="e">
        <f t="shared" si="268"/>
        <v>#DIV/0!</v>
      </c>
      <c r="W130" s="10"/>
      <c r="X130" s="147">
        <f t="shared" ref="X130:AG130" si="505">X43/(X36+X38)</f>
        <v>0</v>
      </c>
      <c r="Y130" s="147">
        <f t="shared" si="505"/>
        <v>0</v>
      </c>
      <c r="Z130" s="147">
        <f t="shared" si="505"/>
        <v>0</v>
      </c>
      <c r="AA130" s="147">
        <f t="shared" si="505"/>
        <v>0</v>
      </c>
      <c r="AB130" s="147">
        <f t="shared" si="505"/>
        <v>0</v>
      </c>
      <c r="AC130" s="147">
        <f t="shared" si="505"/>
        <v>0</v>
      </c>
      <c r="AD130" s="147">
        <f t="shared" si="505"/>
        <v>0</v>
      </c>
      <c r="AE130" s="147">
        <f t="shared" si="505"/>
        <v>0</v>
      </c>
      <c r="AF130" s="147">
        <f t="shared" si="505"/>
        <v>0</v>
      </c>
      <c r="AG130" s="147">
        <f t="shared" si="505"/>
        <v>0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1"/>
      <c r="B131" s="178" t="s">
        <v>434</v>
      </c>
      <c r="C131" s="129"/>
      <c r="D131" s="129"/>
      <c r="E131" s="129"/>
      <c r="F131" s="147"/>
      <c r="G131" s="147">
        <f t="shared" ref="G131" si="506">G47/G25</f>
        <v>0</v>
      </c>
      <c r="H131" s="147">
        <f t="shared" ref="H131:I131" si="507">H47/H25</f>
        <v>0</v>
      </c>
      <c r="I131" s="147">
        <f t="shared" si="507"/>
        <v>0</v>
      </c>
      <c r="J131" s="147">
        <f t="shared" ref="J131:T131" si="508">J47/J25</f>
        <v>0</v>
      </c>
      <c r="K131" s="147">
        <f t="shared" si="508"/>
        <v>0</v>
      </c>
      <c r="L131" s="147">
        <f t="shared" si="508"/>
        <v>0</v>
      </c>
      <c r="M131" s="147">
        <f t="shared" si="508"/>
        <v>0</v>
      </c>
      <c r="N131" s="147">
        <f t="shared" si="508"/>
        <v>0</v>
      </c>
      <c r="O131" s="147">
        <f t="shared" si="508"/>
        <v>0</v>
      </c>
      <c r="P131" s="147">
        <f t="shared" si="508"/>
        <v>0</v>
      </c>
      <c r="Q131" s="147">
        <f t="shared" si="508"/>
        <v>0</v>
      </c>
      <c r="R131" s="147">
        <f t="shared" si="508"/>
        <v>0</v>
      </c>
      <c r="S131" s="147">
        <f t="shared" si="508"/>
        <v>0</v>
      </c>
      <c r="T131" s="147">
        <f t="shared" si="508"/>
        <v>0</v>
      </c>
      <c r="U131" s="147">
        <f t="shared" ref="U131" si="509">U47/U25</f>
        <v>1.3638843426077467E-4</v>
      </c>
      <c r="V131" s="101" t="e">
        <f t="shared" si="268"/>
        <v>#DIV/0!</v>
      </c>
      <c r="W131" s="10"/>
      <c r="X131" s="147">
        <f t="shared" ref="X131:AG131" si="510">X47/X25</f>
        <v>1.363884342607747E-4</v>
      </c>
      <c r="Y131" s="147">
        <f t="shared" si="510"/>
        <v>1.3638843426077467E-4</v>
      </c>
      <c r="Z131" s="147">
        <f t="shared" si="510"/>
        <v>1.3638843426077467E-4</v>
      </c>
      <c r="AA131" s="147">
        <f t="shared" si="510"/>
        <v>1.3638843426077467E-4</v>
      </c>
      <c r="AB131" s="147">
        <f t="shared" si="510"/>
        <v>1.3638843426077467E-4</v>
      </c>
      <c r="AC131" s="147">
        <f t="shared" si="510"/>
        <v>1.3638843426077467E-4</v>
      </c>
      <c r="AD131" s="147">
        <f t="shared" si="510"/>
        <v>1.3638843426077467E-4</v>
      </c>
      <c r="AE131" s="147">
        <f t="shared" si="510"/>
        <v>1.363884342607747E-4</v>
      </c>
      <c r="AF131" s="147">
        <f t="shared" si="510"/>
        <v>1.3638843426077467E-4</v>
      </c>
      <c r="AG131" s="147">
        <f t="shared" si="510"/>
        <v>1.363884342607747E-4</v>
      </c>
      <c r="AH131" s="116" t="e">
        <f>((AG131/J131)^(1/($AG$3-$K$1) ))-1</f>
        <v>#DIV/0!</v>
      </c>
      <c r="AI131" s="124"/>
      <c r="AJ131" s="124"/>
    </row>
    <row r="132" spans="1:36" ht="12" customHeight="1">
      <c r="A132" s="301"/>
      <c r="B132" s="178" t="s">
        <v>432</v>
      </c>
      <c r="C132" s="129"/>
      <c r="D132" s="129"/>
      <c r="E132" s="129"/>
      <c r="F132" s="182"/>
      <c r="G132" s="182" t="e">
        <f t="shared" ref="G132" si="511">G55/G49</f>
        <v>#DIV/0!</v>
      </c>
      <c r="H132" s="182" t="e">
        <f t="shared" ref="H132:I132" si="512">H55/H49</f>
        <v>#DIV/0!</v>
      </c>
      <c r="I132" s="182" t="e">
        <f t="shared" si="512"/>
        <v>#DIV/0!</v>
      </c>
      <c r="J132" s="182" t="e">
        <f t="shared" ref="J132:T132" si="513">J55/J49</f>
        <v>#DIV/0!</v>
      </c>
      <c r="K132" s="182" t="e">
        <f t="shared" si="513"/>
        <v>#DIV/0!</v>
      </c>
      <c r="L132" s="182" t="e">
        <f t="shared" si="513"/>
        <v>#DIV/0!</v>
      </c>
      <c r="M132" s="182" t="e">
        <f t="shared" si="513"/>
        <v>#DIV/0!</v>
      </c>
      <c r="N132" s="182" t="e">
        <f t="shared" si="513"/>
        <v>#DIV/0!</v>
      </c>
      <c r="O132" s="182" t="e">
        <f t="shared" si="513"/>
        <v>#DIV/0!</v>
      </c>
      <c r="P132" s="182" t="e">
        <f t="shared" si="513"/>
        <v>#DIV/0!</v>
      </c>
      <c r="Q132" s="182" t="e">
        <f t="shared" si="513"/>
        <v>#DIV/0!</v>
      </c>
      <c r="R132" s="182" t="e">
        <f t="shared" si="513"/>
        <v>#DIV/0!</v>
      </c>
      <c r="S132" s="182" t="e">
        <f t="shared" si="513"/>
        <v>#DIV/0!</v>
      </c>
      <c r="T132" s="182" t="e">
        <f t="shared" si="513"/>
        <v>#DIV/0!</v>
      </c>
      <c r="U132" s="182">
        <f t="shared" ref="U132" si="514">U55/U49</f>
        <v>92</v>
      </c>
      <c r="V132" s="101" t="e">
        <f t="shared" si="268"/>
        <v>#DIV/0!</v>
      </c>
      <c r="W132" s="10"/>
      <c r="X132" s="182">
        <f t="shared" ref="X132:AG132" si="515">X55/X49</f>
        <v>92</v>
      </c>
      <c r="Y132" s="182">
        <f t="shared" si="515"/>
        <v>92.000000000000014</v>
      </c>
      <c r="Z132" s="182">
        <f t="shared" si="515"/>
        <v>92</v>
      </c>
      <c r="AA132" s="182">
        <f t="shared" si="515"/>
        <v>92</v>
      </c>
      <c r="AB132" s="182">
        <f t="shared" si="515"/>
        <v>92.000000000000014</v>
      </c>
      <c r="AC132" s="182">
        <f t="shared" si="515"/>
        <v>92.000000000000014</v>
      </c>
      <c r="AD132" s="182">
        <f t="shared" si="515"/>
        <v>92.000000000000014</v>
      </c>
      <c r="AE132" s="182">
        <f t="shared" si="515"/>
        <v>92</v>
      </c>
      <c r="AF132" s="182">
        <f t="shared" si="515"/>
        <v>92.000000000000014</v>
      </c>
      <c r="AG132" s="182">
        <f t="shared" si="515"/>
        <v>92</v>
      </c>
      <c r="AH132" s="116" t="e">
        <f>((AG132/J132)^(1/($AG$3-$K$1) ))-1</f>
        <v>#DIV/0!</v>
      </c>
      <c r="AI132" s="124"/>
      <c r="AJ132" s="124"/>
    </row>
    <row r="133" spans="1:36" ht="12" customHeight="1">
      <c r="A133" s="301"/>
      <c r="B133" s="178" t="s">
        <v>426</v>
      </c>
      <c r="C133" s="129"/>
      <c r="D133" s="129"/>
      <c r="E133" s="129"/>
      <c r="F133" s="147"/>
      <c r="G133" s="147" t="e">
        <f t="shared" ref="G133" si="516">G55/G43</f>
        <v>#DIV/0!</v>
      </c>
      <c r="H133" s="147" t="e">
        <f t="shared" ref="H133:I133" si="517">H55/H43</f>
        <v>#DIV/0!</v>
      </c>
      <c r="I133" s="147" t="e">
        <f t="shared" si="517"/>
        <v>#DIV/0!</v>
      </c>
      <c r="J133" s="147" t="e">
        <f t="shared" ref="J133:T133" si="518">J55/J43</f>
        <v>#DIV/0!</v>
      </c>
      <c r="K133" s="147" t="e">
        <f t="shared" si="518"/>
        <v>#DIV/0!</v>
      </c>
      <c r="L133" s="147" t="e">
        <f t="shared" si="518"/>
        <v>#DIV/0!</v>
      </c>
      <c r="M133" s="147" t="e">
        <f t="shared" si="518"/>
        <v>#DIV/0!</v>
      </c>
      <c r="N133" s="147" t="e">
        <f t="shared" si="518"/>
        <v>#DIV/0!</v>
      </c>
      <c r="O133" s="147" t="e">
        <f t="shared" si="518"/>
        <v>#DIV/0!</v>
      </c>
      <c r="P133" s="147" t="e">
        <f t="shared" si="518"/>
        <v>#DIV/0!</v>
      </c>
      <c r="Q133" s="147" t="e">
        <f t="shared" si="518"/>
        <v>#DIV/0!</v>
      </c>
      <c r="R133" s="147" t="e">
        <f t="shared" si="518"/>
        <v>#DIV/0!</v>
      </c>
      <c r="S133" s="147" t="e">
        <f t="shared" si="518"/>
        <v>#DIV/0!</v>
      </c>
      <c r="T133" s="147" t="e">
        <f t="shared" si="518"/>
        <v>#DIV/0!</v>
      </c>
      <c r="U133" s="147" t="e">
        <f t="shared" ref="U133" si="519">U55/U43</f>
        <v>#DIV/0!</v>
      </c>
      <c r="V133" s="101" t="e">
        <f t="shared" si="268"/>
        <v>#DIV/0!</v>
      </c>
      <c r="W133" s="10"/>
      <c r="X133" s="147" t="e">
        <f t="shared" ref="X133:AG133" si="520">X55/X43</f>
        <v>#DIV/0!</v>
      </c>
      <c r="Y133" s="147" t="e">
        <f t="shared" si="520"/>
        <v>#DIV/0!</v>
      </c>
      <c r="Z133" s="147" t="e">
        <f t="shared" si="520"/>
        <v>#DIV/0!</v>
      </c>
      <c r="AA133" s="147" t="e">
        <f t="shared" si="520"/>
        <v>#DIV/0!</v>
      </c>
      <c r="AB133" s="147" t="e">
        <f t="shared" si="520"/>
        <v>#DIV/0!</v>
      </c>
      <c r="AC133" s="147" t="e">
        <f t="shared" si="520"/>
        <v>#DIV/0!</v>
      </c>
      <c r="AD133" s="147" t="e">
        <f t="shared" si="520"/>
        <v>#DIV/0!</v>
      </c>
      <c r="AE133" s="147" t="e">
        <f t="shared" si="520"/>
        <v>#DIV/0!</v>
      </c>
      <c r="AF133" s="147" t="e">
        <f t="shared" si="520"/>
        <v>#DIV/0!</v>
      </c>
      <c r="AG133" s="147" t="e">
        <f t="shared" si="520"/>
        <v>#DIV/0!</v>
      </c>
      <c r="AH133" s="116" t="e">
        <f t="shared" si="485"/>
        <v>#DIV/0!</v>
      </c>
      <c r="AI133" s="124"/>
      <c r="AJ133" s="124"/>
    </row>
    <row r="134" spans="1:36" ht="12" customHeight="1">
      <c r="A134" s="301"/>
      <c r="B134" s="178" t="s">
        <v>427</v>
      </c>
      <c r="C134" s="129"/>
      <c r="D134" s="129"/>
      <c r="E134" s="129"/>
      <c r="F134" s="147"/>
      <c r="G134" s="147" t="e">
        <f t="shared" ref="G134" si="521">G55/(G36+G38)</f>
        <v>#DIV/0!</v>
      </c>
      <c r="H134" s="147" t="e">
        <f t="shared" ref="H134:I134" si="522">H55/(H36+H38)</f>
        <v>#DIV/0!</v>
      </c>
      <c r="I134" s="147" t="e">
        <f t="shared" si="522"/>
        <v>#DIV/0!</v>
      </c>
      <c r="J134" s="147" t="e">
        <f t="shared" ref="J134:T134" si="523">J55/(J36+J38)</f>
        <v>#DIV/0!</v>
      </c>
      <c r="K134" s="147" t="e">
        <f t="shared" si="523"/>
        <v>#DIV/0!</v>
      </c>
      <c r="L134" s="147" t="e">
        <f t="shared" si="523"/>
        <v>#DIV/0!</v>
      </c>
      <c r="M134" s="147" t="e">
        <f t="shared" si="523"/>
        <v>#DIV/0!</v>
      </c>
      <c r="N134" s="147" t="e">
        <f t="shared" si="523"/>
        <v>#DIV/0!</v>
      </c>
      <c r="O134" s="147" t="e">
        <f t="shared" si="523"/>
        <v>#DIV/0!</v>
      </c>
      <c r="P134" s="147" t="e">
        <f t="shared" si="523"/>
        <v>#DIV/0!</v>
      </c>
      <c r="Q134" s="147" t="e">
        <f t="shared" si="523"/>
        <v>#DIV/0!</v>
      </c>
      <c r="R134" s="147" t="e">
        <f t="shared" si="523"/>
        <v>#DIV/0!</v>
      </c>
      <c r="S134" s="147" t="e">
        <f t="shared" si="523"/>
        <v>#DIV/0!</v>
      </c>
      <c r="T134" s="147" t="e">
        <f t="shared" si="523"/>
        <v>#DIV/0!</v>
      </c>
      <c r="U134" s="147">
        <f t="shared" ref="U134" si="524">U55/(U36+U38)</f>
        <v>92</v>
      </c>
      <c r="V134" s="101" t="e">
        <f t="shared" si="268"/>
        <v>#DIV/0!</v>
      </c>
      <c r="W134" s="10"/>
      <c r="X134" s="147">
        <f t="shared" ref="X134:AG134" si="525">X55/(X36+X38)</f>
        <v>92</v>
      </c>
      <c r="Y134" s="147">
        <f t="shared" si="525"/>
        <v>92.000000000000014</v>
      </c>
      <c r="Z134" s="147">
        <f t="shared" si="525"/>
        <v>92</v>
      </c>
      <c r="AA134" s="147">
        <f t="shared" si="525"/>
        <v>92</v>
      </c>
      <c r="AB134" s="147">
        <f t="shared" si="525"/>
        <v>92.000000000000014</v>
      </c>
      <c r="AC134" s="147">
        <f t="shared" si="525"/>
        <v>92.000000000000014</v>
      </c>
      <c r="AD134" s="147">
        <f t="shared" si="525"/>
        <v>92.000000000000014</v>
      </c>
      <c r="AE134" s="147">
        <f t="shared" si="525"/>
        <v>92</v>
      </c>
      <c r="AF134" s="147">
        <f t="shared" si="525"/>
        <v>92.000000000000014</v>
      </c>
      <c r="AG134" s="147">
        <f t="shared" si="525"/>
        <v>92</v>
      </c>
      <c r="AH134" s="116" t="e">
        <f t="shared" si="485"/>
        <v>#DIV/0!</v>
      </c>
      <c r="AI134" s="124"/>
      <c r="AJ134" s="124"/>
    </row>
    <row r="135" spans="1:36" ht="12" customHeight="1">
      <c r="B135" s="10"/>
      <c r="C135" s="129"/>
      <c r="D135" s="129"/>
      <c r="E135" s="129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22"/>
      <c r="V135" s="10"/>
      <c r="W135" s="10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80"/>
      <c r="AI135" s="124"/>
      <c r="AJ135" s="124"/>
    </row>
    <row r="136" spans="1:36">
      <c r="B136" s="10" t="s">
        <v>271</v>
      </c>
      <c r="C136" s="129"/>
      <c r="D136" s="129"/>
      <c r="E136" s="129"/>
      <c r="F136" s="139"/>
      <c r="G136" s="139">
        <f t="shared" ref="G136" si="526">G10-(G12+G13)</f>
        <v>13.74</v>
      </c>
      <c r="H136" s="139">
        <f t="shared" ref="H136:I136" si="527">H10-(H12+H13)</f>
        <v>9.7899999999999991</v>
      </c>
      <c r="I136" s="139">
        <f t="shared" si="527"/>
        <v>9.7200000000000006</v>
      </c>
      <c r="J136" s="139">
        <f t="shared" ref="J136:T136" si="528">J10-(J12+J13)</f>
        <v>14.49</v>
      </c>
      <c r="K136" s="139">
        <f t="shared" si="528"/>
        <v>34.25</v>
      </c>
      <c r="L136" s="139">
        <f t="shared" si="528"/>
        <v>90.7</v>
      </c>
      <c r="M136" s="139">
        <f t="shared" si="528"/>
        <v>218.17</v>
      </c>
      <c r="N136" s="139">
        <f t="shared" si="528"/>
        <v>401</v>
      </c>
      <c r="O136" s="139">
        <f t="shared" si="528"/>
        <v>639</v>
      </c>
      <c r="P136" s="139">
        <f t="shared" si="528"/>
        <v>856</v>
      </c>
      <c r="Q136" s="139">
        <f t="shared" si="528"/>
        <v>1046</v>
      </c>
      <c r="R136" s="139">
        <f t="shared" si="528"/>
        <v>1185</v>
      </c>
      <c r="S136" s="139">
        <f t="shared" si="528"/>
        <v>1384</v>
      </c>
      <c r="T136" s="139">
        <f t="shared" si="528"/>
        <v>1476</v>
      </c>
      <c r="U136" s="139">
        <f t="shared" ref="U136" si="529">U10-(U12+U13)</f>
        <v>1476</v>
      </c>
      <c r="V136" s="101">
        <f t="shared" si="268"/>
        <v>0.39662092505034807</v>
      </c>
      <c r="W136" s="10"/>
      <c r="X136" s="139">
        <f t="shared" ref="X136:AG136" si="530">X10-(X12+X13)</f>
        <v>1594.0800000000002</v>
      </c>
      <c r="Y136" s="139">
        <f t="shared" si="530"/>
        <v>1721.6064000000001</v>
      </c>
      <c r="Z136" s="139">
        <f t="shared" si="530"/>
        <v>1859.3349120000003</v>
      </c>
      <c r="AA136" s="139">
        <f t="shared" si="530"/>
        <v>2008.0817049600003</v>
      </c>
      <c r="AB136" s="139">
        <f t="shared" si="530"/>
        <v>2168.7282413568005</v>
      </c>
      <c r="AC136" s="139">
        <f t="shared" si="530"/>
        <v>2342.2265006653447</v>
      </c>
      <c r="AD136" s="139">
        <f t="shared" si="530"/>
        <v>2529.6046207185727</v>
      </c>
      <c r="AE136" s="139">
        <f t="shared" si="530"/>
        <v>2731.972990376059</v>
      </c>
      <c r="AF136" s="139">
        <f t="shared" si="530"/>
        <v>2950.5308296061439</v>
      </c>
      <c r="AG136" s="139">
        <f t="shared" si="530"/>
        <v>3186.5732959746356</v>
      </c>
      <c r="AH136" s="116">
        <f t="shared" si="401"/>
        <v>0.25197016706923114</v>
      </c>
      <c r="AI136" s="124"/>
      <c r="AJ136" s="124"/>
    </row>
    <row r="137" spans="1:36" ht="12" customHeight="1">
      <c r="B137" s="10" t="s">
        <v>266</v>
      </c>
      <c r="C137" s="10"/>
      <c r="D137" s="10"/>
      <c r="E137" s="10"/>
      <c r="F137" s="129"/>
      <c r="G137" s="129">
        <f t="shared" ref="G137" si="531">G55/G18</f>
        <v>0.35</v>
      </c>
      <c r="H137" s="129">
        <f t="shared" ref="H137:I137" si="532">H55/H18</f>
        <v>0.31428571428571433</v>
      </c>
      <c r="I137" s="129">
        <f t="shared" si="532"/>
        <v>0.38571428571428573</v>
      </c>
      <c r="J137" s="129">
        <f t="shared" ref="J137:T137" si="533">J55/J18</f>
        <v>0.53285714285714281</v>
      </c>
      <c r="K137" s="129">
        <f t="shared" si="533"/>
        <v>0.5</v>
      </c>
      <c r="L137" s="129">
        <f t="shared" si="533"/>
        <v>1</v>
      </c>
      <c r="M137" s="129">
        <f t="shared" si="533"/>
        <v>1</v>
      </c>
      <c r="N137" s="129">
        <f t="shared" si="533"/>
        <v>1.0952380952380953</v>
      </c>
      <c r="O137" s="129">
        <f t="shared" si="533"/>
        <v>1.4375</v>
      </c>
      <c r="P137" s="129">
        <f t="shared" si="533"/>
        <v>1.4383561643835616</v>
      </c>
      <c r="Q137" s="129">
        <f t="shared" si="533"/>
        <v>1.3679245283018868</v>
      </c>
      <c r="R137" s="129">
        <f t="shared" si="533"/>
        <v>2.4776119402985075</v>
      </c>
      <c r="S137" s="129">
        <f t="shared" si="533"/>
        <v>2.4027777777777777</v>
      </c>
      <c r="T137" s="129">
        <f t="shared" si="533"/>
        <v>0.44907407407407407</v>
      </c>
      <c r="U137" s="129">
        <f t="shared" ref="U137" si="534">U55/U18</f>
        <v>0.21296296296296297</v>
      </c>
      <c r="V137" s="101">
        <f t="shared" ref="V137:V169" si="535">((U137/G137)^(1/($K$2-$K$1) ))-1</f>
        <v>-3.4864504467223778E-2</v>
      </c>
      <c r="W137" s="10"/>
      <c r="X137" s="129">
        <f t="shared" ref="X137:AG137" si="536">X55/X18</f>
        <v>0.21296296296296297</v>
      </c>
      <c r="Y137" s="129">
        <f t="shared" si="536"/>
        <v>0.21296296296296297</v>
      </c>
      <c r="Z137" s="129">
        <f t="shared" si="536"/>
        <v>0.21296296296296294</v>
      </c>
      <c r="AA137" s="129">
        <f t="shared" si="536"/>
        <v>0.21296296296296294</v>
      </c>
      <c r="AB137" s="129">
        <f t="shared" si="536"/>
        <v>0.21296296296296297</v>
      </c>
      <c r="AC137" s="129">
        <f t="shared" si="536"/>
        <v>0.21296296296296297</v>
      </c>
      <c r="AD137" s="129">
        <f t="shared" si="536"/>
        <v>0.21296296296296297</v>
      </c>
      <c r="AE137" s="129">
        <f t="shared" si="536"/>
        <v>0.21296296296296297</v>
      </c>
      <c r="AF137" s="129">
        <f t="shared" si="536"/>
        <v>0.21296296296296299</v>
      </c>
      <c r="AG137" s="129">
        <f t="shared" si="536"/>
        <v>0.21296296296296297</v>
      </c>
      <c r="AH137" s="116">
        <f t="shared" si="401"/>
        <v>-3.7493021372891677E-2</v>
      </c>
      <c r="AI137" s="10"/>
      <c r="AJ137" s="10"/>
    </row>
    <row r="138" spans="1:36">
      <c r="B138" s="10" t="s">
        <v>267</v>
      </c>
      <c r="C138" s="10"/>
      <c r="D138" s="10"/>
      <c r="E138" s="10"/>
      <c r="F138" s="129"/>
      <c r="G138" s="129">
        <f t="shared" ref="G138" si="537">G55/G25</f>
        <v>3.7837837837837833E-2</v>
      </c>
      <c r="H138" s="129">
        <f t="shared" ref="H138:I138" si="538">H55/H25</f>
        <v>3.2352941176470591E-2</v>
      </c>
      <c r="I138" s="129">
        <f t="shared" si="538"/>
        <v>2.6470588235294121E-2</v>
      </c>
      <c r="J138" s="129">
        <f t="shared" ref="J138:T138" si="539">J55/J25</f>
        <v>2.391025641025641E-2</v>
      </c>
      <c r="K138" s="129">
        <f t="shared" si="539"/>
        <v>1.1730205278592375E-2</v>
      </c>
      <c r="L138" s="129">
        <f t="shared" si="539"/>
        <v>1.5280135823429542E-2</v>
      </c>
      <c r="M138" s="129">
        <f t="shared" si="539"/>
        <v>1.6853932584269662E-2</v>
      </c>
      <c r="N138" s="129">
        <f t="shared" si="539"/>
        <v>2.8360049321824909E-2</v>
      </c>
      <c r="O138" s="129">
        <f t="shared" si="539"/>
        <v>3.7520391517128875E-2</v>
      </c>
      <c r="P138" s="129">
        <f t="shared" si="539"/>
        <v>2.6717557251908396E-2</v>
      </c>
      <c r="Q138" s="129">
        <f t="shared" si="539"/>
        <v>2.8919026725169526E-2</v>
      </c>
      <c r="R138" s="129">
        <f t="shared" si="539"/>
        <v>2.7759197324414717E-2</v>
      </c>
      <c r="S138" s="129">
        <f t="shared" si="539"/>
        <v>2.6850845879248797E-2</v>
      </c>
      <c r="T138" s="129">
        <f t="shared" si="539"/>
        <v>2.8177196804647784E-2</v>
      </c>
      <c r="U138" s="129">
        <f t="shared" ref="U138" si="540">U55/U25</f>
        <v>1.2547735951991271E-2</v>
      </c>
      <c r="V138" s="101">
        <f t="shared" si="535"/>
        <v>-7.5812834952522556E-2</v>
      </c>
      <c r="W138" s="10"/>
      <c r="X138" s="129">
        <f t="shared" ref="X138:AG138" si="541">X55/X25</f>
        <v>1.2547735951991271E-2</v>
      </c>
      <c r="Y138" s="129">
        <f t="shared" si="541"/>
        <v>1.2547735951991271E-2</v>
      </c>
      <c r="Z138" s="129">
        <f t="shared" si="541"/>
        <v>1.2547735951991271E-2</v>
      </c>
      <c r="AA138" s="129">
        <f t="shared" si="541"/>
        <v>1.254773595199127E-2</v>
      </c>
      <c r="AB138" s="129">
        <f t="shared" si="541"/>
        <v>1.2547735951991271E-2</v>
      </c>
      <c r="AC138" s="129">
        <f t="shared" si="541"/>
        <v>1.2547735951991271E-2</v>
      </c>
      <c r="AD138" s="129">
        <f t="shared" si="541"/>
        <v>1.2547735951991273E-2</v>
      </c>
      <c r="AE138" s="129">
        <f t="shared" si="541"/>
        <v>1.2547735951991271E-2</v>
      </c>
      <c r="AF138" s="129">
        <f t="shared" si="541"/>
        <v>1.2547735951991273E-2</v>
      </c>
      <c r="AG138" s="129">
        <f t="shared" si="541"/>
        <v>1.2547735951991271E-2</v>
      </c>
      <c r="AH138" s="116">
        <f t="shared" si="401"/>
        <v>-2.6507640251110742E-2</v>
      </c>
      <c r="AI138" s="10"/>
      <c r="AJ138" s="10"/>
    </row>
    <row r="139" spans="1:36">
      <c r="B139" s="10" t="s">
        <v>293</v>
      </c>
      <c r="C139" s="10"/>
      <c r="D139" s="10"/>
      <c r="E139" s="129"/>
      <c r="F139" s="129"/>
      <c r="G139" s="129">
        <f t="shared" ref="G139" si="542">G25/G18</f>
        <v>9.25</v>
      </c>
      <c r="H139" s="129">
        <f t="shared" ref="H139:I139" si="543">H25/H18</f>
        <v>9.7142857142857135</v>
      </c>
      <c r="I139" s="129">
        <f t="shared" si="543"/>
        <v>14.571428571428571</v>
      </c>
      <c r="J139" s="129">
        <f t="shared" ref="J139:T139" si="544">J25/J18</f>
        <v>22.285714285714285</v>
      </c>
      <c r="K139" s="129">
        <f t="shared" si="544"/>
        <v>42.625</v>
      </c>
      <c r="L139" s="129">
        <f t="shared" si="544"/>
        <v>65.444444444444443</v>
      </c>
      <c r="M139" s="129">
        <f t="shared" si="544"/>
        <v>59.333333333333336</v>
      </c>
      <c r="N139" s="129">
        <f t="shared" si="544"/>
        <v>38.61904761904762</v>
      </c>
      <c r="O139" s="129">
        <f t="shared" si="544"/>
        <v>38.3125</v>
      </c>
      <c r="P139" s="129">
        <f t="shared" si="544"/>
        <v>53.835616438356162</v>
      </c>
      <c r="Q139" s="129">
        <f t="shared" si="544"/>
        <v>47.301886792452834</v>
      </c>
      <c r="R139" s="129">
        <f t="shared" si="544"/>
        <v>89.253731343283576</v>
      </c>
      <c r="S139" s="129">
        <f t="shared" si="544"/>
        <v>89.486111111111114</v>
      </c>
      <c r="T139" s="129">
        <f t="shared" si="544"/>
        <v>15.9375</v>
      </c>
      <c r="U139" s="129">
        <f t="shared" ref="U139" si="545">U25/U18</f>
        <v>16.972222222222221</v>
      </c>
      <c r="V139" s="101">
        <f t="shared" si="535"/>
        <v>4.4307400095948246E-2</v>
      </c>
      <c r="W139" s="10"/>
      <c r="X139" s="129">
        <f t="shared" ref="X139:AG139" si="546">X25/X18</f>
        <v>16.972222222222221</v>
      </c>
      <c r="Y139" s="129">
        <f t="shared" si="546"/>
        <v>16.972222222222221</v>
      </c>
      <c r="Z139" s="129">
        <f t="shared" si="546"/>
        <v>16.972222222222218</v>
      </c>
      <c r="AA139" s="129">
        <f t="shared" si="546"/>
        <v>16.972222222222221</v>
      </c>
      <c r="AB139" s="129">
        <f t="shared" si="546"/>
        <v>16.972222222222221</v>
      </c>
      <c r="AC139" s="129">
        <f t="shared" si="546"/>
        <v>16.972222222222221</v>
      </c>
      <c r="AD139" s="129">
        <f t="shared" si="546"/>
        <v>16.972222222222221</v>
      </c>
      <c r="AE139" s="129">
        <f t="shared" si="546"/>
        <v>16.972222222222221</v>
      </c>
      <c r="AF139" s="129">
        <f t="shared" si="546"/>
        <v>16.972222222222221</v>
      </c>
      <c r="AG139" s="129">
        <f t="shared" si="546"/>
        <v>16.972222222222221</v>
      </c>
      <c r="AH139" s="116">
        <f t="shared" si="401"/>
        <v>-1.128450676758741E-2</v>
      </c>
      <c r="AI139" s="10"/>
      <c r="AJ139" s="10"/>
    </row>
    <row r="140" spans="1:36">
      <c r="B140" s="10"/>
      <c r="C140" s="10"/>
      <c r="D140" s="10"/>
      <c r="E140" s="10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2"/>
      <c r="V140" s="10"/>
      <c r="W140" s="10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10"/>
      <c r="AI140" s="10"/>
      <c r="AJ140" s="10"/>
    </row>
    <row r="141" spans="1:36">
      <c r="B141" s="10" t="s">
        <v>279</v>
      </c>
      <c r="C141" s="10"/>
      <c r="D141" s="10"/>
      <c r="E141" s="141"/>
      <c r="F141" s="141"/>
      <c r="G141" s="141">
        <f t="shared" ref="G141" si="547">G90*G57</f>
        <v>1.8200000000000001E-2</v>
      </c>
      <c r="H141" s="141">
        <f t="shared" ref="H141:I141" si="548">H90*H57</f>
        <v>0</v>
      </c>
      <c r="I141" s="141">
        <f t="shared" si="548"/>
        <v>0</v>
      </c>
      <c r="J141" s="141">
        <f t="shared" ref="J141:T141" si="549">J90*J57</f>
        <v>0</v>
      </c>
      <c r="K141" s="141">
        <f t="shared" si="549"/>
        <v>0</v>
      </c>
      <c r="L141" s="141">
        <f t="shared" si="549"/>
        <v>18.2</v>
      </c>
      <c r="M141" s="141">
        <f t="shared" si="549"/>
        <v>1.82</v>
      </c>
      <c r="N141" s="141">
        <f t="shared" si="549"/>
        <v>2.0310000000000001</v>
      </c>
      <c r="O141" s="141">
        <f t="shared" si="549"/>
        <v>2.0310000000000001</v>
      </c>
      <c r="P141" s="141">
        <f t="shared" si="549"/>
        <v>2.0310000000000001</v>
      </c>
      <c r="Q141" s="141">
        <f t="shared" si="549"/>
        <v>2.0310000000000001</v>
      </c>
      <c r="R141" s="141">
        <f t="shared" si="549"/>
        <v>2.1870000000000003</v>
      </c>
      <c r="S141" s="141">
        <f t="shared" si="549"/>
        <v>2.2390000000000003</v>
      </c>
      <c r="T141" s="141">
        <f t="shared" si="549"/>
        <v>2.3730000000000002</v>
      </c>
      <c r="U141" s="141">
        <f t="shared" ref="U141" si="550">U90*U57</f>
        <v>2.4130000000000003</v>
      </c>
      <c r="V141" s="101">
        <f t="shared" si="535"/>
        <v>0.41777116116776103</v>
      </c>
      <c r="W141" s="10"/>
      <c r="X141" s="141">
        <f t="shared" ref="X141:AG141" si="551">X90*X57</f>
        <v>2.5104852000000002</v>
      </c>
      <c r="Y141" s="141">
        <f t="shared" si="551"/>
        <v>2.6119088020800003</v>
      </c>
      <c r="Z141" s="141">
        <f t="shared" si="551"/>
        <v>2.7174299176840324</v>
      </c>
      <c r="AA141" s="141">
        <f t="shared" si="551"/>
        <v>2.8272140863584672</v>
      </c>
      <c r="AB141" s="141">
        <f t="shared" si="551"/>
        <v>2.9414335354473495</v>
      </c>
      <c r="AC141" s="141">
        <f t="shared" si="551"/>
        <v>3.0602674502794227</v>
      </c>
      <c r="AD141" s="141">
        <f t="shared" si="551"/>
        <v>3.1839022552707115</v>
      </c>
      <c r="AE141" s="141">
        <f t="shared" si="551"/>
        <v>3.312531906383648</v>
      </c>
      <c r="AF141" s="141">
        <f t="shared" si="551"/>
        <v>3.4463581954015479</v>
      </c>
      <c r="AG141" s="141">
        <f t="shared" si="551"/>
        <v>3.5855910664957706</v>
      </c>
      <c r="AH141" s="116" t="e">
        <f t="shared" si="401"/>
        <v>#DIV/0!</v>
      </c>
      <c r="AI141" s="10"/>
      <c r="AJ141" s="10"/>
    </row>
    <row r="142" spans="1:36">
      <c r="B142" s="10" t="s">
        <v>280</v>
      </c>
      <c r="C142" s="10"/>
      <c r="D142" s="10"/>
      <c r="E142" s="141"/>
      <c r="F142" s="141"/>
      <c r="G142" s="141">
        <f t="shared" ref="G142" si="552">(G141*0.17)+G141</f>
        <v>2.1294E-2</v>
      </c>
      <c r="H142" s="141">
        <f t="shared" ref="H142:I142" si="553">(H141*0.17)+H141</f>
        <v>0</v>
      </c>
      <c r="I142" s="141">
        <f t="shared" si="553"/>
        <v>0</v>
      </c>
      <c r="J142" s="141">
        <f t="shared" ref="J142:S142" si="554">(J141*0.17)+J141</f>
        <v>0</v>
      </c>
      <c r="K142" s="141">
        <f t="shared" si="554"/>
        <v>0</v>
      </c>
      <c r="L142" s="141">
        <f t="shared" si="554"/>
        <v>21.294</v>
      </c>
      <c r="M142" s="141">
        <f t="shared" si="554"/>
        <v>2.1294</v>
      </c>
      <c r="N142" s="141">
        <f t="shared" si="554"/>
        <v>2.3762700000000003</v>
      </c>
      <c r="O142" s="141">
        <f t="shared" si="554"/>
        <v>2.3762700000000003</v>
      </c>
      <c r="P142" s="141">
        <f t="shared" si="554"/>
        <v>2.3762700000000003</v>
      </c>
      <c r="Q142" s="141">
        <f t="shared" si="554"/>
        <v>2.3762700000000003</v>
      </c>
      <c r="R142" s="141">
        <f t="shared" si="554"/>
        <v>2.5587900000000001</v>
      </c>
      <c r="S142" s="141">
        <f t="shared" si="554"/>
        <v>2.6196300000000003</v>
      </c>
      <c r="T142" s="141">
        <f t="shared" ref="T142:U142" si="555">(T141*0.17)+T141</f>
        <v>2.7764100000000003</v>
      </c>
      <c r="U142" s="141">
        <f t="shared" si="555"/>
        <v>2.8232100000000004</v>
      </c>
      <c r="V142" s="101">
        <f t="shared" si="535"/>
        <v>0.41777116116776103</v>
      </c>
      <c r="W142" s="10"/>
      <c r="X142" s="141">
        <f t="shared" ref="X142:AG142" si="556">(X141*0.17)+X141</f>
        <v>2.937267684</v>
      </c>
      <c r="Y142" s="141">
        <f t="shared" si="556"/>
        <v>3.0559332984336005</v>
      </c>
      <c r="Z142" s="141">
        <f t="shared" si="556"/>
        <v>3.179393003690318</v>
      </c>
      <c r="AA142" s="141">
        <f t="shared" si="556"/>
        <v>3.3078404810394066</v>
      </c>
      <c r="AB142" s="141">
        <f t="shared" si="556"/>
        <v>3.441477236473399</v>
      </c>
      <c r="AC142" s="141">
        <f t="shared" si="556"/>
        <v>3.5805129168269247</v>
      </c>
      <c r="AD142" s="141">
        <f t="shared" si="556"/>
        <v>3.7251656386667324</v>
      </c>
      <c r="AE142" s="141">
        <f t="shared" si="556"/>
        <v>3.8756623304688684</v>
      </c>
      <c r="AF142" s="141">
        <f t="shared" si="556"/>
        <v>4.0322390886198107</v>
      </c>
      <c r="AG142" s="141">
        <f t="shared" si="556"/>
        <v>4.195141547800052</v>
      </c>
      <c r="AH142" s="116" t="e">
        <f t="shared" si="401"/>
        <v>#DIV/0!</v>
      </c>
      <c r="AI142" s="10"/>
      <c r="AJ142" s="10"/>
    </row>
    <row r="143" spans="1:36">
      <c r="B143" s="10" t="s">
        <v>281</v>
      </c>
      <c r="C143" s="10"/>
      <c r="D143" s="10"/>
      <c r="E143" s="10"/>
      <c r="F143" s="129"/>
      <c r="G143" s="129">
        <f t="shared" ref="G143" si="557">G142/G55</f>
        <v>7.6050000000000006E-3</v>
      </c>
      <c r="H143" s="129">
        <f t="shared" ref="H143:I143" si="558">H142/H55</f>
        <v>0</v>
      </c>
      <c r="I143" s="129">
        <f t="shared" si="558"/>
        <v>0</v>
      </c>
      <c r="J143" s="129">
        <f t="shared" ref="J143:T143" si="559">J142/J55</f>
        <v>0</v>
      </c>
      <c r="K143" s="129">
        <f t="shared" si="559"/>
        <v>0</v>
      </c>
      <c r="L143" s="129">
        <f t="shared" si="559"/>
        <v>2.3660000000000001</v>
      </c>
      <c r="M143" s="129">
        <f t="shared" si="559"/>
        <v>0.1183</v>
      </c>
      <c r="N143" s="129">
        <f t="shared" si="559"/>
        <v>5.1658043478260876E-2</v>
      </c>
      <c r="O143" s="129">
        <f t="shared" si="559"/>
        <v>2.5829021739130438E-2</v>
      </c>
      <c r="P143" s="129">
        <f t="shared" si="559"/>
        <v>2.263114285714286E-2</v>
      </c>
      <c r="Q143" s="129">
        <f t="shared" si="559"/>
        <v>1.6388068965517245E-2</v>
      </c>
      <c r="R143" s="129">
        <f t="shared" si="559"/>
        <v>1.5414397590361447E-2</v>
      </c>
      <c r="S143" s="129">
        <f t="shared" si="559"/>
        <v>1.5142369942196534E-2</v>
      </c>
      <c r="T143" s="129">
        <f t="shared" si="559"/>
        <v>1.4311391752577321E-2</v>
      </c>
      <c r="U143" s="129">
        <f t="shared" ref="U143" si="560">U142/U55</f>
        <v>3.0687065217391309E-2</v>
      </c>
      <c r="V143" s="101">
        <f t="shared" si="535"/>
        <v>0.10477907119004448</v>
      </c>
      <c r="W143" s="10"/>
      <c r="X143" s="129">
        <f t="shared" ref="X143:AG143" si="561">X142/X55</f>
        <v>2.9561872826086952E-2</v>
      </c>
      <c r="Y143" s="129">
        <f t="shared" si="561"/>
        <v>2.8477937489130436E-2</v>
      </c>
      <c r="Z143" s="129">
        <f t="shared" si="561"/>
        <v>2.7433746447862319E-2</v>
      </c>
      <c r="AA143" s="129">
        <f t="shared" si="561"/>
        <v>2.6427842411440697E-2</v>
      </c>
      <c r="AB143" s="129">
        <f t="shared" si="561"/>
        <v>2.5458821523021202E-2</v>
      </c>
      <c r="AC143" s="129">
        <f t="shared" si="561"/>
        <v>2.4525331400510428E-2</v>
      </c>
      <c r="AD143" s="129">
        <f t="shared" si="561"/>
        <v>2.3626069249158377E-2</v>
      </c>
      <c r="AE143" s="129">
        <f t="shared" si="561"/>
        <v>2.2759780043355902E-2</v>
      </c>
      <c r="AF143" s="129">
        <f t="shared" si="561"/>
        <v>2.1925254775099517E-2</v>
      </c>
      <c r="AG143" s="129">
        <f t="shared" si="561"/>
        <v>2.1121328766679204E-2</v>
      </c>
      <c r="AH143" s="116" t="e">
        <f t="shared" si="401"/>
        <v>#DIV/0!</v>
      </c>
      <c r="AI143" s="10"/>
      <c r="AJ143" s="10"/>
    </row>
    <row r="144" spans="1:36">
      <c r="B144" s="10" t="s">
        <v>274</v>
      </c>
      <c r="C144" s="10"/>
      <c r="D144" s="10"/>
      <c r="E144" s="10"/>
      <c r="F144" s="129"/>
      <c r="G144" s="129">
        <f t="shared" ref="G144" si="562">1-G143</f>
        <v>0.99239500000000003</v>
      </c>
      <c r="H144" s="129">
        <f t="shared" ref="H144:I144" si="563">1-H143</f>
        <v>1</v>
      </c>
      <c r="I144" s="129">
        <f t="shared" si="563"/>
        <v>1</v>
      </c>
      <c r="J144" s="129">
        <f>1-J143</f>
        <v>1</v>
      </c>
      <c r="K144" s="129">
        <f t="shared" ref="K144:S144" si="564">1-K143</f>
        <v>1</v>
      </c>
      <c r="L144" s="129">
        <f t="shared" si="564"/>
        <v>-1.3660000000000001</v>
      </c>
      <c r="M144" s="129">
        <f t="shared" si="564"/>
        <v>0.88170000000000004</v>
      </c>
      <c r="N144" s="129">
        <f t="shared" si="564"/>
        <v>0.94834195652173914</v>
      </c>
      <c r="O144" s="129">
        <f t="shared" si="564"/>
        <v>0.97417097826086951</v>
      </c>
      <c r="P144" s="129">
        <f t="shared" si="564"/>
        <v>0.97736885714285715</v>
      </c>
      <c r="Q144" s="129">
        <f t="shared" si="564"/>
        <v>0.98361193103448274</v>
      </c>
      <c r="R144" s="129">
        <f t="shared" si="564"/>
        <v>0.98458560240963855</v>
      </c>
      <c r="S144" s="129">
        <f t="shared" si="564"/>
        <v>0.98485763005780347</v>
      </c>
      <c r="T144" s="129">
        <f t="shared" ref="T144:U144" si="565">1-T143</f>
        <v>0.98568860824742266</v>
      </c>
      <c r="U144" s="129">
        <f t="shared" si="565"/>
        <v>0.96931293478260871</v>
      </c>
      <c r="V144" s="101">
        <f t="shared" si="535"/>
        <v>-1.6795670635653126E-3</v>
      </c>
      <c r="W144" s="10"/>
      <c r="X144" s="129">
        <f t="shared" ref="X144:AG144" si="566">1-X143</f>
        <v>0.97043812717391309</v>
      </c>
      <c r="Y144" s="129">
        <f t="shared" si="566"/>
        <v>0.97152206251086959</v>
      </c>
      <c r="Z144" s="129">
        <f t="shared" si="566"/>
        <v>0.97256625355213766</v>
      </c>
      <c r="AA144" s="129">
        <f t="shared" si="566"/>
        <v>0.97357215758855931</v>
      </c>
      <c r="AB144" s="129">
        <f t="shared" si="566"/>
        <v>0.97454117847697885</v>
      </c>
      <c r="AC144" s="129">
        <f t="shared" si="566"/>
        <v>0.97547466859948961</v>
      </c>
      <c r="AD144" s="129">
        <f t="shared" si="566"/>
        <v>0.97637393075084167</v>
      </c>
      <c r="AE144" s="129">
        <f t="shared" si="566"/>
        <v>0.97724021995664412</v>
      </c>
      <c r="AF144" s="129">
        <f t="shared" si="566"/>
        <v>0.97807474522490045</v>
      </c>
      <c r="AG144" s="129">
        <f t="shared" si="566"/>
        <v>0.97887867123332084</v>
      </c>
      <c r="AH144" s="116">
        <f t="shared" si="401"/>
        <v>-8.8908683855004611E-4</v>
      </c>
      <c r="AI144" s="10"/>
      <c r="AJ144" s="10"/>
    </row>
    <row r="145" spans="2:36">
      <c r="B145" s="10" t="s">
        <v>395</v>
      </c>
      <c r="C145" s="10"/>
      <c r="D145" s="10"/>
      <c r="E145" s="10"/>
      <c r="F145" s="129"/>
      <c r="G145" s="129" t="e">
        <f t="shared" ref="G145" si="567">G142/G20</f>
        <v>#DIV/0!</v>
      </c>
      <c r="H145" s="129" t="e">
        <f t="shared" ref="H145:I145" si="568">H142/H20</f>
        <v>#DIV/0!</v>
      </c>
      <c r="I145" s="129" t="e">
        <f t="shared" si="568"/>
        <v>#DIV/0!</v>
      </c>
      <c r="J145" s="129" t="e">
        <f t="shared" ref="J145:T145" si="569">J142/J20</f>
        <v>#DIV/0!</v>
      </c>
      <c r="K145" s="129" t="e">
        <f t="shared" si="569"/>
        <v>#DIV/0!</v>
      </c>
      <c r="L145" s="129" t="e">
        <f t="shared" si="569"/>
        <v>#DIV/0!</v>
      </c>
      <c r="M145" s="129" t="e">
        <f t="shared" si="569"/>
        <v>#DIV/0!</v>
      </c>
      <c r="N145" s="129" t="e">
        <f t="shared" si="569"/>
        <v>#DIV/0!</v>
      </c>
      <c r="O145" s="129" t="e">
        <f t="shared" si="569"/>
        <v>#DIV/0!</v>
      </c>
      <c r="P145" s="129" t="e">
        <f t="shared" si="569"/>
        <v>#DIV/0!</v>
      </c>
      <c r="Q145" s="129" t="e">
        <f t="shared" si="569"/>
        <v>#DIV/0!</v>
      </c>
      <c r="R145" s="129" t="e">
        <f t="shared" si="569"/>
        <v>#DIV/0!</v>
      </c>
      <c r="S145" s="129" t="e">
        <f t="shared" si="569"/>
        <v>#DIV/0!</v>
      </c>
      <c r="T145" s="129" t="e">
        <f t="shared" si="569"/>
        <v>#DIV/0!</v>
      </c>
      <c r="U145" s="129" t="e">
        <f t="shared" ref="U145" si="570">U142/U20</f>
        <v>#DIV/0!</v>
      </c>
      <c r="V145" s="101" t="e">
        <f t="shared" si="535"/>
        <v>#DIV/0!</v>
      </c>
      <c r="W145" s="10"/>
      <c r="X145" s="129" t="e">
        <f t="shared" ref="X145:AG145" si="571">X142/X20</f>
        <v>#DIV/0!</v>
      </c>
      <c r="Y145" s="129" t="e">
        <f t="shared" si="571"/>
        <v>#DIV/0!</v>
      </c>
      <c r="Z145" s="129" t="e">
        <f t="shared" si="571"/>
        <v>#DIV/0!</v>
      </c>
      <c r="AA145" s="129" t="e">
        <f t="shared" si="571"/>
        <v>#DIV/0!</v>
      </c>
      <c r="AB145" s="129" t="e">
        <f t="shared" si="571"/>
        <v>#DIV/0!</v>
      </c>
      <c r="AC145" s="129" t="e">
        <f t="shared" si="571"/>
        <v>#DIV/0!</v>
      </c>
      <c r="AD145" s="129" t="e">
        <f t="shared" si="571"/>
        <v>#DIV/0!</v>
      </c>
      <c r="AE145" s="129" t="e">
        <f t="shared" si="571"/>
        <v>#DIV/0!</v>
      </c>
      <c r="AF145" s="129" t="e">
        <f t="shared" si="571"/>
        <v>#DIV/0!</v>
      </c>
      <c r="AG145" s="129" t="e">
        <f t="shared" si="571"/>
        <v>#DIV/0!</v>
      </c>
      <c r="AH145" s="116" t="s">
        <v>396</v>
      </c>
      <c r="AI145" s="10"/>
      <c r="AJ145" s="10"/>
    </row>
    <row r="146" spans="2:36">
      <c r="B146" s="10"/>
      <c r="C146" s="10"/>
      <c r="D146" s="10"/>
      <c r="E146" s="10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2"/>
      <c r="V146" s="10"/>
      <c r="W146" s="10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10"/>
      <c r="AI146" s="10"/>
      <c r="AJ146" s="10"/>
    </row>
    <row r="147" spans="2:36">
      <c r="B147" s="10" t="s">
        <v>278</v>
      </c>
      <c r="C147" s="129"/>
      <c r="D147" s="129"/>
      <c r="E147" s="129"/>
      <c r="F147" s="129"/>
      <c r="G147" s="129">
        <f t="shared" ref="G147" si="572">G31/G25</f>
        <v>0</v>
      </c>
      <c r="H147" s="129">
        <f t="shared" ref="H147:I147" si="573">H31/H25</f>
        <v>0</v>
      </c>
      <c r="I147" s="129">
        <f t="shared" si="573"/>
        <v>0</v>
      </c>
      <c r="J147" s="129">
        <f t="shared" ref="J147:T147" si="574">J31/J25</f>
        <v>0</v>
      </c>
      <c r="K147" s="129">
        <f t="shared" si="574"/>
        <v>0</v>
      </c>
      <c r="L147" s="129">
        <f t="shared" si="574"/>
        <v>0</v>
      </c>
      <c r="M147" s="129">
        <f t="shared" si="574"/>
        <v>0</v>
      </c>
      <c r="N147" s="129">
        <f t="shared" si="574"/>
        <v>0</v>
      </c>
      <c r="O147" s="129">
        <f t="shared" si="574"/>
        <v>0</v>
      </c>
      <c r="P147" s="129">
        <f t="shared" si="574"/>
        <v>0</v>
      </c>
      <c r="Q147" s="129">
        <f t="shared" si="574"/>
        <v>0</v>
      </c>
      <c r="R147" s="129">
        <f t="shared" si="574"/>
        <v>0</v>
      </c>
      <c r="S147" s="129">
        <f t="shared" si="574"/>
        <v>0</v>
      </c>
      <c r="T147" s="129">
        <f t="shared" si="574"/>
        <v>0</v>
      </c>
      <c r="U147" s="129">
        <f t="shared" ref="U147" si="575">U31/U25</f>
        <v>0</v>
      </c>
      <c r="V147" s="101" t="e">
        <f t="shared" si="535"/>
        <v>#DIV/0!</v>
      </c>
      <c r="W147" s="10"/>
      <c r="X147" s="129">
        <f t="shared" ref="X147:AG147" si="576">X31/X25</f>
        <v>0</v>
      </c>
      <c r="Y147" s="129">
        <f t="shared" si="576"/>
        <v>0</v>
      </c>
      <c r="Z147" s="129">
        <f t="shared" si="576"/>
        <v>0</v>
      </c>
      <c r="AA147" s="129">
        <f t="shared" si="576"/>
        <v>0</v>
      </c>
      <c r="AB147" s="129">
        <f t="shared" si="576"/>
        <v>0</v>
      </c>
      <c r="AC147" s="129">
        <f t="shared" si="576"/>
        <v>0</v>
      </c>
      <c r="AD147" s="129">
        <f t="shared" si="576"/>
        <v>0</v>
      </c>
      <c r="AE147" s="129">
        <f t="shared" si="576"/>
        <v>0</v>
      </c>
      <c r="AF147" s="129">
        <f t="shared" si="576"/>
        <v>0</v>
      </c>
      <c r="AG147" s="129">
        <f t="shared" si="576"/>
        <v>0</v>
      </c>
      <c r="AH147" s="116" t="e">
        <f t="shared" si="401"/>
        <v>#DIV/0!</v>
      </c>
      <c r="AI147" s="10"/>
      <c r="AJ147" s="10"/>
    </row>
    <row r="148" spans="2:36">
      <c r="B148" s="10" t="s">
        <v>275</v>
      </c>
      <c r="C148" s="129"/>
      <c r="D148" s="129"/>
      <c r="E148" s="129"/>
      <c r="F148" s="129"/>
      <c r="G148" s="129">
        <f t="shared" ref="G148" si="577">G32/G25</f>
        <v>0</v>
      </c>
      <c r="H148" s="129">
        <f t="shared" ref="H148:I148" si="578">H32/H25</f>
        <v>0</v>
      </c>
      <c r="I148" s="129">
        <f t="shared" si="578"/>
        <v>0</v>
      </c>
      <c r="J148" s="129">
        <f t="shared" ref="J148:T148" si="579">J32/J25</f>
        <v>0</v>
      </c>
      <c r="K148" s="129">
        <f t="shared" si="579"/>
        <v>0</v>
      </c>
      <c r="L148" s="129">
        <f t="shared" si="579"/>
        <v>0</v>
      </c>
      <c r="M148" s="129">
        <f t="shared" si="579"/>
        <v>0</v>
      </c>
      <c r="N148" s="129">
        <f t="shared" si="579"/>
        <v>0</v>
      </c>
      <c r="O148" s="129">
        <f t="shared" si="579"/>
        <v>0</v>
      </c>
      <c r="P148" s="129">
        <f t="shared" si="579"/>
        <v>0</v>
      </c>
      <c r="Q148" s="129">
        <f t="shared" si="579"/>
        <v>0</v>
      </c>
      <c r="R148" s="129">
        <f t="shared" si="579"/>
        <v>0</v>
      </c>
      <c r="S148" s="129">
        <f t="shared" si="579"/>
        <v>0</v>
      </c>
      <c r="T148" s="129">
        <f t="shared" si="579"/>
        <v>0</v>
      </c>
      <c r="U148" s="129">
        <f t="shared" ref="U148" si="580">U32/U25</f>
        <v>0</v>
      </c>
      <c r="V148" s="101" t="e">
        <f t="shared" si="535"/>
        <v>#DIV/0!</v>
      </c>
      <c r="W148" s="10"/>
      <c r="X148" s="129">
        <f t="shared" ref="X148:AG148" si="581">X32/X25</f>
        <v>0</v>
      </c>
      <c r="Y148" s="129">
        <f t="shared" si="581"/>
        <v>0</v>
      </c>
      <c r="Z148" s="129">
        <f t="shared" si="581"/>
        <v>0</v>
      </c>
      <c r="AA148" s="129">
        <f t="shared" si="581"/>
        <v>0</v>
      </c>
      <c r="AB148" s="129">
        <f t="shared" si="581"/>
        <v>0</v>
      </c>
      <c r="AC148" s="129">
        <f t="shared" si="581"/>
        <v>0</v>
      </c>
      <c r="AD148" s="129">
        <f t="shared" si="581"/>
        <v>0</v>
      </c>
      <c r="AE148" s="129">
        <f t="shared" si="581"/>
        <v>0</v>
      </c>
      <c r="AF148" s="129">
        <f t="shared" si="581"/>
        <v>0</v>
      </c>
      <c r="AG148" s="129">
        <f t="shared" si="581"/>
        <v>0</v>
      </c>
      <c r="AH148" s="116" t="e">
        <f t="shared" si="401"/>
        <v>#DIV/0!</v>
      </c>
      <c r="AI148" s="10"/>
      <c r="AJ148" s="10"/>
    </row>
    <row r="149" spans="2:36">
      <c r="B149" s="10" t="s">
        <v>403</v>
      </c>
      <c r="C149" s="129"/>
      <c r="D149" s="129"/>
      <c r="E149" s="129"/>
      <c r="F149" s="129"/>
      <c r="G149" s="129">
        <f t="shared" ref="G149" si="582">(G31+G32)/G25</f>
        <v>0</v>
      </c>
      <c r="H149" s="129">
        <f t="shared" ref="H149:I149" si="583">(H31+H32)/H25</f>
        <v>0</v>
      </c>
      <c r="I149" s="129">
        <f t="shared" si="583"/>
        <v>0</v>
      </c>
      <c r="J149" s="129">
        <f t="shared" ref="J149:T149" si="584">(J31+J32)/J25</f>
        <v>0</v>
      </c>
      <c r="K149" s="129">
        <f t="shared" si="584"/>
        <v>0</v>
      </c>
      <c r="L149" s="129">
        <f t="shared" si="584"/>
        <v>0</v>
      </c>
      <c r="M149" s="129">
        <f t="shared" si="584"/>
        <v>0</v>
      </c>
      <c r="N149" s="129">
        <f t="shared" si="584"/>
        <v>0</v>
      </c>
      <c r="O149" s="129">
        <f t="shared" si="584"/>
        <v>0</v>
      </c>
      <c r="P149" s="129">
        <f t="shared" si="584"/>
        <v>0</v>
      </c>
      <c r="Q149" s="129">
        <f t="shared" si="584"/>
        <v>0</v>
      </c>
      <c r="R149" s="129">
        <f t="shared" si="584"/>
        <v>0</v>
      </c>
      <c r="S149" s="129">
        <f t="shared" si="584"/>
        <v>0</v>
      </c>
      <c r="T149" s="129">
        <f t="shared" si="584"/>
        <v>0</v>
      </c>
      <c r="U149" s="129">
        <f t="shared" ref="U149" si="585">(U31+U32)/U25</f>
        <v>0</v>
      </c>
      <c r="V149" s="101" t="e">
        <f t="shared" si="535"/>
        <v>#DIV/0!</v>
      </c>
      <c r="W149" s="10"/>
      <c r="X149" s="129">
        <f t="shared" ref="X149:AG149" si="586">(X31+X32)/X25</f>
        <v>0</v>
      </c>
      <c r="Y149" s="129">
        <f t="shared" si="586"/>
        <v>0</v>
      </c>
      <c r="Z149" s="129">
        <f t="shared" si="586"/>
        <v>0</v>
      </c>
      <c r="AA149" s="129">
        <f t="shared" si="586"/>
        <v>0</v>
      </c>
      <c r="AB149" s="129">
        <f t="shared" si="586"/>
        <v>0</v>
      </c>
      <c r="AC149" s="129">
        <f t="shared" si="586"/>
        <v>0</v>
      </c>
      <c r="AD149" s="129">
        <f t="shared" si="586"/>
        <v>0</v>
      </c>
      <c r="AE149" s="129">
        <f t="shared" si="586"/>
        <v>0</v>
      </c>
      <c r="AF149" s="129">
        <f t="shared" si="586"/>
        <v>0</v>
      </c>
      <c r="AG149" s="129">
        <f t="shared" si="586"/>
        <v>0</v>
      </c>
      <c r="AH149" s="116" t="e">
        <f t="shared" si="401"/>
        <v>#DIV/0!</v>
      </c>
      <c r="AI149" s="10"/>
      <c r="AJ149" s="10"/>
    </row>
    <row r="150" spans="2:36">
      <c r="B150" s="10"/>
      <c r="C150" s="10"/>
      <c r="D150" s="10"/>
      <c r="E150" s="10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2"/>
      <c r="V150" s="10"/>
      <c r="W150" s="10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10"/>
      <c r="AI150" s="10"/>
      <c r="AJ150" s="10"/>
    </row>
    <row r="151" spans="2:36">
      <c r="B151" s="10" t="s">
        <v>299</v>
      </c>
      <c r="C151" s="10"/>
      <c r="D151" s="10"/>
      <c r="E151" s="10"/>
      <c r="F151" s="129"/>
      <c r="G151" s="129">
        <f t="shared" ref="G151" si="587">G27/G25</f>
        <v>0.91891891891891897</v>
      </c>
      <c r="H151" s="129">
        <f t="shared" ref="H151:I151" si="588">H27/H25</f>
        <v>0.91176470588235292</v>
      </c>
      <c r="I151" s="129">
        <f t="shared" si="588"/>
        <v>0.92156862745098034</v>
      </c>
      <c r="J151" s="129">
        <f t="shared" ref="J151:T151" si="589">J27/J25</f>
        <v>0.94871794871794868</v>
      </c>
      <c r="K151" s="129">
        <f t="shared" si="589"/>
        <v>0.96187683284457481</v>
      </c>
      <c r="L151" s="129">
        <f t="shared" si="589"/>
        <v>0.95415959252971139</v>
      </c>
      <c r="M151" s="129">
        <f t="shared" si="589"/>
        <v>0.95131086142322097</v>
      </c>
      <c r="N151" s="129">
        <f t="shared" si="589"/>
        <v>0.93773119605425403</v>
      </c>
      <c r="O151" s="129">
        <f t="shared" si="589"/>
        <v>0.93230016313213704</v>
      </c>
      <c r="P151" s="129">
        <f t="shared" si="589"/>
        <v>0.94325699745547076</v>
      </c>
      <c r="Q151" s="129">
        <f t="shared" si="589"/>
        <v>0.95692062225767849</v>
      </c>
      <c r="R151" s="129">
        <f t="shared" si="589"/>
        <v>0.94163879598662203</v>
      </c>
      <c r="S151" s="129">
        <f t="shared" si="589"/>
        <v>0.91587769672512809</v>
      </c>
      <c r="T151" s="129">
        <f t="shared" si="589"/>
        <v>0.95816993464052291</v>
      </c>
      <c r="U151" s="129">
        <f t="shared" ref="U151" si="590">U27/U25</f>
        <v>0.92703218767048556</v>
      </c>
      <c r="V151" s="101">
        <f t="shared" si="535"/>
        <v>6.2808261955882294E-4</v>
      </c>
      <c r="W151" s="10"/>
      <c r="X151" s="129">
        <f t="shared" ref="X151:AG151" si="591">X27/X25</f>
        <v>0.92703218767048556</v>
      </c>
      <c r="Y151" s="129">
        <f t="shared" si="591"/>
        <v>0.92703218767048556</v>
      </c>
      <c r="Z151" s="129">
        <f t="shared" si="591"/>
        <v>0.92703218767048556</v>
      </c>
      <c r="AA151" s="129">
        <f t="shared" si="591"/>
        <v>0.92703218767048556</v>
      </c>
      <c r="AB151" s="129">
        <f t="shared" si="591"/>
        <v>0.92703218767048545</v>
      </c>
      <c r="AC151" s="129">
        <f t="shared" si="591"/>
        <v>0.92703218767048545</v>
      </c>
      <c r="AD151" s="129">
        <f t="shared" si="591"/>
        <v>0.92703218767048556</v>
      </c>
      <c r="AE151" s="129">
        <f t="shared" si="591"/>
        <v>0.92703218767048556</v>
      </c>
      <c r="AF151" s="129">
        <f t="shared" si="591"/>
        <v>0.92703218767048545</v>
      </c>
      <c r="AG151" s="129">
        <f t="shared" si="591"/>
        <v>0.92703218767048545</v>
      </c>
      <c r="AH151" s="116">
        <f t="shared" si="401"/>
        <v>-9.6300510132940609E-4</v>
      </c>
      <c r="AI151" s="10"/>
      <c r="AJ151" s="10"/>
    </row>
    <row r="152" spans="2:36">
      <c r="B152" s="10" t="str">
        <f>B33</f>
        <v>Top Expenses ( Raw material )</v>
      </c>
      <c r="C152" s="10"/>
      <c r="D152" s="10"/>
      <c r="E152" s="10"/>
      <c r="F152" s="129"/>
      <c r="G152" s="129">
        <f t="shared" ref="G152" si="592">G33/G25</f>
        <v>0.8783783783783784</v>
      </c>
      <c r="H152" s="129">
        <f t="shared" ref="H152:I152" si="593">H33/H25</f>
        <v>0.8529411764705882</v>
      </c>
      <c r="I152" s="129">
        <f t="shared" si="593"/>
        <v>0.88235294117647056</v>
      </c>
      <c r="J152" s="129">
        <f t="shared" ref="J152:T152" si="594">J33/J25</f>
        <v>0.91025641025641024</v>
      </c>
      <c r="K152" s="129">
        <f t="shared" si="594"/>
        <v>0.92375366568914952</v>
      </c>
      <c r="L152" s="129">
        <f t="shared" si="594"/>
        <v>0.9252971137521222</v>
      </c>
      <c r="M152" s="129">
        <f t="shared" si="594"/>
        <v>0.93164794007490637</v>
      </c>
      <c r="N152" s="129">
        <f t="shared" si="594"/>
        <v>0.91553637484586925</v>
      </c>
      <c r="O152" s="129">
        <f t="shared" si="594"/>
        <v>0.9119086460032626</v>
      </c>
      <c r="P152" s="129">
        <f t="shared" si="594"/>
        <v>0.92137404580152671</v>
      </c>
      <c r="Q152" s="129">
        <f t="shared" si="594"/>
        <v>0.93558037495013957</v>
      </c>
      <c r="R152" s="129">
        <f t="shared" si="594"/>
        <v>0.91889632107023411</v>
      </c>
      <c r="S152" s="129">
        <f t="shared" si="594"/>
        <v>0.8891820580474934</v>
      </c>
      <c r="T152" s="129">
        <f t="shared" si="594"/>
        <v>0.9368191721132898</v>
      </c>
      <c r="U152" s="129">
        <f t="shared" ref="U152" si="595">U33/U25</f>
        <v>0.91243862520458263</v>
      </c>
      <c r="V152" s="101">
        <f t="shared" si="535"/>
        <v>2.7210788235916272E-3</v>
      </c>
      <c r="W152" s="10"/>
      <c r="X152" s="129">
        <f t="shared" ref="X152:AG152" si="596">X33/X25</f>
        <v>0.91243862520458274</v>
      </c>
      <c r="Y152" s="129">
        <f t="shared" si="596"/>
        <v>0.91243862520458263</v>
      </c>
      <c r="Z152" s="129">
        <f t="shared" si="596"/>
        <v>0.91243862520458274</v>
      </c>
      <c r="AA152" s="129">
        <f t="shared" si="596"/>
        <v>0.91243862520458263</v>
      </c>
      <c r="AB152" s="129">
        <f t="shared" si="596"/>
        <v>0.91243862520458263</v>
      </c>
      <c r="AC152" s="129">
        <f t="shared" si="596"/>
        <v>0.91243862520458263</v>
      </c>
      <c r="AD152" s="129">
        <f t="shared" si="596"/>
        <v>0.91243862520458274</v>
      </c>
      <c r="AE152" s="129">
        <f t="shared" si="596"/>
        <v>0.91243862520458263</v>
      </c>
      <c r="AF152" s="129">
        <f t="shared" si="596"/>
        <v>0.91243862520458263</v>
      </c>
      <c r="AG152" s="129">
        <f t="shared" si="596"/>
        <v>0.91243862520458263</v>
      </c>
      <c r="AH152" s="116">
        <f t="shared" si="401"/>
        <v>9.9775552705905213E-5</v>
      </c>
      <c r="AI152" s="10"/>
      <c r="AJ152" s="10"/>
    </row>
    <row r="153" spans="2:36">
      <c r="B153" s="10" t="str">
        <f>B34</f>
        <v>2nd highest Expenses Comp. ( Misc Exp )</v>
      </c>
      <c r="C153" s="10"/>
      <c r="D153" s="10"/>
      <c r="E153" s="10"/>
      <c r="F153" s="129"/>
      <c r="G153" s="129">
        <f t="shared" ref="G153" si="597">G34/G25</f>
        <v>9.4594594594594604E-4</v>
      </c>
      <c r="H153" s="129">
        <f t="shared" ref="H153:I153" si="598">H34/H25</f>
        <v>3.2352941176470589E-3</v>
      </c>
      <c r="I153" s="129">
        <f t="shared" si="598"/>
        <v>2.5490196078431374E-3</v>
      </c>
      <c r="J153" s="129">
        <f t="shared" ref="J153:T153" si="599">J34/J25</f>
        <v>2.371794871794872E-3</v>
      </c>
      <c r="K153" s="129">
        <f t="shared" si="599"/>
        <v>1.3489736070381232E-3</v>
      </c>
      <c r="L153" s="129">
        <f t="shared" si="599"/>
        <v>8.9983022071307304E-4</v>
      </c>
      <c r="M153" s="129">
        <f t="shared" si="599"/>
        <v>9.3632958801498128E-4</v>
      </c>
      <c r="N153" s="129">
        <f t="shared" si="599"/>
        <v>1.0480887792848335E-2</v>
      </c>
      <c r="O153" s="129">
        <f t="shared" si="599"/>
        <v>1.3458401305057096E-2</v>
      </c>
      <c r="P153" s="129">
        <f t="shared" si="599"/>
        <v>1.4758269720101781E-2</v>
      </c>
      <c r="Q153" s="129">
        <f t="shared" si="599"/>
        <v>1.3761467889908258E-2</v>
      </c>
      <c r="R153" s="129">
        <f t="shared" si="599"/>
        <v>1.5050167224080268E-2</v>
      </c>
      <c r="S153" s="129">
        <f t="shared" si="599"/>
        <v>1.8624864193698586E-2</v>
      </c>
      <c r="T153" s="129">
        <f t="shared" si="599"/>
        <v>1.045751633986928E-2</v>
      </c>
      <c r="U153" s="129">
        <f t="shared" ref="U153" si="600">U34/U25</f>
        <v>1.0229132569558102E-2</v>
      </c>
      <c r="V153" s="101">
        <f t="shared" si="535"/>
        <v>0.1853734007277672</v>
      </c>
      <c r="W153" s="10"/>
      <c r="X153" s="129">
        <f t="shared" ref="X153:AG153" si="601">X34/X25</f>
        <v>1.02291325695581E-2</v>
      </c>
      <c r="Y153" s="129">
        <f t="shared" si="601"/>
        <v>1.02291325695581E-2</v>
      </c>
      <c r="Z153" s="129">
        <f t="shared" si="601"/>
        <v>1.02291325695581E-2</v>
      </c>
      <c r="AA153" s="129">
        <f t="shared" si="601"/>
        <v>1.0229132569558099E-2</v>
      </c>
      <c r="AB153" s="129">
        <f t="shared" si="601"/>
        <v>1.0229132569558099E-2</v>
      </c>
      <c r="AC153" s="129">
        <f t="shared" si="601"/>
        <v>1.0229132569558099E-2</v>
      </c>
      <c r="AD153" s="129">
        <f t="shared" si="601"/>
        <v>1.0229132569558099E-2</v>
      </c>
      <c r="AE153" s="129">
        <f t="shared" si="601"/>
        <v>1.02291325695581E-2</v>
      </c>
      <c r="AF153" s="129">
        <f t="shared" si="601"/>
        <v>1.0229132569558099E-2</v>
      </c>
      <c r="AG153" s="129">
        <f t="shared" si="601"/>
        <v>1.0229132569558099E-2</v>
      </c>
      <c r="AH153" s="116">
        <f t="shared" si="401"/>
        <v>6.2792310115641126E-2</v>
      </c>
      <c r="AI153" s="10"/>
      <c r="AJ153" s="10"/>
    </row>
    <row r="154" spans="2:36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22"/>
      <c r="V154" s="10"/>
      <c r="W154" s="10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17"/>
      <c r="AI154" s="10"/>
      <c r="AJ154" s="10"/>
    </row>
    <row r="155" spans="2:36">
      <c r="B155" s="93" t="s">
        <v>307</v>
      </c>
      <c r="C155" s="10"/>
      <c r="D155" s="10"/>
      <c r="E155" s="10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22"/>
      <c r="V155" s="10"/>
      <c r="W155" s="10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16"/>
      <c r="AI155" s="10"/>
      <c r="AJ155" s="10"/>
    </row>
    <row r="156" spans="2:36">
      <c r="B156" s="10" t="s">
        <v>310</v>
      </c>
      <c r="C156" s="10"/>
      <c r="D156" s="10"/>
      <c r="E156" s="10"/>
      <c r="F156" s="15"/>
      <c r="G156" s="15">
        <f t="shared" ref="G156" si="602">G15/G9</f>
        <v>4.3596730245231612</v>
      </c>
      <c r="H156" s="15">
        <f t="shared" ref="H156:I156" si="603">H15/H9</f>
        <v>3.4285714285714284</v>
      </c>
      <c r="I156" s="15">
        <f t="shared" si="603"/>
        <v>2.1538461538461537</v>
      </c>
      <c r="J156" s="15">
        <f t="shared" ref="J156:T156" si="604">J15/J9</f>
        <v>1.3125</v>
      </c>
      <c r="K156" s="15">
        <f t="shared" si="604"/>
        <v>1.4153846153846155</v>
      </c>
      <c r="L156" s="15">
        <f t="shared" si="604"/>
        <v>2.043010752688172</v>
      </c>
      <c r="M156" s="15">
        <f t="shared" si="604"/>
        <v>5.0161290322580649</v>
      </c>
      <c r="N156" s="15">
        <f t="shared" si="604"/>
        <v>9.7755102040816322</v>
      </c>
      <c r="O156" s="15">
        <f t="shared" si="604"/>
        <v>16.804347826086957</v>
      </c>
      <c r="P156" s="15">
        <f t="shared" si="604"/>
        <v>10.084033613445378</v>
      </c>
      <c r="Q156" s="15">
        <f t="shared" si="604"/>
        <v>7.276995305164319</v>
      </c>
      <c r="R156" s="15">
        <f t="shared" si="604"/>
        <v>18.119565217391305</v>
      </c>
      <c r="S156" s="15">
        <f t="shared" si="604"/>
        <v>11.518072289156626</v>
      </c>
      <c r="T156" s="15">
        <f t="shared" si="604"/>
        <v>6.4651898734177218</v>
      </c>
      <c r="U156" s="15">
        <f t="shared" ref="U156" si="605">U15/U9</f>
        <v>6.4651898734177218</v>
      </c>
      <c r="V156" s="101">
        <f t="shared" si="535"/>
        <v>2.8545203531986418E-2</v>
      </c>
      <c r="W156" s="10"/>
      <c r="X156" s="10">
        <f t="shared" ref="X156:AG156" si="606">X15/X9</f>
        <v>6.4651898734177209</v>
      </c>
      <c r="Y156" s="10">
        <f t="shared" si="606"/>
        <v>6.4651898734177209</v>
      </c>
      <c r="Z156" s="10">
        <f t="shared" si="606"/>
        <v>6.4651898734177218</v>
      </c>
      <c r="AA156" s="10">
        <f t="shared" si="606"/>
        <v>6.4651898734177218</v>
      </c>
      <c r="AB156" s="10">
        <f t="shared" si="606"/>
        <v>6.4651898734177218</v>
      </c>
      <c r="AC156" s="10">
        <f t="shared" si="606"/>
        <v>6.4651898734177218</v>
      </c>
      <c r="AD156" s="10">
        <f t="shared" si="606"/>
        <v>6.4651898734177209</v>
      </c>
      <c r="AE156" s="10">
        <f t="shared" si="606"/>
        <v>6.4651898734177209</v>
      </c>
      <c r="AF156" s="10">
        <f t="shared" si="606"/>
        <v>6.4651898734177209</v>
      </c>
      <c r="AG156" s="10">
        <f t="shared" si="606"/>
        <v>6.4651898734177218</v>
      </c>
      <c r="AH156" s="116">
        <f t="shared" si="401"/>
        <v>6.8694109189453734E-2</v>
      </c>
      <c r="AI156" s="10"/>
      <c r="AJ156" s="10"/>
    </row>
    <row r="157" spans="2:36">
      <c r="B157" s="10" t="s">
        <v>300</v>
      </c>
      <c r="C157" s="10"/>
      <c r="D157" s="10"/>
      <c r="E157" s="10"/>
      <c r="F157" s="15"/>
      <c r="G157" s="15">
        <f t="shared" ref="G157" si="607">G12/G9</f>
        <v>7.0844686648501368E-2</v>
      </c>
      <c r="H157" s="15">
        <f t="shared" ref="H157:I157" si="608">H12/H9</f>
        <v>0.04</v>
      </c>
      <c r="I157" s="15">
        <f t="shared" si="608"/>
        <v>2.1538461538461541E-2</v>
      </c>
      <c r="J157" s="15">
        <f t="shared" ref="J157:T157" si="609">J12/J9</f>
        <v>1.59375E-2</v>
      </c>
      <c r="K157" s="15">
        <f t="shared" si="609"/>
        <v>1.1538461538461539E-2</v>
      </c>
      <c r="L157" s="15">
        <f t="shared" si="609"/>
        <v>3.2258064516129032E-3</v>
      </c>
      <c r="M157" s="15">
        <f t="shared" si="609"/>
        <v>1.3387096774193547E-2</v>
      </c>
      <c r="N157" s="15">
        <f t="shared" si="609"/>
        <v>2.0408163265306121E-2</v>
      </c>
      <c r="O157" s="15">
        <f t="shared" si="609"/>
        <v>0.28260869565217389</v>
      </c>
      <c r="P157" s="15">
        <f t="shared" si="609"/>
        <v>0.73949579831932777</v>
      </c>
      <c r="Q157" s="15">
        <f t="shared" si="609"/>
        <v>0.14553990610328638</v>
      </c>
      <c r="R157" s="15">
        <f t="shared" si="609"/>
        <v>0.55434782608695654</v>
      </c>
      <c r="S157" s="15">
        <f t="shared" si="609"/>
        <v>0.51807228915662651</v>
      </c>
      <c r="T157" s="15">
        <f t="shared" si="609"/>
        <v>0.35759493670886078</v>
      </c>
      <c r="U157" s="15">
        <f t="shared" ref="U157" si="610">U12/U9</f>
        <v>0.35759493670886078</v>
      </c>
      <c r="V157" s="101">
        <f t="shared" si="535"/>
        <v>0.12258773051373062</v>
      </c>
      <c r="W157" s="110"/>
      <c r="X157" s="10">
        <f t="shared" ref="X157:AG157" si="611">X12/X9</f>
        <v>0.35759493670886072</v>
      </c>
      <c r="Y157" s="10">
        <f t="shared" si="611"/>
        <v>0.35759493670886072</v>
      </c>
      <c r="Z157" s="10">
        <f t="shared" si="611"/>
        <v>0.35759493670886072</v>
      </c>
      <c r="AA157" s="10">
        <f t="shared" si="611"/>
        <v>0.35759493670886078</v>
      </c>
      <c r="AB157" s="10">
        <f t="shared" si="611"/>
        <v>0.35759493670886078</v>
      </c>
      <c r="AC157" s="10">
        <f t="shared" si="611"/>
        <v>0.35759493670886078</v>
      </c>
      <c r="AD157" s="10">
        <f t="shared" si="611"/>
        <v>0.35759493670886078</v>
      </c>
      <c r="AE157" s="10">
        <f t="shared" si="611"/>
        <v>0.35759493670886078</v>
      </c>
      <c r="AF157" s="10">
        <f t="shared" si="611"/>
        <v>0.35759493670886078</v>
      </c>
      <c r="AG157" s="10">
        <f t="shared" si="611"/>
        <v>0.35759493670886078</v>
      </c>
      <c r="AH157" s="101">
        <f t="shared" ref="AH157" si="612">((AG157/X157)^(1/($K$2-$K$1) ))-1</f>
        <v>0</v>
      </c>
      <c r="AI157" s="10"/>
      <c r="AJ157" s="10"/>
    </row>
    <row r="158" spans="2:36">
      <c r="B158" s="10" t="s">
        <v>302</v>
      </c>
      <c r="C158" s="10"/>
      <c r="D158" s="10"/>
      <c r="E158" s="10"/>
      <c r="F158" s="15"/>
      <c r="G158" s="15">
        <f t="shared" ref="G158" si="613">G25/360</f>
        <v>0.20555555555555555</v>
      </c>
      <c r="H158" s="15">
        <f t="shared" ref="H158:I158" si="614">H25/360</f>
        <v>0.18888888888888888</v>
      </c>
      <c r="I158" s="15">
        <f t="shared" si="614"/>
        <v>0.28333333333333333</v>
      </c>
      <c r="J158" s="15">
        <f t="shared" ref="J158:T158" si="615">J25/360</f>
        <v>0.43333333333333335</v>
      </c>
      <c r="K158" s="15">
        <f t="shared" si="615"/>
        <v>0.94722222222222219</v>
      </c>
      <c r="L158" s="15">
        <f t="shared" si="615"/>
        <v>1.6361111111111111</v>
      </c>
      <c r="M158" s="15">
        <f t="shared" si="615"/>
        <v>2.9666666666666668</v>
      </c>
      <c r="N158" s="15">
        <f t="shared" si="615"/>
        <v>4.5055555555555555</v>
      </c>
      <c r="O158" s="15">
        <f t="shared" si="615"/>
        <v>6.8111111111111109</v>
      </c>
      <c r="P158" s="15">
        <f t="shared" si="615"/>
        <v>10.916666666666666</v>
      </c>
      <c r="Q158" s="15">
        <f t="shared" si="615"/>
        <v>13.927777777777777</v>
      </c>
      <c r="R158" s="15">
        <f t="shared" si="615"/>
        <v>16.611111111111111</v>
      </c>
      <c r="S158" s="15">
        <f t="shared" si="615"/>
        <v>17.897222222222222</v>
      </c>
      <c r="T158" s="15">
        <f t="shared" si="615"/>
        <v>19.125</v>
      </c>
      <c r="U158" s="15">
        <f t="shared" ref="U158" si="616">U25/360</f>
        <v>20.366666666666667</v>
      </c>
      <c r="V158" s="101">
        <f t="shared" si="535"/>
        <v>0.38857955609391537</v>
      </c>
      <c r="W158" s="110"/>
      <c r="X158" s="15">
        <f t="shared" ref="X158:AG158" si="617">X25/360</f>
        <v>21.996000000000002</v>
      </c>
      <c r="Y158" s="15">
        <f t="shared" si="617"/>
        <v>23.755680000000005</v>
      </c>
      <c r="Z158" s="15">
        <f t="shared" si="617"/>
        <v>25.656134400000003</v>
      </c>
      <c r="AA158" s="15">
        <f t="shared" si="617"/>
        <v>27.708625152000007</v>
      </c>
      <c r="AB158" s="15">
        <f t="shared" si="617"/>
        <v>29.925315164160011</v>
      </c>
      <c r="AC158" s="15">
        <f t="shared" si="617"/>
        <v>32.319340377292811</v>
      </c>
      <c r="AD158" s="15">
        <f t="shared" si="617"/>
        <v>34.90488760747624</v>
      </c>
      <c r="AE158" s="15">
        <f t="shared" si="617"/>
        <v>37.697278616074342</v>
      </c>
      <c r="AF158" s="15">
        <f t="shared" si="617"/>
        <v>40.713060905360294</v>
      </c>
      <c r="AG158" s="15">
        <f t="shared" si="617"/>
        <v>43.970105777789122</v>
      </c>
      <c r="AH158" s="101">
        <f t="shared" ref="AH158:AH169" si="618">((AG158/X158)^(1/($K$2-$K$1) ))-1</f>
        <v>5.0719276637903876E-2</v>
      </c>
      <c r="AI158" s="10"/>
      <c r="AJ158" s="10"/>
    </row>
    <row r="159" spans="2:36">
      <c r="B159" s="10" t="s">
        <v>301</v>
      </c>
      <c r="C159" s="10"/>
      <c r="D159" s="10"/>
      <c r="E159" s="10"/>
      <c r="F159" s="15"/>
      <c r="G159" s="15">
        <f t="shared" ref="G159" si="619">G27/360</f>
        <v>0.18888888888888888</v>
      </c>
      <c r="H159" s="15">
        <f t="shared" ref="H159:I159" si="620">H27/360</f>
        <v>0.17222222222222222</v>
      </c>
      <c r="I159" s="15">
        <f t="shared" si="620"/>
        <v>0.26111111111111113</v>
      </c>
      <c r="J159" s="15">
        <f t="shared" ref="J159:T159" si="621">J27/360</f>
        <v>0.41111111111111109</v>
      </c>
      <c r="K159" s="15">
        <f t="shared" si="621"/>
        <v>0.91111111111111109</v>
      </c>
      <c r="L159" s="15">
        <f t="shared" si="621"/>
        <v>1.5611111111111111</v>
      </c>
      <c r="M159" s="15">
        <f t="shared" si="621"/>
        <v>2.8222222222222224</v>
      </c>
      <c r="N159" s="15">
        <f t="shared" si="621"/>
        <v>4.2249999999999996</v>
      </c>
      <c r="O159" s="15">
        <f t="shared" si="621"/>
        <v>6.35</v>
      </c>
      <c r="P159" s="15">
        <f t="shared" si="621"/>
        <v>10.297222222222222</v>
      </c>
      <c r="Q159" s="15">
        <f t="shared" si="621"/>
        <v>13.327777777777778</v>
      </c>
      <c r="R159" s="15">
        <f t="shared" si="621"/>
        <v>15.641666666666667</v>
      </c>
      <c r="S159" s="15">
        <f t="shared" si="621"/>
        <v>16.391666666666666</v>
      </c>
      <c r="T159" s="15">
        <f t="shared" si="621"/>
        <v>18.324999999999999</v>
      </c>
      <c r="U159" s="15">
        <f t="shared" ref="U159" si="622">U27/360</f>
        <v>18.880555555555556</v>
      </c>
      <c r="V159" s="101">
        <f t="shared" si="535"/>
        <v>0.38945169877897268</v>
      </c>
      <c r="W159" s="110"/>
      <c r="X159" s="15">
        <f t="shared" ref="X159:AG159" si="623">X27/360</f>
        <v>20.391000000000002</v>
      </c>
      <c r="Y159" s="15">
        <f t="shared" si="623"/>
        <v>22.022280000000002</v>
      </c>
      <c r="Z159" s="15">
        <f t="shared" si="623"/>
        <v>23.784062400000003</v>
      </c>
      <c r="AA159" s="15">
        <f t="shared" si="623"/>
        <v>25.686787392000006</v>
      </c>
      <c r="AB159" s="15">
        <f t="shared" si="623"/>
        <v>27.741730383360007</v>
      </c>
      <c r="AC159" s="15">
        <f t="shared" si="623"/>
        <v>29.96106881402881</v>
      </c>
      <c r="AD159" s="15">
        <f t="shared" si="623"/>
        <v>32.357954319151119</v>
      </c>
      <c r="AE159" s="15">
        <f t="shared" si="623"/>
        <v>34.946590664683207</v>
      </c>
      <c r="AF159" s="15">
        <f t="shared" si="623"/>
        <v>37.742317917857868</v>
      </c>
      <c r="AG159" s="15">
        <f t="shared" si="623"/>
        <v>40.761703351286499</v>
      </c>
      <c r="AH159" s="101">
        <f t="shared" si="618"/>
        <v>5.0719276637903876E-2</v>
      </c>
      <c r="AI159" s="10"/>
      <c r="AJ159" s="10"/>
    </row>
    <row r="160" spans="2:36">
      <c r="B160" s="10"/>
      <c r="C160" s="10"/>
      <c r="D160" s="10"/>
      <c r="E160" s="10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22"/>
      <c r="V160" s="10"/>
      <c r="W160" s="10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10"/>
      <c r="AI160" s="10"/>
      <c r="AJ160" s="10"/>
    </row>
    <row r="161" spans="2:36">
      <c r="B161" s="10" t="s">
        <v>311</v>
      </c>
      <c r="C161" s="10"/>
      <c r="D161" s="10"/>
      <c r="E161" s="10"/>
      <c r="F161" s="15"/>
      <c r="G161" s="15">
        <f t="shared" ref="G161" si="624">G10/G7</f>
        <v>1.1666666666666667</v>
      </c>
      <c r="H161" s="15">
        <f t="shared" ref="H161:I161" si="625">H10/H7</f>
        <v>0.7142857142857143</v>
      </c>
      <c r="I161" s="15">
        <f t="shared" si="625"/>
        <v>0.625</v>
      </c>
      <c r="J161" s="15">
        <f t="shared" ref="J161:T161" si="626">J10/J7</f>
        <v>0.75</v>
      </c>
      <c r="K161" s="15">
        <f t="shared" si="626"/>
        <v>1.4</v>
      </c>
      <c r="L161" s="15">
        <f t="shared" si="626"/>
        <v>2.84375</v>
      </c>
      <c r="M161" s="15">
        <f t="shared" si="626"/>
        <v>4.5625</v>
      </c>
      <c r="N161" s="15">
        <f t="shared" si="626"/>
        <v>4.4175824175824179</v>
      </c>
      <c r="O161" s="15">
        <f t="shared" si="626"/>
        <v>3.6022099447513813</v>
      </c>
      <c r="P161" s="15">
        <f t="shared" si="626"/>
        <v>3.323943661971831</v>
      </c>
      <c r="Q161" s="15">
        <f t="shared" si="626"/>
        <v>2.5163551401869158</v>
      </c>
      <c r="R161" s="15">
        <f t="shared" si="626"/>
        <v>1.8586466165413533</v>
      </c>
      <c r="S161" s="15">
        <f t="shared" si="626"/>
        <v>1.7013888888888888</v>
      </c>
      <c r="T161" s="15">
        <f t="shared" si="626"/>
        <v>1.422560429722471</v>
      </c>
      <c r="U161" s="15">
        <f t="shared" ref="U161" si="627">U10/U7</f>
        <v>1.2651273885350318</v>
      </c>
      <c r="V161" s="101">
        <f t="shared" si="535"/>
        <v>5.8040744394753929E-3</v>
      </c>
      <c r="W161" s="110"/>
      <c r="X161" s="15">
        <f t="shared" ref="X161:AG161" si="628">X10/X7</f>
        <v>1.2651273885350318</v>
      </c>
      <c r="Y161" s="15">
        <f t="shared" si="628"/>
        <v>1.2651273885350318</v>
      </c>
      <c r="Z161" s="15">
        <f t="shared" si="628"/>
        <v>1.2651273885350318</v>
      </c>
      <c r="AA161" s="15">
        <f t="shared" si="628"/>
        <v>1.2651273885350316</v>
      </c>
      <c r="AB161" s="15">
        <f t="shared" si="628"/>
        <v>1.2651273885350318</v>
      </c>
      <c r="AC161" s="15">
        <f t="shared" si="628"/>
        <v>1.2651273885350318</v>
      </c>
      <c r="AD161" s="15">
        <f t="shared" si="628"/>
        <v>1.2651273885350318</v>
      </c>
      <c r="AE161" s="15">
        <f t="shared" si="628"/>
        <v>1.265127388535032</v>
      </c>
      <c r="AF161" s="15">
        <f t="shared" si="628"/>
        <v>1.265127388535032</v>
      </c>
      <c r="AG161" s="15">
        <f t="shared" si="628"/>
        <v>1.265127388535032</v>
      </c>
      <c r="AH161" s="101">
        <f t="shared" si="618"/>
        <v>0</v>
      </c>
      <c r="AI161" s="10"/>
      <c r="AJ161" s="10"/>
    </row>
    <row r="162" spans="2:36">
      <c r="B162" s="10" t="s">
        <v>303</v>
      </c>
      <c r="C162" s="10"/>
      <c r="D162" s="10"/>
      <c r="E162" s="10"/>
      <c r="F162" s="15"/>
      <c r="G162" s="15">
        <f t="shared" ref="G162" si="629">G10/(G10+G7)</f>
        <v>0.53846153846153844</v>
      </c>
      <c r="H162" s="15">
        <f t="shared" ref="H162:I162" si="630">H10/(H10+H7)</f>
        <v>0.41666666666666669</v>
      </c>
      <c r="I162" s="15">
        <f t="shared" si="630"/>
        <v>0.38461538461538464</v>
      </c>
      <c r="J162" s="15">
        <f t="shared" ref="J162:T162" si="631">J10/(J10+J7)</f>
        <v>0.42857142857142855</v>
      </c>
      <c r="K162" s="15">
        <f t="shared" si="631"/>
        <v>0.58333333333333337</v>
      </c>
      <c r="L162" s="15">
        <f t="shared" si="631"/>
        <v>0.73983739837398377</v>
      </c>
      <c r="M162" s="15">
        <f t="shared" si="631"/>
        <v>0.8202247191011236</v>
      </c>
      <c r="N162" s="15">
        <f t="shared" si="631"/>
        <v>0.81541582150101422</v>
      </c>
      <c r="O162" s="15">
        <f t="shared" si="631"/>
        <v>0.78271308523409366</v>
      </c>
      <c r="P162" s="15">
        <f t="shared" si="631"/>
        <v>0.76872964169381108</v>
      </c>
      <c r="Q162" s="15">
        <f t="shared" si="631"/>
        <v>0.71561461794019932</v>
      </c>
      <c r="R162" s="15">
        <f t="shared" si="631"/>
        <v>0.6501841136244082</v>
      </c>
      <c r="S162" s="15">
        <f t="shared" si="631"/>
        <v>0.62982005141388175</v>
      </c>
      <c r="T162" s="15">
        <f t="shared" si="631"/>
        <v>0.58721359940872131</v>
      </c>
      <c r="U162" s="15">
        <f t="shared" ref="U162" si="632">U10/(U10+U7)</f>
        <v>0.55852372583479792</v>
      </c>
      <c r="V162" s="101">
        <f t="shared" si="535"/>
        <v>2.6163472771072449E-3</v>
      </c>
      <c r="W162" s="110"/>
      <c r="X162" s="15">
        <f t="shared" ref="X162:AG162" si="633">X10/(X10+X7)</f>
        <v>0.55852372583479781</v>
      </c>
      <c r="Y162" s="15">
        <f t="shared" si="633"/>
        <v>0.55852372583479792</v>
      </c>
      <c r="Z162" s="15">
        <f t="shared" si="633"/>
        <v>0.55852372583479792</v>
      </c>
      <c r="AA162" s="15">
        <f t="shared" si="633"/>
        <v>0.55852372583479781</v>
      </c>
      <c r="AB162" s="15">
        <f t="shared" si="633"/>
        <v>0.55852372583479792</v>
      </c>
      <c r="AC162" s="15">
        <f t="shared" si="633"/>
        <v>0.55852372583479792</v>
      </c>
      <c r="AD162" s="15">
        <f t="shared" si="633"/>
        <v>0.55852372583479792</v>
      </c>
      <c r="AE162" s="15">
        <f t="shared" si="633"/>
        <v>0.55852372583479792</v>
      </c>
      <c r="AF162" s="15">
        <f t="shared" si="633"/>
        <v>0.55852372583479792</v>
      </c>
      <c r="AG162" s="15">
        <f t="shared" si="633"/>
        <v>0.55852372583479792</v>
      </c>
      <c r="AH162" s="101">
        <f t="shared" si="618"/>
        <v>0</v>
      </c>
      <c r="AI162" s="10"/>
      <c r="AJ162" s="10"/>
    </row>
    <row r="163" spans="2:36">
      <c r="B163" s="10"/>
      <c r="C163" s="10"/>
      <c r="D163" s="10"/>
      <c r="E163" s="10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22"/>
      <c r="V163" s="10"/>
      <c r="W163" s="10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15"/>
      <c r="AI163" s="10"/>
      <c r="AJ163" s="10"/>
    </row>
    <row r="164" spans="2:36">
      <c r="B164" s="10" t="s">
        <v>308</v>
      </c>
      <c r="C164" s="10"/>
      <c r="D164" s="10"/>
      <c r="E164" s="10"/>
      <c r="F164" s="15"/>
      <c r="G164" s="15">
        <f t="shared" ref="G164" si="634">G16</f>
        <v>17</v>
      </c>
      <c r="H164" s="15">
        <f t="shared" ref="H164:I164" si="635">H16</f>
        <v>17</v>
      </c>
      <c r="I164" s="15">
        <f t="shared" si="635"/>
        <v>20</v>
      </c>
      <c r="J164" s="15">
        <f t="shared" ref="J164:T164" si="636">J16</f>
        <v>28</v>
      </c>
      <c r="K164" s="15">
        <f t="shared" si="636"/>
        <v>51</v>
      </c>
      <c r="L164" s="15">
        <f t="shared" si="636"/>
        <v>114</v>
      </c>
      <c r="M164" s="15">
        <f t="shared" si="636"/>
        <v>248</v>
      </c>
      <c r="N164" s="15">
        <f t="shared" si="636"/>
        <v>451</v>
      </c>
      <c r="O164" s="15">
        <f t="shared" si="636"/>
        <v>79</v>
      </c>
      <c r="P164" s="15">
        <f t="shared" si="636"/>
        <v>1146</v>
      </c>
      <c r="Q164" s="15">
        <f t="shared" si="636"/>
        <v>1377</v>
      </c>
      <c r="R164" s="15">
        <f t="shared" si="636"/>
        <v>1715</v>
      </c>
      <c r="S164" s="15">
        <f t="shared" si="636"/>
        <v>2067</v>
      </c>
      <c r="T164" s="15">
        <f t="shared" si="636"/>
        <v>2261</v>
      </c>
      <c r="U164" s="15">
        <f t="shared" ref="U164" si="637">U16</f>
        <v>2261</v>
      </c>
      <c r="V164" s="101">
        <f t="shared" si="535"/>
        <v>0.41808965433269019</v>
      </c>
      <c r="W164" s="110"/>
      <c r="X164" s="15">
        <f t="shared" ref="X164:AG164" si="638">X16</f>
        <v>2441.88</v>
      </c>
      <c r="Y164" s="15">
        <f t="shared" si="638"/>
        <v>2637.2304000000004</v>
      </c>
      <c r="Z164" s="15">
        <f t="shared" si="638"/>
        <v>2848.2088320000007</v>
      </c>
      <c r="AA164" s="15">
        <f t="shared" si="638"/>
        <v>3076.0655385600012</v>
      </c>
      <c r="AB164" s="15">
        <f t="shared" si="638"/>
        <v>3322.1507816448016</v>
      </c>
      <c r="AC164" s="15">
        <f t="shared" si="638"/>
        <v>3587.9228441763858</v>
      </c>
      <c r="AD164" s="15">
        <f t="shared" si="638"/>
        <v>3874.9566717104967</v>
      </c>
      <c r="AE164" s="15">
        <f t="shared" si="638"/>
        <v>4184.9532054473366</v>
      </c>
      <c r="AF164" s="15">
        <f t="shared" si="638"/>
        <v>4519.7494618831242</v>
      </c>
      <c r="AG164" s="15">
        <f t="shared" si="638"/>
        <v>4881.3294188337741</v>
      </c>
      <c r="AH164" s="101">
        <f t="shared" si="618"/>
        <v>5.0719276637903876E-2</v>
      </c>
      <c r="AI164" s="10"/>
      <c r="AJ164" s="10"/>
    </row>
    <row r="165" spans="2:36">
      <c r="B165" s="10" t="s">
        <v>309</v>
      </c>
      <c r="C165" s="10"/>
      <c r="D165" s="10"/>
      <c r="E165" s="10"/>
      <c r="F165" s="102"/>
      <c r="G165" s="102">
        <f t="shared" ref="G165" si="639">G164*365/G25</f>
        <v>83.851351351351354</v>
      </c>
      <c r="H165" s="102">
        <f t="shared" ref="H165:I165" si="640">H164*365/H25</f>
        <v>91.25</v>
      </c>
      <c r="I165" s="102">
        <f t="shared" si="640"/>
        <v>71.568627450980387</v>
      </c>
      <c r="J165" s="102">
        <f t="shared" ref="J165:T165" si="641">J164*365/J25</f>
        <v>65.512820512820511</v>
      </c>
      <c r="K165" s="102">
        <f t="shared" si="641"/>
        <v>54.589442815249264</v>
      </c>
      <c r="L165" s="102">
        <f t="shared" si="641"/>
        <v>70.645161290322577</v>
      </c>
      <c r="M165" s="102">
        <f t="shared" si="641"/>
        <v>84.756554307116104</v>
      </c>
      <c r="N165" s="102">
        <f t="shared" si="641"/>
        <v>101.48890258939581</v>
      </c>
      <c r="O165" s="102">
        <f t="shared" si="641"/>
        <v>11.75978792822186</v>
      </c>
      <c r="P165" s="102">
        <f t="shared" si="641"/>
        <v>106.43511450381679</v>
      </c>
      <c r="Q165" s="102">
        <f t="shared" si="641"/>
        <v>100.24032708416433</v>
      </c>
      <c r="R165" s="102">
        <f t="shared" si="641"/>
        <v>104.67809364548495</v>
      </c>
      <c r="S165" s="102">
        <f t="shared" si="641"/>
        <v>117.09684929380724</v>
      </c>
      <c r="T165" s="102">
        <f t="shared" si="641"/>
        <v>119.8641975308642</v>
      </c>
      <c r="U165" s="102">
        <f t="shared" ref="U165" si="642">U164*365/U25</f>
        <v>112.55660120021822</v>
      </c>
      <c r="V165" s="101">
        <f t="shared" si="535"/>
        <v>2.1252003970004596E-2</v>
      </c>
      <c r="W165" s="110"/>
      <c r="X165" s="102">
        <f t="shared" ref="X165:AG165" si="643">X164*365/X25</f>
        <v>112.55660120021822</v>
      </c>
      <c r="Y165" s="102">
        <f t="shared" si="643"/>
        <v>112.55660120021822</v>
      </c>
      <c r="Z165" s="102">
        <f t="shared" si="643"/>
        <v>112.55660120021824</v>
      </c>
      <c r="AA165" s="102">
        <f t="shared" si="643"/>
        <v>112.55660120021824</v>
      </c>
      <c r="AB165" s="102">
        <f t="shared" si="643"/>
        <v>112.55660120021824</v>
      </c>
      <c r="AC165" s="102">
        <f t="shared" si="643"/>
        <v>112.55660120021824</v>
      </c>
      <c r="AD165" s="102">
        <f t="shared" si="643"/>
        <v>112.55660120021824</v>
      </c>
      <c r="AE165" s="102">
        <f t="shared" si="643"/>
        <v>112.55660120021822</v>
      </c>
      <c r="AF165" s="102">
        <f t="shared" si="643"/>
        <v>112.55660120021822</v>
      </c>
      <c r="AG165" s="102">
        <f t="shared" si="643"/>
        <v>112.55660120021821</v>
      </c>
      <c r="AH165" s="101">
        <f t="shared" si="618"/>
        <v>0</v>
      </c>
      <c r="AI165" s="10"/>
      <c r="AJ165" s="10"/>
    </row>
    <row r="166" spans="2:36">
      <c r="B166" s="10" t="s">
        <v>312</v>
      </c>
      <c r="C166" s="10"/>
      <c r="D166" s="10"/>
      <c r="E166" s="10"/>
      <c r="F166" s="112"/>
      <c r="G166" s="112">
        <f t="shared" ref="G166" si="644">G100/G29</f>
        <v>3.7693489306392531</v>
      </c>
      <c r="H166" s="112">
        <f t="shared" ref="H166:I166" si="645">H100/H29</f>
        <v>1.7760017760017759</v>
      </c>
      <c r="I166" s="112">
        <f t="shared" si="645"/>
        <v>2.6579670329670328</v>
      </c>
      <c r="J166" s="112">
        <f t="shared" ref="J166:T166" si="646">J100/J29</f>
        <v>2.4365686669351594</v>
      </c>
      <c r="K166" s="112">
        <f t="shared" si="646"/>
        <v>1.4285714285714284</v>
      </c>
      <c r="L166" s="112">
        <f t="shared" si="646"/>
        <v>1.2362637362637361</v>
      </c>
      <c r="M166" s="112">
        <f t="shared" si="646"/>
        <v>0.14285714285714285</v>
      </c>
      <c r="N166" s="112">
        <f t="shared" si="646"/>
        <v>0.13307251121135907</v>
      </c>
      <c r="O166" s="112">
        <f t="shared" si="646"/>
        <v>0.12574328674771806</v>
      </c>
      <c r="P166" s="112">
        <f t="shared" si="646"/>
        <v>0.11806250430160471</v>
      </c>
      <c r="Q166" s="112">
        <f t="shared" si="646"/>
        <v>0.12436543914158137</v>
      </c>
      <c r="R166" s="112">
        <f t="shared" si="646"/>
        <v>0.11398523744202757</v>
      </c>
      <c r="S166" s="112">
        <f t="shared" si="646"/>
        <v>0.11037684589628557</v>
      </c>
      <c r="T166" s="112">
        <f t="shared" si="646"/>
        <v>0.10546828617527292</v>
      </c>
      <c r="U166" s="112">
        <f t="shared" ref="U166" si="647">U100/U29</f>
        <v>9.0665358559503376E-2</v>
      </c>
      <c r="V166" s="101">
        <f t="shared" si="535"/>
        <v>-0.23375148509886523</v>
      </c>
      <c r="W166" s="110"/>
      <c r="X166" s="112">
        <f t="shared" ref="X166:AG166" si="648">X100/X29</f>
        <v>8.8887606430885654E-2</v>
      </c>
      <c r="Y166" s="112">
        <f t="shared" si="648"/>
        <v>8.71447121871428E-2</v>
      </c>
      <c r="Z166" s="112">
        <f t="shared" si="648"/>
        <v>8.5435992340336081E-2</v>
      </c>
      <c r="AA166" s="112">
        <f t="shared" si="648"/>
        <v>8.3760776804251078E-2</v>
      </c>
      <c r="AB166" s="112">
        <f t="shared" si="648"/>
        <v>8.2118408631618692E-2</v>
      </c>
      <c r="AC166" s="112">
        <f t="shared" si="648"/>
        <v>8.0508243756488906E-2</v>
      </c>
      <c r="AD166" s="112">
        <f t="shared" si="648"/>
        <v>7.8929650741655796E-2</v>
      </c>
      <c r="AE166" s="112">
        <f t="shared" si="648"/>
        <v>7.7382010531035092E-2</v>
      </c>
      <c r="AF166" s="112">
        <f t="shared" si="648"/>
        <v>7.5864716206897137E-2</v>
      </c>
      <c r="AG166" s="112">
        <f t="shared" si="648"/>
        <v>7.4377172751859927E-2</v>
      </c>
      <c r="AH166" s="101">
        <f t="shared" si="618"/>
        <v>-1.2649573391514179E-2</v>
      </c>
      <c r="AI166" s="10"/>
      <c r="AJ166" s="10"/>
    </row>
    <row r="167" spans="2:36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22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15"/>
      <c r="AI167" s="10"/>
      <c r="AJ167" s="10"/>
    </row>
    <row r="168" spans="2:36">
      <c r="B168" s="10" t="s">
        <v>319</v>
      </c>
      <c r="C168" s="10"/>
      <c r="D168" s="10"/>
      <c r="E168" s="10"/>
      <c r="F168" s="156"/>
      <c r="G168" s="156">
        <f t="shared" ref="G168" si="649">G25/G14</f>
        <v>6.7272727272727275</v>
      </c>
      <c r="H168" s="156">
        <f t="shared" ref="H168:I168" si="650">H25/H14</f>
        <v>8.5</v>
      </c>
      <c r="I168" s="156">
        <f t="shared" si="650"/>
        <v>9.2727272727272734</v>
      </c>
      <c r="J168" s="156">
        <f t="shared" ref="J168:T168" si="651">J25/J14</f>
        <v>8.6666666666666661</v>
      </c>
      <c r="K168" s="156">
        <f t="shared" si="651"/>
        <v>13.115384615384615</v>
      </c>
      <c r="L168" s="156">
        <f t="shared" si="651"/>
        <v>17.848484848484848</v>
      </c>
      <c r="M168" s="156">
        <f t="shared" si="651"/>
        <v>21.795918367346939</v>
      </c>
      <c r="N168" s="156">
        <f t="shared" si="651"/>
        <v>25.746031746031747</v>
      </c>
      <c r="O168" s="156">
        <f t="shared" si="651"/>
        <v>24.52</v>
      </c>
      <c r="P168" s="156">
        <f t="shared" si="651"/>
        <v>38.155339805825243</v>
      </c>
      <c r="Q168" s="156">
        <f t="shared" si="651"/>
        <v>26.81283422459893</v>
      </c>
      <c r="R168" s="156">
        <f t="shared" si="651"/>
        <v>20.54982817869416</v>
      </c>
      <c r="S168" s="156">
        <f t="shared" si="651"/>
        <v>37.9</v>
      </c>
      <c r="T168" s="156">
        <f t="shared" si="651"/>
        <v>19.615384615384617</v>
      </c>
      <c r="U168" s="156">
        <f t="shared" ref="U168" si="652">U25/U14</f>
        <v>20.888888888888889</v>
      </c>
      <c r="V168" s="101">
        <f t="shared" si="535"/>
        <v>8.4297128168951296E-2</v>
      </c>
      <c r="W168" s="110"/>
      <c r="X168" s="10">
        <f t="shared" ref="X168:AG168" si="653">X25/X14</f>
        <v>20.888888888888889</v>
      </c>
      <c r="Y168" s="10">
        <f t="shared" si="653"/>
        <v>20.888888888888889</v>
      </c>
      <c r="Z168" s="10">
        <f t="shared" si="653"/>
        <v>20.888888888888886</v>
      </c>
      <c r="AA168" s="10">
        <f t="shared" si="653"/>
        <v>20.888888888888889</v>
      </c>
      <c r="AB168" s="10">
        <f t="shared" si="653"/>
        <v>20.888888888888886</v>
      </c>
      <c r="AC168" s="10">
        <f t="shared" si="653"/>
        <v>20.888888888888886</v>
      </c>
      <c r="AD168" s="10">
        <f t="shared" si="653"/>
        <v>20.888888888888886</v>
      </c>
      <c r="AE168" s="10">
        <f t="shared" si="653"/>
        <v>20.888888888888889</v>
      </c>
      <c r="AF168" s="10">
        <f t="shared" si="653"/>
        <v>20.888888888888889</v>
      </c>
      <c r="AG168" s="10">
        <f t="shared" si="653"/>
        <v>20.888888888888889</v>
      </c>
      <c r="AH168" s="101">
        <f t="shared" si="618"/>
        <v>0</v>
      </c>
      <c r="AI168" s="10"/>
      <c r="AJ168" s="10"/>
    </row>
    <row r="169" spans="2:36">
      <c r="B169" s="10" t="s">
        <v>320</v>
      </c>
      <c r="C169" s="10"/>
      <c r="D169" s="10"/>
      <c r="E169" s="10"/>
      <c r="F169" s="156"/>
      <c r="G169" s="156">
        <f t="shared" ref="G169" si="654">G27/G14</f>
        <v>6.1818181818181817</v>
      </c>
      <c r="H169" s="156">
        <f t="shared" ref="H169:I169" si="655">H27/H14</f>
        <v>7.75</v>
      </c>
      <c r="I169" s="156">
        <f t="shared" si="655"/>
        <v>8.545454545454545</v>
      </c>
      <c r="J169" s="156">
        <f t="shared" ref="J169:T169" si="656">J27/J14</f>
        <v>8.2222222222222214</v>
      </c>
      <c r="K169" s="156">
        <f t="shared" si="656"/>
        <v>12.615384615384615</v>
      </c>
      <c r="L169" s="156">
        <f t="shared" si="656"/>
        <v>17.030303030303031</v>
      </c>
      <c r="M169" s="156">
        <f t="shared" si="656"/>
        <v>20.73469387755102</v>
      </c>
      <c r="N169" s="156">
        <f t="shared" si="656"/>
        <v>24.142857142857142</v>
      </c>
      <c r="O169" s="156">
        <f t="shared" si="656"/>
        <v>22.86</v>
      </c>
      <c r="P169" s="156">
        <f t="shared" si="656"/>
        <v>35.990291262135919</v>
      </c>
      <c r="Q169" s="156">
        <f t="shared" si="656"/>
        <v>25.657754010695186</v>
      </c>
      <c r="R169" s="156">
        <f t="shared" si="656"/>
        <v>19.350515463917525</v>
      </c>
      <c r="S169" s="156">
        <f t="shared" si="656"/>
        <v>34.711764705882352</v>
      </c>
      <c r="T169" s="156">
        <f t="shared" si="656"/>
        <v>18.794871794871796</v>
      </c>
      <c r="U169" s="156">
        <f t="shared" ref="U169" si="657">U27/U14</f>
        <v>19.364672364672366</v>
      </c>
      <c r="V169" s="101">
        <f t="shared" si="535"/>
        <v>8.4978156349591938E-2</v>
      </c>
      <c r="W169" s="110"/>
      <c r="X169" s="10">
        <f t="shared" ref="X169:AG169" si="658">X27/X14</f>
        <v>19.364672364672362</v>
      </c>
      <c r="Y169" s="10">
        <f t="shared" si="658"/>
        <v>19.364672364672362</v>
      </c>
      <c r="Z169" s="10">
        <f t="shared" si="658"/>
        <v>19.364672364672362</v>
      </c>
      <c r="AA169" s="10">
        <f t="shared" si="658"/>
        <v>19.364672364672362</v>
      </c>
      <c r="AB169" s="10">
        <f t="shared" si="658"/>
        <v>19.364672364672362</v>
      </c>
      <c r="AC169" s="10">
        <f t="shared" si="658"/>
        <v>19.364672364672362</v>
      </c>
      <c r="AD169" s="10">
        <f t="shared" si="658"/>
        <v>19.364672364672362</v>
      </c>
      <c r="AE169" s="10">
        <f t="shared" si="658"/>
        <v>19.364672364672362</v>
      </c>
      <c r="AF169" s="10">
        <f t="shared" si="658"/>
        <v>19.364672364672366</v>
      </c>
      <c r="AG169" s="10">
        <f t="shared" si="658"/>
        <v>19.364672364672366</v>
      </c>
      <c r="AH169" s="101">
        <f t="shared" si="618"/>
        <v>0</v>
      </c>
      <c r="AI169" s="10"/>
      <c r="AJ169" s="10"/>
    </row>
    <row r="170" spans="2:36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0"/>
      <c r="W170" s="110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15"/>
      <c r="AI170" s="10"/>
      <c r="AJ170" s="10"/>
    </row>
    <row r="171" spans="2:36">
      <c r="B171" s="93" t="s">
        <v>202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3" t="s">
        <v>512</v>
      </c>
      <c r="T171" s="13" t="s">
        <v>413</v>
      </c>
      <c r="U171" s="13" t="s">
        <v>413</v>
      </c>
      <c r="V171" s="13" t="s">
        <v>513</v>
      </c>
      <c r="W171" s="10"/>
      <c r="X171" s="105" t="s">
        <v>54</v>
      </c>
      <c r="Y171" s="10"/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3" t="s">
        <v>231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12">
        <f>AVERAGE(G104:T104)</f>
        <v>2.8519033804984906</v>
      </c>
      <c r="T172" s="112">
        <f>AVERAGE(Q104:U104)</f>
        <v>6.382096974720266</v>
      </c>
      <c r="U172" s="112">
        <f>AVERAGE(Q74:U74)</f>
        <v>6.8888594202772442</v>
      </c>
      <c r="V172" s="112">
        <f>AVERAGE(L74:U74)</f>
        <v>5.2342912518465443</v>
      </c>
      <c r="W172" s="10"/>
      <c r="X172" s="170" t="s">
        <v>374</v>
      </c>
      <c r="Y172" s="171" t="s">
        <v>375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13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>X173+Y173</f>
        <v>8.0935448169921749</v>
      </c>
      <c r="X173" s="112">
        <f>PV($C$1, ($AG$3-$X$3), 0, -AG74)</f>
        <v>1.1277890318759587</v>
      </c>
      <c r="Y173" s="112">
        <f>PV($C$1, ($AG$3-$X$3), 0, -AJ74)</f>
        <v>6.9657557851162162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ref="W174:W192" si="659">X174+Y174</f>
        <v>110.4944814145888</v>
      </c>
      <c r="X174" s="112">
        <f>PV($C$1, ($AG$3-$X$3), 0, -AG76)</f>
        <v>15.39677200039352</v>
      </c>
      <c r="Y174" s="112">
        <f>PV($C$1, ($AG$3-$X$3), 0, -AJ76)</f>
        <v>95.097709414195279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225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59"/>
        <v>108.38312189711259</v>
      </c>
      <c r="X175" s="112">
        <f>PV($C$1, ($AG$3-$X$3), 0, -AG77)</f>
        <v>15.102566165991098</v>
      </c>
      <c r="Y175" s="112">
        <f>PV($C$1, ($AG$3-$X$3), 0, -AJ77)</f>
        <v>93.280555731121495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 t="s">
        <v>226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>
        <f t="shared" si="659"/>
        <v>139.78959471957137</v>
      </c>
      <c r="X176" s="112">
        <f>PV($C$1, ($AG$3-$X$3), 0, -AG78)</f>
        <v>19.478877952727156</v>
      </c>
      <c r="Y176" s="112">
        <f>PV($C$1, ($AG$3-$X$3), 0, -AJ78)</f>
        <v>120.31071676684422</v>
      </c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227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59"/>
        <v>9.9409843947838663</v>
      </c>
      <c r="X177" s="112">
        <f>PV($C$1, ($AG$3-$X$3), 0, -AG84)</f>
        <v>1.3852191369780797</v>
      </c>
      <c r="Y177" s="112">
        <f>PV($C$1, ($AG$3-$X$3), 0, -AJ84)</f>
        <v>8.5557652578057866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/>
      <c r="X178" s="112"/>
      <c r="Y178" s="10"/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59"/>
        <v>-29.295113304982561</v>
      </c>
      <c r="X179" s="112">
        <f>PV($C$1, ($AG$3-$X$3), 0, -AG80)</f>
        <v>-4.0821059523336354</v>
      </c>
      <c r="Y179" s="112">
        <f>PV($C$1, ($AG$3-$X$3), 0, -$AJ$80)</f>
        <v>-25.213007352648926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 t="s">
        <v>223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>
        <f t="shared" si="659"/>
        <v>-57.094680285086127</v>
      </c>
      <c r="X180" s="112">
        <f>PV($C$1, ($AG$3-$X$3), 0, -AG81)</f>
        <v>-7.9558161052988847</v>
      </c>
      <c r="Y180" s="112">
        <f>PV($C$1, ($AG$3-$X$3), 0, -$AJ$81)</f>
        <v>-49.138864179787241</v>
      </c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228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59"/>
        <v>122.63479864007711</v>
      </c>
      <c r="X181" s="112">
        <f>PV($C$1, ($AG$3-$X$3), 0, -AG82)</f>
        <v>17.088455548207463</v>
      </c>
      <c r="Y181" s="112">
        <f>PV($C$1, ($AG$3-$X$3), 0, -$AJ$82)</f>
        <v>105.54634309186964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/>
      <c r="X182" s="112"/>
      <c r="Y182" s="10"/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 t="s">
        <v>207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>
        <f t="shared" si="659"/>
        <v>179.72947892516319</v>
      </c>
      <c r="X183" s="112">
        <f>PV($C$1, ($AG$3-$X$3), 0, -AG87)</f>
        <v>25.044271653506346</v>
      </c>
      <c r="Y183" s="112">
        <f>PV($C$1, ($AG$3-$X$3), 0, -AJ87)</f>
        <v>154.68520727165685</v>
      </c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208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si="659"/>
        <v>153.70137457051788</v>
      </c>
      <c r="X184" s="112">
        <f>PV($C$1, ($AG$3-$X$3), 0, -AG88)</f>
        <v>27.716641315995027</v>
      </c>
      <c r="Y184" s="112">
        <f>PV($C$1, ($AG$3-$X$3), 0, -AJ88)</f>
        <v>125.98473325452287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/>
      <c r="X185" s="112"/>
      <c r="Y185" s="112"/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 t="s">
        <v>243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>
        <f t="shared" ref="W186" si="660">X186+Y186</f>
        <v>292.40744874176045</v>
      </c>
      <c r="X186" s="112">
        <f>PV($C$1, ($AG$3-$X$3), 0, -AG12)</f>
        <v>40.745300234507596</v>
      </c>
      <c r="Y186" s="112">
        <f>PV($C$1, ($AG$3-$X$3), 0, -AJ12)</f>
        <v>251.66214850725285</v>
      </c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10" t="s">
        <v>244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>
        <f>X187+Y187</f>
        <v>13.059734200167952</v>
      </c>
      <c r="X187" s="118">
        <f>X186/S57</f>
        <v>1.8197990278922553</v>
      </c>
      <c r="Y187" s="118">
        <f>Y186/S57</f>
        <v>11.239935172275697</v>
      </c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/>
      <c r="X188" s="118"/>
      <c r="Y188" s="118"/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93" t="s">
        <v>247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233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ref="W190" si="661">X190+Y190</f>
        <v>0.70919419020368646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0.58344545683117599</v>
      </c>
      <c r="Y190" s="112">
        <f>PV($C$1, ($AG$3-$X$3), 0, -AJ90)</f>
        <v>0.12574873337251044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3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240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si="659"/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/>
      <c r="X193" s="112"/>
      <c r="Y193" s="112"/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404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ref="W194:W197" si="662">X194+Y194</f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62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238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8">
        <f t="shared" si="662"/>
        <v>0</v>
      </c>
      <c r="X196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2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 t="s">
        <v>239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>
        <f t="shared" si="662"/>
        <v>0</v>
      </c>
      <c r="X197" s="112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2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402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95">
        <f>W195+W196+W197</f>
        <v>0</v>
      </c>
      <c r="X198" s="95">
        <f t="shared" ref="X198:Y198" si="663">X195+X196+X197</f>
        <v>0</v>
      </c>
      <c r="Y198" s="95">
        <f t="shared" si="663"/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8"/>
      <c r="X199" s="112"/>
      <c r="Y199" s="112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10" t="s">
        <v>248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8">
        <f>X200+Y200</f>
        <v>0</v>
      </c>
      <c r="X200" s="112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200" s="112">
        <f>PV($C$1, ($AG$3-$X$3), 0, -AJ98)</f>
        <v>0</v>
      </c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59">
        <v>41729</v>
      </c>
      <c r="U201" s="10">
        <v>59</v>
      </c>
      <c r="V201" s="10"/>
      <c r="W201" s="10"/>
      <c r="X201" s="104"/>
      <c r="Y201" s="10"/>
      <c r="Z201" s="10"/>
      <c r="AA201" s="10"/>
      <c r="AB201" s="10"/>
      <c r="AC201" s="10"/>
      <c r="AD201" s="10"/>
      <c r="AE201" s="10"/>
      <c r="AF201" s="10"/>
      <c r="AG201" s="10"/>
      <c r="AH201" s="115"/>
      <c r="AI201" s="10"/>
      <c r="AJ201" s="10"/>
    </row>
    <row r="202" spans="2:36">
      <c r="B202" s="93" t="s">
        <v>209</v>
      </c>
      <c r="C202" s="10"/>
      <c r="D202" s="10"/>
      <c r="E202" s="10"/>
      <c r="F202" s="177"/>
      <c r="G202" s="177"/>
      <c r="H202" s="172">
        <v>0</v>
      </c>
      <c r="I202" s="172">
        <v>0</v>
      </c>
      <c r="J202" s="172">
        <v>0</v>
      </c>
      <c r="K202" s="172">
        <v>0</v>
      </c>
      <c r="L202" s="172">
        <v>0</v>
      </c>
      <c r="M202" s="172">
        <v>0</v>
      </c>
      <c r="N202" s="172">
        <v>0</v>
      </c>
      <c r="O202" s="172">
        <v>0</v>
      </c>
      <c r="P202" s="172">
        <v>0</v>
      </c>
      <c r="Q202" s="172">
        <v>0</v>
      </c>
      <c r="R202" s="172">
        <v>0</v>
      </c>
      <c r="S202" s="172">
        <v>0</v>
      </c>
      <c r="T202" s="13" t="s">
        <v>335</v>
      </c>
      <c r="U202" s="10">
        <v>19</v>
      </c>
      <c r="V202" s="10" t="s">
        <v>511</v>
      </c>
      <c r="W202" s="13" t="s">
        <v>336</v>
      </c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15"/>
      <c r="AI202" s="10"/>
      <c r="AJ202" s="10"/>
    </row>
    <row r="203" spans="2:36">
      <c r="B203" s="10" t="s">
        <v>183</v>
      </c>
      <c r="C203" s="12">
        <v>0</v>
      </c>
      <c r="D203" s="12">
        <v>0</v>
      </c>
      <c r="E203" s="12">
        <v>0</v>
      </c>
      <c r="F203" s="12">
        <f>H203</f>
        <v>13.700000000000001</v>
      </c>
      <c r="G203" s="12">
        <f>H203</f>
        <v>13.700000000000001</v>
      </c>
      <c r="H203" s="12">
        <f>1.37*10</f>
        <v>13.700000000000001</v>
      </c>
      <c r="I203" s="12">
        <f>1.61*10</f>
        <v>16.100000000000001</v>
      </c>
      <c r="J203" s="12">
        <f>1.59*10</f>
        <v>15.9</v>
      </c>
      <c r="K203" s="12">
        <f>1.66*10</f>
        <v>16.599999999999998</v>
      </c>
      <c r="L203" s="12">
        <f>8.81*10</f>
        <v>88.100000000000009</v>
      </c>
      <c r="M203" s="12">
        <v>139</v>
      </c>
      <c r="N203" s="12">
        <v>132</v>
      </c>
      <c r="O203" s="12">
        <v>37</v>
      </c>
      <c r="P203" s="12">
        <v>29</v>
      </c>
      <c r="Q203" s="12">
        <v>31.9</v>
      </c>
      <c r="R203" s="12">
        <v>38</v>
      </c>
      <c r="S203" s="12">
        <v>113</v>
      </c>
      <c r="T203" s="12">
        <v>156</v>
      </c>
      <c r="U203" s="12">
        <v>12</v>
      </c>
      <c r="V203" s="101">
        <f t="shared" ref="V203:V234" si="664">((U203/G203)^(1/($K$2-$K$1) ))-1</f>
        <v>-9.418874956976464E-3</v>
      </c>
      <c r="W203" s="21">
        <v>0</v>
      </c>
      <c r="X203" s="173">
        <v>50</v>
      </c>
      <c r="Y203" s="102">
        <f t="shared" ref="Y203:AG203" si="665">X203*(1+$W203)</f>
        <v>50</v>
      </c>
      <c r="Z203" s="102">
        <f t="shared" si="665"/>
        <v>50</v>
      </c>
      <c r="AA203" s="102">
        <f t="shared" si="665"/>
        <v>50</v>
      </c>
      <c r="AB203" s="102">
        <f t="shared" si="665"/>
        <v>50</v>
      </c>
      <c r="AC203" s="102">
        <f t="shared" si="665"/>
        <v>50</v>
      </c>
      <c r="AD203" s="102">
        <f t="shared" si="665"/>
        <v>50</v>
      </c>
      <c r="AE203" s="102">
        <f t="shared" si="665"/>
        <v>50</v>
      </c>
      <c r="AF203" s="102">
        <f t="shared" si="665"/>
        <v>50</v>
      </c>
      <c r="AG203" s="102">
        <f t="shared" si="665"/>
        <v>50</v>
      </c>
      <c r="AH203" s="116">
        <f t="shared" ref="AH203:AH210" si="666">((AG203/J203)^(1/($AG$3-$K$1) ))-1</f>
        <v>4.8895454451000964E-2</v>
      </c>
      <c r="AI203" s="21">
        <f t="shared" ref="AI203:AI210" si="667">$O$1</f>
        <v>0.05</v>
      </c>
      <c r="AJ203" s="109">
        <f t="shared" ref="AJ203:AJ214" si="668">(AG203*(1+AH203))/($C$1-AI203)</f>
        <v>308.49866307382382</v>
      </c>
    </row>
    <row r="204" spans="2:36">
      <c r="B204" s="10" t="s">
        <v>306</v>
      </c>
      <c r="C204" s="15"/>
      <c r="D204" s="15"/>
      <c r="E204" s="15"/>
      <c r="F204" s="15"/>
      <c r="G204" s="15">
        <f t="shared" ref="G204" si="669">G203/G68</f>
        <v>0.33694594594594601</v>
      </c>
      <c r="H204" s="15">
        <f t="shared" ref="H204:I204" si="670">H203/H68</f>
        <v>0.36667647058823533</v>
      </c>
      <c r="I204" s="15">
        <f t="shared" si="670"/>
        <v>0.28727450980392161</v>
      </c>
      <c r="J204" s="15">
        <f t="shared" ref="J204:T204" si="671">J203/J68</f>
        <v>0.18550000000000003</v>
      </c>
      <c r="K204" s="15">
        <f t="shared" si="671"/>
        <v>8.8598240469208209E-2</v>
      </c>
      <c r="L204" s="15">
        <f t="shared" si="671"/>
        <v>0.27222750424448222</v>
      </c>
      <c r="M204" s="15">
        <f t="shared" si="671"/>
        <v>2.3687265917602995</v>
      </c>
      <c r="N204" s="15">
        <f t="shared" si="671"/>
        <v>1.6528483353884094</v>
      </c>
      <c r="O204" s="15">
        <f t="shared" si="671"/>
        <v>0.3064722675367047</v>
      </c>
      <c r="P204" s="15">
        <f t="shared" si="671"/>
        <v>0.14987022900763358</v>
      </c>
      <c r="Q204" s="15">
        <f t="shared" si="671"/>
        <v>0.12921599521340246</v>
      </c>
      <c r="R204" s="15">
        <f t="shared" si="671"/>
        <v>0.1389732441471572</v>
      </c>
      <c r="S204" s="15">
        <f t="shared" si="671"/>
        <v>0.39268508458792495</v>
      </c>
      <c r="T204" s="15">
        <f t="shared" si="671"/>
        <v>0.53767320261437912</v>
      </c>
      <c r="U204" s="15">
        <f t="shared" ref="U204" si="672">U203/U68</f>
        <v>3.9492635024549916E-2</v>
      </c>
      <c r="V204" s="101">
        <f t="shared" si="664"/>
        <v>-0.1419811119844796</v>
      </c>
      <c r="W204" s="110"/>
      <c r="X204" s="15">
        <f t="shared" ref="X204:AG204" si="673">X203/X68</f>
        <v>0.15541083227253441</v>
      </c>
      <c r="Y204" s="15">
        <f t="shared" si="673"/>
        <v>0.14677689714628248</v>
      </c>
      <c r="Z204" s="15">
        <f t="shared" si="673"/>
        <v>0.13862262508260009</v>
      </c>
      <c r="AA204" s="15">
        <f t="shared" si="673"/>
        <v>0.13092136813356675</v>
      </c>
      <c r="AB204" s="15">
        <f t="shared" si="673"/>
        <v>0.12364795879281303</v>
      </c>
      <c r="AC204" s="15">
        <f t="shared" si="673"/>
        <v>0.11677862774876788</v>
      </c>
      <c r="AD204" s="15">
        <f t="shared" si="673"/>
        <v>0.11029092620716965</v>
      </c>
      <c r="AE204" s="15">
        <f t="shared" si="673"/>
        <v>0.10416365252899357</v>
      </c>
      <c r="AF204" s="15">
        <f t="shared" si="673"/>
        <v>9.8376782944049473E-2</v>
      </c>
      <c r="AG204" s="15">
        <f t="shared" si="673"/>
        <v>9.2911406113824493E-2</v>
      </c>
      <c r="AH204" s="116">
        <f t="shared" ref="AH204" si="674">((AG204/J204)^(1/($AG$3-$K$1) ))-1</f>
        <v>-2.8397672240379923E-2</v>
      </c>
      <c r="AI204" s="21">
        <f t="shared" si="667"/>
        <v>0.05</v>
      </c>
      <c r="AJ204" s="109">
        <f t="shared" ref="AJ204" si="675">(AG204*(1+AH204))/($C$1-AI204)</f>
        <v>0.53101728503300749</v>
      </c>
    </row>
    <row r="205" spans="2:36">
      <c r="B205" s="10" t="s">
        <v>334</v>
      </c>
      <c r="C205" s="15"/>
      <c r="D205" s="15"/>
      <c r="E205" s="15"/>
      <c r="F205" s="15"/>
      <c r="G205" s="15">
        <f t="shared" ref="G205" si="676">G203/G74</f>
        <v>8.9050000000000011</v>
      </c>
      <c r="H205" s="15">
        <f t="shared" ref="H205:I205" si="677">H203/H74</f>
        <v>11.333636363636364</v>
      </c>
      <c r="I205" s="15">
        <f t="shared" si="677"/>
        <v>10.852592592592593</v>
      </c>
      <c r="J205" s="15">
        <f t="shared" ref="J205:T205" si="678">J203/J74</f>
        <v>7.7581769436997323</v>
      </c>
      <c r="K205" s="15">
        <f t="shared" si="678"/>
        <v>7.5529999999999999</v>
      </c>
      <c r="L205" s="15">
        <f t="shared" si="678"/>
        <v>17.815777777777779</v>
      </c>
      <c r="M205" s="15">
        <f t="shared" si="678"/>
        <v>140.54444444444445</v>
      </c>
      <c r="N205" s="15">
        <f t="shared" si="678"/>
        <v>58.280869565217387</v>
      </c>
      <c r="O205" s="15">
        <f t="shared" si="678"/>
        <v>8.1681521739130432</v>
      </c>
      <c r="P205" s="15">
        <f t="shared" si="678"/>
        <v>5.6094285714285714</v>
      </c>
      <c r="Q205" s="15">
        <f t="shared" si="678"/>
        <v>4.4681999999999995</v>
      </c>
      <c r="R205" s="15">
        <f t="shared" si="678"/>
        <v>5.0063855421686752</v>
      </c>
      <c r="S205" s="15">
        <f t="shared" si="678"/>
        <v>14.624682080924856</v>
      </c>
      <c r="T205" s="15">
        <f t="shared" si="678"/>
        <v>19.081855670103096</v>
      </c>
      <c r="U205" s="15">
        <f t="shared" ref="U205" si="679">U203/U74</f>
        <v>3.1473913043478259</v>
      </c>
      <c r="V205" s="101">
        <f t="shared" si="664"/>
        <v>-7.1596186935313888E-2</v>
      </c>
      <c r="W205" s="110"/>
      <c r="X205" s="102">
        <f t="shared" ref="X205:AG205" si="680">X203/X74</f>
        <v>12.385567632850238</v>
      </c>
      <c r="Y205" s="102">
        <f t="shared" si="680"/>
        <v>11.697480542136336</v>
      </c>
      <c r="Z205" s="102">
        <f t="shared" si="680"/>
        <v>11.047620512017652</v>
      </c>
      <c r="AA205" s="102">
        <f t="shared" si="680"/>
        <v>10.433863816905559</v>
      </c>
      <c r="AB205" s="102">
        <f t="shared" si="680"/>
        <v>9.8542047159663593</v>
      </c>
      <c r="AC205" s="102">
        <f t="shared" si="680"/>
        <v>9.3067488984126729</v>
      </c>
      <c r="AD205" s="102">
        <f t="shared" si="680"/>
        <v>8.7897072929453035</v>
      </c>
      <c r="AE205" s="102">
        <f t="shared" si="680"/>
        <v>8.3013902211150086</v>
      </c>
      <c r="AF205" s="102">
        <f t="shared" si="680"/>
        <v>7.8402018754975069</v>
      </c>
      <c r="AG205" s="102">
        <f t="shared" si="680"/>
        <v>7.4046351046365348</v>
      </c>
      <c r="AH205" s="116">
        <f t="shared" si="666"/>
        <v>-1.9414964794964851E-3</v>
      </c>
      <c r="AI205" s="21">
        <f t="shared" si="667"/>
        <v>0.05</v>
      </c>
      <c r="AJ205" s="109">
        <f t="shared" si="668"/>
        <v>43.472111950876041</v>
      </c>
    </row>
    <row r="206" spans="2:36">
      <c r="B206" s="10" t="s">
        <v>407</v>
      </c>
      <c r="C206" s="15"/>
      <c r="D206" s="15"/>
      <c r="E206" s="15"/>
      <c r="F206" s="15"/>
      <c r="G206" s="15">
        <f t="shared" ref="G206" si="681">G203/G72</f>
        <v>3.9081504702194358</v>
      </c>
      <c r="H206" s="15">
        <f t="shared" ref="H206:I206" si="682">H203/H72</f>
        <v>3.8959375000000005</v>
      </c>
      <c r="I206" s="15">
        <f t="shared" si="682"/>
        <v>3.7857881136950908</v>
      </c>
      <c r="J206" s="15">
        <f t="shared" ref="J206:T206" si="683">J203/J72</f>
        <v>3.4165289256198346</v>
      </c>
      <c r="K206" s="15">
        <f t="shared" si="683"/>
        <v>2.3239999999999998</v>
      </c>
      <c r="L206" s="15">
        <f t="shared" si="683"/>
        <v>5.9385925925925935</v>
      </c>
      <c r="M206" s="15">
        <f t="shared" si="683"/>
        <v>48.65</v>
      </c>
      <c r="N206" s="15">
        <f t="shared" si="683"/>
        <v>26.809200000000001</v>
      </c>
      <c r="O206" s="15">
        <f t="shared" si="683"/>
        <v>4.5269277108433732</v>
      </c>
      <c r="P206" s="15">
        <f t="shared" si="683"/>
        <v>2.6412107623318382</v>
      </c>
      <c r="Q206" s="15">
        <f t="shared" si="683"/>
        <v>2.2112252559726957</v>
      </c>
      <c r="R206" s="15">
        <f t="shared" si="683"/>
        <v>2.3812607449856733</v>
      </c>
      <c r="S206" s="15">
        <f t="shared" si="683"/>
        <v>6.5207989690721657</v>
      </c>
      <c r="T206" s="15">
        <f t="shared" si="683"/>
        <v>8.1719205298013247</v>
      </c>
      <c r="U206" s="15">
        <f t="shared" ref="U206" si="684">U203/U72</f>
        <v>0.54022388059701487</v>
      </c>
      <c r="V206" s="101">
        <f t="shared" si="664"/>
        <v>-0.13181062934343413</v>
      </c>
      <c r="W206" s="110"/>
      <c r="X206" s="15">
        <f t="shared" ref="X206:AG206" si="685">X203/X72</f>
        <v>2.1258810116086235</v>
      </c>
      <c r="Y206" s="15">
        <f t="shared" si="685"/>
        <v>2.0077765109636996</v>
      </c>
      <c r="Z206" s="15">
        <f t="shared" si="685"/>
        <v>1.8962333714657162</v>
      </c>
      <c r="AA206" s="15">
        <f t="shared" si="685"/>
        <v>1.7908870730509541</v>
      </c>
      <c r="AB206" s="15">
        <f t="shared" si="685"/>
        <v>1.6913933467703455</v>
      </c>
      <c r="AC206" s="15">
        <f t="shared" si="685"/>
        <v>1.5974270497275485</v>
      </c>
      <c r="AD206" s="15">
        <f t="shared" si="685"/>
        <v>1.5086811025204623</v>
      </c>
      <c r="AE206" s="15">
        <f t="shared" si="685"/>
        <v>1.4248654857137701</v>
      </c>
      <c r="AF206" s="15">
        <f t="shared" si="685"/>
        <v>1.3457062920630052</v>
      </c>
      <c r="AG206" s="15">
        <f t="shared" si="685"/>
        <v>1.2709448313928382</v>
      </c>
      <c r="AH206" s="116">
        <f t="shared" ref="AH206:AH207" si="686">((AG206/J206)^(1/($AG$3-$K$1) ))-1</f>
        <v>-4.0365396346353055E-2</v>
      </c>
      <c r="AI206" s="21">
        <f t="shared" si="667"/>
        <v>0.05</v>
      </c>
      <c r="AJ206" s="109">
        <f t="shared" ref="AJ206:AJ207" si="687">(AG206*(1+AH206))/($C$1-AI206)</f>
        <v>7.1743684678783382</v>
      </c>
    </row>
    <row r="207" spans="2:36">
      <c r="B207" s="10" t="s">
        <v>408</v>
      </c>
      <c r="C207" s="15"/>
      <c r="D207" s="15"/>
      <c r="E207" s="15"/>
      <c r="F207" s="15"/>
      <c r="G207" s="15">
        <f t="shared" ref="G207" si="688">G203/G73</f>
        <v>5.4204347826086963</v>
      </c>
      <c r="H207" s="15">
        <f t="shared" ref="H207:I207" si="689">H203/H73</f>
        <v>8.3113333333333337</v>
      </c>
      <c r="I207" s="15">
        <f t="shared" si="689"/>
        <v>5.8604000000000003</v>
      </c>
      <c r="J207" s="15">
        <f t="shared" ref="J207:T207" si="690">J203/J73</f>
        <v>5.7876000000000003</v>
      </c>
      <c r="K207" s="15">
        <f t="shared" si="690"/>
        <v>4.3159999999999998</v>
      </c>
      <c r="L207" s="15">
        <f t="shared" si="690"/>
        <v>11.453000000000003</v>
      </c>
      <c r="M207" s="15">
        <f t="shared" si="690"/>
        <v>87.234482758620686</v>
      </c>
      <c r="N207" s="15">
        <f t="shared" si="690"/>
        <v>44.681999999999995</v>
      </c>
      <c r="O207" s="15">
        <f t="shared" si="690"/>
        <v>7.9943617021276587</v>
      </c>
      <c r="P207" s="15">
        <f t="shared" si="690"/>
        <v>5.0341025641025636</v>
      </c>
      <c r="Q207" s="15">
        <f t="shared" si="690"/>
        <v>3.8564821428571423</v>
      </c>
      <c r="R207" s="15">
        <f t="shared" si="690"/>
        <v>4.2401020408163266</v>
      </c>
      <c r="S207" s="15">
        <f t="shared" si="690"/>
        <v>10.675400843881858</v>
      </c>
      <c r="T207" s="15">
        <f t="shared" si="690"/>
        <v>14.075589353612168</v>
      </c>
      <c r="U207" s="15">
        <f t="shared" ref="U207" si="691">U203/U73</f>
        <v>1.7549090909090908</v>
      </c>
      <c r="V207" s="101">
        <f t="shared" si="664"/>
        <v>-7.739511448302161E-2</v>
      </c>
      <c r="W207" s="110"/>
      <c r="X207" s="15">
        <f t="shared" ref="X207:AG207" si="692">X203/X73</f>
        <v>6.9058922558922555</v>
      </c>
      <c r="Y207" s="15">
        <f t="shared" si="692"/>
        <v>6.5222315750093518</v>
      </c>
      <c r="Z207" s="15">
        <f t="shared" si="692"/>
        <v>6.1598853763977202</v>
      </c>
      <c r="AA207" s="15">
        <f t="shared" si="692"/>
        <v>5.8176695221534018</v>
      </c>
      <c r="AB207" s="15">
        <f t="shared" si="692"/>
        <v>5.4944656598115467</v>
      </c>
      <c r="AC207" s="15">
        <f t="shared" si="692"/>
        <v>5.1892175675997931</v>
      </c>
      <c r="AD207" s="15">
        <f t="shared" si="692"/>
        <v>4.9009277027331377</v>
      </c>
      <c r="AE207" s="15">
        <f t="shared" si="692"/>
        <v>4.6286539414701862</v>
      </c>
      <c r="AF207" s="15">
        <f t="shared" si="692"/>
        <v>4.3715065002773983</v>
      </c>
      <c r="AG207" s="15">
        <f t="shared" si="692"/>
        <v>4.1286450280397649</v>
      </c>
      <c r="AH207" s="116">
        <f t="shared" si="686"/>
        <v>-1.3975113046245546E-2</v>
      </c>
      <c r="AI207" s="21">
        <f t="shared" si="667"/>
        <v>0.05</v>
      </c>
      <c r="AJ207" s="109">
        <f t="shared" si="687"/>
        <v>23.946745570853473</v>
      </c>
    </row>
    <row r="208" spans="2:36">
      <c r="B208" s="10" t="s">
        <v>216</v>
      </c>
      <c r="C208" s="15"/>
      <c r="D208" s="15"/>
      <c r="E208" s="15"/>
      <c r="F208" s="15"/>
      <c r="G208" s="15">
        <f t="shared" ref="G208" si="693">G203/G77</f>
        <v>-4.1556666666666668</v>
      </c>
      <c r="H208" s="15">
        <f t="shared" ref="H208:I208" si="694">H203/H77</f>
        <v>-6.2335000000000012</v>
      </c>
      <c r="I208" s="15">
        <f t="shared" si="694"/>
        <v>-14.651000000000003</v>
      </c>
      <c r="J208" s="15">
        <f t="shared" ref="J208:T208" si="695">J203/J77</f>
        <v>14.469000000000001</v>
      </c>
      <c r="K208" s="15">
        <f t="shared" si="695"/>
        <v>5.035333333333333</v>
      </c>
      <c r="L208" s="15">
        <f t="shared" si="695"/>
        <v>11.453000000000003</v>
      </c>
      <c r="M208" s="15">
        <f t="shared" si="695"/>
        <v>87.234482758620686</v>
      </c>
      <c r="N208" s="15">
        <f t="shared" si="695"/>
        <v>38.298857142857138</v>
      </c>
      <c r="O208" s="15">
        <f t="shared" si="695"/>
        <v>4.6966874999999995</v>
      </c>
      <c r="P208" s="15">
        <f t="shared" si="695"/>
        <v>2.2310227272727272</v>
      </c>
      <c r="Q208" s="15">
        <f t="shared" si="695"/>
        <v>1.5879632352941175</v>
      </c>
      <c r="R208" s="15">
        <f t="shared" si="695"/>
        <v>1.3318269230769231</v>
      </c>
      <c r="S208" s="15">
        <f t="shared" si="695"/>
        <v>3.0519541616405306</v>
      </c>
      <c r="T208" s="15">
        <f t="shared" si="695"/>
        <v>3.3868984446477586</v>
      </c>
      <c r="U208" s="15">
        <f t="shared" ref="U208" si="696">U203/U77</f>
        <v>0.23503246753246754</v>
      </c>
      <c r="V208" s="101" t="e">
        <f t="shared" si="664"/>
        <v>#NUM!</v>
      </c>
      <c r="W208" s="110"/>
      <c r="X208" s="170">
        <f t="shared" ref="X208:AG208" si="697">X203/X77</f>
        <v>0.92489628427128412</v>
      </c>
      <c r="Y208" s="102">
        <f t="shared" si="697"/>
        <v>0.87351315736732382</v>
      </c>
      <c r="Z208" s="102">
        <f t="shared" si="697"/>
        <v>0.82498464862469456</v>
      </c>
      <c r="AA208" s="102">
        <f t="shared" si="697"/>
        <v>0.77915216814554489</v>
      </c>
      <c r="AB208" s="102">
        <f t="shared" si="697"/>
        <v>0.73586593658190347</v>
      </c>
      <c r="AC208" s="102">
        <f t="shared" si="697"/>
        <v>0.69498449566068643</v>
      </c>
      <c r="AD208" s="102">
        <f t="shared" si="697"/>
        <v>0.65637424590175963</v>
      </c>
      <c r="AE208" s="102">
        <f t="shared" si="697"/>
        <v>0.61990901001832854</v>
      </c>
      <c r="AF208" s="102">
        <f t="shared" si="697"/>
        <v>0.58546962057286578</v>
      </c>
      <c r="AG208" s="102">
        <f t="shared" si="697"/>
        <v>0.55294353054103995</v>
      </c>
      <c r="AH208" s="116">
        <f t="shared" si="666"/>
        <v>-0.1271758361998484</v>
      </c>
      <c r="AI208" s="21">
        <f t="shared" si="667"/>
        <v>0.05</v>
      </c>
      <c r="AJ208" s="109">
        <f t="shared" si="668"/>
        <v>2.8389557333716873</v>
      </c>
    </row>
    <row r="209" spans="2:36">
      <c r="B209" s="10" t="s">
        <v>217</v>
      </c>
      <c r="C209" s="15"/>
      <c r="D209" s="15"/>
      <c r="E209" s="15"/>
      <c r="F209" s="15"/>
      <c r="G209" s="15">
        <f t="shared" ref="G209" si="698">G203/G86</f>
        <v>95.9</v>
      </c>
      <c r="H209" s="15">
        <f t="shared" ref="H209:I209" si="699">H203/H86</f>
        <v>118.73333333333335</v>
      </c>
      <c r="I209" s="15">
        <f t="shared" si="699"/>
        <v>104.65</v>
      </c>
      <c r="J209" s="15">
        <f t="shared" ref="J209:T209" si="700">J203/J86</f>
        <v>56.741176470588236</v>
      </c>
      <c r="K209" s="15">
        <f t="shared" si="700"/>
        <v>40.282666666666664</v>
      </c>
      <c r="L209" s="15">
        <f t="shared" si="700"/>
        <v>534.47333333333336</v>
      </c>
      <c r="M209" s="15">
        <f t="shared" si="700"/>
        <v>3047.9518072289156</v>
      </c>
      <c r="N209" s="15">
        <f t="shared" si="700"/>
        <v>2680.92</v>
      </c>
      <c r="O209" s="15">
        <f t="shared" si="700"/>
        <v>57.805384615384618</v>
      </c>
      <c r="P209" s="15">
        <f t="shared" si="700"/>
        <v>6.6930681818181812</v>
      </c>
      <c r="Q209" s="15">
        <f t="shared" si="700"/>
        <v>20.899645161290323</v>
      </c>
      <c r="R209" s="15">
        <f t="shared" si="700"/>
        <v>16.29529411764706</v>
      </c>
      <c r="S209" s="15">
        <f t="shared" si="700"/>
        <v>29.419418604651163</v>
      </c>
      <c r="T209" s="15">
        <f t="shared" si="700"/>
        <v>32.76</v>
      </c>
      <c r="U209" s="15">
        <f t="shared" ref="U209" si="701">U203/U86</f>
        <v>2.5624778761061946</v>
      </c>
      <c r="V209" s="101">
        <f t="shared" si="664"/>
        <v>-0.22797469264072523</v>
      </c>
      <c r="W209" s="110"/>
      <c r="X209" s="102">
        <f t="shared" ref="X209:AG209" si="702">X203/X86</f>
        <v>10.083824975417896</v>
      </c>
      <c r="Y209" s="102">
        <f t="shared" si="702"/>
        <v>9.523612476783569</v>
      </c>
      <c r="Z209" s="102">
        <f t="shared" si="702"/>
        <v>8.9945228947400366</v>
      </c>
      <c r="AA209" s="102">
        <f t="shared" si="702"/>
        <v>8.494827178365588</v>
      </c>
      <c r="AB209" s="102">
        <f t="shared" si="702"/>
        <v>8.0228923351230534</v>
      </c>
      <c r="AC209" s="102">
        <f t="shared" si="702"/>
        <v>7.5771760942828843</v>
      </c>
      <c r="AD209" s="102">
        <f t="shared" si="702"/>
        <v>7.1562218668227242</v>
      </c>
      <c r="AE209" s="102">
        <f t="shared" si="702"/>
        <v>6.7586539853325727</v>
      </c>
      <c r="AF209" s="102">
        <f t="shared" si="702"/>
        <v>6.3831732083696515</v>
      </c>
      <c r="AG209" s="102">
        <f t="shared" si="702"/>
        <v>6.0285524745713381</v>
      </c>
      <c r="AH209" s="116">
        <f t="shared" si="666"/>
        <v>-8.9185827864668221E-2</v>
      </c>
      <c r="AI209" s="21">
        <f t="shared" si="667"/>
        <v>0.05</v>
      </c>
      <c r="AJ209" s="109">
        <f t="shared" si="668"/>
        <v>32.299359007653528</v>
      </c>
    </row>
    <row r="210" spans="2:36">
      <c r="B210" s="10" t="s">
        <v>218</v>
      </c>
      <c r="C210" s="15"/>
      <c r="D210" s="15"/>
      <c r="E210" s="15"/>
      <c r="F210" s="15"/>
      <c r="G210" s="15">
        <f t="shared" ref="G210" si="703">G203/G88</f>
        <v>1.4667058823529413</v>
      </c>
      <c r="H210" s="15">
        <f t="shared" ref="H210:I210" si="704">H203/H88</f>
        <v>1.4667058823529413</v>
      </c>
      <c r="I210" s="15">
        <f t="shared" si="704"/>
        <v>1.4651000000000001</v>
      </c>
      <c r="J210" s="15">
        <f t="shared" ref="J210:T210" si="705">J203/J88</f>
        <v>1.0335000000000001</v>
      </c>
      <c r="K210" s="15">
        <f t="shared" si="705"/>
        <v>0.59239215686274505</v>
      </c>
      <c r="L210" s="15">
        <f t="shared" si="705"/>
        <v>1.4065087719298248</v>
      </c>
      <c r="M210" s="15">
        <f t="shared" si="705"/>
        <v>10.200806451612902</v>
      </c>
      <c r="N210" s="15">
        <f t="shared" si="705"/>
        <v>5.9443902439024381</v>
      </c>
      <c r="O210" s="15">
        <f t="shared" si="705"/>
        <v>9.5122784810126575</v>
      </c>
      <c r="P210" s="15">
        <f t="shared" si="705"/>
        <v>0.51395287958115177</v>
      </c>
      <c r="Q210" s="15">
        <f t="shared" si="705"/>
        <v>0.47050762527233114</v>
      </c>
      <c r="R210" s="15">
        <f t="shared" si="705"/>
        <v>0.48458309037900871</v>
      </c>
      <c r="S210" s="15">
        <f t="shared" si="705"/>
        <v>1.2240299951620706</v>
      </c>
      <c r="T210" s="15">
        <f t="shared" si="705"/>
        <v>1.6372755417956657</v>
      </c>
      <c r="U210" s="15">
        <f t="shared" ref="U210" si="706">U203/U88</f>
        <v>0.12806722689075631</v>
      </c>
      <c r="V210" s="101">
        <f t="shared" si="664"/>
        <v>-0.15983627480771967</v>
      </c>
      <c r="W210" s="110"/>
      <c r="X210" s="102">
        <f t="shared" ref="X210:AG210" si="707">X203/X88</f>
        <v>0.50396825396825395</v>
      </c>
      <c r="Y210" s="102">
        <f t="shared" si="707"/>
        <v>0.47597001763668423</v>
      </c>
      <c r="Z210" s="102">
        <f t="shared" si="707"/>
        <v>0.44952723887909063</v>
      </c>
      <c r="AA210" s="102">
        <f t="shared" si="707"/>
        <v>0.42455350338580772</v>
      </c>
      <c r="AB210" s="102">
        <f t="shared" si="707"/>
        <v>0.40096719764215172</v>
      </c>
      <c r="AC210" s="102">
        <f t="shared" si="707"/>
        <v>0.37869124221758771</v>
      </c>
      <c r="AD210" s="102">
        <f t="shared" si="707"/>
        <v>0.35765283987216623</v>
      </c>
      <c r="AE210" s="102">
        <f t="shared" si="707"/>
        <v>0.33778323765704588</v>
      </c>
      <c r="AF210" s="102">
        <f t="shared" si="707"/>
        <v>0.31901750223165443</v>
      </c>
      <c r="AG210" s="102">
        <f t="shared" si="707"/>
        <v>0.30129430766322918</v>
      </c>
      <c r="AH210" s="116">
        <f t="shared" si="666"/>
        <v>-5.0062530126518734E-2</v>
      </c>
      <c r="AI210" s="21">
        <f t="shared" si="667"/>
        <v>0.05</v>
      </c>
      <c r="AJ210" s="109">
        <f t="shared" si="668"/>
        <v>1.6835926606405305</v>
      </c>
    </row>
    <row r="211" spans="2:36">
      <c r="B211" s="10" t="s">
        <v>232</v>
      </c>
      <c r="C211" s="15"/>
      <c r="D211" s="15"/>
      <c r="E211" s="15"/>
      <c r="F211" s="15"/>
      <c r="G211" s="158">
        <f t="shared" ref="G211" si="708">G203/G82</f>
        <v>2.4137463697967085</v>
      </c>
      <c r="H211" s="158">
        <f t="shared" ref="H211:I211" si="709">H203/H82</f>
        <v>1.4885970149253733</v>
      </c>
      <c r="I211" s="158">
        <f t="shared" si="709"/>
        <v>1.3953333333333335</v>
      </c>
      <c r="J211" s="158">
        <f t="shared" ref="J211:T211" si="710">J203/J82</f>
        <v>1.9292000000000002</v>
      </c>
      <c r="K211" s="158">
        <f t="shared" si="710"/>
        <v>1.7771764705882349</v>
      </c>
      <c r="L211" s="158">
        <f t="shared" si="710"/>
        <v>4.2195263157894738</v>
      </c>
      <c r="M211" s="158">
        <f t="shared" si="710"/>
        <v>32.433333333333337</v>
      </c>
      <c r="N211" s="158">
        <f t="shared" si="710"/>
        <v>22.52873949579832</v>
      </c>
      <c r="O211" s="158">
        <f t="shared" si="710"/>
        <v>2.9354296875000001</v>
      </c>
      <c r="P211" s="158">
        <f t="shared" si="710"/>
        <v>1.3990261282660332</v>
      </c>
      <c r="Q211" s="158">
        <f t="shared" si="710"/>
        <v>0.94169912790697663</v>
      </c>
      <c r="R211" s="158">
        <f t="shared" si="710"/>
        <v>0.8277490039840637</v>
      </c>
      <c r="S211" s="158">
        <f t="shared" si="710"/>
        <v>2.2193596491228069</v>
      </c>
      <c r="T211" s="158">
        <f t="shared" si="710"/>
        <v>2.9497051792828688</v>
      </c>
      <c r="U211" s="158">
        <f t="shared" ref="U211" si="711">U203/U82</f>
        <v>0.20771879483500716</v>
      </c>
      <c r="V211" s="101">
        <f t="shared" si="664"/>
        <v>-0.16070786313584473</v>
      </c>
      <c r="W211" s="110"/>
      <c r="X211" s="113">
        <f t="shared" ref="X211:AG211" si="712">X203/X82</f>
        <v>0.81741192411924124</v>
      </c>
      <c r="Y211" s="113">
        <f t="shared" si="712"/>
        <v>0.77200015055706095</v>
      </c>
      <c r="Z211" s="113">
        <f t="shared" si="712"/>
        <v>0.72911125330389059</v>
      </c>
      <c r="AA211" s="113">
        <f t="shared" si="712"/>
        <v>0.68860507256478565</v>
      </c>
      <c r="AB211" s="113">
        <f t="shared" si="712"/>
        <v>0.65034923520007526</v>
      </c>
      <c r="AC211" s="113">
        <f t="shared" si="712"/>
        <v>0.61421872213340456</v>
      </c>
      <c r="AD211" s="113">
        <f t="shared" si="712"/>
        <v>0.58009545979265986</v>
      </c>
      <c r="AE211" s="113">
        <f t="shared" si="712"/>
        <v>0.54786793424862335</v>
      </c>
      <c r="AF211" s="113">
        <f t="shared" si="712"/>
        <v>0.51743082679036645</v>
      </c>
      <c r="AG211" s="113">
        <f t="shared" si="712"/>
        <v>0.48868466974645702</v>
      </c>
      <c r="AH211" s="116">
        <f t="shared" ref="AH211" si="713">((AG211/J211)^(1/($AG$3-$K$1) ))-1</f>
        <v>-5.5608337573760158E-2</v>
      </c>
      <c r="AI211" s="21">
        <f t="shared" ref="AI211:AI214" si="714">$O$1</f>
        <v>0.05</v>
      </c>
      <c r="AJ211" s="109">
        <f t="shared" si="668"/>
        <v>2.7147631039063214</v>
      </c>
    </row>
    <row r="212" spans="2:36">
      <c r="B212" s="10"/>
      <c r="C212" s="15"/>
      <c r="D212" s="15"/>
      <c r="E212" s="15"/>
      <c r="F212" s="15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10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6"/>
      <c r="AI212" s="21">
        <f t="shared" si="714"/>
        <v>0.05</v>
      </c>
      <c r="AJ212" s="109"/>
    </row>
    <row r="213" spans="2:36">
      <c r="B213" s="10" t="s">
        <v>265</v>
      </c>
      <c r="C213" s="129"/>
      <c r="D213" s="129"/>
      <c r="E213" s="129"/>
      <c r="F213" s="129"/>
      <c r="G213" s="129">
        <f t="shared" ref="G213" si="715">G59/G203</f>
        <v>7.2992700729927003E-4</v>
      </c>
      <c r="H213" s="129">
        <f t="shared" ref="H213:I213" si="716">H59/H203</f>
        <v>0</v>
      </c>
      <c r="I213" s="129">
        <f t="shared" si="716"/>
        <v>0</v>
      </c>
      <c r="J213" s="129">
        <f t="shared" ref="J213:T213" si="717">J59/J203</f>
        <v>0</v>
      </c>
      <c r="K213" s="129">
        <f t="shared" si="717"/>
        <v>0</v>
      </c>
      <c r="L213" s="129">
        <f t="shared" si="717"/>
        <v>0.11350737797956865</v>
      </c>
      <c r="M213" s="129">
        <f t="shared" si="717"/>
        <v>7.1942446043165469E-4</v>
      </c>
      <c r="N213" s="129">
        <f t="shared" si="717"/>
        <v>7.5757575757575758E-4</v>
      </c>
      <c r="O213" s="129">
        <f t="shared" si="717"/>
        <v>2.7027027027027029E-3</v>
      </c>
      <c r="P213" s="129">
        <f t="shared" si="717"/>
        <v>3.4482758620689659E-3</v>
      </c>
      <c r="Q213" s="129">
        <f t="shared" si="717"/>
        <v>3.1347962382445144E-3</v>
      </c>
      <c r="R213" s="129">
        <f t="shared" si="717"/>
        <v>2.631578947368421E-3</v>
      </c>
      <c r="S213" s="129">
        <f t="shared" si="717"/>
        <v>8.8495575221238948E-4</v>
      </c>
      <c r="T213" s="129">
        <f t="shared" si="717"/>
        <v>6.4102564102564103E-4</v>
      </c>
      <c r="U213" s="129">
        <f t="shared" ref="U213" si="718">U59/U203</f>
        <v>8.3333333333333332E-3</v>
      </c>
      <c r="V213" s="101">
        <f t="shared" si="664"/>
        <v>0.18997687821115128</v>
      </c>
      <c r="W213" s="110"/>
      <c r="X213" s="129">
        <f t="shared" ref="X213:AG213" si="719">X59/X203</f>
        <v>2.0400000000000001E-3</v>
      </c>
      <c r="Y213" s="129">
        <f t="shared" si="719"/>
        <v>2.0808000000000003E-3</v>
      </c>
      <c r="Z213" s="129">
        <f t="shared" si="719"/>
        <v>2.1224160000000002E-3</v>
      </c>
      <c r="AA213" s="129">
        <f t="shared" si="719"/>
        <v>2.1648643200000003E-3</v>
      </c>
      <c r="AB213" s="129">
        <f t="shared" si="719"/>
        <v>2.2081616064000002E-3</v>
      </c>
      <c r="AC213" s="129">
        <f t="shared" si="719"/>
        <v>2.2523248385280005E-3</v>
      </c>
      <c r="AD213" s="129">
        <f t="shared" si="719"/>
        <v>2.2973713352985605E-3</v>
      </c>
      <c r="AE213" s="129">
        <f t="shared" si="719"/>
        <v>2.3433187620045316E-3</v>
      </c>
      <c r="AF213" s="129">
        <f t="shared" si="719"/>
        <v>2.3901851372446223E-3</v>
      </c>
      <c r="AG213" s="129">
        <f t="shared" si="719"/>
        <v>2.4379888399895149E-3</v>
      </c>
      <c r="AH213" s="116" t="e">
        <f t="shared" ref="AH213:AH218" si="720">((AG213/J213)^(1/($AG$3-$K$1) ))-1</f>
        <v>#DIV/0!</v>
      </c>
      <c r="AI213" s="21">
        <f t="shared" si="714"/>
        <v>0.05</v>
      </c>
      <c r="AJ213" s="109" t="e">
        <f t="shared" si="668"/>
        <v>#DIV/0!</v>
      </c>
    </row>
    <row r="214" spans="2:36">
      <c r="B214" s="10" t="s">
        <v>132</v>
      </c>
      <c r="C214" s="129"/>
      <c r="D214" s="129"/>
      <c r="E214" s="129"/>
      <c r="F214" s="129"/>
      <c r="G214" s="141">
        <f t="shared" ref="G214" si="721">G203*G57</f>
        <v>24.934000000000001</v>
      </c>
      <c r="H214" s="141">
        <f t="shared" ref="H214:I214" si="722">H203*H57</f>
        <v>24.934000000000001</v>
      </c>
      <c r="I214" s="141">
        <f t="shared" si="722"/>
        <v>29.302000000000003</v>
      </c>
      <c r="J214" s="141">
        <f t="shared" ref="J214:T214" si="723">J203*J57</f>
        <v>28.938000000000002</v>
      </c>
      <c r="K214" s="141">
        <f t="shared" si="723"/>
        <v>30.211999999999996</v>
      </c>
      <c r="L214" s="141">
        <f t="shared" si="723"/>
        <v>160.34200000000001</v>
      </c>
      <c r="M214" s="141">
        <f t="shared" si="723"/>
        <v>2529.7999999999997</v>
      </c>
      <c r="N214" s="141">
        <f t="shared" si="723"/>
        <v>2680.9199999999996</v>
      </c>
      <c r="O214" s="141">
        <f t="shared" si="723"/>
        <v>751.46999999999991</v>
      </c>
      <c r="P214" s="141">
        <f t="shared" si="723"/>
        <v>588.99</v>
      </c>
      <c r="Q214" s="141">
        <f t="shared" si="723"/>
        <v>647.8889999999999</v>
      </c>
      <c r="R214" s="141">
        <f t="shared" si="723"/>
        <v>831.06000000000006</v>
      </c>
      <c r="S214" s="141">
        <f t="shared" si="723"/>
        <v>2530.0700000000002</v>
      </c>
      <c r="T214" s="141">
        <f t="shared" si="723"/>
        <v>3701.88</v>
      </c>
      <c r="U214" s="141">
        <f t="shared" ref="U214" si="724">U203*U57</f>
        <v>289.56</v>
      </c>
      <c r="V214" s="101">
        <f t="shared" si="664"/>
        <v>0.19142748664078613</v>
      </c>
      <c r="W214" s="110"/>
      <c r="X214" s="141">
        <f t="shared" ref="X214:AG214" si="725">X203*X57</f>
        <v>1230.6300000000001</v>
      </c>
      <c r="Y214" s="141">
        <f t="shared" si="725"/>
        <v>1255.2426</v>
      </c>
      <c r="Z214" s="141">
        <f t="shared" si="725"/>
        <v>1280.347452</v>
      </c>
      <c r="AA214" s="141">
        <f t="shared" si="725"/>
        <v>1305.95440104</v>
      </c>
      <c r="AB214" s="141">
        <f t="shared" si="725"/>
        <v>1332.0734890608001</v>
      </c>
      <c r="AC214" s="141">
        <f t="shared" si="725"/>
        <v>1358.7149588420161</v>
      </c>
      <c r="AD214" s="141">
        <f t="shared" si="725"/>
        <v>1385.8892580188565</v>
      </c>
      <c r="AE214" s="141">
        <f t="shared" si="725"/>
        <v>1413.6070431792336</v>
      </c>
      <c r="AF214" s="141">
        <f t="shared" si="725"/>
        <v>1441.8791840428185</v>
      </c>
      <c r="AG214" s="141">
        <f t="shared" si="725"/>
        <v>1470.7167677236748</v>
      </c>
      <c r="AH214" s="116">
        <f t="shared" si="720"/>
        <v>0.17783879693086968</v>
      </c>
      <c r="AI214" s="21">
        <f t="shared" si="714"/>
        <v>0.05</v>
      </c>
      <c r="AJ214" s="109">
        <f t="shared" si="668"/>
        <v>10189.807460715945</v>
      </c>
    </row>
    <row r="215" spans="2:36">
      <c r="B215" s="10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58"/>
      <c r="V215" s="158"/>
      <c r="W215" s="110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</row>
    <row r="216" spans="2:36">
      <c r="B216" s="10" t="s">
        <v>316</v>
      </c>
      <c r="C216" s="137"/>
      <c r="D216" s="137"/>
      <c r="E216" s="137"/>
      <c r="F216" s="137"/>
      <c r="G216" s="137">
        <f t="shared" ref="G216" si="726">G74/G203</f>
        <v>0.11229646266142615</v>
      </c>
      <c r="H216" s="137">
        <f t="shared" ref="H216:I216" si="727">H74/H203</f>
        <v>8.8232934948263425E-2</v>
      </c>
      <c r="I216" s="137">
        <f t="shared" si="727"/>
        <v>9.2143880963756739E-2</v>
      </c>
      <c r="J216" s="137">
        <f t="shared" ref="J216:T216" si="728">J74/J203</f>
        <v>0.12889626097173265</v>
      </c>
      <c r="K216" s="137">
        <f t="shared" si="728"/>
        <v>0.13239772275916856</v>
      </c>
      <c r="L216" s="137">
        <f t="shared" si="728"/>
        <v>5.6130022077808678E-2</v>
      </c>
      <c r="M216" s="137">
        <f t="shared" si="728"/>
        <v>7.1151869713020795E-3</v>
      </c>
      <c r="N216" s="137">
        <f t="shared" si="728"/>
        <v>1.7158288945585846E-2</v>
      </c>
      <c r="O216" s="137">
        <f t="shared" si="728"/>
        <v>0.12242671031445035</v>
      </c>
      <c r="P216" s="137">
        <f t="shared" si="728"/>
        <v>0.17827127795038966</v>
      </c>
      <c r="Q216" s="137">
        <f t="shared" si="728"/>
        <v>0.22380376885546754</v>
      </c>
      <c r="R216" s="137">
        <f t="shared" si="728"/>
        <v>0.19974490409838036</v>
      </c>
      <c r="S216" s="137">
        <f t="shared" si="728"/>
        <v>6.8377554771211865E-2</v>
      </c>
      <c r="T216" s="137">
        <f t="shared" si="728"/>
        <v>5.2405804618193996E-2</v>
      </c>
      <c r="U216" s="137">
        <f t="shared" ref="U216" si="729">U74/U203</f>
        <v>0.3177234424644288</v>
      </c>
      <c r="V216" s="101">
        <f t="shared" si="664"/>
        <v>7.711750633484904E-2</v>
      </c>
      <c r="W216" s="110"/>
      <c r="X216" s="137">
        <f t="shared" ref="X216:AG216" si="730">X74/X203</f>
        <v>8.0739133614490158E-2</v>
      </c>
      <c r="Y216" s="137">
        <f t="shared" si="730"/>
        <v>8.5488494415342509E-2</v>
      </c>
      <c r="Z216" s="137">
        <f t="shared" si="730"/>
        <v>9.05172293809509E-2</v>
      </c>
      <c r="AA216" s="137">
        <f t="shared" si="730"/>
        <v>9.5841772285712723E-2</v>
      </c>
      <c r="AB216" s="137">
        <f t="shared" si="730"/>
        <v>0.10147952359663702</v>
      </c>
      <c r="AC216" s="137">
        <f t="shared" si="730"/>
        <v>0.10744890733761567</v>
      </c>
      <c r="AD216" s="137">
        <f t="shared" si="730"/>
        <v>0.11376943129865187</v>
      </c>
      <c r="AE216" s="137">
        <f t="shared" si="730"/>
        <v>0.12046175078680786</v>
      </c>
      <c r="AF216" s="137">
        <f t="shared" si="730"/>
        <v>0.12754773612720835</v>
      </c>
      <c r="AG216" s="137">
        <f t="shared" si="730"/>
        <v>0.13505054413469117</v>
      </c>
      <c r="AH216" s="116">
        <f t="shared" ref="AH216" si="731">((AG216/J216)^(1/($AG$3-$K$1) ))-1</f>
        <v>1.9452732206060031E-3</v>
      </c>
      <c r="AI216" s="21">
        <f t="shared" ref="AI216" si="732">$O$1</f>
        <v>0.05</v>
      </c>
      <c r="AJ216" s="109">
        <f t="shared" ref="AJ216" si="733">(AG216*(1+AH216))/($C$1-AI216)</f>
        <v>0.79596031965661573</v>
      </c>
    </row>
    <row r="217" spans="2:36">
      <c r="B217" s="10" t="str">
        <f>B205</f>
        <v>P/E (how many years it will take to recover invested amount)</v>
      </c>
      <c r="C217" s="129"/>
      <c r="D217" s="129"/>
      <c r="E217" s="129"/>
      <c r="F217" s="129"/>
      <c r="G217" s="157">
        <f t="shared" ref="G217" si="734">G205</f>
        <v>8.9050000000000011</v>
      </c>
      <c r="H217" s="157">
        <f t="shared" ref="H217:I217" si="735">H205</f>
        <v>11.333636363636364</v>
      </c>
      <c r="I217" s="157">
        <f t="shared" si="735"/>
        <v>10.852592592592593</v>
      </c>
      <c r="J217" s="157">
        <f t="shared" ref="J217:T217" si="736">J205</f>
        <v>7.7581769436997323</v>
      </c>
      <c r="K217" s="157">
        <f t="shared" si="736"/>
        <v>7.5529999999999999</v>
      </c>
      <c r="L217" s="157">
        <f t="shared" si="736"/>
        <v>17.815777777777779</v>
      </c>
      <c r="M217" s="157">
        <f t="shared" si="736"/>
        <v>140.54444444444445</v>
      </c>
      <c r="N217" s="157">
        <f t="shared" si="736"/>
        <v>58.280869565217387</v>
      </c>
      <c r="O217" s="157">
        <f t="shared" si="736"/>
        <v>8.1681521739130432</v>
      </c>
      <c r="P217" s="157">
        <f t="shared" si="736"/>
        <v>5.6094285714285714</v>
      </c>
      <c r="Q217" s="157">
        <f t="shared" si="736"/>
        <v>4.4681999999999995</v>
      </c>
      <c r="R217" s="157">
        <f t="shared" si="736"/>
        <v>5.0063855421686752</v>
      </c>
      <c r="S217" s="157">
        <f t="shared" si="736"/>
        <v>14.624682080924856</v>
      </c>
      <c r="T217" s="157">
        <f t="shared" si="736"/>
        <v>19.081855670103096</v>
      </c>
      <c r="U217" s="157">
        <f t="shared" ref="U217" si="737">U205</f>
        <v>3.1473913043478259</v>
      </c>
      <c r="V217" s="101">
        <f t="shared" si="664"/>
        <v>-7.1596186935313888E-2</v>
      </c>
      <c r="W217" s="110"/>
      <c r="X217" s="129">
        <f t="shared" ref="X217:AG217" si="738">X205</f>
        <v>12.385567632850238</v>
      </c>
      <c r="Y217" s="129">
        <f t="shared" si="738"/>
        <v>11.697480542136336</v>
      </c>
      <c r="Z217" s="129">
        <f t="shared" si="738"/>
        <v>11.047620512017652</v>
      </c>
      <c r="AA217" s="129">
        <f t="shared" si="738"/>
        <v>10.433863816905559</v>
      </c>
      <c r="AB217" s="129">
        <f t="shared" si="738"/>
        <v>9.8542047159663593</v>
      </c>
      <c r="AC217" s="129">
        <f t="shared" si="738"/>
        <v>9.3067488984126729</v>
      </c>
      <c r="AD217" s="129">
        <f t="shared" si="738"/>
        <v>8.7897072929453035</v>
      </c>
      <c r="AE217" s="129">
        <f t="shared" si="738"/>
        <v>8.3013902211150086</v>
      </c>
      <c r="AF217" s="129">
        <f t="shared" si="738"/>
        <v>7.8402018754975069</v>
      </c>
      <c r="AG217" s="129">
        <f t="shared" si="738"/>
        <v>7.4046351046365348</v>
      </c>
      <c r="AH217" s="116">
        <f t="shared" ref="AH217" si="739">((AG217/J217)^(1/($AG$3-$K$1) ))-1</f>
        <v>-1.9414964794964851E-3</v>
      </c>
      <c r="AI217" s="21">
        <f t="shared" ref="AI217:AI219" si="740">$O$1</f>
        <v>0.05</v>
      </c>
      <c r="AJ217" s="157">
        <f>(AJ204)/($O$2*100)</f>
        <v>6.6377160629125936E-2</v>
      </c>
    </row>
    <row r="218" spans="2:36">
      <c r="B218" s="10" t="s">
        <v>437</v>
      </c>
      <c r="C218" s="157"/>
      <c r="D218" s="157"/>
      <c r="E218" s="157"/>
      <c r="F218" s="157"/>
      <c r="G218" s="157">
        <f t="shared" ref="G218" si="741">(G205)/($O$2*100)</f>
        <v>1.1131250000000001</v>
      </c>
      <c r="H218" s="157">
        <f t="shared" ref="H218:I218" si="742">(H205)/($O$2*100)</f>
        <v>1.4167045454545455</v>
      </c>
      <c r="I218" s="157">
        <f t="shared" si="742"/>
        <v>1.3565740740740742</v>
      </c>
      <c r="J218" s="157">
        <f t="shared" ref="J218:T218" si="743">(J205)/($O$2*100)</f>
        <v>0.96977211796246654</v>
      </c>
      <c r="K218" s="157">
        <f t="shared" si="743"/>
        <v>0.94412499999999999</v>
      </c>
      <c r="L218" s="157">
        <f t="shared" si="743"/>
        <v>2.2269722222222224</v>
      </c>
      <c r="M218" s="157">
        <f t="shared" si="743"/>
        <v>17.568055555555556</v>
      </c>
      <c r="N218" s="157">
        <f t="shared" si="743"/>
        <v>7.2851086956521733</v>
      </c>
      <c r="O218" s="157">
        <f t="shared" si="743"/>
        <v>1.0210190217391304</v>
      </c>
      <c r="P218" s="157">
        <f t="shared" si="743"/>
        <v>0.70117857142857143</v>
      </c>
      <c r="Q218" s="157">
        <f t="shared" si="743"/>
        <v>0.55852499999999994</v>
      </c>
      <c r="R218" s="157">
        <f t="shared" si="743"/>
        <v>0.62579819277108439</v>
      </c>
      <c r="S218" s="157">
        <f t="shared" si="743"/>
        <v>1.828085260115607</v>
      </c>
      <c r="T218" s="157">
        <f t="shared" si="743"/>
        <v>2.385231958762887</v>
      </c>
      <c r="U218" s="157">
        <f t="shared" ref="U218" si="744">(U205)/($O$2*100)</f>
        <v>0.39342391304347823</v>
      </c>
      <c r="V218" s="101">
        <f t="shared" si="664"/>
        <v>-7.1596186935313888E-2</v>
      </c>
      <c r="W218" s="110"/>
      <c r="X218" s="157">
        <f t="shared" ref="X218:AG218" si="745">(X205)/($O$2*100)</f>
        <v>1.5481959541062797</v>
      </c>
      <c r="Y218" s="157">
        <f t="shared" si="745"/>
        <v>1.462185067767042</v>
      </c>
      <c r="Z218" s="157">
        <f t="shared" si="745"/>
        <v>1.3809525640022065</v>
      </c>
      <c r="AA218" s="157">
        <f t="shared" si="745"/>
        <v>1.3042329771131949</v>
      </c>
      <c r="AB218" s="157">
        <f t="shared" si="745"/>
        <v>1.2317755894957949</v>
      </c>
      <c r="AC218" s="157">
        <f t="shared" si="745"/>
        <v>1.1633436123015841</v>
      </c>
      <c r="AD218" s="157">
        <f t="shared" si="745"/>
        <v>1.0987134116181629</v>
      </c>
      <c r="AE218" s="157">
        <f t="shared" si="745"/>
        <v>1.0376737776393761</v>
      </c>
      <c r="AF218" s="157">
        <f t="shared" si="745"/>
        <v>0.98002523443718836</v>
      </c>
      <c r="AG218" s="157">
        <f t="shared" si="745"/>
        <v>0.92557938807956686</v>
      </c>
      <c r="AH218" s="116">
        <f t="shared" si="720"/>
        <v>-1.9414964794964851E-3</v>
      </c>
      <c r="AI218" s="21">
        <f t="shared" si="740"/>
        <v>0.05</v>
      </c>
      <c r="AJ218" s="157">
        <f>(AJ205)/($O$2*100)</f>
        <v>5.4340139938595051</v>
      </c>
    </row>
    <row r="219" spans="2:36">
      <c r="B219" s="10" t="s">
        <v>438</v>
      </c>
      <c r="C219" s="129"/>
      <c r="D219" s="129"/>
      <c r="E219" s="129"/>
      <c r="F219" s="129"/>
      <c r="G219" s="129">
        <f t="shared" ref="G219" si="746">G218-1</f>
        <v>0.11312500000000014</v>
      </c>
      <c r="H219" s="129">
        <f t="shared" ref="H219:I219" si="747">H218-1</f>
        <v>0.41670454545454549</v>
      </c>
      <c r="I219" s="129">
        <f t="shared" si="747"/>
        <v>0.35657407407407415</v>
      </c>
      <c r="J219" s="129">
        <f t="shared" ref="J219:S219" si="748">J218-1</f>
        <v>-3.022788203753346E-2</v>
      </c>
      <c r="K219" s="129">
        <f t="shared" si="748"/>
        <v>-5.5875000000000008E-2</v>
      </c>
      <c r="L219" s="129">
        <f t="shared" si="748"/>
        <v>1.2269722222222224</v>
      </c>
      <c r="M219" s="129">
        <f t="shared" si="748"/>
        <v>16.568055555555556</v>
      </c>
      <c r="N219" s="129">
        <f t="shared" si="748"/>
        <v>6.2851086956521733</v>
      </c>
      <c r="O219" s="129">
        <f t="shared" si="748"/>
        <v>2.1019021739130395E-2</v>
      </c>
      <c r="P219" s="129">
        <f t="shared" si="748"/>
        <v>-0.29882142857142857</v>
      </c>
      <c r="Q219" s="129">
        <f t="shared" si="748"/>
        <v>-0.44147500000000006</v>
      </c>
      <c r="R219" s="129">
        <f t="shared" si="748"/>
        <v>-0.37420180722891561</v>
      </c>
      <c r="S219" s="129">
        <f t="shared" si="748"/>
        <v>0.82808526011560701</v>
      </c>
      <c r="T219" s="129">
        <f>T218-1</f>
        <v>1.385231958762887</v>
      </c>
      <c r="U219" s="129">
        <f>U218-1</f>
        <v>-0.60657608695652177</v>
      </c>
      <c r="V219" s="101" t="e">
        <f t="shared" si="664"/>
        <v>#NUM!</v>
      </c>
      <c r="W219" s="110"/>
      <c r="X219" s="129">
        <f t="shared" ref="X219:AG219" si="749">X218-1</f>
        <v>0.54819595410627975</v>
      </c>
      <c r="Y219" s="129">
        <f t="shared" si="749"/>
        <v>0.46218506776704205</v>
      </c>
      <c r="Z219" s="129">
        <f t="shared" si="749"/>
        <v>0.38095256400220645</v>
      </c>
      <c r="AA219" s="129">
        <f t="shared" si="749"/>
        <v>0.30423297711319486</v>
      </c>
      <c r="AB219" s="129">
        <f t="shared" si="749"/>
        <v>0.23177558949579491</v>
      </c>
      <c r="AC219" s="129">
        <f t="shared" si="749"/>
        <v>0.16334361230158412</v>
      </c>
      <c r="AD219" s="129">
        <f t="shared" si="749"/>
        <v>9.8713411618162938E-2</v>
      </c>
      <c r="AE219" s="129">
        <f t="shared" si="749"/>
        <v>3.7673777639376071E-2</v>
      </c>
      <c r="AF219" s="129">
        <f t="shared" si="749"/>
        <v>-1.9974765562811636E-2</v>
      </c>
      <c r="AG219" s="129">
        <f t="shared" si="749"/>
        <v>-7.4420611920433144E-2</v>
      </c>
      <c r="AH219" s="116">
        <f t="shared" ref="AH219" si="750">((AG219/J219)^(1/($AG$3-$K$1) ))-1</f>
        <v>3.8253881158572423E-2</v>
      </c>
      <c r="AI219" s="21">
        <f t="shared" si="740"/>
        <v>0.05</v>
      </c>
      <c r="AJ219" s="157">
        <f>(AJ206)/($O$2*100)</f>
        <v>0.89679605848479227</v>
      </c>
    </row>
    <row r="220" spans="2:36">
      <c r="B220" s="10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58"/>
      <c r="V220" s="158"/>
      <c r="W220" s="110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13"/>
      <c r="AH220" s="115"/>
      <c r="AI220" s="10"/>
      <c r="AJ220" s="109"/>
    </row>
    <row r="221" spans="2:36">
      <c r="B221" s="10" t="s">
        <v>414</v>
      </c>
      <c r="C221" s="129"/>
      <c r="D221" s="129"/>
      <c r="E221" s="129"/>
      <c r="F221" s="129"/>
      <c r="G221" s="129">
        <f t="shared" ref="G221:S221" si="751">1/G222</f>
        <v>0.20816812996339346</v>
      </c>
      <c r="H221" s="129">
        <f t="shared" si="751"/>
        <v>0.20816812996339346</v>
      </c>
      <c r="I221" s="129">
        <f t="shared" si="751"/>
        <v>0.17713685593158326</v>
      </c>
      <c r="J221" s="129">
        <f t="shared" si="751"/>
        <v>0.17936499248418178</v>
      </c>
      <c r="K221" s="129">
        <f t="shared" si="751"/>
        <v>0.17180140846376452</v>
      </c>
      <c r="L221" s="129">
        <f t="shared" si="751"/>
        <v>3.2371207497145178E-2</v>
      </c>
      <c r="M221" s="129">
        <f t="shared" si="751"/>
        <v>2.0517290507183386E-2</v>
      </c>
      <c r="N221" s="129">
        <f t="shared" si="751"/>
        <v>2.160532864014008E-2</v>
      </c>
      <c r="O221" s="129">
        <f t="shared" si="751"/>
        <v>7.7078469743202441E-2</v>
      </c>
      <c r="P221" s="129">
        <f t="shared" si="751"/>
        <v>9.8341495879258292E-2</v>
      </c>
      <c r="Q221" s="129">
        <f t="shared" si="751"/>
        <v>8.9401359890234816E-2</v>
      </c>
      <c r="R221" s="129">
        <f t="shared" si="751"/>
        <v>7.5050088960486594E-2</v>
      </c>
      <c r="S221" s="129">
        <f t="shared" si="751"/>
        <v>2.5238083013260981E-2</v>
      </c>
      <c r="T221" s="129">
        <f>1/T222</f>
        <v>1.8281431926272376E-2</v>
      </c>
      <c r="U221" s="129">
        <f>1/U222</f>
        <v>0.23765861504154087</v>
      </c>
      <c r="V221" s="101">
        <f t="shared" si="664"/>
        <v>9.508433705081254E-3</v>
      </c>
      <c r="W221" s="110"/>
      <c r="X221" s="129">
        <f t="shared" ref="X221:AG221" si="752">1/X222</f>
        <v>5.7038067609969809E-2</v>
      </c>
      <c r="Y221" s="129">
        <f t="shared" si="752"/>
        <v>5.7038067609969809E-2</v>
      </c>
      <c r="Z221" s="129">
        <f t="shared" si="752"/>
        <v>5.7038067609969809E-2</v>
      </c>
      <c r="AA221" s="129">
        <f t="shared" si="752"/>
        <v>5.7038067609969809E-2</v>
      </c>
      <c r="AB221" s="129">
        <f t="shared" si="752"/>
        <v>5.7038067609969809E-2</v>
      </c>
      <c r="AC221" s="129">
        <f t="shared" si="752"/>
        <v>5.7038067609969809E-2</v>
      </c>
      <c r="AD221" s="129">
        <f t="shared" si="752"/>
        <v>5.7038067609969809E-2</v>
      </c>
      <c r="AE221" s="129">
        <f t="shared" si="752"/>
        <v>5.7038067609969809E-2</v>
      </c>
      <c r="AF221" s="129">
        <f t="shared" si="752"/>
        <v>5.7038067609969809E-2</v>
      </c>
      <c r="AG221" s="129">
        <f t="shared" si="752"/>
        <v>5.7038067609969809E-2</v>
      </c>
      <c r="AH221" s="116">
        <f t="shared" ref="AH221" si="753">((AG221/J221)^(1/($AG$3-$K$1) ))-1</f>
        <v>-4.6616137236092037E-2</v>
      </c>
      <c r="AI221" s="21">
        <f t="shared" ref="AI221:AI224" si="754">$O$1</f>
        <v>0.05</v>
      </c>
      <c r="AJ221" s="157">
        <f>(AJ208)/($O$2*100)</f>
        <v>0.35486946667146091</v>
      </c>
    </row>
    <row r="222" spans="2:36">
      <c r="B222" s="10" t="s">
        <v>415</v>
      </c>
      <c r="C222" s="111"/>
      <c r="D222" s="111"/>
      <c r="E222" s="111"/>
      <c r="F222" s="111"/>
      <c r="G222" s="113">
        <f t="shared" ref="G222:U222" si="755">G203/$S$172</f>
        <v>4.8038093063325826</v>
      </c>
      <c r="H222" s="113">
        <f t="shared" si="755"/>
        <v>4.8038093063325826</v>
      </c>
      <c r="I222" s="113">
        <f t="shared" si="755"/>
        <v>5.6453525424784363</v>
      </c>
      <c r="J222" s="113">
        <f t="shared" si="755"/>
        <v>5.5752239394662819</v>
      </c>
      <c r="K222" s="113">
        <f t="shared" si="755"/>
        <v>5.8206740500088214</v>
      </c>
      <c r="L222" s="113">
        <f t="shared" si="755"/>
        <v>30.891649626854054</v>
      </c>
      <c r="M222" s="113">
        <f t="shared" si="755"/>
        <v>48.739379093447369</v>
      </c>
      <c r="N222" s="113">
        <f t="shared" si="755"/>
        <v>46.284877988021961</v>
      </c>
      <c r="O222" s="113">
        <f t="shared" si="755"/>
        <v>12.97379155724858</v>
      </c>
      <c r="P222" s="113">
        <f t="shared" si="755"/>
        <v>10.1686474367624</v>
      </c>
      <c r="Q222" s="113">
        <f t="shared" si="755"/>
        <v>11.185512180438639</v>
      </c>
      <c r="R222" s="113">
        <f t="shared" si="755"/>
        <v>13.324434572309352</v>
      </c>
      <c r="S222" s="113">
        <f t="shared" si="755"/>
        <v>39.622660701867282</v>
      </c>
      <c r="T222" s="113">
        <f t="shared" si="755"/>
        <v>54.700310349480496</v>
      </c>
      <c r="U222" s="113">
        <f t="shared" si="755"/>
        <v>4.2077161807292693</v>
      </c>
      <c r="V222" s="101">
        <f t="shared" si="664"/>
        <v>-9.418874956976464E-3</v>
      </c>
      <c r="W222" s="110"/>
      <c r="X222" s="113">
        <f t="shared" ref="X222:AG222" si="756">X203/$S$172</f>
        <v>17.532150753038621</v>
      </c>
      <c r="Y222" s="113">
        <f t="shared" si="756"/>
        <v>17.532150753038621</v>
      </c>
      <c r="Z222" s="113">
        <f t="shared" si="756"/>
        <v>17.532150753038621</v>
      </c>
      <c r="AA222" s="113">
        <f t="shared" si="756"/>
        <v>17.532150753038621</v>
      </c>
      <c r="AB222" s="113">
        <f t="shared" si="756"/>
        <v>17.532150753038621</v>
      </c>
      <c r="AC222" s="113">
        <f t="shared" si="756"/>
        <v>17.532150753038621</v>
      </c>
      <c r="AD222" s="113">
        <f t="shared" si="756"/>
        <v>17.532150753038621</v>
      </c>
      <c r="AE222" s="113">
        <f t="shared" si="756"/>
        <v>17.532150753038621</v>
      </c>
      <c r="AF222" s="113">
        <f t="shared" si="756"/>
        <v>17.532150753038621</v>
      </c>
      <c r="AG222" s="113">
        <f t="shared" si="756"/>
        <v>17.532150753038621</v>
      </c>
      <c r="AH222" s="116">
        <f t="shared" ref="AH222:AH224" si="757">((AG222/J222)^(1/($AG$3-$K$1) ))-1</f>
        <v>4.8895454451000964E-2</v>
      </c>
      <c r="AI222" s="21">
        <f t="shared" si="754"/>
        <v>0.05</v>
      </c>
      <c r="AJ222" s="157">
        <f>(AJ208)/($O$2*100)</f>
        <v>0.35486946667146091</v>
      </c>
    </row>
    <row r="223" spans="2:36">
      <c r="B223" s="10" t="s">
        <v>437</v>
      </c>
      <c r="C223" s="111"/>
      <c r="D223" s="111"/>
      <c r="E223" s="111"/>
      <c r="F223" s="111"/>
      <c r="G223" s="157">
        <f t="shared" ref="G223" si="758">(G222)/($O$2*100)</f>
        <v>0.60047616329157283</v>
      </c>
      <c r="H223" s="157">
        <f t="shared" ref="H223:I223" si="759">(H222)/($O$2*100)</f>
        <v>0.60047616329157283</v>
      </c>
      <c r="I223" s="157">
        <f t="shared" si="759"/>
        <v>0.70566906780980454</v>
      </c>
      <c r="J223" s="157">
        <f t="shared" ref="J223:T223" si="760">(J222)/($O$2*100)</f>
        <v>0.69690299243328524</v>
      </c>
      <c r="K223" s="157">
        <f t="shared" si="760"/>
        <v>0.72758425625110268</v>
      </c>
      <c r="L223" s="157">
        <f t="shared" si="760"/>
        <v>3.8614562033567568</v>
      </c>
      <c r="M223" s="157">
        <f t="shared" si="760"/>
        <v>6.0924223866809211</v>
      </c>
      <c r="N223" s="157">
        <f t="shared" si="760"/>
        <v>5.7856097485027451</v>
      </c>
      <c r="O223" s="157">
        <f t="shared" si="760"/>
        <v>1.6217239446560725</v>
      </c>
      <c r="P223" s="157">
        <f t="shared" si="760"/>
        <v>1.2710809295953001</v>
      </c>
      <c r="Q223" s="157">
        <f t="shared" si="760"/>
        <v>1.3981890225548299</v>
      </c>
      <c r="R223" s="157">
        <f t="shared" si="760"/>
        <v>1.665554321538669</v>
      </c>
      <c r="S223" s="157">
        <f t="shared" si="760"/>
        <v>4.9528325877334103</v>
      </c>
      <c r="T223" s="157">
        <f t="shared" si="760"/>
        <v>6.837538793685062</v>
      </c>
      <c r="U223" s="157">
        <f t="shared" ref="U223" si="761">(U222)/($O$2*100)</f>
        <v>0.52596452259115867</v>
      </c>
      <c r="V223" s="101">
        <f t="shared" si="664"/>
        <v>-9.418874956976464E-3</v>
      </c>
      <c r="W223" s="110"/>
      <c r="X223" s="157">
        <f t="shared" ref="X223:AG223" si="762">(X222)/($O$2*100)</f>
        <v>2.1915188441298277</v>
      </c>
      <c r="Y223" s="157">
        <f t="shared" si="762"/>
        <v>2.1915188441298277</v>
      </c>
      <c r="Z223" s="157">
        <f t="shared" si="762"/>
        <v>2.1915188441298277</v>
      </c>
      <c r="AA223" s="157">
        <f t="shared" si="762"/>
        <v>2.1915188441298277</v>
      </c>
      <c r="AB223" s="157">
        <f t="shared" si="762"/>
        <v>2.1915188441298277</v>
      </c>
      <c r="AC223" s="157">
        <f t="shared" si="762"/>
        <v>2.1915188441298277</v>
      </c>
      <c r="AD223" s="157">
        <f t="shared" si="762"/>
        <v>2.1915188441298277</v>
      </c>
      <c r="AE223" s="157">
        <f t="shared" si="762"/>
        <v>2.1915188441298277</v>
      </c>
      <c r="AF223" s="157">
        <f t="shared" si="762"/>
        <v>2.1915188441298277</v>
      </c>
      <c r="AG223" s="157">
        <f t="shared" si="762"/>
        <v>2.1915188441298277</v>
      </c>
      <c r="AH223" s="116">
        <f t="shared" si="757"/>
        <v>4.8895454451000964E-2</v>
      </c>
      <c r="AI223" s="21">
        <f t="shared" si="754"/>
        <v>0.05</v>
      </c>
      <c r="AJ223" s="157">
        <f>(AJ209)/($O$2*100)</f>
        <v>4.0374198759566911</v>
      </c>
    </row>
    <row r="224" spans="2:36">
      <c r="B224" s="10" t="s">
        <v>439</v>
      </c>
      <c r="C224" s="111"/>
      <c r="D224" s="111"/>
      <c r="E224" s="111"/>
      <c r="F224" s="111"/>
      <c r="G224" s="129">
        <f t="shared" ref="G224" si="763">G223-1</f>
        <v>-0.39952383670842717</v>
      </c>
      <c r="H224" s="129">
        <f t="shared" ref="H224:I224" si="764">H223-1</f>
        <v>-0.39952383670842717</v>
      </c>
      <c r="I224" s="129">
        <f t="shared" si="764"/>
        <v>-0.29433093219019546</v>
      </c>
      <c r="J224" s="129">
        <f t="shared" ref="J224:T224" si="765">J223-1</f>
        <v>-0.30309700756671476</v>
      </c>
      <c r="K224" s="129">
        <f t="shared" si="765"/>
        <v>-0.27241574374889732</v>
      </c>
      <c r="L224" s="129">
        <f t="shared" si="765"/>
        <v>2.8614562033567568</v>
      </c>
      <c r="M224" s="129">
        <f t="shared" si="765"/>
        <v>5.0924223866809211</v>
      </c>
      <c r="N224" s="129">
        <f t="shared" si="765"/>
        <v>4.7856097485027451</v>
      </c>
      <c r="O224" s="129">
        <f t="shared" si="765"/>
        <v>0.6217239446560725</v>
      </c>
      <c r="P224" s="129">
        <f t="shared" si="765"/>
        <v>0.27108092959530006</v>
      </c>
      <c r="Q224" s="129">
        <f t="shared" si="765"/>
        <v>0.39818902255482991</v>
      </c>
      <c r="R224" s="129">
        <f t="shared" si="765"/>
        <v>0.665554321538669</v>
      </c>
      <c r="S224" s="129">
        <f t="shared" si="765"/>
        <v>3.9528325877334103</v>
      </c>
      <c r="T224" s="129">
        <f t="shared" si="765"/>
        <v>5.837538793685062</v>
      </c>
      <c r="U224" s="129">
        <f t="shared" ref="U224" si="766">U223-1</f>
        <v>-0.47403547740884133</v>
      </c>
      <c r="V224" s="101">
        <f t="shared" si="664"/>
        <v>1.2289816403747711E-2</v>
      </c>
      <c r="W224" s="110"/>
      <c r="X224" s="129">
        <f t="shared" ref="X224:AG224" si="767">X223-1</f>
        <v>1.1915188441298277</v>
      </c>
      <c r="Y224" s="129">
        <f t="shared" si="767"/>
        <v>1.1915188441298277</v>
      </c>
      <c r="Z224" s="129">
        <f t="shared" si="767"/>
        <v>1.1915188441298277</v>
      </c>
      <c r="AA224" s="129">
        <f t="shared" si="767"/>
        <v>1.1915188441298277</v>
      </c>
      <c r="AB224" s="129">
        <f t="shared" si="767"/>
        <v>1.1915188441298277</v>
      </c>
      <c r="AC224" s="129">
        <f t="shared" si="767"/>
        <v>1.1915188441298277</v>
      </c>
      <c r="AD224" s="129">
        <f t="shared" si="767"/>
        <v>1.1915188441298277</v>
      </c>
      <c r="AE224" s="129">
        <f t="shared" si="767"/>
        <v>1.1915188441298277</v>
      </c>
      <c r="AF224" s="129">
        <f t="shared" si="767"/>
        <v>1.1915188441298277</v>
      </c>
      <c r="AG224" s="129">
        <f t="shared" si="767"/>
        <v>1.1915188441298277</v>
      </c>
      <c r="AH224" s="116" t="e">
        <f t="shared" si="757"/>
        <v>#NUM!</v>
      </c>
      <c r="AI224" s="21">
        <f t="shared" si="754"/>
        <v>0.05</v>
      </c>
      <c r="AJ224" s="157">
        <f>(AJ210)/($O$2*100)</f>
        <v>0.21044908258006631</v>
      </c>
    </row>
    <row r="225" spans="2:36">
      <c r="B225" s="10"/>
      <c r="C225" s="111"/>
      <c r="D225" s="111"/>
      <c r="E225" s="111"/>
      <c r="F225" s="111"/>
      <c r="G225" s="113"/>
      <c r="H225" s="113"/>
      <c r="I225" s="113"/>
      <c r="J225" s="113"/>
      <c r="K225" s="113"/>
      <c r="L225" s="113"/>
      <c r="M225" s="113"/>
      <c r="N225" s="175"/>
      <c r="O225" s="176"/>
      <c r="P225" s="113"/>
      <c r="Q225" s="113"/>
      <c r="R225" s="113"/>
      <c r="S225" s="113"/>
      <c r="T225" s="113"/>
      <c r="U225" s="158"/>
      <c r="V225" s="158"/>
      <c r="W225" s="110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5"/>
      <c r="AI225" s="10"/>
      <c r="AJ225" s="10"/>
    </row>
    <row r="226" spans="2:36">
      <c r="B226" s="10" t="s">
        <v>414</v>
      </c>
      <c r="C226" s="111"/>
      <c r="D226" s="111"/>
      <c r="E226" s="111"/>
      <c r="F226" s="111"/>
      <c r="G226" s="129">
        <f t="shared" ref="G226:U226" si="768">1/G227</f>
        <v>0.46584649450512894</v>
      </c>
      <c r="H226" s="129">
        <f t="shared" si="768"/>
        <v>0.46584649450512894</v>
      </c>
      <c r="I226" s="129">
        <f t="shared" si="768"/>
        <v>0.39640353880250095</v>
      </c>
      <c r="J226" s="129">
        <f t="shared" si="768"/>
        <v>0.40138974683775258</v>
      </c>
      <c r="K226" s="129">
        <f t="shared" si="768"/>
        <v>0.38446367317591967</v>
      </c>
      <c r="L226" s="129">
        <f t="shared" si="768"/>
        <v>7.2441509361183487E-2</v>
      </c>
      <c r="M226" s="129">
        <f t="shared" si="768"/>
        <v>4.5914366724606234E-2</v>
      </c>
      <c r="N226" s="129">
        <f t="shared" si="768"/>
        <v>4.8349219505456557E-2</v>
      </c>
      <c r="O226" s="129">
        <f t="shared" si="768"/>
        <v>0.17248910742487206</v>
      </c>
      <c r="P226" s="129">
        <f t="shared" si="768"/>
        <v>0.22007230947311263</v>
      </c>
      <c r="Q226" s="129">
        <f t="shared" si="768"/>
        <v>0.20006573588464785</v>
      </c>
      <c r="R226" s="129">
        <f t="shared" si="768"/>
        <v>0.16794992038737544</v>
      </c>
      <c r="S226" s="129">
        <f t="shared" si="768"/>
        <v>5.6478734289559879E-2</v>
      </c>
      <c r="T226" s="129">
        <f t="shared" si="768"/>
        <v>4.0910878043078629E-2</v>
      </c>
      <c r="U226" s="129">
        <f t="shared" si="768"/>
        <v>0.53184141456002221</v>
      </c>
      <c r="V226" s="101">
        <f t="shared" si="664"/>
        <v>9.508433705081254E-3</v>
      </c>
      <c r="W226" s="110"/>
      <c r="X226" s="129">
        <f t="shared" ref="X226:AG226" si="769">1/X227</f>
        <v>0.12764193949440533</v>
      </c>
      <c r="Y226" s="129">
        <f t="shared" si="769"/>
        <v>0.12764193949440533</v>
      </c>
      <c r="Z226" s="129">
        <f t="shared" si="769"/>
        <v>0.12764193949440533</v>
      </c>
      <c r="AA226" s="129">
        <f t="shared" si="769"/>
        <v>0.12764193949440533</v>
      </c>
      <c r="AB226" s="129">
        <f t="shared" si="769"/>
        <v>0.12764193949440533</v>
      </c>
      <c r="AC226" s="129">
        <f t="shared" si="769"/>
        <v>0.12764193949440533</v>
      </c>
      <c r="AD226" s="129">
        <f t="shared" si="769"/>
        <v>0.12764193949440533</v>
      </c>
      <c r="AE226" s="129">
        <f t="shared" si="769"/>
        <v>0.12764193949440533</v>
      </c>
      <c r="AF226" s="129">
        <f t="shared" si="769"/>
        <v>0.12764193949440533</v>
      </c>
      <c r="AG226" s="129">
        <f t="shared" si="769"/>
        <v>0.12764193949440533</v>
      </c>
      <c r="AH226" s="116">
        <f t="shared" ref="AH226" si="770">((AG226/J226)^(1/($AG$3-$K$1) ))-1</f>
        <v>-4.6616137236092037E-2</v>
      </c>
      <c r="AI226" s="21">
        <f t="shared" ref="AI226" si="771">$O$1</f>
        <v>0.05</v>
      </c>
      <c r="AJ226" s="157">
        <f>(AJ212)/($O$2*100)</f>
        <v>0</v>
      </c>
    </row>
    <row r="227" spans="2:36">
      <c r="B227" s="10" t="s">
        <v>416</v>
      </c>
      <c r="C227" s="111"/>
      <c r="D227" s="111"/>
      <c r="E227" s="111"/>
      <c r="F227" s="111"/>
      <c r="G227" s="113">
        <f t="shared" ref="G227" si="772">G203/$T$172</f>
        <v>2.1466298701298698</v>
      </c>
      <c r="H227" s="113">
        <f t="shared" ref="H227:I227" si="773">H203/$T$172</f>
        <v>2.1466298701298698</v>
      </c>
      <c r="I227" s="113">
        <f t="shared" si="773"/>
        <v>2.5226818181818182</v>
      </c>
      <c r="J227" s="113">
        <f t="shared" ref="J227:S227" si="774">J203/$T$172</f>
        <v>2.4913441558441556</v>
      </c>
      <c r="K227" s="113">
        <f t="shared" si="774"/>
        <v>2.6010259740259736</v>
      </c>
      <c r="L227" s="113">
        <f t="shared" si="774"/>
        <v>13.80424025974026</v>
      </c>
      <c r="M227" s="113">
        <f t="shared" si="774"/>
        <v>21.779675324675321</v>
      </c>
      <c r="N227" s="113">
        <f t="shared" si="774"/>
        <v>20.682857142857141</v>
      </c>
      <c r="O227" s="113">
        <f t="shared" si="774"/>
        <v>5.7974675324675315</v>
      </c>
      <c r="P227" s="113">
        <f t="shared" si="774"/>
        <v>4.5439610389610383</v>
      </c>
      <c r="Q227" s="113">
        <f t="shared" si="774"/>
        <v>4.9983571428571416</v>
      </c>
      <c r="R227" s="113">
        <f t="shared" si="774"/>
        <v>5.9541558441558431</v>
      </c>
      <c r="S227" s="113">
        <f t="shared" si="774"/>
        <v>17.705779220779217</v>
      </c>
      <c r="T227" s="113">
        <f>T203/$T$172</f>
        <v>24.443376623376619</v>
      </c>
      <c r="U227" s="113">
        <f>U203/$T$172</f>
        <v>1.8802597402597401</v>
      </c>
      <c r="V227" s="101">
        <f t="shared" si="664"/>
        <v>-9.418874956976464E-3</v>
      </c>
      <c r="W227" s="110"/>
      <c r="X227" s="113">
        <f t="shared" ref="X227:AG227" si="775">X203/$T$172</f>
        <v>7.8344155844155834</v>
      </c>
      <c r="Y227" s="113">
        <f t="shared" si="775"/>
        <v>7.8344155844155834</v>
      </c>
      <c r="Z227" s="113">
        <f t="shared" si="775"/>
        <v>7.8344155844155834</v>
      </c>
      <c r="AA227" s="113">
        <f t="shared" si="775"/>
        <v>7.8344155844155834</v>
      </c>
      <c r="AB227" s="113">
        <f t="shared" si="775"/>
        <v>7.8344155844155834</v>
      </c>
      <c r="AC227" s="113">
        <f t="shared" si="775"/>
        <v>7.8344155844155834</v>
      </c>
      <c r="AD227" s="113">
        <f t="shared" si="775"/>
        <v>7.8344155844155834</v>
      </c>
      <c r="AE227" s="113">
        <f t="shared" si="775"/>
        <v>7.8344155844155834</v>
      </c>
      <c r="AF227" s="113">
        <f t="shared" si="775"/>
        <v>7.8344155844155834</v>
      </c>
      <c r="AG227" s="113">
        <f t="shared" si="775"/>
        <v>7.8344155844155834</v>
      </c>
      <c r="AH227" s="116">
        <f t="shared" ref="AH227:AH229" si="776">((AG227/J227)^(1/($AG$3-$K$1) ))-1</f>
        <v>4.8895454451000964E-2</v>
      </c>
      <c r="AI227" s="21">
        <f t="shared" ref="AI227:AI229" si="777">$O$1</f>
        <v>0.05</v>
      </c>
      <c r="AJ227" s="157">
        <f>(AJ212)/($O$2*100)</f>
        <v>0</v>
      </c>
    </row>
    <row r="228" spans="2:36">
      <c r="B228" s="10" t="s">
        <v>437</v>
      </c>
      <c r="C228" s="111"/>
      <c r="D228" s="111"/>
      <c r="E228" s="111"/>
      <c r="F228" s="111"/>
      <c r="G228" s="157">
        <f t="shared" ref="G228" si="778">(G227)/($O$2*100)</f>
        <v>0.26832873376623373</v>
      </c>
      <c r="H228" s="157">
        <f t="shared" ref="H228:I228" si="779">(H227)/($O$2*100)</f>
        <v>0.26832873376623373</v>
      </c>
      <c r="I228" s="157">
        <f t="shared" si="779"/>
        <v>0.31533522727272728</v>
      </c>
      <c r="J228" s="157">
        <f t="shared" ref="J228:T228" si="780">(J227)/($O$2*100)</f>
        <v>0.31141801948051945</v>
      </c>
      <c r="K228" s="157">
        <f t="shared" si="780"/>
        <v>0.3251282467532467</v>
      </c>
      <c r="L228" s="157">
        <f t="shared" si="780"/>
        <v>1.7255300324675324</v>
      </c>
      <c r="M228" s="157">
        <f t="shared" si="780"/>
        <v>2.7224594155844151</v>
      </c>
      <c r="N228" s="157">
        <f t="shared" si="780"/>
        <v>2.5853571428571427</v>
      </c>
      <c r="O228" s="157">
        <f t="shared" si="780"/>
        <v>0.72468344155844144</v>
      </c>
      <c r="P228" s="157">
        <f t="shared" si="780"/>
        <v>0.56799512987012979</v>
      </c>
      <c r="Q228" s="157">
        <f t="shared" si="780"/>
        <v>0.6247946428571427</v>
      </c>
      <c r="R228" s="157">
        <f t="shared" si="780"/>
        <v>0.74426948051948039</v>
      </c>
      <c r="S228" s="157">
        <f t="shared" si="780"/>
        <v>2.2132224025974021</v>
      </c>
      <c r="T228" s="157">
        <f t="shared" si="780"/>
        <v>3.0554220779220773</v>
      </c>
      <c r="U228" s="157">
        <f t="shared" ref="U228" si="781">(U227)/($O$2*100)</f>
        <v>0.23503246753246751</v>
      </c>
      <c r="V228" s="101">
        <f t="shared" si="664"/>
        <v>-9.418874956976464E-3</v>
      </c>
      <c r="W228" s="110"/>
      <c r="X228" s="157">
        <f t="shared" ref="X228:AG228" si="782">(X227)/($O$2*100)</f>
        <v>0.97930194805194792</v>
      </c>
      <c r="Y228" s="157">
        <f t="shared" si="782"/>
        <v>0.97930194805194792</v>
      </c>
      <c r="Z228" s="157">
        <f t="shared" si="782"/>
        <v>0.97930194805194792</v>
      </c>
      <c r="AA228" s="157">
        <f t="shared" si="782"/>
        <v>0.97930194805194792</v>
      </c>
      <c r="AB228" s="157">
        <f t="shared" si="782"/>
        <v>0.97930194805194792</v>
      </c>
      <c r="AC228" s="157">
        <f t="shared" si="782"/>
        <v>0.97930194805194792</v>
      </c>
      <c r="AD228" s="157">
        <f t="shared" si="782"/>
        <v>0.97930194805194792</v>
      </c>
      <c r="AE228" s="157">
        <f t="shared" si="782"/>
        <v>0.97930194805194792</v>
      </c>
      <c r="AF228" s="157">
        <f t="shared" si="782"/>
        <v>0.97930194805194792</v>
      </c>
      <c r="AG228" s="157">
        <f t="shared" si="782"/>
        <v>0.97930194805194792</v>
      </c>
      <c r="AH228" s="116">
        <f t="shared" si="776"/>
        <v>4.8895454451000964E-2</v>
      </c>
      <c r="AI228" s="21">
        <f t="shared" si="777"/>
        <v>0.05</v>
      </c>
      <c r="AJ228" s="157" t="e">
        <f>(#REF!)/($O$2*100)</f>
        <v>#REF!</v>
      </c>
    </row>
    <row r="229" spans="2:36">
      <c r="B229" s="10" t="s">
        <v>439</v>
      </c>
      <c r="C229" s="111"/>
      <c r="D229" s="111"/>
      <c r="E229" s="111"/>
      <c r="F229" s="111"/>
      <c r="G229" s="129">
        <f t="shared" ref="G229" si="783">G228-1</f>
        <v>-0.73167126623376633</v>
      </c>
      <c r="H229" s="129">
        <f t="shared" ref="H229:I229" si="784">H228-1</f>
        <v>-0.73167126623376633</v>
      </c>
      <c r="I229" s="129">
        <f t="shared" si="784"/>
        <v>-0.68466477272727277</v>
      </c>
      <c r="J229" s="129">
        <f t="shared" ref="J229:T229" si="785">J228-1</f>
        <v>-0.68858198051948061</v>
      </c>
      <c r="K229" s="129">
        <f t="shared" si="785"/>
        <v>-0.6748717532467533</v>
      </c>
      <c r="L229" s="129">
        <f t="shared" si="785"/>
        <v>0.72553003246753245</v>
      </c>
      <c r="M229" s="129">
        <f t="shared" si="785"/>
        <v>1.7224594155844151</v>
      </c>
      <c r="N229" s="129">
        <f t="shared" si="785"/>
        <v>1.5853571428571427</v>
      </c>
      <c r="O229" s="129">
        <f t="shared" si="785"/>
        <v>-0.27531655844155856</v>
      </c>
      <c r="P229" s="129">
        <f t="shared" si="785"/>
        <v>-0.43200487012987021</v>
      </c>
      <c r="Q229" s="129">
        <f t="shared" si="785"/>
        <v>-0.3752053571428573</v>
      </c>
      <c r="R229" s="129">
        <f t="shared" si="785"/>
        <v>-0.25573051948051961</v>
      </c>
      <c r="S229" s="129">
        <f t="shared" si="785"/>
        <v>1.2132224025974021</v>
      </c>
      <c r="T229" s="129">
        <f t="shared" si="785"/>
        <v>2.0554220779220773</v>
      </c>
      <c r="U229" s="129">
        <f t="shared" ref="U229" si="786">U228-1</f>
        <v>-0.76496753246753246</v>
      </c>
      <c r="V229" s="101">
        <f t="shared" si="664"/>
        <v>3.1837766609605911E-3</v>
      </c>
      <c r="W229" s="110"/>
      <c r="X229" s="129">
        <f t="shared" ref="X229:AG229" si="787">X228-1</f>
        <v>-2.0698051948052076E-2</v>
      </c>
      <c r="Y229" s="129">
        <f t="shared" si="787"/>
        <v>-2.0698051948052076E-2</v>
      </c>
      <c r="Z229" s="129">
        <f t="shared" si="787"/>
        <v>-2.0698051948052076E-2</v>
      </c>
      <c r="AA229" s="129">
        <f t="shared" si="787"/>
        <v>-2.0698051948052076E-2</v>
      </c>
      <c r="AB229" s="129">
        <f t="shared" si="787"/>
        <v>-2.0698051948052076E-2</v>
      </c>
      <c r="AC229" s="129">
        <f t="shared" si="787"/>
        <v>-2.0698051948052076E-2</v>
      </c>
      <c r="AD229" s="129">
        <f t="shared" si="787"/>
        <v>-2.0698051948052076E-2</v>
      </c>
      <c r="AE229" s="129">
        <f t="shared" si="787"/>
        <v>-2.0698051948052076E-2</v>
      </c>
      <c r="AF229" s="129">
        <f t="shared" si="787"/>
        <v>-2.0698051948052076E-2</v>
      </c>
      <c r="AG229" s="129">
        <f t="shared" si="787"/>
        <v>-2.0698051948052076E-2</v>
      </c>
      <c r="AH229" s="116">
        <f t="shared" si="776"/>
        <v>-0.13586371308644485</v>
      </c>
      <c r="AI229" s="21">
        <f t="shared" si="777"/>
        <v>0.05</v>
      </c>
      <c r="AJ229" s="157" t="e">
        <f>(AJ213)/($O$2*100)</f>
        <v>#DIV/0!</v>
      </c>
    </row>
    <row r="230" spans="2:36">
      <c r="B230" s="10"/>
      <c r="C230" s="111"/>
      <c r="D230" s="111"/>
      <c r="E230" s="111"/>
      <c r="F230" s="111"/>
      <c r="G230" s="111"/>
      <c r="H230" s="111"/>
      <c r="I230" s="111"/>
      <c r="J230" s="113"/>
      <c r="K230" s="113"/>
      <c r="L230" s="113"/>
      <c r="M230" s="113"/>
      <c r="N230" s="175"/>
      <c r="O230" s="176"/>
      <c r="P230" s="113"/>
      <c r="Q230" s="113"/>
      <c r="R230" s="113"/>
      <c r="S230" s="113"/>
      <c r="T230" s="113"/>
      <c r="U230" s="158"/>
      <c r="V230" s="158"/>
      <c r="W230" s="110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5"/>
      <c r="AI230" s="10"/>
      <c r="AJ230" s="10"/>
    </row>
    <row r="231" spans="2:36">
      <c r="B231" s="10" t="s">
        <v>414</v>
      </c>
      <c r="C231" s="111"/>
      <c r="D231" s="111"/>
      <c r="E231" s="111"/>
      <c r="F231" s="111"/>
      <c r="G231" s="129">
        <f t="shared" ref="G231:S231" si="788">1/G232</f>
        <v>8.2320367290215954E-2</v>
      </c>
      <c r="H231" s="129">
        <f t="shared" si="788"/>
        <v>8.2320367290215954E-2</v>
      </c>
      <c r="I231" s="129">
        <f t="shared" si="788"/>
        <v>7.0049008191053336E-2</v>
      </c>
      <c r="J231" s="129">
        <f t="shared" si="788"/>
        <v>7.0930127790940795E-2</v>
      </c>
      <c r="K231" s="129">
        <f t="shared" si="788"/>
        <v>6.7939098305780654E-2</v>
      </c>
      <c r="L231" s="129">
        <f t="shared" si="788"/>
        <v>1.2801237592235625E-2</v>
      </c>
      <c r="M231" s="129">
        <f t="shared" si="788"/>
        <v>8.1135901573809975E-3</v>
      </c>
      <c r="N231" s="129">
        <f t="shared" si="788"/>
        <v>8.5438563020905963E-3</v>
      </c>
      <c r="O231" s="129">
        <f t="shared" si="788"/>
        <v>3.0480784645296181E-2</v>
      </c>
      <c r="P231" s="129">
        <f t="shared" si="788"/>
        <v>3.8889276961239956E-2</v>
      </c>
      <c r="Q231" s="129">
        <f t="shared" si="788"/>
        <v>3.5353888146581781E-2</v>
      </c>
      <c r="R231" s="129">
        <f t="shared" si="788"/>
        <v>2.9678658733577862E-2</v>
      </c>
      <c r="S231" s="129">
        <f t="shared" si="788"/>
        <v>9.9804339104067139E-3</v>
      </c>
      <c r="T231" s="129">
        <f>1/T232</f>
        <v>7.2294168709997348E-3</v>
      </c>
      <c r="U231" s="129">
        <f>1/U232</f>
        <v>9.3982419322996558E-2</v>
      </c>
      <c r="V231" s="101">
        <f t="shared" si="664"/>
        <v>9.508433705081254E-3</v>
      </c>
      <c r="W231" s="110"/>
      <c r="X231" s="129">
        <f t="shared" ref="X231:AG231" si="789">1/X232</f>
        <v>6.9003379981666297</v>
      </c>
      <c r="Y231" s="129">
        <f t="shared" si="789"/>
        <v>7.3062402333529022</v>
      </c>
      <c r="Z231" s="129">
        <f t="shared" si="789"/>
        <v>7.7360190706089567</v>
      </c>
      <c r="AA231" s="129">
        <f t="shared" si="789"/>
        <v>8.1910790159388949</v>
      </c>
      <c r="AB231" s="129">
        <f t="shared" si="789"/>
        <v>8.6729071933470649</v>
      </c>
      <c r="AC231" s="129">
        <f t="shared" si="789"/>
        <v>9.1830782047204256</v>
      </c>
      <c r="AD231" s="129">
        <f t="shared" si="789"/>
        <v>9.7232592755863276</v>
      </c>
      <c r="AE231" s="129">
        <f t="shared" si="789"/>
        <v>10.295215703561995</v>
      </c>
      <c r="AF231" s="129">
        <f t="shared" si="789"/>
        <v>10.900816627300937</v>
      </c>
      <c r="AG231" s="129">
        <f t="shared" si="789"/>
        <v>11.542041134789226</v>
      </c>
      <c r="AH231" s="116">
        <f t="shared" ref="AH231:AH234" si="790">((AG231/J231)^(1/($AG$3-$K$1) ))-1</f>
        <v>0.23635681802647523</v>
      </c>
      <c r="AI231" s="21">
        <f t="shared" ref="AI231:AI234" si="791">$O$1</f>
        <v>0.05</v>
      </c>
      <c r="AJ231" s="157">
        <f>(AJ217)/($O$2*100)</f>
        <v>8.297145078640742E-3</v>
      </c>
    </row>
    <row r="232" spans="2:36">
      <c r="B232" s="10" t="s">
        <v>510</v>
      </c>
      <c r="C232" s="111"/>
      <c r="D232" s="111"/>
      <c r="E232" s="111"/>
      <c r="F232" s="111"/>
      <c r="G232" s="113">
        <f t="shared" ref="G232" si="792">G203/$X$173</f>
        <v>12.147662029671887</v>
      </c>
      <c r="H232" s="113">
        <f t="shared" ref="H232:S232" si="793">H203/$X$173</f>
        <v>12.147662029671887</v>
      </c>
      <c r="I232" s="113">
        <f t="shared" si="793"/>
        <v>14.275719611512217</v>
      </c>
      <c r="J232" s="113">
        <f t="shared" si="793"/>
        <v>14.09838147969219</v>
      </c>
      <c r="K232" s="113">
        <f t="shared" si="793"/>
        <v>14.719064941062284</v>
      </c>
      <c r="L232" s="113">
        <f t="shared" si="793"/>
        <v>78.117447066722136</v>
      </c>
      <c r="M232" s="113">
        <f t="shared" si="793"/>
        <v>123.25000161491914</v>
      </c>
      <c r="N232" s="113">
        <f t="shared" si="793"/>
        <v>117.04316700121818</v>
      </c>
      <c r="O232" s="113">
        <f t="shared" si="793"/>
        <v>32.807554386705092</v>
      </c>
      <c r="P232" s="113">
        <f t="shared" si="793"/>
        <v>25.714029113903994</v>
      </c>
      <c r="Q232" s="113">
        <f t="shared" si="793"/>
        <v>28.285432025294391</v>
      </c>
      <c r="R232" s="113">
        <f t="shared" si="793"/>
        <v>33.694245045805232</v>
      </c>
      <c r="S232" s="113">
        <f t="shared" si="793"/>
        <v>100.19604447831556</v>
      </c>
      <c r="T232" s="113">
        <f>T203/$X$173</f>
        <v>138.32374281962149</v>
      </c>
      <c r="U232" s="113">
        <f>U203/$X$173</f>
        <v>10.640287909201652</v>
      </c>
      <c r="V232" s="101">
        <f t="shared" si="664"/>
        <v>-9.418874956976464E-3</v>
      </c>
      <c r="W232" s="110"/>
      <c r="X232" s="113">
        <f t="shared" ref="X232:AG232" si="794">X208/$T$172</f>
        <v>0.14492043726926027</v>
      </c>
      <c r="Y232" s="113">
        <f t="shared" si="794"/>
        <v>0.13686930186541246</v>
      </c>
      <c r="Z232" s="113">
        <f t="shared" si="794"/>
        <v>0.12926545176177842</v>
      </c>
      <c r="AA232" s="113">
        <f t="shared" si="794"/>
        <v>0.12208403777501296</v>
      </c>
      <c r="AB232" s="113">
        <f t="shared" si="794"/>
        <v>0.11530159123195668</v>
      </c>
      <c r="AC232" s="113">
        <f t="shared" si="794"/>
        <v>0.10889594727462572</v>
      </c>
      <c r="AD232" s="113">
        <f t="shared" si="794"/>
        <v>0.10284617242603544</v>
      </c>
      <c r="AE232" s="113">
        <f t="shared" si="794"/>
        <v>9.7132496180144579E-2</v>
      </c>
      <c r="AF232" s="113">
        <f t="shared" si="794"/>
        <v>9.1736246392358764E-2</v>
      </c>
      <c r="AG232" s="113">
        <f t="shared" si="794"/>
        <v>8.6639788259449957E-2</v>
      </c>
      <c r="AH232" s="116">
        <f t="shared" si="790"/>
        <v>-0.191172010038136</v>
      </c>
      <c r="AI232" s="21">
        <f t="shared" si="791"/>
        <v>0.05</v>
      </c>
      <c r="AJ232" s="157">
        <f>(AJ217)/($O$2*100)</f>
        <v>8.297145078640742E-3</v>
      </c>
    </row>
    <row r="233" spans="2:36">
      <c r="B233" s="10" t="s">
        <v>437</v>
      </c>
      <c r="C233" s="111"/>
      <c r="D233" s="111"/>
      <c r="E233" s="111"/>
      <c r="F233" s="111"/>
      <c r="G233" s="157">
        <f t="shared" ref="G233" si="795">(G232)/($O$2*100)</f>
        <v>1.5184577537089858</v>
      </c>
      <c r="H233" s="157">
        <f t="shared" ref="H233:T233" si="796">(H232)/($O$2*100)</f>
        <v>1.5184577537089858</v>
      </c>
      <c r="I233" s="157">
        <f t="shared" si="796"/>
        <v>1.7844649514390272</v>
      </c>
      <c r="J233" s="157">
        <f t="shared" si="796"/>
        <v>1.7622976849615237</v>
      </c>
      <c r="K233" s="157">
        <f t="shared" si="796"/>
        <v>1.8398831176327854</v>
      </c>
      <c r="L233" s="157">
        <f t="shared" si="796"/>
        <v>9.764680883340267</v>
      </c>
      <c r="M233" s="157">
        <f t="shared" si="796"/>
        <v>15.406250201864893</v>
      </c>
      <c r="N233" s="157">
        <f t="shared" si="796"/>
        <v>14.630395875152272</v>
      </c>
      <c r="O233" s="157">
        <f t="shared" si="796"/>
        <v>4.1009442983381366</v>
      </c>
      <c r="P233" s="157">
        <f t="shared" si="796"/>
        <v>3.2142536392379992</v>
      </c>
      <c r="Q233" s="157">
        <f t="shared" si="796"/>
        <v>3.5356790031617988</v>
      </c>
      <c r="R233" s="157">
        <f t="shared" si="796"/>
        <v>4.211780630725654</v>
      </c>
      <c r="S233" s="157">
        <f t="shared" si="796"/>
        <v>12.524505559789445</v>
      </c>
      <c r="T233" s="157">
        <f t="shared" si="796"/>
        <v>17.290467852452686</v>
      </c>
      <c r="U233" s="157">
        <f t="shared" ref="U233" si="797">(U232)/($O$2*100)</f>
        <v>1.3300359886502064</v>
      </c>
      <c r="V233" s="101">
        <f t="shared" si="664"/>
        <v>-9.418874956976464E-3</v>
      </c>
      <c r="W233" s="110"/>
      <c r="X233" s="157">
        <f t="shared" ref="X233:AG233" si="798">(X232)/($O$2*100)</f>
        <v>1.8115054658657533E-2</v>
      </c>
      <c r="Y233" s="157">
        <f t="shared" si="798"/>
        <v>1.7108662733176558E-2</v>
      </c>
      <c r="Z233" s="157">
        <f t="shared" si="798"/>
        <v>1.6158181470222303E-2</v>
      </c>
      <c r="AA233" s="157">
        <f t="shared" si="798"/>
        <v>1.526050472187662E-2</v>
      </c>
      <c r="AB233" s="157">
        <f t="shared" si="798"/>
        <v>1.4412698903994586E-2</v>
      </c>
      <c r="AC233" s="157">
        <f t="shared" si="798"/>
        <v>1.3611993409328215E-2</v>
      </c>
      <c r="AD233" s="157">
        <f t="shared" si="798"/>
        <v>1.285577155325443E-2</v>
      </c>
      <c r="AE233" s="157">
        <f t="shared" si="798"/>
        <v>1.2141562022518072E-2</v>
      </c>
      <c r="AF233" s="157">
        <f t="shared" si="798"/>
        <v>1.1467030799044845E-2</v>
      </c>
      <c r="AG233" s="157">
        <f t="shared" si="798"/>
        <v>1.0829973532431245E-2</v>
      </c>
      <c r="AH233" s="116">
        <f t="shared" si="790"/>
        <v>-0.191172010038136</v>
      </c>
      <c r="AI233" s="21">
        <f t="shared" si="791"/>
        <v>0.05</v>
      </c>
      <c r="AJ233" s="157" t="e">
        <f>(#REF!)/($O$2*100)</f>
        <v>#REF!</v>
      </c>
    </row>
    <row r="234" spans="2:36">
      <c r="B234" s="10" t="s">
        <v>439</v>
      </c>
      <c r="C234" s="111"/>
      <c r="D234" s="111"/>
      <c r="E234" s="111"/>
      <c r="F234" s="111"/>
      <c r="G234" s="129">
        <f t="shared" ref="G234" si="799">G233-1</f>
        <v>0.51845775370898584</v>
      </c>
      <c r="H234" s="129">
        <f t="shared" ref="H234:T234" si="800">H233-1</f>
        <v>0.51845775370898584</v>
      </c>
      <c r="I234" s="129">
        <f t="shared" si="800"/>
        <v>0.78446495143902717</v>
      </c>
      <c r="J234" s="129">
        <f t="shared" si="800"/>
        <v>0.76229768496152372</v>
      </c>
      <c r="K234" s="129">
        <f t="shared" si="800"/>
        <v>0.83988311763278545</v>
      </c>
      <c r="L234" s="129">
        <f t="shared" si="800"/>
        <v>8.764680883340267</v>
      </c>
      <c r="M234" s="129">
        <f t="shared" si="800"/>
        <v>14.406250201864893</v>
      </c>
      <c r="N234" s="129">
        <f t="shared" si="800"/>
        <v>13.630395875152272</v>
      </c>
      <c r="O234" s="129">
        <f t="shared" si="800"/>
        <v>3.1009442983381366</v>
      </c>
      <c r="P234" s="129">
        <f t="shared" si="800"/>
        <v>2.2142536392379992</v>
      </c>
      <c r="Q234" s="129">
        <f t="shared" si="800"/>
        <v>2.5356790031617988</v>
      </c>
      <c r="R234" s="129">
        <f t="shared" si="800"/>
        <v>3.211780630725654</v>
      </c>
      <c r="S234" s="129">
        <f t="shared" si="800"/>
        <v>11.524505559789445</v>
      </c>
      <c r="T234" s="129">
        <f t="shared" si="800"/>
        <v>16.290467852452686</v>
      </c>
      <c r="U234" s="129">
        <f t="shared" ref="U234" si="801">U233-1</f>
        <v>0.33003598865020645</v>
      </c>
      <c r="V234" s="101">
        <f t="shared" si="664"/>
        <v>-3.1746361669189982E-2</v>
      </c>
      <c r="W234" s="110"/>
      <c r="X234" s="129">
        <f t="shared" ref="X234:AG234" si="802">X233-1</f>
        <v>-0.98188494534134252</v>
      </c>
      <c r="Y234" s="129">
        <f t="shared" si="802"/>
        <v>-0.98289133726682343</v>
      </c>
      <c r="Z234" s="129">
        <f t="shared" si="802"/>
        <v>-0.9838418185297777</v>
      </c>
      <c r="AA234" s="129">
        <f t="shared" si="802"/>
        <v>-0.98473949527812343</v>
      </c>
      <c r="AB234" s="129">
        <f t="shared" si="802"/>
        <v>-0.98558730109600545</v>
      </c>
      <c r="AC234" s="129">
        <f t="shared" si="802"/>
        <v>-0.98638800659067183</v>
      </c>
      <c r="AD234" s="129">
        <f t="shared" si="802"/>
        <v>-0.98714422844674554</v>
      </c>
      <c r="AE234" s="129">
        <f t="shared" si="802"/>
        <v>-0.98785843797748196</v>
      </c>
      <c r="AF234" s="129">
        <f t="shared" si="802"/>
        <v>-0.98853296920095513</v>
      </c>
      <c r="AG234" s="129">
        <f t="shared" si="802"/>
        <v>-0.9891700264675688</v>
      </c>
      <c r="AH234" s="116" t="e">
        <f t="shared" si="790"/>
        <v>#NUM!</v>
      </c>
      <c r="AI234" s="21">
        <f t="shared" si="791"/>
        <v>0.05</v>
      </c>
      <c r="AJ234" s="157">
        <f>(AJ218)/($O$2*100)</f>
        <v>0.67925174923243814</v>
      </c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58"/>
      <c r="V235" s="158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10"/>
      <c r="C236" s="111"/>
      <c r="D236" s="111"/>
      <c r="E236" s="111"/>
      <c r="F236" s="111"/>
      <c r="G236" s="111"/>
      <c r="H236" s="111"/>
      <c r="I236" s="111"/>
      <c r="J236" s="113"/>
      <c r="K236" s="113"/>
      <c r="L236" s="113"/>
      <c r="M236" s="113"/>
      <c r="N236" s="175"/>
      <c r="O236" s="176"/>
      <c r="P236" s="113"/>
      <c r="Q236" s="113"/>
      <c r="R236" s="113"/>
      <c r="S236" s="113"/>
      <c r="T236" s="113"/>
      <c r="U236" s="113"/>
      <c r="V236" s="110"/>
      <c r="W236" s="110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5"/>
      <c r="AI236" s="10"/>
      <c r="AJ236" s="10"/>
    </row>
    <row r="237" spans="2:36">
      <c r="B237" s="10"/>
      <c r="C237" s="111"/>
      <c r="D237" s="111"/>
      <c r="E237" s="111"/>
      <c r="F237" s="111"/>
      <c r="G237" s="111"/>
      <c r="H237" s="111"/>
      <c r="I237" s="111"/>
      <c r="J237" s="113"/>
      <c r="K237" s="113"/>
      <c r="L237" s="113"/>
      <c r="M237" s="113"/>
      <c r="N237" s="175"/>
      <c r="O237" s="176"/>
      <c r="P237" s="113"/>
      <c r="Q237" s="113"/>
      <c r="R237" s="113"/>
      <c r="S237" s="113"/>
      <c r="T237" s="113"/>
      <c r="U237" s="113"/>
      <c r="V237" s="110"/>
      <c r="W237" s="110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5"/>
      <c r="AI237" s="10"/>
      <c r="AJ237" s="10"/>
    </row>
    <row r="238" spans="2:36">
      <c r="B238" s="93" t="s">
        <v>251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312" t="s">
        <v>296</v>
      </c>
      <c r="O238" s="313"/>
      <c r="P238" s="10"/>
      <c r="Q238" s="10"/>
      <c r="R238" s="10"/>
      <c r="S238" s="93" t="s">
        <v>375</v>
      </c>
      <c r="T238" s="170" t="s">
        <v>374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249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 t="s">
        <v>297</v>
      </c>
      <c r="O239" s="12">
        <v>1</v>
      </c>
      <c r="P239" s="10"/>
      <c r="Q239" s="10"/>
      <c r="R239" s="10"/>
      <c r="S239" s="110">
        <f>(U203-Y190)/U203</f>
        <v>0.98952093888562409</v>
      </c>
      <c r="T239" s="110">
        <f>(U203-X190)/U203</f>
        <v>0.95137954526406865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294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8">
        <f>$O$239</f>
        <v>1</v>
      </c>
      <c r="O240" s="10"/>
      <c r="P240" s="110">
        <f>(S203-(N240*W181))/S203</f>
        <v>-8.5263704779443436E-2</v>
      </c>
      <c r="Q240" s="10"/>
      <c r="R240" s="10"/>
      <c r="S240" s="110">
        <f>(U203-Y181)/U203</f>
        <v>-7.7955285909891368</v>
      </c>
      <c r="T240" s="110">
        <f>(U203-X181)/U203</f>
        <v>-0.42403796235062191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295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8">
        <f>$O$239</f>
        <v>1</v>
      </c>
      <c r="O241" s="10"/>
      <c r="P241" s="110">
        <f>(S203-(N241*W174))/S203</f>
        <v>2.2172730844346861E-2</v>
      </c>
      <c r="Q241" s="10"/>
      <c r="R241" s="10"/>
      <c r="S241" s="110">
        <f>(U203-Y174)/U203</f>
        <v>-6.9248091178496063</v>
      </c>
      <c r="T241" s="110">
        <f>(U203-X174)/U203</f>
        <v>-0.28306433336612669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298</v>
      </c>
      <c r="C242" s="10" t="s">
        <v>261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8">
        <f>$O$239</f>
        <v>1</v>
      </c>
      <c r="O242" s="10"/>
      <c r="P242" s="110">
        <f>(S203-(N242*W187))/S203</f>
        <v>0.88442713097196501</v>
      </c>
      <c r="Q242" s="10"/>
      <c r="R242" s="10"/>
      <c r="S242" s="110">
        <f>(U203-Y187)/U203</f>
        <v>6.3338735643691926E-2</v>
      </c>
      <c r="T242" s="110">
        <f>(U203-X187)/U203</f>
        <v>0.84835008100897868</v>
      </c>
      <c r="U242" s="1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5"/>
      <c r="AI242" s="10"/>
      <c r="AJ242" s="10"/>
    </row>
    <row r="243" spans="2:50">
      <c r="B243" s="10" t="s">
        <v>344</v>
      </c>
      <c r="C243" s="10" t="s">
        <v>261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8">
        <f>$O$239</f>
        <v>1</v>
      </c>
      <c r="O243" s="10"/>
      <c r="P243" s="110">
        <f>(S203-(N243*W200))/S203</f>
        <v>1</v>
      </c>
      <c r="Q243" s="10"/>
      <c r="R243" s="10"/>
      <c r="S243" s="110">
        <f>(U203-Y200)/U203</f>
        <v>1</v>
      </c>
      <c r="T243" s="110">
        <f>(U203-X200)/U203</f>
        <v>1</v>
      </c>
      <c r="U243" s="1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5"/>
      <c r="AI243" s="10"/>
      <c r="AJ243" s="10"/>
    </row>
    <row r="244" spans="2:50">
      <c r="B244" s="10" t="s">
        <v>250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5">
        <f>U203/Y173</f>
        <v>1.7227132805374101</v>
      </c>
      <c r="T244" s="15">
        <f>U203/X173</f>
        <v>10.640287909201652</v>
      </c>
      <c r="U244" s="15"/>
      <c r="V244" s="10"/>
      <c r="W244" s="10"/>
      <c r="X244" s="98" t="s">
        <v>5</v>
      </c>
      <c r="Y244" s="98" t="s">
        <v>6</v>
      </c>
      <c r="Z244" s="98" t="s">
        <v>7</v>
      </c>
      <c r="AA244" s="98" t="s">
        <v>8</v>
      </c>
      <c r="AB244" s="98" t="s">
        <v>9</v>
      </c>
      <c r="AC244" s="98" t="s">
        <v>192</v>
      </c>
      <c r="AD244" s="98" t="s">
        <v>193</v>
      </c>
      <c r="AE244" s="98" t="s">
        <v>194</v>
      </c>
      <c r="AF244" s="98" t="s">
        <v>195</v>
      </c>
      <c r="AG244" s="98" t="s">
        <v>196</v>
      </c>
      <c r="AH244" s="98" t="s">
        <v>352</v>
      </c>
      <c r="AI244" s="98" t="s">
        <v>353</v>
      </c>
      <c r="AJ244" s="98" t="s">
        <v>354</v>
      </c>
      <c r="AK244" s="98" t="s">
        <v>355</v>
      </c>
      <c r="AL244" s="98" t="s">
        <v>356</v>
      </c>
      <c r="AM244" s="98" t="s">
        <v>357</v>
      </c>
      <c r="AN244" s="98" t="s">
        <v>358</v>
      </c>
      <c r="AO244" s="98" t="s">
        <v>359</v>
      </c>
      <c r="AP244" s="98" t="s">
        <v>360</v>
      </c>
      <c r="AQ244" s="98" t="s">
        <v>361</v>
      </c>
      <c r="AR244" s="98" t="s">
        <v>362</v>
      </c>
      <c r="AS244" s="98" t="s">
        <v>363</v>
      </c>
      <c r="AT244" s="98" t="s">
        <v>364</v>
      </c>
      <c r="AU244" s="98" t="s">
        <v>365</v>
      </c>
      <c r="AV244" s="98" t="s">
        <v>366</v>
      </c>
      <c r="AW244" s="98" t="s">
        <v>367</v>
      </c>
      <c r="AX244" s="98" t="s">
        <v>368</v>
      </c>
    </row>
    <row r="245" spans="2:50">
      <c r="B245" s="10" t="s">
        <v>316</v>
      </c>
      <c r="C245" s="10"/>
      <c r="D245" s="10"/>
      <c r="E245" s="10"/>
      <c r="F245" s="10"/>
      <c r="G245" s="10"/>
      <c r="H245" s="10"/>
      <c r="I245" s="10"/>
      <c r="J245" s="165" t="s">
        <v>391</v>
      </c>
      <c r="K245" s="166"/>
      <c r="L245" s="165" t="s">
        <v>392</v>
      </c>
      <c r="M245" s="166"/>
      <c r="N245" s="10"/>
      <c r="O245" s="165" t="s">
        <v>393</v>
      </c>
      <c r="P245" s="166"/>
      <c r="Q245" s="165" t="s">
        <v>394</v>
      </c>
      <c r="R245" s="166"/>
      <c r="S245" s="129">
        <f>1/S244</f>
        <v>0.58047964875968472</v>
      </c>
      <c r="T245" s="129">
        <f>1/T244</f>
        <v>9.3982419322996558E-2</v>
      </c>
      <c r="U245" s="129"/>
      <c r="V245" s="10"/>
      <c r="W245" s="10"/>
      <c r="X245" s="111">
        <f>U203-X246</f>
        <v>5.9805650603764748</v>
      </c>
      <c r="Y245" s="161">
        <f>X245-Y246</f>
        <v>-0.9417851201905787</v>
      </c>
      <c r="Z245" s="161">
        <f t="shared" ref="Z245:AB245" si="803">Y245-Z246</f>
        <v>-8.9024878278426893</v>
      </c>
      <c r="AA245" s="161">
        <f t="shared" si="803"/>
        <v>-18.057295941642614</v>
      </c>
      <c r="AB245" s="161">
        <f t="shared" si="803"/>
        <v>-28.585325272512527</v>
      </c>
      <c r="AC245" s="161">
        <f>AB245-AC246</f>
        <v>-40.692559003012931</v>
      </c>
      <c r="AD245" s="161">
        <f t="shared" ref="AD245:AG245" si="804">AC245-AD246</f>
        <v>-54.615877793088387</v>
      </c>
      <c r="AE245" s="161">
        <f t="shared" si="804"/>
        <v>-70.627694401675171</v>
      </c>
      <c r="AF245" s="161">
        <f t="shared" si="804"/>
        <v>-89.04128350154997</v>
      </c>
      <c r="AG245" s="161">
        <f t="shared" si="804"/>
        <v>-110.21691096640598</v>
      </c>
      <c r="AH245" s="161">
        <f t="shared" ref="AH245" si="805">AG245-AH246</f>
        <v>-134.56888255099039</v>
      </c>
      <c r="AI245" s="161">
        <f t="shared" ref="AI245" si="806">AH245-AI246</f>
        <v>-162.57364987326247</v>
      </c>
      <c r="AJ245" s="161">
        <f t="shared" ref="AJ245" si="807">AI245-AJ246</f>
        <v>-194.77913229387534</v>
      </c>
      <c r="AK245" s="161">
        <f t="shared" ref="AK245" si="808">AJ245-AK246</f>
        <v>-231.81543707758013</v>
      </c>
      <c r="AL245" s="161">
        <f t="shared" ref="AL245" si="809">AK245-AL246</f>
        <v>-274.40718757884065</v>
      </c>
      <c r="AM245" s="161">
        <f t="shared" ref="AM245" si="810">AL245-AM246</f>
        <v>-323.38770065529025</v>
      </c>
      <c r="AN245" s="161">
        <f t="shared" ref="AN245" si="811">AM245-AN246</f>
        <v>-379.71529069320724</v>
      </c>
      <c r="AO245" s="161">
        <f t="shared" ref="AO245" si="812">AN245-AO246</f>
        <v>-444.49201923681176</v>
      </c>
      <c r="AP245" s="161">
        <f t="shared" ref="AP245" si="813">AO245-AP246</f>
        <v>-518.98525706195699</v>
      </c>
      <c r="AQ245" s="161">
        <f t="shared" ref="AQ245" si="814">AP245-AQ246</f>
        <v>-604.65248056087398</v>
      </c>
      <c r="AR245" s="161">
        <f t="shared" ref="AR245" si="815">AQ245-AR246</f>
        <v>-703.16978758462858</v>
      </c>
      <c r="AS245" s="161">
        <f t="shared" ref="AS245" si="816">AR245-AS246</f>
        <v>-816.46469066194629</v>
      </c>
      <c r="AT245" s="161">
        <f t="shared" ref="AT245" si="817">AS245-AT246</f>
        <v>-946.75382920086167</v>
      </c>
      <c r="AU245" s="161">
        <f t="shared" ref="AU245" si="818">AT245-AU246</f>
        <v>-1096.5863385206144</v>
      </c>
      <c r="AV245" s="161">
        <f t="shared" ref="AV245" si="819">AU245-AV246</f>
        <v>-1268.8937242383299</v>
      </c>
      <c r="AW245" s="161">
        <f t="shared" ref="AW245" si="820">AV245-AW246</f>
        <v>-1467.0472178137029</v>
      </c>
      <c r="AX245" s="161">
        <f t="shared" ref="AX245" si="821">AW245-AX246</f>
        <v>-1694.9237354253817</v>
      </c>
    </row>
    <row r="246" spans="2:50">
      <c r="B246" s="10" t="s">
        <v>341</v>
      </c>
      <c r="C246" s="10"/>
      <c r="D246" s="10"/>
      <c r="E246" s="10"/>
      <c r="F246" s="10"/>
      <c r="G246" s="10"/>
      <c r="H246" s="10"/>
      <c r="I246" s="10"/>
      <c r="J246" s="167">
        <v>0</v>
      </c>
      <c r="K246" s="166"/>
      <c r="L246" s="167">
        <v>0.05</v>
      </c>
      <c r="M246" s="166"/>
      <c r="N246" s="160">
        <v>0.15</v>
      </c>
      <c r="O246" s="167">
        <v>0.12</v>
      </c>
      <c r="P246" s="166"/>
      <c r="Q246" s="167">
        <v>0.2</v>
      </c>
      <c r="R246" s="174" t="s">
        <v>231</v>
      </c>
      <c r="S246" s="157">
        <f>U203/S172</f>
        <v>4.2077161807292693</v>
      </c>
      <c r="T246" s="157" t="s">
        <v>412</v>
      </c>
      <c r="U246" s="157"/>
      <c r="V246" s="10"/>
      <c r="W246" s="10"/>
      <c r="X246" s="162">
        <f>V172*(1+$N$246)</f>
        <v>6.0194349396235252</v>
      </c>
      <c r="Y246" s="162">
        <f>X246*(1+$N$246)</f>
        <v>6.9223501805670535</v>
      </c>
      <c r="Z246" s="162">
        <f t="shared" ref="Z246:AG246" si="822">Y246*(1+$N$246)</f>
        <v>7.9607027076521106</v>
      </c>
      <c r="AA246" s="162">
        <f t="shared" si="822"/>
        <v>9.1548081137999269</v>
      </c>
      <c r="AB246" s="162">
        <f t="shared" si="822"/>
        <v>10.528029330869915</v>
      </c>
      <c r="AC246" s="162">
        <f t="shared" si="822"/>
        <v>12.107233730500401</v>
      </c>
      <c r="AD246" s="162">
        <f t="shared" si="822"/>
        <v>13.923318790075459</v>
      </c>
      <c r="AE246" s="162">
        <f t="shared" si="822"/>
        <v>16.011816608586777</v>
      </c>
      <c r="AF246" s="162">
        <f t="shared" si="822"/>
        <v>18.413589099874791</v>
      </c>
      <c r="AG246" s="162">
        <f t="shared" si="822"/>
        <v>21.175627464856007</v>
      </c>
      <c r="AH246" s="162">
        <f t="shared" ref="AH246" si="823">AG246*(1+$N$246)</f>
        <v>24.351971584584405</v>
      </c>
      <c r="AI246" s="162">
        <f t="shared" ref="AI246" si="824">AH246*(1+$N$246)</f>
        <v>28.004767322272063</v>
      </c>
      <c r="AJ246" s="162">
        <f t="shared" ref="AJ246" si="825">AI246*(1+$N$246)</f>
        <v>32.205482420612867</v>
      </c>
      <c r="AK246" s="162">
        <f t="shared" ref="AK246" si="826">AJ246*(1+$N$246)</f>
        <v>37.036304783704793</v>
      </c>
      <c r="AL246" s="162">
        <f t="shared" ref="AL246" si="827">AK246*(1+$N$246)</f>
        <v>42.591750501260506</v>
      </c>
      <c r="AM246" s="162">
        <f t="shared" ref="AM246" si="828">AL246*(1+$N$246)</f>
        <v>48.980513076449576</v>
      </c>
      <c r="AN246" s="162">
        <f t="shared" ref="AN246" si="829">AM246*(1+$N$246)</f>
        <v>56.327590037917005</v>
      </c>
      <c r="AO246" s="162">
        <f t="shared" ref="AO246" si="830">AN246*(1+$N$246)</f>
        <v>64.776728543604548</v>
      </c>
      <c r="AP246" s="162">
        <f t="shared" ref="AP246" si="831">AO246*(1+$N$246)</f>
        <v>74.493237825145229</v>
      </c>
      <c r="AQ246" s="162">
        <f t="shared" ref="AQ246" si="832">AP246*(1+$N$246)</f>
        <v>85.667223498917011</v>
      </c>
      <c r="AR246" s="162">
        <f t="shared" ref="AR246" si="833">AQ246*(1+$N$246)</f>
        <v>98.517307023754555</v>
      </c>
      <c r="AS246" s="162">
        <f t="shared" ref="AS246" si="834">AR246*(1+$N$246)</f>
        <v>113.29490307731773</v>
      </c>
      <c r="AT246" s="162">
        <f t="shared" ref="AT246" si="835">AS246*(1+$N$246)</f>
        <v>130.28913853891538</v>
      </c>
      <c r="AU246" s="162">
        <f t="shared" ref="AU246" si="836">AT246*(1+$N$246)</f>
        <v>149.83250931975269</v>
      </c>
      <c r="AV246" s="162">
        <f t="shared" ref="AV246" si="837">AU246*(1+$N$246)</f>
        <v>172.30738571771559</v>
      </c>
      <c r="AW246" s="162">
        <f t="shared" ref="AW246" si="838">AV246*(1+$N$246)</f>
        <v>198.15349357537292</v>
      </c>
      <c r="AX246" s="162">
        <f t="shared" ref="AX246" si="839">AW246*(1+$N$246)</f>
        <v>227.87651761167885</v>
      </c>
    </row>
    <row r="247" spans="2:50">
      <c r="B247" s="10" t="s">
        <v>340</v>
      </c>
      <c r="C247" s="10"/>
      <c r="D247" s="10"/>
      <c r="E247" s="13" t="s">
        <v>336</v>
      </c>
      <c r="F247" s="13"/>
      <c r="G247" s="13"/>
      <c r="H247" s="13"/>
      <c r="I247" s="12"/>
      <c r="J247" s="167">
        <v>0</v>
      </c>
      <c r="K247" s="168">
        <f>T205</f>
        <v>19.081855670103096</v>
      </c>
      <c r="L247" s="167">
        <v>0.05</v>
      </c>
      <c r="M247" s="166"/>
      <c r="N247" s="160">
        <v>0.15</v>
      </c>
      <c r="O247" s="167">
        <v>0.12</v>
      </c>
      <c r="P247" s="166"/>
      <c r="Q247" s="167">
        <v>0.2</v>
      </c>
      <c r="R247" s="174" t="s">
        <v>411</v>
      </c>
      <c r="S247" s="157">
        <f>U203/U74</f>
        <v>3.1473913043478259</v>
      </c>
      <c r="T247" s="157" t="s">
        <v>412</v>
      </c>
      <c r="U247" s="157"/>
      <c r="V247" s="10"/>
      <c r="W247" s="10"/>
      <c r="X247" s="162">
        <f>T74*(1+$N$247)</f>
        <v>9.401601348504002</v>
      </c>
      <c r="Y247" s="162">
        <f>X247*(1+$N$247)</f>
        <v>10.811841550779601</v>
      </c>
      <c r="Z247" s="162">
        <f t="shared" ref="Z247:AG247" si="840">Y247*(1+$N$247)</f>
        <v>12.43361778339654</v>
      </c>
      <c r="AA247" s="162">
        <f t="shared" si="840"/>
        <v>14.29866045090602</v>
      </c>
      <c r="AB247" s="162">
        <f t="shared" si="840"/>
        <v>16.443459518541921</v>
      </c>
      <c r="AC247" s="162">
        <f t="shared" si="840"/>
        <v>18.909978446323208</v>
      </c>
      <c r="AD247" s="162">
        <f t="shared" si="840"/>
        <v>21.746475213271687</v>
      </c>
      <c r="AE247" s="162">
        <f t="shared" si="840"/>
        <v>25.008446495262437</v>
      </c>
      <c r="AF247" s="162">
        <f t="shared" si="840"/>
        <v>28.759713469551802</v>
      </c>
      <c r="AG247" s="162">
        <f t="shared" si="840"/>
        <v>33.073670489984572</v>
      </c>
      <c r="AH247" s="162">
        <f t="shared" ref="AH247" si="841">AG247*(1+$N$247)</f>
        <v>38.034721063482252</v>
      </c>
      <c r="AI247" s="162">
        <f t="shared" ref="AI247" si="842">AH247*(1+$N$247)</f>
        <v>43.739929223004587</v>
      </c>
      <c r="AJ247" s="162">
        <f t="shared" ref="AJ247" si="843">AI247*(1+$N$247)</f>
        <v>50.300918606455269</v>
      </c>
      <c r="AK247" s="162">
        <f t="shared" ref="AK247" si="844">AJ247*(1+$N$247)</f>
        <v>57.846056397423553</v>
      </c>
      <c r="AL247" s="162">
        <f t="shared" ref="AL247" si="845">AK247*(1+$N$247)</f>
        <v>66.522964857037081</v>
      </c>
      <c r="AM247" s="162">
        <f t="shared" ref="AM247" si="846">AL247*(1+$N$247)</f>
        <v>76.50140958559264</v>
      </c>
      <c r="AN247" s="162">
        <f t="shared" ref="AN247" si="847">AM247*(1+$N$247)</f>
        <v>87.976621023431534</v>
      </c>
      <c r="AO247" s="162">
        <f t="shared" ref="AO247" si="848">AN247*(1+$N$247)</f>
        <v>101.17311417694626</v>
      </c>
      <c r="AP247" s="162">
        <f t="shared" ref="AP247" si="849">AO247*(1+$N$247)</f>
        <v>116.34908130348819</v>
      </c>
      <c r="AQ247" s="162">
        <f t="shared" ref="AQ247" si="850">AP247*(1+$N$247)</f>
        <v>133.80144349901141</v>
      </c>
      <c r="AR247" s="162">
        <f t="shared" ref="AR247" si="851">AQ247*(1+$N$247)</f>
        <v>153.87166002386311</v>
      </c>
      <c r="AS247" s="162">
        <f t="shared" ref="AS247" si="852">AR247*(1+$N$247)</f>
        <v>176.95240902744257</v>
      </c>
      <c r="AT247" s="162">
        <f t="shared" ref="AT247" si="853">AS247*(1+$N$247)</f>
        <v>203.49527038155895</v>
      </c>
      <c r="AU247" s="162">
        <f t="shared" ref="AU247" si="854">AT247*(1+$N$247)</f>
        <v>234.01956093879278</v>
      </c>
      <c r="AV247" s="162">
        <f t="shared" ref="AV247" si="855">AU247*(1+$N$247)</f>
        <v>269.12249507961167</v>
      </c>
      <c r="AW247" s="162">
        <f t="shared" ref="AW247" si="856">AV247*(1+$N$247)</f>
        <v>309.49086934155338</v>
      </c>
      <c r="AX247" s="162">
        <f t="shared" ref="AX247" si="857">AW247*(1+$N$247)</f>
        <v>355.91449974278635</v>
      </c>
    </row>
    <row r="248" spans="2:50">
      <c r="B248" s="10"/>
      <c r="C248" s="10"/>
      <c r="D248" s="10"/>
      <c r="E248" s="13" t="s">
        <v>397</v>
      </c>
      <c r="F248" s="13"/>
      <c r="G248" s="13"/>
      <c r="H248" s="13"/>
      <c r="I248" s="12"/>
      <c r="J248" s="167">
        <v>0</v>
      </c>
      <c r="K248" s="168"/>
      <c r="L248" s="167">
        <v>0.05</v>
      </c>
      <c r="M248" s="166"/>
      <c r="N248" s="166"/>
      <c r="O248" s="167">
        <v>0.12</v>
      </c>
      <c r="P248" s="166"/>
      <c r="Q248" s="167">
        <v>0.2</v>
      </c>
      <c r="R248" s="10"/>
      <c r="S248" s="10"/>
      <c r="T248" s="10"/>
      <c r="U248" s="10"/>
      <c r="V248" s="10"/>
      <c r="W248" s="10"/>
      <c r="X248" s="111">
        <f>U203-X247</f>
        <v>2.598398651495998</v>
      </c>
      <c r="Y248" s="161">
        <f>X248-Y247</f>
        <v>-8.2134428992836028</v>
      </c>
      <c r="Z248" s="161">
        <f t="shared" ref="Z248:AE248" si="858">Y248-Z247</f>
        <v>-20.647060682680141</v>
      </c>
      <c r="AA248" s="161">
        <f t="shared" si="858"/>
        <v>-34.945721133586161</v>
      </c>
      <c r="AB248" s="161">
        <f t="shared" si="858"/>
        <v>-51.389180652128083</v>
      </c>
      <c r="AC248" s="161">
        <f t="shared" si="858"/>
        <v>-70.299159098451298</v>
      </c>
      <c r="AD248" s="161">
        <f t="shared" si="858"/>
        <v>-92.045634311722978</v>
      </c>
      <c r="AE248" s="161">
        <f t="shared" si="858"/>
        <v>-117.05408080698541</v>
      </c>
      <c r="AF248" s="161">
        <f>AE248-AF247</f>
        <v>-145.81379427653721</v>
      </c>
      <c r="AG248" s="161">
        <f t="shared" ref="AG248" si="859">AF248-AG247</f>
        <v>-178.88746476652179</v>
      </c>
      <c r="AH248" s="161">
        <f t="shared" ref="AH248" si="860">AG248-AH247</f>
        <v>-216.92218583000403</v>
      </c>
      <c r="AI248" s="161">
        <f t="shared" ref="AI248" si="861">AH248-AI247</f>
        <v>-260.66211505300862</v>
      </c>
      <c r="AJ248" s="161">
        <f t="shared" ref="AJ248" si="862">AI248-AJ247</f>
        <v>-310.96303365946392</v>
      </c>
      <c r="AK248" s="161">
        <f t="shared" ref="AK248" si="863">AJ248-AK247</f>
        <v>-368.8090900568875</v>
      </c>
      <c r="AL248" s="161">
        <f t="shared" ref="AL248" si="864">AK248-AL247</f>
        <v>-435.33205491392459</v>
      </c>
      <c r="AM248" s="161">
        <f t="shared" ref="AM248" si="865">AL248-AM247</f>
        <v>-511.83346449951722</v>
      </c>
      <c r="AN248" s="161">
        <f t="shared" ref="AN248" si="866">AM248-AN247</f>
        <v>-599.81008552294873</v>
      </c>
      <c r="AO248" s="161">
        <f t="shared" ref="AO248" si="867">AN248-AO247</f>
        <v>-700.98319969989495</v>
      </c>
      <c r="AP248" s="161">
        <f t="shared" ref="AP248" si="868">AO248-AP247</f>
        <v>-817.33228100338317</v>
      </c>
      <c r="AQ248" s="161">
        <f t="shared" ref="AQ248" si="869">AP248-AQ247</f>
        <v>-951.13372450239456</v>
      </c>
      <c r="AR248" s="161">
        <f t="shared" ref="AR248" si="870">AQ248-AR247</f>
        <v>-1105.0053845262578</v>
      </c>
      <c r="AS248" s="161">
        <f t="shared" ref="AS248" si="871">AR248-AS247</f>
        <v>-1281.9577935537004</v>
      </c>
      <c r="AT248" s="161">
        <f t="shared" ref="AT248" si="872">AS248-AT247</f>
        <v>-1485.4530639352593</v>
      </c>
      <c r="AU248" s="161">
        <f t="shared" ref="AU248" si="873">AT248-AU247</f>
        <v>-1719.4726248740521</v>
      </c>
      <c r="AV248" s="161">
        <f t="shared" ref="AV248" si="874">AU248-AV247</f>
        <v>-1988.5951199536639</v>
      </c>
      <c r="AW248" s="161">
        <f t="shared" ref="AW248" si="875">AV248-AW247</f>
        <v>-2298.0859892952171</v>
      </c>
      <c r="AX248" s="161">
        <f t="shared" ref="AX248" si="876">AW248-AX247</f>
        <v>-2654.0004890380033</v>
      </c>
    </row>
    <row r="249" spans="2:50">
      <c r="B249" s="93" t="s">
        <v>252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255</v>
      </c>
      <c r="C250" s="15"/>
      <c r="D250" s="15"/>
      <c r="E250" s="15"/>
      <c r="F250" s="15"/>
      <c r="G250" s="15"/>
      <c r="H250" s="15">
        <f t="shared" ref="H250:I250" si="877">H10/H7</f>
        <v>0.7142857142857143</v>
      </c>
      <c r="I250" s="15">
        <f t="shared" si="877"/>
        <v>0.625</v>
      </c>
      <c r="J250" s="15">
        <f t="shared" ref="J250:T250" si="878">J10/J7</f>
        <v>0.75</v>
      </c>
      <c r="K250" s="15">
        <f t="shared" si="878"/>
        <v>1.4</v>
      </c>
      <c r="L250" s="15">
        <f t="shared" si="878"/>
        <v>2.84375</v>
      </c>
      <c r="M250" s="15">
        <f t="shared" si="878"/>
        <v>4.5625</v>
      </c>
      <c r="N250" s="15">
        <f t="shared" si="878"/>
        <v>4.4175824175824179</v>
      </c>
      <c r="O250" s="15">
        <f t="shared" si="878"/>
        <v>3.6022099447513813</v>
      </c>
      <c r="P250" s="15">
        <f t="shared" si="878"/>
        <v>3.323943661971831</v>
      </c>
      <c r="Q250" s="15">
        <f t="shared" si="878"/>
        <v>2.5163551401869158</v>
      </c>
      <c r="R250" s="15">
        <f t="shared" si="878"/>
        <v>1.8586466165413533</v>
      </c>
      <c r="S250" s="15">
        <f t="shared" si="878"/>
        <v>1.7013888888888888</v>
      </c>
      <c r="T250" s="15">
        <f t="shared" si="878"/>
        <v>1.422560429722471</v>
      </c>
      <c r="U250" s="15">
        <f t="shared" ref="U250" si="879">U10/U7</f>
        <v>1.2651273885350318</v>
      </c>
      <c r="V250" s="101" t="e">
        <f t="shared" ref="V250:V252" si="880">((U250/G250)^(1/($K$2-$K$1) ))-1</f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 t="s">
        <v>256</v>
      </c>
      <c r="C251" s="96"/>
      <c r="D251" s="96"/>
      <c r="E251" s="96"/>
      <c r="F251" s="96"/>
      <c r="G251" s="96"/>
      <c r="H251" s="96">
        <f t="shared" ref="H251:I251" si="881">H10/H12</f>
        <v>47.61904761904762</v>
      </c>
      <c r="I251" s="96">
        <f t="shared" si="881"/>
        <v>35.714285714285708</v>
      </c>
      <c r="J251" s="96">
        <f t="shared" ref="J251:T251" si="882">J10/J12</f>
        <v>29.411764705882351</v>
      </c>
      <c r="K251" s="96">
        <f t="shared" si="882"/>
        <v>46.666666666666664</v>
      </c>
      <c r="L251" s="96">
        <f t="shared" si="882"/>
        <v>303.33333333333337</v>
      </c>
      <c r="M251" s="96">
        <f t="shared" si="882"/>
        <v>263.85542168674698</v>
      </c>
      <c r="N251" s="96">
        <f t="shared" si="882"/>
        <v>402</v>
      </c>
      <c r="O251" s="96">
        <f t="shared" si="882"/>
        <v>50.153846153846153</v>
      </c>
      <c r="P251" s="96">
        <f t="shared" si="882"/>
        <v>10.727272727272727</v>
      </c>
      <c r="Q251" s="96">
        <f t="shared" si="882"/>
        <v>34.741935483870968</v>
      </c>
      <c r="R251" s="96">
        <f t="shared" si="882"/>
        <v>24.235294117647058</v>
      </c>
      <c r="S251" s="96">
        <f t="shared" si="882"/>
        <v>17.093023255813954</v>
      </c>
      <c r="T251" s="96">
        <f t="shared" si="882"/>
        <v>14.061946902654867</v>
      </c>
      <c r="U251" s="96">
        <f t="shared" ref="U251" si="883">U10/U12</f>
        <v>14.061946902654867</v>
      </c>
      <c r="V251" s="101" t="e">
        <f t="shared" si="880"/>
        <v>#DIV/0!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257</v>
      </c>
      <c r="C252" s="15"/>
      <c r="D252" s="15"/>
      <c r="E252" s="15"/>
      <c r="F252" s="15"/>
      <c r="G252" s="15"/>
      <c r="H252" s="15">
        <f t="shared" ref="H252:I252" si="884">H10/(H12+H13)</f>
        <v>47.61904761904762</v>
      </c>
      <c r="I252" s="15">
        <f t="shared" si="884"/>
        <v>35.714285714285708</v>
      </c>
      <c r="J252" s="15">
        <f t="shared" ref="J252:T252" si="885">J10/(J12+J13)</f>
        <v>29.411764705882351</v>
      </c>
      <c r="K252" s="15">
        <f t="shared" si="885"/>
        <v>46.666666666666664</v>
      </c>
      <c r="L252" s="15">
        <f t="shared" si="885"/>
        <v>303.33333333333337</v>
      </c>
      <c r="M252" s="15">
        <f t="shared" si="885"/>
        <v>263.85542168674698</v>
      </c>
      <c r="N252" s="15">
        <f t="shared" si="885"/>
        <v>402</v>
      </c>
      <c r="O252" s="15">
        <f t="shared" si="885"/>
        <v>50.153846153846153</v>
      </c>
      <c r="P252" s="15">
        <f t="shared" si="885"/>
        <v>10.727272727272727</v>
      </c>
      <c r="Q252" s="15">
        <f t="shared" si="885"/>
        <v>34.741935483870968</v>
      </c>
      <c r="R252" s="15">
        <f t="shared" si="885"/>
        <v>24.235294117647058</v>
      </c>
      <c r="S252" s="15">
        <f t="shared" si="885"/>
        <v>17.093023255813954</v>
      </c>
      <c r="T252" s="15">
        <f t="shared" si="885"/>
        <v>14.061946902654867</v>
      </c>
      <c r="U252" s="15">
        <f t="shared" ref="U252" si="886">U10/(U12+U13)</f>
        <v>14.061946902654867</v>
      </c>
      <c r="V252" s="101" t="e">
        <f t="shared" si="880"/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50" t="s">
        <v>322</v>
      </c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0"/>
      <c r="O255" s="309" t="s">
        <v>282</v>
      </c>
      <c r="P255" s="310"/>
      <c r="Q255" s="311"/>
      <c r="R255" s="13" t="s">
        <v>285</v>
      </c>
      <c r="S255" s="10"/>
      <c r="T255" s="115"/>
      <c r="U255" s="115"/>
      <c r="V255" s="309" t="s">
        <v>283</v>
      </c>
      <c r="W255" s="310"/>
      <c r="X255" s="311"/>
      <c r="Y255" s="13" t="s">
        <v>285</v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42" t="s">
        <v>284</v>
      </c>
      <c r="D256" s="142" t="s">
        <v>0</v>
      </c>
      <c r="E256" s="142" t="s">
        <v>323</v>
      </c>
      <c r="F256" s="142"/>
      <c r="G256" s="142" t="s">
        <v>324</v>
      </c>
      <c r="H256" s="142" t="s">
        <v>325</v>
      </c>
      <c r="I256" s="142" t="s">
        <v>326</v>
      </c>
      <c r="J256" s="142" t="s">
        <v>327</v>
      </c>
      <c r="K256" s="142" t="s">
        <v>328</v>
      </c>
      <c r="L256" s="10"/>
      <c r="M256" s="142" t="s">
        <v>284</v>
      </c>
      <c r="N256" s="142"/>
      <c r="O256" s="142" t="s">
        <v>0</v>
      </c>
      <c r="P256" s="142" t="s">
        <v>317</v>
      </c>
      <c r="Q256" s="10"/>
      <c r="R256" s="10"/>
      <c r="S256" s="142" t="s">
        <v>284</v>
      </c>
      <c r="T256" s="142"/>
      <c r="U256" s="142"/>
      <c r="V256" s="142" t="s">
        <v>0</v>
      </c>
      <c r="W256" s="142" t="s">
        <v>317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3" t="s">
        <v>286</v>
      </c>
      <c r="D257" s="11">
        <v>14</v>
      </c>
      <c r="E257" s="152" t="s">
        <v>329</v>
      </c>
      <c r="F257" s="152"/>
      <c r="G257" s="12">
        <v>1</v>
      </c>
      <c r="H257" s="12">
        <v>1</v>
      </c>
      <c r="I257" s="143">
        <f>G257/H257</f>
        <v>1</v>
      </c>
      <c r="J257" s="143">
        <f>I257*D258</f>
        <v>1</v>
      </c>
      <c r="K257" s="153">
        <f>J257+D258</f>
        <v>2</v>
      </c>
      <c r="L257" s="10"/>
      <c r="M257" s="143" t="s">
        <v>286</v>
      </c>
      <c r="N257" s="143"/>
      <c r="O257" s="11">
        <v>1.38</v>
      </c>
      <c r="P257" s="149">
        <f>O257</f>
        <v>1.38</v>
      </c>
      <c r="Q257" s="10"/>
      <c r="R257" s="10"/>
      <c r="S257" s="143" t="s">
        <v>286</v>
      </c>
      <c r="T257" s="143"/>
      <c r="U257" s="143"/>
      <c r="V257" s="11">
        <v>14</v>
      </c>
      <c r="W257" s="149">
        <f>V257</f>
        <v>14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3" t="s">
        <v>287</v>
      </c>
      <c r="D258" s="11">
        <v>1</v>
      </c>
      <c r="E258" s="152" t="s">
        <v>330</v>
      </c>
      <c r="F258" s="152"/>
      <c r="G258" s="12">
        <v>0</v>
      </c>
      <c r="H258" s="12">
        <v>1</v>
      </c>
      <c r="I258" s="143">
        <f>G258/H258</f>
        <v>0</v>
      </c>
      <c r="J258" s="143">
        <f>I258*K257</f>
        <v>0</v>
      </c>
      <c r="K258" s="143">
        <f>J258+K257</f>
        <v>2</v>
      </c>
      <c r="L258" s="10"/>
      <c r="M258" s="143" t="s">
        <v>287</v>
      </c>
      <c r="N258" s="143"/>
      <c r="O258" s="11">
        <v>1</v>
      </c>
      <c r="P258" s="149">
        <f>O258</f>
        <v>1</v>
      </c>
      <c r="Q258" s="10"/>
      <c r="R258" s="10"/>
      <c r="S258" s="143" t="s">
        <v>287</v>
      </c>
      <c r="T258" s="143"/>
      <c r="U258" s="143"/>
      <c r="V258" s="11">
        <v>1</v>
      </c>
      <c r="W258" s="149">
        <f>V258</f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3" t="s">
        <v>289</v>
      </c>
      <c r="D259" s="144">
        <f>D257*D258</f>
        <v>14</v>
      </c>
      <c r="E259" s="152" t="s">
        <v>342</v>
      </c>
      <c r="F259" s="152"/>
      <c r="G259" s="12">
        <v>0</v>
      </c>
      <c r="H259" s="12">
        <v>1</v>
      </c>
      <c r="I259" s="143">
        <f>G259/H259</f>
        <v>0</v>
      </c>
      <c r="J259" s="143">
        <f>I259*K258</f>
        <v>0</v>
      </c>
      <c r="K259" s="143">
        <f>J259+K258</f>
        <v>2</v>
      </c>
      <c r="L259" s="10"/>
      <c r="M259" s="143" t="s">
        <v>288</v>
      </c>
      <c r="N259" s="143"/>
      <c r="O259" s="144">
        <f>O257*O258</f>
        <v>1.38</v>
      </c>
      <c r="P259" s="149">
        <f>O259</f>
        <v>1.38</v>
      </c>
      <c r="Q259" s="10"/>
      <c r="R259" s="10"/>
      <c r="S259" s="143" t="s">
        <v>289</v>
      </c>
      <c r="T259" s="143"/>
      <c r="U259" s="143"/>
      <c r="V259" s="144">
        <f>V257*V258</f>
        <v>14</v>
      </c>
      <c r="W259" s="149">
        <f>V259</f>
        <v>14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3"/>
      <c r="D260" s="144"/>
      <c r="E260" s="152" t="s">
        <v>398</v>
      </c>
      <c r="F260" s="152"/>
      <c r="G260" s="12">
        <v>0</v>
      </c>
      <c r="H260" s="12">
        <v>1</v>
      </c>
      <c r="I260" s="143">
        <f t="shared" ref="I260:I263" si="887">G260/H260</f>
        <v>0</v>
      </c>
      <c r="J260" s="143">
        <f t="shared" ref="J260:J262" si="888">I260*K259</f>
        <v>0</v>
      </c>
      <c r="K260" s="143">
        <f t="shared" ref="K260:K262" si="889">J260+K259</f>
        <v>2</v>
      </c>
      <c r="L260" s="10"/>
      <c r="M260" s="143" t="s">
        <v>290</v>
      </c>
      <c r="N260" s="143"/>
      <c r="O260" s="11">
        <v>19</v>
      </c>
      <c r="P260" s="11">
        <v>145</v>
      </c>
      <c r="Q260" s="10"/>
      <c r="R260" s="10"/>
      <c r="S260" s="143" t="s">
        <v>290</v>
      </c>
      <c r="T260" s="143"/>
      <c r="U260" s="143"/>
      <c r="V260" s="11">
        <v>19</v>
      </c>
      <c r="W260" s="11">
        <v>145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3"/>
      <c r="D261" s="144"/>
      <c r="E261" s="152" t="s">
        <v>399</v>
      </c>
      <c r="F261" s="152"/>
      <c r="G261" s="12">
        <v>0</v>
      </c>
      <c r="H261" s="12">
        <v>1</v>
      </c>
      <c r="I261" s="143">
        <f t="shared" si="887"/>
        <v>0</v>
      </c>
      <c r="J261" s="143">
        <f t="shared" si="888"/>
        <v>0</v>
      </c>
      <c r="K261" s="143">
        <f t="shared" si="889"/>
        <v>2</v>
      </c>
      <c r="L261" s="10"/>
      <c r="M261" s="143" t="s">
        <v>291</v>
      </c>
      <c r="N261" s="143"/>
      <c r="O261" s="144">
        <f>O260*O258</f>
        <v>19</v>
      </c>
      <c r="P261" s="144">
        <f>P260*P258</f>
        <v>145</v>
      </c>
      <c r="Q261" s="10"/>
      <c r="R261" s="10"/>
      <c r="S261" s="143" t="s">
        <v>287</v>
      </c>
      <c r="T261" s="143"/>
      <c r="U261" s="143"/>
      <c r="V261" s="11">
        <v>10</v>
      </c>
      <c r="W261" s="109">
        <f>V261</f>
        <v>10</v>
      </c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3"/>
      <c r="D262" s="144"/>
      <c r="E262" s="152" t="s">
        <v>400</v>
      </c>
      <c r="F262" s="152"/>
      <c r="G262" s="12">
        <v>0</v>
      </c>
      <c r="H262" s="12">
        <v>1</v>
      </c>
      <c r="I262" s="143">
        <f t="shared" si="887"/>
        <v>0</v>
      </c>
      <c r="J262" s="143">
        <f t="shared" si="888"/>
        <v>0</v>
      </c>
      <c r="K262" s="143">
        <f t="shared" si="889"/>
        <v>2</v>
      </c>
      <c r="L262" s="10"/>
      <c r="M262" s="143"/>
      <c r="N262" s="143"/>
      <c r="O262" s="144"/>
      <c r="P262" s="144"/>
      <c r="Q262" s="10"/>
      <c r="R262" s="10"/>
      <c r="S262" s="143" t="s">
        <v>289</v>
      </c>
      <c r="T262" s="143"/>
      <c r="U262" s="143"/>
      <c r="V262" s="144">
        <f>V261*V260</f>
        <v>190</v>
      </c>
      <c r="W262" s="144">
        <f>W261*W260</f>
        <v>1450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3"/>
      <c r="D263" s="144"/>
      <c r="E263" s="152" t="s">
        <v>331</v>
      </c>
      <c r="F263" s="152"/>
      <c r="G263" s="12">
        <v>10</v>
      </c>
      <c r="H263" s="12">
        <v>1</v>
      </c>
      <c r="I263" s="143">
        <f t="shared" si="887"/>
        <v>10</v>
      </c>
      <c r="J263" s="143">
        <f>I263*K262</f>
        <v>20</v>
      </c>
      <c r="K263" s="143">
        <f>J263</f>
        <v>20</v>
      </c>
      <c r="L263" s="10"/>
      <c r="M263" s="143"/>
      <c r="N263" s="143"/>
      <c r="O263" s="144"/>
      <c r="P263" s="144"/>
      <c r="Q263" s="10"/>
      <c r="R263" s="10"/>
      <c r="S263" s="143"/>
      <c r="T263" s="143"/>
      <c r="U263" s="143"/>
      <c r="V263" s="144"/>
      <c r="W263" s="144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3"/>
      <c r="D264" s="144"/>
      <c r="E264" s="152" t="s">
        <v>401</v>
      </c>
      <c r="F264" s="152"/>
      <c r="G264" s="12">
        <v>0</v>
      </c>
      <c r="H264" s="12">
        <v>1</v>
      </c>
      <c r="I264" s="143">
        <f>G264/H264</f>
        <v>0</v>
      </c>
      <c r="J264" s="143">
        <f>I264*K263</f>
        <v>0</v>
      </c>
      <c r="K264" s="143">
        <f>J264</f>
        <v>0</v>
      </c>
      <c r="L264" s="10"/>
      <c r="M264" s="145" t="s">
        <v>292</v>
      </c>
      <c r="N264" s="145"/>
      <c r="O264" s="146">
        <f>O261/O259</f>
        <v>13.768115942028986</v>
      </c>
      <c r="P264" s="146">
        <f>P261/P259</f>
        <v>105.07246376811595</v>
      </c>
      <c r="Q264" s="10"/>
      <c r="R264" s="10"/>
      <c r="S264" s="145" t="s">
        <v>292</v>
      </c>
      <c r="T264" s="145"/>
      <c r="U264" s="145"/>
      <c r="V264" s="146">
        <f>V262/V259</f>
        <v>13.571428571428571</v>
      </c>
      <c r="W264" s="146">
        <f>W262/W259</f>
        <v>103.57142857142857</v>
      </c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3" t="s">
        <v>290</v>
      </c>
      <c r="D265" s="11">
        <v>19</v>
      </c>
      <c r="E265" s="152"/>
      <c r="F265" s="152"/>
      <c r="G265" s="143"/>
      <c r="H265" s="143"/>
      <c r="I265" s="145" t="s">
        <v>332</v>
      </c>
      <c r="J265" s="143"/>
      <c r="K265" s="143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3" t="s">
        <v>287</v>
      </c>
      <c r="D266" s="11">
        <v>10</v>
      </c>
      <c r="E266" s="152" t="s">
        <v>331</v>
      </c>
      <c r="F266" s="152"/>
      <c r="G266" s="12">
        <v>10</v>
      </c>
      <c r="H266" s="12">
        <v>2</v>
      </c>
      <c r="I266" s="143">
        <f>G266/H266</f>
        <v>5</v>
      </c>
      <c r="J266" s="153">
        <f>I266*D258</f>
        <v>5</v>
      </c>
      <c r="K266" s="153">
        <f>J266</f>
        <v>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3" t="s">
        <v>289</v>
      </c>
      <c r="D267" s="144">
        <f>D266*D265</f>
        <v>190</v>
      </c>
      <c r="E267" s="143"/>
      <c r="F267" s="143"/>
      <c r="G267" s="143"/>
      <c r="H267" s="143"/>
      <c r="I267" s="145" t="s">
        <v>332</v>
      </c>
      <c r="J267" s="143"/>
      <c r="K267" s="143">
        <f>K266</f>
        <v>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43"/>
      <c r="D268" s="144"/>
      <c r="E268" s="152" t="s">
        <v>331</v>
      </c>
      <c r="F268" s="152"/>
      <c r="G268" s="12">
        <v>10</v>
      </c>
      <c r="H268" s="12">
        <v>2</v>
      </c>
      <c r="I268" s="143">
        <f>G268/H268</f>
        <v>5</v>
      </c>
      <c r="J268" s="143">
        <f>I268*K267</f>
        <v>25</v>
      </c>
      <c r="K268" s="143">
        <f>J268</f>
        <v>25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45" t="s">
        <v>292</v>
      </c>
      <c r="D269" s="146">
        <f>D267/D259</f>
        <v>13.571428571428571</v>
      </c>
      <c r="E269" s="152"/>
      <c r="F269" s="152"/>
      <c r="G269" s="143"/>
      <c r="H269" s="143"/>
      <c r="I269" s="145" t="s">
        <v>332</v>
      </c>
      <c r="J269" s="143"/>
      <c r="K269" s="143">
        <f>K268</f>
        <v>25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15"/>
      <c r="E271" s="154"/>
      <c r="F271" s="154"/>
      <c r="G271" s="154"/>
      <c r="H271" s="154"/>
      <c r="I271" s="154"/>
      <c r="J271" s="155"/>
      <c r="K271" s="10"/>
      <c r="L271" s="115"/>
      <c r="M271" s="154"/>
      <c r="N271" s="155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 ht="14.25">
      <c r="B272" s="10"/>
      <c r="C272" s="10"/>
      <c r="D272" s="302" t="s">
        <v>15</v>
      </c>
      <c r="E272" s="303"/>
      <c r="F272" s="303"/>
      <c r="G272" s="303"/>
      <c r="H272" s="303"/>
      <c r="I272" s="303"/>
      <c r="J272" s="304"/>
      <c r="K272" s="10"/>
      <c r="L272" s="302" t="s">
        <v>337</v>
      </c>
      <c r="M272" s="303"/>
      <c r="N272" s="304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16</v>
      </c>
      <c r="E273" s="109"/>
      <c r="F273" s="109"/>
      <c r="G273" s="109">
        <f>D259</f>
        <v>14</v>
      </c>
      <c r="H273" s="11">
        <f>D259</f>
        <v>14</v>
      </c>
      <c r="I273" s="10"/>
      <c r="J273" s="10"/>
      <c r="K273" s="10"/>
      <c r="L273" s="10" t="s">
        <v>16</v>
      </c>
      <c r="M273" s="109"/>
      <c r="N273" s="11">
        <f>H273</f>
        <v>14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0" t="s">
        <v>17</v>
      </c>
      <c r="E274" s="109"/>
      <c r="F274" s="109"/>
      <c r="G274" s="109">
        <f>D267</f>
        <v>190</v>
      </c>
      <c r="H274" s="11">
        <f>D267</f>
        <v>190</v>
      </c>
      <c r="I274" s="10"/>
      <c r="J274" s="10"/>
      <c r="K274" s="10"/>
      <c r="L274" s="10" t="s">
        <v>17</v>
      </c>
      <c r="M274" s="10"/>
      <c r="N274" s="11">
        <f>H274</f>
        <v>190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18</v>
      </c>
      <c r="E275" s="10"/>
      <c r="F275" s="10"/>
      <c r="G275" s="12">
        <f>H275</f>
        <v>10</v>
      </c>
      <c r="H275" s="12">
        <v>10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3" t="s">
        <v>19</v>
      </c>
      <c r="E276" s="3"/>
      <c r="F276" s="3"/>
      <c r="G276" s="3">
        <f>((G274/G273)^(1/G275))-1</f>
        <v>0.29796372915924563</v>
      </c>
      <c r="H276" s="3">
        <f>((H274/H273)^(1/H275))-1</f>
        <v>0.29796372915924563</v>
      </c>
      <c r="I276" s="10"/>
      <c r="J276" s="10"/>
      <c r="K276" s="10"/>
      <c r="L276" s="13" t="s">
        <v>338</v>
      </c>
      <c r="M276" s="13"/>
      <c r="N276" s="169">
        <f>(N274-N273)/N273</f>
        <v>12.571428571428571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20</v>
      </c>
      <c r="E277" s="141"/>
      <c r="F277" s="141"/>
      <c r="G277" s="141">
        <f>G275*12</f>
        <v>120</v>
      </c>
      <c r="H277" s="14">
        <f>H275*12</f>
        <v>120</v>
      </c>
      <c r="I277" s="10"/>
      <c r="J277" s="10"/>
      <c r="K277" s="10"/>
      <c r="L277" s="13" t="s">
        <v>339</v>
      </c>
      <c r="M277" s="13"/>
      <c r="N277" s="272">
        <f>N274/N273</f>
        <v>13.571428571428571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 t="s">
        <v>18</v>
      </c>
      <c r="E278" s="15"/>
      <c r="F278" s="15"/>
      <c r="G278" s="15">
        <f>G277/12</f>
        <v>10</v>
      </c>
      <c r="H278" s="15">
        <f>H277/12</f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21</v>
      </c>
      <c r="E279" s="3"/>
      <c r="F279" s="3"/>
      <c r="G279" s="3">
        <f>((G274/G273)^(1/G278))-1</f>
        <v>0.29796372915924563</v>
      </c>
      <c r="H279" s="3">
        <f>((H274/H273)^(1/H278))-1</f>
        <v>0.29796372915924563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</sheetData>
  <mergeCells count="9">
    <mergeCell ref="A36:A45"/>
    <mergeCell ref="A126:A134"/>
    <mergeCell ref="D272:J272"/>
    <mergeCell ref="L272:N272"/>
    <mergeCell ref="AI2:AJ2"/>
    <mergeCell ref="AI3:AJ3"/>
    <mergeCell ref="O255:Q255"/>
    <mergeCell ref="V255:X255"/>
    <mergeCell ref="N238:O23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5" t="s">
        <v>15</v>
      </c>
      <c r="K5" s="275"/>
      <c r="M5" s="275" t="s">
        <v>53</v>
      </c>
      <c r="N5" s="275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5" t="s">
        <v>24</v>
      </c>
      <c r="K14" s="275"/>
      <c r="L14" s="275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5" t="s">
        <v>15</v>
      </c>
      <c r="S5" s="275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5" t="s">
        <v>24</v>
      </c>
      <c r="S14" s="275"/>
      <c r="T14" s="275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5" t="s">
        <v>15</v>
      </c>
      <c r="C2" s="275"/>
      <c r="E2" s="275" t="s">
        <v>53</v>
      </c>
      <c r="F2" s="275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3"/>
    <col min="2" max="2" width="16.5703125" style="163" customWidth="1"/>
    <col min="3" max="3" width="39.7109375" style="163" customWidth="1"/>
    <col min="4" max="5" width="9.140625" style="163"/>
    <col min="6" max="6" width="19" style="163" bestFit="1" customWidth="1"/>
    <col min="7" max="7" width="49" style="163" customWidth="1"/>
    <col min="8" max="16384" width="9.140625" style="163"/>
  </cols>
  <sheetData>
    <row r="3" spans="2:7">
      <c r="B3" s="319" t="s">
        <v>376</v>
      </c>
      <c r="C3" s="320"/>
      <c r="F3" s="319" t="s">
        <v>377</v>
      </c>
      <c r="G3" s="320"/>
    </row>
    <row r="4" spans="2:7">
      <c r="B4" s="164" t="s">
        <v>378</v>
      </c>
      <c r="C4" s="164"/>
      <c r="F4" s="164" t="s">
        <v>379</v>
      </c>
      <c r="G4" s="164"/>
    </row>
    <row r="5" spans="2:7">
      <c r="B5" s="164" t="s">
        <v>380</v>
      </c>
      <c r="C5" s="164"/>
      <c r="F5" s="164" t="s">
        <v>242</v>
      </c>
      <c r="G5" s="164"/>
    </row>
    <row r="6" spans="2:7">
      <c r="B6" s="164" t="s">
        <v>381</v>
      </c>
      <c r="C6" s="164"/>
      <c r="F6" s="164" t="s">
        <v>382</v>
      </c>
      <c r="G6" s="164"/>
    </row>
    <row r="7" spans="2:7">
      <c r="B7" s="164" t="s">
        <v>383</v>
      </c>
      <c r="C7" s="164"/>
      <c r="F7" s="164" t="s">
        <v>384</v>
      </c>
      <c r="G7" s="164"/>
    </row>
    <row r="8" spans="2:7">
      <c r="B8" s="164" t="s">
        <v>385</v>
      </c>
      <c r="C8" s="164"/>
      <c r="F8" s="164" t="s">
        <v>386</v>
      </c>
      <c r="G8" s="164"/>
    </row>
    <row r="9" spans="2:7">
      <c r="B9" s="164" t="s">
        <v>387</v>
      </c>
      <c r="C9" s="164"/>
      <c r="F9" s="164" t="s">
        <v>388</v>
      </c>
      <c r="G9" s="164"/>
    </row>
    <row r="10" spans="2:7">
      <c r="B10" s="164" t="s">
        <v>386</v>
      </c>
      <c r="C10" s="164"/>
      <c r="F10" s="164"/>
      <c r="G10" s="164"/>
    </row>
    <row r="11" spans="2:7">
      <c r="B11" s="164" t="s">
        <v>389</v>
      </c>
      <c r="C11" s="164"/>
      <c r="F11" s="164"/>
      <c r="G11" s="164"/>
    </row>
    <row r="12" spans="2:7">
      <c r="B12" s="164" t="s">
        <v>390</v>
      </c>
      <c r="C12" s="164"/>
      <c r="F12" s="164"/>
      <c r="G12" s="164"/>
    </row>
    <row r="13" spans="2:7">
      <c r="B13" s="164"/>
      <c r="C13" s="164"/>
      <c r="F13" s="164"/>
      <c r="G13" s="16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2018-07-26T11:18:43Z</dcterms:modified>
</cp:coreProperties>
</file>
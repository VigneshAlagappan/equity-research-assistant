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S186" i="18" l="1"/>
  <c r="S187" i="18"/>
  <c r="P37" i="18"/>
  <c r="O37" i="18"/>
  <c r="N37" i="18"/>
  <c r="M37" i="18"/>
  <c r="L37" i="18"/>
  <c r="K37" i="18"/>
  <c r="J37" i="18"/>
  <c r="I37" i="18"/>
  <c r="H37" i="18"/>
  <c r="G37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S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P30" i="18"/>
  <c r="O30" i="18"/>
  <c r="N30" i="18"/>
  <c r="M30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Q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7" i="18" l="1"/>
  <c r="Q100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Q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9" i="18" l="1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92" i="18"/>
  <c r="S98" i="18" s="1"/>
  <c r="S10" i="18"/>
  <c r="S12" i="18"/>
  <c r="S13" i="18"/>
  <c r="S7" i="18"/>
  <c r="S6" i="18"/>
  <c r="P187" i="18" l="1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P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AG188" i="18" l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T185" i="18" s="1"/>
  <c r="U185" i="18" s="1"/>
  <c r="V185" i="18" s="1"/>
  <c r="W185" i="18" s="1"/>
  <c r="X185" i="18" s="1"/>
  <c r="Y185" i="18" s="1"/>
  <c r="Z185" i="18" s="1"/>
  <c r="AA185" i="18" s="1"/>
  <c r="AB185" i="18" s="1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AC185" i="18" l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S4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-553 loss is one-time loss.</t>
        </r>
      </text>
    </commen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<sst xmlns="http://schemas.openxmlformats.org/spreadsheetml/2006/main" count="620" uniqueCount="430">
  <si>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</si>
  <si>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</si>
  <si>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</si>
  <si>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</si>
  <si>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</si>
  <si>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</si>
  <si>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</si>
  <si>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</si>
  <si>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</si>
  <si>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</si>
  <si>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</si>
  <si>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</si>
  <si>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</si>
  <si>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</si>
  <si>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</si>
  <si>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</si>
  <si>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</si>
  <si>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</si>
  <si>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</si>
  <si>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</si>
  <si>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</si>
  <si>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</si>
  <si>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</si>
  <si>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</si>
  <si>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</si>
  <si>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</si>
  <si>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</si>
  <si>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</si>
  <si>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</si>
  <si>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</si>
  <si>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</si>
  <si>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</si>
  <si>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</si>
  <si>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</si>
  <si>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</si>
  <si>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</si>
  <si>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</si>
  <si>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</si>
  <si>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</si>
  <si>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</si>
  <si>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</si>
  <si>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</si>
  <si>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</si>
  <si>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</si>
  <si>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</si>
  <si>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</si>
  <si>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</si>
  <si>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</si>
  <si>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</si>
  <si>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</si>
  <si>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</si>
  <si>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</si>
  <si>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</si>
  <si>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</si>
  <si>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</si>
  <si>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</si>
  <si>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</si>
  <si>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</si>
  <si>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</si>
  <si>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</si>
  <si>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</si>
  <si>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</si>
  <si>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</si>
  <si>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</si>
  <si>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</si>
  <si>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</si>
  <si>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</si>
  <si>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</si>
  <si>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</si>
  <si>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</si>
  <si>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</si>
  <si>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</si>
  <si>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</si>
  <si>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</si>
  <si>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</si>
  <si>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</si>
  <si>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</si>
  <si>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</si>
  <si>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</si>
  <si>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</si>
  <si>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</si>
  <si>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</si>
  <si>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</si>
  <si>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</si>
  <si>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</si>
  <si>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</si>
  <si>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</si>
  <si>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</si>
  <si>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</si>
  <si>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</si>
  <si>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</si>
  <si>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</si>
  <si>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</si>
  <si>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</si>
  <si>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</si>
  <si>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</si>
  <si>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</si>
  <si>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</si>
  <si>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</si>
  <si>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</si>
  <si>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</si>
  <si>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</si>
  <si>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</si>
  <si>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</si>
  <si>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</si>
  <si>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</si>
  <si>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</si>
  <si>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</si>
  <si>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</si>
  <si>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</si>
  <si>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</si>
  <si>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</si>
  <si>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</si>
  <si>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</si>
  <si>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</si>
  <si>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</si>
  <si>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</si>
  <si>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</si>
  <si>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</si>
  <si>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</si>
  <si>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</si>
  <si>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</si>
  <si>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</si>
  <si>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</si>
  <si>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</si>
  <si>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</si>
  <si>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</si>
  <si>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</si>
  <si>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</si>
  <si>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</si>
  <si>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</si>
  <si>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</si>
  <si>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</si>
  <si>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</si>
  <si>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</si>
  <si>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</si>
  <si>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</si>
  <si>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</si>
  <si>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</si>
  <si>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</si>
  <si>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</si>
  <si>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</si>
  <si>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</si>
  <si>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</si>
  <si>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</si>
  <si>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</si>
  <si>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</si>
  <si>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</si>
  <si>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</si>
  <si>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</si>
  <si>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</si>
  <si>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</si>
  <si>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</si>
  <si>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</si>
  <si>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</si>
  <si>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</si>
  <si>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</si>
  <si>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</si>
  <si>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</si>
  <si>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</si>
  <si>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</si>
  <si>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</si>
  <si>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</si>
  <si>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</si>
  <si>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</si>
  <si>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</si>
  <si>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</si>
  <si>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</si>
  <si>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</si>
  <si>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</si>
  <si>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</si>
  <si>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</si>
  <si>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</si>
  <si>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</si>
  <si>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</si>
  <si>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</si>
  <si>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</si>
  <si>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</si>
  <si>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</si>
  <si>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</si>
  <si>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</si>
  <si>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</si>
  <si>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</si>
  <si>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</si>
  <si>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</si>
  <si>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</si>
  <si>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</si>
  <si>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</si>
  <si>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</si>
  <si>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</si>
  <si>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</si>
  <si>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</si>
  <si>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</si>
  <si>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</si>
  <si>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</si>
  <si>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</si>
  <si>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</si>
  <si>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</si>
  <si>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</si>
  <si>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</si>
  <si>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</si>
  <si>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</si>
  <si>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</si>
  <si>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</si>
  <si>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</si>
  <si>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</si>
  <si>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</si>
  <si>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</si>
  <si>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</si>
  <si>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</si>
  <si>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</si>
  <si>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</si>
  <si>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</si>
  <si>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</si>
  <si>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</si>
  <si>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</si>
  <si>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</si>
  <si>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</si>
  <si>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</si>
  <si>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</si>
  <si>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</si>
  <si>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</si>
  <si>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</si>
  <si>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</si>
  <si>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</si>
  <si>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</si>
  <si>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</si>
  <si>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</si>
  <si>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</si>
  <si>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</si>
  <si>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</si>
  <si>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</si>
  <si>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</si>
  <si>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</si>
  <si>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</si>
  <si>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</si>
  <si>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</si>
  <si>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</si>
  <si>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</si>
  <si>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</si>
  <si>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</si>
  <si>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</si>
  <si>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</si>
  <si>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</si>
  <si>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</si>
  <si>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</si>
  <si>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</si>
  <si>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</si>
  <si>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</si>
  <si>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</si>
  <si>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</si>
  <si>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</si>
  <si>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</si>
  <si>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</si>
  <si>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</si>
  <si>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</si>
  <si>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</si>
  <si>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</si>
  <si>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</si>
  <si>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</si>
  <si>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</si>
  <si>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</si>
  <si>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</si>
  <si>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</si>
  <si>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</si>
  <si>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</si>
  <si>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</si>
  <si>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</si>
  <si>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</si>
  <si>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</si>
  <si>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</si>
  <si>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</si>
  <si>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</si>
  <si>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</si>
  <si>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</si>
  <si>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</si>
  <si>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</si>
  <si>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</si>
  <si>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</si>
  <si>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</si>
  <si>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</si>
  <si>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</si>
  <si>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</si>
  <si>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</si>
  <si>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</si>
  <si>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</si>
  <si>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</si>
  <si>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</si>
  <si>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</si>
  <si>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</si>
  <si>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</si>
  <si>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</si>
  <si>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</si>
  <si>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</si>
  <si>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</si>
  <si>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</si>
  <si>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</si>
  <si>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</si>
  <si>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</si>
  <si>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</si>
  <si>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</si>
  <si>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</si>
  <si>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</si>
  <si>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</si>
  <si>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</si>
  <si>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</si>
  <si>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</si>
  <si>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</si>
  <si>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</si>
  <si>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</si>
  <si>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</si>
  <si>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</si>
  <si>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</si>
  <si>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</si>
  <si>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</si>
  <si>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</si>
  <si>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</si>
  <si>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</si>
  <si>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</si>
  <si>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</si>
  <si>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</si>
  <si>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</si>
  <si>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</si>
  <si>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</si>
  <si>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</si>
  <si>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</si>
  <si>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</si>
  <si>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</si>
  <si>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</si>
  <si>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</si>
  <si>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</si>
  <si>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</si>
  <si>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</si>
  <si>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</si>
  <si>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</si>
  <si>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</si>
  <si>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</si>
  <si>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</si>
  <si>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</si>
  <si>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</si>
  <si>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</si>
  <si>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</si>
  <si>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</si>
  <si>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</si>
  <si>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</si>
  <si>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</si>
  <si>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</si>
  <si>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</si>
  <si>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</si>
  <si>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</si>
  <si>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</si>
  <si>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</si>
  <si>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</si>
  <si>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</si>
  <si>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</si>
  <si>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</si>
  <si>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</si>
  <si>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</si>
  <si>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</si>
  <si>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</si>
  <si>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</si>
  <si>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</si>
  <si>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</si>
  <si>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</si>
  <si>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</si>
  <si>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</si>
  <si>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</si>
  <si>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</si>
  <si>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</si>
  <si>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</si>
  <si>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</si>
  <si>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</si>
  <si>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</si>
  <si>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</si>
  <si>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</si>
  <si>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</si>
  <si>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</si>
  <si>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</si>
  <si>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</si>
  <si>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</si>
  <si>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</si>
  <si>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</si>
  <si>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</si>
  <si>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</si>
  <si>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</si>
  <si>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</si>
  <si>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</si>
  <si>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</si>
  <si>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</si>
  <si>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</si>
  <si>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</si>
  <si>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</si>
  <si>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</si>
  <si>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</si>
  <si>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</si>
  <si>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</si>
  <si>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</si>
  <si>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</si>
  <si>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</si>
  <si>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</si>
  <si>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</si>
  <si>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</si>
  <si>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</si>
  <si>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</si>
  <si>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</si>
  <si>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</si>
  <si>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</si>
  <si>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</si>
  <si>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</si>
  <si>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</si>
  <si>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</si>
  <si>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</si>
  <si>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</si>
  <si>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</si>
  <si>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</si>
  <si>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</si>
  <si>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</si>
  <si>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</si>
  <si>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</si>
  <si>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</si>
  <si>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</si>
  <si>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</si>
  <si>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</si>
  <si>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</si>
  <si>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</si>
  <si>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</si>
  <si>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</si>
  <si>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</si>
  <si>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1x3</t>
  </si>
  <si>
    <t>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</si>
</sst>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9" fontId="15" fillId="5" borderId="1" xfId="1" applyFont="1" applyFill="1" applyBorder="1"/>
    <xf numFmtId="175" fontId="4" fillId="14" borderId="1" xfId="0" applyNumberFormat="1" applyFont="1" applyFill="1" applyBorder="1"/>
    <xf numFmtId="0" fontId="4" fillId="14" borderId="1" xfId="0" applyFont="1" applyFill="1" applyBorder="1"/>
    <xf numFmtId="2" fontId="4" fillId="6" borderId="1" xfId="1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2096"/>
        <c:axId val="74213632"/>
      </c:lineChart>
      <c:catAx>
        <c:axId val="74212096"/>
        <c:scaling>
          <c:orientation val="minMax"/>
        </c:scaling>
        <c:delete val="0"/>
        <c:axPos val="b"/>
        <c:majorTickMark val="out"/>
        <c:minorTickMark val="none"/>
        <c:tickLblPos val="nextTo"/>
        <c:crossAx val="74213632"/>
        <c:crosses val="autoZero"/>
        <c:auto val="1"/>
        <c:lblAlgn val="ctr"/>
        <c:lblOffset val="100"/>
        <c:noMultiLvlLbl val="0"/>
      </c:catAx>
      <c:valAx>
        <c:axId val="7421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2120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D163" activePane="bottomRight" state="frozen"/>
      <selection pane="topRight" activeCell="C1" sqref="C1"/>
      <selection pane="bottomLeft" activeCell="A5" sqref="A5"/>
      <selection pane="bottomRight" activeCell="E167" sqref="E167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291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292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140</v>
      </c>
      <c r="H6" s="147">
        <v>171</v>
      </c>
      <c r="I6" s="147">
        <v>181</v>
      </c>
      <c r="J6" s="147">
        <v>313</v>
      </c>
      <c r="K6" s="147">
        <v>880</v>
      </c>
      <c r="L6" s="147">
        <v>931</v>
      </c>
      <c r="M6" s="147">
        <v>977</v>
      </c>
      <c r="N6" s="147">
        <v>1051</v>
      </c>
      <c r="O6" s="147">
        <v>1085</v>
      </c>
      <c r="P6" s="147">
        <v>532</v>
      </c>
      <c r="Q6" s="118">
        <f>((P6/G6)^(1/($H$2-$H$1) ))-1</f>
        <v>0.1598996025643411</v>
      </c>
      <c r="R6" s="31">
        <f>$L$2</f>
        <v>0.12</v>
      </c>
      <c r="S6" s="154">
        <f>P6*(1+$R6)</f>
        <v>595.84</v>
      </c>
      <c r="T6" s="154">
        <f>S6*(1+$R6)</f>
        <v>667.34080000000006</v>
      </c>
      <c r="U6" s="154">
        <f t="shared" ref="U6:AB6" si="0">T6*(1+$R6)</f>
        <v>747.42169600000011</v>
      </c>
      <c r="V6" s="154">
        <f t="shared" si="0"/>
        <v>837.11229952000019</v>
      </c>
      <c r="W6" s="154">
        <f t="shared" si="0"/>
        <v>937.56577546240032</v>
      </c>
      <c r="X6" s="154">
        <f t="shared" si="0"/>
        <v>1050.0736685178886</v>
      </c>
      <c r="Y6" s="154">
        <f t="shared" si="0"/>
        <v>1176.0825087400353</v>
      </c>
      <c r="Z6" s="154">
        <f t="shared" si="0"/>
        <v>1317.2124097888398</v>
      </c>
      <c r="AA6" s="154">
        <f t="shared" si="0"/>
        <v>1475.2778989635005</v>
      </c>
      <c r="AB6" s="154">
        <f t="shared" si="0"/>
        <v>1652.3112468391207</v>
      </c>
      <c r="AC6" s="138">
        <f>((AB6/G6)^(1/($AB$3-$H$1) ))-1</f>
        <v>0.13872576870988285</v>
      </c>
      <c r="AD6" s="31">
        <f>$L$1</f>
        <v>0.05</v>
      </c>
      <c r="AE6" s="146">
        <f t="shared" ref="AE6:AE43" si="1">(AB6*(1+AD6))/($C$1-AD6)</f>
        <v>10205.451818712218</v>
      </c>
    </row>
    <row r="7" spans="2:31" x14ac:dyDescent="0.2">
      <c r="B7" s="20" t="s">
        <v>240</v>
      </c>
      <c r="C7" s="141"/>
      <c r="D7" s="141"/>
      <c r="E7" s="147"/>
      <c r="F7" s="147"/>
      <c r="G7" s="147">
        <v>199</v>
      </c>
      <c r="H7" s="147">
        <v>230</v>
      </c>
      <c r="I7" s="147">
        <v>242</v>
      </c>
      <c r="J7" s="147">
        <v>391</v>
      </c>
      <c r="K7" s="147">
        <v>1011</v>
      </c>
      <c r="L7" s="147">
        <v>1062</v>
      </c>
      <c r="M7" s="147">
        <v>1107</v>
      </c>
      <c r="N7" s="147">
        <v>1181</v>
      </c>
      <c r="O7" s="147">
        <v>1216</v>
      </c>
      <c r="P7" s="147">
        <v>662</v>
      </c>
      <c r="Q7" s="118">
        <f>((P7/G7)^(1/($H$2-$H$1) ))-1</f>
        <v>0.14287977134678798</v>
      </c>
      <c r="R7" s="31">
        <f>$L$2</f>
        <v>0.12</v>
      </c>
      <c r="S7" s="154">
        <f t="shared" ref="S7:S16" si="2">P7*(1+$R7)</f>
        <v>741.44</v>
      </c>
      <c r="T7" s="154">
        <f t="shared" ref="T7:AB7" si="3">S7*(1+$R7)</f>
        <v>830.41280000000017</v>
      </c>
      <c r="U7" s="154">
        <f t="shared" si="3"/>
        <v>930.0623360000003</v>
      </c>
      <c r="V7" s="154">
        <f t="shared" si="3"/>
        <v>1041.6698163200003</v>
      </c>
      <c r="W7" s="154">
        <f t="shared" si="3"/>
        <v>1166.6701942784005</v>
      </c>
      <c r="X7" s="154">
        <f t="shared" si="3"/>
        <v>1306.6706175918087</v>
      </c>
      <c r="Y7" s="154">
        <f t="shared" si="3"/>
        <v>1463.4710917028258</v>
      </c>
      <c r="Z7" s="154">
        <f t="shared" si="3"/>
        <v>1639.0876227071651</v>
      </c>
      <c r="AA7" s="154">
        <f t="shared" si="3"/>
        <v>1835.778137432025</v>
      </c>
      <c r="AB7" s="154">
        <f t="shared" si="3"/>
        <v>2056.0715139238682</v>
      </c>
      <c r="AC7" s="138">
        <f>((AB7/G7)^(1/($AB$3-$H$1) ))-1</f>
        <v>0.13078012156619745</v>
      </c>
      <c r="AD7" s="31">
        <f>$L$1</f>
        <v>0.05</v>
      </c>
      <c r="AE7" s="146">
        <f t="shared" si="1"/>
        <v>12699.265233059188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0.13478260869565217</v>
      </c>
      <c r="I8" s="151">
        <f t="shared" ref="I8:P8" si="4">(I7-H7)/I7</f>
        <v>4.9586776859504134E-2</v>
      </c>
      <c r="J8" s="151">
        <f t="shared" si="4"/>
        <v>0.38107416879795397</v>
      </c>
      <c r="K8" s="151">
        <f t="shared" si="4"/>
        <v>0.6132542037586548</v>
      </c>
      <c r="L8" s="151">
        <f t="shared" si="4"/>
        <v>4.8022598870056499E-2</v>
      </c>
      <c r="M8" s="151">
        <f t="shared" si="4"/>
        <v>4.065040650406504E-2</v>
      </c>
      <c r="N8" s="151">
        <f t="shared" si="4"/>
        <v>6.2658763759525823E-2</v>
      </c>
      <c r="O8" s="151">
        <f t="shared" si="4"/>
        <v>2.8782894736842105E-2</v>
      </c>
      <c r="P8" s="151">
        <f t="shared" si="4"/>
        <v>-0.8368580060422961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26</v>
      </c>
      <c r="H9" s="147">
        <v>36</v>
      </c>
      <c r="I9" s="147">
        <v>34</v>
      </c>
      <c r="J9" s="147">
        <v>83</v>
      </c>
      <c r="K9" s="147">
        <v>110</v>
      </c>
      <c r="L9" s="147">
        <v>400</v>
      </c>
      <c r="M9" s="147">
        <v>200</v>
      </c>
      <c r="N9" s="147">
        <v>90</v>
      </c>
      <c r="O9" s="147">
        <v>172</v>
      </c>
      <c r="P9" s="147">
        <v>182</v>
      </c>
      <c r="Q9" s="118">
        <f t="shared" ref="Q9:Q16" si="5">((P9/G9)^(1/($H$2-$H$1) ))-1</f>
        <v>0.24136581701520865</v>
      </c>
      <c r="R9" s="31">
        <f t="shared" ref="R9:R42" si="6">$L$2</f>
        <v>0.12</v>
      </c>
      <c r="S9" s="154">
        <f t="shared" ref="S9" si="7">P9*(1+$R9)</f>
        <v>203.84000000000003</v>
      </c>
      <c r="T9" s="154">
        <f t="shared" ref="T9" si="8">S9*(1+$R9)</f>
        <v>228.30080000000007</v>
      </c>
      <c r="U9" s="154">
        <f t="shared" ref="U9" si="9">T9*(1+$R9)</f>
        <v>255.69689600000009</v>
      </c>
      <c r="V9" s="154">
        <f t="shared" ref="V9" si="10">U9*(1+$R9)</f>
        <v>286.38052352000011</v>
      </c>
      <c r="W9" s="154">
        <f t="shared" ref="W9" si="11">V9*(1+$R9)</f>
        <v>320.74618634240016</v>
      </c>
      <c r="X9" s="154">
        <f t="shared" ref="X9" si="12">W9*(1+$R9)</f>
        <v>359.23572870348823</v>
      </c>
      <c r="Y9" s="154">
        <f t="shared" ref="Y9" si="13">X9*(1+$R9)</f>
        <v>402.34401614790687</v>
      </c>
      <c r="Z9" s="154">
        <f t="shared" ref="Z9" si="14">Y9*(1+$R9)</f>
        <v>450.62529808565574</v>
      </c>
      <c r="AA9" s="154">
        <f t="shared" ref="AA9" si="15">Z9*(1+$R9)</f>
        <v>504.7003338559345</v>
      </c>
      <c r="AB9" s="154">
        <f t="shared" ref="AB9" si="16">AA9*(1+$R9)</f>
        <v>565.2643739186467</v>
      </c>
      <c r="AC9" s="138">
        <f>((AB9/G9)^(1/($AB$3-$H$1) ))-1</f>
        <v>0.17593432298128686</v>
      </c>
      <c r="AD9" s="31">
        <f t="shared" ref="AD9:AD79" si="17">$L$1</f>
        <v>0.05</v>
      </c>
      <c r="AE9" s="146">
        <f t="shared" si="1"/>
        <v>3491.3387800857595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0.01</v>
      </c>
      <c r="H10" s="147">
        <v>28</v>
      </c>
      <c r="I10" s="147">
        <v>16</v>
      </c>
      <c r="J10" s="147">
        <v>132</v>
      </c>
      <c r="K10" s="147">
        <v>147</v>
      </c>
      <c r="L10" s="147">
        <v>130</v>
      </c>
      <c r="M10" s="147">
        <v>652</v>
      </c>
      <c r="N10" s="147">
        <v>589</v>
      </c>
      <c r="O10" s="147">
        <v>524</v>
      </c>
      <c r="P10" s="147">
        <v>817</v>
      </c>
      <c r="Q10" s="118">
        <f t="shared" si="5"/>
        <v>2.5140056118484031</v>
      </c>
      <c r="R10" s="31">
        <f t="shared" si="6"/>
        <v>0.12</v>
      </c>
      <c r="S10" s="154">
        <f t="shared" si="2"/>
        <v>915.04000000000008</v>
      </c>
      <c r="T10" s="154">
        <f t="shared" ref="T10:AB10" si="18">S10*(1+$R10)</f>
        <v>1024.8448000000001</v>
      </c>
      <c r="U10" s="154">
        <f t="shared" si="18"/>
        <v>1147.8261760000003</v>
      </c>
      <c r="V10" s="154">
        <f t="shared" si="18"/>
        <v>1285.5653171200004</v>
      </c>
      <c r="W10" s="154">
        <f t="shared" si="18"/>
        <v>1439.8331551744006</v>
      </c>
      <c r="X10" s="154">
        <f t="shared" si="18"/>
        <v>1612.6131337953288</v>
      </c>
      <c r="Y10" s="154">
        <f t="shared" si="18"/>
        <v>1806.1267098507685</v>
      </c>
      <c r="Z10" s="154">
        <f t="shared" si="18"/>
        <v>2022.8619150328609</v>
      </c>
      <c r="AA10" s="154">
        <f t="shared" si="18"/>
        <v>2265.6053448368043</v>
      </c>
      <c r="AB10" s="154">
        <f t="shared" si="18"/>
        <v>2537.4779862172209</v>
      </c>
      <c r="AC10" s="138">
        <f t="shared" ref="AC10:AC42" si="19">((AB10/G10)^(1/($AB$3-$H$1) ))-1</f>
        <v>0.92505093686922346</v>
      </c>
      <c r="AD10" s="31">
        <f t="shared" si="17"/>
        <v>0.05</v>
      </c>
      <c r="AE10" s="146">
        <f t="shared" si="1"/>
        <v>15672.658150165191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205">
        <f>(H10-G10)/H10</f>
        <v>0.99964285714285706</v>
      </c>
      <c r="I11" s="205">
        <f t="shared" ref="I11:P11" si="20">(I10-H10)/I10</f>
        <v>-0.75</v>
      </c>
      <c r="J11" s="205">
        <f t="shared" si="20"/>
        <v>0.87878787878787878</v>
      </c>
      <c r="K11" s="205">
        <f t="shared" si="20"/>
        <v>0.10204081632653061</v>
      </c>
      <c r="L11" s="205">
        <f t="shared" si="20"/>
        <v>-0.13076923076923078</v>
      </c>
      <c r="M11" s="205">
        <f t="shared" si="20"/>
        <v>0.80061349693251538</v>
      </c>
      <c r="N11" s="205">
        <f t="shared" si="20"/>
        <v>-0.10696095076400679</v>
      </c>
      <c r="O11" s="205">
        <f t="shared" si="20"/>
        <v>-0.12404580152671756</v>
      </c>
      <c r="P11" s="205">
        <f t="shared" si="20"/>
        <v>0.35862913096695226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72</v>
      </c>
      <c r="H12" s="147">
        <v>93</v>
      </c>
      <c r="I12" s="147">
        <v>75</v>
      </c>
      <c r="J12" s="147">
        <v>112</v>
      </c>
      <c r="K12" s="147">
        <v>160</v>
      </c>
      <c r="L12" s="147">
        <v>277</v>
      </c>
      <c r="M12" s="147">
        <v>79</v>
      </c>
      <c r="N12" s="147">
        <v>47</v>
      </c>
      <c r="O12" s="147">
        <v>42</v>
      </c>
      <c r="P12" s="147">
        <v>125</v>
      </c>
      <c r="Q12" s="118">
        <f t="shared" si="5"/>
        <v>6.3211643584458521E-2</v>
      </c>
      <c r="R12" s="31">
        <f t="shared" si="6"/>
        <v>0.12</v>
      </c>
      <c r="S12" s="154">
        <f t="shared" si="2"/>
        <v>140</v>
      </c>
      <c r="T12" s="154">
        <f t="shared" ref="T12:AB12" si="21">S12*(1+$R12)</f>
        <v>156.80000000000001</v>
      </c>
      <c r="U12" s="154">
        <f t="shared" si="21"/>
        <v>175.61600000000004</v>
      </c>
      <c r="V12" s="154">
        <f t="shared" si="21"/>
        <v>196.68992000000006</v>
      </c>
      <c r="W12" s="154">
        <f t="shared" si="21"/>
        <v>220.29271040000009</v>
      </c>
      <c r="X12" s="154">
        <f t="shared" si="21"/>
        <v>246.72783564800014</v>
      </c>
      <c r="Y12" s="154">
        <f t="shared" si="21"/>
        <v>276.33517592576015</v>
      </c>
      <c r="Z12" s="154">
        <f t="shared" si="21"/>
        <v>309.49539703685139</v>
      </c>
      <c r="AA12" s="154">
        <f t="shared" si="21"/>
        <v>346.63484468127359</v>
      </c>
      <c r="AB12" s="154">
        <f t="shared" si="21"/>
        <v>388.23102604302647</v>
      </c>
      <c r="AC12" s="138">
        <f t="shared" si="19"/>
        <v>9.2731758755254301E-2</v>
      </c>
      <c r="AD12" s="31">
        <f t="shared" si="17"/>
        <v>0.05</v>
      </c>
      <c r="AE12" s="146">
        <f t="shared" si="1"/>
        <v>2397.8975137951638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19</v>
      </c>
      <c r="H13" s="147">
        <v>5</v>
      </c>
      <c r="I13" s="147">
        <v>0</v>
      </c>
      <c r="J13" s="147">
        <v>70</v>
      </c>
      <c r="K13" s="147">
        <v>572</v>
      </c>
      <c r="L13" s="147">
        <v>16</v>
      </c>
      <c r="M13" s="147">
        <v>7</v>
      </c>
      <c r="N13" s="147">
        <v>115</v>
      </c>
      <c r="O13" s="147">
        <v>77</v>
      </c>
      <c r="P13" s="147">
        <v>30</v>
      </c>
      <c r="Q13" s="118">
        <f t="shared" si="5"/>
        <v>5.206082765695208E-2</v>
      </c>
      <c r="R13" s="31">
        <f t="shared" si="6"/>
        <v>0.12</v>
      </c>
      <c r="S13" s="154">
        <f t="shared" si="2"/>
        <v>33.6</v>
      </c>
      <c r="T13" s="154">
        <f t="shared" ref="T13:AB13" si="22">S13*(1+$R13)</f>
        <v>37.632000000000005</v>
      </c>
      <c r="U13" s="154">
        <f t="shared" si="22"/>
        <v>42.147840000000009</v>
      </c>
      <c r="V13" s="154">
        <f t="shared" si="22"/>
        <v>47.205580800000014</v>
      </c>
      <c r="W13" s="154">
        <f t="shared" si="22"/>
        <v>52.870250496000018</v>
      </c>
      <c r="X13" s="154">
        <f t="shared" si="22"/>
        <v>59.214680555520026</v>
      </c>
      <c r="Y13" s="154">
        <f t="shared" si="22"/>
        <v>66.320442222182436</v>
      </c>
      <c r="Z13" s="154">
        <f t="shared" si="22"/>
        <v>74.278895288844339</v>
      </c>
      <c r="AA13" s="154">
        <f t="shared" si="22"/>
        <v>83.192362723505667</v>
      </c>
      <c r="AB13" s="154">
        <f t="shared" si="22"/>
        <v>93.17544625032636</v>
      </c>
      <c r="AC13" s="138">
        <f t="shared" si="19"/>
        <v>8.7288076055793251E-2</v>
      </c>
      <c r="AD13" s="31">
        <f t="shared" si="17"/>
        <v>0.05</v>
      </c>
      <c r="AE13" s="146">
        <f t="shared" si="1"/>
        <v>575.49540331083938</v>
      </c>
    </row>
    <row r="14" spans="2:31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7.6</v>
      </c>
      <c r="H15" s="147">
        <v>25</v>
      </c>
      <c r="I15" s="147">
        <v>39</v>
      </c>
      <c r="J15" s="147">
        <v>54</v>
      </c>
      <c r="K15" s="147">
        <v>137</v>
      </c>
      <c r="L15" s="147">
        <v>100</v>
      </c>
      <c r="M15" s="147">
        <v>93.44</v>
      </c>
      <c r="N15" s="147">
        <v>143</v>
      </c>
      <c r="O15" s="147">
        <v>115</v>
      </c>
      <c r="P15" s="147">
        <v>185</v>
      </c>
      <c r="Q15" s="118">
        <f t="shared" si="5"/>
        <v>0.42573822308360887</v>
      </c>
      <c r="R15" s="31">
        <f t="shared" si="6"/>
        <v>0.12</v>
      </c>
      <c r="S15" s="154">
        <f t="shared" si="2"/>
        <v>207.20000000000002</v>
      </c>
      <c r="T15" s="154">
        <f t="shared" ref="T15:AB15" si="36">S15*(1+$R15)</f>
        <v>232.06400000000005</v>
      </c>
      <c r="U15" s="154">
        <f t="shared" si="36"/>
        <v>259.9116800000001</v>
      </c>
      <c r="V15" s="154">
        <f t="shared" si="36"/>
        <v>291.10108160000016</v>
      </c>
      <c r="W15" s="154">
        <f t="shared" si="36"/>
        <v>326.03321139200023</v>
      </c>
      <c r="X15" s="154">
        <f t="shared" si="36"/>
        <v>365.15719675904029</v>
      </c>
      <c r="Y15" s="154">
        <f t="shared" si="36"/>
        <v>408.97606037012514</v>
      </c>
      <c r="Z15" s="154">
        <f t="shared" si="36"/>
        <v>458.05318761454021</v>
      </c>
      <c r="AA15" s="154">
        <f t="shared" si="36"/>
        <v>513.01957012828507</v>
      </c>
      <c r="AB15" s="154">
        <f t="shared" si="36"/>
        <v>574.58191854367931</v>
      </c>
      <c r="AC15" s="138">
        <f t="shared" si="19"/>
        <v>0.25565531747801717</v>
      </c>
      <c r="AD15" s="31">
        <f t="shared" si="17"/>
        <v>0.05</v>
      </c>
      <c r="AE15" s="146">
        <f t="shared" si="1"/>
        <v>3548.8883204168428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99</v>
      </c>
      <c r="H16" s="147">
        <v>117</v>
      </c>
      <c r="I16" s="147">
        <v>73</v>
      </c>
      <c r="J16" s="147">
        <v>135</v>
      </c>
      <c r="K16" s="147">
        <v>146</v>
      </c>
      <c r="L16" s="147">
        <v>48</v>
      </c>
      <c r="M16" s="147">
        <v>83</v>
      </c>
      <c r="N16" s="147">
        <v>65</v>
      </c>
      <c r="O16" s="147">
        <v>4.3499999999999996</v>
      </c>
      <c r="P16" s="147">
        <v>31</v>
      </c>
      <c r="Q16" s="118">
        <f t="shared" si="5"/>
        <v>-0.12103898903367427</v>
      </c>
      <c r="R16" s="31">
        <f t="shared" si="6"/>
        <v>0.12</v>
      </c>
      <c r="S16" s="154">
        <f t="shared" si="2"/>
        <v>34.720000000000006</v>
      </c>
      <c r="T16" s="154">
        <f t="shared" ref="T16:AB16" si="37">S16*(1+$R16)</f>
        <v>38.886400000000009</v>
      </c>
      <c r="U16" s="154">
        <f t="shared" si="37"/>
        <v>43.552768000000015</v>
      </c>
      <c r="V16" s="154">
        <f t="shared" si="37"/>
        <v>48.77910016000002</v>
      </c>
      <c r="W16" s="154">
        <f t="shared" si="37"/>
        <v>54.632592179200024</v>
      </c>
      <c r="X16" s="154">
        <f t="shared" si="37"/>
        <v>61.18850324070403</v>
      </c>
      <c r="Y16" s="154">
        <f t="shared" si="37"/>
        <v>68.531123629588521</v>
      </c>
      <c r="Z16" s="154">
        <f t="shared" si="37"/>
        <v>76.754858465139151</v>
      </c>
      <c r="AA16" s="154">
        <f t="shared" si="37"/>
        <v>85.96544148095586</v>
      </c>
      <c r="AB16" s="154">
        <f t="shared" si="37"/>
        <v>96.281294458670573</v>
      </c>
      <c r="AC16" s="138">
        <f t="shared" si="19"/>
        <v>-1.4644946101235456E-3</v>
      </c>
      <c r="AD16" s="31">
        <f t="shared" si="17"/>
        <v>0.05</v>
      </c>
      <c r="AE16" s="146">
        <f t="shared" si="1"/>
        <v>594.67858342120076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19.7</v>
      </c>
      <c r="H18" s="147">
        <v>22</v>
      </c>
      <c r="I18" s="147">
        <v>49</v>
      </c>
      <c r="J18" s="147">
        <v>43</v>
      </c>
      <c r="K18" s="147">
        <v>38</v>
      </c>
      <c r="L18" s="147">
        <v>-102</v>
      </c>
      <c r="M18" s="147">
        <v>-150</v>
      </c>
      <c r="N18" s="147">
        <v>1489</v>
      </c>
      <c r="O18" s="147">
        <v>1535</v>
      </c>
      <c r="P18" s="147">
        <v>9.4700000000000006</v>
      </c>
      <c r="Q18" s="118">
        <f>((P18/G18)^(1/($H$2-$H$1) ))-1</f>
        <v>-7.8163817644812394E-2</v>
      </c>
      <c r="R18" s="31">
        <f t="shared" si="6"/>
        <v>0.12</v>
      </c>
      <c r="S18" s="154">
        <f t="shared" ref="S18:S34" si="38">P18*(1+$R18)</f>
        <v>10.606400000000002</v>
      </c>
      <c r="T18" s="154">
        <f t="shared" ref="T18:T34" si="39">S18*(1+$R18)</f>
        <v>11.879168000000004</v>
      </c>
      <c r="U18" s="154">
        <f t="shared" ref="U18:U34" si="40">T18*(1+$R18)</f>
        <v>13.304668160000006</v>
      </c>
      <c r="V18" s="154">
        <f t="shared" ref="V18:V34" si="41">U18*(1+$R18)</f>
        <v>14.901228339200008</v>
      </c>
      <c r="W18" s="154">
        <f t="shared" ref="W18:W36" si="42">V18*(1+$R18)</f>
        <v>16.689375739904012</v>
      </c>
      <c r="X18" s="154">
        <f t="shared" ref="X18:X36" si="43">W18*(1+$R18)</f>
        <v>18.692100828692496</v>
      </c>
      <c r="Y18" s="154">
        <f t="shared" ref="Y18:Y36" si="44">X18*(1+$R18)</f>
        <v>20.935152928135597</v>
      </c>
      <c r="Z18" s="154">
        <f t="shared" ref="Z18:Z36" si="45">Y18*(1+$R18)</f>
        <v>23.44737127951187</v>
      </c>
      <c r="AA18" s="154">
        <f t="shared" ref="AA18:AA36" si="46">Z18*(1+$R18)</f>
        <v>26.261055833053298</v>
      </c>
      <c r="AB18" s="154">
        <f t="shared" ref="AB18:AB36" si="47">AA18*(1+$R18)</f>
        <v>29.412382533019695</v>
      </c>
      <c r="AC18" s="138">
        <f t="shared" si="19"/>
        <v>2.1318649005471091E-2</v>
      </c>
      <c r="AD18" s="31">
        <f t="shared" si="17"/>
        <v>0.05</v>
      </c>
      <c r="AE18" s="146">
        <f t="shared" si="1"/>
        <v>181.66471564512167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45</v>
      </c>
      <c r="H25" s="147">
        <v>97.5</v>
      </c>
      <c r="I25" s="147">
        <v>108</v>
      </c>
      <c r="J25" s="147">
        <v>134</v>
      </c>
      <c r="K25" s="147">
        <v>117</v>
      </c>
      <c r="L25" s="147">
        <v>142</v>
      </c>
      <c r="M25" s="147">
        <v>174</v>
      </c>
      <c r="N25" s="147">
        <v>353</v>
      </c>
      <c r="O25" s="147">
        <v>189</v>
      </c>
      <c r="P25" s="147">
        <v>137</v>
      </c>
      <c r="Q25" s="118">
        <f>((P25/G25)^(1/($H$2-$H$1) ))-1</f>
        <v>0.13167863535920366</v>
      </c>
      <c r="R25" s="31">
        <f t="shared" si="6"/>
        <v>0.12</v>
      </c>
      <c r="S25" s="154">
        <f t="shared" si="38"/>
        <v>153.44000000000003</v>
      </c>
      <c r="T25" s="154">
        <f t="shared" si="39"/>
        <v>171.85280000000006</v>
      </c>
      <c r="U25" s="154">
        <f t="shared" si="40"/>
        <v>192.47513600000008</v>
      </c>
      <c r="V25" s="154">
        <f t="shared" si="41"/>
        <v>215.5721523200001</v>
      </c>
      <c r="W25" s="154">
        <f t="shared" si="42"/>
        <v>241.44081059840013</v>
      </c>
      <c r="X25" s="154">
        <f t="shared" si="43"/>
        <v>270.41370787020816</v>
      </c>
      <c r="Y25" s="154">
        <f t="shared" si="44"/>
        <v>302.86335281463317</v>
      </c>
      <c r="Z25" s="154">
        <f t="shared" si="45"/>
        <v>339.20695515238918</v>
      </c>
      <c r="AA25" s="154">
        <f t="shared" si="46"/>
        <v>379.91178977067591</v>
      </c>
      <c r="AB25" s="154">
        <f t="shared" si="47"/>
        <v>425.50120454315709</v>
      </c>
      <c r="AC25" s="138">
        <f t="shared" si="19"/>
        <v>0.12551688518565918</v>
      </c>
      <c r="AD25" s="31">
        <f t="shared" si="17"/>
        <v>0.05</v>
      </c>
      <c r="AE25" s="146">
        <f t="shared" si="1"/>
        <v>2628.0956751194999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0.53846153846153844</v>
      </c>
      <c r="I26" s="148">
        <f t="shared" ref="I26:P26" si="70">(I25-H25)/I25</f>
        <v>9.7222222222222224E-2</v>
      </c>
      <c r="J26" s="148">
        <f t="shared" si="70"/>
        <v>0.19402985074626866</v>
      </c>
      <c r="K26" s="148">
        <f t="shared" si="70"/>
        <v>-0.14529914529914531</v>
      </c>
      <c r="L26" s="148">
        <f t="shared" si="70"/>
        <v>0.176056338028169</v>
      </c>
      <c r="M26" s="148">
        <f t="shared" si="70"/>
        <v>0.18390804597701149</v>
      </c>
      <c r="N26" s="148">
        <f t="shared" si="70"/>
        <v>0.50708215297450421</v>
      </c>
      <c r="O26" s="148">
        <f t="shared" si="70"/>
        <v>-0.86772486772486768</v>
      </c>
      <c r="P26" s="148">
        <f t="shared" si="70"/>
        <v>-0.37956204379562042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6</v>
      </c>
      <c r="H27" s="147">
        <v>13</v>
      </c>
      <c r="I27" s="147">
        <v>16</v>
      </c>
      <c r="J27" s="147">
        <v>14</v>
      </c>
      <c r="K27" s="147">
        <v>19</v>
      </c>
      <c r="L27" s="147">
        <v>18</v>
      </c>
      <c r="M27" s="147">
        <v>80</v>
      </c>
      <c r="N27" s="147">
        <v>98</v>
      </c>
      <c r="O27" s="147">
        <v>75</v>
      </c>
      <c r="P27" s="147">
        <v>62</v>
      </c>
      <c r="Q27" s="118">
        <f>((P27/G27)^(1/($H$2-$H$1) ))-1</f>
        <v>0.2962637677982336</v>
      </c>
      <c r="R27" s="31">
        <f t="shared" si="6"/>
        <v>0.12</v>
      </c>
      <c r="S27" s="154">
        <f t="shared" si="38"/>
        <v>69.440000000000012</v>
      </c>
      <c r="T27" s="154">
        <f t="shared" si="39"/>
        <v>77.772800000000018</v>
      </c>
      <c r="U27" s="154">
        <f t="shared" si="40"/>
        <v>87.105536000000029</v>
      </c>
      <c r="V27" s="154">
        <f t="shared" si="41"/>
        <v>97.55820032000004</v>
      </c>
      <c r="W27" s="154">
        <f t="shared" si="42"/>
        <v>109.26518435840005</v>
      </c>
      <c r="X27" s="154">
        <f t="shared" si="43"/>
        <v>122.37700648140806</v>
      </c>
      <c r="Y27" s="154">
        <f t="shared" si="44"/>
        <v>137.06224725917704</v>
      </c>
      <c r="Z27" s="154">
        <f t="shared" si="45"/>
        <v>153.5097169302783</v>
      </c>
      <c r="AA27" s="154">
        <f t="shared" si="46"/>
        <v>171.93088296191172</v>
      </c>
      <c r="AB27" s="154">
        <f t="shared" si="47"/>
        <v>192.56258891734115</v>
      </c>
      <c r="AC27" s="138">
        <f t="shared" si="19"/>
        <v>0.20028754116879854</v>
      </c>
      <c r="AD27" s="31">
        <f t="shared" si="17"/>
        <v>0.05</v>
      </c>
      <c r="AE27" s="146">
        <f t="shared" si="1"/>
        <v>1189.3571668424015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0.53846153846153844</v>
      </c>
      <c r="I28" s="148">
        <f t="shared" si="71"/>
        <v>0.1875</v>
      </c>
      <c r="J28" s="148">
        <f t="shared" si="71"/>
        <v>-0.14285714285714285</v>
      </c>
      <c r="K28" s="148">
        <f t="shared" si="71"/>
        <v>0.26315789473684209</v>
      </c>
      <c r="L28" s="148">
        <f t="shared" si="71"/>
        <v>-5.5555555555555552E-2</v>
      </c>
      <c r="M28" s="148">
        <f t="shared" si="71"/>
        <v>0.77500000000000002</v>
      </c>
      <c r="N28" s="148">
        <f t="shared" si="71"/>
        <v>0.18367346938775511</v>
      </c>
      <c r="O28" s="148">
        <f t="shared" si="71"/>
        <v>-0.30666666666666664</v>
      </c>
      <c r="P28" s="148">
        <f t="shared" si="71"/>
        <v>-0.20967741935483872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12</v>
      </c>
      <c r="H29" s="147">
        <v>14</v>
      </c>
      <c r="I29" s="147">
        <v>15</v>
      </c>
      <c r="J29" s="147">
        <v>18</v>
      </c>
      <c r="K29" s="147">
        <v>35</v>
      </c>
      <c r="L29" s="147">
        <v>48</v>
      </c>
      <c r="M29" s="147">
        <v>25</v>
      </c>
      <c r="N29" s="147">
        <v>12.4</v>
      </c>
      <c r="O29" s="147">
        <v>11</v>
      </c>
      <c r="P29" s="147">
        <v>10.6</v>
      </c>
      <c r="Q29" s="118">
        <f>((P29/G29)^(1/($H$2-$H$1) ))-1</f>
        <v>-1.3689068389701964E-2</v>
      </c>
      <c r="R29" s="31">
        <f t="shared" si="6"/>
        <v>0.12</v>
      </c>
      <c r="S29" s="154">
        <f t="shared" ref="S29" si="72">P29*(1+$R29)</f>
        <v>11.872</v>
      </c>
      <c r="T29" s="154">
        <f t="shared" ref="T29" si="73">S29*(1+$R29)</f>
        <v>13.296640000000002</v>
      </c>
      <c r="U29" s="154">
        <f t="shared" ref="U29" si="74">T29*(1+$R29)</f>
        <v>14.892236800000003</v>
      </c>
      <c r="V29" s="154">
        <f t="shared" ref="V29" si="75">U29*(1+$R29)</f>
        <v>16.679305216000003</v>
      </c>
      <c r="W29" s="154">
        <f t="shared" ref="W29" si="76">V29*(1+$R29)</f>
        <v>18.680821841920004</v>
      </c>
      <c r="X29" s="154">
        <f t="shared" ref="X29" si="77">W29*(1+$R29)</f>
        <v>20.922520462950406</v>
      </c>
      <c r="Y29" s="154">
        <f t="shared" ref="Y29" si="78">X29*(1+$R29)</f>
        <v>23.433222918504455</v>
      </c>
      <c r="Z29" s="154">
        <f t="shared" ref="Z29" si="79">Y29*(1+$R29)</f>
        <v>26.245209668724993</v>
      </c>
      <c r="AA29" s="154">
        <f t="shared" ref="AA29" si="80">Z29*(1+$R29)</f>
        <v>29.394634828971995</v>
      </c>
      <c r="AB29" s="154">
        <f t="shared" ref="AB29" si="81">AA29*(1+$R29)</f>
        <v>32.921991008448636</v>
      </c>
      <c r="AC29" s="138">
        <f t="shared" ref="AC29" si="82">((AB29/G29)^(1/($AB$3-$H$1) ))-1</f>
        <v>5.4553642480812847E-2</v>
      </c>
      <c r="AD29" s="31">
        <f t="shared" si="17"/>
        <v>0.05</v>
      </c>
      <c r="AE29" s="146">
        <f t="shared" ref="AE29" si="83">(AB29*(1+AD29))/($C$1-AD29)</f>
        <v>203.34170916982984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84">(G29-F29)/G29</f>
        <v>1</v>
      </c>
      <c r="H30" s="148">
        <f t="shared" si="84"/>
        <v>0.14285714285714285</v>
      </c>
      <c r="I30" s="148">
        <f t="shared" si="84"/>
        <v>6.6666666666666666E-2</v>
      </c>
      <c r="J30" s="148">
        <f t="shared" si="84"/>
        <v>0.16666666666666666</v>
      </c>
      <c r="K30" s="148">
        <f t="shared" si="84"/>
        <v>0.48571428571428571</v>
      </c>
      <c r="L30" s="148">
        <f t="shared" si="84"/>
        <v>0.27083333333333331</v>
      </c>
      <c r="M30" s="148">
        <f t="shared" ref="M30" si="85">(M29-L29)/M29</f>
        <v>-0.92</v>
      </c>
      <c r="N30" s="148">
        <f t="shared" ref="N30" si="86">(N29-M29)/N29</f>
        <v>-1.0161290322580645</v>
      </c>
      <c r="O30" s="148">
        <f t="shared" ref="O30" si="87">(O29-N29)/O29</f>
        <v>-0.12727272727272732</v>
      </c>
      <c r="P30" s="148">
        <f t="shared" ref="P30" si="88">(P29-O29)/P29</f>
        <v>-3.7735849056603807E-2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9">T31*(1+$R31)</f>
        <v>0</v>
      </c>
      <c r="V31" s="154">
        <f t="shared" si="89"/>
        <v>0</v>
      </c>
      <c r="W31" s="154">
        <f t="shared" si="89"/>
        <v>0</v>
      </c>
      <c r="X31" s="154">
        <f t="shared" si="89"/>
        <v>0</v>
      </c>
      <c r="Y31" s="154">
        <f t="shared" si="89"/>
        <v>0</v>
      </c>
      <c r="Z31" s="154">
        <f t="shared" si="89"/>
        <v>0</v>
      </c>
      <c r="AA31" s="154">
        <f t="shared" si="89"/>
        <v>0</v>
      </c>
      <c r="AB31" s="154">
        <f t="shared" si="89"/>
        <v>0</v>
      </c>
      <c r="AC31" s="138" t="e">
        <f t="shared" ref="AC31" si="9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9"/>
        <v>0</v>
      </c>
      <c r="V32" s="154">
        <f t="shared" si="89"/>
        <v>0</v>
      </c>
      <c r="W32" s="154">
        <f t="shared" si="89"/>
        <v>0</v>
      </c>
      <c r="X32" s="154">
        <f t="shared" si="89"/>
        <v>0</v>
      </c>
      <c r="Y32" s="154">
        <f t="shared" si="89"/>
        <v>0</v>
      </c>
      <c r="Z32" s="154">
        <f t="shared" si="89"/>
        <v>0</v>
      </c>
      <c r="AA32" s="154">
        <f t="shared" si="89"/>
        <v>0</v>
      </c>
      <c r="AB32" s="154">
        <f t="shared" si="89"/>
        <v>0</v>
      </c>
      <c r="AC32" s="138" t="e">
        <f t="shared" ref="AC32" si="9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4">
        <f t="shared" si="38"/>
        <v>0</v>
      </c>
      <c r="T34" s="154">
        <f t="shared" si="39"/>
        <v>0</v>
      </c>
      <c r="U34" s="154">
        <f t="shared" si="40"/>
        <v>0</v>
      </c>
      <c r="V34" s="154">
        <f t="shared" si="41"/>
        <v>0</v>
      </c>
      <c r="W34" s="154">
        <f t="shared" si="42"/>
        <v>0</v>
      </c>
      <c r="X34" s="154">
        <f t="shared" si="43"/>
        <v>0</v>
      </c>
      <c r="Y34" s="154">
        <f t="shared" si="44"/>
        <v>0</v>
      </c>
      <c r="Z34" s="154">
        <f t="shared" si="45"/>
        <v>0</v>
      </c>
      <c r="AA34" s="154">
        <f t="shared" si="46"/>
        <v>0</v>
      </c>
      <c r="AB34" s="154">
        <f t="shared" si="47"/>
        <v>0</v>
      </c>
      <c r="AC34" s="138" t="e">
        <f t="shared" si="19"/>
        <v>#DIV/0!</v>
      </c>
      <c r="AD34" s="31">
        <f t="shared" si="17"/>
        <v>0.05</v>
      </c>
      <c r="AE34" s="146">
        <f t="shared" si="1"/>
        <v>0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35.6</v>
      </c>
      <c r="H36" s="147">
        <v>77</v>
      </c>
      <c r="I36" s="147">
        <v>87</v>
      </c>
      <c r="J36" s="147">
        <v>107</v>
      </c>
      <c r="K36" s="147">
        <v>78</v>
      </c>
      <c r="L36" s="147">
        <v>78.400000000000006</v>
      </c>
      <c r="M36" s="147">
        <v>80</v>
      </c>
      <c r="N36" s="147">
        <v>246</v>
      </c>
      <c r="O36" s="147">
        <v>88</v>
      </c>
      <c r="P36" s="147">
        <v>67</v>
      </c>
      <c r="Q36" s="118">
        <f>((P36/G36)^(1/($H$2-$H$1) ))-1</f>
        <v>7.278790182428474E-2</v>
      </c>
      <c r="R36" s="31">
        <f t="shared" si="6"/>
        <v>0.12</v>
      </c>
      <c r="S36" s="154">
        <f t="shared" ref="S36" si="92">P36*(1+$R36)</f>
        <v>75.040000000000006</v>
      </c>
      <c r="T36" s="154">
        <f t="shared" ref="T36" si="93">S36*(1+$R36)</f>
        <v>84.044800000000009</v>
      </c>
      <c r="U36" s="154">
        <f t="shared" ref="U36" si="94">T36*(1+$R36)</f>
        <v>94.13017600000002</v>
      </c>
      <c r="V36" s="154">
        <f t="shared" ref="V36" si="95">U36*(1+$R36)</f>
        <v>105.42579712000003</v>
      </c>
      <c r="W36" s="154">
        <f t="shared" si="42"/>
        <v>118.07689277440004</v>
      </c>
      <c r="X36" s="154">
        <f t="shared" si="43"/>
        <v>132.24611990732805</v>
      </c>
      <c r="Y36" s="154">
        <f t="shared" si="44"/>
        <v>148.11565429620742</v>
      </c>
      <c r="Z36" s="154">
        <f t="shared" si="45"/>
        <v>165.88953281175233</v>
      </c>
      <c r="AA36" s="154">
        <f t="shared" si="46"/>
        <v>185.79627674916264</v>
      </c>
      <c r="AB36" s="154">
        <f t="shared" si="47"/>
        <v>208.09182995906218</v>
      </c>
      <c r="AC36" s="138">
        <f t="shared" si="19"/>
        <v>9.7382826828839697E-2</v>
      </c>
      <c r="AD36" s="31">
        <f t="shared" si="17"/>
        <v>0.05</v>
      </c>
      <c r="AE36" s="146">
        <f t="shared" si="1"/>
        <v>1285.2730673942076</v>
      </c>
    </row>
    <row r="37" spans="2:31" s="123" customFormat="1" x14ac:dyDescent="0.2">
      <c r="B37" s="23"/>
      <c r="C37" s="149"/>
      <c r="D37" s="149"/>
      <c r="E37" s="150"/>
      <c r="F37" s="150"/>
      <c r="G37" s="148">
        <f>(G36-F36)/G36</f>
        <v>1</v>
      </c>
      <c r="H37" s="148">
        <f>(H36-G36)/H36</f>
        <v>0.53766233766233762</v>
      </c>
      <c r="I37" s="148">
        <f t="shared" ref="I37:P37" si="96">(I36-H36)/I36</f>
        <v>0.11494252873563218</v>
      </c>
      <c r="J37" s="148">
        <f t="shared" si="96"/>
        <v>0.18691588785046728</v>
      </c>
      <c r="K37" s="148">
        <f t="shared" si="96"/>
        <v>-0.37179487179487181</v>
      </c>
      <c r="L37" s="148">
        <f t="shared" si="96"/>
        <v>5.1020408163266031E-3</v>
      </c>
      <c r="M37" s="148">
        <f t="shared" si="96"/>
        <v>1.9999999999999928E-2</v>
      </c>
      <c r="N37" s="148">
        <f t="shared" si="96"/>
        <v>0.67479674796747968</v>
      </c>
      <c r="O37" s="148">
        <f t="shared" si="96"/>
        <v>-1.7954545454545454</v>
      </c>
      <c r="P37" s="148">
        <f t="shared" si="96"/>
        <v>-0.31343283582089554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97">P38*(1+$R38)</f>
        <v>0</v>
      </c>
      <c r="T38" s="154">
        <f t="shared" ref="T38" si="98">S38*(1+$R38)</f>
        <v>0</v>
      </c>
      <c r="U38" s="154">
        <f t="shared" ref="U38" si="99">T38*(1+$R38)</f>
        <v>0</v>
      </c>
      <c r="V38" s="154">
        <f t="shared" ref="V38" si="100">U38*(1+$R38)</f>
        <v>0</v>
      </c>
      <c r="W38" s="154">
        <f t="shared" ref="W38" si="101">V38*(1+$R38)</f>
        <v>0</v>
      </c>
      <c r="X38" s="154">
        <f t="shared" ref="X38" si="102">W38*(1+$R38)</f>
        <v>0</v>
      </c>
      <c r="Y38" s="154">
        <f t="shared" ref="Y38" si="103">X38*(1+$R38)</f>
        <v>0</v>
      </c>
      <c r="Z38" s="154">
        <f t="shared" ref="Z38" si="104">Y38*(1+$R38)</f>
        <v>0</v>
      </c>
      <c r="AA38" s="154">
        <f t="shared" ref="AA38" si="105">Z38*(1+$R38)</f>
        <v>0</v>
      </c>
      <c r="AB38" s="154">
        <f t="shared" ref="AB38" si="106">AA38*(1+$R38)</f>
        <v>0</v>
      </c>
      <c r="AC38" s="138" t="e">
        <f t="shared" ref="AC38" si="107">((AB38/G38)^(1/($AB$3-$H$1) ))-1</f>
        <v>#DIV/0!</v>
      </c>
      <c r="AD38" s="31">
        <f t="shared" si="17"/>
        <v>0.05</v>
      </c>
      <c r="AE38" s="146">
        <f t="shared" ref="AE38" si="108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09">(G38-F38)/G38</f>
        <v>#DIV/0!</v>
      </c>
      <c r="H39" s="148" t="e">
        <f t="shared" ref="H39" si="110">(H38-G38)/H38</f>
        <v>#DIV/0!</v>
      </c>
      <c r="I39" s="148" t="e">
        <f t="shared" ref="I39" si="111">(I38-H38)/I38</f>
        <v>#DIV/0!</v>
      </c>
      <c r="J39" s="148" t="e">
        <f t="shared" ref="J39" si="112">(J38-I38)/J38</f>
        <v>#DIV/0!</v>
      </c>
      <c r="K39" s="148" t="e">
        <f t="shared" ref="K39" si="113">(K38-J38)/K38</f>
        <v>#DIV/0!</v>
      </c>
      <c r="L39" s="148" t="e">
        <f t="shared" ref="L39" si="114">(L38-K38)/L38</f>
        <v>#DIV/0!</v>
      </c>
      <c r="M39" s="148" t="e">
        <f t="shared" ref="M39" si="115">(M38-L38)/M38</f>
        <v>#DIV/0!</v>
      </c>
      <c r="N39" s="148" t="e">
        <f t="shared" ref="N39" si="116">(N38-M38)/N38</f>
        <v>#DIV/0!</v>
      </c>
      <c r="O39" s="148" t="e">
        <f t="shared" ref="O39" si="117">(O38-N38)/O38</f>
        <v>#DIV/0!</v>
      </c>
      <c r="P39" s="148" t="e">
        <f t="shared" ref="P39" si="118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22</v>
      </c>
      <c r="H40" s="147">
        <v>38.6</v>
      </c>
      <c r="I40" s="147">
        <v>18.7</v>
      </c>
      <c r="J40" s="147">
        <v>2.5</v>
      </c>
      <c r="K40" s="147">
        <v>25.78</v>
      </c>
      <c r="L40" s="147">
        <v>55</v>
      </c>
      <c r="M40" s="147">
        <v>44</v>
      </c>
      <c r="N40" s="147">
        <v>82</v>
      </c>
      <c r="O40" s="147">
        <v>35</v>
      </c>
      <c r="P40" s="147">
        <v>-553</v>
      </c>
      <c r="Q40" s="118">
        <f>((P40/G40)^(1/($H$2-$H$1) ))-1</f>
        <v>-2.4308337024997586</v>
      </c>
      <c r="R40" s="31">
        <f t="shared" si="6"/>
        <v>0.12</v>
      </c>
      <c r="S40" s="206">
        <v>35</v>
      </c>
      <c r="T40" s="154">
        <f t="shared" ref="T40:AB40" si="119">S40*(1+$R40)</f>
        <v>39.200000000000003</v>
      </c>
      <c r="U40" s="154">
        <f t="shared" si="119"/>
        <v>43.904000000000011</v>
      </c>
      <c r="V40" s="154">
        <f t="shared" si="119"/>
        <v>49.172480000000014</v>
      </c>
      <c r="W40" s="154">
        <f t="shared" si="119"/>
        <v>55.073177600000022</v>
      </c>
      <c r="X40" s="154">
        <f t="shared" si="119"/>
        <v>61.681958912000034</v>
      </c>
      <c r="Y40" s="154">
        <f t="shared" si="119"/>
        <v>69.083793981440039</v>
      </c>
      <c r="Z40" s="154">
        <f t="shared" si="119"/>
        <v>77.373849259212847</v>
      </c>
      <c r="AA40" s="154">
        <f t="shared" si="119"/>
        <v>86.658711170318398</v>
      </c>
      <c r="AB40" s="154">
        <f t="shared" si="119"/>
        <v>97.057756510756619</v>
      </c>
      <c r="AC40" s="138">
        <f t="shared" si="19"/>
        <v>8.1251477892152701E-2</v>
      </c>
      <c r="AD40" s="31">
        <f t="shared" si="17"/>
        <v>0.05</v>
      </c>
      <c r="AE40" s="146">
        <f t="shared" si="1"/>
        <v>599.47437844879096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0">(H40-G40)/H40</f>
        <v>0.43005181347150262</v>
      </c>
      <c r="I41" s="148">
        <f t="shared" si="120"/>
        <v>-1.0641711229946527</v>
      </c>
      <c r="J41" s="148">
        <f t="shared" si="120"/>
        <v>-6.4799999999999995</v>
      </c>
      <c r="K41" s="148">
        <f t="shared" si="120"/>
        <v>0.90302560124127229</v>
      </c>
      <c r="L41" s="148">
        <f t="shared" si="120"/>
        <v>0.53127272727272723</v>
      </c>
      <c r="M41" s="148">
        <f t="shared" si="120"/>
        <v>-0.25</v>
      </c>
      <c r="N41" s="148">
        <f t="shared" si="120"/>
        <v>0.46341463414634149</v>
      </c>
      <c r="O41" s="148">
        <f t="shared" si="120"/>
        <v>-1.3428571428571427</v>
      </c>
      <c r="P41" s="148">
        <f t="shared" si="120"/>
        <v>1.0632911392405062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5.87</v>
      </c>
      <c r="H42" s="147">
        <v>5.87</v>
      </c>
      <c r="I42" s="147">
        <v>5.87</v>
      </c>
      <c r="J42" s="147">
        <v>7.89</v>
      </c>
      <c r="K42" s="147">
        <v>13.04</v>
      </c>
      <c r="L42" s="147">
        <v>13.04</v>
      </c>
      <c r="M42" s="147">
        <v>13.04</v>
      </c>
      <c r="N42" s="147">
        <v>13.04</v>
      </c>
      <c r="O42" s="147">
        <v>13.04</v>
      </c>
      <c r="P42" s="147">
        <v>13.04</v>
      </c>
      <c r="Q42" s="118">
        <f>((P42/G42)^(1/($H$2-$H$1) ))-1</f>
        <v>9.2736623584261713E-2</v>
      </c>
      <c r="R42" s="31">
        <v>0.05</v>
      </c>
      <c r="S42" s="154">
        <f t="shared" ref="S42:S43" si="121">P42*(1+$R42)</f>
        <v>13.692</v>
      </c>
      <c r="T42" s="154">
        <f t="shared" ref="T42:AB42" si="122">S42*(1+$R42)</f>
        <v>14.376600000000002</v>
      </c>
      <c r="U42" s="154">
        <f t="shared" si="122"/>
        <v>15.095430000000002</v>
      </c>
      <c r="V42" s="154">
        <f t="shared" si="122"/>
        <v>15.850201500000002</v>
      </c>
      <c r="W42" s="154">
        <f t="shared" si="122"/>
        <v>16.642711575000003</v>
      </c>
      <c r="X42" s="154">
        <f t="shared" si="122"/>
        <v>17.474847153750005</v>
      </c>
      <c r="Y42" s="154">
        <f t="shared" si="122"/>
        <v>18.348589511437506</v>
      </c>
      <c r="Z42" s="154">
        <f t="shared" si="122"/>
        <v>19.266018987009382</v>
      </c>
      <c r="AA42" s="154">
        <f t="shared" si="122"/>
        <v>20.22931993635985</v>
      </c>
      <c r="AB42" s="154">
        <f t="shared" si="122"/>
        <v>21.240785933177843</v>
      </c>
      <c r="AC42" s="138">
        <f t="shared" si="19"/>
        <v>7.003121310708682E-2</v>
      </c>
      <c r="AD42" s="31">
        <f t="shared" si="17"/>
        <v>0.05</v>
      </c>
      <c r="AE42" s="146">
        <f t="shared" si="1"/>
        <v>131.19308958727493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1</v>
      </c>
      <c r="H43" s="147">
        <v>1</v>
      </c>
      <c r="I43" s="147">
        <v>1</v>
      </c>
      <c r="J43" s="147">
        <v>0</v>
      </c>
      <c r="K43" s="147">
        <v>1</v>
      </c>
      <c r="L43" s="147">
        <v>0</v>
      </c>
      <c r="M43" s="147">
        <v>0</v>
      </c>
      <c r="N43" s="147">
        <v>0</v>
      </c>
      <c r="O43" s="147">
        <v>0</v>
      </c>
      <c r="P43" s="147">
        <v>0</v>
      </c>
      <c r="Q43" s="118">
        <f>((P43/G43)^(1/($H$2-$H$1) ))-1</f>
        <v>-1</v>
      </c>
      <c r="R43" s="31">
        <v>0.05</v>
      </c>
      <c r="S43" s="154">
        <f t="shared" si="121"/>
        <v>0</v>
      </c>
      <c r="T43" s="154">
        <f t="shared" ref="T43" si="123">S43*(1+$R43)</f>
        <v>0</v>
      </c>
      <c r="U43" s="154">
        <f t="shared" ref="U43" si="124">T43*(1+$R43)</f>
        <v>0</v>
      </c>
      <c r="V43" s="154">
        <f t="shared" ref="V43" si="125">U43*(1+$R43)</f>
        <v>0</v>
      </c>
      <c r="W43" s="154">
        <f t="shared" ref="W43" si="126">V43*(1+$R43)</f>
        <v>0</v>
      </c>
      <c r="X43" s="154">
        <f t="shared" ref="X43" si="127">W43*(1+$R43)</f>
        <v>0</v>
      </c>
      <c r="Y43" s="154">
        <f t="shared" ref="Y43" si="128">X43*(1+$R43)</f>
        <v>0</v>
      </c>
      <c r="Z43" s="154">
        <f t="shared" ref="Z43" si="129">Y43*(1+$R43)</f>
        <v>0</v>
      </c>
      <c r="AA43" s="154">
        <f t="shared" ref="AA43" si="130">Z43*(1+$R43)</f>
        <v>0</v>
      </c>
      <c r="AB43" s="154">
        <f t="shared" ref="AB43" si="131">AA43*(1+$R43)</f>
        <v>0</v>
      </c>
      <c r="AC43" s="138">
        <f t="shared" ref="AC43" si="132">((AB43/G43)^(1/($AB$3-$H$1) ))-1</f>
        <v>-1</v>
      </c>
      <c r="AD43" s="31">
        <f t="shared" si="17"/>
        <v>0.05</v>
      </c>
      <c r="AE43" s="146">
        <f t="shared" si="1"/>
        <v>0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 t="s">
        <v>428</v>
      </c>
      <c r="K46" s="147" t="s">
        <v>429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3">C25/C42</f>
        <v>0</v>
      </c>
      <c r="D49" s="133">
        <f t="shared" si="133"/>
        <v>0</v>
      </c>
      <c r="E49" s="133">
        <f t="shared" si="133"/>
        <v>0</v>
      </c>
      <c r="F49" s="133">
        <f t="shared" si="133"/>
        <v>0</v>
      </c>
      <c r="G49" s="133">
        <f t="shared" si="133"/>
        <v>7.6660988074957412</v>
      </c>
      <c r="H49" s="133">
        <f t="shared" si="133"/>
        <v>16.609880749574106</v>
      </c>
      <c r="I49" s="133">
        <f t="shared" si="133"/>
        <v>18.398637137989777</v>
      </c>
      <c r="J49" s="133">
        <f t="shared" si="133"/>
        <v>16.983523447401776</v>
      </c>
      <c r="K49" s="133">
        <f t="shared" si="133"/>
        <v>8.9723926380368102</v>
      </c>
      <c r="L49" s="133">
        <f t="shared" si="133"/>
        <v>10.889570552147241</v>
      </c>
      <c r="M49" s="133">
        <f t="shared" si="133"/>
        <v>13.343558282208591</v>
      </c>
      <c r="N49" s="133">
        <f t="shared" si="133"/>
        <v>27.070552147239265</v>
      </c>
      <c r="O49" s="133">
        <f t="shared" si="133"/>
        <v>14.493865030674847</v>
      </c>
      <c r="P49" s="133">
        <f t="shared" si="133"/>
        <v>10.506134969325155</v>
      </c>
      <c r="Q49" s="118">
        <f>((P49/G49)^(1/($H$2-$H$1) ))-1</f>
        <v>3.5637143419984474E-2</v>
      </c>
      <c r="R49" s="128"/>
      <c r="S49" s="158">
        <f t="shared" ref="S49:AB49" si="134">S25/S42</f>
        <v>11.206543967280165</v>
      </c>
      <c r="T49" s="158">
        <f t="shared" si="134"/>
        <v>11.953646898432178</v>
      </c>
      <c r="U49" s="158">
        <f t="shared" si="134"/>
        <v>12.750556691660989</v>
      </c>
      <c r="V49" s="158">
        <f t="shared" si="134"/>
        <v>13.60059380443839</v>
      </c>
      <c r="W49" s="158">
        <f t="shared" si="134"/>
        <v>14.507300058067615</v>
      </c>
      <c r="X49" s="158">
        <f t="shared" si="134"/>
        <v>15.474453395272123</v>
      </c>
      <c r="Y49" s="158">
        <f t="shared" si="134"/>
        <v>16.506083621623599</v>
      </c>
      <c r="Z49" s="158">
        <f t="shared" si="134"/>
        <v>17.606489196398506</v>
      </c>
      <c r="AA49" s="158">
        <f t="shared" si="134"/>
        <v>18.780255142825077</v>
      </c>
      <c r="AB49" s="158">
        <f t="shared" si="134"/>
        <v>20.032272152346749</v>
      </c>
      <c r="AC49" s="138">
        <f t="shared" ref="AC49" si="135">((AB49/G49)^(1/($AB$3-$H$1) ))-1</f>
        <v>5.1854255650596093E-2</v>
      </c>
      <c r="AD49" s="31">
        <f t="shared" si="17"/>
        <v>0.05</v>
      </c>
      <c r="AE49" s="146">
        <f t="shared" ref="AE49:AE50" si="136">(AB49*(1+AD49))/($C$1-AD49)</f>
        <v>123.72873976449463</v>
      </c>
    </row>
    <row r="50" spans="2:31" x14ac:dyDescent="0.2">
      <c r="B50" s="20" t="s">
        <v>304</v>
      </c>
      <c r="C50" s="133">
        <f t="shared" ref="C50:P50" si="137">C27/C42</f>
        <v>0</v>
      </c>
      <c r="D50" s="133">
        <f t="shared" si="137"/>
        <v>0</v>
      </c>
      <c r="E50" s="133">
        <f t="shared" si="137"/>
        <v>0</v>
      </c>
      <c r="F50" s="133">
        <f t="shared" si="137"/>
        <v>0</v>
      </c>
      <c r="G50" s="133">
        <f t="shared" si="137"/>
        <v>1.0221465076660987</v>
      </c>
      <c r="H50" s="133">
        <f t="shared" si="137"/>
        <v>2.2146507666098807</v>
      </c>
      <c r="I50" s="133">
        <f t="shared" si="137"/>
        <v>2.7257240204429301</v>
      </c>
      <c r="J50" s="133">
        <f t="shared" si="137"/>
        <v>1.7743979721166034</v>
      </c>
      <c r="K50" s="133">
        <f t="shared" si="137"/>
        <v>1.4570552147239264</v>
      </c>
      <c r="L50" s="133">
        <f t="shared" si="137"/>
        <v>1.3803680981595092</v>
      </c>
      <c r="M50" s="133">
        <f t="shared" si="137"/>
        <v>6.1349693251533743</v>
      </c>
      <c r="N50" s="133">
        <f t="shared" si="137"/>
        <v>7.515337423312884</v>
      </c>
      <c r="O50" s="133">
        <f t="shared" si="137"/>
        <v>5.7515337423312891</v>
      </c>
      <c r="P50" s="133">
        <f t="shared" si="137"/>
        <v>4.7546012269938656</v>
      </c>
      <c r="Q50" s="118">
        <f>((P50/G50)^(1/($H$2-$H$1) ))-1</f>
        <v>0.18625452814639565</v>
      </c>
      <c r="R50" s="128"/>
      <c r="S50" s="158">
        <f t="shared" ref="S50:AB50" si="138">S27/S42</f>
        <v>5.07157464212679</v>
      </c>
      <c r="T50" s="158">
        <f t="shared" si="138"/>
        <v>5.4096796182685756</v>
      </c>
      <c r="U50" s="158">
        <f t="shared" si="138"/>
        <v>5.7703249261531484</v>
      </c>
      <c r="V50" s="158">
        <f t="shared" si="138"/>
        <v>6.1550132545633582</v>
      </c>
      <c r="W50" s="158">
        <f t="shared" si="138"/>
        <v>6.565347471534249</v>
      </c>
      <c r="X50" s="158">
        <f t="shared" si="138"/>
        <v>7.0030373029698652</v>
      </c>
      <c r="Y50" s="158">
        <f t="shared" si="138"/>
        <v>7.4699064565011897</v>
      </c>
      <c r="Z50" s="158">
        <f t="shared" si="138"/>
        <v>7.9679002202679365</v>
      </c>
      <c r="AA50" s="158">
        <f t="shared" si="138"/>
        <v>8.4990935682858009</v>
      </c>
      <c r="AB50" s="158">
        <f t="shared" si="138"/>
        <v>9.065699806171521</v>
      </c>
      <c r="AC50" s="138">
        <f t="shared" ref="AC50" si="139">((AB50/G50)^(1/($AB$3-$H$1) ))-1</f>
        <v>0.12173133499861355</v>
      </c>
      <c r="AD50" s="31">
        <f t="shared" si="17"/>
        <v>0.05</v>
      </c>
      <c r="AE50" s="146">
        <f t="shared" si="136"/>
        <v>55.994028214588816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0">C40/C42</f>
        <v>0</v>
      </c>
      <c r="D52" s="25">
        <f t="shared" si="140"/>
        <v>0</v>
      </c>
      <c r="E52" s="25">
        <f t="shared" si="140"/>
        <v>0</v>
      </c>
      <c r="F52" s="133">
        <f t="shared" si="140"/>
        <v>0</v>
      </c>
      <c r="G52" s="133">
        <f t="shared" si="140"/>
        <v>3.7478705281090288</v>
      </c>
      <c r="H52" s="133">
        <f t="shared" si="140"/>
        <v>6.5758091993185692</v>
      </c>
      <c r="I52" s="133">
        <f t="shared" si="140"/>
        <v>3.1856899488926746</v>
      </c>
      <c r="J52" s="133">
        <f t="shared" si="140"/>
        <v>0.31685678073510776</v>
      </c>
      <c r="K52" s="133">
        <f t="shared" si="140"/>
        <v>1.9769938650306751</v>
      </c>
      <c r="L52" s="133">
        <f t="shared" si="140"/>
        <v>4.2177914110429446</v>
      </c>
      <c r="M52" s="133">
        <f t="shared" si="140"/>
        <v>3.3742331288343559</v>
      </c>
      <c r="N52" s="133">
        <f t="shared" si="140"/>
        <v>6.2883435582822091</v>
      </c>
      <c r="O52" s="133">
        <f t="shared" si="140"/>
        <v>2.6840490797546015</v>
      </c>
      <c r="P52" s="133">
        <f t="shared" si="140"/>
        <v>-42.407975460122699</v>
      </c>
      <c r="Q52" s="118">
        <f>((P52/G52)^(1/($H$2-$H$1) ))-1</f>
        <v>-2.309403996917859</v>
      </c>
      <c r="R52" s="128"/>
      <c r="S52" s="158">
        <f t="shared" ref="S52:AB52" si="141">S40/S42</f>
        <v>2.556237218813906</v>
      </c>
      <c r="T52" s="158">
        <f t="shared" si="141"/>
        <v>2.7266530334014996</v>
      </c>
      <c r="U52" s="158">
        <f t="shared" si="141"/>
        <v>2.9084299022949334</v>
      </c>
      <c r="V52" s="158">
        <f t="shared" si="141"/>
        <v>3.1023252291145957</v>
      </c>
      <c r="W52" s="158">
        <f t="shared" si="141"/>
        <v>3.3091469110555689</v>
      </c>
      <c r="X52" s="158">
        <f t="shared" si="141"/>
        <v>3.5297567051259402</v>
      </c>
      <c r="Y52" s="158">
        <f t="shared" si="141"/>
        <v>3.7650738188010027</v>
      </c>
      <c r="Z52" s="158">
        <f t="shared" si="141"/>
        <v>4.0160787400544029</v>
      </c>
      <c r="AA52" s="158">
        <f t="shared" si="141"/>
        <v>4.2838173227246976</v>
      </c>
      <c r="AB52" s="158">
        <f t="shared" si="141"/>
        <v>4.5694051442396777</v>
      </c>
      <c r="AC52" s="138">
        <f t="shared" ref="AC52:AC66" si="142">((AB52/G52)^(1/($AB$3-$H$1) ))-1</f>
        <v>1.0485922884889698E-2</v>
      </c>
      <c r="AD52" s="31">
        <f t="shared" si="17"/>
        <v>0.05</v>
      </c>
      <c r="AE52" s="146">
        <f t="shared" ref="AE52:AE80" si="143">(AB52*(1+AD52))/($C$1-AD52)</f>
        <v>28.222796479127425</v>
      </c>
    </row>
    <row r="53" spans="2:31" x14ac:dyDescent="0.2">
      <c r="B53" s="20" t="s">
        <v>388</v>
      </c>
      <c r="C53" s="133">
        <f t="shared" ref="C53:F53" si="144">C20/C42</f>
        <v>0</v>
      </c>
      <c r="D53" s="133">
        <f t="shared" si="144"/>
        <v>0</v>
      </c>
      <c r="E53" s="133">
        <f t="shared" si="144"/>
        <v>0</v>
      </c>
      <c r="F53" s="133">
        <f t="shared" si="144"/>
        <v>0</v>
      </c>
      <c r="G53" s="133">
        <f>G20/G42</f>
        <v>0</v>
      </c>
      <c r="H53" s="133">
        <f t="shared" ref="H53:P53" si="145">H20/H42</f>
        <v>0</v>
      </c>
      <c r="I53" s="133">
        <f t="shared" si="145"/>
        <v>0</v>
      </c>
      <c r="J53" s="133">
        <f t="shared" si="145"/>
        <v>0</v>
      </c>
      <c r="K53" s="133">
        <f t="shared" si="145"/>
        <v>0</v>
      </c>
      <c r="L53" s="133">
        <f t="shared" si="145"/>
        <v>0</v>
      </c>
      <c r="M53" s="133">
        <f t="shared" si="145"/>
        <v>0</v>
      </c>
      <c r="N53" s="133">
        <f t="shared" si="145"/>
        <v>0</v>
      </c>
      <c r="O53" s="133">
        <f t="shared" si="145"/>
        <v>0</v>
      </c>
      <c r="P53" s="133">
        <f t="shared" si="145"/>
        <v>0</v>
      </c>
      <c r="Q53" s="118" t="e">
        <f>((P53/G53)^(1/($H$2-$H$1) ))-1</f>
        <v>#DIV/0!</v>
      </c>
      <c r="R53" s="128"/>
      <c r="S53" s="133">
        <f t="shared" ref="S53:AB53" si="146">S20/S42</f>
        <v>0</v>
      </c>
      <c r="T53" s="133">
        <f t="shared" si="146"/>
        <v>0</v>
      </c>
      <c r="U53" s="133">
        <f t="shared" si="146"/>
        <v>0</v>
      </c>
      <c r="V53" s="133">
        <f t="shared" si="146"/>
        <v>0</v>
      </c>
      <c r="W53" s="133">
        <f t="shared" si="146"/>
        <v>0</v>
      </c>
      <c r="X53" s="133">
        <f t="shared" si="146"/>
        <v>0</v>
      </c>
      <c r="Y53" s="133">
        <f t="shared" si="146"/>
        <v>0</v>
      </c>
      <c r="Z53" s="133">
        <f t="shared" si="146"/>
        <v>0</v>
      </c>
      <c r="AA53" s="133">
        <f t="shared" si="146"/>
        <v>0</v>
      </c>
      <c r="AB53" s="133">
        <f t="shared" si="146"/>
        <v>0</v>
      </c>
      <c r="AC53" s="138" t="e">
        <f t="shared" ref="AC53" si="147">((AB53/G53)^(1/($AB$3-$H$1) ))-1</f>
        <v>#DIV/0!</v>
      </c>
      <c r="AD53" s="31">
        <f t="shared" si="17"/>
        <v>0.05</v>
      </c>
      <c r="AE53" s="146">
        <f t="shared" si="143"/>
        <v>0</v>
      </c>
    </row>
    <row r="54" spans="2:31" x14ac:dyDescent="0.2">
      <c r="B54" s="20" t="s">
        <v>245</v>
      </c>
      <c r="C54" s="25">
        <f t="shared" ref="C54:P54" si="148">C7/C42</f>
        <v>0</v>
      </c>
      <c r="D54" s="25">
        <f t="shared" si="148"/>
        <v>0</v>
      </c>
      <c r="E54" s="25">
        <f t="shared" si="148"/>
        <v>0</v>
      </c>
      <c r="F54" s="133">
        <f t="shared" si="148"/>
        <v>0</v>
      </c>
      <c r="G54" s="133">
        <f t="shared" si="148"/>
        <v>33.901192504258944</v>
      </c>
      <c r="H54" s="133">
        <f t="shared" si="148"/>
        <v>39.182282793867117</v>
      </c>
      <c r="I54" s="133">
        <f t="shared" si="148"/>
        <v>41.226575809199318</v>
      </c>
      <c r="J54" s="133">
        <f t="shared" si="148"/>
        <v>49.556400506970853</v>
      </c>
      <c r="K54" s="133">
        <f t="shared" si="148"/>
        <v>77.530674846625772</v>
      </c>
      <c r="L54" s="133">
        <f t="shared" si="148"/>
        <v>81.441717791411051</v>
      </c>
      <c r="M54" s="133">
        <f t="shared" si="148"/>
        <v>84.892638036809828</v>
      </c>
      <c r="N54" s="133">
        <f t="shared" si="148"/>
        <v>90.567484662576689</v>
      </c>
      <c r="O54" s="133">
        <f t="shared" si="148"/>
        <v>93.25153374233129</v>
      </c>
      <c r="P54" s="133">
        <f t="shared" si="148"/>
        <v>50.766871165644176</v>
      </c>
      <c r="Q54" s="118">
        <f>((P54/G54)^(1/($H$2-$H$1) ))-1</f>
        <v>4.5887679318418861E-2</v>
      </c>
      <c r="R54" s="128"/>
      <c r="S54" s="158">
        <f t="shared" ref="S54:AB54" si="149">S7/S42</f>
        <v>54.151329243353786</v>
      </c>
      <c r="T54" s="158">
        <f t="shared" si="149"/>
        <v>57.761417859577378</v>
      </c>
      <c r="U54" s="158">
        <f t="shared" si="149"/>
        <v>61.612179050215872</v>
      </c>
      <c r="V54" s="158">
        <f t="shared" si="149"/>
        <v>65.719657653563601</v>
      </c>
      <c r="W54" s="158">
        <f t="shared" si="149"/>
        <v>70.10096816380117</v>
      </c>
      <c r="X54" s="158">
        <f t="shared" si="149"/>
        <v>74.774366041387921</v>
      </c>
      <c r="Y54" s="158">
        <f t="shared" si="149"/>
        <v>79.759323777480446</v>
      </c>
      <c r="Z54" s="158">
        <f t="shared" si="149"/>
        <v>85.076612029312486</v>
      </c>
      <c r="AA54" s="158">
        <f t="shared" si="149"/>
        <v>90.748386164599992</v>
      </c>
      <c r="AB54" s="158">
        <f t="shared" si="149"/>
        <v>96.798278575573335</v>
      </c>
      <c r="AC54" s="138">
        <f t="shared" si="142"/>
        <v>5.6773024669730665E-2</v>
      </c>
      <c r="AD54" s="31">
        <f t="shared" si="17"/>
        <v>0.05</v>
      </c>
      <c r="AE54" s="146">
        <f t="shared" si="143"/>
        <v>597.87172061383535</v>
      </c>
    </row>
    <row r="55" spans="2:31" x14ac:dyDescent="0.2">
      <c r="B55" s="20" t="s">
        <v>246</v>
      </c>
      <c r="C55" s="127">
        <f t="shared" ref="C55:P55" si="150">C6/C42</f>
        <v>0</v>
      </c>
      <c r="D55" s="127">
        <f t="shared" si="150"/>
        <v>0</v>
      </c>
      <c r="E55" s="127">
        <f t="shared" si="150"/>
        <v>0</v>
      </c>
      <c r="F55" s="144">
        <f t="shared" si="150"/>
        <v>0</v>
      </c>
      <c r="G55" s="144">
        <f t="shared" si="150"/>
        <v>23.850085178875638</v>
      </c>
      <c r="H55" s="144">
        <f t="shared" si="150"/>
        <v>29.131175468483814</v>
      </c>
      <c r="I55" s="144">
        <f t="shared" si="150"/>
        <v>30.834752981260646</v>
      </c>
      <c r="J55" s="144">
        <f t="shared" si="150"/>
        <v>39.670468948035492</v>
      </c>
      <c r="K55" s="144">
        <f t="shared" si="150"/>
        <v>67.484662576687114</v>
      </c>
      <c r="L55" s="144">
        <f t="shared" si="150"/>
        <v>71.395705521472394</v>
      </c>
      <c r="M55" s="144">
        <f t="shared" si="150"/>
        <v>74.923312883435585</v>
      </c>
      <c r="N55" s="144">
        <f t="shared" si="150"/>
        <v>80.598159509202461</v>
      </c>
      <c r="O55" s="144">
        <f t="shared" si="150"/>
        <v>83.205521472392647</v>
      </c>
      <c r="P55" s="144">
        <f t="shared" si="150"/>
        <v>40.79754601226994</v>
      </c>
      <c r="Q55" s="118">
        <f>((P55/G55)^(1/($H$2-$H$1) ))-1</f>
        <v>6.1463098728932186E-2</v>
      </c>
      <c r="R55" s="128"/>
      <c r="S55" s="157">
        <f t="shared" ref="S55:AB55" si="151">S6/S42</f>
        <v>43.517382413087937</v>
      </c>
      <c r="T55" s="157">
        <f t="shared" si="151"/>
        <v>46.418541240627128</v>
      </c>
      <c r="U55" s="157">
        <f t="shared" si="151"/>
        <v>49.513110656668943</v>
      </c>
      <c r="V55" s="157">
        <f t="shared" si="151"/>
        <v>52.813984700446873</v>
      </c>
      <c r="W55" s="157">
        <f t="shared" si="151"/>
        <v>56.334917013809999</v>
      </c>
      <c r="X55" s="157">
        <f t="shared" si="151"/>
        <v>60.090578148064004</v>
      </c>
      <c r="Y55" s="157">
        <f t="shared" si="151"/>
        <v>64.096616691268281</v>
      </c>
      <c r="Z55" s="157">
        <f t="shared" si="151"/>
        <v>68.36972447068618</v>
      </c>
      <c r="AA55" s="157">
        <f t="shared" si="151"/>
        <v>72.927706102065258</v>
      </c>
      <c r="AB55" s="157">
        <f t="shared" si="151"/>
        <v>77.78955317553627</v>
      </c>
      <c r="AC55" s="138">
        <f t="shared" si="142"/>
        <v>6.4198646508007107E-2</v>
      </c>
      <c r="AD55" s="31">
        <f t="shared" si="17"/>
        <v>0.05</v>
      </c>
      <c r="AE55" s="146">
        <f t="shared" si="143"/>
        <v>480.46488726066525</v>
      </c>
    </row>
    <row r="56" spans="2:31" x14ac:dyDescent="0.2">
      <c r="B56" s="20" t="s">
        <v>247</v>
      </c>
      <c r="C56" s="127">
        <f t="shared" ref="C56:P56" si="152">C10/C42</f>
        <v>0</v>
      </c>
      <c r="D56" s="127">
        <f t="shared" si="152"/>
        <v>0</v>
      </c>
      <c r="E56" s="127">
        <f t="shared" si="152"/>
        <v>0</v>
      </c>
      <c r="F56" s="144">
        <f t="shared" si="152"/>
        <v>0</v>
      </c>
      <c r="G56" s="144">
        <f t="shared" si="152"/>
        <v>1.7035775127768314E-3</v>
      </c>
      <c r="H56" s="144">
        <f t="shared" si="152"/>
        <v>4.7700170357751279</v>
      </c>
      <c r="I56" s="144">
        <f t="shared" si="152"/>
        <v>2.7257240204429301</v>
      </c>
      <c r="J56" s="144">
        <f t="shared" si="152"/>
        <v>16.730038022813687</v>
      </c>
      <c r="K56" s="144">
        <f t="shared" si="152"/>
        <v>11.273006134969325</v>
      </c>
      <c r="L56" s="144">
        <f t="shared" si="152"/>
        <v>9.9693251533742338</v>
      </c>
      <c r="M56" s="144">
        <f t="shared" si="152"/>
        <v>50</v>
      </c>
      <c r="N56" s="144">
        <f t="shared" si="152"/>
        <v>45.168711656441722</v>
      </c>
      <c r="O56" s="144">
        <f t="shared" si="152"/>
        <v>40.184049079754601</v>
      </c>
      <c r="P56" s="144">
        <f t="shared" si="152"/>
        <v>62.653374233128837</v>
      </c>
      <c r="Q56" s="118">
        <f>((P56/G56)^(1/($H$2-$H$1) ))-1</f>
        <v>2.2157846053719612</v>
      </c>
      <c r="R56" s="128"/>
      <c r="S56" s="157">
        <f t="shared" ref="S56:AB56" si="153">S10/S42</f>
        <v>66.830265848670763</v>
      </c>
      <c r="T56" s="157">
        <f t="shared" si="153"/>
        <v>71.285616905248801</v>
      </c>
      <c r="U56" s="157">
        <f t="shared" si="153"/>
        <v>76.037991365598728</v>
      </c>
      <c r="V56" s="157">
        <f t="shared" si="153"/>
        <v>81.10719078997198</v>
      </c>
      <c r="W56" s="157">
        <f t="shared" si="153"/>
        <v>86.514336842636794</v>
      </c>
      <c r="X56" s="157">
        <f t="shared" si="153"/>
        <v>92.281959298812581</v>
      </c>
      <c r="Y56" s="157">
        <f t="shared" si="153"/>
        <v>98.43408991873342</v>
      </c>
      <c r="Z56" s="157">
        <f t="shared" si="153"/>
        <v>104.99636257998233</v>
      </c>
      <c r="AA56" s="157">
        <f t="shared" si="153"/>
        <v>111.99612008531449</v>
      </c>
      <c r="AB56" s="157">
        <f t="shared" si="153"/>
        <v>119.46252809100213</v>
      </c>
      <c r="AC56" s="138">
        <f t="shared" si="142"/>
        <v>0.79906054448578745</v>
      </c>
      <c r="AD56" s="31">
        <f t="shared" si="17"/>
        <v>0.05</v>
      </c>
      <c r="AE56" s="146">
        <f t="shared" si="143"/>
        <v>737.85679115030734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4">(C7-C10)/C42</f>
        <v>0</v>
      </c>
      <c r="D58" s="127">
        <f t="shared" si="154"/>
        <v>0</v>
      </c>
      <c r="E58" s="127">
        <f t="shared" si="154"/>
        <v>0</v>
      </c>
      <c r="F58" s="144">
        <f t="shared" si="154"/>
        <v>0</v>
      </c>
      <c r="G58" s="144">
        <f t="shared" si="154"/>
        <v>33.899488926746166</v>
      </c>
      <c r="H58" s="144">
        <f t="shared" si="154"/>
        <v>34.412265758091991</v>
      </c>
      <c r="I58" s="144">
        <f t="shared" si="154"/>
        <v>38.500851788756385</v>
      </c>
      <c r="J58" s="144">
        <f t="shared" si="154"/>
        <v>32.826362484157166</v>
      </c>
      <c r="K58" s="144">
        <f t="shared" si="154"/>
        <v>66.25766871165645</v>
      </c>
      <c r="L58" s="144">
        <f t="shared" si="154"/>
        <v>71.472392638036808</v>
      </c>
      <c r="M58" s="144">
        <f t="shared" si="154"/>
        <v>34.892638036809821</v>
      </c>
      <c r="N58" s="144">
        <f t="shared" si="154"/>
        <v>45.398773006134974</v>
      </c>
      <c r="O58" s="144">
        <f t="shared" si="154"/>
        <v>53.067484662576689</v>
      </c>
      <c r="P58" s="144">
        <f t="shared" si="154"/>
        <v>-11.886503067484663</v>
      </c>
      <c r="Q58" s="118">
        <f>((P58/G58)^(1/($H$2-$H$1) ))-1</f>
        <v>-1.890079902679801</v>
      </c>
      <c r="R58" s="128"/>
      <c r="S58" s="157">
        <f t="shared" ref="S58:AB58" si="155">(S7-S10)/S42</f>
        <v>-12.678936605316975</v>
      </c>
      <c r="T58" s="157">
        <f t="shared" si="155"/>
        <v>-13.52419904567143</v>
      </c>
      <c r="U58" s="157">
        <f t="shared" si="155"/>
        <v>-14.425812315382863</v>
      </c>
      <c r="V58" s="157">
        <f t="shared" si="155"/>
        <v>-15.387533136408392</v>
      </c>
      <c r="W58" s="157">
        <f t="shared" si="155"/>
        <v>-16.413368678835624</v>
      </c>
      <c r="X58" s="157">
        <f t="shared" si="155"/>
        <v>-17.507593257424666</v>
      </c>
      <c r="Y58" s="157">
        <f t="shared" si="155"/>
        <v>-18.674766141252981</v>
      </c>
      <c r="Z58" s="157">
        <f t="shared" si="155"/>
        <v>-19.919750550669843</v>
      </c>
      <c r="AA58" s="157">
        <f t="shared" si="155"/>
        <v>-21.247733920714502</v>
      </c>
      <c r="AB58" s="157">
        <f t="shared" si="155"/>
        <v>-22.664249515428793</v>
      </c>
      <c r="AC58" s="138">
        <f t="shared" si="142"/>
        <v>-1.9790328705289455</v>
      </c>
      <c r="AD58" s="31">
        <f t="shared" si="17"/>
        <v>0.05</v>
      </c>
      <c r="AE58" s="146">
        <f t="shared" si="143"/>
        <v>-139.98507053647197</v>
      </c>
    </row>
    <row r="59" spans="2:31" x14ac:dyDescent="0.2">
      <c r="B59" s="20" t="s">
        <v>271</v>
      </c>
      <c r="C59" s="127">
        <f t="shared" ref="C59:P59" si="156">(C7-C10-C9)/C42</f>
        <v>0</v>
      </c>
      <c r="D59" s="127">
        <f t="shared" si="156"/>
        <v>0</v>
      </c>
      <c r="E59" s="127">
        <f t="shared" si="156"/>
        <v>0</v>
      </c>
      <c r="F59" s="144">
        <f t="shared" si="156"/>
        <v>0</v>
      </c>
      <c r="G59" s="144">
        <f t="shared" si="156"/>
        <v>29.470187393526405</v>
      </c>
      <c r="H59" s="144">
        <f t="shared" si="156"/>
        <v>28.279386712095398</v>
      </c>
      <c r="I59" s="144">
        <f t="shared" si="156"/>
        <v>32.708688245315159</v>
      </c>
      <c r="J59" s="144">
        <f t="shared" si="156"/>
        <v>22.306717363751584</v>
      </c>
      <c r="K59" s="144">
        <f t="shared" si="156"/>
        <v>57.822085889570559</v>
      </c>
      <c r="L59" s="144">
        <f t="shared" si="156"/>
        <v>40.79754601226994</v>
      </c>
      <c r="M59" s="144">
        <f t="shared" si="156"/>
        <v>19.555214723926383</v>
      </c>
      <c r="N59" s="144">
        <f t="shared" si="156"/>
        <v>38.496932515337427</v>
      </c>
      <c r="O59" s="144">
        <f t="shared" si="156"/>
        <v>39.877300613496935</v>
      </c>
      <c r="P59" s="144">
        <f t="shared" si="156"/>
        <v>-25.843558282208591</v>
      </c>
      <c r="Q59" s="118">
        <f>((P59/G59)^(1/($H$2-$H$1) ))-1</f>
        <v>-1.98551506620256</v>
      </c>
      <c r="R59" s="128"/>
      <c r="S59" s="157">
        <f t="shared" ref="S59:AB59" si="157">(S7-S10-S9)/S42</f>
        <v>-27.566462167689163</v>
      </c>
      <c r="T59" s="157">
        <f t="shared" si="157"/>
        <v>-29.404226312201768</v>
      </c>
      <c r="U59" s="157">
        <f t="shared" si="157"/>
        <v>-31.364508066348556</v>
      </c>
      <c r="V59" s="157">
        <f t="shared" si="157"/>
        <v>-33.4554752707718</v>
      </c>
      <c r="W59" s="157">
        <f t="shared" si="157"/>
        <v>-35.685840288823258</v>
      </c>
      <c r="X59" s="157">
        <f t="shared" si="157"/>
        <v>-38.064896308078147</v>
      </c>
      <c r="Y59" s="157">
        <f t="shared" si="157"/>
        <v>-40.602556061950025</v>
      </c>
      <c r="Z59" s="157">
        <f t="shared" si="157"/>
        <v>-43.309393132746692</v>
      </c>
      <c r="AA59" s="157">
        <f t="shared" si="157"/>
        <v>-46.19668600826315</v>
      </c>
      <c r="AB59" s="157">
        <f t="shared" si="157"/>
        <v>-49.276465075480679</v>
      </c>
      <c r="AC59" s="138">
        <f t="shared" si="142"/>
        <v>-2.0274255224330702</v>
      </c>
      <c r="AD59" s="31">
        <f t="shared" si="17"/>
        <v>0.05</v>
      </c>
      <c r="AE59" s="146">
        <f t="shared" si="143"/>
        <v>-304.35463723091016</v>
      </c>
    </row>
    <row r="60" spans="2:31" x14ac:dyDescent="0.2">
      <c r="B60" s="20" t="s">
        <v>276</v>
      </c>
      <c r="C60" s="127">
        <f t="shared" ref="C60:P60" si="158">(C7+C15-C10-C9)/C42</f>
        <v>0</v>
      </c>
      <c r="D60" s="127">
        <f t="shared" si="158"/>
        <v>0</v>
      </c>
      <c r="E60" s="127">
        <f t="shared" si="158"/>
        <v>0</v>
      </c>
      <c r="F60" s="144">
        <f t="shared" si="158"/>
        <v>0</v>
      </c>
      <c r="G60" s="144">
        <f t="shared" si="158"/>
        <v>30.764906303236796</v>
      </c>
      <c r="H60" s="144">
        <f t="shared" si="158"/>
        <v>32.538330494037481</v>
      </c>
      <c r="I60" s="144">
        <f t="shared" si="158"/>
        <v>39.352640545144801</v>
      </c>
      <c r="J60" s="144">
        <f t="shared" si="158"/>
        <v>29.150823827629914</v>
      </c>
      <c r="K60" s="144">
        <f t="shared" si="158"/>
        <v>68.328220858895705</v>
      </c>
      <c r="L60" s="144">
        <f t="shared" si="158"/>
        <v>48.466257668711663</v>
      </c>
      <c r="M60" s="144">
        <f t="shared" si="158"/>
        <v>26.720858895705529</v>
      </c>
      <c r="N60" s="144">
        <f t="shared" si="158"/>
        <v>49.463190184049083</v>
      </c>
      <c r="O60" s="144">
        <f t="shared" si="158"/>
        <v>48.696319018404914</v>
      </c>
      <c r="P60" s="144">
        <f t="shared" si="158"/>
        <v>-11.656441717791411</v>
      </c>
      <c r="Q60" s="118">
        <f>((P60/G60)^(1/($H$2-$H$1) ))-1</f>
        <v>-1.8977756503414822</v>
      </c>
      <c r="R60" s="128"/>
      <c r="S60" s="157">
        <f t="shared" ref="S60:AB60" si="159">(S7+S15-S10-S9)/S42</f>
        <v>-12.433537832310838</v>
      </c>
      <c r="T60" s="157">
        <f t="shared" si="159"/>
        <v>-13.262440354464893</v>
      </c>
      <c r="U60" s="157">
        <f t="shared" si="159"/>
        <v>-14.146603044762552</v>
      </c>
      <c r="V60" s="157">
        <f t="shared" si="159"/>
        <v>-15.089709914413381</v>
      </c>
      <c r="W60" s="157">
        <f t="shared" si="159"/>
        <v>-16.095690575374295</v>
      </c>
      <c r="X60" s="157">
        <f t="shared" si="159"/>
        <v>-17.168736613732573</v>
      </c>
      <c r="Y60" s="157">
        <f t="shared" si="159"/>
        <v>-18.31331905464808</v>
      </c>
      <c r="Z60" s="157">
        <f t="shared" si="159"/>
        <v>-19.534206991624615</v>
      </c>
      <c r="AA60" s="157">
        <f t="shared" si="159"/>
        <v>-20.836487457732918</v>
      </c>
      <c r="AB60" s="157">
        <f t="shared" si="159"/>
        <v>-22.22558662158178</v>
      </c>
      <c r="AC60" s="138">
        <f t="shared" si="142"/>
        <v>-1.9830334514881796</v>
      </c>
      <c r="AD60" s="31">
        <f t="shared" si="17"/>
        <v>0.05</v>
      </c>
      <c r="AE60" s="146">
        <f t="shared" si="143"/>
        <v>-137.27568207447572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0">C12/C42</f>
        <v>0</v>
      </c>
      <c r="D62" s="127">
        <f t="shared" si="160"/>
        <v>0</v>
      </c>
      <c r="E62" s="127">
        <f t="shared" si="160"/>
        <v>0</v>
      </c>
      <c r="F62" s="144">
        <f t="shared" si="160"/>
        <v>0</v>
      </c>
      <c r="G62" s="144">
        <f t="shared" si="160"/>
        <v>12.265758091993186</v>
      </c>
      <c r="H62" s="144">
        <f t="shared" si="160"/>
        <v>15.843270868824531</v>
      </c>
      <c r="I62" s="144">
        <f t="shared" si="160"/>
        <v>12.776831345826235</v>
      </c>
      <c r="J62" s="144">
        <f t="shared" si="160"/>
        <v>14.195183776932828</v>
      </c>
      <c r="K62" s="144">
        <f t="shared" si="160"/>
        <v>12.269938650306749</v>
      </c>
      <c r="L62" s="144">
        <f t="shared" si="160"/>
        <v>21.242331288343561</v>
      </c>
      <c r="M62" s="144">
        <f t="shared" si="160"/>
        <v>6.0582822085889578</v>
      </c>
      <c r="N62" s="144">
        <f t="shared" si="160"/>
        <v>3.6042944785276076</v>
      </c>
      <c r="O62" s="144">
        <f t="shared" si="160"/>
        <v>3.2208588957055215</v>
      </c>
      <c r="P62" s="144">
        <f t="shared" si="160"/>
        <v>9.5858895705521476</v>
      </c>
      <c r="Q62" s="118">
        <f>((P62/G62)^(1/($H$2-$H$1) ))-1</f>
        <v>-2.7019301231946291E-2</v>
      </c>
      <c r="R62" s="128"/>
      <c r="S62" s="157">
        <f t="shared" ref="S62:AB62" si="161">S12/S42</f>
        <v>10.224948875255624</v>
      </c>
      <c r="T62" s="157">
        <f t="shared" si="161"/>
        <v>10.906612133605998</v>
      </c>
      <c r="U62" s="157">
        <f t="shared" si="161"/>
        <v>11.633719609179733</v>
      </c>
      <c r="V62" s="157">
        <f t="shared" si="161"/>
        <v>12.409300916458383</v>
      </c>
      <c r="W62" s="157">
        <f t="shared" si="161"/>
        <v>13.236587644222276</v>
      </c>
      <c r="X62" s="157">
        <f t="shared" si="161"/>
        <v>14.119026820503761</v>
      </c>
      <c r="Y62" s="157">
        <f t="shared" si="161"/>
        <v>15.060295275204011</v>
      </c>
      <c r="Z62" s="157">
        <f t="shared" si="161"/>
        <v>16.064314960217612</v>
      </c>
      <c r="AA62" s="157">
        <f t="shared" si="161"/>
        <v>17.13526929089879</v>
      </c>
      <c r="AB62" s="157">
        <f t="shared" si="161"/>
        <v>18.277620576958711</v>
      </c>
      <c r="AC62" s="138">
        <f t="shared" si="142"/>
        <v>2.1214844361643559E-2</v>
      </c>
      <c r="AD62" s="31">
        <f t="shared" si="17"/>
        <v>0.05</v>
      </c>
      <c r="AE62" s="146">
        <f t="shared" si="143"/>
        <v>112.8911859165097</v>
      </c>
    </row>
    <row r="63" spans="2:31" x14ac:dyDescent="0.2">
      <c r="B63" s="20" t="s">
        <v>255</v>
      </c>
      <c r="C63" s="127">
        <f t="shared" ref="C63:P63" si="162">C13/C42</f>
        <v>0</v>
      </c>
      <c r="D63" s="127">
        <f t="shared" si="162"/>
        <v>0</v>
      </c>
      <c r="E63" s="127">
        <f t="shared" si="162"/>
        <v>0</v>
      </c>
      <c r="F63" s="144">
        <f t="shared" si="162"/>
        <v>0</v>
      </c>
      <c r="G63" s="144">
        <f t="shared" si="162"/>
        <v>3.2367972742759794</v>
      </c>
      <c r="H63" s="144">
        <f t="shared" si="162"/>
        <v>0.85178875638841567</v>
      </c>
      <c r="I63" s="144">
        <f t="shared" si="162"/>
        <v>0</v>
      </c>
      <c r="J63" s="144">
        <f t="shared" si="162"/>
        <v>8.8719898605830174</v>
      </c>
      <c r="K63" s="144">
        <f t="shared" si="162"/>
        <v>43.865030674846629</v>
      </c>
      <c r="L63" s="144">
        <f t="shared" si="162"/>
        <v>1.2269938650306749</v>
      </c>
      <c r="M63" s="144">
        <f t="shared" si="162"/>
        <v>0.53680981595092025</v>
      </c>
      <c r="N63" s="144">
        <f t="shared" si="162"/>
        <v>8.8190184049079754</v>
      </c>
      <c r="O63" s="144">
        <f t="shared" si="162"/>
        <v>5.904907975460123</v>
      </c>
      <c r="P63" s="144">
        <f t="shared" si="162"/>
        <v>2.3006134969325154</v>
      </c>
      <c r="Q63" s="118">
        <f>((P63/G63)^(1/($H$2-$H$1) ))-1</f>
        <v>-3.7223787552658094E-2</v>
      </c>
      <c r="R63" s="128"/>
      <c r="S63" s="157">
        <f t="shared" ref="S63:AB63" si="163">S13/S42</f>
        <v>2.4539877300613497</v>
      </c>
      <c r="T63" s="157">
        <f t="shared" si="163"/>
        <v>2.6175869120654398</v>
      </c>
      <c r="U63" s="157">
        <f t="shared" si="163"/>
        <v>2.7920927062031358</v>
      </c>
      <c r="V63" s="157">
        <f t="shared" si="163"/>
        <v>2.9782322199500117</v>
      </c>
      <c r="W63" s="157">
        <f t="shared" si="163"/>
        <v>3.176781034613346</v>
      </c>
      <c r="X63" s="157">
        <f t="shared" si="163"/>
        <v>3.3885664369209021</v>
      </c>
      <c r="Y63" s="157">
        <f t="shared" si="163"/>
        <v>3.6144708660489626</v>
      </c>
      <c r="Z63" s="157">
        <f t="shared" si="163"/>
        <v>3.8554355904522275</v>
      </c>
      <c r="AA63" s="157">
        <f t="shared" si="163"/>
        <v>4.1124646298157099</v>
      </c>
      <c r="AB63" s="157">
        <f t="shared" si="163"/>
        <v>4.3866289384700909</v>
      </c>
      <c r="AC63" s="138">
        <f t="shared" si="142"/>
        <v>1.6127438842271635E-2</v>
      </c>
      <c r="AD63" s="31">
        <f t="shared" si="17"/>
        <v>0.05</v>
      </c>
      <c r="AE63" s="146">
        <f t="shared" si="143"/>
        <v>27.093884619962331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4">(D62+D63)</f>
        <v>0</v>
      </c>
      <c r="E64" s="127">
        <f t="shared" si="164"/>
        <v>0</v>
      </c>
      <c r="F64" s="144">
        <f t="shared" si="164"/>
        <v>0</v>
      </c>
      <c r="G64" s="144">
        <f t="shared" si="164"/>
        <v>15.502555366269165</v>
      </c>
      <c r="H64" s="144">
        <f t="shared" si="164"/>
        <v>16.695059625212945</v>
      </c>
      <c r="I64" s="144">
        <f t="shared" si="164"/>
        <v>12.776831345826235</v>
      </c>
      <c r="J64" s="144">
        <f t="shared" si="164"/>
        <v>23.067173637515843</v>
      </c>
      <c r="K64" s="144">
        <f t="shared" si="164"/>
        <v>56.134969325153378</v>
      </c>
      <c r="L64" s="144">
        <f t="shared" si="164"/>
        <v>22.469325153374236</v>
      </c>
      <c r="M64" s="144">
        <f t="shared" si="164"/>
        <v>6.5950920245398779</v>
      </c>
      <c r="N64" s="144">
        <f t="shared" si="164"/>
        <v>12.423312883435583</v>
      </c>
      <c r="O64" s="144">
        <f t="shared" ref="O64" si="165">(O62+O63)</f>
        <v>9.125766871165645</v>
      </c>
      <c r="P64" s="144">
        <f t="shared" si="164"/>
        <v>11.886503067484663</v>
      </c>
      <c r="Q64" s="118">
        <f>((P64/G64)^(1/($H$2-$H$1) ))-1</f>
        <v>-2.9080051985926003E-2</v>
      </c>
      <c r="R64" s="128"/>
      <c r="S64" s="157">
        <f t="shared" ref="S64:AB64" si="166">(S62+S63)</f>
        <v>12.678936605316974</v>
      </c>
      <c r="T64" s="157">
        <f t="shared" si="166"/>
        <v>13.524199045671438</v>
      </c>
      <c r="U64" s="157">
        <f t="shared" si="166"/>
        <v>14.425812315382869</v>
      </c>
      <c r="V64" s="157">
        <f t="shared" si="166"/>
        <v>15.387533136408395</v>
      </c>
      <c r="W64" s="157">
        <f t="shared" si="166"/>
        <v>16.413368678835621</v>
      </c>
      <c r="X64" s="157">
        <f t="shared" si="166"/>
        <v>17.507593257424663</v>
      </c>
      <c r="Y64" s="157">
        <f t="shared" si="166"/>
        <v>18.674766141252974</v>
      </c>
      <c r="Z64" s="157">
        <f t="shared" si="166"/>
        <v>19.919750550669839</v>
      </c>
      <c r="AA64" s="157">
        <f t="shared" si="166"/>
        <v>21.247733920714502</v>
      </c>
      <c r="AB64" s="157">
        <f t="shared" si="166"/>
        <v>22.6642495154288</v>
      </c>
      <c r="AC64" s="138">
        <f t="shared" si="142"/>
        <v>2.0189736597597818E-2</v>
      </c>
      <c r="AD64" s="31">
        <f t="shared" si="17"/>
        <v>0.05</v>
      </c>
      <c r="AE64" s="146">
        <f t="shared" si="143"/>
        <v>139.98507053647202</v>
      </c>
    </row>
    <row r="65" spans="2:31" x14ac:dyDescent="0.2">
      <c r="B65" s="20" t="s">
        <v>249</v>
      </c>
      <c r="C65" s="127">
        <f t="shared" ref="C65:P65" si="167">C15/C42</f>
        <v>0</v>
      </c>
      <c r="D65" s="127">
        <f t="shared" si="167"/>
        <v>0</v>
      </c>
      <c r="E65" s="127">
        <f t="shared" si="167"/>
        <v>0</v>
      </c>
      <c r="F65" s="144">
        <f t="shared" si="167"/>
        <v>0</v>
      </c>
      <c r="G65" s="144">
        <f t="shared" si="167"/>
        <v>1.2947189097103917</v>
      </c>
      <c r="H65" s="144">
        <f t="shared" si="167"/>
        <v>4.2589437819420786</v>
      </c>
      <c r="I65" s="144">
        <f t="shared" si="167"/>
        <v>6.6439522998296425</v>
      </c>
      <c r="J65" s="144">
        <f t="shared" si="167"/>
        <v>6.8441064638783269</v>
      </c>
      <c r="K65" s="144">
        <f t="shared" si="167"/>
        <v>10.506134969325155</v>
      </c>
      <c r="L65" s="144">
        <f t="shared" si="167"/>
        <v>7.6687116564417179</v>
      </c>
      <c r="M65" s="144">
        <f t="shared" si="167"/>
        <v>7.1656441717791415</v>
      </c>
      <c r="N65" s="144">
        <f t="shared" si="167"/>
        <v>10.966257668711657</v>
      </c>
      <c r="O65" s="144">
        <f t="shared" si="167"/>
        <v>8.8190184049079754</v>
      </c>
      <c r="P65" s="144">
        <f t="shared" si="167"/>
        <v>14.187116564417179</v>
      </c>
      <c r="Q65" s="118">
        <f>((P65/G65)^(1/($H$2-$H$1) ))-1</f>
        <v>0.30474095249693023</v>
      </c>
      <c r="R65" s="128"/>
      <c r="S65" s="157">
        <f t="shared" ref="S65:AB65" si="168">S15/S42</f>
        <v>15.132924335378323</v>
      </c>
      <c r="T65" s="157">
        <f t="shared" si="168"/>
        <v>16.141785957736879</v>
      </c>
      <c r="U65" s="157">
        <f t="shared" si="168"/>
        <v>17.217905021586006</v>
      </c>
      <c r="V65" s="157">
        <f t="shared" si="168"/>
        <v>18.365765356358409</v>
      </c>
      <c r="W65" s="157">
        <f t="shared" si="168"/>
        <v>19.590149713448973</v>
      </c>
      <c r="X65" s="157">
        <f t="shared" si="168"/>
        <v>20.89615969434557</v>
      </c>
      <c r="Y65" s="157">
        <f t="shared" si="168"/>
        <v>22.289237007301942</v>
      </c>
      <c r="Z65" s="157">
        <f t="shared" si="168"/>
        <v>23.775186141122074</v>
      </c>
      <c r="AA65" s="157">
        <f t="shared" si="168"/>
        <v>25.360198550530214</v>
      </c>
      <c r="AB65" s="157">
        <f t="shared" si="168"/>
        <v>27.050878453898896</v>
      </c>
      <c r="AC65" s="138">
        <f t="shared" si="142"/>
        <v>0.17347541090126439</v>
      </c>
      <c r="AD65" s="31">
        <f t="shared" si="17"/>
        <v>0.05</v>
      </c>
      <c r="AE65" s="146">
        <f t="shared" si="143"/>
        <v>167.07895515643438</v>
      </c>
    </row>
    <row r="66" spans="2:31" x14ac:dyDescent="0.2">
      <c r="B66" s="20" t="s">
        <v>250</v>
      </c>
      <c r="C66" s="127">
        <f t="shared" ref="C66:P66" si="169">C16/C42</f>
        <v>0</v>
      </c>
      <c r="D66" s="127">
        <f t="shared" si="169"/>
        <v>0</v>
      </c>
      <c r="E66" s="127">
        <f t="shared" si="169"/>
        <v>0</v>
      </c>
      <c r="F66" s="144">
        <f t="shared" si="169"/>
        <v>0</v>
      </c>
      <c r="G66" s="144">
        <f t="shared" si="169"/>
        <v>16.86541737649063</v>
      </c>
      <c r="H66" s="144">
        <f t="shared" si="169"/>
        <v>19.931856899488928</v>
      </c>
      <c r="I66" s="144">
        <f t="shared" si="169"/>
        <v>12.436115843270869</v>
      </c>
      <c r="J66" s="144">
        <f t="shared" si="169"/>
        <v>17.110266159695819</v>
      </c>
      <c r="K66" s="144">
        <f t="shared" si="169"/>
        <v>11.196319018404909</v>
      </c>
      <c r="L66" s="144">
        <f t="shared" si="169"/>
        <v>3.6809815950920246</v>
      </c>
      <c r="M66" s="144">
        <f t="shared" si="169"/>
        <v>6.3650306748466265</v>
      </c>
      <c r="N66" s="144">
        <f t="shared" si="169"/>
        <v>4.9846625766871169</v>
      </c>
      <c r="O66" s="144">
        <f t="shared" si="169"/>
        <v>0.33358895705521474</v>
      </c>
      <c r="P66" s="144">
        <f t="shared" si="169"/>
        <v>2.3773006134969328</v>
      </c>
      <c r="Q66" s="118">
        <f>((P66/G66)^(1/($H$2-$H$1) ))-1</f>
        <v>-0.19563324592959574</v>
      </c>
      <c r="R66" s="128"/>
      <c r="S66" s="157">
        <f t="shared" ref="S66:AB66" si="170">S16/S42</f>
        <v>2.535787321063395</v>
      </c>
      <c r="T66" s="157">
        <f t="shared" si="170"/>
        <v>2.7048398091342878</v>
      </c>
      <c r="U66" s="157">
        <f t="shared" si="170"/>
        <v>2.8851624630765742</v>
      </c>
      <c r="V66" s="157">
        <f t="shared" si="170"/>
        <v>3.0775066272816791</v>
      </c>
      <c r="W66" s="157">
        <f t="shared" si="170"/>
        <v>3.2826737357671245</v>
      </c>
      <c r="X66" s="157">
        <f t="shared" si="170"/>
        <v>3.5015186514849326</v>
      </c>
      <c r="Y66" s="157">
        <f t="shared" si="170"/>
        <v>3.7349532282505948</v>
      </c>
      <c r="Z66" s="157">
        <f t="shared" si="170"/>
        <v>3.9839501101339683</v>
      </c>
      <c r="AA66" s="157">
        <f t="shared" si="170"/>
        <v>4.2495467841429004</v>
      </c>
      <c r="AB66" s="157">
        <f t="shared" si="170"/>
        <v>4.5328499030857605</v>
      </c>
      <c r="AC66" s="138">
        <f t="shared" si="142"/>
        <v>-6.6816469315512661E-2</v>
      </c>
      <c r="AD66" s="137"/>
      <c r="AE66" s="146">
        <f t="shared" si="143"/>
        <v>20.603863195844365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43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1">D43</f>
        <v>0</v>
      </c>
      <c r="E68" s="159">
        <f t="shared" si="171"/>
        <v>0</v>
      </c>
      <c r="F68" s="159">
        <f t="shared" si="171"/>
        <v>0</v>
      </c>
      <c r="G68" s="159">
        <f t="shared" si="171"/>
        <v>1</v>
      </c>
      <c r="H68" s="159">
        <f t="shared" si="171"/>
        <v>1</v>
      </c>
      <c r="I68" s="159">
        <f t="shared" si="171"/>
        <v>1</v>
      </c>
      <c r="J68" s="159">
        <f t="shared" si="171"/>
        <v>0</v>
      </c>
      <c r="K68" s="159">
        <f t="shared" si="171"/>
        <v>1</v>
      </c>
      <c r="L68" s="159">
        <f t="shared" si="171"/>
        <v>0</v>
      </c>
      <c r="M68" s="159">
        <f t="shared" si="171"/>
        <v>0</v>
      </c>
      <c r="N68" s="159">
        <f t="shared" si="171"/>
        <v>0</v>
      </c>
      <c r="O68" s="159">
        <f t="shared" si="171"/>
        <v>0</v>
      </c>
      <c r="P68" s="159">
        <f t="shared" si="171"/>
        <v>0</v>
      </c>
      <c r="Q68" s="118">
        <f>((P68/G68)^(1/($H$2-$H$1) ))-1</f>
        <v>-1</v>
      </c>
      <c r="R68" s="128"/>
      <c r="S68" s="159">
        <f t="shared" ref="S68:AB68" si="172">S43</f>
        <v>0</v>
      </c>
      <c r="T68" s="159">
        <f t="shared" si="172"/>
        <v>0</v>
      </c>
      <c r="U68" s="159">
        <f t="shared" si="172"/>
        <v>0</v>
      </c>
      <c r="V68" s="159">
        <f t="shared" si="172"/>
        <v>0</v>
      </c>
      <c r="W68" s="159">
        <f t="shared" si="172"/>
        <v>0</v>
      </c>
      <c r="X68" s="159">
        <f t="shared" si="172"/>
        <v>0</v>
      </c>
      <c r="Y68" s="159">
        <f t="shared" si="172"/>
        <v>0</v>
      </c>
      <c r="Z68" s="159">
        <f t="shared" si="172"/>
        <v>0</v>
      </c>
      <c r="AA68" s="159">
        <f t="shared" si="172"/>
        <v>0</v>
      </c>
      <c r="AB68" s="159">
        <f t="shared" si="172"/>
        <v>0</v>
      </c>
      <c r="AC68" s="138">
        <f t="shared" ref="AC68" si="173">((AB68/G68)^(1/($AB$3-$H$1) ))-1</f>
        <v>-1</v>
      </c>
      <c r="AD68" s="31">
        <f t="shared" si="17"/>
        <v>0.05</v>
      </c>
      <c r="AE68" s="146">
        <f t="shared" si="143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4">C20+C21</f>
        <v>0</v>
      </c>
      <c r="D70" s="127">
        <f t="shared" si="174"/>
        <v>0</v>
      </c>
      <c r="E70" s="127">
        <f t="shared" si="174"/>
        <v>0</v>
      </c>
      <c r="F70" s="144">
        <f t="shared" si="174"/>
        <v>0</v>
      </c>
      <c r="G70" s="144">
        <f t="shared" si="174"/>
        <v>0</v>
      </c>
      <c r="H70" s="144">
        <f t="shared" si="174"/>
        <v>0</v>
      </c>
      <c r="I70" s="144">
        <f t="shared" si="174"/>
        <v>0</v>
      </c>
      <c r="J70" s="144">
        <f t="shared" si="174"/>
        <v>0</v>
      </c>
      <c r="K70" s="144">
        <f t="shared" si="174"/>
        <v>0</v>
      </c>
      <c r="L70" s="144">
        <f t="shared" si="174"/>
        <v>0</v>
      </c>
      <c r="M70" s="144">
        <f t="shared" si="174"/>
        <v>0</v>
      </c>
      <c r="N70" s="144">
        <f t="shared" si="174"/>
        <v>0</v>
      </c>
      <c r="O70" s="144">
        <f t="shared" si="174"/>
        <v>0</v>
      </c>
      <c r="P70" s="144">
        <f t="shared" si="174"/>
        <v>0</v>
      </c>
      <c r="Q70" s="118" t="e">
        <f>((P70/G70)^(1/($H$2-$H$1) ))-1</f>
        <v>#DIV/0!</v>
      </c>
      <c r="R70" s="128"/>
      <c r="S70" s="144">
        <f t="shared" ref="S70:AB70" si="175">S20+S21</f>
        <v>0</v>
      </c>
      <c r="T70" s="144">
        <f t="shared" si="175"/>
        <v>0</v>
      </c>
      <c r="U70" s="144">
        <f t="shared" si="175"/>
        <v>0</v>
      </c>
      <c r="V70" s="144">
        <f t="shared" si="175"/>
        <v>0</v>
      </c>
      <c r="W70" s="144">
        <f t="shared" si="175"/>
        <v>0</v>
      </c>
      <c r="X70" s="144">
        <f t="shared" si="175"/>
        <v>0</v>
      </c>
      <c r="Y70" s="144">
        <f t="shared" si="175"/>
        <v>0</v>
      </c>
      <c r="Z70" s="144">
        <f t="shared" si="175"/>
        <v>0</v>
      </c>
      <c r="AA70" s="144">
        <f t="shared" si="175"/>
        <v>0</v>
      </c>
      <c r="AB70" s="144">
        <f t="shared" si="175"/>
        <v>0</v>
      </c>
      <c r="AC70" s="138" t="e">
        <f t="shared" ref="AC70:AC75" si="176">((AB70/G70)^(1/($AB$3-$H$1) ))-1</f>
        <v>#DIV/0!</v>
      </c>
      <c r="AD70" s="31">
        <f t="shared" si="17"/>
        <v>0.05</v>
      </c>
      <c r="AE70" s="146">
        <f t="shared" si="143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77">C70/C42</f>
        <v>0</v>
      </c>
      <c r="D72" s="127">
        <f t="shared" si="177"/>
        <v>0</v>
      </c>
      <c r="E72" s="127">
        <f t="shared" si="177"/>
        <v>0</v>
      </c>
      <c r="F72" s="144">
        <f t="shared" si="177"/>
        <v>0</v>
      </c>
      <c r="G72" s="144">
        <f t="shared" si="177"/>
        <v>0</v>
      </c>
      <c r="H72" s="144">
        <f t="shared" si="177"/>
        <v>0</v>
      </c>
      <c r="I72" s="144">
        <f t="shared" si="177"/>
        <v>0</v>
      </c>
      <c r="J72" s="144">
        <f t="shared" si="177"/>
        <v>0</v>
      </c>
      <c r="K72" s="144">
        <f t="shared" si="177"/>
        <v>0</v>
      </c>
      <c r="L72" s="144">
        <f t="shared" si="177"/>
        <v>0</v>
      </c>
      <c r="M72" s="144">
        <f t="shared" si="177"/>
        <v>0</v>
      </c>
      <c r="N72" s="144">
        <f t="shared" si="177"/>
        <v>0</v>
      </c>
      <c r="O72" s="144">
        <f t="shared" si="177"/>
        <v>0</v>
      </c>
      <c r="P72" s="144">
        <f t="shared" si="177"/>
        <v>0</v>
      </c>
      <c r="Q72" s="118" t="e">
        <f>((P72/G72)^(1/($H$2-$H$1) ))-1</f>
        <v>#DIV/0!</v>
      </c>
      <c r="R72" s="128"/>
      <c r="S72" s="146">
        <f t="shared" ref="S72:AB72" si="178">S70/S42</f>
        <v>0</v>
      </c>
      <c r="T72" s="146">
        <f t="shared" si="178"/>
        <v>0</v>
      </c>
      <c r="U72" s="146">
        <f t="shared" si="178"/>
        <v>0</v>
      </c>
      <c r="V72" s="146">
        <f t="shared" si="178"/>
        <v>0</v>
      </c>
      <c r="W72" s="146">
        <f t="shared" si="178"/>
        <v>0</v>
      </c>
      <c r="X72" s="146">
        <f t="shared" si="178"/>
        <v>0</v>
      </c>
      <c r="Y72" s="146">
        <f t="shared" si="178"/>
        <v>0</v>
      </c>
      <c r="Z72" s="146">
        <f t="shared" si="178"/>
        <v>0</v>
      </c>
      <c r="AA72" s="146">
        <f t="shared" si="178"/>
        <v>0</v>
      </c>
      <c r="AB72" s="146">
        <f t="shared" si="178"/>
        <v>0</v>
      </c>
      <c r="AC72" s="138" t="e">
        <f t="shared" si="176"/>
        <v>#DIV/0!</v>
      </c>
      <c r="AD72" s="31">
        <f t="shared" si="17"/>
        <v>0.05</v>
      </c>
      <c r="AE72" s="146">
        <f t="shared" si="143"/>
        <v>0</v>
      </c>
    </row>
    <row r="73" spans="2:31" x14ac:dyDescent="0.2">
      <c r="B73" s="20" t="s">
        <v>287</v>
      </c>
      <c r="C73" s="127">
        <f t="shared" ref="C73:P73" si="179">C20/C42</f>
        <v>0</v>
      </c>
      <c r="D73" s="127">
        <f t="shared" si="179"/>
        <v>0</v>
      </c>
      <c r="E73" s="127">
        <f t="shared" si="179"/>
        <v>0</v>
      </c>
      <c r="F73" s="144">
        <f t="shared" si="179"/>
        <v>0</v>
      </c>
      <c r="G73" s="144">
        <f t="shared" si="179"/>
        <v>0</v>
      </c>
      <c r="H73" s="144">
        <f t="shared" si="179"/>
        <v>0</v>
      </c>
      <c r="I73" s="144">
        <f t="shared" si="179"/>
        <v>0</v>
      </c>
      <c r="J73" s="144">
        <f t="shared" si="179"/>
        <v>0</v>
      </c>
      <c r="K73" s="144">
        <f t="shared" si="179"/>
        <v>0</v>
      </c>
      <c r="L73" s="144">
        <f t="shared" si="179"/>
        <v>0</v>
      </c>
      <c r="M73" s="144">
        <f t="shared" si="179"/>
        <v>0</v>
      </c>
      <c r="N73" s="144">
        <f t="shared" si="179"/>
        <v>0</v>
      </c>
      <c r="O73" s="144">
        <f t="shared" si="179"/>
        <v>0</v>
      </c>
      <c r="P73" s="144">
        <f t="shared" si="179"/>
        <v>0</v>
      </c>
      <c r="Q73" s="118" t="e">
        <f>((P73/G73)^(1/($H$2-$H$1) ))-1</f>
        <v>#DIV/0!</v>
      </c>
      <c r="R73" s="128"/>
      <c r="S73" s="146">
        <f t="shared" ref="S73:AB73" si="180">S20/S42</f>
        <v>0</v>
      </c>
      <c r="T73" s="146">
        <f t="shared" si="180"/>
        <v>0</v>
      </c>
      <c r="U73" s="146">
        <f t="shared" si="180"/>
        <v>0</v>
      </c>
      <c r="V73" s="146">
        <f t="shared" si="180"/>
        <v>0</v>
      </c>
      <c r="W73" s="146">
        <f t="shared" si="180"/>
        <v>0</v>
      </c>
      <c r="X73" s="146">
        <f t="shared" si="180"/>
        <v>0</v>
      </c>
      <c r="Y73" s="146">
        <f t="shared" si="180"/>
        <v>0</v>
      </c>
      <c r="Z73" s="146">
        <f t="shared" si="180"/>
        <v>0</v>
      </c>
      <c r="AA73" s="146">
        <f t="shared" si="180"/>
        <v>0</v>
      </c>
      <c r="AB73" s="146">
        <f t="shared" si="180"/>
        <v>0</v>
      </c>
      <c r="AC73" s="138" t="e">
        <f t="shared" si="176"/>
        <v>#DIV/0!</v>
      </c>
      <c r="AD73" s="31">
        <f t="shared" si="17"/>
        <v>0.05</v>
      </c>
      <c r="AE73" s="146">
        <f t="shared" si="143"/>
        <v>0</v>
      </c>
    </row>
    <row r="74" spans="2:31" x14ac:dyDescent="0.2">
      <c r="B74" s="20" t="s">
        <v>288</v>
      </c>
      <c r="C74" s="127">
        <f t="shared" ref="C74:P74" si="181">C21/C42</f>
        <v>0</v>
      </c>
      <c r="D74" s="127">
        <f t="shared" si="181"/>
        <v>0</v>
      </c>
      <c r="E74" s="127">
        <f t="shared" si="181"/>
        <v>0</v>
      </c>
      <c r="F74" s="144">
        <f t="shared" si="181"/>
        <v>0</v>
      </c>
      <c r="G74" s="144">
        <f t="shared" si="181"/>
        <v>0</v>
      </c>
      <c r="H74" s="144">
        <f t="shared" si="181"/>
        <v>0</v>
      </c>
      <c r="I74" s="144">
        <f t="shared" si="181"/>
        <v>0</v>
      </c>
      <c r="J74" s="144">
        <f t="shared" si="181"/>
        <v>0</v>
      </c>
      <c r="K74" s="144">
        <f t="shared" si="181"/>
        <v>0</v>
      </c>
      <c r="L74" s="144">
        <f t="shared" si="181"/>
        <v>0</v>
      </c>
      <c r="M74" s="144">
        <f t="shared" si="181"/>
        <v>0</v>
      </c>
      <c r="N74" s="144">
        <f t="shared" si="181"/>
        <v>0</v>
      </c>
      <c r="O74" s="144">
        <f t="shared" si="181"/>
        <v>0</v>
      </c>
      <c r="P74" s="144">
        <f t="shared" si="181"/>
        <v>0</v>
      </c>
      <c r="Q74" s="118" t="e">
        <f>((P74/G74)^(1/($H$2-$H$1) ))-1</f>
        <v>#DIV/0!</v>
      </c>
      <c r="R74" s="128"/>
      <c r="S74" s="146">
        <f t="shared" ref="S74:AB74" si="182">S21/S42</f>
        <v>0</v>
      </c>
      <c r="T74" s="146">
        <f t="shared" si="182"/>
        <v>0</v>
      </c>
      <c r="U74" s="146">
        <f t="shared" si="182"/>
        <v>0</v>
      </c>
      <c r="V74" s="146">
        <f t="shared" si="182"/>
        <v>0</v>
      </c>
      <c r="W74" s="146">
        <f t="shared" si="182"/>
        <v>0</v>
      </c>
      <c r="X74" s="146">
        <f t="shared" si="182"/>
        <v>0</v>
      </c>
      <c r="Y74" s="146">
        <f t="shared" si="182"/>
        <v>0</v>
      </c>
      <c r="Z74" s="146">
        <f t="shared" si="182"/>
        <v>0</v>
      </c>
      <c r="AA74" s="146">
        <f t="shared" si="182"/>
        <v>0</v>
      </c>
      <c r="AB74" s="146">
        <f t="shared" si="182"/>
        <v>0</v>
      </c>
      <c r="AC74" s="138" t="e">
        <f t="shared" si="176"/>
        <v>#DIV/0!</v>
      </c>
      <c r="AD74" s="31">
        <f t="shared" si="17"/>
        <v>0.05</v>
      </c>
      <c r="AE74" s="146">
        <f t="shared" si="143"/>
        <v>0</v>
      </c>
    </row>
    <row r="75" spans="2:31" x14ac:dyDescent="0.2">
      <c r="B75" s="20" t="s">
        <v>289</v>
      </c>
      <c r="C75" s="127">
        <f t="shared" ref="C75:P75" si="183">C22/C42</f>
        <v>0</v>
      </c>
      <c r="D75" s="127">
        <f t="shared" si="183"/>
        <v>0</v>
      </c>
      <c r="E75" s="127">
        <f t="shared" si="183"/>
        <v>0</v>
      </c>
      <c r="F75" s="144">
        <f t="shared" si="183"/>
        <v>0</v>
      </c>
      <c r="G75" s="144">
        <f t="shared" si="183"/>
        <v>0</v>
      </c>
      <c r="H75" s="144">
        <f t="shared" si="183"/>
        <v>0</v>
      </c>
      <c r="I75" s="144">
        <f t="shared" si="183"/>
        <v>0</v>
      </c>
      <c r="J75" s="144">
        <f t="shared" si="183"/>
        <v>0</v>
      </c>
      <c r="K75" s="144">
        <f t="shared" si="183"/>
        <v>0</v>
      </c>
      <c r="L75" s="144">
        <f t="shared" si="183"/>
        <v>0</v>
      </c>
      <c r="M75" s="144">
        <f t="shared" si="183"/>
        <v>0</v>
      </c>
      <c r="N75" s="144">
        <f t="shared" si="183"/>
        <v>0</v>
      </c>
      <c r="O75" s="144">
        <f t="shared" si="183"/>
        <v>0</v>
      </c>
      <c r="P75" s="144">
        <f t="shared" si="183"/>
        <v>0</v>
      </c>
      <c r="Q75" s="118" t="e">
        <f>((P75/G75)^(1/($H$2-$H$1) ))-1</f>
        <v>#DIV/0!</v>
      </c>
      <c r="R75" s="128"/>
      <c r="S75" s="146">
        <f t="shared" ref="S75:AB75" si="184">S22/S42</f>
        <v>0</v>
      </c>
      <c r="T75" s="146">
        <f t="shared" si="184"/>
        <v>0</v>
      </c>
      <c r="U75" s="146">
        <f t="shared" si="184"/>
        <v>0</v>
      </c>
      <c r="V75" s="146">
        <f t="shared" si="184"/>
        <v>0</v>
      </c>
      <c r="W75" s="146">
        <f t="shared" si="184"/>
        <v>0</v>
      </c>
      <c r="X75" s="146">
        <f t="shared" si="184"/>
        <v>0</v>
      </c>
      <c r="Y75" s="146">
        <f t="shared" si="184"/>
        <v>0</v>
      </c>
      <c r="Z75" s="146">
        <f t="shared" si="184"/>
        <v>0</v>
      </c>
      <c r="AA75" s="146">
        <f t="shared" si="184"/>
        <v>0</v>
      </c>
      <c r="AB75" s="146">
        <f t="shared" si="184"/>
        <v>0</v>
      </c>
      <c r="AC75" s="138" t="e">
        <f t="shared" si="176"/>
        <v>#DIV/0!</v>
      </c>
      <c r="AD75" s="31">
        <f t="shared" si="17"/>
        <v>0.05</v>
      </c>
      <c r="AE75" s="146">
        <f t="shared" si="143"/>
        <v>0</v>
      </c>
    </row>
    <row r="76" spans="2:31" x14ac:dyDescent="0.2">
      <c r="B76" s="20" t="s">
        <v>296</v>
      </c>
      <c r="C76" s="127">
        <f t="shared" ref="C76:P76" si="185">C23/C42</f>
        <v>0</v>
      </c>
      <c r="D76" s="127">
        <f t="shared" si="185"/>
        <v>0</v>
      </c>
      <c r="E76" s="127">
        <f t="shared" si="185"/>
        <v>0</v>
      </c>
      <c r="F76" s="144">
        <f t="shared" si="185"/>
        <v>0</v>
      </c>
      <c r="G76" s="144">
        <f t="shared" si="185"/>
        <v>0</v>
      </c>
      <c r="H76" s="144">
        <f t="shared" si="185"/>
        <v>0</v>
      </c>
      <c r="I76" s="144">
        <f t="shared" si="185"/>
        <v>0</v>
      </c>
      <c r="J76" s="144">
        <f t="shared" si="185"/>
        <v>0</v>
      </c>
      <c r="K76" s="144">
        <f t="shared" si="185"/>
        <v>0</v>
      </c>
      <c r="L76" s="144">
        <f t="shared" si="185"/>
        <v>0</v>
      </c>
      <c r="M76" s="144">
        <f t="shared" si="185"/>
        <v>0</v>
      </c>
      <c r="N76" s="144">
        <f t="shared" si="185"/>
        <v>0</v>
      </c>
      <c r="O76" s="144">
        <f t="shared" si="185"/>
        <v>0</v>
      </c>
      <c r="P76" s="144">
        <f t="shared" si="185"/>
        <v>0</v>
      </c>
      <c r="Q76" s="118" t="e">
        <f>((P76/G76)^(1/($H$2-$H$1) ))-1</f>
        <v>#DIV/0!</v>
      </c>
      <c r="R76" s="128"/>
      <c r="S76" s="146">
        <f t="shared" ref="S76:AB76" si="186">S23/S42</f>
        <v>0</v>
      </c>
      <c r="T76" s="146">
        <f t="shared" si="186"/>
        <v>0</v>
      </c>
      <c r="U76" s="146">
        <f t="shared" si="186"/>
        <v>0</v>
      </c>
      <c r="V76" s="146">
        <f t="shared" si="186"/>
        <v>0</v>
      </c>
      <c r="W76" s="146">
        <f t="shared" si="186"/>
        <v>0</v>
      </c>
      <c r="X76" s="146">
        <f t="shared" si="186"/>
        <v>0</v>
      </c>
      <c r="Y76" s="146">
        <f t="shared" si="186"/>
        <v>0</v>
      </c>
      <c r="Z76" s="146">
        <f t="shared" si="186"/>
        <v>0</v>
      </c>
      <c r="AA76" s="146">
        <f t="shared" si="186"/>
        <v>0</v>
      </c>
      <c r="AB76" s="146">
        <f t="shared" si="186"/>
        <v>0</v>
      </c>
      <c r="AC76" s="138" t="e">
        <f t="shared" ref="AC76" si="187">((AB76/G76)^(1/($AB$3-$H$1) ))-1</f>
        <v>#DIV/0!</v>
      </c>
      <c r="AD76" s="31">
        <f t="shared" si="17"/>
        <v>0.05</v>
      </c>
      <c r="AE76" s="146">
        <f t="shared" si="143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88">C36/C42</f>
        <v>0</v>
      </c>
      <c r="D78" s="144">
        <f t="shared" si="188"/>
        <v>0</v>
      </c>
      <c r="E78" s="144">
        <f t="shared" si="188"/>
        <v>0</v>
      </c>
      <c r="F78" s="144">
        <f t="shared" si="188"/>
        <v>0</v>
      </c>
      <c r="G78" s="144">
        <f t="shared" si="188"/>
        <v>6.0647359454855199</v>
      </c>
      <c r="H78" s="144">
        <f t="shared" si="188"/>
        <v>13.1175468483816</v>
      </c>
      <c r="I78" s="144">
        <f t="shared" si="188"/>
        <v>14.821124361158432</v>
      </c>
      <c r="J78" s="144">
        <f t="shared" si="188"/>
        <v>13.561470215462611</v>
      </c>
      <c r="K78" s="144">
        <f t="shared" si="188"/>
        <v>5.9815950920245404</v>
      </c>
      <c r="L78" s="144">
        <f t="shared" si="188"/>
        <v>6.0122699386503076</v>
      </c>
      <c r="M78" s="144">
        <f t="shared" si="188"/>
        <v>6.1349693251533743</v>
      </c>
      <c r="N78" s="144">
        <f t="shared" si="188"/>
        <v>18.865030674846626</v>
      </c>
      <c r="O78" s="144">
        <f t="shared" si="188"/>
        <v>6.7484662576687118</v>
      </c>
      <c r="P78" s="144">
        <f t="shared" si="188"/>
        <v>5.1380368098159517</v>
      </c>
      <c r="Q78" s="118">
        <f>((P78/G78)^(1/($H$2-$H$1) ))-1</f>
        <v>-1.8255745556091552E-2</v>
      </c>
      <c r="R78" s="128"/>
      <c r="S78" s="144">
        <f t="shared" ref="S78:AB78" si="189">S36/S42</f>
        <v>5.4805725971370149</v>
      </c>
      <c r="T78" s="144">
        <f t="shared" si="189"/>
        <v>5.8459441036128155</v>
      </c>
      <c r="U78" s="144">
        <f t="shared" si="189"/>
        <v>6.235673710520337</v>
      </c>
      <c r="V78" s="144">
        <f t="shared" si="189"/>
        <v>6.6513852912216924</v>
      </c>
      <c r="W78" s="144">
        <f t="shared" si="189"/>
        <v>7.0948109773031387</v>
      </c>
      <c r="X78" s="144">
        <f t="shared" si="189"/>
        <v>7.5677983757900149</v>
      </c>
      <c r="Y78" s="144">
        <f t="shared" si="189"/>
        <v>8.072318267509349</v>
      </c>
      <c r="Z78" s="144">
        <f t="shared" si="189"/>
        <v>8.6104728186766391</v>
      </c>
      <c r="AA78" s="144">
        <f t="shared" si="189"/>
        <v>9.1845043399217516</v>
      </c>
      <c r="AB78" s="144">
        <f t="shared" si="189"/>
        <v>9.7968046292498681</v>
      </c>
      <c r="AC78" s="138">
        <f t="shared" ref="AC78:AC80" si="190">((AB78/G78)^(1/($AB$3-$H$1) ))-1</f>
        <v>2.5561510156634437E-2</v>
      </c>
      <c r="AD78" s="31">
        <f t="shared" si="17"/>
        <v>0.05</v>
      </c>
      <c r="AE78" s="146">
        <f t="shared" si="143"/>
        <v>60.509675651249196</v>
      </c>
    </row>
    <row r="79" spans="2:31" x14ac:dyDescent="0.2">
      <c r="B79" s="20" t="s">
        <v>312</v>
      </c>
      <c r="C79" s="144">
        <f t="shared" ref="C79:P79" si="191">C40/C42</f>
        <v>0</v>
      </c>
      <c r="D79" s="144">
        <f t="shared" si="191"/>
        <v>0</v>
      </c>
      <c r="E79" s="144">
        <f t="shared" si="191"/>
        <v>0</v>
      </c>
      <c r="F79" s="144">
        <f t="shared" si="191"/>
        <v>0</v>
      </c>
      <c r="G79" s="144">
        <f t="shared" si="191"/>
        <v>3.7478705281090288</v>
      </c>
      <c r="H79" s="144">
        <f t="shared" si="191"/>
        <v>6.5758091993185692</v>
      </c>
      <c r="I79" s="144">
        <f t="shared" si="191"/>
        <v>3.1856899488926746</v>
      </c>
      <c r="J79" s="144">
        <f t="shared" si="191"/>
        <v>0.31685678073510776</v>
      </c>
      <c r="K79" s="144">
        <f t="shared" si="191"/>
        <v>1.9769938650306751</v>
      </c>
      <c r="L79" s="144">
        <f t="shared" si="191"/>
        <v>4.2177914110429446</v>
      </c>
      <c r="M79" s="144">
        <f t="shared" si="191"/>
        <v>3.3742331288343559</v>
      </c>
      <c r="N79" s="144">
        <f t="shared" si="191"/>
        <v>6.2883435582822091</v>
      </c>
      <c r="O79" s="144">
        <f t="shared" si="191"/>
        <v>2.6840490797546015</v>
      </c>
      <c r="P79" s="144">
        <f t="shared" si="191"/>
        <v>-42.407975460122699</v>
      </c>
      <c r="Q79" s="118">
        <f>((P79/G79)^(1/($H$2-$H$1) ))-1</f>
        <v>-2.309403996917859</v>
      </c>
      <c r="R79" s="128"/>
      <c r="S79" s="144">
        <f t="shared" ref="S79:AB79" si="192">S40/S42</f>
        <v>2.556237218813906</v>
      </c>
      <c r="T79" s="144">
        <f t="shared" si="192"/>
        <v>2.7266530334014996</v>
      </c>
      <c r="U79" s="144">
        <f t="shared" si="192"/>
        <v>2.9084299022949334</v>
      </c>
      <c r="V79" s="144">
        <f t="shared" si="192"/>
        <v>3.1023252291145957</v>
      </c>
      <c r="W79" s="144">
        <f t="shared" si="192"/>
        <v>3.3091469110555689</v>
      </c>
      <c r="X79" s="144">
        <f t="shared" si="192"/>
        <v>3.5297567051259402</v>
      </c>
      <c r="Y79" s="144">
        <f t="shared" si="192"/>
        <v>3.7650738188010027</v>
      </c>
      <c r="Z79" s="144">
        <f t="shared" si="192"/>
        <v>4.0160787400544029</v>
      </c>
      <c r="AA79" s="144">
        <f t="shared" si="192"/>
        <v>4.2838173227246976</v>
      </c>
      <c r="AB79" s="144">
        <f t="shared" si="192"/>
        <v>4.5694051442396777</v>
      </c>
      <c r="AC79" s="138">
        <f t="shared" si="190"/>
        <v>1.0485922884889698E-2</v>
      </c>
      <c r="AD79" s="31">
        <f t="shared" si="17"/>
        <v>0.05</v>
      </c>
      <c r="AE79" s="146">
        <f t="shared" si="143"/>
        <v>28.222796479127425</v>
      </c>
    </row>
    <row r="80" spans="2:31" x14ac:dyDescent="0.2">
      <c r="B80" s="20" t="s">
        <v>313</v>
      </c>
      <c r="C80" s="144">
        <f t="shared" ref="C80:P80" si="193">C6/C42</f>
        <v>0</v>
      </c>
      <c r="D80" s="144">
        <f t="shared" si="193"/>
        <v>0</v>
      </c>
      <c r="E80" s="144">
        <f t="shared" si="193"/>
        <v>0</v>
      </c>
      <c r="F80" s="144">
        <f t="shared" si="193"/>
        <v>0</v>
      </c>
      <c r="G80" s="144">
        <f t="shared" si="193"/>
        <v>23.850085178875638</v>
      </c>
      <c r="H80" s="144">
        <f t="shared" si="193"/>
        <v>29.131175468483814</v>
      </c>
      <c r="I80" s="144">
        <f t="shared" si="193"/>
        <v>30.834752981260646</v>
      </c>
      <c r="J80" s="144">
        <f t="shared" si="193"/>
        <v>39.670468948035492</v>
      </c>
      <c r="K80" s="144">
        <f t="shared" si="193"/>
        <v>67.484662576687114</v>
      </c>
      <c r="L80" s="144">
        <f t="shared" si="193"/>
        <v>71.395705521472394</v>
      </c>
      <c r="M80" s="144">
        <f t="shared" si="193"/>
        <v>74.923312883435585</v>
      </c>
      <c r="N80" s="144">
        <f t="shared" si="193"/>
        <v>80.598159509202461</v>
      </c>
      <c r="O80" s="144">
        <f t="shared" si="193"/>
        <v>83.205521472392647</v>
      </c>
      <c r="P80" s="144">
        <f t="shared" si="193"/>
        <v>40.79754601226994</v>
      </c>
      <c r="Q80" s="118">
        <f>((P80/G80)^(1/($H$2-$H$1) ))-1</f>
        <v>6.1463098728932186E-2</v>
      </c>
      <c r="R80" s="128"/>
      <c r="S80" s="144">
        <f t="shared" ref="S80:AB80" si="194">S6/S42</f>
        <v>43.517382413087937</v>
      </c>
      <c r="T80" s="144">
        <f t="shared" si="194"/>
        <v>46.418541240627128</v>
      </c>
      <c r="U80" s="144">
        <f t="shared" si="194"/>
        <v>49.513110656668943</v>
      </c>
      <c r="V80" s="144">
        <f t="shared" si="194"/>
        <v>52.813984700446873</v>
      </c>
      <c r="W80" s="144">
        <f t="shared" si="194"/>
        <v>56.334917013809999</v>
      </c>
      <c r="X80" s="144">
        <f t="shared" si="194"/>
        <v>60.090578148064004</v>
      </c>
      <c r="Y80" s="144">
        <f t="shared" si="194"/>
        <v>64.096616691268281</v>
      </c>
      <c r="Z80" s="144">
        <f t="shared" si="194"/>
        <v>68.36972447068618</v>
      </c>
      <c r="AA80" s="144">
        <f t="shared" si="194"/>
        <v>72.927706102065258</v>
      </c>
      <c r="AB80" s="144">
        <f t="shared" si="194"/>
        <v>77.78955317553627</v>
      </c>
      <c r="AC80" s="138">
        <f t="shared" si="190"/>
        <v>6.4198646508007107E-2</v>
      </c>
      <c r="AD80" s="31">
        <f t="shared" ref="AD80" si="195">$L$1</f>
        <v>0.05</v>
      </c>
      <c r="AE80" s="146">
        <f t="shared" si="143"/>
        <v>480.46488726066525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196">E36/E25</f>
        <v>#DIV/0!</v>
      </c>
      <c r="F84" s="152" t="e">
        <f t="shared" si="196"/>
        <v>#DIV/0!</v>
      </c>
      <c r="G84" s="152">
        <f t="shared" si="196"/>
        <v>0.7911111111111111</v>
      </c>
      <c r="H84" s="152">
        <f t="shared" si="196"/>
        <v>0.78974358974358971</v>
      </c>
      <c r="I84" s="152">
        <f t="shared" si="196"/>
        <v>0.80555555555555558</v>
      </c>
      <c r="J84" s="152">
        <f t="shared" si="196"/>
        <v>0.79850746268656714</v>
      </c>
      <c r="K84" s="152">
        <f t="shared" si="196"/>
        <v>0.66666666666666663</v>
      </c>
      <c r="L84" s="152">
        <f t="shared" si="196"/>
        <v>0.55211267605633807</v>
      </c>
      <c r="M84" s="152">
        <f t="shared" si="196"/>
        <v>0.45977011494252873</v>
      </c>
      <c r="N84" s="152">
        <f t="shared" si="196"/>
        <v>0.69688385269121811</v>
      </c>
      <c r="O84" s="152">
        <f t="shared" si="196"/>
        <v>0.46560846560846558</v>
      </c>
      <c r="P84" s="152">
        <f t="shared" si="196"/>
        <v>0.48905109489051096</v>
      </c>
      <c r="Q84" s="118">
        <f t="shared" ref="Q84:Q134" si="197">((P84/G84)^(1/($H$2-$H$1) ))-1</f>
        <v>-5.2038389428661791E-2</v>
      </c>
      <c r="R84" s="152"/>
      <c r="S84" s="152">
        <f t="shared" ref="S84:AB84" si="198">S36/S25</f>
        <v>0.48905109489051091</v>
      </c>
      <c r="T84" s="152">
        <f t="shared" si="198"/>
        <v>0.48905109489051085</v>
      </c>
      <c r="U84" s="152">
        <f t="shared" si="198"/>
        <v>0.48905109489051085</v>
      </c>
      <c r="V84" s="152">
        <f t="shared" si="198"/>
        <v>0.48905109489051085</v>
      </c>
      <c r="W84" s="152">
        <f t="shared" si="198"/>
        <v>0.48905109489051085</v>
      </c>
      <c r="X84" s="152">
        <f t="shared" si="198"/>
        <v>0.48905109489051085</v>
      </c>
      <c r="Y84" s="152">
        <f t="shared" si="198"/>
        <v>0.4890510948905108</v>
      </c>
      <c r="Z84" s="152">
        <f t="shared" si="198"/>
        <v>0.4890510948905108</v>
      </c>
      <c r="AA84" s="152">
        <f t="shared" si="198"/>
        <v>0.48905109489051085</v>
      </c>
      <c r="AB84" s="152">
        <f t="shared" si="198"/>
        <v>0.48905109489051085</v>
      </c>
      <c r="AC84" s="138">
        <f t="shared" ref="AC84:AC121" si="199">((AB84/G84)^(1/($AB$3-$H$1) ))-1</f>
        <v>-2.4996567112521517E-2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00">E40/E25</f>
        <v>#DIV/0!</v>
      </c>
      <c r="F85" s="152" t="e">
        <f t="shared" si="200"/>
        <v>#DIV/0!</v>
      </c>
      <c r="G85" s="152">
        <f t="shared" si="200"/>
        <v>0.48888888888888887</v>
      </c>
      <c r="H85" s="152">
        <f t="shared" si="200"/>
        <v>0.39589743589743592</v>
      </c>
      <c r="I85" s="152">
        <f t="shared" si="200"/>
        <v>0.17314814814814813</v>
      </c>
      <c r="J85" s="152">
        <f t="shared" si="200"/>
        <v>1.8656716417910446E-2</v>
      </c>
      <c r="K85" s="152">
        <f t="shared" si="200"/>
        <v>0.22034188034188035</v>
      </c>
      <c r="L85" s="152">
        <f t="shared" si="200"/>
        <v>0.38732394366197181</v>
      </c>
      <c r="M85" s="152">
        <f t="shared" si="200"/>
        <v>0.25287356321839083</v>
      </c>
      <c r="N85" s="152">
        <f t="shared" si="200"/>
        <v>0.23229461756373937</v>
      </c>
      <c r="O85" s="152">
        <f t="shared" si="200"/>
        <v>0.18518518518518517</v>
      </c>
      <c r="P85" s="152">
        <f t="shared" si="200"/>
        <v>-4.0364963503649633</v>
      </c>
      <c r="Q85" s="118">
        <f t="shared" si="197"/>
        <v>-2.2643463062688292</v>
      </c>
      <c r="R85" s="152"/>
      <c r="S85" s="152">
        <f t="shared" ref="S85:AB85" si="201">S40/S25</f>
        <v>0.22810218978102187</v>
      </c>
      <c r="T85" s="152">
        <f t="shared" si="201"/>
        <v>0.22810218978102184</v>
      </c>
      <c r="U85" s="152">
        <f t="shared" si="201"/>
        <v>0.22810218978102187</v>
      </c>
      <c r="V85" s="152">
        <f t="shared" si="201"/>
        <v>0.22810218978102187</v>
      </c>
      <c r="W85" s="152">
        <f t="shared" si="201"/>
        <v>0.22810218978102187</v>
      </c>
      <c r="X85" s="152">
        <f t="shared" si="201"/>
        <v>0.2281021897810219</v>
      </c>
      <c r="Y85" s="152">
        <f t="shared" si="201"/>
        <v>0.22810218978102187</v>
      </c>
      <c r="Z85" s="152">
        <f t="shared" si="201"/>
        <v>0.22810218978102184</v>
      </c>
      <c r="AA85" s="152">
        <f t="shared" si="201"/>
        <v>0.22810218978102187</v>
      </c>
      <c r="AB85" s="152">
        <f t="shared" si="201"/>
        <v>0.22810218978102187</v>
      </c>
      <c r="AC85" s="138">
        <f t="shared" si="199"/>
        <v>-3.9328958877595799E-2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02">E40/E7</f>
        <v>#DIV/0!</v>
      </c>
      <c r="F86" s="152" t="e">
        <f t="shared" si="202"/>
        <v>#DIV/0!</v>
      </c>
      <c r="G86" s="152">
        <f>G40/G7</f>
        <v>0.11055276381909548</v>
      </c>
      <c r="H86" s="152">
        <f t="shared" si="202"/>
        <v>0.16782608695652174</v>
      </c>
      <c r="I86" s="152">
        <f t="shared" si="202"/>
        <v>7.7272727272727271E-2</v>
      </c>
      <c r="J86" s="152">
        <f t="shared" si="202"/>
        <v>6.3938618925831201E-3</v>
      </c>
      <c r="K86" s="152">
        <f t="shared" si="202"/>
        <v>2.5499505440158259E-2</v>
      </c>
      <c r="L86" s="152">
        <f t="shared" si="202"/>
        <v>5.1789077212806026E-2</v>
      </c>
      <c r="M86" s="152">
        <f t="shared" si="202"/>
        <v>3.9747064137308039E-2</v>
      </c>
      <c r="N86" s="152">
        <f t="shared" si="202"/>
        <v>6.9432684165961045E-2</v>
      </c>
      <c r="O86" s="152">
        <f t="shared" si="202"/>
        <v>2.8782894736842105E-2</v>
      </c>
      <c r="P86" s="152">
        <f t="shared" ref="P86" si="203">P40/P7</f>
        <v>-0.83534743202416917</v>
      </c>
      <c r="Q86" s="118">
        <f t="shared" si="197"/>
        <v>-2.2519547010737977</v>
      </c>
      <c r="R86" s="20"/>
      <c r="S86" s="152">
        <f t="shared" ref="S86" si="204">S40/S7</f>
        <v>4.7205438066465252E-2</v>
      </c>
      <c r="T86" s="152">
        <f t="shared" ref="T86:AB86" si="205">T40/T7</f>
        <v>4.7205438066465252E-2</v>
      </c>
      <c r="U86" s="152">
        <f t="shared" si="205"/>
        <v>4.7205438066465252E-2</v>
      </c>
      <c r="V86" s="152">
        <f t="shared" si="205"/>
        <v>4.7205438066465252E-2</v>
      </c>
      <c r="W86" s="152">
        <f t="shared" si="205"/>
        <v>4.7205438066465259E-2</v>
      </c>
      <c r="X86" s="152">
        <f t="shared" si="205"/>
        <v>4.7205438066465259E-2</v>
      </c>
      <c r="Y86" s="152">
        <f t="shared" si="205"/>
        <v>4.7205438066465259E-2</v>
      </c>
      <c r="Z86" s="152">
        <f t="shared" si="205"/>
        <v>4.7205438066465252E-2</v>
      </c>
      <c r="AA86" s="152">
        <f t="shared" si="205"/>
        <v>4.7205438066465252E-2</v>
      </c>
      <c r="AB86" s="152">
        <f t="shared" si="205"/>
        <v>4.7205438066465259E-2</v>
      </c>
      <c r="AC86" s="138">
        <f t="shared" si="199"/>
        <v>-4.380041948866642E-2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06">(E40)/(E7+E10)</f>
        <v>#DIV/0!</v>
      </c>
      <c r="F87" s="152" t="e">
        <f t="shared" si="206"/>
        <v>#DIV/0!</v>
      </c>
      <c r="G87" s="152">
        <f>(G40)/(G7+G10)</f>
        <v>0.11054720868298076</v>
      </c>
      <c r="H87" s="152">
        <f t="shared" ref="H87:O87" si="207">(H40)/(H7+H10)</f>
        <v>0.1496124031007752</v>
      </c>
      <c r="I87" s="152">
        <f t="shared" si="207"/>
        <v>7.2480620155038755E-2</v>
      </c>
      <c r="J87" s="152">
        <f t="shared" si="207"/>
        <v>4.7801147227533461E-3</v>
      </c>
      <c r="K87" s="152">
        <f t="shared" si="207"/>
        <v>2.2262521588946461E-2</v>
      </c>
      <c r="L87" s="152">
        <f t="shared" si="207"/>
        <v>4.6140939597315439E-2</v>
      </c>
      <c r="M87" s="152">
        <f t="shared" si="207"/>
        <v>2.5014212620807278E-2</v>
      </c>
      <c r="N87" s="152">
        <f t="shared" si="207"/>
        <v>4.632768361581921E-2</v>
      </c>
      <c r="O87" s="152">
        <f t="shared" si="207"/>
        <v>2.0114942528735632E-2</v>
      </c>
      <c r="P87" s="152">
        <f t="shared" ref="P87" si="208">(P40)/(P7+P10)</f>
        <v>-0.37390128465179173</v>
      </c>
      <c r="Q87" s="118">
        <f t="shared" si="197"/>
        <v>-2.1449882227325006</v>
      </c>
      <c r="R87" s="20"/>
      <c r="S87" s="152">
        <f t="shared" ref="S87:AB87" si="209">(S40)/(S7+S10)</f>
        <v>2.1129141311697092E-2</v>
      </c>
      <c r="T87" s="152">
        <f t="shared" si="209"/>
        <v>2.1129141311697089E-2</v>
      </c>
      <c r="U87" s="152">
        <f t="shared" si="209"/>
        <v>2.1129141311697092E-2</v>
      </c>
      <c r="V87" s="152">
        <f t="shared" si="209"/>
        <v>2.1129141311697089E-2</v>
      </c>
      <c r="W87" s="152">
        <f t="shared" si="209"/>
        <v>2.1129141311697092E-2</v>
      </c>
      <c r="X87" s="152">
        <f t="shared" si="209"/>
        <v>2.1129141311697096E-2</v>
      </c>
      <c r="Y87" s="152">
        <f t="shared" si="209"/>
        <v>2.1129141311697092E-2</v>
      </c>
      <c r="Z87" s="152">
        <f t="shared" si="209"/>
        <v>2.1129141311697089E-2</v>
      </c>
      <c r="AA87" s="152">
        <f t="shared" si="209"/>
        <v>2.1129141311697089E-2</v>
      </c>
      <c r="AB87" s="152">
        <f t="shared" si="209"/>
        <v>2.1129141311697092E-2</v>
      </c>
      <c r="AC87" s="138">
        <f t="shared" si="199"/>
        <v>-8.340923512943843E-2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</v>
      </c>
      <c r="H88" s="152">
        <f t="shared" ref="H88:P88" si="210">H20/H25</f>
        <v>0</v>
      </c>
      <c r="I88" s="152">
        <f t="shared" si="210"/>
        <v>0</v>
      </c>
      <c r="J88" s="152">
        <f t="shared" si="210"/>
        <v>0</v>
      </c>
      <c r="K88" s="152">
        <f t="shared" si="210"/>
        <v>0</v>
      </c>
      <c r="L88" s="152">
        <f t="shared" si="210"/>
        <v>0</v>
      </c>
      <c r="M88" s="152">
        <f t="shared" si="210"/>
        <v>0</v>
      </c>
      <c r="N88" s="152">
        <f t="shared" si="210"/>
        <v>0</v>
      </c>
      <c r="O88" s="152">
        <f t="shared" si="210"/>
        <v>0</v>
      </c>
      <c r="P88" s="152">
        <f t="shared" si="210"/>
        <v>0</v>
      </c>
      <c r="Q88" s="118" t="e">
        <f t="shared" si="197"/>
        <v>#DIV/0!</v>
      </c>
      <c r="R88" s="20"/>
      <c r="S88" s="152">
        <f t="shared" ref="S88:AB88" si="211">S20/S25</f>
        <v>0</v>
      </c>
      <c r="T88" s="152">
        <f t="shared" si="211"/>
        <v>0</v>
      </c>
      <c r="U88" s="152">
        <f t="shared" si="211"/>
        <v>0</v>
      </c>
      <c r="V88" s="152">
        <f t="shared" si="211"/>
        <v>0</v>
      </c>
      <c r="W88" s="152">
        <f t="shared" si="211"/>
        <v>0</v>
      </c>
      <c r="X88" s="152">
        <f t="shared" si="211"/>
        <v>0</v>
      </c>
      <c r="Y88" s="152">
        <f t="shared" si="211"/>
        <v>0</v>
      </c>
      <c r="Z88" s="152">
        <f t="shared" si="211"/>
        <v>0</v>
      </c>
      <c r="AA88" s="152">
        <f t="shared" si="211"/>
        <v>0</v>
      </c>
      <c r="AB88" s="152">
        <f t="shared" si="211"/>
        <v>0</v>
      </c>
      <c r="AC88" s="138" t="e">
        <f t="shared" si="199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0.26666666666666666</v>
      </c>
      <c r="H90" s="152">
        <f t="shared" ref="H90:P90" si="212">H29/H25</f>
        <v>0.14358974358974358</v>
      </c>
      <c r="I90" s="152">
        <f t="shared" si="212"/>
        <v>0.1388888888888889</v>
      </c>
      <c r="J90" s="152">
        <f t="shared" si="212"/>
        <v>0.13432835820895522</v>
      </c>
      <c r="K90" s="152">
        <f t="shared" si="212"/>
        <v>0.29914529914529914</v>
      </c>
      <c r="L90" s="152">
        <f t="shared" si="212"/>
        <v>0.3380281690140845</v>
      </c>
      <c r="M90" s="152">
        <f t="shared" si="212"/>
        <v>0.14367816091954022</v>
      </c>
      <c r="N90" s="152">
        <f t="shared" si="212"/>
        <v>3.512747875354108E-2</v>
      </c>
      <c r="O90" s="152">
        <f t="shared" si="212"/>
        <v>5.8201058201058198E-2</v>
      </c>
      <c r="P90" s="152">
        <f t="shared" si="212"/>
        <v>7.7372262773722625E-2</v>
      </c>
      <c r="Q90" s="118">
        <f t="shared" si="197"/>
        <v>-0.12845316612588042</v>
      </c>
      <c r="R90" s="20"/>
      <c r="S90" s="152">
        <f t="shared" ref="S90:AB90" si="213">S29/S25</f>
        <v>7.7372262773722611E-2</v>
      </c>
      <c r="T90" s="152">
        <f t="shared" si="213"/>
        <v>7.7372262773722611E-2</v>
      </c>
      <c r="U90" s="152">
        <f t="shared" si="213"/>
        <v>7.7372262773722611E-2</v>
      </c>
      <c r="V90" s="152">
        <f t="shared" si="213"/>
        <v>7.7372262773722611E-2</v>
      </c>
      <c r="W90" s="152">
        <f t="shared" si="213"/>
        <v>7.7372262773722597E-2</v>
      </c>
      <c r="X90" s="152">
        <f t="shared" si="213"/>
        <v>7.7372262773722597E-2</v>
      </c>
      <c r="Y90" s="152">
        <f t="shared" si="213"/>
        <v>7.7372262773722597E-2</v>
      </c>
      <c r="Z90" s="152">
        <f t="shared" si="213"/>
        <v>7.7372262773722597E-2</v>
      </c>
      <c r="AA90" s="152">
        <f t="shared" si="213"/>
        <v>7.7372262773722597E-2</v>
      </c>
      <c r="AB90" s="152">
        <f t="shared" si="213"/>
        <v>7.7372262773722597E-2</v>
      </c>
      <c r="AC90" s="138">
        <f t="shared" si="199"/>
        <v>-6.304946966045788E-2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0.33707865168539325</v>
      </c>
      <c r="H91" s="152">
        <f t="shared" ref="H91:P91" si="214">H29/H36</f>
        <v>0.18181818181818182</v>
      </c>
      <c r="I91" s="152">
        <f t="shared" si="214"/>
        <v>0.17241379310344829</v>
      </c>
      <c r="J91" s="152">
        <f t="shared" si="214"/>
        <v>0.16822429906542055</v>
      </c>
      <c r="K91" s="152">
        <f t="shared" si="214"/>
        <v>0.44871794871794873</v>
      </c>
      <c r="L91" s="152">
        <f t="shared" si="214"/>
        <v>0.61224489795918358</v>
      </c>
      <c r="M91" s="152">
        <f t="shared" si="214"/>
        <v>0.3125</v>
      </c>
      <c r="N91" s="152">
        <f t="shared" si="214"/>
        <v>5.0406504065040651E-2</v>
      </c>
      <c r="O91" s="152">
        <f t="shared" si="214"/>
        <v>0.125</v>
      </c>
      <c r="P91" s="152">
        <f t="shared" si="214"/>
        <v>0.15820895522388059</v>
      </c>
      <c r="Q91" s="118">
        <f t="shared" ref="Q91" si="215">((P91/G91)^(1/($H$2-$H$1) ))-1</f>
        <v>-8.0609568831762402E-2</v>
      </c>
      <c r="R91" s="20"/>
      <c r="S91" s="152">
        <f t="shared" ref="S91:AB91" si="216">S29/S36</f>
        <v>0.15820895522388059</v>
      </c>
      <c r="T91" s="152">
        <f t="shared" si="216"/>
        <v>0.15820895522388059</v>
      </c>
      <c r="U91" s="152">
        <f t="shared" si="216"/>
        <v>0.15820895522388059</v>
      </c>
      <c r="V91" s="152">
        <f t="shared" si="216"/>
        <v>0.15820895522388059</v>
      </c>
      <c r="W91" s="152">
        <f t="shared" si="216"/>
        <v>0.15820895522388059</v>
      </c>
      <c r="X91" s="152">
        <f t="shared" si="216"/>
        <v>0.15820895522388057</v>
      </c>
      <c r="Y91" s="152">
        <f t="shared" si="216"/>
        <v>0.15820895522388057</v>
      </c>
      <c r="Z91" s="152">
        <f t="shared" si="216"/>
        <v>0.15820895522388057</v>
      </c>
      <c r="AA91" s="152">
        <f t="shared" si="216"/>
        <v>0.15820895522388057</v>
      </c>
      <c r="AB91" s="152">
        <f t="shared" si="216"/>
        <v>0.15820895522388057</v>
      </c>
      <c r="AC91" s="138">
        <f t="shared" ref="AC91" si="217">((AB91/G91)^(1/($AB$3-$H$1) ))-1</f>
        <v>-3.9028480582106728E-2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18">G29/G40</f>
        <v>0.54545454545454541</v>
      </c>
      <c r="H92" s="171">
        <f t="shared" si="218"/>
        <v>0.36269430051813473</v>
      </c>
      <c r="I92" s="171">
        <f t="shared" si="218"/>
        <v>0.80213903743315507</v>
      </c>
      <c r="J92" s="171">
        <f t="shared" si="218"/>
        <v>7.2</v>
      </c>
      <c r="K92" s="171">
        <f t="shared" si="218"/>
        <v>1.3576415826221877</v>
      </c>
      <c r="L92" s="171">
        <f t="shared" si="218"/>
        <v>0.87272727272727268</v>
      </c>
      <c r="M92" s="171">
        <f t="shared" si="218"/>
        <v>0.56818181818181823</v>
      </c>
      <c r="N92" s="171">
        <f t="shared" si="218"/>
        <v>0.15121951219512195</v>
      </c>
      <c r="O92" s="171">
        <f t="shared" si="218"/>
        <v>0.31428571428571428</v>
      </c>
      <c r="P92" s="171">
        <f t="shared" si="218"/>
        <v>-1.9168173598553346E-2</v>
      </c>
      <c r="Q92" s="118">
        <f t="shared" ref="Q92" si="219">((P92/G92)^(1/($H$2-$H$1) ))-1</f>
        <v>-1.6893260410955862</v>
      </c>
      <c r="R92" s="20"/>
      <c r="S92" s="171">
        <f t="shared" ref="S92:AB92" si="220">S29/S40</f>
        <v>0.3392</v>
      </c>
      <c r="T92" s="171">
        <f t="shared" si="220"/>
        <v>0.3392</v>
      </c>
      <c r="U92" s="171">
        <f t="shared" si="220"/>
        <v>0.3392</v>
      </c>
      <c r="V92" s="171">
        <f t="shared" si="220"/>
        <v>0.33919999999999995</v>
      </c>
      <c r="W92" s="171">
        <f t="shared" si="220"/>
        <v>0.33919999999999995</v>
      </c>
      <c r="X92" s="171">
        <f t="shared" si="220"/>
        <v>0.33919999999999989</v>
      </c>
      <c r="Y92" s="171">
        <f t="shared" si="220"/>
        <v>0.33919999999999989</v>
      </c>
      <c r="Z92" s="171">
        <f t="shared" si="220"/>
        <v>0.33919999999999995</v>
      </c>
      <c r="AA92" s="171">
        <f t="shared" si="220"/>
        <v>0.33919999999999995</v>
      </c>
      <c r="AB92" s="171">
        <f t="shared" si="220"/>
        <v>0.33919999999999989</v>
      </c>
      <c r="AC92" s="138">
        <f t="shared" ref="AC92" si="221">((AB92/G92)^(1/($AB$3-$H$1) ))-1</f>
        <v>-2.4691605937395722E-2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22">G29/G12</f>
        <v>0.16666666666666666</v>
      </c>
      <c r="H93" s="171">
        <f t="shared" si="222"/>
        <v>0.15053763440860216</v>
      </c>
      <c r="I93" s="171">
        <f t="shared" si="222"/>
        <v>0.2</v>
      </c>
      <c r="J93" s="171">
        <f t="shared" si="222"/>
        <v>0.16071428571428573</v>
      </c>
      <c r="K93" s="171">
        <f t="shared" si="222"/>
        <v>0.21875</v>
      </c>
      <c r="L93" s="171">
        <f t="shared" si="222"/>
        <v>0.17328519855595667</v>
      </c>
      <c r="M93" s="171">
        <f t="shared" si="222"/>
        <v>0.31645569620253167</v>
      </c>
      <c r="N93" s="171">
        <f t="shared" si="222"/>
        <v>0.26382978723404255</v>
      </c>
      <c r="O93" s="171">
        <f t="shared" si="222"/>
        <v>0.26190476190476192</v>
      </c>
      <c r="P93" s="171">
        <f t="shared" si="222"/>
        <v>8.48E-2</v>
      </c>
      <c r="Q93" s="118">
        <f t="shared" si="197"/>
        <v>-7.2328696208500243E-2</v>
      </c>
      <c r="R93" s="20"/>
      <c r="S93" s="152">
        <f t="shared" ref="S93:AB93" si="223">S29/S12</f>
        <v>8.48E-2</v>
      </c>
      <c r="T93" s="152">
        <f t="shared" si="223"/>
        <v>8.48E-2</v>
      </c>
      <c r="U93" s="152">
        <f t="shared" si="223"/>
        <v>8.48E-2</v>
      </c>
      <c r="V93" s="152">
        <f t="shared" si="223"/>
        <v>8.4799999999999986E-2</v>
      </c>
      <c r="W93" s="152">
        <f t="shared" si="223"/>
        <v>8.4799999999999986E-2</v>
      </c>
      <c r="X93" s="152">
        <f t="shared" si="223"/>
        <v>8.4799999999999973E-2</v>
      </c>
      <c r="Y93" s="152">
        <f t="shared" si="223"/>
        <v>8.4799999999999973E-2</v>
      </c>
      <c r="Z93" s="152">
        <f t="shared" si="223"/>
        <v>8.4799999999999986E-2</v>
      </c>
      <c r="AA93" s="152">
        <f t="shared" si="223"/>
        <v>8.4799999999999986E-2</v>
      </c>
      <c r="AB93" s="152">
        <f t="shared" si="223"/>
        <v>8.4799999999999973E-2</v>
      </c>
      <c r="AC93" s="138">
        <f t="shared" si="199"/>
        <v>-3.493823252463224E-2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24">H29/H23</f>
        <v>#DIV/0!</v>
      </c>
      <c r="I94" s="171" t="e">
        <f t="shared" si="224"/>
        <v>#DIV/0!</v>
      </c>
      <c r="J94" s="171" t="e">
        <f t="shared" si="224"/>
        <v>#DIV/0!</v>
      </c>
      <c r="K94" s="171" t="e">
        <f t="shared" si="224"/>
        <v>#DIV/0!</v>
      </c>
      <c r="L94" s="171" t="e">
        <f t="shared" si="224"/>
        <v>#DIV/0!</v>
      </c>
      <c r="M94" s="171" t="e">
        <f t="shared" si="224"/>
        <v>#DIV/0!</v>
      </c>
      <c r="N94" s="171" t="e">
        <f t="shared" si="224"/>
        <v>#DIV/0!</v>
      </c>
      <c r="O94" s="171" t="e">
        <f t="shared" si="224"/>
        <v>#DIV/0!</v>
      </c>
      <c r="P94" s="171" t="e">
        <f t="shared" si="224"/>
        <v>#DIV/0!</v>
      </c>
      <c r="Q94" s="118" t="e">
        <f t="shared" ref="Q94" si="225">((P94/G94)^(1/($H$2-$H$1) ))-1</f>
        <v>#DIV/0!</v>
      </c>
      <c r="R94" s="20"/>
      <c r="S94" s="171" t="e">
        <f t="shared" ref="S94:AB94" si="226">S29/S23</f>
        <v>#DIV/0!</v>
      </c>
      <c r="T94" s="171" t="e">
        <f t="shared" si="226"/>
        <v>#DIV/0!</v>
      </c>
      <c r="U94" s="171" t="e">
        <f t="shared" si="226"/>
        <v>#DIV/0!</v>
      </c>
      <c r="V94" s="171" t="e">
        <f t="shared" si="226"/>
        <v>#DIV/0!</v>
      </c>
      <c r="W94" s="171" t="e">
        <f t="shared" si="226"/>
        <v>#DIV/0!</v>
      </c>
      <c r="X94" s="171" t="e">
        <f t="shared" si="226"/>
        <v>#DIV/0!</v>
      </c>
      <c r="Y94" s="171" t="e">
        <f t="shared" si="226"/>
        <v>#DIV/0!</v>
      </c>
      <c r="Z94" s="171" t="e">
        <f t="shared" si="226"/>
        <v>#DIV/0!</v>
      </c>
      <c r="AA94" s="171" t="e">
        <f t="shared" si="226"/>
        <v>#DIV/0!</v>
      </c>
      <c r="AB94" s="171" t="e">
        <f t="shared" si="226"/>
        <v>#DIV/0!</v>
      </c>
      <c r="AC94" s="138" t="e">
        <f t="shared" ref="AC94" si="227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3.75</v>
      </c>
      <c r="H96" s="127">
        <f t="shared" ref="H96:P96" si="228">1/H90</f>
        <v>6.9642857142857144</v>
      </c>
      <c r="I96" s="127">
        <f t="shared" si="228"/>
        <v>7.1999999999999993</v>
      </c>
      <c r="J96" s="127">
        <f t="shared" si="228"/>
        <v>7.4444444444444446</v>
      </c>
      <c r="K96" s="127">
        <f t="shared" si="228"/>
        <v>3.342857142857143</v>
      </c>
      <c r="L96" s="127">
        <f t="shared" si="228"/>
        <v>2.9583333333333335</v>
      </c>
      <c r="M96" s="127">
        <f t="shared" si="228"/>
        <v>6.9600000000000009</v>
      </c>
      <c r="N96" s="127">
        <f t="shared" si="228"/>
        <v>28.467741935483868</v>
      </c>
      <c r="O96" s="127">
        <f t="shared" si="228"/>
        <v>17.181818181818183</v>
      </c>
      <c r="P96" s="127">
        <f t="shared" si="228"/>
        <v>12.924528301886793</v>
      </c>
      <c r="Q96" s="118">
        <f t="shared" si="197"/>
        <v>0.14738527080052877</v>
      </c>
      <c r="R96" s="20"/>
      <c r="S96" s="127">
        <f t="shared" ref="S96:AB96" si="229">1/S90</f>
        <v>12.924528301886795</v>
      </c>
      <c r="T96" s="127">
        <f t="shared" si="229"/>
        <v>12.924528301886795</v>
      </c>
      <c r="U96" s="127">
        <f t="shared" si="229"/>
        <v>12.924528301886795</v>
      </c>
      <c r="V96" s="127">
        <f t="shared" si="229"/>
        <v>12.924528301886795</v>
      </c>
      <c r="W96" s="127">
        <f t="shared" si="229"/>
        <v>12.924528301886797</v>
      </c>
      <c r="X96" s="127">
        <f t="shared" si="229"/>
        <v>12.924528301886797</v>
      </c>
      <c r="Y96" s="127">
        <f t="shared" si="229"/>
        <v>12.924528301886797</v>
      </c>
      <c r="Z96" s="127">
        <f t="shared" si="229"/>
        <v>12.924528301886797</v>
      </c>
      <c r="AA96" s="127">
        <f t="shared" si="229"/>
        <v>12.924528301886797</v>
      </c>
      <c r="AB96" s="127">
        <f t="shared" si="229"/>
        <v>12.924528301886797</v>
      </c>
      <c r="AC96" s="138">
        <f t="shared" si="199"/>
        <v>6.7292207666086012E-2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30">1/G91</f>
        <v>2.9666666666666668</v>
      </c>
      <c r="H97" s="127">
        <f t="shared" si="230"/>
        <v>5.5</v>
      </c>
      <c r="I97" s="127">
        <f t="shared" si="230"/>
        <v>5.8</v>
      </c>
      <c r="J97" s="127">
        <f t="shared" si="230"/>
        <v>5.9444444444444446</v>
      </c>
      <c r="K97" s="127">
        <f t="shared" si="230"/>
        <v>2.2285714285714286</v>
      </c>
      <c r="L97" s="127">
        <f t="shared" si="230"/>
        <v>1.6333333333333335</v>
      </c>
      <c r="M97" s="127">
        <f t="shared" si="230"/>
        <v>3.2</v>
      </c>
      <c r="N97" s="127">
        <f t="shared" si="230"/>
        <v>19.838709677419356</v>
      </c>
      <c r="O97" s="127">
        <f t="shared" si="230"/>
        <v>8</v>
      </c>
      <c r="P97" s="127">
        <f t="shared" si="230"/>
        <v>6.3207547169811322</v>
      </c>
      <c r="Q97" s="118">
        <f t="shared" si="197"/>
        <v>8.7677189253900112E-2</v>
      </c>
      <c r="R97" s="20"/>
      <c r="S97" s="127">
        <f t="shared" ref="S97:AB97" si="231">1/S91</f>
        <v>6.3207547169811322</v>
      </c>
      <c r="T97" s="127">
        <f t="shared" si="231"/>
        <v>6.3207547169811322</v>
      </c>
      <c r="U97" s="127">
        <f t="shared" si="231"/>
        <v>6.3207547169811322</v>
      </c>
      <c r="V97" s="127">
        <f t="shared" si="231"/>
        <v>6.3207547169811322</v>
      </c>
      <c r="W97" s="127">
        <f t="shared" si="231"/>
        <v>6.3207547169811322</v>
      </c>
      <c r="X97" s="127">
        <f t="shared" si="231"/>
        <v>6.3207547169811331</v>
      </c>
      <c r="Y97" s="127">
        <f t="shared" si="231"/>
        <v>6.3207547169811331</v>
      </c>
      <c r="Z97" s="127">
        <f t="shared" si="231"/>
        <v>6.3207547169811331</v>
      </c>
      <c r="AA97" s="127">
        <f t="shared" si="231"/>
        <v>6.3207547169811331</v>
      </c>
      <c r="AB97" s="127">
        <f t="shared" si="231"/>
        <v>6.3207547169811331</v>
      </c>
      <c r="AC97" s="138">
        <f t="shared" si="199"/>
        <v>4.0613566368489451E-2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30"/>
        <v>1.8333333333333335</v>
      </c>
      <c r="H98" s="127">
        <f t="shared" si="230"/>
        <v>2.7571428571428571</v>
      </c>
      <c r="I98" s="127">
        <f t="shared" si="230"/>
        <v>1.2466666666666666</v>
      </c>
      <c r="J98" s="127">
        <f t="shared" si="230"/>
        <v>0.1388888888888889</v>
      </c>
      <c r="K98" s="127">
        <f t="shared" si="230"/>
        <v>0.73657142857142854</v>
      </c>
      <c r="L98" s="127">
        <f t="shared" si="230"/>
        <v>1.1458333333333335</v>
      </c>
      <c r="M98" s="127">
        <f t="shared" si="230"/>
        <v>1.7599999999999998</v>
      </c>
      <c r="N98" s="127">
        <f t="shared" si="230"/>
        <v>6.612903225806452</v>
      </c>
      <c r="O98" s="127">
        <f t="shared" si="230"/>
        <v>3.1818181818181821</v>
      </c>
      <c r="P98" s="127">
        <f t="shared" si="230"/>
        <v>-52.169811320754718</v>
      </c>
      <c r="Q98" s="118">
        <f t="shared" si="197"/>
        <v>-2.4506923290039087</v>
      </c>
      <c r="R98" s="20"/>
      <c r="S98" s="127">
        <f t="shared" ref="S98:AB98" si="232">1/S92</f>
        <v>2.9481132075471699</v>
      </c>
      <c r="T98" s="127">
        <f t="shared" si="232"/>
        <v>2.9481132075471699</v>
      </c>
      <c r="U98" s="127">
        <f t="shared" si="232"/>
        <v>2.9481132075471699</v>
      </c>
      <c r="V98" s="127">
        <f t="shared" si="232"/>
        <v>2.9481132075471703</v>
      </c>
      <c r="W98" s="127">
        <f t="shared" si="232"/>
        <v>2.9481132075471703</v>
      </c>
      <c r="X98" s="127">
        <f t="shared" si="232"/>
        <v>2.9481132075471708</v>
      </c>
      <c r="Y98" s="127">
        <f t="shared" si="232"/>
        <v>2.9481132075471708</v>
      </c>
      <c r="Z98" s="127">
        <f t="shared" si="232"/>
        <v>2.9481132075471703</v>
      </c>
      <c r="AA98" s="127">
        <f t="shared" si="232"/>
        <v>2.9481132075471703</v>
      </c>
      <c r="AB98" s="127">
        <f t="shared" si="232"/>
        <v>2.9481132075471708</v>
      </c>
      <c r="AC98" s="138">
        <f t="shared" si="199"/>
        <v>2.5316716320407995E-2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30"/>
        <v>6</v>
      </c>
      <c r="H99" s="127">
        <f t="shared" si="230"/>
        <v>6.6428571428571423</v>
      </c>
      <c r="I99" s="127">
        <f t="shared" si="230"/>
        <v>5</v>
      </c>
      <c r="J99" s="127">
        <f t="shared" si="230"/>
        <v>6.2222222222222214</v>
      </c>
      <c r="K99" s="127">
        <f t="shared" si="230"/>
        <v>4.5714285714285712</v>
      </c>
      <c r="L99" s="127">
        <f t="shared" si="230"/>
        <v>5.7708333333333339</v>
      </c>
      <c r="M99" s="127">
        <f t="shared" si="230"/>
        <v>3.1599999999999997</v>
      </c>
      <c r="N99" s="127">
        <f t="shared" si="230"/>
        <v>3.7903225806451615</v>
      </c>
      <c r="O99" s="127">
        <f t="shared" si="230"/>
        <v>3.8181818181818179</v>
      </c>
      <c r="P99" s="127">
        <f t="shared" si="230"/>
        <v>11.79245283018868</v>
      </c>
      <c r="Q99" s="118">
        <f t="shared" si="197"/>
        <v>7.7968021553414868E-2</v>
      </c>
      <c r="R99" s="20"/>
      <c r="S99" s="127">
        <f t="shared" ref="S99:AB99" si="233">1/S93</f>
        <v>11.79245283018868</v>
      </c>
      <c r="T99" s="127">
        <f t="shared" si="233"/>
        <v>11.79245283018868</v>
      </c>
      <c r="U99" s="127">
        <f t="shared" si="233"/>
        <v>11.79245283018868</v>
      </c>
      <c r="V99" s="127">
        <f t="shared" si="233"/>
        <v>11.792452830188681</v>
      </c>
      <c r="W99" s="127">
        <f t="shared" si="233"/>
        <v>11.792452830188681</v>
      </c>
      <c r="X99" s="127">
        <f t="shared" si="233"/>
        <v>11.792452830188683</v>
      </c>
      <c r="Y99" s="127">
        <f t="shared" si="233"/>
        <v>11.792452830188683</v>
      </c>
      <c r="Z99" s="127">
        <f t="shared" si="233"/>
        <v>11.792452830188681</v>
      </c>
      <c r="AA99" s="127">
        <f t="shared" si="233"/>
        <v>11.792452830188681</v>
      </c>
      <c r="AB99" s="127">
        <f t="shared" si="233"/>
        <v>11.792452830188683</v>
      </c>
      <c r="AC99" s="138">
        <f t="shared" si="199"/>
        <v>3.620310502614954E-2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30"/>
        <v>#DIV/0!</v>
      </c>
      <c r="H100" s="127" t="e">
        <f t="shared" si="230"/>
        <v>#DIV/0!</v>
      </c>
      <c r="I100" s="127" t="e">
        <f t="shared" si="230"/>
        <v>#DIV/0!</v>
      </c>
      <c r="J100" s="127" t="e">
        <f t="shared" si="230"/>
        <v>#DIV/0!</v>
      </c>
      <c r="K100" s="127" t="e">
        <f t="shared" si="230"/>
        <v>#DIV/0!</v>
      </c>
      <c r="L100" s="127" t="e">
        <f t="shared" si="230"/>
        <v>#DIV/0!</v>
      </c>
      <c r="M100" s="127" t="e">
        <f t="shared" si="230"/>
        <v>#DIV/0!</v>
      </c>
      <c r="N100" s="127" t="e">
        <f t="shared" si="230"/>
        <v>#DIV/0!</v>
      </c>
      <c r="O100" s="127" t="e">
        <f t="shared" si="230"/>
        <v>#DIV/0!</v>
      </c>
      <c r="P100" s="127" t="e">
        <f t="shared" si="230"/>
        <v>#DIV/0!</v>
      </c>
      <c r="Q100" s="118" t="e">
        <f t="shared" si="197"/>
        <v>#DIV/0!</v>
      </c>
      <c r="R100" s="20"/>
      <c r="S100" s="127" t="e">
        <f t="shared" ref="S100:AB100" si="234">1/S94</f>
        <v>#DIV/0!</v>
      </c>
      <c r="T100" s="127" t="e">
        <f t="shared" si="234"/>
        <v>#DIV/0!</v>
      </c>
      <c r="U100" s="127" t="e">
        <f t="shared" si="234"/>
        <v>#DIV/0!</v>
      </c>
      <c r="V100" s="127" t="e">
        <f t="shared" si="234"/>
        <v>#DIV/0!</v>
      </c>
      <c r="W100" s="127" t="e">
        <f t="shared" si="234"/>
        <v>#DIV/0!</v>
      </c>
      <c r="X100" s="127" t="e">
        <f t="shared" si="234"/>
        <v>#DIV/0!</v>
      </c>
      <c r="Y100" s="127" t="e">
        <f t="shared" si="234"/>
        <v>#DIV/0!</v>
      </c>
      <c r="Z100" s="127" t="e">
        <f t="shared" si="234"/>
        <v>#DIV/0!</v>
      </c>
      <c r="AA100" s="127" t="e">
        <f t="shared" si="234"/>
        <v>#DIV/0!</v>
      </c>
      <c r="AB100" s="127" t="e">
        <f t="shared" si="234"/>
        <v>#DIV/0!</v>
      </c>
      <c r="AC100" s="138" t="e">
        <f t="shared" si="199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35">F10-(F12+F13)</f>
        <v>0</v>
      </c>
      <c r="G103" s="163">
        <f t="shared" si="235"/>
        <v>-90.99</v>
      </c>
      <c r="H103" s="163">
        <f t="shared" si="235"/>
        <v>-70</v>
      </c>
      <c r="I103" s="163">
        <f t="shared" si="235"/>
        <v>-59</v>
      </c>
      <c r="J103" s="163">
        <f t="shared" si="235"/>
        <v>-50</v>
      </c>
      <c r="K103" s="163">
        <f t="shared" si="235"/>
        <v>-585</v>
      </c>
      <c r="L103" s="163">
        <f t="shared" si="235"/>
        <v>-163</v>
      </c>
      <c r="M103" s="163">
        <f t="shared" si="235"/>
        <v>566</v>
      </c>
      <c r="N103" s="163">
        <f t="shared" si="235"/>
        <v>427</v>
      </c>
      <c r="O103" s="163">
        <f t="shared" si="235"/>
        <v>405</v>
      </c>
      <c r="P103" s="163">
        <f>P10-(P12+P13)</f>
        <v>662</v>
      </c>
      <c r="Q103" s="118">
        <f t="shared" si="197"/>
        <v>-2.246702133555623</v>
      </c>
      <c r="R103" s="20"/>
      <c r="S103" s="163">
        <f>S10-(S12+S13)</f>
        <v>741.44</v>
      </c>
      <c r="T103" s="163">
        <f t="shared" ref="T103:AB103" si="236">T10-(T12+T13)</f>
        <v>830.41280000000006</v>
      </c>
      <c r="U103" s="163">
        <f t="shared" si="236"/>
        <v>930.06233600000019</v>
      </c>
      <c r="V103" s="163">
        <f t="shared" si="236"/>
        <v>1041.6698163200003</v>
      </c>
      <c r="W103" s="163">
        <f t="shared" si="236"/>
        <v>1166.6701942784005</v>
      </c>
      <c r="X103" s="163">
        <f t="shared" si="236"/>
        <v>1306.6706175918087</v>
      </c>
      <c r="Y103" s="163">
        <f t="shared" si="236"/>
        <v>1463.471091702826</v>
      </c>
      <c r="Z103" s="163">
        <f t="shared" si="236"/>
        <v>1639.0876227071651</v>
      </c>
      <c r="AA103" s="163">
        <f t="shared" si="236"/>
        <v>1835.778137432025</v>
      </c>
      <c r="AB103" s="163">
        <f t="shared" si="236"/>
        <v>2056.0715139238682</v>
      </c>
      <c r="AC103" s="138">
        <f t="shared" si="199"/>
        <v>-2.1783261142473078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37">G40/G18</f>
        <v>1.116751269035533</v>
      </c>
      <c r="H104" s="152">
        <f t="shared" si="237"/>
        <v>1.7545454545454546</v>
      </c>
      <c r="I104" s="152">
        <f t="shared" si="237"/>
        <v>0.38163265306122446</v>
      </c>
      <c r="J104" s="152">
        <f t="shared" si="237"/>
        <v>5.8139534883720929E-2</v>
      </c>
      <c r="K104" s="152">
        <f t="shared" si="237"/>
        <v>0.67842105263157892</v>
      </c>
      <c r="L104" s="152">
        <f t="shared" si="237"/>
        <v>-0.53921568627450978</v>
      </c>
      <c r="M104" s="152">
        <f t="shared" si="237"/>
        <v>-0.29333333333333333</v>
      </c>
      <c r="N104" s="152">
        <f t="shared" si="237"/>
        <v>5.5070517125587644E-2</v>
      </c>
      <c r="O104" s="152">
        <f t="shared" si="237"/>
        <v>2.2801302931596091E-2</v>
      </c>
      <c r="P104" s="152">
        <f t="shared" si="237"/>
        <v>-58.394931362196402</v>
      </c>
      <c r="Q104" s="118">
        <f t="shared" si="197"/>
        <v>-2.5521561529990495</v>
      </c>
      <c r="R104" s="20"/>
      <c r="S104" s="152">
        <f t="shared" ref="S104:AB104" si="238">S40/S18</f>
        <v>3.2998944033790911</v>
      </c>
      <c r="T104" s="152">
        <f t="shared" si="238"/>
        <v>3.2998944033790911</v>
      </c>
      <c r="U104" s="152">
        <f t="shared" si="238"/>
        <v>3.2998944033790911</v>
      </c>
      <c r="V104" s="152">
        <f t="shared" si="238"/>
        <v>3.2998944033790911</v>
      </c>
      <c r="W104" s="152">
        <f t="shared" si="238"/>
        <v>3.2998944033790907</v>
      </c>
      <c r="X104" s="152">
        <f t="shared" si="238"/>
        <v>3.2998944033790911</v>
      </c>
      <c r="Y104" s="152">
        <f t="shared" si="238"/>
        <v>3.2998944033790907</v>
      </c>
      <c r="Z104" s="152">
        <f t="shared" si="238"/>
        <v>3.2998944033790907</v>
      </c>
      <c r="AA104" s="152">
        <f t="shared" si="238"/>
        <v>3.2998944033790907</v>
      </c>
      <c r="AB104" s="152">
        <f t="shared" si="238"/>
        <v>3.2998944033790907</v>
      </c>
      <c r="AC104" s="138">
        <f t="shared" si="199"/>
        <v>5.8681811935033412E-2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39">G40/G25</f>
        <v>0.48888888888888887</v>
      </c>
      <c r="H105" s="152">
        <f t="shared" si="239"/>
        <v>0.39589743589743592</v>
      </c>
      <c r="I105" s="152">
        <f t="shared" si="239"/>
        <v>0.17314814814814813</v>
      </c>
      <c r="J105" s="152">
        <f t="shared" si="239"/>
        <v>1.8656716417910446E-2</v>
      </c>
      <c r="K105" s="152">
        <f t="shared" si="239"/>
        <v>0.22034188034188035</v>
      </c>
      <c r="L105" s="152">
        <f t="shared" si="239"/>
        <v>0.38732394366197181</v>
      </c>
      <c r="M105" s="152">
        <f t="shared" si="239"/>
        <v>0.25287356321839083</v>
      </c>
      <c r="N105" s="152">
        <f t="shared" si="239"/>
        <v>0.23229461756373937</v>
      </c>
      <c r="O105" s="152">
        <f t="shared" si="239"/>
        <v>0.18518518518518517</v>
      </c>
      <c r="P105" s="152">
        <f t="shared" si="239"/>
        <v>-4.0364963503649633</v>
      </c>
      <c r="Q105" s="118">
        <f t="shared" si="197"/>
        <v>-2.2643463062688292</v>
      </c>
      <c r="R105" s="20"/>
      <c r="S105" s="152">
        <f t="shared" ref="S105:AB105" si="240">S40/S25</f>
        <v>0.22810218978102187</v>
      </c>
      <c r="T105" s="152">
        <f t="shared" si="240"/>
        <v>0.22810218978102184</v>
      </c>
      <c r="U105" s="152">
        <f t="shared" si="240"/>
        <v>0.22810218978102187</v>
      </c>
      <c r="V105" s="152">
        <f t="shared" si="240"/>
        <v>0.22810218978102187</v>
      </c>
      <c r="W105" s="152">
        <f t="shared" si="240"/>
        <v>0.22810218978102187</v>
      </c>
      <c r="X105" s="152">
        <f t="shared" si="240"/>
        <v>0.2281021897810219</v>
      </c>
      <c r="Y105" s="152">
        <f t="shared" si="240"/>
        <v>0.22810218978102187</v>
      </c>
      <c r="Z105" s="152">
        <f t="shared" si="240"/>
        <v>0.22810218978102184</v>
      </c>
      <c r="AA105" s="152">
        <f t="shared" si="240"/>
        <v>0.22810218978102187</v>
      </c>
      <c r="AB105" s="152">
        <f t="shared" si="240"/>
        <v>0.22810218978102187</v>
      </c>
      <c r="AC105" s="138">
        <f t="shared" si="199"/>
        <v>-3.9328958877595799E-2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41">G25/G18</f>
        <v>2.2842639593908629</v>
      </c>
      <c r="H106" s="152">
        <f t="shared" si="241"/>
        <v>4.4318181818181817</v>
      </c>
      <c r="I106" s="152">
        <f t="shared" si="241"/>
        <v>2.204081632653061</v>
      </c>
      <c r="J106" s="152">
        <f t="shared" si="241"/>
        <v>3.1162790697674421</v>
      </c>
      <c r="K106" s="152">
        <f t="shared" si="241"/>
        <v>3.0789473684210527</v>
      </c>
      <c r="L106" s="152">
        <f t="shared" si="241"/>
        <v>-1.392156862745098</v>
      </c>
      <c r="M106" s="152">
        <f t="shared" si="241"/>
        <v>-1.1599999999999999</v>
      </c>
      <c r="N106" s="152">
        <f t="shared" si="241"/>
        <v>0.23707186030893218</v>
      </c>
      <c r="O106" s="152">
        <f t="shared" si="241"/>
        <v>0.12312703583061889</v>
      </c>
      <c r="P106" s="152">
        <f>P25/P18</f>
        <v>14.466737064413937</v>
      </c>
      <c r="Q106" s="118">
        <f t="shared" si="197"/>
        <v>0.2276352968353792</v>
      </c>
      <c r="R106" s="20"/>
      <c r="S106" s="152">
        <f>S25/S18</f>
        <v>14.466737064413937</v>
      </c>
      <c r="T106" s="152">
        <f t="shared" ref="T106:AB106" si="242">T25/T18</f>
        <v>14.466737064413939</v>
      </c>
      <c r="U106" s="152">
        <f t="shared" si="242"/>
        <v>14.466737064413939</v>
      </c>
      <c r="V106" s="152">
        <f t="shared" si="242"/>
        <v>14.466737064413937</v>
      </c>
      <c r="W106" s="152">
        <f t="shared" si="242"/>
        <v>14.466737064413936</v>
      </c>
      <c r="X106" s="152">
        <f t="shared" si="242"/>
        <v>14.466737064413936</v>
      </c>
      <c r="Y106" s="152">
        <f t="shared" si="242"/>
        <v>14.466737064413936</v>
      </c>
      <c r="Z106" s="152">
        <f t="shared" si="242"/>
        <v>14.466737064413936</v>
      </c>
      <c r="AA106" s="152">
        <f t="shared" si="242"/>
        <v>14.466737064413934</v>
      </c>
      <c r="AB106" s="152">
        <f t="shared" si="242"/>
        <v>14.466737064413936</v>
      </c>
      <c r="AC106" s="138">
        <f t="shared" si="199"/>
        <v>0.10202323856678142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43">E68*E42</f>
        <v>0</v>
      </c>
      <c r="F108" s="165">
        <f t="shared" si="243"/>
        <v>0</v>
      </c>
      <c r="G108" s="165">
        <f>G68*G42</f>
        <v>5.87</v>
      </c>
      <c r="H108" s="165">
        <f t="shared" ref="H108:P108" si="244">H68*H42</f>
        <v>5.87</v>
      </c>
      <c r="I108" s="165">
        <f t="shared" si="244"/>
        <v>5.87</v>
      </c>
      <c r="J108" s="165">
        <f t="shared" si="244"/>
        <v>0</v>
      </c>
      <c r="K108" s="165">
        <f t="shared" si="244"/>
        <v>13.04</v>
      </c>
      <c r="L108" s="165">
        <f t="shared" si="244"/>
        <v>0</v>
      </c>
      <c r="M108" s="165">
        <f t="shared" si="244"/>
        <v>0</v>
      </c>
      <c r="N108" s="165">
        <f t="shared" si="244"/>
        <v>0</v>
      </c>
      <c r="O108" s="165">
        <f t="shared" si="244"/>
        <v>0</v>
      </c>
      <c r="P108" s="165">
        <f t="shared" si="244"/>
        <v>0</v>
      </c>
      <c r="Q108" s="118">
        <f t="shared" si="197"/>
        <v>-1</v>
      </c>
      <c r="R108" s="20"/>
      <c r="S108" s="165">
        <f t="shared" ref="S108:AB108" si="245">S68*S42</f>
        <v>0</v>
      </c>
      <c r="T108" s="165">
        <f t="shared" si="245"/>
        <v>0</v>
      </c>
      <c r="U108" s="165">
        <f t="shared" si="245"/>
        <v>0</v>
      </c>
      <c r="V108" s="165">
        <f t="shared" si="245"/>
        <v>0</v>
      </c>
      <c r="W108" s="165">
        <f t="shared" si="245"/>
        <v>0</v>
      </c>
      <c r="X108" s="165">
        <f t="shared" si="245"/>
        <v>0</v>
      </c>
      <c r="Y108" s="165">
        <f t="shared" si="245"/>
        <v>0</v>
      </c>
      <c r="Z108" s="165">
        <f t="shared" si="245"/>
        <v>0</v>
      </c>
      <c r="AA108" s="165">
        <f t="shared" si="245"/>
        <v>0</v>
      </c>
      <c r="AB108" s="165">
        <f t="shared" si="245"/>
        <v>0</v>
      </c>
      <c r="AC108" s="138">
        <f t="shared" si="199"/>
        <v>-1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46">(G108*0.17)+G108</f>
        <v>6.8679000000000006</v>
      </c>
      <c r="H109" s="165">
        <f t="shared" si="246"/>
        <v>6.8679000000000006</v>
      </c>
      <c r="I109" s="165">
        <f t="shared" si="246"/>
        <v>6.8679000000000006</v>
      </c>
      <c r="J109" s="165">
        <f t="shared" si="246"/>
        <v>0</v>
      </c>
      <c r="K109" s="165">
        <f t="shared" si="246"/>
        <v>15.256799999999998</v>
      </c>
      <c r="L109" s="165">
        <f t="shared" si="246"/>
        <v>0</v>
      </c>
      <c r="M109" s="165">
        <f t="shared" si="246"/>
        <v>0</v>
      </c>
      <c r="N109" s="165">
        <f t="shared" si="246"/>
        <v>0</v>
      </c>
      <c r="O109" s="165">
        <f t="shared" si="246"/>
        <v>0</v>
      </c>
      <c r="P109" s="165">
        <f t="shared" si="246"/>
        <v>0</v>
      </c>
      <c r="Q109" s="118">
        <f t="shared" si="197"/>
        <v>-1</v>
      </c>
      <c r="R109" s="20"/>
      <c r="S109" s="165">
        <f t="shared" ref="S109:AB109" si="247">(S108*0.17)+S108</f>
        <v>0</v>
      </c>
      <c r="T109" s="165">
        <f t="shared" si="247"/>
        <v>0</v>
      </c>
      <c r="U109" s="165">
        <f t="shared" si="247"/>
        <v>0</v>
      </c>
      <c r="V109" s="165">
        <f t="shared" si="247"/>
        <v>0</v>
      </c>
      <c r="W109" s="165">
        <f t="shared" si="247"/>
        <v>0</v>
      </c>
      <c r="X109" s="165">
        <f t="shared" si="247"/>
        <v>0</v>
      </c>
      <c r="Y109" s="165">
        <f t="shared" si="247"/>
        <v>0</v>
      </c>
      <c r="Z109" s="165">
        <f t="shared" si="247"/>
        <v>0</v>
      </c>
      <c r="AA109" s="165">
        <f t="shared" si="247"/>
        <v>0</v>
      </c>
      <c r="AB109" s="165">
        <f t="shared" si="247"/>
        <v>0</v>
      </c>
      <c r="AC109" s="138">
        <f t="shared" si="199"/>
        <v>-1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48">F109/F40</f>
        <v>#DIV/0!</v>
      </c>
      <c r="G110" s="152">
        <f t="shared" si="248"/>
        <v>0.31217727272727275</v>
      </c>
      <c r="H110" s="152">
        <f t="shared" si="248"/>
        <v>0.17792487046632124</v>
      </c>
      <c r="I110" s="152">
        <f t="shared" si="248"/>
        <v>0.36726737967914441</v>
      </c>
      <c r="J110" s="152">
        <f t="shared" si="248"/>
        <v>0</v>
      </c>
      <c r="K110" s="152">
        <f t="shared" si="248"/>
        <v>0.5918076027928626</v>
      </c>
      <c r="L110" s="152">
        <f t="shared" si="248"/>
        <v>0</v>
      </c>
      <c r="M110" s="152">
        <f t="shared" si="248"/>
        <v>0</v>
      </c>
      <c r="N110" s="152">
        <f t="shared" si="248"/>
        <v>0</v>
      </c>
      <c r="O110" s="152">
        <f t="shared" si="248"/>
        <v>0</v>
      </c>
      <c r="P110" s="152">
        <f t="shared" si="248"/>
        <v>0</v>
      </c>
      <c r="Q110" s="118">
        <f t="shared" si="197"/>
        <v>-1</v>
      </c>
      <c r="R110" s="20"/>
      <c r="S110" s="152">
        <f t="shared" ref="S110:AB110" si="249">S109/S40</f>
        <v>0</v>
      </c>
      <c r="T110" s="152">
        <f t="shared" si="249"/>
        <v>0</v>
      </c>
      <c r="U110" s="152">
        <f t="shared" si="249"/>
        <v>0</v>
      </c>
      <c r="V110" s="152">
        <f t="shared" si="249"/>
        <v>0</v>
      </c>
      <c r="W110" s="152">
        <f t="shared" si="249"/>
        <v>0</v>
      </c>
      <c r="X110" s="152">
        <f t="shared" si="249"/>
        <v>0</v>
      </c>
      <c r="Y110" s="152">
        <f t="shared" si="249"/>
        <v>0</v>
      </c>
      <c r="Z110" s="152">
        <f t="shared" si="249"/>
        <v>0</v>
      </c>
      <c r="AA110" s="152">
        <f t="shared" si="249"/>
        <v>0</v>
      </c>
      <c r="AB110" s="152">
        <f t="shared" si="249"/>
        <v>0</v>
      </c>
      <c r="AC110" s="138">
        <f t="shared" si="199"/>
        <v>-1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0.68782272727272731</v>
      </c>
      <c r="H111" s="152">
        <f t="shared" ref="H111:P111" si="250">1-H110</f>
        <v>0.82207512953367878</v>
      </c>
      <c r="I111" s="152">
        <f t="shared" si="250"/>
        <v>0.63273262032085564</v>
      </c>
      <c r="J111" s="152">
        <f t="shared" si="250"/>
        <v>1</v>
      </c>
      <c r="K111" s="152">
        <f t="shared" si="250"/>
        <v>0.4081923972071374</v>
      </c>
      <c r="L111" s="152">
        <f t="shared" si="250"/>
        <v>1</v>
      </c>
      <c r="M111" s="152">
        <f t="shared" si="250"/>
        <v>1</v>
      </c>
      <c r="N111" s="152">
        <f t="shared" si="250"/>
        <v>1</v>
      </c>
      <c r="O111" s="152">
        <f t="shared" si="250"/>
        <v>1</v>
      </c>
      <c r="P111" s="152">
        <f t="shared" si="250"/>
        <v>1</v>
      </c>
      <c r="Q111" s="118">
        <f t="shared" si="197"/>
        <v>4.2457034349878686E-2</v>
      </c>
      <c r="R111" s="20"/>
      <c r="S111" s="152">
        <f t="shared" ref="S111:AB111" si="251">1-S110</f>
        <v>1</v>
      </c>
      <c r="T111" s="152">
        <f t="shared" si="251"/>
        <v>1</v>
      </c>
      <c r="U111" s="152">
        <f t="shared" si="251"/>
        <v>1</v>
      </c>
      <c r="V111" s="152">
        <f t="shared" si="251"/>
        <v>1</v>
      </c>
      <c r="W111" s="152">
        <f t="shared" si="251"/>
        <v>1</v>
      </c>
      <c r="X111" s="152">
        <f t="shared" si="251"/>
        <v>1</v>
      </c>
      <c r="Y111" s="152">
        <f t="shared" si="251"/>
        <v>1</v>
      </c>
      <c r="Z111" s="152">
        <f t="shared" si="251"/>
        <v>1</v>
      </c>
      <c r="AA111" s="152">
        <f t="shared" si="251"/>
        <v>1</v>
      </c>
      <c r="AB111" s="152">
        <f t="shared" si="251"/>
        <v>1</v>
      </c>
      <c r="AC111" s="138">
        <f t="shared" si="199"/>
        <v>1.9891253368945039E-2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52">H31/H25</f>
        <v>0</v>
      </c>
      <c r="I113" s="152">
        <f t="shared" si="252"/>
        <v>0</v>
      </c>
      <c r="J113" s="152">
        <f t="shared" si="252"/>
        <v>0</v>
      </c>
      <c r="K113" s="152">
        <f t="shared" si="252"/>
        <v>0</v>
      </c>
      <c r="L113" s="152">
        <f t="shared" si="252"/>
        <v>0</v>
      </c>
      <c r="M113" s="152">
        <f t="shared" si="252"/>
        <v>0</v>
      </c>
      <c r="N113" s="152">
        <f t="shared" si="252"/>
        <v>0</v>
      </c>
      <c r="O113" s="152">
        <f t="shared" si="252"/>
        <v>0</v>
      </c>
      <c r="P113" s="152">
        <f t="shared" si="252"/>
        <v>0</v>
      </c>
      <c r="Q113" s="118" t="e">
        <f t="shared" si="197"/>
        <v>#DIV/0!</v>
      </c>
      <c r="R113" s="20"/>
      <c r="S113" s="152">
        <f t="shared" ref="S113:AB113" si="253">S31/S25</f>
        <v>0</v>
      </c>
      <c r="T113" s="152">
        <f t="shared" si="253"/>
        <v>0</v>
      </c>
      <c r="U113" s="152">
        <f t="shared" si="253"/>
        <v>0</v>
      </c>
      <c r="V113" s="152">
        <f t="shared" si="253"/>
        <v>0</v>
      </c>
      <c r="W113" s="152">
        <f t="shared" si="253"/>
        <v>0</v>
      </c>
      <c r="X113" s="152">
        <f t="shared" si="253"/>
        <v>0</v>
      </c>
      <c r="Y113" s="152">
        <f t="shared" si="253"/>
        <v>0</v>
      </c>
      <c r="Z113" s="152">
        <f t="shared" si="253"/>
        <v>0</v>
      </c>
      <c r="AA113" s="152">
        <f t="shared" si="253"/>
        <v>0</v>
      </c>
      <c r="AB113" s="152">
        <f t="shared" si="253"/>
        <v>0</v>
      </c>
      <c r="AC113" s="138" t="e">
        <f t="shared" si="199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54">H32/H25</f>
        <v>0</v>
      </c>
      <c r="I114" s="152">
        <f t="shared" si="254"/>
        <v>0</v>
      </c>
      <c r="J114" s="152">
        <f t="shared" si="254"/>
        <v>0</v>
      </c>
      <c r="K114" s="152">
        <f t="shared" si="254"/>
        <v>0</v>
      </c>
      <c r="L114" s="152">
        <f t="shared" si="254"/>
        <v>0</v>
      </c>
      <c r="M114" s="152">
        <f t="shared" si="254"/>
        <v>0</v>
      </c>
      <c r="N114" s="152">
        <f t="shared" si="254"/>
        <v>0</v>
      </c>
      <c r="O114" s="152">
        <f t="shared" si="254"/>
        <v>0</v>
      </c>
      <c r="P114" s="152">
        <f t="shared" si="254"/>
        <v>0</v>
      </c>
      <c r="Q114" s="118" t="e">
        <f t="shared" si="197"/>
        <v>#DIV/0!</v>
      </c>
      <c r="R114" s="20"/>
      <c r="S114" s="152">
        <f t="shared" ref="S114:AB114" si="255">S32/S25</f>
        <v>0</v>
      </c>
      <c r="T114" s="152">
        <f t="shared" si="255"/>
        <v>0</v>
      </c>
      <c r="U114" s="152">
        <f t="shared" si="255"/>
        <v>0</v>
      </c>
      <c r="V114" s="152">
        <f t="shared" si="255"/>
        <v>0</v>
      </c>
      <c r="W114" s="152">
        <f t="shared" si="255"/>
        <v>0</v>
      </c>
      <c r="X114" s="152">
        <f t="shared" si="255"/>
        <v>0</v>
      </c>
      <c r="Y114" s="152">
        <f t="shared" si="255"/>
        <v>0</v>
      </c>
      <c r="Z114" s="152">
        <f t="shared" si="255"/>
        <v>0</v>
      </c>
      <c r="AA114" s="152">
        <f t="shared" si="255"/>
        <v>0</v>
      </c>
      <c r="AB114" s="152">
        <f t="shared" si="255"/>
        <v>0</v>
      </c>
      <c r="AC114" s="138" t="e">
        <f t="shared" si="199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0.13333333333333333</v>
      </c>
      <c r="H116" s="152">
        <f t="shared" ref="H116:P116" si="256">H27/H25</f>
        <v>0.13333333333333333</v>
      </c>
      <c r="I116" s="152">
        <f t="shared" si="256"/>
        <v>0.14814814814814814</v>
      </c>
      <c r="J116" s="152">
        <f t="shared" si="256"/>
        <v>0.1044776119402985</v>
      </c>
      <c r="K116" s="152">
        <f t="shared" si="256"/>
        <v>0.1623931623931624</v>
      </c>
      <c r="L116" s="152">
        <f t="shared" si="256"/>
        <v>0.12676056338028169</v>
      </c>
      <c r="M116" s="152">
        <f t="shared" si="256"/>
        <v>0.45977011494252873</v>
      </c>
      <c r="N116" s="152">
        <f t="shared" si="256"/>
        <v>0.27762039660056659</v>
      </c>
      <c r="O116" s="152">
        <f t="shared" si="256"/>
        <v>0.3968253968253968</v>
      </c>
      <c r="P116" s="152">
        <f t="shared" si="256"/>
        <v>0.45255474452554745</v>
      </c>
      <c r="Q116" s="118">
        <f t="shared" si="197"/>
        <v>0.14543451408958474</v>
      </c>
      <c r="R116" s="20"/>
      <c r="S116" s="152">
        <f t="shared" ref="S116:AB116" si="257">S27/S25</f>
        <v>0.45255474452554745</v>
      </c>
      <c r="T116" s="152">
        <f t="shared" si="257"/>
        <v>0.45255474452554739</v>
      </c>
      <c r="U116" s="152">
        <f t="shared" si="257"/>
        <v>0.45255474452554739</v>
      </c>
      <c r="V116" s="152">
        <f t="shared" si="257"/>
        <v>0.45255474452554745</v>
      </c>
      <c r="W116" s="152">
        <f t="shared" si="257"/>
        <v>0.45255474452554739</v>
      </c>
      <c r="X116" s="152">
        <f t="shared" si="257"/>
        <v>0.45255474452554739</v>
      </c>
      <c r="Y116" s="152">
        <f t="shared" si="257"/>
        <v>0.45255474452554739</v>
      </c>
      <c r="Z116" s="152">
        <f t="shared" si="257"/>
        <v>0.45255474452554739</v>
      </c>
      <c r="AA116" s="152">
        <f t="shared" si="257"/>
        <v>0.45255474452554745</v>
      </c>
      <c r="AB116" s="152">
        <f t="shared" si="257"/>
        <v>0.45255474452554739</v>
      </c>
      <c r="AC116" s="138">
        <f t="shared" si="199"/>
        <v>6.6432282773621454E-2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</v>
      </c>
      <c r="H117" s="152">
        <f t="shared" ref="H117:P117" si="258">H33/H25</f>
        <v>0</v>
      </c>
      <c r="I117" s="152">
        <f t="shared" si="258"/>
        <v>0</v>
      </c>
      <c r="J117" s="152">
        <f t="shared" si="258"/>
        <v>0</v>
      </c>
      <c r="K117" s="152">
        <f t="shared" si="258"/>
        <v>0</v>
      </c>
      <c r="L117" s="152">
        <f t="shared" si="258"/>
        <v>0</v>
      </c>
      <c r="M117" s="152">
        <f t="shared" si="258"/>
        <v>0</v>
      </c>
      <c r="N117" s="152">
        <f t="shared" si="258"/>
        <v>0</v>
      </c>
      <c r="O117" s="152">
        <f t="shared" si="258"/>
        <v>0</v>
      </c>
      <c r="P117" s="152">
        <f t="shared" si="258"/>
        <v>0</v>
      </c>
      <c r="Q117" s="118" t="e">
        <f t="shared" si="197"/>
        <v>#DIV/0!</v>
      </c>
      <c r="R117" s="20"/>
      <c r="S117" s="152">
        <f t="shared" ref="S117:AB117" si="259">S33/S25</f>
        <v>0</v>
      </c>
      <c r="T117" s="152">
        <f t="shared" si="259"/>
        <v>0</v>
      </c>
      <c r="U117" s="152">
        <f t="shared" si="259"/>
        <v>0</v>
      </c>
      <c r="V117" s="152">
        <f t="shared" si="259"/>
        <v>0</v>
      </c>
      <c r="W117" s="152">
        <f t="shared" si="259"/>
        <v>0</v>
      </c>
      <c r="X117" s="152">
        <f t="shared" si="259"/>
        <v>0</v>
      </c>
      <c r="Y117" s="152">
        <f t="shared" si="259"/>
        <v>0</v>
      </c>
      <c r="Z117" s="152">
        <f t="shared" si="259"/>
        <v>0</v>
      </c>
      <c r="AA117" s="152">
        <f t="shared" si="259"/>
        <v>0</v>
      </c>
      <c r="AB117" s="152">
        <f t="shared" si="259"/>
        <v>0</v>
      </c>
      <c r="AC117" s="138" t="e">
        <f t="shared" si="199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</v>
      </c>
      <c r="H118" s="152">
        <f t="shared" ref="H118:P118" si="260">H34/H25</f>
        <v>0</v>
      </c>
      <c r="I118" s="152">
        <f t="shared" si="260"/>
        <v>0</v>
      </c>
      <c r="J118" s="152">
        <f t="shared" si="260"/>
        <v>0</v>
      </c>
      <c r="K118" s="152">
        <f t="shared" si="260"/>
        <v>0</v>
      </c>
      <c r="L118" s="152">
        <f t="shared" si="260"/>
        <v>0</v>
      </c>
      <c r="M118" s="152">
        <f t="shared" si="260"/>
        <v>0</v>
      </c>
      <c r="N118" s="152">
        <f t="shared" si="260"/>
        <v>0</v>
      </c>
      <c r="O118" s="152">
        <f t="shared" si="260"/>
        <v>0</v>
      </c>
      <c r="P118" s="152">
        <f t="shared" si="260"/>
        <v>0</v>
      </c>
      <c r="Q118" s="118" t="e">
        <f t="shared" si="197"/>
        <v>#DIV/0!</v>
      </c>
      <c r="R118" s="20"/>
      <c r="S118" s="152">
        <f t="shared" ref="S118:AB118" si="261">S34/S25</f>
        <v>0</v>
      </c>
      <c r="T118" s="152">
        <f t="shared" si="261"/>
        <v>0</v>
      </c>
      <c r="U118" s="152">
        <f t="shared" si="261"/>
        <v>0</v>
      </c>
      <c r="V118" s="152">
        <f t="shared" si="261"/>
        <v>0</v>
      </c>
      <c r="W118" s="152">
        <f t="shared" si="261"/>
        <v>0</v>
      </c>
      <c r="X118" s="152">
        <f t="shared" si="261"/>
        <v>0</v>
      </c>
      <c r="Y118" s="152">
        <f t="shared" si="261"/>
        <v>0</v>
      </c>
      <c r="Z118" s="152">
        <f t="shared" si="261"/>
        <v>0</v>
      </c>
      <c r="AA118" s="152">
        <f t="shared" si="261"/>
        <v>0</v>
      </c>
      <c r="AB118" s="152">
        <f t="shared" si="261"/>
        <v>0</v>
      </c>
      <c r="AC118" s="138" t="e">
        <f t="shared" si="199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0.29230769230769227</v>
      </c>
      <c r="H121" s="25">
        <f t="shared" ref="H121:AB121" si="262">H15/H9</f>
        <v>0.69444444444444442</v>
      </c>
      <c r="I121" s="25">
        <f t="shared" si="262"/>
        <v>1.1470588235294117</v>
      </c>
      <c r="J121" s="25">
        <f t="shared" si="262"/>
        <v>0.6506024096385542</v>
      </c>
      <c r="K121" s="25">
        <f t="shared" si="262"/>
        <v>1.2454545454545454</v>
      </c>
      <c r="L121" s="25">
        <f t="shared" si="262"/>
        <v>0.25</v>
      </c>
      <c r="M121" s="25">
        <f t="shared" si="262"/>
        <v>0.4672</v>
      </c>
      <c r="N121" s="25">
        <f t="shared" si="262"/>
        <v>1.5888888888888888</v>
      </c>
      <c r="O121" s="25">
        <f t="shared" si="262"/>
        <v>0.66860465116279066</v>
      </c>
      <c r="P121" s="25">
        <f t="shared" si="262"/>
        <v>1.0164835164835164</v>
      </c>
      <c r="Q121" s="118">
        <f t="shared" si="197"/>
        <v>0.14852383039812778</v>
      </c>
      <c r="R121" s="20"/>
      <c r="S121" s="20">
        <f t="shared" si="262"/>
        <v>1.0164835164835164</v>
      </c>
      <c r="T121" s="20">
        <f t="shared" si="262"/>
        <v>1.0164835164835164</v>
      </c>
      <c r="U121" s="20">
        <f t="shared" si="262"/>
        <v>1.0164835164835164</v>
      </c>
      <c r="V121" s="20">
        <f t="shared" si="262"/>
        <v>1.0164835164835166</v>
      </c>
      <c r="W121" s="20">
        <f t="shared" si="262"/>
        <v>1.0164835164835166</v>
      </c>
      <c r="X121" s="20">
        <f t="shared" si="262"/>
        <v>1.0164835164835166</v>
      </c>
      <c r="Y121" s="20">
        <f t="shared" si="262"/>
        <v>1.0164835164835166</v>
      </c>
      <c r="Z121" s="20">
        <f t="shared" si="262"/>
        <v>1.0164835164835166</v>
      </c>
      <c r="AA121" s="20">
        <f t="shared" si="262"/>
        <v>1.0164835164835164</v>
      </c>
      <c r="AB121" s="20">
        <f t="shared" si="262"/>
        <v>1.0164835164835164</v>
      </c>
      <c r="AC121" s="138">
        <f t="shared" si="199"/>
        <v>6.7793747438732455E-2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2.7692307692307692</v>
      </c>
      <c r="H122" s="25">
        <f t="shared" ref="H122:P122" si="263">H12/H9</f>
        <v>2.5833333333333335</v>
      </c>
      <c r="I122" s="25">
        <f t="shared" si="263"/>
        <v>2.2058823529411766</v>
      </c>
      <c r="J122" s="25">
        <f t="shared" si="263"/>
        <v>1.3493975903614457</v>
      </c>
      <c r="K122" s="25">
        <f t="shared" si="263"/>
        <v>1.4545454545454546</v>
      </c>
      <c r="L122" s="25">
        <f t="shared" si="263"/>
        <v>0.6925</v>
      </c>
      <c r="M122" s="25">
        <f t="shared" si="263"/>
        <v>0.39500000000000002</v>
      </c>
      <c r="N122" s="25">
        <f t="shared" si="263"/>
        <v>0.52222222222222225</v>
      </c>
      <c r="O122" s="25">
        <f t="shared" si="263"/>
        <v>0.2441860465116279</v>
      </c>
      <c r="P122" s="25">
        <f t="shared" si="263"/>
        <v>0.68681318681318682</v>
      </c>
      <c r="Q122" s="118">
        <f t="shared" si="197"/>
        <v>-0.14351464410314707</v>
      </c>
      <c r="R122" s="128"/>
      <c r="S122" s="20">
        <f t="shared" ref="S122:AB122" si="264">S12/S9</f>
        <v>0.6868131868131867</v>
      </c>
      <c r="T122" s="20">
        <f t="shared" si="264"/>
        <v>0.6868131868131867</v>
      </c>
      <c r="U122" s="20">
        <f t="shared" si="264"/>
        <v>0.6868131868131867</v>
      </c>
      <c r="V122" s="20">
        <f t="shared" si="264"/>
        <v>0.6868131868131867</v>
      </c>
      <c r="W122" s="20">
        <f t="shared" si="264"/>
        <v>0.6868131868131867</v>
      </c>
      <c r="X122" s="20">
        <f t="shared" si="264"/>
        <v>0.6868131868131867</v>
      </c>
      <c r="Y122" s="20">
        <f t="shared" si="264"/>
        <v>0.6868131868131867</v>
      </c>
      <c r="Z122" s="20">
        <f t="shared" si="264"/>
        <v>0.68681318681318659</v>
      </c>
      <c r="AA122" s="20">
        <f t="shared" si="264"/>
        <v>0.68681318681318659</v>
      </c>
      <c r="AB122" s="20">
        <f t="shared" si="264"/>
        <v>0.68681318681318659</v>
      </c>
      <c r="AC122" s="118">
        <f t="shared" ref="AC122" si="265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0.125</v>
      </c>
      <c r="H123" s="25">
        <f t="shared" ref="H123:P123" si="266">H25/360</f>
        <v>0.27083333333333331</v>
      </c>
      <c r="I123" s="25">
        <f t="shared" si="266"/>
        <v>0.3</v>
      </c>
      <c r="J123" s="25">
        <f t="shared" si="266"/>
        <v>0.37222222222222223</v>
      </c>
      <c r="K123" s="25">
        <f t="shared" si="266"/>
        <v>0.32500000000000001</v>
      </c>
      <c r="L123" s="25">
        <f t="shared" si="266"/>
        <v>0.39444444444444443</v>
      </c>
      <c r="M123" s="25">
        <f t="shared" si="266"/>
        <v>0.48333333333333334</v>
      </c>
      <c r="N123" s="25">
        <f t="shared" si="266"/>
        <v>0.98055555555555551</v>
      </c>
      <c r="O123" s="25">
        <f t="shared" si="266"/>
        <v>0.52500000000000002</v>
      </c>
      <c r="P123" s="25">
        <f t="shared" si="266"/>
        <v>0.38055555555555554</v>
      </c>
      <c r="Q123" s="118">
        <f t="shared" si="197"/>
        <v>0.13167863535920366</v>
      </c>
      <c r="R123" s="128"/>
      <c r="S123" s="25">
        <f t="shared" ref="S123:AB123" si="267">S25/360</f>
        <v>0.42622222222222228</v>
      </c>
      <c r="T123" s="25">
        <f t="shared" si="267"/>
        <v>0.47736888888888906</v>
      </c>
      <c r="U123" s="25">
        <f t="shared" si="267"/>
        <v>0.53465315555555581</v>
      </c>
      <c r="V123" s="25">
        <f t="shared" si="267"/>
        <v>0.59881153422222255</v>
      </c>
      <c r="W123" s="25">
        <f t="shared" si="267"/>
        <v>0.67066891832888931</v>
      </c>
      <c r="X123" s="25">
        <f t="shared" si="267"/>
        <v>0.75114918852835599</v>
      </c>
      <c r="Y123" s="25">
        <f t="shared" si="267"/>
        <v>0.84128709115175881</v>
      </c>
      <c r="Z123" s="25">
        <f t="shared" si="267"/>
        <v>0.94224154208996991</v>
      </c>
      <c r="AA123" s="25">
        <f t="shared" si="267"/>
        <v>1.0553105271407663</v>
      </c>
      <c r="AB123" s="25">
        <f t="shared" si="267"/>
        <v>1.1819477903976585</v>
      </c>
      <c r="AC123" s="118">
        <f t="shared" ref="AC123:AC134" si="268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1.6666666666666666E-2</v>
      </c>
      <c r="H124" s="25">
        <f t="shared" ref="H124:P124" si="269">H27/360</f>
        <v>3.6111111111111108E-2</v>
      </c>
      <c r="I124" s="25">
        <f t="shared" si="269"/>
        <v>4.4444444444444446E-2</v>
      </c>
      <c r="J124" s="25">
        <f t="shared" si="269"/>
        <v>3.888888888888889E-2</v>
      </c>
      <c r="K124" s="25">
        <f t="shared" si="269"/>
        <v>5.2777777777777778E-2</v>
      </c>
      <c r="L124" s="25">
        <f t="shared" si="269"/>
        <v>0.05</v>
      </c>
      <c r="M124" s="25">
        <f t="shared" si="269"/>
        <v>0.22222222222222221</v>
      </c>
      <c r="N124" s="25">
        <f t="shared" si="269"/>
        <v>0.2722222222222222</v>
      </c>
      <c r="O124" s="25">
        <f t="shared" si="269"/>
        <v>0.20833333333333334</v>
      </c>
      <c r="P124" s="25">
        <f t="shared" si="269"/>
        <v>0.17222222222222222</v>
      </c>
      <c r="Q124" s="118">
        <f t="shared" si="197"/>
        <v>0.2962637677982336</v>
      </c>
      <c r="R124" s="128"/>
      <c r="S124" s="25">
        <f t="shared" ref="S124:AB124" si="270">S27/360</f>
        <v>0.19288888888888892</v>
      </c>
      <c r="T124" s="25">
        <f t="shared" si="270"/>
        <v>0.21603555555555559</v>
      </c>
      <c r="U124" s="25">
        <f t="shared" si="270"/>
        <v>0.24195982222222231</v>
      </c>
      <c r="V124" s="25">
        <f t="shared" si="270"/>
        <v>0.270995000888889</v>
      </c>
      <c r="W124" s="25">
        <f t="shared" si="270"/>
        <v>0.30351440099555571</v>
      </c>
      <c r="X124" s="25">
        <f t="shared" si="270"/>
        <v>0.33993612911502241</v>
      </c>
      <c r="Y124" s="25">
        <f t="shared" si="270"/>
        <v>0.38072846460882509</v>
      </c>
      <c r="Z124" s="25">
        <f t="shared" si="270"/>
        <v>0.42641588036188416</v>
      </c>
      <c r="AA124" s="25">
        <f t="shared" si="270"/>
        <v>0.47758578600531032</v>
      </c>
      <c r="AB124" s="25">
        <f t="shared" si="270"/>
        <v>0.5348960803259476</v>
      </c>
      <c r="AC124" s="118">
        <f t="shared" si="268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5.0251256281407036E-5</v>
      </c>
      <c r="H126" s="25">
        <f t="shared" ref="H126:P126" si="271">H10/H7</f>
        <v>0.12173913043478261</v>
      </c>
      <c r="I126" s="25">
        <f t="shared" si="271"/>
        <v>6.6115702479338845E-2</v>
      </c>
      <c r="J126" s="25">
        <f t="shared" si="271"/>
        <v>0.33759590792838873</v>
      </c>
      <c r="K126" s="25">
        <f t="shared" si="271"/>
        <v>0.14540059347181009</v>
      </c>
      <c r="L126" s="25">
        <f t="shared" si="271"/>
        <v>0.1224105461393597</v>
      </c>
      <c r="M126" s="25">
        <f t="shared" si="271"/>
        <v>0.58897922312556461</v>
      </c>
      <c r="N126" s="25">
        <f t="shared" si="271"/>
        <v>0.49872988992379341</v>
      </c>
      <c r="O126" s="25">
        <f t="shared" si="271"/>
        <v>0.43092105263157893</v>
      </c>
      <c r="P126" s="25">
        <f t="shared" si="271"/>
        <v>1.2341389728096677</v>
      </c>
      <c r="Q126" s="118">
        <f t="shared" si="197"/>
        <v>2.0746940316455529</v>
      </c>
      <c r="R126" s="128"/>
      <c r="S126" s="25">
        <f t="shared" ref="S126:AB126" si="272">S10/S7</f>
        <v>1.2341389728096677</v>
      </c>
      <c r="T126" s="25">
        <f t="shared" si="272"/>
        <v>1.2341389728096674</v>
      </c>
      <c r="U126" s="25">
        <f t="shared" si="272"/>
        <v>1.2341389728096674</v>
      </c>
      <c r="V126" s="25">
        <f t="shared" si="272"/>
        <v>1.2341389728096677</v>
      </c>
      <c r="W126" s="25">
        <f t="shared" si="272"/>
        <v>1.2341389728096677</v>
      </c>
      <c r="X126" s="25">
        <f t="shared" si="272"/>
        <v>1.2341389728096677</v>
      </c>
      <c r="Y126" s="25">
        <f t="shared" si="272"/>
        <v>1.2341389728096677</v>
      </c>
      <c r="Z126" s="25">
        <f t="shared" si="272"/>
        <v>1.2341389728096677</v>
      </c>
      <c r="AA126" s="25">
        <f t="shared" si="272"/>
        <v>1.2341389728096677</v>
      </c>
      <c r="AB126" s="25">
        <f t="shared" si="272"/>
        <v>1.2341389728096677</v>
      </c>
      <c r="AC126" s="118">
        <f t="shared" si="268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5.0248731219536707E-5</v>
      </c>
      <c r="H127" s="25">
        <f t="shared" ref="H127:P127" si="273">H10/(H10+H7)</f>
        <v>0.10852713178294573</v>
      </c>
      <c r="I127" s="25">
        <f t="shared" si="273"/>
        <v>6.2015503875968991E-2</v>
      </c>
      <c r="J127" s="25">
        <f t="shared" si="273"/>
        <v>0.25239005736137665</v>
      </c>
      <c r="K127" s="25">
        <f t="shared" si="273"/>
        <v>0.12694300518134716</v>
      </c>
      <c r="L127" s="25">
        <f t="shared" si="273"/>
        <v>0.10906040268456375</v>
      </c>
      <c r="M127" s="25">
        <f t="shared" si="273"/>
        <v>0.37066515065378058</v>
      </c>
      <c r="N127" s="25">
        <f t="shared" si="273"/>
        <v>0.33276836158192091</v>
      </c>
      <c r="O127" s="25">
        <f t="shared" si="273"/>
        <v>0.30114942528735633</v>
      </c>
      <c r="P127" s="25">
        <f t="shared" si="273"/>
        <v>0.55240027045300877</v>
      </c>
      <c r="Q127" s="118">
        <f t="shared" si="197"/>
        <v>1.811993478454577</v>
      </c>
      <c r="R127" s="128"/>
      <c r="S127" s="25">
        <f t="shared" ref="S127:AB127" si="274">S10/(S10+S7)</f>
        <v>0.55240027045300888</v>
      </c>
      <c r="T127" s="25">
        <f t="shared" si="274"/>
        <v>0.55240027045300877</v>
      </c>
      <c r="U127" s="25">
        <f t="shared" si="274"/>
        <v>0.55240027045300877</v>
      </c>
      <c r="V127" s="25">
        <f t="shared" si="274"/>
        <v>0.55240027045300877</v>
      </c>
      <c r="W127" s="25">
        <f t="shared" si="274"/>
        <v>0.55240027045300877</v>
      </c>
      <c r="X127" s="25">
        <f t="shared" si="274"/>
        <v>0.55240027045300888</v>
      </c>
      <c r="Y127" s="25">
        <f t="shared" si="274"/>
        <v>0.55240027045300877</v>
      </c>
      <c r="Z127" s="25">
        <f t="shared" si="274"/>
        <v>0.55240027045300877</v>
      </c>
      <c r="AA127" s="25">
        <f t="shared" si="274"/>
        <v>0.55240027045300877</v>
      </c>
      <c r="AB127" s="25">
        <f t="shared" si="274"/>
        <v>0.55240027045300877</v>
      </c>
      <c r="AC127" s="118">
        <f t="shared" si="268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99</v>
      </c>
      <c r="H129" s="25">
        <f t="shared" ref="H129:P129" si="275">H16</f>
        <v>117</v>
      </c>
      <c r="I129" s="25">
        <f t="shared" si="275"/>
        <v>73</v>
      </c>
      <c r="J129" s="25">
        <f t="shared" si="275"/>
        <v>135</v>
      </c>
      <c r="K129" s="25">
        <f t="shared" si="275"/>
        <v>146</v>
      </c>
      <c r="L129" s="25">
        <f t="shared" si="275"/>
        <v>48</v>
      </c>
      <c r="M129" s="25">
        <f t="shared" si="275"/>
        <v>83</v>
      </c>
      <c r="N129" s="25">
        <f t="shared" si="275"/>
        <v>65</v>
      </c>
      <c r="O129" s="25">
        <f t="shared" si="275"/>
        <v>4.3499999999999996</v>
      </c>
      <c r="P129" s="25">
        <f t="shared" si="275"/>
        <v>31</v>
      </c>
      <c r="Q129" s="118">
        <f t="shared" si="197"/>
        <v>-0.12103898903367427</v>
      </c>
      <c r="R129" s="128"/>
      <c r="S129" s="25">
        <f t="shared" ref="S129:AB129" si="276">S16</f>
        <v>34.720000000000006</v>
      </c>
      <c r="T129" s="25">
        <f t="shared" si="276"/>
        <v>38.886400000000009</v>
      </c>
      <c r="U129" s="25">
        <f t="shared" si="276"/>
        <v>43.552768000000015</v>
      </c>
      <c r="V129" s="25">
        <f t="shared" si="276"/>
        <v>48.77910016000002</v>
      </c>
      <c r="W129" s="25">
        <f t="shared" si="276"/>
        <v>54.632592179200024</v>
      </c>
      <c r="X129" s="25">
        <f t="shared" si="276"/>
        <v>61.18850324070403</v>
      </c>
      <c r="Y129" s="25">
        <f t="shared" si="276"/>
        <v>68.531123629588521</v>
      </c>
      <c r="Z129" s="25">
        <f t="shared" si="276"/>
        <v>76.754858465139151</v>
      </c>
      <c r="AA129" s="25">
        <f t="shared" si="276"/>
        <v>85.96544148095586</v>
      </c>
      <c r="AB129" s="25">
        <f t="shared" si="276"/>
        <v>96.281294458670573</v>
      </c>
      <c r="AC129" s="118">
        <f t="shared" si="268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77">G129*365/G25</f>
        <v>803</v>
      </c>
      <c r="H130" s="119">
        <f t="shared" si="277"/>
        <v>438</v>
      </c>
      <c r="I130" s="119">
        <f t="shared" si="277"/>
        <v>246.71296296296296</v>
      </c>
      <c r="J130" s="119">
        <f t="shared" si="277"/>
        <v>367.7238805970149</v>
      </c>
      <c r="K130" s="119">
        <f t="shared" si="277"/>
        <v>455.47008547008545</v>
      </c>
      <c r="L130" s="119">
        <f t="shared" si="277"/>
        <v>123.38028169014085</v>
      </c>
      <c r="M130" s="119">
        <f t="shared" si="277"/>
        <v>174.10919540229884</v>
      </c>
      <c r="N130" s="119">
        <f t="shared" si="277"/>
        <v>67.209631728045323</v>
      </c>
      <c r="O130" s="119">
        <f t="shared" si="277"/>
        <v>8.4007936507936503</v>
      </c>
      <c r="P130" s="119">
        <f t="shared" si="277"/>
        <v>82.591240875912405</v>
      </c>
      <c r="Q130" s="118">
        <f t="shared" si="197"/>
        <v>-0.22331218112345419</v>
      </c>
      <c r="R130" s="128"/>
      <c r="S130" s="119">
        <f t="shared" ref="S130:AB130" si="278">S129*365/S25</f>
        <v>82.591240875912419</v>
      </c>
      <c r="T130" s="119">
        <f t="shared" si="278"/>
        <v>82.591240875912405</v>
      </c>
      <c r="U130" s="119">
        <f t="shared" si="278"/>
        <v>82.591240875912405</v>
      </c>
      <c r="V130" s="119">
        <f t="shared" si="278"/>
        <v>82.591240875912391</v>
      </c>
      <c r="W130" s="119">
        <f t="shared" si="278"/>
        <v>82.591240875912405</v>
      </c>
      <c r="X130" s="119">
        <f t="shared" si="278"/>
        <v>82.591240875912405</v>
      </c>
      <c r="Y130" s="119">
        <f t="shared" si="278"/>
        <v>82.591240875912391</v>
      </c>
      <c r="Z130" s="119">
        <f t="shared" si="278"/>
        <v>82.591240875912405</v>
      </c>
      <c r="AA130" s="119">
        <f t="shared" si="278"/>
        <v>82.591240875912405</v>
      </c>
      <c r="AB130" s="119">
        <f t="shared" si="278"/>
        <v>82.591240875912405</v>
      </c>
      <c r="AC130" s="118">
        <f t="shared" si="268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0.50539466212379336</v>
      </c>
      <c r="H131" s="133">
        <f t="shared" ref="H131:P131" si="279">H78/H29</f>
        <v>0.93696763202725719</v>
      </c>
      <c r="I131" s="133">
        <f t="shared" si="279"/>
        <v>0.98807495741056217</v>
      </c>
      <c r="J131" s="133">
        <f t="shared" si="279"/>
        <v>0.75341501197014504</v>
      </c>
      <c r="K131" s="133">
        <f t="shared" si="279"/>
        <v>0.17090271691498687</v>
      </c>
      <c r="L131" s="133">
        <f t="shared" si="279"/>
        <v>0.1252556237218814</v>
      </c>
      <c r="M131" s="133">
        <f t="shared" si="279"/>
        <v>0.24539877300613497</v>
      </c>
      <c r="N131" s="133">
        <f t="shared" si="279"/>
        <v>1.5213734415198892</v>
      </c>
      <c r="O131" s="133">
        <f t="shared" si="279"/>
        <v>0.61349693251533743</v>
      </c>
      <c r="P131" s="133">
        <f t="shared" si="279"/>
        <v>0.48472045375622186</v>
      </c>
      <c r="Q131" s="118">
        <f t="shared" si="197"/>
        <v>-4.6300583518159577E-3</v>
      </c>
      <c r="R131" s="128"/>
      <c r="S131" s="133">
        <f t="shared" ref="S131:AB131" si="280">S78/S29</f>
        <v>0.46163852738687794</v>
      </c>
      <c r="T131" s="133">
        <f t="shared" si="280"/>
        <v>0.43965574036845512</v>
      </c>
      <c r="U131" s="133">
        <f t="shared" si="280"/>
        <v>0.41871975273186202</v>
      </c>
      <c r="V131" s="133">
        <f t="shared" si="280"/>
        <v>0.39878071688748762</v>
      </c>
      <c r="W131" s="133">
        <f t="shared" si="280"/>
        <v>0.37979115894046439</v>
      </c>
      <c r="X131" s="133">
        <f t="shared" si="280"/>
        <v>0.36170586565758511</v>
      </c>
      <c r="Y131" s="133">
        <f t="shared" si="280"/>
        <v>0.34448177681674769</v>
      </c>
      <c r="Z131" s="133">
        <f t="shared" si="280"/>
        <v>0.32807788268261684</v>
      </c>
      <c r="AA131" s="133">
        <f t="shared" si="280"/>
        <v>0.31245512636439704</v>
      </c>
      <c r="AB131" s="133">
        <f t="shared" si="280"/>
        <v>0.29757631082323527</v>
      </c>
      <c r="AC131" s="118">
        <f t="shared" si="268"/>
        <v>-4.7619047619047672E-2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 t="e">
        <f>G25/G14</f>
        <v>#DIV/0!</v>
      </c>
      <c r="H133" s="180" t="e">
        <f t="shared" ref="H133:P133" si="281">H25/H14</f>
        <v>#DIV/0!</v>
      </c>
      <c r="I133" s="180" t="e">
        <f t="shared" si="281"/>
        <v>#DIV/0!</v>
      </c>
      <c r="J133" s="180" t="e">
        <f t="shared" si="281"/>
        <v>#DIV/0!</v>
      </c>
      <c r="K133" s="180" t="e">
        <f t="shared" si="281"/>
        <v>#DIV/0!</v>
      </c>
      <c r="L133" s="180" t="e">
        <f t="shared" si="281"/>
        <v>#DIV/0!</v>
      </c>
      <c r="M133" s="180" t="e">
        <f t="shared" si="281"/>
        <v>#DIV/0!</v>
      </c>
      <c r="N133" s="180" t="e">
        <f t="shared" si="281"/>
        <v>#DIV/0!</v>
      </c>
      <c r="O133" s="180" t="e">
        <f t="shared" si="281"/>
        <v>#DIV/0!</v>
      </c>
      <c r="P133" s="180" t="e">
        <f t="shared" si="281"/>
        <v>#DIV/0!</v>
      </c>
      <c r="Q133" s="118" t="e">
        <f t="shared" si="197"/>
        <v>#DIV/0!</v>
      </c>
      <c r="R133" s="128"/>
      <c r="S133" s="20" t="e">
        <f t="shared" ref="S133" si="282">S25/S14</f>
        <v>#DIV/0!</v>
      </c>
      <c r="T133" s="20" t="e">
        <f t="shared" ref="T133:AB133" si="283">T25/T14</f>
        <v>#DIV/0!</v>
      </c>
      <c r="U133" s="20" t="e">
        <f t="shared" si="283"/>
        <v>#DIV/0!</v>
      </c>
      <c r="V133" s="20" t="e">
        <f t="shared" si="283"/>
        <v>#DIV/0!</v>
      </c>
      <c r="W133" s="20" t="e">
        <f t="shared" si="283"/>
        <v>#DIV/0!</v>
      </c>
      <c r="X133" s="20" t="e">
        <f t="shared" si="283"/>
        <v>#DIV/0!</v>
      </c>
      <c r="Y133" s="20" t="e">
        <f t="shared" si="283"/>
        <v>#DIV/0!</v>
      </c>
      <c r="Z133" s="20" t="e">
        <f t="shared" si="283"/>
        <v>#DIV/0!</v>
      </c>
      <c r="AA133" s="20" t="e">
        <f t="shared" si="283"/>
        <v>#DIV/0!</v>
      </c>
      <c r="AB133" s="20" t="e">
        <f t="shared" si="283"/>
        <v>#DIV/0!</v>
      </c>
      <c r="AC133" s="118" t="e">
        <f t="shared" si="268"/>
        <v>#DIV/0!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 t="e">
        <f>G27/G14</f>
        <v>#DIV/0!</v>
      </c>
      <c r="H134" s="180" t="e">
        <f t="shared" ref="H134:P134" si="284">H27/H14</f>
        <v>#DIV/0!</v>
      </c>
      <c r="I134" s="180" t="e">
        <f t="shared" si="284"/>
        <v>#DIV/0!</v>
      </c>
      <c r="J134" s="180" t="e">
        <f t="shared" si="284"/>
        <v>#DIV/0!</v>
      </c>
      <c r="K134" s="180" t="e">
        <f t="shared" si="284"/>
        <v>#DIV/0!</v>
      </c>
      <c r="L134" s="180" t="e">
        <f t="shared" si="284"/>
        <v>#DIV/0!</v>
      </c>
      <c r="M134" s="180" t="e">
        <f t="shared" si="284"/>
        <v>#DIV/0!</v>
      </c>
      <c r="N134" s="180" t="e">
        <f t="shared" si="284"/>
        <v>#DIV/0!</v>
      </c>
      <c r="O134" s="180" t="e">
        <f t="shared" si="284"/>
        <v>#DIV/0!</v>
      </c>
      <c r="P134" s="180" t="e">
        <f t="shared" si="284"/>
        <v>#DIV/0!</v>
      </c>
      <c r="Q134" s="118" t="e">
        <f t="shared" si="197"/>
        <v>#DIV/0!</v>
      </c>
      <c r="R134" s="128"/>
      <c r="S134" s="20" t="e">
        <f t="shared" ref="S134:AB134" si="285">S27/S14</f>
        <v>#DIV/0!</v>
      </c>
      <c r="T134" s="20" t="e">
        <f t="shared" si="285"/>
        <v>#DIV/0!</v>
      </c>
      <c r="U134" s="20" t="e">
        <f t="shared" si="285"/>
        <v>#DIV/0!</v>
      </c>
      <c r="V134" s="20" t="e">
        <f t="shared" si="285"/>
        <v>#DIV/0!</v>
      </c>
      <c r="W134" s="20" t="e">
        <f t="shared" si="285"/>
        <v>#DIV/0!</v>
      </c>
      <c r="X134" s="20" t="e">
        <f t="shared" si="285"/>
        <v>#DIV/0!</v>
      </c>
      <c r="Y134" s="20" t="e">
        <f t="shared" si="285"/>
        <v>#DIV/0!</v>
      </c>
      <c r="Z134" s="20" t="e">
        <f t="shared" si="285"/>
        <v>#DIV/0!</v>
      </c>
      <c r="AA134" s="20" t="e">
        <f t="shared" si="285"/>
        <v>#DIV/0!</v>
      </c>
      <c r="AB134" s="20" t="e">
        <f t="shared" si="285"/>
        <v>#DIV/0!</v>
      </c>
      <c r="AC134" s="118" t="e">
        <f t="shared" si="268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-1.0040337960122536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5.4768657999651076</v>
      </c>
      <c r="S138" s="133">
        <f>PV($C$1, ($AB$3-$S$3), 0, -AB52)</f>
        <v>0.7631698245853018</v>
      </c>
      <c r="T138" s="133">
        <f>PV($C$1, ($AB$3-$S$3), 0, -AE52)</f>
        <v>4.7136959753798058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86">S139+T139</f>
        <v>116.02192510646083</v>
      </c>
      <c r="S139" s="133">
        <f>PV($C$1, ($AB$3-$S$3), 0, -AB54)</f>
        <v>16.166989564015033</v>
      </c>
      <c r="T139" s="133">
        <f>PV($C$1, ($AB$3-$S$3), 0, -AE54)</f>
        <v>99.854935542445801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86"/>
        <v>93.238163378605975</v>
      </c>
      <c r="S140" s="133">
        <f>PV($C$1, ($AB$3-$S$3), 0, -AB55)</f>
        <v>12.992203093740176</v>
      </c>
      <c r="T140" s="133">
        <f>PV($C$1, ($AB$3-$S$3), 0, -AE55)</f>
        <v>80.245960284865802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86"/>
        <v>143.18717947428777</v>
      </c>
      <c r="S141" s="133">
        <f>PV($C$1, ($AB$3-$S$3), 0, -AB56)</f>
        <v>19.952311893958129</v>
      </c>
      <c r="T141" s="133">
        <f>PV($C$1, ($AB$3-$S$3), 0, -AE56)</f>
        <v>123.23486758032963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86"/>
        <v>21.90746319986043</v>
      </c>
      <c r="S142" s="133">
        <f>PV($C$1, ($AB$3-$S$3), 0, -AB62)</f>
        <v>3.0526792983412072</v>
      </c>
      <c r="T142" s="133">
        <f>PV($C$1, ($AB$3-$S$3), 0, -AE62)</f>
        <v>18.854783901519223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86"/>
        <v>-27.165254367826922</v>
      </c>
      <c r="S144" s="133">
        <f>PV($C$1, ($AB$3-$S$3), 0, -AB58)</f>
        <v>-3.7853223299430954</v>
      </c>
      <c r="T144" s="133">
        <f>PV($C$1, ($AB$3-$S$3), 0, -$AE$58)</f>
        <v>-23.379932037883826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86"/>
        <v>-59.062520786823718</v>
      </c>
      <c r="S145" s="133">
        <f>PV($C$1, ($AB$3-$S$3), 0, -AB59)</f>
        <v>-8.2300233883278935</v>
      </c>
      <c r="T145" s="133">
        <f>PV($C$1, ($AB$3-$S$3), 0, -$AE$59)</f>
        <v>-50.832497398495825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86"/>
        <v>-26.639475251030269</v>
      </c>
      <c r="S146" s="133">
        <f>PV($C$1, ($AB$3-$S$3), 0, -AB60)</f>
        <v>-3.7120580267829055</v>
      </c>
      <c r="T146" s="133">
        <f>PV($C$1, ($AB$3-$S$3), 0, -$AE$60)</f>
        <v>-22.927417224247364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86"/>
        <v>32.423045535793442</v>
      </c>
      <c r="S148" s="133">
        <f>PV($C$1, ($AB$3-$S$3), 0, -AB65)</f>
        <v>4.5179653615449871</v>
      </c>
      <c r="T148" s="133">
        <f>PV($C$1, ($AB$3-$S$3), 0, -AE65)</f>
        <v>27.905080174248454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86"/>
        <v>4.1982665841187075</v>
      </c>
      <c r="S149" s="133">
        <f>PV($C$1, ($AB$3-$S$3), 0, -AB66)</f>
        <v>0.75706446598861943</v>
      </c>
      <c r="T149" s="133">
        <f>PV($C$1, ($AB$3-$S$3), 0, -AE66)</f>
        <v>3.441202118130088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87">S151+T151</f>
        <v>465.33173616720666</v>
      </c>
      <c r="S151" s="133">
        <f>PV($C$1, ($AB$3-$S$3), 0, -AB12)</f>
        <v>64.841307498709114</v>
      </c>
      <c r="T151" s="133">
        <f>PV($C$1, ($AB$3-$S$3), 0, -AE12)</f>
        <v>400.49042866849754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35.684949092577199</v>
      </c>
      <c r="S152" s="140">
        <f>S151/P42</f>
        <v>4.9724929063427235</v>
      </c>
      <c r="T152" s="140">
        <f>T151/P42</f>
        <v>30.712456186234476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88">S155+T155</f>
        <v>0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55" s="133">
        <f>PV($C$1, ($AB$3-$S$3), 0, -AE68)</f>
        <v>0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86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89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89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89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89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22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 t="s">
        <v>392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15</v>
      </c>
      <c r="G167" s="22">
        <v>30</v>
      </c>
      <c r="H167" s="22">
        <v>83</v>
      </c>
      <c r="I167" s="22">
        <v>138</v>
      </c>
      <c r="J167" s="22">
        <v>62</v>
      </c>
      <c r="K167" s="22">
        <v>88</v>
      </c>
      <c r="L167" s="22">
        <v>52</v>
      </c>
      <c r="M167" s="22">
        <v>225</v>
      </c>
      <c r="N167" s="22">
        <v>160</v>
      </c>
      <c r="O167" s="22">
        <v>105</v>
      </c>
      <c r="P167" s="22">
        <v>40</v>
      </c>
      <c r="Q167" s="118">
        <f t="shared" ref="Q167:Q172" si="290">((P167/G167)^(1/($H$2-$H$1) ))-1</f>
        <v>3.24810319761204E-2</v>
      </c>
      <c r="R167" s="31">
        <f>L2-3%</f>
        <v>0.09</v>
      </c>
      <c r="S167" s="119">
        <f t="shared" ref="S167" si="291">P167*(1+$R167)</f>
        <v>43.6</v>
      </c>
      <c r="T167" s="119">
        <f t="shared" ref="T167:AB167" si="292">S167*(1+$R167)</f>
        <v>47.524000000000008</v>
      </c>
      <c r="U167" s="119">
        <f t="shared" si="292"/>
        <v>51.80116000000001</v>
      </c>
      <c r="V167" s="119">
        <f t="shared" si="292"/>
        <v>56.463264400000014</v>
      </c>
      <c r="W167" s="119">
        <f t="shared" si="292"/>
        <v>61.544958196000017</v>
      </c>
      <c r="X167" s="119">
        <f t="shared" si="292"/>
        <v>67.084004433640018</v>
      </c>
      <c r="Y167" s="119">
        <f t="shared" si="292"/>
        <v>73.12156483266763</v>
      </c>
      <c r="Z167" s="119">
        <f t="shared" si="292"/>
        <v>79.702505667607724</v>
      </c>
      <c r="AA167" s="119">
        <f t="shared" si="292"/>
        <v>86.87573117769243</v>
      </c>
      <c r="AB167" s="119">
        <f t="shared" si="292"/>
        <v>94.694546983684759</v>
      </c>
      <c r="AC167" s="138">
        <f t="shared" ref="AC167:AC172" si="293">((AB167/G167)^(1/($AB$3-$H$1) ))-1</f>
        <v>6.2365307044640605E-2</v>
      </c>
      <c r="AD167" s="31">
        <v>0.08</v>
      </c>
      <c r="AE167" s="127">
        <f t="shared" ref="AE167:AE175" si="294">(AB167*(1+AC167))/($C$1-AD167)</f>
        <v>718.57286772696705</v>
      </c>
    </row>
    <row r="168" spans="2:31" x14ac:dyDescent="0.2">
      <c r="B168" s="20" t="s">
        <v>361</v>
      </c>
      <c r="C168" s="25" t="e">
        <f t="shared" ref="C168:P168" si="295">C167/C49</f>
        <v>#DIV/0!</v>
      </c>
      <c r="D168" s="25" t="e">
        <f t="shared" si="295"/>
        <v>#DIV/0!</v>
      </c>
      <c r="E168" s="25" t="e">
        <f t="shared" si="295"/>
        <v>#DIV/0!</v>
      </c>
      <c r="F168" s="25" t="e">
        <f t="shared" si="295"/>
        <v>#DIV/0!</v>
      </c>
      <c r="G168" s="25">
        <f t="shared" si="295"/>
        <v>3.9133333333333331</v>
      </c>
      <c r="H168" s="25">
        <f t="shared" si="295"/>
        <v>4.9970256410256404</v>
      </c>
      <c r="I168" s="25">
        <f t="shared" si="295"/>
        <v>7.5005555555555565</v>
      </c>
      <c r="J168" s="25">
        <f t="shared" si="295"/>
        <v>3.6505970149253728</v>
      </c>
      <c r="K168" s="25">
        <f t="shared" si="295"/>
        <v>9.8078632478632475</v>
      </c>
      <c r="L168" s="25">
        <f t="shared" si="295"/>
        <v>4.7752112676056333</v>
      </c>
      <c r="M168" s="25">
        <f t="shared" si="295"/>
        <v>16.862068965517238</v>
      </c>
      <c r="N168" s="25">
        <f t="shared" si="295"/>
        <v>5.9104815864022662</v>
      </c>
      <c r="O168" s="25">
        <f t="shared" si="295"/>
        <v>7.2444444444444445</v>
      </c>
      <c r="P168" s="25">
        <f t="shared" si="295"/>
        <v>3.8072992700729924</v>
      </c>
      <c r="Q168" s="118">
        <f t="shared" ref="Q168" si="296">((P168/G168)^(1/($H$2-$H$1) ))-1</f>
        <v>-3.0475069998375792E-3</v>
      </c>
      <c r="R168" s="128"/>
      <c r="S168" s="25">
        <f t="shared" ref="S168:AB168" si="297">S167/S49</f>
        <v>3.890583941605839</v>
      </c>
      <c r="T168" s="25">
        <f t="shared" si="297"/>
        <v>3.9756904653284666</v>
      </c>
      <c r="U168" s="25">
        <f t="shared" si="297"/>
        <v>4.0626586942575269</v>
      </c>
      <c r="V168" s="25">
        <f t="shared" si="297"/>
        <v>4.1515293531944106</v>
      </c>
      <c r="W168" s="25">
        <f t="shared" si="297"/>
        <v>4.2423440577955382</v>
      </c>
      <c r="X168" s="25">
        <f t="shared" si="297"/>
        <v>4.3351453340598161</v>
      </c>
      <c r="Y168" s="25">
        <f t="shared" si="297"/>
        <v>4.4299766382423744</v>
      </c>
      <c r="Z168" s="25">
        <f t="shared" si="297"/>
        <v>4.5268823772039264</v>
      </c>
      <c r="AA168" s="25">
        <f t="shared" si="297"/>
        <v>4.6259079292052627</v>
      </c>
      <c r="AB168" s="25">
        <f t="shared" si="297"/>
        <v>4.7270996651566275</v>
      </c>
      <c r="AC168" s="138">
        <f t="shared" ref="AC168" si="298">((AB168/G168)^(1/($AB$3-$H$1) ))-1</f>
        <v>9.992878136470873E-3</v>
      </c>
      <c r="AD168" s="31">
        <v>0.08</v>
      </c>
      <c r="AE168" s="127">
        <f t="shared" ref="AE168" si="299">(AB168*(1+AC168))/($C$1-AD168)</f>
        <v>34.102407114639213</v>
      </c>
    </row>
    <row r="169" spans="2:31" x14ac:dyDescent="0.2">
      <c r="B169" s="20" t="s">
        <v>389</v>
      </c>
      <c r="C169" s="25" t="e">
        <f t="shared" ref="C169:P169" si="300">C167/C52</f>
        <v>#DIV/0!</v>
      </c>
      <c r="D169" s="25" t="e">
        <f t="shared" si="300"/>
        <v>#DIV/0!</v>
      </c>
      <c r="E169" s="25" t="e">
        <f t="shared" si="300"/>
        <v>#DIV/0!</v>
      </c>
      <c r="F169" s="25" t="e">
        <f t="shared" si="300"/>
        <v>#DIV/0!</v>
      </c>
      <c r="G169" s="25">
        <f t="shared" si="300"/>
        <v>8.0045454545454557</v>
      </c>
      <c r="H169" s="25">
        <f t="shared" si="300"/>
        <v>12.6220207253886</v>
      </c>
      <c r="I169" s="25">
        <f t="shared" si="300"/>
        <v>43.318716577540108</v>
      </c>
      <c r="J169" s="25">
        <f t="shared" si="300"/>
        <v>195.672</v>
      </c>
      <c r="K169" s="25">
        <f t="shared" si="300"/>
        <v>44.512024825446076</v>
      </c>
      <c r="L169" s="25">
        <f t="shared" si="300"/>
        <v>12.328727272727273</v>
      </c>
      <c r="M169" s="25">
        <f t="shared" si="300"/>
        <v>66.681818181818187</v>
      </c>
      <c r="N169" s="25">
        <f t="shared" si="300"/>
        <v>25.443902439024388</v>
      </c>
      <c r="O169" s="25">
        <f t="shared" si="300"/>
        <v>39.119999999999997</v>
      </c>
      <c r="P169" s="25">
        <f t="shared" si="300"/>
        <v>-0.94321880650994572</v>
      </c>
      <c r="Q169" s="118">
        <f t="shared" si="290"/>
        <v>-1.7885122043360384</v>
      </c>
      <c r="R169" s="128"/>
      <c r="S169" s="119">
        <f t="shared" ref="S169:AB169" si="301">S167/S52</f>
        <v>17.056319999999999</v>
      </c>
      <c r="T169" s="119">
        <f t="shared" si="301"/>
        <v>17.429427000000004</v>
      </c>
      <c r="U169" s="119">
        <f t="shared" si="301"/>
        <v>17.810695715625002</v>
      </c>
      <c r="V169" s="119">
        <f t="shared" si="301"/>
        <v>18.200304684404298</v>
      </c>
      <c r="W169" s="119">
        <f t="shared" si="301"/>
        <v>18.598436349375643</v>
      </c>
      <c r="X169" s="119">
        <f t="shared" si="301"/>
        <v>19.005277144518235</v>
      </c>
      <c r="Y169" s="119">
        <f t="shared" si="301"/>
        <v>19.421017582054574</v>
      </c>
      <c r="Z169" s="119">
        <f t="shared" si="301"/>
        <v>19.84585234166202</v>
      </c>
      <c r="AA169" s="119">
        <f t="shared" si="301"/>
        <v>20.279980361635872</v>
      </c>
      <c r="AB169" s="119">
        <f t="shared" si="301"/>
        <v>20.723604932046658</v>
      </c>
      <c r="AC169" s="138">
        <f t="shared" si="293"/>
        <v>5.1341026119035682E-2</v>
      </c>
      <c r="AD169" s="31">
        <v>0.08</v>
      </c>
      <c r="AE169" s="127">
        <f t="shared" si="294"/>
        <v>155.62554338673885</v>
      </c>
    </row>
    <row r="170" spans="2:31" x14ac:dyDescent="0.2">
      <c r="B170" s="20" t="s">
        <v>258</v>
      </c>
      <c r="C170" s="25" t="e">
        <f t="shared" ref="C170:P170" si="302">C167/C55</f>
        <v>#DIV/0!</v>
      </c>
      <c r="D170" s="25" t="e">
        <f t="shared" si="302"/>
        <v>#DIV/0!</v>
      </c>
      <c r="E170" s="25" t="e">
        <f t="shared" si="302"/>
        <v>#DIV/0!</v>
      </c>
      <c r="F170" s="25" t="e">
        <f t="shared" si="302"/>
        <v>#DIV/0!</v>
      </c>
      <c r="G170" s="25">
        <f t="shared" si="302"/>
        <v>1.257857142857143</v>
      </c>
      <c r="H170" s="25">
        <f t="shared" si="302"/>
        <v>2.8491812865497077</v>
      </c>
      <c r="I170" s="25">
        <f t="shared" si="302"/>
        <v>4.4754696132596683</v>
      </c>
      <c r="J170" s="25">
        <f t="shared" si="302"/>
        <v>1.5628753993610223</v>
      </c>
      <c r="K170" s="25">
        <f t="shared" si="302"/>
        <v>1.304</v>
      </c>
      <c r="L170" s="25">
        <f t="shared" si="302"/>
        <v>0.72833512352309349</v>
      </c>
      <c r="M170" s="25">
        <f t="shared" si="302"/>
        <v>3.0030706243602867</v>
      </c>
      <c r="N170" s="25">
        <f t="shared" si="302"/>
        <v>1.9851569933396764</v>
      </c>
      <c r="O170" s="25">
        <f t="shared" si="302"/>
        <v>1.2619354838709675</v>
      </c>
      <c r="P170" s="25">
        <f t="shared" si="302"/>
        <v>0.9804511278195488</v>
      </c>
      <c r="Q170" s="118">
        <f t="shared" si="290"/>
        <v>-2.7303885351753543E-2</v>
      </c>
      <c r="R170" s="128"/>
      <c r="S170" s="119">
        <f t="shared" ref="S170:AB170" si="303">S167/S55</f>
        <v>1.0018984962406015</v>
      </c>
      <c r="T170" s="119">
        <f t="shared" si="303"/>
        <v>1.0238150258458649</v>
      </c>
      <c r="U170" s="119">
        <f t="shared" si="303"/>
        <v>1.0462109795362431</v>
      </c>
      <c r="V170" s="119">
        <f t="shared" si="303"/>
        <v>1.0690968447135984</v>
      </c>
      <c r="W170" s="119">
        <f t="shared" si="303"/>
        <v>1.0924833381917085</v>
      </c>
      <c r="X170" s="119">
        <f t="shared" si="303"/>
        <v>1.116381411214652</v>
      </c>
      <c r="Y170" s="119">
        <f t="shared" si="303"/>
        <v>1.1408022545849725</v>
      </c>
      <c r="Z170" s="119">
        <f t="shared" si="303"/>
        <v>1.1657573039040185</v>
      </c>
      <c r="AA170" s="119">
        <f t="shared" si="303"/>
        <v>1.1912582449269191</v>
      </c>
      <c r="AB170" s="119">
        <f t="shared" si="303"/>
        <v>1.2173170190346958</v>
      </c>
      <c r="AC170" s="138">
        <f t="shared" si="293"/>
        <v>-1.7227417732414985E-3</v>
      </c>
      <c r="AD170" s="31">
        <v>0.08</v>
      </c>
      <c r="AE170" s="127">
        <f t="shared" si="294"/>
        <v>8.6801421153909057</v>
      </c>
    </row>
    <row r="171" spans="2:31" x14ac:dyDescent="0.2">
      <c r="B171" s="20" t="s">
        <v>259</v>
      </c>
      <c r="C171" s="25" t="e">
        <f t="shared" ref="C171:P171" si="304">C167/C64</f>
        <v>#DIV/0!</v>
      </c>
      <c r="D171" s="25" t="e">
        <f t="shared" si="304"/>
        <v>#DIV/0!</v>
      </c>
      <c r="E171" s="25" t="e">
        <f t="shared" si="304"/>
        <v>#DIV/0!</v>
      </c>
      <c r="F171" s="25" t="e">
        <f t="shared" si="304"/>
        <v>#DIV/0!</v>
      </c>
      <c r="G171" s="25">
        <f t="shared" si="304"/>
        <v>1.9351648351648352</v>
      </c>
      <c r="H171" s="25">
        <f t="shared" si="304"/>
        <v>4.9715306122448988</v>
      </c>
      <c r="I171" s="25">
        <f t="shared" si="304"/>
        <v>10.800800000000001</v>
      </c>
      <c r="J171" s="25">
        <f t="shared" si="304"/>
        <v>2.6878021978021978</v>
      </c>
      <c r="K171" s="25">
        <f t="shared" si="304"/>
        <v>1.5676502732240436</v>
      </c>
      <c r="L171" s="25">
        <f t="shared" si="304"/>
        <v>2.3142662116040955</v>
      </c>
      <c r="M171" s="25">
        <f t="shared" si="304"/>
        <v>34.116279069767437</v>
      </c>
      <c r="N171" s="25">
        <f t="shared" si="304"/>
        <v>12.879012345679012</v>
      </c>
      <c r="O171" s="25">
        <f t="shared" si="304"/>
        <v>11.505882352941175</v>
      </c>
      <c r="P171" s="25">
        <f t="shared" si="304"/>
        <v>3.3651612903225807</v>
      </c>
      <c r="Q171" s="118">
        <f t="shared" si="290"/>
        <v>6.3404901802629254E-2</v>
      </c>
      <c r="R171" s="128"/>
      <c r="S171" s="119">
        <f t="shared" ref="S171:AB171" si="305">S167/S64</f>
        <v>3.4387741935483871</v>
      </c>
      <c r="T171" s="119">
        <f t="shared" si="305"/>
        <v>3.5139973790322587</v>
      </c>
      <c r="U171" s="119">
        <f t="shared" si="305"/>
        <v>3.590866071698589</v>
      </c>
      <c r="V171" s="119">
        <f t="shared" si="305"/>
        <v>3.6694162670169956</v>
      </c>
      <c r="W171" s="119">
        <f t="shared" si="305"/>
        <v>3.7496847478579927</v>
      </c>
      <c r="X171" s="119">
        <f t="shared" si="305"/>
        <v>3.8317091017173861</v>
      </c>
      <c r="Y171" s="119">
        <f t="shared" si="305"/>
        <v>3.9155277383174543</v>
      </c>
      <c r="Z171" s="119">
        <f t="shared" si="305"/>
        <v>4.0011799075931487</v>
      </c>
      <c r="AA171" s="119">
        <f t="shared" si="305"/>
        <v>4.0887057180717479</v>
      </c>
      <c r="AB171" s="119">
        <f t="shared" si="305"/>
        <v>4.1781461556545683</v>
      </c>
      <c r="AC171" s="138">
        <f t="shared" si="293"/>
        <v>4.1340908395825604E-2</v>
      </c>
      <c r="AD171" s="31">
        <v>0.08</v>
      </c>
      <c r="AE171" s="127">
        <f t="shared" si="294"/>
        <v>31.077675093856101</v>
      </c>
    </row>
    <row r="172" spans="2:31" x14ac:dyDescent="0.2">
      <c r="B172" s="20" t="s">
        <v>260</v>
      </c>
      <c r="C172" s="25" t="e">
        <f t="shared" ref="C172:P172" si="306">C167/C66</f>
        <v>#DIV/0!</v>
      </c>
      <c r="D172" s="25" t="e">
        <f t="shared" si="306"/>
        <v>#DIV/0!</v>
      </c>
      <c r="E172" s="25" t="e">
        <f t="shared" si="306"/>
        <v>#DIV/0!</v>
      </c>
      <c r="F172" s="25" t="e">
        <f t="shared" si="306"/>
        <v>#DIV/0!</v>
      </c>
      <c r="G172" s="25">
        <f t="shared" si="306"/>
        <v>1.7787878787878788</v>
      </c>
      <c r="H172" s="25">
        <f t="shared" si="306"/>
        <v>4.164188034188034</v>
      </c>
      <c r="I172" s="25">
        <f t="shared" si="306"/>
        <v>11.096712328767122</v>
      </c>
      <c r="J172" s="25">
        <f t="shared" si="306"/>
        <v>3.6235555555555554</v>
      </c>
      <c r="K172" s="25">
        <f t="shared" si="306"/>
        <v>7.8597260273972598</v>
      </c>
      <c r="L172" s="25">
        <f t="shared" si="306"/>
        <v>14.126666666666667</v>
      </c>
      <c r="M172" s="25">
        <f t="shared" si="306"/>
        <v>35.349397590361441</v>
      </c>
      <c r="N172" s="25">
        <f t="shared" si="306"/>
        <v>32.098461538461535</v>
      </c>
      <c r="O172" s="25">
        <f t="shared" si="306"/>
        <v>314.75862068965517</v>
      </c>
      <c r="P172" s="25">
        <f t="shared" si="306"/>
        <v>16.825806451612902</v>
      </c>
      <c r="Q172" s="118">
        <f t="shared" si="290"/>
        <v>0.28359486111449828</v>
      </c>
      <c r="R172" s="128"/>
      <c r="S172" s="119">
        <f t="shared" ref="S172:AB172" si="307">S167/S66</f>
        <v>17.193870967741933</v>
      </c>
      <c r="T172" s="119">
        <f t="shared" si="307"/>
        <v>17.569986895161293</v>
      </c>
      <c r="U172" s="119">
        <f t="shared" si="307"/>
        <v>17.954330358492943</v>
      </c>
      <c r="V172" s="119">
        <f t="shared" si="307"/>
        <v>18.347081335084976</v>
      </c>
      <c r="W172" s="119">
        <f t="shared" si="307"/>
        <v>18.748423739289962</v>
      </c>
      <c r="X172" s="119">
        <f t="shared" si="307"/>
        <v>19.158545508586929</v>
      </c>
      <c r="Y172" s="119">
        <f t="shared" si="307"/>
        <v>19.577638691587271</v>
      </c>
      <c r="Z172" s="119">
        <f t="shared" si="307"/>
        <v>20.005899537965742</v>
      </c>
      <c r="AA172" s="119">
        <f t="shared" si="307"/>
        <v>20.443528590358742</v>
      </c>
      <c r="AB172" s="119">
        <f t="shared" si="307"/>
        <v>20.89073077827284</v>
      </c>
      <c r="AC172" s="138">
        <f t="shared" si="293"/>
        <v>0.13843126471102507</v>
      </c>
      <c r="AD172" s="31">
        <v>0.08</v>
      </c>
      <c r="AE172" s="127">
        <f t="shared" si="294"/>
        <v>169.87615043319059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08">G167/G60</f>
        <v>0.9751370507780055</v>
      </c>
      <c r="H173" s="182">
        <f t="shared" si="308"/>
        <v>2.5508376963350785</v>
      </c>
      <c r="I173" s="182">
        <f t="shared" si="308"/>
        <v>3.506753246753247</v>
      </c>
      <c r="J173" s="182">
        <f t="shared" si="308"/>
        <v>2.1268695652173912</v>
      </c>
      <c r="K173" s="182">
        <f t="shared" si="308"/>
        <v>1.2879012345679013</v>
      </c>
      <c r="L173" s="182">
        <f t="shared" si="308"/>
        <v>1.0729113924050631</v>
      </c>
      <c r="M173" s="182">
        <f t="shared" si="308"/>
        <v>8.420388015153252</v>
      </c>
      <c r="N173" s="182">
        <f t="shared" si="308"/>
        <v>3.2347286821705423</v>
      </c>
      <c r="O173" s="182">
        <f t="shared" si="308"/>
        <v>2.1562204724409448</v>
      </c>
      <c r="P173" s="182">
        <f t="shared" si="308"/>
        <v>-3.4315789473684211</v>
      </c>
      <c r="Q173" s="118">
        <f t="shared" ref="Q173:Q175" si="309">((P173/G173)^(1/($H$2-$H$1) ))-1</f>
        <v>-2.1500434786612903</v>
      </c>
      <c r="R173" s="128"/>
      <c r="S173" s="135">
        <f t="shared" ref="S173:AB173" si="310">S167/S60</f>
        <v>-3.5066447368421052</v>
      </c>
      <c r="T173" s="135">
        <f t="shared" si="310"/>
        <v>-3.5833525904605272</v>
      </c>
      <c r="U173" s="135">
        <f t="shared" si="310"/>
        <v>-3.6617384283768515</v>
      </c>
      <c r="V173" s="135">
        <f t="shared" si="310"/>
        <v>-3.7418389564975971</v>
      </c>
      <c r="W173" s="135">
        <f t="shared" si="310"/>
        <v>-3.8236916836709773</v>
      </c>
      <c r="X173" s="135">
        <f t="shared" si="310"/>
        <v>-3.9073349392512817</v>
      </c>
      <c r="Y173" s="135">
        <f t="shared" si="310"/>
        <v>-3.9928078910474034</v>
      </c>
      <c r="Z173" s="135">
        <f t="shared" si="310"/>
        <v>-4.0801505636640671</v>
      </c>
      <c r="AA173" s="135">
        <f t="shared" si="310"/>
        <v>-4.1694038572442196</v>
      </c>
      <c r="AB173" s="135">
        <f t="shared" si="310"/>
        <v>-4.2606095666214374</v>
      </c>
      <c r="AC173" s="138">
        <f t="shared" ref="AC173" si="311">((AB173/G173)^(1/($AB$3-$H$1) ))-1</f>
        <v>-2.0807010742476395</v>
      </c>
      <c r="AD173" s="31">
        <v>0.08</v>
      </c>
      <c r="AE173" s="127">
        <f t="shared" si="294"/>
        <v>32.888895254268263</v>
      </c>
    </row>
    <row r="174" spans="2:31" x14ac:dyDescent="0.2">
      <c r="B174" s="20" t="s">
        <v>371</v>
      </c>
      <c r="C174" s="161" t="e">
        <f t="shared" ref="C174:P174" si="312">C52/C167</f>
        <v>#DIV/0!</v>
      </c>
      <c r="D174" s="161" t="e">
        <f t="shared" si="312"/>
        <v>#DIV/0!</v>
      </c>
      <c r="E174" s="161" t="e">
        <f t="shared" si="312"/>
        <v>#DIV/0!</v>
      </c>
      <c r="F174" s="161">
        <f t="shared" si="312"/>
        <v>0</v>
      </c>
      <c r="G174" s="161">
        <f t="shared" si="312"/>
        <v>0.1249290176036343</v>
      </c>
      <c r="H174" s="161">
        <f t="shared" si="312"/>
        <v>7.9226616859259871E-2</v>
      </c>
      <c r="I174" s="161">
        <f t="shared" si="312"/>
        <v>2.30847097745846E-2</v>
      </c>
      <c r="J174" s="161">
        <f t="shared" si="312"/>
        <v>5.1105932376630282E-3</v>
      </c>
      <c r="K174" s="161">
        <f t="shared" si="312"/>
        <v>2.246583937534858E-2</v>
      </c>
      <c r="L174" s="161">
        <f t="shared" si="312"/>
        <v>8.11113732892874E-2</v>
      </c>
      <c r="M174" s="161">
        <f t="shared" si="312"/>
        <v>1.4996591683708248E-2</v>
      </c>
      <c r="N174" s="161">
        <f t="shared" si="312"/>
        <v>3.9302147239263806E-2</v>
      </c>
      <c r="O174" s="161">
        <f t="shared" si="312"/>
        <v>2.5562372188139063E-2</v>
      </c>
      <c r="P174" s="161">
        <f t="shared" si="312"/>
        <v>-1.0601993865030674</v>
      </c>
      <c r="Q174" s="118">
        <f t="shared" si="309"/>
        <v>-2.2682111887437983</v>
      </c>
      <c r="R174" s="128"/>
      <c r="S174" s="161">
        <f t="shared" ref="S174:AB174" si="313">S52/S167</f>
        <v>5.8629294009493252E-2</v>
      </c>
      <c r="T174" s="161">
        <f t="shared" si="313"/>
        <v>5.7374232669840486E-2</v>
      </c>
      <c r="U174" s="161">
        <f t="shared" si="313"/>
        <v>5.6146038086694057E-2</v>
      </c>
      <c r="V174" s="161">
        <f t="shared" si="313"/>
        <v>5.4944135130709781E-2</v>
      </c>
      <c r="W174" s="161">
        <f t="shared" si="313"/>
        <v>5.3767960984180824E-2</v>
      </c>
      <c r="X174" s="161">
        <f t="shared" si="313"/>
        <v>5.2616964877485822E-2</v>
      </c>
      <c r="Y174" s="161">
        <f t="shared" si="313"/>
        <v>5.1490607831178779E-2</v>
      </c>
      <c r="Z174" s="161">
        <f t="shared" si="313"/>
        <v>5.0388362403600027E-2</v>
      </c>
      <c r="AA174" s="161">
        <f t="shared" si="313"/>
        <v>4.9309712443889937E-2</v>
      </c>
      <c r="AB174" s="161">
        <f t="shared" si="313"/>
        <v>4.8254152850289847E-2</v>
      </c>
      <c r="AC174" s="138">
        <f t="shared" ref="AC174:AC175" si="314">((AB174/G174)^(1/($AB$3-$H$1) ))-1</f>
        <v>-4.8833846338669162E-2</v>
      </c>
      <c r="AD174" s="31">
        <v>0.08</v>
      </c>
      <c r="AE174" s="127">
        <f t="shared" si="294"/>
        <v>0.32784083546282949</v>
      </c>
    </row>
    <row r="175" spans="2:31" x14ac:dyDescent="0.2">
      <c r="B175" s="20" t="s">
        <v>320</v>
      </c>
      <c r="C175" s="152" t="e">
        <f t="shared" ref="C175:P175" si="315">C43/C167</f>
        <v>#DIV/0!</v>
      </c>
      <c r="D175" s="152" t="e">
        <f t="shared" si="315"/>
        <v>#DIV/0!</v>
      </c>
      <c r="E175" s="152" t="e">
        <f t="shared" si="315"/>
        <v>#DIV/0!</v>
      </c>
      <c r="F175" s="152">
        <f t="shared" si="315"/>
        <v>0</v>
      </c>
      <c r="G175" s="152">
        <f t="shared" si="315"/>
        <v>3.3333333333333333E-2</v>
      </c>
      <c r="H175" s="152">
        <f t="shared" si="315"/>
        <v>1.2048192771084338E-2</v>
      </c>
      <c r="I175" s="152">
        <f t="shared" si="315"/>
        <v>7.246376811594203E-3</v>
      </c>
      <c r="J175" s="152">
        <f t="shared" si="315"/>
        <v>0</v>
      </c>
      <c r="K175" s="152">
        <f t="shared" si="315"/>
        <v>1.1363636363636364E-2</v>
      </c>
      <c r="L175" s="152">
        <f t="shared" si="315"/>
        <v>0</v>
      </c>
      <c r="M175" s="152">
        <f t="shared" si="315"/>
        <v>0</v>
      </c>
      <c r="N175" s="152">
        <f t="shared" si="315"/>
        <v>0</v>
      </c>
      <c r="O175" s="152">
        <f t="shared" si="315"/>
        <v>0</v>
      </c>
      <c r="P175" s="152">
        <f t="shared" si="315"/>
        <v>0</v>
      </c>
      <c r="Q175" s="118">
        <f t="shared" si="309"/>
        <v>-1</v>
      </c>
      <c r="R175" s="128"/>
      <c r="S175" s="152">
        <f t="shared" ref="S175:AB175" si="316">S43/S167</f>
        <v>0</v>
      </c>
      <c r="T175" s="152">
        <f t="shared" si="316"/>
        <v>0</v>
      </c>
      <c r="U175" s="152">
        <f t="shared" si="316"/>
        <v>0</v>
      </c>
      <c r="V175" s="152">
        <f t="shared" si="316"/>
        <v>0</v>
      </c>
      <c r="W175" s="152">
        <f t="shared" si="316"/>
        <v>0</v>
      </c>
      <c r="X175" s="152">
        <f t="shared" si="316"/>
        <v>0</v>
      </c>
      <c r="Y175" s="152">
        <f t="shared" si="316"/>
        <v>0</v>
      </c>
      <c r="Z175" s="152">
        <f t="shared" si="316"/>
        <v>0</v>
      </c>
      <c r="AA175" s="152">
        <f t="shared" si="316"/>
        <v>0</v>
      </c>
      <c r="AB175" s="152">
        <f t="shared" si="316"/>
        <v>0</v>
      </c>
      <c r="AC175" s="138">
        <f t="shared" si="314"/>
        <v>-1</v>
      </c>
      <c r="AD175" s="31">
        <v>0.08</v>
      </c>
      <c r="AE175" s="127">
        <f t="shared" si="294"/>
        <v>0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7" t="s">
        <v>351</v>
      </c>
      <c r="L178" s="19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1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1.6659868812757566</v>
      </c>
      <c r="N180" s="20"/>
      <c r="O180" s="20"/>
      <c r="P180" s="128">
        <f>(P167-R146)/P167</f>
        <v>1.6659868812757566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-1.9005481276615206</v>
      </c>
      <c r="N181" s="20"/>
      <c r="O181" s="20"/>
      <c r="P181" s="128">
        <f>(P167-R139)/P167</f>
        <v>-1.9005481276615206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0.10787627268557003</v>
      </c>
      <c r="N182" s="20"/>
      <c r="O182" s="20"/>
      <c r="P182" s="128">
        <f>(P167-R152)/P167</f>
        <v>0.10787627268557003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7.3034471650291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0.13692164499912771</v>
      </c>
      <c r="Q185" s="20"/>
      <c r="R185" s="20"/>
      <c r="S185" s="185">
        <f>P167-S186</f>
        <v>37.9</v>
      </c>
      <c r="T185" s="185">
        <f>S185-T186</f>
        <v>35.695</v>
      </c>
      <c r="U185" s="185">
        <f t="shared" ref="U185:W185" si="317">T185-U186</f>
        <v>33.379750000000001</v>
      </c>
      <c r="V185" s="185">
        <f t="shared" si="317"/>
        <v>30.9487375</v>
      </c>
      <c r="W185" s="185">
        <f t="shared" si="317"/>
        <v>28.396174375000001</v>
      </c>
      <c r="X185" s="185">
        <f>W185-X186</f>
        <v>25.715983093750001</v>
      </c>
      <c r="Y185" s="185">
        <f t="shared" ref="Y185:AB185" si="318">X185-Y186</f>
        <v>22.901782248437499</v>
      </c>
      <c r="Z185" s="185">
        <f t="shared" si="318"/>
        <v>19.946871360859372</v>
      </c>
      <c r="AA185" s="185">
        <f t="shared" si="318"/>
        <v>16.844214928902339</v>
      </c>
      <c r="AB185" s="185">
        <f t="shared" si="318"/>
        <v>13.586425675347455</v>
      </c>
      <c r="AC185" s="185">
        <f t="shared" ref="AC185" si="319">AB185-AC186</f>
        <v>10.165746959114827</v>
      </c>
      <c r="AD185" s="185">
        <f t="shared" ref="AD185" si="320">AC185-AD186</f>
        <v>6.5740343070705674</v>
      </c>
      <c r="AE185" s="185">
        <f t="shared" ref="AE185" si="321">AD185-AE186</f>
        <v>2.802736022424094</v>
      </c>
      <c r="AF185" s="185">
        <f t="shared" ref="AF185" si="322">AE185-AF186</f>
        <v>-1.1571271764547033</v>
      </c>
      <c r="AG185" s="185">
        <f t="shared" ref="AG185" si="323">AF185-AG186</f>
        <v>-5.3149835352774408</v>
      </c>
      <c r="AH185" s="185">
        <f t="shared" ref="AH185" si="324">AG185-AH186</f>
        <v>-9.6807327120413156</v>
      </c>
      <c r="AI185" s="185">
        <f t="shared" ref="AI185" si="325">AH185-AI186</f>
        <v>-14.264769347643384</v>
      </c>
      <c r="AJ185" s="185">
        <f t="shared" ref="AJ185" si="326">AI185-AJ186</f>
        <v>-19.078007815025558</v>
      </c>
      <c r="AK185" s="185">
        <f t="shared" ref="AK185" si="327">AJ185-AK186</f>
        <v>-24.131908205776838</v>
      </c>
      <c r="AL185" s="185">
        <f t="shared" ref="AL185" si="328">AK185-AL186</f>
        <v>-29.438503616065685</v>
      </c>
      <c r="AM185" s="185">
        <f t="shared" ref="AM185" si="329">AL185-AM186</f>
        <v>-35.010428796868972</v>
      </c>
      <c r="AN185" s="185">
        <f t="shared" ref="AN185" si="330">AM185-AN186</f>
        <v>-40.860950236712426</v>
      </c>
      <c r="AO185" s="185">
        <f t="shared" ref="AO185" si="331">AN185-AO186</f>
        <v>-47.003997748548052</v>
      </c>
      <c r="AP185" s="185">
        <f t="shared" ref="AP185" si="332">AO185-AP186</f>
        <v>-53.454197635975461</v>
      </c>
      <c r="AQ185" s="185">
        <f t="shared" ref="AQ185" si="333">AP185-AQ186</f>
        <v>-60.226907517774237</v>
      </c>
      <c r="AR185" s="185">
        <f t="shared" ref="AR185" si="334">AQ185-AR186</f>
        <v>-67.338252893662954</v>
      </c>
      <c r="AS185" s="185">
        <f t="shared" ref="AS185" si="335">AR185-AS186</f>
        <v>-74.805165538346102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208">
        <v>16</v>
      </c>
      <c r="N186" s="20"/>
      <c r="O186" s="20"/>
      <c r="P186" s="181">
        <f>P167/Q137</f>
        <v>-39.839296405030396</v>
      </c>
      <c r="Q186" s="20"/>
      <c r="R186" s="207">
        <v>2</v>
      </c>
      <c r="S186" s="186">
        <f>R186*(1+$K$186)</f>
        <v>2.1</v>
      </c>
      <c r="T186" s="186">
        <f>S186*(1+$K$186)</f>
        <v>2.2050000000000001</v>
      </c>
      <c r="U186" s="186">
        <f t="shared" ref="U186:AB186" si="336">T186*(1+$K$186)</f>
        <v>2.3152500000000003</v>
      </c>
      <c r="V186" s="186">
        <f t="shared" si="336"/>
        <v>2.4310125000000005</v>
      </c>
      <c r="W186" s="186">
        <f t="shared" si="336"/>
        <v>2.5525631250000007</v>
      </c>
      <c r="X186" s="186">
        <f t="shared" si="336"/>
        <v>2.6801912812500008</v>
      </c>
      <c r="Y186" s="186">
        <f t="shared" si="336"/>
        <v>2.8142008453125009</v>
      </c>
      <c r="Z186" s="186">
        <f t="shared" si="336"/>
        <v>2.954910887578126</v>
      </c>
      <c r="AA186" s="186">
        <f t="shared" si="336"/>
        <v>3.1026564319570324</v>
      </c>
      <c r="AB186" s="186">
        <f t="shared" si="336"/>
        <v>3.257789253554884</v>
      </c>
      <c r="AC186" s="186">
        <f t="shared" ref="AC186" si="337">AB186*(1+$K$186)</f>
        <v>3.4206787162326284</v>
      </c>
      <c r="AD186" s="186">
        <f t="shared" ref="AD186" si="338">AC186*(1+$K$186)</f>
        <v>3.5917126520442602</v>
      </c>
      <c r="AE186" s="186">
        <f t="shared" ref="AE186" si="339">AD186*(1+$K$186)</f>
        <v>3.7712982846464733</v>
      </c>
      <c r="AF186" s="186">
        <f t="shared" ref="AF186" si="340">AE186*(1+$K$186)</f>
        <v>3.9598631988787973</v>
      </c>
      <c r="AG186" s="186">
        <f t="shared" ref="AG186" si="341">AF186*(1+$K$186)</f>
        <v>4.1578563588227375</v>
      </c>
      <c r="AH186" s="186">
        <f t="shared" ref="AH186" si="342">AG186*(1+$K$186)</f>
        <v>4.3657491767638748</v>
      </c>
      <c r="AI186" s="186">
        <f t="shared" ref="AI186" si="343">AH186*(1+$K$186)</f>
        <v>4.584036635602069</v>
      </c>
      <c r="AJ186" s="186">
        <f t="shared" ref="AJ186" si="344">AI186*(1+$K$186)</f>
        <v>4.8132384673821722</v>
      </c>
      <c r="AK186" s="186">
        <f t="shared" ref="AK186" si="345">AJ186*(1+$K$186)</f>
        <v>5.0539003907512807</v>
      </c>
      <c r="AL186" s="186">
        <f t="shared" ref="AL186" si="346">AK186*(1+$K$186)</f>
        <v>5.3065954102888453</v>
      </c>
      <c r="AM186" s="186">
        <f t="shared" ref="AM186" si="347">AL186*(1+$K$186)</f>
        <v>5.5719251808032881</v>
      </c>
      <c r="AN186" s="186">
        <f t="shared" ref="AN186" si="348">AM186*(1+$K$186)</f>
        <v>5.8505214398434529</v>
      </c>
      <c r="AO186" s="186">
        <f t="shared" ref="AO186" si="349">AN186*(1+$K$186)</f>
        <v>6.1430475118356256</v>
      </c>
      <c r="AP186" s="186">
        <f t="shared" ref="AP186" si="350">AO186*(1+$K$186)</f>
        <v>6.4501998874274076</v>
      </c>
      <c r="AQ186" s="186">
        <f t="shared" ref="AQ186" si="351">AP186*(1+$K$186)</f>
        <v>6.7727098817987779</v>
      </c>
      <c r="AR186" s="186">
        <f t="shared" ref="AR186" si="352">AQ186*(1+$K$186)</f>
        <v>7.1113453758887166</v>
      </c>
      <c r="AS186" s="186">
        <f t="shared" ref="AS186" si="353">AR186*(1+$K$186)</f>
        <v>7.4669126446831529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208">
        <v>11</v>
      </c>
      <c r="N187" s="20"/>
      <c r="O187" s="20"/>
      <c r="P187" s="181">
        <f>P167/P52</f>
        <v>-0.94321880650994572</v>
      </c>
      <c r="Q187" s="20"/>
      <c r="R187" s="207">
        <v>3</v>
      </c>
      <c r="S187" s="186">
        <f>R187*(1+$K$187)</f>
        <v>3.1500000000000004</v>
      </c>
      <c r="T187" s="186">
        <f>S187*(1+$K$187)</f>
        <v>3.3075000000000006</v>
      </c>
      <c r="U187" s="186">
        <f t="shared" ref="U187:AB187" si="354">T187*(1+$K$187)</f>
        <v>3.4728750000000006</v>
      </c>
      <c r="V187" s="186">
        <f t="shared" si="354"/>
        <v>3.6465187500000007</v>
      </c>
      <c r="W187" s="186">
        <f t="shared" si="354"/>
        <v>3.8288446875000011</v>
      </c>
      <c r="X187" s="186">
        <f t="shared" si="354"/>
        <v>4.0202869218750017</v>
      </c>
      <c r="Y187" s="186">
        <f t="shared" si="354"/>
        <v>4.2213012679687516</v>
      </c>
      <c r="Z187" s="186">
        <f t="shared" si="354"/>
        <v>4.4323663313671897</v>
      </c>
      <c r="AA187" s="186">
        <f t="shared" si="354"/>
        <v>4.6539846479355491</v>
      </c>
      <c r="AB187" s="186">
        <f t="shared" si="354"/>
        <v>4.8866838803323267</v>
      </c>
      <c r="AC187" s="186">
        <f t="shared" ref="AC187" si="355">AB187*(1+$K$187)</f>
        <v>5.1310180743489431</v>
      </c>
      <c r="AD187" s="186">
        <f t="shared" ref="AD187" si="356">AC187*(1+$K$187)</f>
        <v>5.3875689780663905</v>
      </c>
      <c r="AE187" s="186">
        <f t="shared" ref="AE187" si="357">AD187*(1+$K$187)</f>
        <v>5.65694742696971</v>
      </c>
      <c r="AF187" s="186">
        <f t="shared" ref="AF187" si="358">AE187*(1+$K$187)</f>
        <v>5.9397947983181956</v>
      </c>
      <c r="AG187" s="186">
        <f t="shared" ref="AG187" si="359">AF187*(1+$K$187)</f>
        <v>6.2367845382341054</v>
      </c>
      <c r="AH187" s="186">
        <f t="shared" ref="AH187" si="360">AG187*(1+$K$187)</f>
        <v>6.5486237651458108</v>
      </c>
      <c r="AI187" s="186">
        <f t="shared" ref="AI187" si="361">AH187*(1+$K$187)</f>
        <v>6.8760549534031012</v>
      </c>
      <c r="AJ187" s="186">
        <f t="shared" ref="AJ187" si="362">AI187*(1+$K$187)</f>
        <v>7.2198577010732565</v>
      </c>
      <c r="AK187" s="186">
        <f t="shared" ref="AK187" si="363">AJ187*(1+$K$187)</f>
        <v>7.5808505861269193</v>
      </c>
      <c r="AL187" s="186">
        <f t="shared" ref="AL187" si="364">AK187*(1+$K$187)</f>
        <v>7.9598931154332657</v>
      </c>
      <c r="AM187" s="186">
        <f t="shared" ref="AM187" si="365">AL187*(1+$K$187)</f>
        <v>8.3578877712049291</v>
      </c>
      <c r="AN187" s="186">
        <f t="shared" ref="AN187" si="366">AM187*(1+$K$187)</f>
        <v>8.7757821597651766</v>
      </c>
      <c r="AO187" s="186">
        <f t="shared" ref="AO187" si="367">AN187*(1+$K$187)</f>
        <v>9.2145712677534366</v>
      </c>
      <c r="AP187" s="186">
        <f t="shared" ref="AP187" si="368">AO187*(1+$K$187)</f>
        <v>9.6752998311411087</v>
      </c>
      <c r="AQ187" s="186">
        <f t="shared" ref="AQ187" si="369">AP187*(1+$K$187)</f>
        <v>10.159064822698165</v>
      </c>
      <c r="AR187" s="186">
        <f t="shared" ref="AR187" si="370">AQ187*(1+$K$187)</f>
        <v>10.667018063833073</v>
      </c>
      <c r="AS187" s="186">
        <f t="shared" ref="AS187" si="371">AR187*(1+$K$187)</f>
        <v>11.200368967024726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36.85</v>
      </c>
      <c r="T188" s="185">
        <f>S188-T187</f>
        <v>33.542500000000004</v>
      </c>
      <c r="U188" s="185">
        <f t="shared" ref="U188:Z188" si="372">T188-U187</f>
        <v>30.069625000000002</v>
      </c>
      <c r="V188" s="185">
        <f t="shared" si="372"/>
        <v>26.42310625</v>
      </c>
      <c r="W188" s="185">
        <f t="shared" si="372"/>
        <v>22.594261562499998</v>
      </c>
      <c r="X188" s="185">
        <f t="shared" si="372"/>
        <v>18.573974640624996</v>
      </c>
      <c r="Y188" s="185">
        <f t="shared" si="372"/>
        <v>14.352673372656245</v>
      </c>
      <c r="Z188" s="185">
        <f t="shared" si="372"/>
        <v>9.9203070412890551</v>
      </c>
      <c r="AA188" s="185">
        <f>Z188-AA187</f>
        <v>5.2663223933535059</v>
      </c>
      <c r="AB188" s="185">
        <f t="shared" ref="AB188" si="373">AA188-AB187</f>
        <v>0.37963851302117924</v>
      </c>
      <c r="AC188" s="185">
        <f t="shared" ref="AC188" si="374">AB188-AC187</f>
        <v>-4.7513795613277638</v>
      </c>
      <c r="AD188" s="185">
        <f t="shared" ref="AD188" si="375">AC188-AD187</f>
        <v>-10.138948539394153</v>
      </c>
      <c r="AE188" s="185">
        <f t="shared" ref="AE188" si="376">AD188-AE187</f>
        <v>-15.795895966363863</v>
      </c>
      <c r="AF188" s="185">
        <f t="shared" ref="AF188" si="377">AE188-AF187</f>
        <v>-21.735690764682058</v>
      </c>
      <c r="AG188" s="185">
        <f t="shared" ref="AG188" si="378">AF188-AG187</f>
        <v>-27.972475302916163</v>
      </c>
      <c r="AH188" s="185">
        <f t="shared" ref="AH188" si="379">AG188-AH187</f>
        <v>-34.521099068061972</v>
      </c>
      <c r="AI188" s="185">
        <f t="shared" ref="AI188" si="380">AH188-AI187</f>
        <v>-41.39715402146507</v>
      </c>
      <c r="AJ188" s="185">
        <f t="shared" ref="AJ188" si="381">AI188-AJ187</f>
        <v>-48.617011722538329</v>
      </c>
      <c r="AK188" s="185">
        <f t="shared" ref="AK188" si="382">AJ188-AK187</f>
        <v>-56.19786230866525</v>
      </c>
      <c r="AL188" s="185">
        <f t="shared" ref="AL188" si="383">AK188-AL187</f>
        <v>-64.157755424098511</v>
      </c>
      <c r="AM188" s="185">
        <f t="shared" ref="AM188" si="384">AL188-AM187</f>
        <v>-72.51564319530344</v>
      </c>
      <c r="AN188" s="185">
        <f t="shared" ref="AN188" si="385">AM188-AN187</f>
        <v>-81.291425355068611</v>
      </c>
      <c r="AO188" s="185">
        <f t="shared" ref="AO188" si="386">AN188-AO187</f>
        <v>-90.505996622822053</v>
      </c>
      <c r="AP188" s="185">
        <f t="shared" ref="AP188" si="387">AO188-AP187</f>
        <v>-100.18129645396316</v>
      </c>
      <c r="AQ188" s="185">
        <f t="shared" ref="AQ188" si="388">AP188-AQ187</f>
        <v>-110.34036127666133</v>
      </c>
      <c r="AR188" s="185">
        <f t="shared" ref="AR188" si="389">AQ188-AR187</f>
        <v>-121.0073793404944</v>
      </c>
      <c r="AS188" s="185">
        <f t="shared" ref="AS188" si="390">AR188-AS187</f>
        <v>-132.20774830751913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391">C10/C7</f>
        <v>#DIV/0!</v>
      </c>
      <c r="D190" s="25" t="e">
        <f t="shared" si="391"/>
        <v>#DIV/0!</v>
      </c>
      <c r="E190" s="25" t="e">
        <f t="shared" si="391"/>
        <v>#DIV/0!</v>
      </c>
      <c r="F190" s="25" t="e">
        <f t="shared" si="391"/>
        <v>#DIV/0!</v>
      </c>
      <c r="G190" s="25">
        <f t="shared" si="391"/>
        <v>5.0251256281407036E-5</v>
      </c>
      <c r="H190" s="25">
        <f t="shared" si="391"/>
        <v>0.12173913043478261</v>
      </c>
      <c r="I190" s="25">
        <f t="shared" si="391"/>
        <v>6.6115702479338845E-2</v>
      </c>
      <c r="J190" s="25">
        <f t="shared" si="391"/>
        <v>0.33759590792838873</v>
      </c>
      <c r="K190" s="25">
        <f t="shared" si="391"/>
        <v>0.14540059347181009</v>
      </c>
      <c r="L190" s="25">
        <f t="shared" si="391"/>
        <v>0.1224105461393597</v>
      </c>
      <c r="M190" s="25">
        <f t="shared" si="391"/>
        <v>0.58897922312556461</v>
      </c>
      <c r="N190" s="25">
        <f t="shared" si="391"/>
        <v>0.49872988992379341</v>
      </c>
      <c r="O190" s="25">
        <f t="shared" si="391"/>
        <v>0.43092105263157893</v>
      </c>
      <c r="P190" s="25">
        <f t="shared" si="391"/>
        <v>1.2341389728096677</v>
      </c>
      <c r="Q190" s="118">
        <f t="shared" ref="Q190:Q192" si="392">((P190/G190)^(1/($H$2-$H$1) ))-1</f>
        <v>2.0746940316455529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1.3888888888888889E-4</v>
      </c>
      <c r="H191" s="112">
        <f t="shared" ref="H191:P191" si="393">H10/H12</f>
        <v>0.30107526881720431</v>
      </c>
      <c r="I191" s="112">
        <f t="shared" si="393"/>
        <v>0.21333333333333335</v>
      </c>
      <c r="J191" s="112">
        <f t="shared" si="393"/>
        <v>1.1785714285714286</v>
      </c>
      <c r="K191" s="112">
        <f t="shared" si="393"/>
        <v>0.91874999999999996</v>
      </c>
      <c r="L191" s="112">
        <f t="shared" si="393"/>
        <v>0.46931407942238268</v>
      </c>
      <c r="M191" s="112">
        <f t="shared" si="393"/>
        <v>8.2531645569620249</v>
      </c>
      <c r="N191" s="112">
        <f t="shared" si="393"/>
        <v>12.531914893617021</v>
      </c>
      <c r="O191" s="112">
        <f t="shared" si="393"/>
        <v>12.476190476190476</v>
      </c>
      <c r="P191" s="112">
        <f t="shared" si="393"/>
        <v>6.5359999999999996</v>
      </c>
      <c r="Q191" s="118">
        <f t="shared" si="392"/>
        <v>2.3050857118169441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1.0989010989010989E-4</v>
      </c>
      <c r="H192" s="25">
        <f t="shared" ref="H192:P192" si="394">H10/(H12+H13)</f>
        <v>0.2857142857142857</v>
      </c>
      <c r="I192" s="25">
        <f t="shared" si="394"/>
        <v>0.21333333333333335</v>
      </c>
      <c r="J192" s="25">
        <f t="shared" si="394"/>
        <v>0.72527472527472525</v>
      </c>
      <c r="K192" s="25">
        <f t="shared" si="394"/>
        <v>0.20081967213114754</v>
      </c>
      <c r="L192" s="25">
        <f t="shared" si="394"/>
        <v>0.44368600682593856</v>
      </c>
      <c r="M192" s="25">
        <f t="shared" si="394"/>
        <v>7.5813953488372094</v>
      </c>
      <c r="N192" s="25">
        <f t="shared" si="394"/>
        <v>3.6358024691358026</v>
      </c>
      <c r="O192" s="25">
        <f t="shared" si="394"/>
        <v>4.4033613445378155</v>
      </c>
      <c r="P192" s="25">
        <f t="shared" si="394"/>
        <v>5.2709677419354835</v>
      </c>
      <c r="Q192" s="118">
        <f t="shared" si="392"/>
        <v>2.3121006648895692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4" t="s">
        <v>337</v>
      </c>
      <c r="M195" s="195"/>
      <c r="N195" s="196"/>
      <c r="O195" s="23" t="s">
        <v>340</v>
      </c>
      <c r="P195" s="20"/>
      <c r="Q195" s="194" t="s">
        <v>338</v>
      </c>
      <c r="R195" s="195"/>
      <c r="S195" s="196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15</v>
      </c>
      <c r="O197" s="173">
        <f>N197</f>
        <v>15</v>
      </c>
      <c r="P197" s="20"/>
      <c r="Q197" s="167" t="s">
        <v>341</v>
      </c>
      <c r="R197" s="167"/>
      <c r="S197" s="21">
        <v>30</v>
      </c>
      <c r="T197" s="173">
        <f>S197</f>
        <v>30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15</v>
      </c>
      <c r="O199" s="173">
        <f>N199</f>
        <v>15</v>
      </c>
      <c r="P199" s="20"/>
      <c r="Q199" s="167" t="s">
        <v>344</v>
      </c>
      <c r="R199" s="167"/>
      <c r="S199" s="168">
        <f>S197*S198</f>
        <v>30</v>
      </c>
      <c r="T199" s="173">
        <f>S199</f>
        <v>30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50</v>
      </c>
      <c r="O200" s="21">
        <v>340</v>
      </c>
      <c r="P200" s="20"/>
      <c r="Q200" s="167" t="s">
        <v>345</v>
      </c>
      <c r="R200" s="167"/>
      <c r="S200" s="21">
        <v>50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50</v>
      </c>
      <c r="O201" s="168">
        <f>O200*O198</f>
        <v>340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50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3.3333333333333335</v>
      </c>
      <c r="O204" s="170">
        <f>O201/O199</f>
        <v>22.666666666666668</v>
      </c>
      <c r="P204" s="20"/>
      <c r="Q204" s="169" t="s">
        <v>347</v>
      </c>
      <c r="R204" s="169"/>
      <c r="S204" s="170">
        <f>S202/S199</f>
        <v>1.6666666666666667</v>
      </c>
      <c r="T204" s="170">
        <f>T202/T199</f>
        <v>3.3333333333333333E-2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7" t="s">
        <v>27</v>
      </c>
      <c r="E208" s="188"/>
      <c r="F208" s="188"/>
      <c r="G208" s="189"/>
      <c r="H208" s="20"/>
      <c r="I208" s="187" t="s">
        <v>393</v>
      </c>
      <c r="J208" s="188"/>
      <c r="K208" s="18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v>50</v>
      </c>
      <c r="H209" s="20"/>
      <c r="I209" s="20" t="s">
        <v>28</v>
      </c>
      <c r="J209" s="127"/>
      <c r="K209" s="21">
        <f>G209</f>
        <v>50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v>250</v>
      </c>
      <c r="H210" s="20"/>
      <c r="I210" s="20" t="s">
        <v>29</v>
      </c>
      <c r="J210" s="20"/>
      <c r="K210" s="21">
        <f>G210</f>
        <v>250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0.17461894308801895</v>
      </c>
      <c r="H212" s="20"/>
      <c r="I212" s="23" t="s">
        <v>394</v>
      </c>
      <c r="J212" s="23"/>
      <c r="K212" s="23">
        <f>(K210-K209)/K209</f>
        <v>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395</v>
      </c>
      <c r="J213" s="23"/>
      <c r="K213" s="23">
        <f>K210/K209</f>
        <v>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0.17461894308801895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2014-04-08T07:30:07Z</dcterms:modified>
</cp:coreProperties>
</file>
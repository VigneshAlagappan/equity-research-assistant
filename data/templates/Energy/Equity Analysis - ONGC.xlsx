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25725"/>
</workbook>
</file>

<file path=xl/calcChain.xml><?xml version="1.0" encoding="utf-8"?>
<calcChain xmlns="http://schemas.openxmlformats.org/spreadsheetml/2006/main">
  <c r="Q42" i="18"/>
  <c r="Q40"/>
  <c r="Q38"/>
  <c r="Q36"/>
  <c r="Q34"/>
  <c r="Q33"/>
  <c r="Q29"/>
  <c r="Q27"/>
  <c r="Q25"/>
  <c r="Q18"/>
  <c r="Q16"/>
  <c r="Q15"/>
  <c r="Q14"/>
  <c r="Q13"/>
  <c r="Q12"/>
  <c r="M12"/>
  <c r="L12"/>
  <c r="Q10"/>
  <c r="Q9"/>
  <c r="Q7"/>
  <c r="Q6"/>
  <c r="K12"/>
  <c r="J12"/>
  <c r="I12"/>
  <c r="H12"/>
  <c r="Q44"/>
  <c r="Q189" l="1"/>
  <c r="Q195"/>
  <c r="Q194"/>
  <c r="Q193"/>
  <c r="Q178"/>
  <c r="Q50"/>
  <c r="Q171" s="1"/>
  <c r="Q51"/>
  <c r="Q52"/>
  <c r="Q91" s="1"/>
  <c r="Q54"/>
  <c r="Q177" s="1"/>
  <c r="Q55"/>
  <c r="Q56"/>
  <c r="Q57"/>
  <c r="Q173" s="1"/>
  <c r="Q58"/>
  <c r="Q60"/>
  <c r="Q61"/>
  <c r="Q62"/>
  <c r="Q176" s="1"/>
  <c r="Q64"/>
  <c r="Q65"/>
  <c r="Q67"/>
  <c r="Q68"/>
  <c r="Q175" s="1"/>
  <c r="Q70"/>
  <c r="Q111" s="1"/>
  <c r="Q112" s="1"/>
  <c r="Q113" s="1"/>
  <c r="Q114" s="1"/>
  <c r="Q72"/>
  <c r="Q74"/>
  <c r="Q75"/>
  <c r="Q76"/>
  <c r="Q77"/>
  <c r="Q78"/>
  <c r="Q80"/>
  <c r="Q81"/>
  <c r="Q82"/>
  <c r="Q86"/>
  <c r="Q87"/>
  <c r="Q88"/>
  <c r="Q89"/>
  <c r="Q90"/>
  <c r="Q93"/>
  <c r="Q99" s="1"/>
  <c r="Q94"/>
  <c r="Q95"/>
  <c r="Q101" s="1"/>
  <c r="Q96"/>
  <c r="Q102" s="1"/>
  <c r="Q97"/>
  <c r="Q103" s="1"/>
  <c r="Q100"/>
  <c r="Q106"/>
  <c r="Q107"/>
  <c r="Q108"/>
  <c r="Q109"/>
  <c r="Q116"/>
  <c r="Q117"/>
  <c r="Q119"/>
  <c r="Q120"/>
  <c r="Q121"/>
  <c r="Q124"/>
  <c r="Q125"/>
  <c r="Q126"/>
  <c r="Q127"/>
  <c r="Q129"/>
  <c r="Q130"/>
  <c r="Q132"/>
  <c r="Q133"/>
  <c r="Q134"/>
  <c r="Q136"/>
  <c r="Q137"/>
  <c r="T17"/>
  <c r="T19"/>
  <c r="T24"/>
  <c r="T35"/>
  <c r="T42"/>
  <c r="T44"/>
  <c r="R44"/>
  <c r="R42"/>
  <c r="R40"/>
  <c r="R38"/>
  <c r="R36"/>
  <c r="R34"/>
  <c r="R33"/>
  <c r="R32"/>
  <c r="R31"/>
  <c r="R29"/>
  <c r="R27"/>
  <c r="R25"/>
  <c r="R23"/>
  <c r="R22"/>
  <c r="R21"/>
  <c r="R20"/>
  <c r="R18"/>
  <c r="R16"/>
  <c r="R15"/>
  <c r="R14"/>
  <c r="R13"/>
  <c r="R12"/>
  <c r="R10"/>
  <c r="R9"/>
  <c r="R7"/>
  <c r="R6"/>
  <c r="Q8"/>
  <c r="Q11"/>
  <c r="Q26"/>
  <c r="Q28"/>
  <c r="Q30"/>
  <c r="Q37"/>
  <c r="Q39"/>
  <c r="Q41"/>
  <c r="Q43"/>
  <c r="Q190" l="1"/>
  <c r="Q172"/>
  <c r="T190"/>
  <c r="T191" s="1"/>
  <c r="Q66"/>
  <c r="Q174" s="1"/>
  <c r="AE52"/>
  <c r="H52"/>
  <c r="H91" s="1"/>
  <c r="I52"/>
  <c r="I91" s="1"/>
  <c r="J52"/>
  <c r="J91" s="1"/>
  <c r="K52"/>
  <c r="K91" s="1"/>
  <c r="L52"/>
  <c r="L91" s="1"/>
  <c r="M52"/>
  <c r="M91" s="1"/>
  <c r="N52"/>
  <c r="N91" s="1"/>
  <c r="O52"/>
  <c r="O91" s="1"/>
  <c r="P52"/>
  <c r="P91" s="1"/>
  <c r="G52"/>
  <c r="G91" s="1"/>
  <c r="P43"/>
  <c r="O43"/>
  <c r="N43"/>
  <c r="M43"/>
  <c r="L43"/>
  <c r="K43"/>
  <c r="J43"/>
  <c r="I43"/>
  <c r="H43"/>
  <c r="G43"/>
  <c r="R52" l="1"/>
  <c r="R91"/>
  <c r="S44"/>
  <c r="K186" l="1"/>
  <c r="K185"/>
  <c r="K184"/>
  <c r="K183"/>
  <c r="AE38" l="1"/>
  <c r="S38"/>
  <c r="P39"/>
  <c r="O39"/>
  <c r="N39"/>
  <c r="M39"/>
  <c r="L39"/>
  <c r="K39"/>
  <c r="J39"/>
  <c r="I39"/>
  <c r="H39"/>
  <c r="G39"/>
  <c r="T38" l="1"/>
  <c r="U38" l="1"/>
  <c r="V38" s="1"/>
  <c r="W38" s="1"/>
  <c r="K190"/>
  <c r="K189"/>
  <c r="X38" l="1"/>
  <c r="U204"/>
  <c r="U205" s="1"/>
  <c r="D202"/>
  <c r="G212" s="1"/>
  <c r="K212" s="1"/>
  <c r="H202"/>
  <c r="L26"/>
  <c r="L106"/>
  <c r="J106"/>
  <c r="H106"/>
  <c r="F106"/>
  <c r="G106"/>
  <c r="I106"/>
  <c r="K106"/>
  <c r="M106"/>
  <c r="N106"/>
  <c r="O106"/>
  <c r="P106"/>
  <c r="H137"/>
  <c r="I137"/>
  <c r="J137"/>
  <c r="K137"/>
  <c r="L137"/>
  <c r="M137"/>
  <c r="N137"/>
  <c r="O137"/>
  <c r="P137"/>
  <c r="H136"/>
  <c r="I136"/>
  <c r="J136"/>
  <c r="K136"/>
  <c r="L136"/>
  <c r="M136"/>
  <c r="N136"/>
  <c r="O136"/>
  <c r="P136"/>
  <c r="G216"/>
  <c r="G217" s="1"/>
  <c r="AE55"/>
  <c r="C55"/>
  <c r="D55"/>
  <c r="E55"/>
  <c r="F55"/>
  <c r="H55"/>
  <c r="I55"/>
  <c r="J55"/>
  <c r="K55"/>
  <c r="L55"/>
  <c r="M55"/>
  <c r="N55"/>
  <c r="O55"/>
  <c r="P55"/>
  <c r="G55"/>
  <c r="H207"/>
  <c r="D206"/>
  <c r="G213" s="1"/>
  <c r="K213" s="1"/>
  <c r="H205"/>
  <c r="I205" s="1"/>
  <c r="J205" s="1"/>
  <c r="J206" s="1"/>
  <c r="H203"/>
  <c r="H201"/>
  <c r="H200"/>
  <c r="I200" s="1"/>
  <c r="J200" s="1"/>
  <c r="G215" l="1"/>
  <c r="G218"/>
  <c r="Y38"/>
  <c r="D208"/>
  <c r="K216"/>
  <c r="R55"/>
  <c r="K215"/>
  <c r="I201"/>
  <c r="J201" s="1"/>
  <c r="I207"/>
  <c r="J207" s="1"/>
  <c r="J208" s="1"/>
  <c r="H90"/>
  <c r="I90"/>
  <c r="J90"/>
  <c r="K90"/>
  <c r="L90"/>
  <c r="M90"/>
  <c r="N90"/>
  <c r="O90"/>
  <c r="P90"/>
  <c r="G90"/>
  <c r="H41"/>
  <c r="I41"/>
  <c r="J41"/>
  <c r="K41"/>
  <c r="L41"/>
  <c r="M41"/>
  <c r="N41"/>
  <c r="O41"/>
  <c r="P41"/>
  <c r="K37"/>
  <c r="L37"/>
  <c r="M37"/>
  <c r="J37"/>
  <c r="I37"/>
  <c r="H37"/>
  <c r="G37"/>
  <c r="P37"/>
  <c r="O37"/>
  <c r="N37"/>
  <c r="P30"/>
  <c r="O30"/>
  <c r="N30"/>
  <c r="M30"/>
  <c r="N28"/>
  <c r="O28"/>
  <c r="P28"/>
  <c r="N26"/>
  <c r="O26"/>
  <c r="P26"/>
  <c r="H11"/>
  <c r="I11"/>
  <c r="J11"/>
  <c r="K11"/>
  <c r="L11"/>
  <c r="M11"/>
  <c r="N11"/>
  <c r="O11"/>
  <c r="P11"/>
  <c r="G137"/>
  <c r="G136"/>
  <c r="AE14"/>
  <c r="S14"/>
  <c r="U201"/>
  <c r="U200"/>
  <c r="O201"/>
  <c r="O204" s="1"/>
  <c r="O200"/>
  <c r="H97"/>
  <c r="H103" s="1"/>
  <c r="I97"/>
  <c r="I103" s="1"/>
  <c r="J97"/>
  <c r="J103" s="1"/>
  <c r="K97"/>
  <c r="K103" s="1"/>
  <c r="L97"/>
  <c r="L103" s="1"/>
  <c r="M97"/>
  <c r="M103" s="1"/>
  <c r="N97"/>
  <c r="N103" s="1"/>
  <c r="O97"/>
  <c r="O103" s="1"/>
  <c r="P97"/>
  <c r="P103" s="1"/>
  <c r="G97"/>
  <c r="G103" s="1"/>
  <c r="H94"/>
  <c r="H100" s="1"/>
  <c r="I94"/>
  <c r="I100" s="1"/>
  <c r="J94"/>
  <c r="J100" s="1"/>
  <c r="K94"/>
  <c r="K100" s="1"/>
  <c r="L94"/>
  <c r="L100" s="1"/>
  <c r="M94"/>
  <c r="M100" s="1"/>
  <c r="N94"/>
  <c r="N100" s="1"/>
  <c r="O94"/>
  <c r="O100" s="1"/>
  <c r="P94"/>
  <c r="P100" s="1"/>
  <c r="G94"/>
  <c r="G100" s="1"/>
  <c r="H95"/>
  <c r="H101" s="1"/>
  <c r="I95"/>
  <c r="I101" s="1"/>
  <c r="J95"/>
  <c r="J101" s="1"/>
  <c r="K95"/>
  <c r="K101" s="1"/>
  <c r="L95"/>
  <c r="L101" s="1"/>
  <c r="M95"/>
  <c r="M101" s="1"/>
  <c r="N95"/>
  <c r="N101" s="1"/>
  <c r="O95"/>
  <c r="O101" s="1"/>
  <c r="P95"/>
  <c r="P101" s="1"/>
  <c r="G95"/>
  <c r="G101" s="1"/>
  <c r="H132"/>
  <c r="H133" s="1"/>
  <c r="I132"/>
  <c r="I133" s="1"/>
  <c r="J132"/>
  <c r="J133" s="1"/>
  <c r="K132"/>
  <c r="K133" s="1"/>
  <c r="L132"/>
  <c r="L133" s="1"/>
  <c r="M132"/>
  <c r="M133" s="1"/>
  <c r="N132"/>
  <c r="N133" s="1"/>
  <c r="O132"/>
  <c r="O133" s="1"/>
  <c r="P132"/>
  <c r="P133" s="1"/>
  <c r="G132"/>
  <c r="G133" s="1"/>
  <c r="U14" l="1"/>
  <c r="V14" s="1"/>
  <c r="W14" s="1"/>
  <c r="X14" s="1"/>
  <c r="Y14" s="1"/>
  <c r="Z14" s="1"/>
  <c r="AA14" s="1"/>
  <c r="AB14" s="1"/>
  <c r="AC14" s="1"/>
  <c r="AD14" s="1"/>
  <c r="T14"/>
  <c r="R100"/>
  <c r="R103"/>
  <c r="Z38"/>
  <c r="R101"/>
  <c r="I202"/>
  <c r="J202" s="1"/>
  <c r="I203" s="1"/>
  <c r="J203" s="1"/>
  <c r="J204" s="1"/>
  <c r="R136"/>
  <c r="R137"/>
  <c r="R90"/>
  <c r="R97"/>
  <c r="R94"/>
  <c r="R133"/>
  <c r="R132"/>
  <c r="R95"/>
  <c r="P89"/>
  <c r="P88"/>
  <c r="E89"/>
  <c r="F89"/>
  <c r="H89"/>
  <c r="I89"/>
  <c r="J89"/>
  <c r="K89"/>
  <c r="L89"/>
  <c r="M89"/>
  <c r="N89"/>
  <c r="O89"/>
  <c r="G89"/>
  <c r="G88"/>
  <c r="H130"/>
  <c r="I130"/>
  <c r="J130"/>
  <c r="K130"/>
  <c r="L130"/>
  <c r="M130"/>
  <c r="N130"/>
  <c r="O130"/>
  <c r="P130"/>
  <c r="G130"/>
  <c r="H129"/>
  <c r="I129"/>
  <c r="J129"/>
  <c r="K129"/>
  <c r="L129"/>
  <c r="M129"/>
  <c r="N129"/>
  <c r="O129"/>
  <c r="P129"/>
  <c r="G129"/>
  <c r="H126"/>
  <c r="I126"/>
  <c r="J126"/>
  <c r="K126"/>
  <c r="L126"/>
  <c r="M126"/>
  <c r="N126"/>
  <c r="O126"/>
  <c r="P126"/>
  <c r="G126"/>
  <c r="H127"/>
  <c r="I127"/>
  <c r="J127"/>
  <c r="K127"/>
  <c r="L127"/>
  <c r="M127"/>
  <c r="N127"/>
  <c r="O127"/>
  <c r="P127"/>
  <c r="G127"/>
  <c r="H125"/>
  <c r="I125"/>
  <c r="J125"/>
  <c r="K125"/>
  <c r="L125"/>
  <c r="M125"/>
  <c r="N125"/>
  <c r="O125"/>
  <c r="P125"/>
  <c r="G125"/>
  <c r="H124"/>
  <c r="I124"/>
  <c r="J124"/>
  <c r="K124"/>
  <c r="L124"/>
  <c r="M124"/>
  <c r="N124"/>
  <c r="O124"/>
  <c r="P124"/>
  <c r="G124"/>
  <c r="S170"/>
  <c r="H121"/>
  <c r="I121"/>
  <c r="J121"/>
  <c r="K121"/>
  <c r="L121"/>
  <c r="M121"/>
  <c r="N121"/>
  <c r="O121"/>
  <c r="P121"/>
  <c r="G121"/>
  <c r="H120"/>
  <c r="I120"/>
  <c r="J120"/>
  <c r="K120"/>
  <c r="L120"/>
  <c r="M120"/>
  <c r="N120"/>
  <c r="O120"/>
  <c r="P120"/>
  <c r="G120"/>
  <c r="H119"/>
  <c r="I119"/>
  <c r="J119"/>
  <c r="K119"/>
  <c r="L119"/>
  <c r="M119"/>
  <c r="N119"/>
  <c r="O119"/>
  <c r="P119"/>
  <c r="G119"/>
  <c r="B121"/>
  <c r="B120"/>
  <c r="AE32"/>
  <c r="S32"/>
  <c r="G109"/>
  <c r="H109"/>
  <c r="I109"/>
  <c r="J109"/>
  <c r="K109"/>
  <c r="L109"/>
  <c r="M109"/>
  <c r="N109"/>
  <c r="O109"/>
  <c r="P109"/>
  <c r="T205"/>
  <c r="N204"/>
  <c r="T202"/>
  <c r="U202" s="1"/>
  <c r="U207" s="1"/>
  <c r="N202"/>
  <c r="O202" s="1"/>
  <c r="O207" s="1"/>
  <c r="F117"/>
  <c r="H117"/>
  <c r="I117"/>
  <c r="J117"/>
  <c r="K117"/>
  <c r="L117"/>
  <c r="M117"/>
  <c r="N117"/>
  <c r="O117"/>
  <c r="P117"/>
  <c r="G117"/>
  <c r="F116"/>
  <c r="H116"/>
  <c r="I116"/>
  <c r="J116"/>
  <c r="K116"/>
  <c r="L116"/>
  <c r="M116"/>
  <c r="N116"/>
  <c r="O116"/>
  <c r="P116"/>
  <c r="G116"/>
  <c r="AF14" l="1"/>
  <c r="T32"/>
  <c r="U32" s="1"/>
  <c r="V32" s="1"/>
  <c r="W32" s="1"/>
  <c r="X32" s="1"/>
  <c r="Y32" s="1"/>
  <c r="Z32" s="1"/>
  <c r="AA32" s="1"/>
  <c r="AB32" s="1"/>
  <c r="AC32" s="1"/>
  <c r="AA38"/>
  <c r="R127"/>
  <c r="R89"/>
  <c r="R124"/>
  <c r="R130"/>
  <c r="R129"/>
  <c r="R125"/>
  <c r="R126"/>
  <c r="R119"/>
  <c r="R120"/>
  <c r="R121"/>
  <c r="R109"/>
  <c r="N207"/>
  <c r="T207"/>
  <c r="R117"/>
  <c r="R116"/>
  <c r="S9"/>
  <c r="T9" s="1"/>
  <c r="S10"/>
  <c r="T10" s="1"/>
  <c r="S12"/>
  <c r="T12" s="1"/>
  <c r="S13"/>
  <c r="T13" s="1"/>
  <c r="S15"/>
  <c r="T15" s="1"/>
  <c r="S16"/>
  <c r="T16" s="1"/>
  <c r="S18"/>
  <c r="T18" s="1"/>
  <c r="S20"/>
  <c r="T20" s="1"/>
  <c r="S21"/>
  <c r="T21" s="1"/>
  <c r="S22"/>
  <c r="T22" s="1"/>
  <c r="S23"/>
  <c r="T23" s="1"/>
  <c r="S25"/>
  <c r="T25" s="1"/>
  <c r="S27"/>
  <c r="T27" s="1"/>
  <c r="S29"/>
  <c r="T29" s="1"/>
  <c r="S31"/>
  <c r="S33"/>
  <c r="T33" s="1"/>
  <c r="S34"/>
  <c r="T34" s="1"/>
  <c r="S36"/>
  <c r="T36" s="1"/>
  <c r="S40"/>
  <c r="T40" s="1"/>
  <c r="T52" s="1"/>
  <c r="T91" s="1"/>
  <c r="S7"/>
  <c r="T7" s="1"/>
  <c r="S6"/>
  <c r="T6" s="1"/>
  <c r="AE9"/>
  <c r="AE10"/>
  <c r="AE11"/>
  <c r="AE12"/>
  <c r="AE13"/>
  <c r="AE15"/>
  <c r="AE16"/>
  <c r="AE18"/>
  <c r="AE20"/>
  <c r="AE21"/>
  <c r="AE22"/>
  <c r="AE23"/>
  <c r="AE25"/>
  <c r="AE27"/>
  <c r="AE29"/>
  <c r="AE31"/>
  <c r="AE33"/>
  <c r="AE34"/>
  <c r="AE36"/>
  <c r="AE40"/>
  <c r="AE42"/>
  <c r="AE44"/>
  <c r="AE50"/>
  <c r="AE51"/>
  <c r="AE54"/>
  <c r="AE56"/>
  <c r="AE57"/>
  <c r="AE58"/>
  <c r="AE60"/>
  <c r="AE61"/>
  <c r="AE62"/>
  <c r="AE64"/>
  <c r="AE65"/>
  <c r="AE66"/>
  <c r="AE67"/>
  <c r="AE69"/>
  <c r="AE70"/>
  <c r="AE72"/>
  <c r="AE74"/>
  <c r="AE75"/>
  <c r="AE76"/>
  <c r="AE77"/>
  <c r="AE78"/>
  <c r="AE80"/>
  <c r="AE81"/>
  <c r="AE82"/>
  <c r="AE7"/>
  <c r="AE6"/>
  <c r="AF32" l="1"/>
  <c r="AD32"/>
  <c r="T31"/>
  <c r="U31" s="1"/>
  <c r="V31" s="1"/>
  <c r="W31" s="1"/>
  <c r="X31" s="1"/>
  <c r="Y31" s="1"/>
  <c r="Z31" s="1"/>
  <c r="AA31" s="1"/>
  <c r="AB31" s="1"/>
  <c r="AC31" s="1"/>
  <c r="AB38"/>
  <c r="R106"/>
  <c r="H93"/>
  <c r="H99" s="1"/>
  <c r="I93"/>
  <c r="I99" s="1"/>
  <c r="J93"/>
  <c r="J99" s="1"/>
  <c r="K93"/>
  <c r="K99" s="1"/>
  <c r="L93"/>
  <c r="L99" s="1"/>
  <c r="M93"/>
  <c r="M99" s="1"/>
  <c r="N93"/>
  <c r="N99" s="1"/>
  <c r="O93"/>
  <c r="O99" s="1"/>
  <c r="P93"/>
  <c r="P99" s="1"/>
  <c r="H96"/>
  <c r="H102" s="1"/>
  <c r="I96"/>
  <c r="I102" s="1"/>
  <c r="J96"/>
  <c r="J102" s="1"/>
  <c r="K96"/>
  <c r="K102" s="1"/>
  <c r="L96"/>
  <c r="L102" s="1"/>
  <c r="M96"/>
  <c r="M102" s="1"/>
  <c r="N96"/>
  <c r="N102" s="1"/>
  <c r="O96"/>
  <c r="O102" s="1"/>
  <c r="P96"/>
  <c r="P102" s="1"/>
  <c r="G96"/>
  <c r="G102" s="1"/>
  <c r="G93"/>
  <c r="G99" s="1"/>
  <c r="L30"/>
  <c r="K30"/>
  <c r="J30"/>
  <c r="I30"/>
  <c r="H30"/>
  <c r="G30"/>
  <c r="R99" l="1"/>
  <c r="AC38"/>
  <c r="R102"/>
  <c r="U29"/>
  <c r="R96"/>
  <c r="R93"/>
  <c r="H108"/>
  <c r="I108"/>
  <c r="J108"/>
  <c r="K108"/>
  <c r="L108"/>
  <c r="M108"/>
  <c r="N108"/>
  <c r="O108"/>
  <c r="P108"/>
  <c r="G108"/>
  <c r="H107"/>
  <c r="I107"/>
  <c r="J107"/>
  <c r="K107"/>
  <c r="L107"/>
  <c r="M107"/>
  <c r="N107"/>
  <c r="O107"/>
  <c r="P107"/>
  <c r="G107"/>
  <c r="AF38" l="1"/>
  <c r="AD38"/>
  <c r="V29"/>
  <c r="R107"/>
  <c r="R108"/>
  <c r="AF69"/>
  <c r="W29" l="1"/>
  <c r="C178"/>
  <c r="D178"/>
  <c r="E178"/>
  <c r="F178"/>
  <c r="G178"/>
  <c r="H178"/>
  <c r="I178"/>
  <c r="J178"/>
  <c r="K178"/>
  <c r="L178"/>
  <c r="M178"/>
  <c r="N178"/>
  <c r="O178"/>
  <c r="P178"/>
  <c r="C9" i="15"/>
  <c r="D70" i="18"/>
  <c r="E70"/>
  <c r="E111" s="1"/>
  <c r="E112" s="1"/>
  <c r="F70"/>
  <c r="F111" s="1"/>
  <c r="F112" s="1"/>
  <c r="G70"/>
  <c r="G111" s="1"/>
  <c r="G112" s="1"/>
  <c r="H70"/>
  <c r="H111" s="1"/>
  <c r="H112" s="1"/>
  <c r="I70"/>
  <c r="I111" s="1"/>
  <c r="I112" s="1"/>
  <c r="J70"/>
  <c r="J111" s="1"/>
  <c r="J112" s="1"/>
  <c r="K70"/>
  <c r="K111" s="1"/>
  <c r="K112" s="1"/>
  <c r="L70"/>
  <c r="L111" s="1"/>
  <c r="L112" s="1"/>
  <c r="M70"/>
  <c r="M111" s="1"/>
  <c r="M112" s="1"/>
  <c r="N70"/>
  <c r="N111" s="1"/>
  <c r="N112" s="1"/>
  <c r="O70"/>
  <c r="O111" s="1"/>
  <c r="O112" s="1"/>
  <c r="P70"/>
  <c r="P111" s="1"/>
  <c r="C70"/>
  <c r="T70" l="1"/>
  <c r="T111" s="1"/>
  <c r="T112" s="1"/>
  <c r="X29"/>
  <c r="R178"/>
  <c r="N113"/>
  <c r="N114" s="1"/>
  <c r="J113"/>
  <c r="J114" s="1"/>
  <c r="L113"/>
  <c r="L114" s="1"/>
  <c r="H113"/>
  <c r="H114" s="1"/>
  <c r="M113"/>
  <c r="M114" s="1"/>
  <c r="I113"/>
  <c r="I114" s="1"/>
  <c r="F113"/>
  <c r="F114" s="1"/>
  <c r="O113"/>
  <c r="O114" s="1"/>
  <c r="K113"/>
  <c r="K114" s="1"/>
  <c r="G113"/>
  <c r="G114" s="1"/>
  <c r="P112"/>
  <c r="R111"/>
  <c r="U44"/>
  <c r="V44" l="1"/>
  <c r="Y29"/>
  <c r="P113"/>
  <c r="R112"/>
  <c r="U70"/>
  <c r="C80"/>
  <c r="D80"/>
  <c r="E80"/>
  <c r="F80"/>
  <c r="G80"/>
  <c r="G134" s="1"/>
  <c r="H80"/>
  <c r="H134" s="1"/>
  <c r="I80"/>
  <c r="I134" s="1"/>
  <c r="J80"/>
  <c r="J134" s="1"/>
  <c r="K80"/>
  <c r="K134" s="1"/>
  <c r="L80"/>
  <c r="L134" s="1"/>
  <c r="M80"/>
  <c r="M134" s="1"/>
  <c r="N80"/>
  <c r="N134" s="1"/>
  <c r="O80"/>
  <c r="O134" s="1"/>
  <c r="C81"/>
  <c r="D81"/>
  <c r="E81"/>
  <c r="F81"/>
  <c r="G81"/>
  <c r="H81"/>
  <c r="I81"/>
  <c r="J81"/>
  <c r="K81"/>
  <c r="L81"/>
  <c r="M81"/>
  <c r="N81"/>
  <c r="O81"/>
  <c r="C82"/>
  <c r="D82"/>
  <c r="E82"/>
  <c r="F82"/>
  <c r="G82"/>
  <c r="H82"/>
  <c r="I82"/>
  <c r="J82"/>
  <c r="K82"/>
  <c r="L82"/>
  <c r="M82"/>
  <c r="N82"/>
  <c r="O82"/>
  <c r="P82"/>
  <c r="P81"/>
  <c r="P80"/>
  <c r="P134" s="1"/>
  <c r="E88"/>
  <c r="F88"/>
  <c r="H88"/>
  <c r="I88"/>
  <c r="J88"/>
  <c r="K88"/>
  <c r="L88"/>
  <c r="M88"/>
  <c r="N88"/>
  <c r="O88"/>
  <c r="E86"/>
  <c r="E87"/>
  <c r="F87"/>
  <c r="G87"/>
  <c r="H87"/>
  <c r="I87"/>
  <c r="J87"/>
  <c r="K87"/>
  <c r="L87"/>
  <c r="M87"/>
  <c r="N87"/>
  <c r="O87"/>
  <c r="F86"/>
  <c r="G86"/>
  <c r="H86"/>
  <c r="I86"/>
  <c r="J86"/>
  <c r="K86"/>
  <c r="L86"/>
  <c r="M86"/>
  <c r="N86"/>
  <c r="O86"/>
  <c r="P87"/>
  <c r="G41"/>
  <c r="G28"/>
  <c r="G11"/>
  <c r="G8"/>
  <c r="G26"/>
  <c r="W44" l="1"/>
  <c r="V70"/>
  <c r="R134"/>
  <c r="Z29"/>
  <c r="R82"/>
  <c r="R80"/>
  <c r="R81"/>
  <c r="R87"/>
  <c r="R88"/>
  <c r="P86"/>
  <c r="R86" s="1"/>
  <c r="C193"/>
  <c r="D193"/>
  <c r="E193"/>
  <c r="F193"/>
  <c r="C194"/>
  <c r="D194"/>
  <c r="E194"/>
  <c r="F194"/>
  <c r="C195"/>
  <c r="D195"/>
  <c r="E195"/>
  <c r="F195"/>
  <c r="H195"/>
  <c r="I195"/>
  <c r="J195"/>
  <c r="K195"/>
  <c r="L195"/>
  <c r="M195"/>
  <c r="N195"/>
  <c r="O195"/>
  <c r="P195"/>
  <c r="G195"/>
  <c r="H194"/>
  <c r="I194"/>
  <c r="J194"/>
  <c r="K194"/>
  <c r="L194"/>
  <c r="M194"/>
  <c r="N194"/>
  <c r="O194"/>
  <c r="P194"/>
  <c r="G194"/>
  <c r="H193"/>
  <c r="I193"/>
  <c r="J193"/>
  <c r="K193"/>
  <c r="L193"/>
  <c r="M193"/>
  <c r="N193"/>
  <c r="O193"/>
  <c r="P193"/>
  <c r="G193"/>
  <c r="H51"/>
  <c r="I51"/>
  <c r="J51"/>
  <c r="K51"/>
  <c r="L51"/>
  <c r="M51"/>
  <c r="N51"/>
  <c r="O51"/>
  <c r="P51"/>
  <c r="C51"/>
  <c r="D51"/>
  <c r="E51"/>
  <c r="F51"/>
  <c r="G51"/>
  <c r="G54"/>
  <c r="H50"/>
  <c r="H171" s="1"/>
  <c r="I50"/>
  <c r="I171" s="1"/>
  <c r="J50"/>
  <c r="J171" s="1"/>
  <c r="K50"/>
  <c r="K171" s="1"/>
  <c r="L50"/>
  <c r="L171" s="1"/>
  <c r="M50"/>
  <c r="M171" s="1"/>
  <c r="N50"/>
  <c r="N171" s="1"/>
  <c r="O50"/>
  <c r="O171" s="1"/>
  <c r="P50"/>
  <c r="P171" s="1"/>
  <c r="C50"/>
  <c r="C171" s="1"/>
  <c r="D50"/>
  <c r="D171" s="1"/>
  <c r="E50"/>
  <c r="E171" s="1"/>
  <c r="F50"/>
  <c r="F171" s="1"/>
  <c r="G50"/>
  <c r="G171" s="1"/>
  <c r="M28"/>
  <c r="L28"/>
  <c r="K28"/>
  <c r="J28"/>
  <c r="I28"/>
  <c r="H28"/>
  <c r="M26"/>
  <c r="K26"/>
  <c r="J26"/>
  <c r="I26"/>
  <c r="H26"/>
  <c r="I8"/>
  <c r="J8"/>
  <c r="K8"/>
  <c r="L8"/>
  <c r="M8"/>
  <c r="N8"/>
  <c r="O8"/>
  <c r="P8"/>
  <c r="H8"/>
  <c r="T94"/>
  <c r="T100" s="1"/>
  <c r="G177" l="1"/>
  <c r="X44"/>
  <c r="W70"/>
  <c r="R171"/>
  <c r="AA29"/>
  <c r="U36"/>
  <c r="U94" s="1"/>
  <c r="U100" s="1"/>
  <c r="R195"/>
  <c r="R51"/>
  <c r="R50"/>
  <c r="R194"/>
  <c r="R193"/>
  <c r="Y44" l="1"/>
  <c r="X70"/>
  <c r="AB29"/>
  <c r="V36"/>
  <c r="V94" s="1"/>
  <c r="V100" s="1"/>
  <c r="I77"/>
  <c r="J77"/>
  <c r="K77"/>
  <c r="L77"/>
  <c r="M77"/>
  <c r="N77"/>
  <c r="O77"/>
  <c r="P77"/>
  <c r="I78"/>
  <c r="J78"/>
  <c r="K78"/>
  <c r="L78"/>
  <c r="M78"/>
  <c r="N78"/>
  <c r="O78"/>
  <c r="P78"/>
  <c r="I72"/>
  <c r="I74" s="1"/>
  <c r="J72"/>
  <c r="J74" s="1"/>
  <c r="K72"/>
  <c r="K74" s="1"/>
  <c r="L72"/>
  <c r="L74" s="1"/>
  <c r="M72"/>
  <c r="M74" s="1"/>
  <c r="N72"/>
  <c r="N74" s="1"/>
  <c r="O72"/>
  <c r="O74" s="1"/>
  <c r="P72"/>
  <c r="P74" s="1"/>
  <c r="I75"/>
  <c r="J75"/>
  <c r="K75"/>
  <c r="L75"/>
  <c r="M75"/>
  <c r="N75"/>
  <c r="O75"/>
  <c r="P75"/>
  <c r="I76"/>
  <c r="J76"/>
  <c r="K76"/>
  <c r="L76"/>
  <c r="M76"/>
  <c r="N76"/>
  <c r="O76"/>
  <c r="P76"/>
  <c r="C75"/>
  <c r="D75"/>
  <c r="E75"/>
  <c r="F75"/>
  <c r="G75"/>
  <c r="C76"/>
  <c r="D76"/>
  <c r="E76"/>
  <c r="F76"/>
  <c r="G76"/>
  <c r="C77"/>
  <c r="D77"/>
  <c r="E77"/>
  <c r="F77"/>
  <c r="G77"/>
  <c r="C78"/>
  <c r="D78"/>
  <c r="E78"/>
  <c r="F78"/>
  <c r="G78"/>
  <c r="H78"/>
  <c r="H77"/>
  <c r="U22"/>
  <c r="V22" s="1"/>
  <c r="W22" s="1"/>
  <c r="X22" s="1"/>
  <c r="Y22" s="1"/>
  <c r="Z22" s="1"/>
  <c r="AA22" s="1"/>
  <c r="AB22" s="1"/>
  <c r="AC22" s="1"/>
  <c r="C72"/>
  <c r="C74" s="1"/>
  <c r="D72"/>
  <c r="D74" s="1"/>
  <c r="E72"/>
  <c r="E74" s="1"/>
  <c r="F72"/>
  <c r="F74" s="1"/>
  <c r="G72"/>
  <c r="G74" s="1"/>
  <c r="H72"/>
  <c r="H74" s="1"/>
  <c r="H76"/>
  <c r="H75"/>
  <c r="Z44" l="1"/>
  <c r="Y70"/>
  <c r="U23"/>
  <c r="T97"/>
  <c r="T103" s="1"/>
  <c r="AC29"/>
  <c r="AF31"/>
  <c r="AD31"/>
  <c r="AD22"/>
  <c r="AF22"/>
  <c r="W36"/>
  <c r="W94" s="1"/>
  <c r="W100" s="1"/>
  <c r="R77"/>
  <c r="R78"/>
  <c r="R76"/>
  <c r="R74"/>
  <c r="R75"/>
  <c r="R72"/>
  <c r="T55"/>
  <c r="U21"/>
  <c r="R70"/>
  <c r="R170"/>
  <c r="Z70" l="1"/>
  <c r="AA44"/>
  <c r="V23"/>
  <c r="U97"/>
  <c r="U103" s="1"/>
  <c r="AF29"/>
  <c r="AD29"/>
  <c r="U20"/>
  <c r="T72"/>
  <c r="V21"/>
  <c r="C19" i="15"/>
  <c r="U9" i="18"/>
  <c r="V9" s="1"/>
  <c r="W9" s="1"/>
  <c r="X9" s="1"/>
  <c r="Y9" s="1"/>
  <c r="Z9" s="1"/>
  <c r="AA9" s="1"/>
  <c r="AB9" s="1"/>
  <c r="AC9" s="1"/>
  <c r="AF9" s="1"/>
  <c r="T90"/>
  <c r="U33"/>
  <c r="V33" s="1"/>
  <c r="W33" s="1"/>
  <c r="X33" s="1"/>
  <c r="Y33" s="1"/>
  <c r="Z33" s="1"/>
  <c r="AA33" s="1"/>
  <c r="AB33" s="1"/>
  <c r="AC33" s="1"/>
  <c r="AF33" s="1"/>
  <c r="U34"/>
  <c r="V34" s="1"/>
  <c r="W34" s="1"/>
  <c r="X34" s="1"/>
  <c r="Y34" s="1"/>
  <c r="Z34" s="1"/>
  <c r="AA34" s="1"/>
  <c r="AB34" s="1"/>
  <c r="AC34" s="1"/>
  <c r="AF34" s="1"/>
  <c r="X36"/>
  <c r="X94" s="1"/>
  <c r="X100" s="1"/>
  <c r="O68"/>
  <c r="O175" s="1"/>
  <c r="O67"/>
  <c r="O65"/>
  <c r="O64"/>
  <c r="O62"/>
  <c r="O176" s="1"/>
  <c r="O61"/>
  <c r="O60"/>
  <c r="O58"/>
  <c r="O57"/>
  <c r="O173" s="1"/>
  <c r="O56"/>
  <c r="O54"/>
  <c r="AA70" l="1"/>
  <c r="AB44"/>
  <c r="U72"/>
  <c r="T126"/>
  <c r="T136"/>
  <c r="T127"/>
  <c r="T137"/>
  <c r="W23"/>
  <c r="V97"/>
  <c r="V103" s="1"/>
  <c r="T120"/>
  <c r="T121"/>
  <c r="T119"/>
  <c r="T109"/>
  <c r="P114"/>
  <c r="R114" s="1"/>
  <c r="R113"/>
  <c r="T93"/>
  <c r="T99" s="1"/>
  <c r="T117"/>
  <c r="T116"/>
  <c r="U18"/>
  <c r="O172"/>
  <c r="O177"/>
  <c r="V20"/>
  <c r="U27"/>
  <c r="Y36"/>
  <c r="Y94" s="1"/>
  <c r="Y100" s="1"/>
  <c r="U25"/>
  <c r="U90" s="1"/>
  <c r="T86"/>
  <c r="W21"/>
  <c r="AD33"/>
  <c r="AD34"/>
  <c r="AD9"/>
  <c r="O66"/>
  <c r="O174" s="1"/>
  <c r="D62"/>
  <c r="E62"/>
  <c r="F62"/>
  <c r="G62"/>
  <c r="G176" s="1"/>
  <c r="H62"/>
  <c r="H176" s="1"/>
  <c r="I62"/>
  <c r="I176" s="1"/>
  <c r="J62"/>
  <c r="J176" s="1"/>
  <c r="K62"/>
  <c r="K176" s="1"/>
  <c r="L62"/>
  <c r="L176" s="1"/>
  <c r="M62"/>
  <c r="M176" s="1"/>
  <c r="N62"/>
  <c r="N176" s="1"/>
  <c r="P62"/>
  <c r="C62"/>
  <c r="C61"/>
  <c r="AC44" l="1"/>
  <c r="AB70"/>
  <c r="U127"/>
  <c r="U137"/>
  <c r="U126"/>
  <c r="U136"/>
  <c r="X23"/>
  <c r="W97"/>
  <c r="W103" s="1"/>
  <c r="U119"/>
  <c r="U121"/>
  <c r="U120"/>
  <c r="U109"/>
  <c r="U93"/>
  <c r="U99" s="1"/>
  <c r="U117"/>
  <c r="U116"/>
  <c r="V18"/>
  <c r="W20"/>
  <c r="V72"/>
  <c r="V27"/>
  <c r="V25"/>
  <c r="U86"/>
  <c r="Z36"/>
  <c r="Z94" s="1"/>
  <c r="Z100" s="1"/>
  <c r="X21"/>
  <c r="P176"/>
  <c r="R176" s="1"/>
  <c r="R62"/>
  <c r="D61"/>
  <c r="E61"/>
  <c r="F61"/>
  <c r="G61"/>
  <c r="H61"/>
  <c r="I61"/>
  <c r="J61"/>
  <c r="K61"/>
  <c r="L61"/>
  <c r="M61"/>
  <c r="N61"/>
  <c r="P61"/>
  <c r="D60"/>
  <c r="E60"/>
  <c r="F60"/>
  <c r="G60"/>
  <c r="H60"/>
  <c r="I60"/>
  <c r="J60"/>
  <c r="K60"/>
  <c r="L60"/>
  <c r="M60"/>
  <c r="N60"/>
  <c r="P60"/>
  <c r="C60"/>
  <c r="AF44" l="1"/>
  <c r="AC70"/>
  <c r="AD44"/>
  <c r="V126"/>
  <c r="V136"/>
  <c r="V127"/>
  <c r="V137"/>
  <c r="V90"/>
  <c r="Y23"/>
  <c r="X97"/>
  <c r="X103" s="1"/>
  <c r="V121"/>
  <c r="V120"/>
  <c r="V119"/>
  <c r="V109"/>
  <c r="V93"/>
  <c r="V99" s="1"/>
  <c r="V117"/>
  <c r="V116"/>
  <c r="W18"/>
  <c r="X20"/>
  <c r="W72"/>
  <c r="W27"/>
  <c r="W25"/>
  <c r="W90" s="1"/>
  <c r="V86"/>
  <c r="AA36"/>
  <c r="AA94" s="1"/>
  <c r="AA100" s="1"/>
  <c r="Y21"/>
  <c r="R60"/>
  <c r="R61"/>
  <c r="C46" i="15"/>
  <c r="T158" i="18" l="1"/>
  <c r="Q182" s="1"/>
  <c r="AF70"/>
  <c r="U158" s="1"/>
  <c r="AD70"/>
  <c r="W127"/>
  <c r="W137"/>
  <c r="W126"/>
  <c r="W136"/>
  <c r="Z23"/>
  <c r="Y97"/>
  <c r="Y103" s="1"/>
  <c r="W109"/>
  <c r="W121"/>
  <c r="W120"/>
  <c r="W119"/>
  <c r="W93"/>
  <c r="W99" s="1"/>
  <c r="W117"/>
  <c r="W116"/>
  <c r="X18"/>
  <c r="Y20"/>
  <c r="X72"/>
  <c r="X27"/>
  <c r="X25"/>
  <c r="W86"/>
  <c r="AB36"/>
  <c r="AB94" s="1"/>
  <c r="AB100" s="1"/>
  <c r="Z21"/>
  <c r="T170"/>
  <c r="T178" s="1"/>
  <c r="C54"/>
  <c r="D54"/>
  <c r="E54"/>
  <c r="F54"/>
  <c r="H54"/>
  <c r="I54"/>
  <c r="J54"/>
  <c r="K54"/>
  <c r="L54"/>
  <c r="L177" s="1"/>
  <c r="M54"/>
  <c r="N54"/>
  <c r="N177" s="1"/>
  <c r="P54"/>
  <c r="P190" s="1"/>
  <c r="D68"/>
  <c r="D175" s="1"/>
  <c r="E68"/>
  <c r="E175" s="1"/>
  <c r="F68"/>
  <c r="F175" s="1"/>
  <c r="G68"/>
  <c r="H68"/>
  <c r="H175" s="1"/>
  <c r="I68"/>
  <c r="I175" s="1"/>
  <c r="J68"/>
  <c r="J175" s="1"/>
  <c r="K68"/>
  <c r="K175" s="1"/>
  <c r="L68"/>
  <c r="L175" s="1"/>
  <c r="M68"/>
  <c r="M175" s="1"/>
  <c r="N68"/>
  <c r="P68"/>
  <c r="D67"/>
  <c r="E67"/>
  <c r="F67"/>
  <c r="G67"/>
  <c r="H67"/>
  <c r="I67"/>
  <c r="J67"/>
  <c r="K67"/>
  <c r="L67"/>
  <c r="M67"/>
  <c r="N67"/>
  <c r="P67"/>
  <c r="D65"/>
  <c r="E65"/>
  <c r="F65"/>
  <c r="G65"/>
  <c r="H65"/>
  <c r="I65"/>
  <c r="J65"/>
  <c r="K65"/>
  <c r="L65"/>
  <c r="M65"/>
  <c r="N65"/>
  <c r="P65"/>
  <c r="D64"/>
  <c r="D66" s="1"/>
  <c r="D174" s="1"/>
  <c r="E64"/>
  <c r="E66" s="1"/>
  <c r="E174" s="1"/>
  <c r="F64"/>
  <c r="G64"/>
  <c r="H64"/>
  <c r="I64"/>
  <c r="J64"/>
  <c r="K64"/>
  <c r="L64"/>
  <c r="M64"/>
  <c r="N64"/>
  <c r="P64"/>
  <c r="D58"/>
  <c r="E58"/>
  <c r="F58"/>
  <c r="G58"/>
  <c r="H58"/>
  <c r="I58"/>
  <c r="J58"/>
  <c r="K58"/>
  <c r="L58"/>
  <c r="M58"/>
  <c r="N58"/>
  <c r="P58"/>
  <c r="D57"/>
  <c r="D173" s="1"/>
  <c r="E57"/>
  <c r="E173" s="1"/>
  <c r="F57"/>
  <c r="F173" s="1"/>
  <c r="G57"/>
  <c r="H57"/>
  <c r="H173" s="1"/>
  <c r="I57"/>
  <c r="I173" s="1"/>
  <c r="J57"/>
  <c r="J173" s="1"/>
  <c r="K57"/>
  <c r="K173" s="1"/>
  <c r="L57"/>
  <c r="L173" s="1"/>
  <c r="M57"/>
  <c r="M173" s="1"/>
  <c r="N57"/>
  <c r="P57"/>
  <c r="C68"/>
  <c r="C175" s="1"/>
  <c r="C67"/>
  <c r="C65"/>
  <c r="C64"/>
  <c r="C58"/>
  <c r="C57"/>
  <c r="C173" s="1"/>
  <c r="D56"/>
  <c r="E56"/>
  <c r="F56"/>
  <c r="G56"/>
  <c r="H56"/>
  <c r="I56"/>
  <c r="J56"/>
  <c r="K56"/>
  <c r="L56"/>
  <c r="M56"/>
  <c r="N56"/>
  <c r="P56"/>
  <c r="C56"/>
  <c r="T124"/>
  <c r="T132"/>
  <c r="T133" s="1"/>
  <c r="T95"/>
  <c r="T101" s="1"/>
  <c r="R140" l="1"/>
  <c r="P189" s="1"/>
  <c r="T106"/>
  <c r="S158"/>
  <c r="P182" s="1"/>
  <c r="X126"/>
  <c r="X136"/>
  <c r="X90"/>
  <c r="X127"/>
  <c r="X137"/>
  <c r="AA23"/>
  <c r="Z97"/>
  <c r="Z103" s="1"/>
  <c r="T88"/>
  <c r="T89"/>
  <c r="T130"/>
  <c r="T129"/>
  <c r="T96"/>
  <c r="T102" s="1"/>
  <c r="T125"/>
  <c r="H177"/>
  <c r="H172"/>
  <c r="X109"/>
  <c r="X120"/>
  <c r="X119"/>
  <c r="X121"/>
  <c r="T108"/>
  <c r="T113"/>
  <c r="T114" s="1"/>
  <c r="X93"/>
  <c r="X99" s="1"/>
  <c r="X117"/>
  <c r="X116"/>
  <c r="T107"/>
  <c r="Y18"/>
  <c r="D172"/>
  <c r="D176" s="1"/>
  <c r="D177"/>
  <c r="E172"/>
  <c r="E176" s="1"/>
  <c r="E177"/>
  <c r="C172"/>
  <c r="C176" s="1"/>
  <c r="C177"/>
  <c r="P172"/>
  <c r="P177"/>
  <c r="R177" s="1"/>
  <c r="K172"/>
  <c r="K177"/>
  <c r="F172"/>
  <c r="F176" s="1"/>
  <c r="F177"/>
  <c r="J172"/>
  <c r="J177"/>
  <c r="M172"/>
  <c r="M177"/>
  <c r="I172"/>
  <c r="I177"/>
  <c r="Z20"/>
  <c r="Y72"/>
  <c r="H66"/>
  <c r="H174" s="1"/>
  <c r="Y27"/>
  <c r="U12"/>
  <c r="U15"/>
  <c r="U124" s="1"/>
  <c r="U13"/>
  <c r="U10"/>
  <c r="U16"/>
  <c r="U132" s="1"/>
  <c r="U133" s="1"/>
  <c r="U6"/>
  <c r="U7"/>
  <c r="Y25"/>
  <c r="Y90" s="1"/>
  <c r="X86"/>
  <c r="U40"/>
  <c r="T87"/>
  <c r="AC36"/>
  <c r="F66"/>
  <c r="F174" s="1"/>
  <c r="L66"/>
  <c r="L174" s="1"/>
  <c r="K66"/>
  <c r="K174" s="1"/>
  <c r="J66"/>
  <c r="J174" s="1"/>
  <c r="AA21"/>
  <c r="C66"/>
  <c r="C174" s="1"/>
  <c r="U170"/>
  <c r="U178" s="1"/>
  <c r="I66"/>
  <c r="I174" s="1"/>
  <c r="R56"/>
  <c r="G173"/>
  <c r="R57"/>
  <c r="R58"/>
  <c r="R65"/>
  <c r="R67"/>
  <c r="G172"/>
  <c r="R54"/>
  <c r="G175"/>
  <c r="R68"/>
  <c r="G66"/>
  <c r="R64"/>
  <c r="N173"/>
  <c r="N172"/>
  <c r="N175"/>
  <c r="P173"/>
  <c r="L172"/>
  <c r="N66"/>
  <c r="M66"/>
  <c r="M174" s="1"/>
  <c r="P175"/>
  <c r="P66"/>
  <c r="T65"/>
  <c r="C6" i="12"/>
  <c r="C26" i="15"/>
  <c r="C58"/>
  <c r="C57"/>
  <c r="C54"/>
  <c r="C53"/>
  <c r="C50"/>
  <c r="C49"/>
  <c r="C45"/>
  <c r="T189" i="18" l="1"/>
  <c r="T188" s="1"/>
  <c r="U95"/>
  <c r="U101" s="1"/>
  <c r="U52"/>
  <c r="U91" s="1"/>
  <c r="U190"/>
  <c r="V190" s="1"/>
  <c r="W190" s="1"/>
  <c r="X190" s="1"/>
  <c r="Y190" s="1"/>
  <c r="Z190" s="1"/>
  <c r="AA190" s="1"/>
  <c r="AB190" s="1"/>
  <c r="AC190" s="1"/>
  <c r="AD190" s="1"/>
  <c r="AE190" s="1"/>
  <c r="AF190" s="1"/>
  <c r="AG190" s="1"/>
  <c r="AH190" s="1"/>
  <c r="AI190" s="1"/>
  <c r="AJ190" s="1"/>
  <c r="AK190" s="1"/>
  <c r="AL190" s="1"/>
  <c r="AM190" s="1"/>
  <c r="AN190" s="1"/>
  <c r="AO190" s="1"/>
  <c r="AP190" s="1"/>
  <c r="AQ190" s="1"/>
  <c r="AR190" s="1"/>
  <c r="AS190" s="1"/>
  <c r="AT190" s="1"/>
  <c r="U106"/>
  <c r="Y126"/>
  <c r="Y136"/>
  <c r="Y127"/>
  <c r="Y137"/>
  <c r="AF36"/>
  <c r="AC94"/>
  <c r="AB23"/>
  <c r="AA97"/>
  <c r="AA103" s="1"/>
  <c r="U130"/>
  <c r="U129"/>
  <c r="U96"/>
  <c r="U102" s="1"/>
  <c r="U125"/>
  <c r="U89"/>
  <c r="Y119"/>
  <c r="Y120"/>
  <c r="Y121"/>
  <c r="Y109"/>
  <c r="Y93"/>
  <c r="Y99" s="1"/>
  <c r="Y117"/>
  <c r="Y116"/>
  <c r="U107"/>
  <c r="U108"/>
  <c r="Z18"/>
  <c r="AA20"/>
  <c r="Z72"/>
  <c r="T64"/>
  <c r="T81"/>
  <c r="T60"/>
  <c r="T62"/>
  <c r="T176" s="1"/>
  <c r="T68"/>
  <c r="T175" s="1"/>
  <c r="T78"/>
  <c r="T80"/>
  <c r="T134" s="1"/>
  <c r="T51"/>
  <c r="T50"/>
  <c r="T171" s="1"/>
  <c r="T61"/>
  <c r="T57"/>
  <c r="T58"/>
  <c r="T67"/>
  <c r="T56"/>
  <c r="T82"/>
  <c r="T54"/>
  <c r="T177" s="1"/>
  <c r="Z27"/>
  <c r="V15"/>
  <c r="V124" s="1"/>
  <c r="V13"/>
  <c r="V12"/>
  <c r="T66"/>
  <c r="V16"/>
  <c r="V132" s="1"/>
  <c r="V133" s="1"/>
  <c r="V10"/>
  <c r="V7"/>
  <c r="V6"/>
  <c r="AD36"/>
  <c r="Z25"/>
  <c r="Z90" s="1"/>
  <c r="Y86"/>
  <c r="V40"/>
  <c r="U88"/>
  <c r="U87"/>
  <c r="U42"/>
  <c r="T75"/>
  <c r="T76"/>
  <c r="T77"/>
  <c r="T74"/>
  <c r="AB21"/>
  <c r="V170"/>
  <c r="V178" s="1"/>
  <c r="R173"/>
  <c r="R172"/>
  <c r="R175"/>
  <c r="G174"/>
  <c r="R66"/>
  <c r="N174"/>
  <c r="P174"/>
  <c r="C16" i="15"/>
  <c r="C21"/>
  <c r="C10"/>
  <c r="V95" i="18" l="1"/>
  <c r="V101" s="1"/>
  <c r="V52"/>
  <c r="V91" s="1"/>
  <c r="U191"/>
  <c r="V191" s="1"/>
  <c r="W191" s="1"/>
  <c r="X191" s="1"/>
  <c r="Y191" s="1"/>
  <c r="Z191" s="1"/>
  <c r="AA191" s="1"/>
  <c r="AB191" s="1"/>
  <c r="AC191" s="1"/>
  <c r="AD191" s="1"/>
  <c r="AE191" s="1"/>
  <c r="AF191" s="1"/>
  <c r="AG191" s="1"/>
  <c r="AH191" s="1"/>
  <c r="AI191" s="1"/>
  <c r="AJ191" s="1"/>
  <c r="AK191" s="1"/>
  <c r="AL191" s="1"/>
  <c r="AM191" s="1"/>
  <c r="AN191" s="1"/>
  <c r="AO191" s="1"/>
  <c r="AP191" s="1"/>
  <c r="AQ191" s="1"/>
  <c r="AR191" s="1"/>
  <c r="AS191" s="1"/>
  <c r="AT191" s="1"/>
  <c r="AD94"/>
  <c r="AC100"/>
  <c r="AD100" s="1"/>
  <c r="U189"/>
  <c r="V189" s="1"/>
  <c r="W189" s="1"/>
  <c r="X189" s="1"/>
  <c r="Y189" s="1"/>
  <c r="Z189" s="1"/>
  <c r="AA189" s="1"/>
  <c r="AB189" s="1"/>
  <c r="AC189" s="1"/>
  <c r="AD189" s="1"/>
  <c r="V106"/>
  <c r="U111"/>
  <c r="U112" s="1"/>
  <c r="U113" s="1"/>
  <c r="U114" s="1"/>
  <c r="U55"/>
  <c r="Z126"/>
  <c r="Z136"/>
  <c r="Z127"/>
  <c r="Z137"/>
  <c r="AC23"/>
  <c r="AB97"/>
  <c r="AB103" s="1"/>
  <c r="V96"/>
  <c r="V102" s="1"/>
  <c r="V125"/>
  <c r="V130"/>
  <c r="V129"/>
  <c r="V89"/>
  <c r="Z121"/>
  <c r="Z120"/>
  <c r="Z119"/>
  <c r="Z109"/>
  <c r="U64"/>
  <c r="Z93"/>
  <c r="Z99" s="1"/>
  <c r="Z117"/>
  <c r="Z116"/>
  <c r="V107"/>
  <c r="V108"/>
  <c r="U60"/>
  <c r="AA18"/>
  <c r="AB20"/>
  <c r="AA72"/>
  <c r="U62"/>
  <c r="U176" s="1"/>
  <c r="U68"/>
  <c r="U175" s="1"/>
  <c r="U78"/>
  <c r="U80"/>
  <c r="U134" s="1"/>
  <c r="U50"/>
  <c r="U171" s="1"/>
  <c r="U51"/>
  <c r="U57"/>
  <c r="U56"/>
  <c r="U67"/>
  <c r="U82"/>
  <c r="U61"/>
  <c r="U58"/>
  <c r="U54"/>
  <c r="U177" s="1"/>
  <c r="U65"/>
  <c r="U81"/>
  <c r="AA27"/>
  <c r="W13"/>
  <c r="W12"/>
  <c r="W15"/>
  <c r="W124" s="1"/>
  <c r="W10"/>
  <c r="W16"/>
  <c r="W132" s="1"/>
  <c r="W133" s="1"/>
  <c r="W6"/>
  <c r="W7"/>
  <c r="W40"/>
  <c r="V88"/>
  <c r="V87"/>
  <c r="AA25"/>
  <c r="AA90" s="1"/>
  <c r="Z86"/>
  <c r="V42"/>
  <c r="U77"/>
  <c r="U76"/>
  <c r="U75"/>
  <c r="U74"/>
  <c r="AC21"/>
  <c r="AF21" s="1"/>
  <c r="T174"/>
  <c r="W170"/>
  <c r="W178" s="1"/>
  <c r="T172"/>
  <c r="T173"/>
  <c r="R174"/>
  <c r="D31" i="8"/>
  <c r="D29"/>
  <c r="D28"/>
  <c r="D13"/>
  <c r="D30" s="1"/>
  <c r="E14"/>
  <c r="F14" s="1"/>
  <c r="G14" s="1"/>
  <c r="H14" s="1"/>
  <c r="I14" s="1"/>
  <c r="W95" i="18" l="1"/>
  <c r="W101" s="1"/>
  <c r="W52"/>
  <c r="W91" s="1"/>
  <c r="U188"/>
  <c r="V188" s="1"/>
  <c r="W188" s="1"/>
  <c r="X188" s="1"/>
  <c r="Y188" s="1"/>
  <c r="Z188" s="1"/>
  <c r="AA188" s="1"/>
  <c r="AB188" s="1"/>
  <c r="AC188" s="1"/>
  <c r="AD188" s="1"/>
  <c r="AE189"/>
  <c r="AF189" s="1"/>
  <c r="AG189" s="1"/>
  <c r="AH189" s="1"/>
  <c r="AI189" s="1"/>
  <c r="AJ189" s="1"/>
  <c r="AK189" s="1"/>
  <c r="AL189" s="1"/>
  <c r="AM189" s="1"/>
  <c r="AN189" s="1"/>
  <c r="AO189" s="1"/>
  <c r="AP189" s="1"/>
  <c r="AQ189" s="1"/>
  <c r="AR189" s="1"/>
  <c r="AS189" s="1"/>
  <c r="AT189" s="1"/>
  <c r="W106"/>
  <c r="V111"/>
  <c r="V112" s="1"/>
  <c r="V113" s="1"/>
  <c r="V114" s="1"/>
  <c r="V55"/>
  <c r="AA126"/>
  <c r="AA136"/>
  <c r="AA127"/>
  <c r="AA137"/>
  <c r="AF23"/>
  <c r="AC97"/>
  <c r="AD23"/>
  <c r="W89"/>
  <c r="W129"/>
  <c r="W130"/>
  <c r="W96"/>
  <c r="W102" s="1"/>
  <c r="W125"/>
  <c r="AA121"/>
  <c r="AA120"/>
  <c r="AA119"/>
  <c r="AA109"/>
  <c r="V64"/>
  <c r="U66"/>
  <c r="U174" s="1"/>
  <c r="AA93"/>
  <c r="AA99" s="1"/>
  <c r="AA117"/>
  <c r="AA116"/>
  <c r="W108"/>
  <c r="W107"/>
  <c r="AB18"/>
  <c r="AC20"/>
  <c r="AB72"/>
  <c r="V82"/>
  <c r="V81"/>
  <c r="V60"/>
  <c r="V68"/>
  <c r="V175" s="1"/>
  <c r="V67"/>
  <c r="V62"/>
  <c r="V176" s="1"/>
  <c r="V65"/>
  <c r="V56"/>
  <c r="V78"/>
  <c r="V80"/>
  <c r="V134" s="1"/>
  <c r="V51"/>
  <c r="V50"/>
  <c r="V171" s="1"/>
  <c r="V61"/>
  <c r="V57"/>
  <c r="V58"/>
  <c r="V54"/>
  <c r="V177" s="1"/>
  <c r="AB27"/>
  <c r="X12"/>
  <c r="X15"/>
  <c r="X124" s="1"/>
  <c r="X13"/>
  <c r="X16"/>
  <c r="X132" s="1"/>
  <c r="X133" s="1"/>
  <c r="X10"/>
  <c r="X7"/>
  <c r="X6"/>
  <c r="AB25"/>
  <c r="AA86"/>
  <c r="X40"/>
  <c r="W87"/>
  <c r="W88"/>
  <c r="W42"/>
  <c r="V77"/>
  <c r="V75"/>
  <c r="V76"/>
  <c r="V74"/>
  <c r="AD21"/>
  <c r="X170"/>
  <c r="X178" s="1"/>
  <c r="U172"/>
  <c r="U173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X95" i="18" l="1"/>
  <c r="X101" s="1"/>
  <c r="X52"/>
  <c r="X91" s="1"/>
  <c r="AE188"/>
  <c r="AF188" s="1"/>
  <c r="AG188" s="1"/>
  <c r="AH188" s="1"/>
  <c r="AI188" s="1"/>
  <c r="AJ188" s="1"/>
  <c r="AK188" s="1"/>
  <c r="AL188" s="1"/>
  <c r="AM188" s="1"/>
  <c r="AN188" s="1"/>
  <c r="AO188" s="1"/>
  <c r="AP188" s="1"/>
  <c r="AQ188" s="1"/>
  <c r="AR188" s="1"/>
  <c r="AS188" s="1"/>
  <c r="AT188" s="1"/>
  <c r="AD97"/>
  <c r="AC103"/>
  <c r="AD103" s="1"/>
  <c r="X106"/>
  <c r="W111"/>
  <c r="W112" s="1"/>
  <c r="W113" s="1"/>
  <c r="W114" s="1"/>
  <c r="W55"/>
  <c r="AB126"/>
  <c r="AB136"/>
  <c r="AB127"/>
  <c r="AB137"/>
  <c r="AF20"/>
  <c r="AB90"/>
  <c r="X130"/>
  <c r="X129"/>
  <c r="X96"/>
  <c r="X102" s="1"/>
  <c r="X125"/>
  <c r="X89"/>
  <c r="AB120"/>
  <c r="AB119"/>
  <c r="AB121"/>
  <c r="AB109"/>
  <c r="V66"/>
  <c r="V174" s="1"/>
  <c r="AB93"/>
  <c r="AB99" s="1"/>
  <c r="AB117"/>
  <c r="AB116"/>
  <c r="W67"/>
  <c r="X108"/>
  <c r="X107"/>
  <c r="AC18"/>
  <c r="W82"/>
  <c r="W58"/>
  <c r="W65"/>
  <c r="AD20"/>
  <c r="AC72"/>
  <c r="W56"/>
  <c r="W64"/>
  <c r="W61"/>
  <c r="W81"/>
  <c r="W57"/>
  <c r="W62"/>
  <c r="W176" s="1"/>
  <c r="W78"/>
  <c r="W80"/>
  <c r="W134" s="1"/>
  <c r="W50"/>
  <c r="W171" s="1"/>
  <c r="W51"/>
  <c r="W60"/>
  <c r="W68"/>
  <c r="W175" s="1"/>
  <c r="W54"/>
  <c r="W177" s="1"/>
  <c r="AC27"/>
  <c r="AC137" s="1"/>
  <c r="AD137" s="1"/>
  <c r="Y15"/>
  <c r="Y124" s="1"/>
  <c r="Y13"/>
  <c r="Y12"/>
  <c r="Y10"/>
  <c r="Y16"/>
  <c r="Y132" s="1"/>
  <c r="Y133" s="1"/>
  <c r="Y6"/>
  <c r="Y7"/>
  <c r="Y40"/>
  <c r="X88"/>
  <c r="X87"/>
  <c r="AC25"/>
  <c r="AC90" s="1"/>
  <c r="AD90" s="1"/>
  <c r="AB86"/>
  <c r="X42"/>
  <c r="W77"/>
  <c r="W75"/>
  <c r="W76"/>
  <c r="W74"/>
  <c r="Y170"/>
  <c r="Y178" s="1"/>
  <c r="V172"/>
  <c r="V173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Y95" i="18" l="1"/>
  <c r="Y101" s="1"/>
  <c r="Y52"/>
  <c r="Y91" s="1"/>
  <c r="Y106"/>
  <c r="X111"/>
  <c r="X112" s="1"/>
  <c r="X113" s="1"/>
  <c r="X114" s="1"/>
  <c r="X55"/>
  <c r="AC126"/>
  <c r="AD126" s="1"/>
  <c r="AC136"/>
  <c r="AD136" s="1"/>
  <c r="Y96"/>
  <c r="Y102" s="1"/>
  <c r="Y125"/>
  <c r="Y130"/>
  <c r="Y129"/>
  <c r="AF27"/>
  <c r="AC127"/>
  <c r="AD127" s="1"/>
  <c r="Y89"/>
  <c r="AC119"/>
  <c r="AD119" s="1"/>
  <c r="AC121"/>
  <c r="AD121" s="1"/>
  <c r="AC120"/>
  <c r="AD120" s="1"/>
  <c r="N32" i="9"/>
  <c r="N33" s="1"/>
  <c r="N34" s="1"/>
  <c r="N35" s="1"/>
  <c r="N36" s="1"/>
  <c r="N37" s="1"/>
  <c r="N38" s="1"/>
  <c r="N39" s="1"/>
  <c r="N40" s="1"/>
  <c r="N41" s="1"/>
  <c r="N42" s="1"/>
  <c r="M45"/>
  <c r="AC109" i="18"/>
  <c r="AD109" s="1"/>
  <c r="W66"/>
  <c r="W174" s="1"/>
  <c r="X65"/>
  <c r="AC93"/>
  <c r="AC117"/>
  <c r="AD117" s="1"/>
  <c r="AC116"/>
  <c r="AD116" s="1"/>
  <c r="Y108"/>
  <c r="Y107"/>
  <c r="AF25"/>
  <c r="AF18"/>
  <c r="AD18"/>
  <c r="T160"/>
  <c r="AF72"/>
  <c r="AD72"/>
  <c r="M32" i="9"/>
  <c r="M33" s="1"/>
  <c r="M34" s="1"/>
  <c r="M35" s="1"/>
  <c r="M36" s="1"/>
  <c r="M37" s="1"/>
  <c r="M38" s="1"/>
  <c r="M39" s="1"/>
  <c r="M40" s="1"/>
  <c r="M41" s="1"/>
  <c r="P32"/>
  <c r="X68" i="18"/>
  <c r="X175" s="1"/>
  <c r="X67"/>
  <c r="X62"/>
  <c r="X176" s="1"/>
  <c r="X64"/>
  <c r="X61"/>
  <c r="X81"/>
  <c r="X60"/>
  <c r="X82"/>
  <c r="X78"/>
  <c r="X80"/>
  <c r="X134" s="1"/>
  <c r="X51"/>
  <c r="X50"/>
  <c r="X171" s="1"/>
  <c r="X56"/>
  <c r="X57"/>
  <c r="X58"/>
  <c r="X54"/>
  <c r="X177" s="1"/>
  <c r="AD27"/>
  <c r="Z12"/>
  <c r="Z15"/>
  <c r="Z124" s="1"/>
  <c r="Z13"/>
  <c r="Z10"/>
  <c r="Z16"/>
  <c r="Z132" s="1"/>
  <c r="Z133" s="1"/>
  <c r="Z7"/>
  <c r="Z6"/>
  <c r="AD25"/>
  <c r="AC86"/>
  <c r="AD86" s="1"/>
  <c r="Z40"/>
  <c r="Y88"/>
  <c r="Y87"/>
  <c r="O31" i="9"/>
  <c r="O32" s="1"/>
  <c r="Y42" i="18"/>
  <c r="X77"/>
  <c r="X75"/>
  <c r="X76"/>
  <c r="X74"/>
  <c r="Z170"/>
  <c r="Z178" s="1"/>
  <c r="W172"/>
  <c r="W173"/>
  <c r="P31" i="11"/>
  <c r="N32"/>
  <c r="T19" i="9"/>
  <c r="D22"/>
  <c r="Z95" i="18" l="1"/>
  <c r="Z101" s="1"/>
  <c r="Z52"/>
  <c r="Z91" s="1"/>
  <c r="AD93"/>
  <c r="AC99"/>
  <c r="AD99" s="1"/>
  <c r="Z106"/>
  <c r="Y111"/>
  <c r="Y112" s="1"/>
  <c r="Y113" s="1"/>
  <c r="Y114" s="1"/>
  <c r="Y55"/>
  <c r="Z130"/>
  <c r="Z129"/>
  <c r="Z96"/>
  <c r="Z102" s="1"/>
  <c r="Z125"/>
  <c r="Z89"/>
  <c r="X66"/>
  <c r="X174" s="1"/>
  <c r="Y58"/>
  <c r="Z107"/>
  <c r="Z108"/>
  <c r="U160"/>
  <c r="S160" s="1"/>
  <c r="Y60"/>
  <c r="Y67"/>
  <c r="Y54"/>
  <c r="Y177" s="1"/>
  <c r="Y62"/>
  <c r="Y176" s="1"/>
  <c r="Y57"/>
  <c r="Y56"/>
  <c r="Y78"/>
  <c r="Y80"/>
  <c r="Y134" s="1"/>
  <c r="Y51"/>
  <c r="Y50"/>
  <c r="Y171" s="1"/>
  <c r="Y82"/>
  <c r="Y61"/>
  <c r="Y68"/>
  <c r="Y175" s="1"/>
  <c r="Y65"/>
  <c r="Y64"/>
  <c r="Y81"/>
  <c r="AA13"/>
  <c r="AA12"/>
  <c r="AA15"/>
  <c r="AA124" s="1"/>
  <c r="AA10"/>
  <c r="AA16"/>
  <c r="AA132" s="1"/>
  <c r="AA133" s="1"/>
  <c r="AA6"/>
  <c r="AA7"/>
  <c r="AA40"/>
  <c r="Z88"/>
  <c r="Z87"/>
  <c r="Z42"/>
  <c r="Y77"/>
  <c r="Y75"/>
  <c r="Y76"/>
  <c r="Y74"/>
  <c r="AA170"/>
  <c r="AA178" s="1"/>
  <c r="X172"/>
  <c r="X173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A95" i="18" l="1"/>
  <c r="AA101" s="1"/>
  <c r="AA52"/>
  <c r="AA91" s="1"/>
  <c r="AA106"/>
  <c r="Z111"/>
  <c r="Z112" s="1"/>
  <c r="Z113" s="1"/>
  <c r="Z114" s="1"/>
  <c r="Z55"/>
  <c r="AA96"/>
  <c r="AA102" s="1"/>
  <c r="AA125"/>
  <c r="AA129"/>
  <c r="AA130"/>
  <c r="AA89"/>
  <c r="AA107"/>
  <c r="AA108"/>
  <c r="Y66"/>
  <c r="Y174" s="1"/>
  <c r="Z78"/>
  <c r="Z80"/>
  <c r="Z134" s="1"/>
  <c r="Z50"/>
  <c r="Z171" s="1"/>
  <c r="Z51"/>
  <c r="Z62"/>
  <c r="Z176" s="1"/>
  <c r="Z68"/>
  <c r="Z175" s="1"/>
  <c r="Z67"/>
  <c r="Z65"/>
  <c r="Z56"/>
  <c r="Z54"/>
  <c r="Z177" s="1"/>
  <c r="Z61"/>
  <c r="Z57"/>
  <c r="Z58"/>
  <c r="Z64"/>
  <c r="Z81"/>
  <c r="Z60"/>
  <c r="Z82"/>
  <c r="AB12"/>
  <c r="AB15"/>
  <c r="AB124" s="1"/>
  <c r="AB13"/>
  <c r="AB10"/>
  <c r="AB16"/>
  <c r="AB132" s="1"/>
  <c r="AB133" s="1"/>
  <c r="AB7"/>
  <c r="AB6"/>
  <c r="AB40"/>
  <c r="AA87"/>
  <c r="AA88"/>
  <c r="AA42"/>
  <c r="Z77"/>
  <c r="Z75"/>
  <c r="Z76"/>
  <c r="Z74"/>
  <c r="AB170"/>
  <c r="AB178" s="1"/>
  <c r="Y172"/>
  <c r="Y173"/>
  <c r="N34" i="11"/>
  <c r="O33"/>
  <c r="D25" i="8"/>
  <c r="D23"/>
  <c r="AB95" i="18" l="1"/>
  <c r="AB101" s="1"/>
  <c r="AB52"/>
  <c r="AB91" s="1"/>
  <c r="AB106"/>
  <c r="AA111"/>
  <c r="AA112" s="1"/>
  <c r="AA113" s="1"/>
  <c r="AA114" s="1"/>
  <c r="AA55"/>
  <c r="AB89"/>
  <c r="AB129"/>
  <c r="AB130"/>
  <c r="AB96"/>
  <c r="AB102" s="1"/>
  <c r="AB125"/>
  <c r="AB107"/>
  <c r="AB108"/>
  <c r="Z66"/>
  <c r="Z174" s="1"/>
  <c r="AA78"/>
  <c r="AA80"/>
  <c r="AA134" s="1"/>
  <c r="AA51"/>
  <c r="AA50"/>
  <c r="AA171" s="1"/>
  <c r="AA56"/>
  <c r="AA67"/>
  <c r="AA57"/>
  <c r="AA62"/>
  <c r="AA176" s="1"/>
  <c r="AA65"/>
  <c r="AA64"/>
  <c r="AA82"/>
  <c r="AA68"/>
  <c r="AA175" s="1"/>
  <c r="AA54"/>
  <c r="AA177" s="1"/>
  <c r="AA61"/>
  <c r="AA81"/>
  <c r="AA60"/>
  <c r="AA58"/>
  <c r="AC15"/>
  <c r="AC13"/>
  <c r="AF13" s="1"/>
  <c r="AC12"/>
  <c r="AC125" s="1"/>
  <c r="AD125" s="1"/>
  <c r="AC10"/>
  <c r="AC16"/>
  <c r="AC6"/>
  <c r="AF6" s="1"/>
  <c r="AC7"/>
  <c r="AF7" s="1"/>
  <c r="AC40"/>
  <c r="AB88"/>
  <c r="AB87"/>
  <c r="AB42"/>
  <c r="AA77"/>
  <c r="AA75"/>
  <c r="AA76"/>
  <c r="AA74"/>
  <c r="AC170"/>
  <c r="AC178" s="1"/>
  <c r="Z172"/>
  <c r="Z173"/>
  <c r="N35" i="11"/>
  <c r="O34"/>
  <c r="D35" i="8"/>
  <c r="E5"/>
  <c r="E18" s="1"/>
  <c r="D18"/>
  <c r="D19"/>
  <c r="D21"/>
  <c r="D20"/>
  <c r="AC95" i="18" l="1"/>
  <c r="AC101" s="1"/>
  <c r="AD101" s="1"/>
  <c r="AC52"/>
  <c r="AC106"/>
  <c r="AD178"/>
  <c r="AF178" s="1"/>
  <c r="AB111"/>
  <c r="AB112" s="1"/>
  <c r="AB113" s="1"/>
  <c r="AB114" s="1"/>
  <c r="AB55"/>
  <c r="AF16"/>
  <c r="AC132"/>
  <c r="AC130"/>
  <c r="AD130" s="1"/>
  <c r="AC129"/>
  <c r="AD129" s="1"/>
  <c r="AF15"/>
  <c r="AC124"/>
  <c r="AD124" s="1"/>
  <c r="AC89"/>
  <c r="AD89" s="1"/>
  <c r="AF10"/>
  <c r="AD106"/>
  <c r="AF12"/>
  <c r="AC96"/>
  <c r="AF40"/>
  <c r="AC107"/>
  <c r="AD107" s="1"/>
  <c r="AC108"/>
  <c r="AD108" s="1"/>
  <c r="AA66"/>
  <c r="AA174" s="1"/>
  <c r="AB78"/>
  <c r="AB80"/>
  <c r="AB134" s="1"/>
  <c r="AB50"/>
  <c r="AB171" s="1"/>
  <c r="AB51"/>
  <c r="AB60"/>
  <c r="AB68"/>
  <c r="AB175" s="1"/>
  <c r="AB54"/>
  <c r="AB177" s="1"/>
  <c r="AB62"/>
  <c r="AB176" s="1"/>
  <c r="AB65"/>
  <c r="AB81"/>
  <c r="AB56"/>
  <c r="AB57"/>
  <c r="AB58"/>
  <c r="AB61"/>
  <c r="AB82"/>
  <c r="AB64"/>
  <c r="AB67"/>
  <c r="AD15"/>
  <c r="AD13"/>
  <c r="T154"/>
  <c r="AD12"/>
  <c r="AD10"/>
  <c r="AD16"/>
  <c r="AD7"/>
  <c r="AD6"/>
  <c r="AC88"/>
  <c r="AD88" s="1"/>
  <c r="AC87"/>
  <c r="AD87" s="1"/>
  <c r="AD40"/>
  <c r="AC42"/>
  <c r="AB77"/>
  <c r="AB75"/>
  <c r="AB76"/>
  <c r="AB74"/>
  <c r="AD170"/>
  <c r="AF170" s="1"/>
  <c r="AA172"/>
  <c r="AA173"/>
  <c r="N36" i="11"/>
  <c r="O35"/>
  <c r="F5" i="8"/>
  <c r="G5" s="1"/>
  <c r="H5" s="1"/>
  <c r="I5" s="1"/>
  <c r="AD95" i="18" l="1"/>
  <c r="AC91"/>
  <c r="AD91" s="1"/>
  <c r="AD52"/>
  <c r="AF52"/>
  <c r="AD96"/>
  <c r="AC102"/>
  <c r="AD102" s="1"/>
  <c r="AC111"/>
  <c r="AC112" s="1"/>
  <c r="AC113" s="1"/>
  <c r="AC114" s="1"/>
  <c r="AC55"/>
  <c r="AD132"/>
  <c r="AC133"/>
  <c r="AD133" s="1"/>
  <c r="AF42"/>
  <c r="U154"/>
  <c r="U155" s="1"/>
  <c r="AB66"/>
  <c r="AB174" s="1"/>
  <c r="AC78"/>
  <c r="AC80"/>
  <c r="AC50"/>
  <c r="AC171" s="1"/>
  <c r="AD171" s="1"/>
  <c r="AF171" s="1"/>
  <c r="AC51"/>
  <c r="AC60"/>
  <c r="AC65"/>
  <c r="AC54"/>
  <c r="AC62"/>
  <c r="AC58"/>
  <c r="AC81"/>
  <c r="AC57"/>
  <c r="AF57" s="1"/>
  <c r="AC56"/>
  <c r="AC67"/>
  <c r="AC82"/>
  <c r="AC61"/>
  <c r="AC68"/>
  <c r="AC64"/>
  <c r="T155"/>
  <c r="Q185" s="1"/>
  <c r="AC77"/>
  <c r="AC75"/>
  <c r="AD42"/>
  <c r="AC76"/>
  <c r="AC74"/>
  <c r="AB172"/>
  <c r="AB173"/>
  <c r="N37" i="11"/>
  <c r="O36"/>
  <c r="F18" i="8"/>
  <c r="G18"/>
  <c r="AF54" i="18" l="1"/>
  <c r="AC177"/>
  <c r="AF55"/>
  <c r="AD55"/>
  <c r="AF80"/>
  <c r="AC134"/>
  <c r="AD134" s="1"/>
  <c r="AD111"/>
  <c r="S154"/>
  <c r="S155"/>
  <c r="AD81"/>
  <c r="AF81"/>
  <c r="AD51"/>
  <c r="AF51"/>
  <c r="T151"/>
  <c r="AF67"/>
  <c r="AC175"/>
  <c r="AD175" s="1"/>
  <c r="AF175" s="1"/>
  <c r="AF68"/>
  <c r="AD50"/>
  <c r="AF50"/>
  <c r="AD65"/>
  <c r="AF65"/>
  <c r="T145"/>
  <c r="AF64"/>
  <c r="T144"/>
  <c r="AF58"/>
  <c r="AC176"/>
  <c r="AD176" s="1"/>
  <c r="AF176" s="1"/>
  <c r="AF62"/>
  <c r="AD61"/>
  <c r="AF61"/>
  <c r="T142"/>
  <c r="Q184" s="1"/>
  <c r="AF56"/>
  <c r="T147"/>
  <c r="AF60"/>
  <c r="AD82"/>
  <c r="AF82"/>
  <c r="T167"/>
  <c r="Q186" s="1"/>
  <c r="AF78"/>
  <c r="T165"/>
  <c r="AF77"/>
  <c r="T164"/>
  <c r="AF76"/>
  <c r="T162"/>
  <c r="AF74"/>
  <c r="T163"/>
  <c r="AF75"/>
  <c r="AD67"/>
  <c r="T148"/>
  <c r="AD56"/>
  <c r="AD58"/>
  <c r="U144" s="1"/>
  <c r="AD60"/>
  <c r="T149"/>
  <c r="Q183" s="1"/>
  <c r="AD78"/>
  <c r="AD64"/>
  <c r="T152"/>
  <c r="AC66"/>
  <c r="AD62"/>
  <c r="AD68"/>
  <c r="AD80"/>
  <c r="AD76"/>
  <c r="AD75"/>
  <c r="AD74"/>
  <c r="AD77"/>
  <c r="T141"/>
  <c r="Q187" s="1"/>
  <c r="Q188" s="1"/>
  <c r="AD54"/>
  <c r="AC172"/>
  <c r="AD57"/>
  <c r="U143" s="1"/>
  <c r="AC173"/>
  <c r="T143"/>
  <c r="N38" i="11"/>
  <c r="O37"/>
  <c r="H18" i="8"/>
  <c r="M185" i="18" l="1"/>
  <c r="P185"/>
  <c r="AD177"/>
  <c r="AF177" s="1"/>
  <c r="U141"/>
  <c r="S141" s="1"/>
  <c r="AD112"/>
  <c r="U152"/>
  <c r="S152" s="1"/>
  <c r="U142"/>
  <c r="S142" s="1"/>
  <c r="U151"/>
  <c r="S151" s="1"/>
  <c r="U147"/>
  <c r="S147" s="1"/>
  <c r="U149"/>
  <c r="S149" s="1"/>
  <c r="P183" s="1"/>
  <c r="U167"/>
  <c r="S167" s="1"/>
  <c r="P186" s="1"/>
  <c r="U164"/>
  <c r="S164" s="1"/>
  <c r="AD66"/>
  <c r="AF66"/>
  <c r="U145"/>
  <c r="S145" s="1"/>
  <c r="S144"/>
  <c r="U148"/>
  <c r="S148" s="1"/>
  <c r="U162"/>
  <c r="S162" s="1"/>
  <c r="AC174"/>
  <c r="AD174" s="1"/>
  <c r="AF174" s="1"/>
  <c r="U165"/>
  <c r="S165" s="1"/>
  <c r="U163"/>
  <c r="S163" s="1"/>
  <c r="AD173"/>
  <c r="AF173" s="1"/>
  <c r="AD172"/>
  <c r="AF172" s="1"/>
  <c r="S143"/>
  <c r="N39" i="11"/>
  <c r="O38"/>
  <c r="I18" i="8"/>
  <c r="P187" i="18" l="1"/>
  <c r="P188" s="1"/>
  <c r="M184"/>
  <c r="P184"/>
  <c r="M186"/>
  <c r="M183"/>
  <c r="AD114"/>
  <c r="AD113"/>
  <c r="N40" i="11"/>
  <c r="O39"/>
  <c r="N41" l="1"/>
  <c r="O40"/>
  <c r="N42" l="1"/>
  <c r="O41"/>
</calcChain>
</file>

<file path=xl/comments1.xml><?xml version="1.0" encoding="utf-8"?>
<comments xmlns="http://schemas.openxmlformats.org/spreadsheetml/2006/main">
  <authors>
    <author>Author</author>
  </authors>
  <commentList>
    <comment ref="B13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<sst xmlns="http://schemas.openxmlformats.org/spreadsheetml/2006/main" count="640" uniqueCount="449">
  <si>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</si>
  <si>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</si>
  <si>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</si>
  <si>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</si>
  <si>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</si>
  <si>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</si>
  <si>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</si>
  <si>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</si>
  <si>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</si>
  <si>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</si>
  <si>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</si>
  <si>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</si>
  <si>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</si>
  <si>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</si>
  <si>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</si>
  <si>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</si>
  <si>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</si>
  <si>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</si>
  <si>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</si>
  <si>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</si>
  <si>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</si>
  <si>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</si>
  <si>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</si>
  <si>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</si>
  <si>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</si>
  <si>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</si>
  <si>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</si>
  <si>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</si>
  <si>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</si>
  <si>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</si>
  <si>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</si>
  <si>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</si>
  <si>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</si>
  <si>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</si>
  <si>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</si>
  <si>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</si>
  <si>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</si>
  <si>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</si>
  <si>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</si>
  <si>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</si>
  <si>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</si>
  <si>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</si>
  <si>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</si>
  <si>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</si>
  <si>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</si>
  <si>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</si>
  <si>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</si>
  <si>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</si>
  <si>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</si>
  <si>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</si>
  <si>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</si>
  <si>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</si>
  <si>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</si>
  <si>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</si>
  <si>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</si>
  <si>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</si>
  <si>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</si>
  <si>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</si>
  <si>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</si>
  <si>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</si>
  <si>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</si>
  <si>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</si>
  <si>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</si>
  <si>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</si>
  <si>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</si>
  <si>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</si>
  <si>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</si>
  <si>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</si>
  <si>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</si>
  <si>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</si>
  <si>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</si>
  <si>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</si>
  <si>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</si>
  <si>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</si>
  <si>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</si>
  <si>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</si>
  <si>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</si>
  <si>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</si>
  <si>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</si>
  <si>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</si>
  <si>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</si>
  <si>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</si>
  <si>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</si>
  <si>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</si>
  <si>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</si>
  <si>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</si>
  <si>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</si>
  <si>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</si>
  <si>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</si>
  <si>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</si>
  <si>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</si>
  <si>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</si>
  <si>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</si>
  <si>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</si>
  <si>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</si>
  <si>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</si>
  <si>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</si>
  <si>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</si>
  <si>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</si>
  <si>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</si>
  <si>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</si>
  <si>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</si>
  <si>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</si>
  <si>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</si>
  <si>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</si>
  <si>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</si>
  <si>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</si>
  <si>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</si>
  <si>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</si>
  <si>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</si>
  <si>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</si>
  <si>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</si>
  <si>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</si>
  <si>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</si>
  <si>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</si>
  <si>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</si>
  <si>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</si>
  <si>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</si>
  <si>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</si>
  <si>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</si>
  <si>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</si>
  <si>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</si>
  <si>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</si>
  <si>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</si>
  <si>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</si>
  <si>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</si>
  <si>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</si>
  <si>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</si>
  <si>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</si>
  <si>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</si>
  <si>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</si>
  <si>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</si>
  <si>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</si>
  <si>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</si>
  <si>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</si>
  <si>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</si>
  <si>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</si>
  <si>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</si>
  <si>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</si>
  <si>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</si>
  <si>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</si>
  <si>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</si>
  <si>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</si>
  <si>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</si>
  <si>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</si>
  <si>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</si>
  <si>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</si>
  <si>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</si>
  <si>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</si>
  <si>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</si>
  <si>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</si>
  <si>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</si>
  <si>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</si>
  <si>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</si>
  <si>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</si>
  <si>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</si>
  <si>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</si>
  <si>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</si>
  <si>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</si>
  <si>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</si>
  <si>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</si>
  <si>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</si>
  <si>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</si>
  <si>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</si>
  <si>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</si>
  <si>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</si>
  <si>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</si>
  <si>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</si>
  <si>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</si>
  <si>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</si>
  <si>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</si>
  <si>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</si>
  <si>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</si>
  <si>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</si>
  <si>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</si>
  <si>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</si>
  <si>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</si>
  <si>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</si>
  <si>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</si>
  <si>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</si>
  <si>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</si>
  <si>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</si>
  <si>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</si>
  <si>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</si>
  <si>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</si>
  <si>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</si>
  <si>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</si>
  <si>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</si>
  <si>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</si>
  <si>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</si>
  <si>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</si>
  <si>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</si>
  <si>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</si>
  <si>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</si>
  <si>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</si>
  <si>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</si>
  <si>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</si>
  <si>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</si>
  <si>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</si>
  <si>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</si>
  <si>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</si>
  <si>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</si>
  <si>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</si>
  <si>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</si>
  <si>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</si>
  <si>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</si>
  <si>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</si>
  <si>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</si>
  <si>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</si>
  <si>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</si>
  <si>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</si>
  <si>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</si>
  <si>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</si>
  <si>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</si>
  <si>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</si>
  <si>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</si>
  <si>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</si>
  <si>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</si>
  <si>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</si>
  <si>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</si>
  <si>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</si>
  <si>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</si>
  <si>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</si>
  <si>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</si>
  <si>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</si>
  <si>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</si>
  <si>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</si>
  <si>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</si>
  <si>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</si>
  <si>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</si>
  <si>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</si>
  <si>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</si>
  <si>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</si>
  <si>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</si>
  <si>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</si>
  <si>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</si>
  <si>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</si>
  <si>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</si>
  <si>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</si>
  <si>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</si>
  <si>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</si>
  <si>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</si>
  <si>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</si>
  <si>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</si>
  <si>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</si>
  <si>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</si>
  <si>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</si>
  <si>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</si>
  <si>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</si>
  <si>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</si>
  <si>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</si>
  <si>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</si>
  <si>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</si>
  <si>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</si>
  <si>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</si>
  <si>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</si>
  <si>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</si>
  <si>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</si>
  <si>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</si>
  <si>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</si>
  <si>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</si>
  <si>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</si>
  <si>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</si>
  <si>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</si>
  <si>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</si>
  <si>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</si>
  <si>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</si>
  <si>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</si>
  <si>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</si>
  <si>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</si>
  <si>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</si>
  <si>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</si>
  <si>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</si>
  <si>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</si>
  <si>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</si>
  <si>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</si>
  <si>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</si>
  <si>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</si>
  <si>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</si>
  <si>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</si>
  <si>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</si>
  <si>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</si>
  <si>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</si>
  <si>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</si>
  <si>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</si>
  <si>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</si>
  <si>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</si>
  <si>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</si>
  <si>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</si>
  <si>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</si>
  <si>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</si>
  <si>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</si>
  <si>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</si>
  <si>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</si>
  <si>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</si>
  <si>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</si>
  <si>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</si>
  <si>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</si>
  <si>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</si>
  <si>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</si>
  <si>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</si>
  <si>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</si>
  <si>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</si>
  <si>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</si>
  <si>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</si>
  <si>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</si>
  <si>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</si>
  <si>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</si>
  <si>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</si>
  <si>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</si>
  <si>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</si>
  <si>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</si>
  <si>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</si>
  <si>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</si>
  <si>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</si>
  <si>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</si>
  <si>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</si>
  <si>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</si>
  <si>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</si>
  <si>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</si>
  <si>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</si>
  <si>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</si>
  <si>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</si>
  <si>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</si>
  <si>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</si>
  <si>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</si>
  <si>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</si>
  <si>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</si>
  <si>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</si>
  <si>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</si>
  <si>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</si>
  <si>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</si>
  <si>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</si>
  <si>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</si>
  <si>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</si>
  <si>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</si>
  <si>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</si>
  <si>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</si>
  <si>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</si>
  <si>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</si>
  <si>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</si>
  <si>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</si>
  <si>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</si>
  <si>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</si>
  <si>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</si>
  <si>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</si>
  <si>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</si>
  <si>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</si>
  <si>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</si>
  <si>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</si>
  <si>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</si>
  <si>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</si>
  <si>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</si>
  <si>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</si>
  <si>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</si>
  <si>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</si>
  <si>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</si>
  <si>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</si>
  <si>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</si>
  <si>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</si>
  <si>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</si>
  <si>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</si>
  <si>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</si>
  <si>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</si>
  <si>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</si>
  <si>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</si>
  <si>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</si>
  <si>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</si>
  <si>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</si>
  <si>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</si>
  <si>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</si>
  <si>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</si>
  <si>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</si>
  <si>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</si>
  <si>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</si>
  <si>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</si>
  <si>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</si>
  <si>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</si>
  <si>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</si>
  <si>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</si>
  <si>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</si>
  <si>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</si>
  <si>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</si>
  <si>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</si>
  <si>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</si>
  <si>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</si>
  <si>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</si>
  <si>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</si>
  <si>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</si>
  <si>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</si>
  <si>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</si>
  <si>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</si>
  <si>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</si>
  <si>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</si>
  <si>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</si>
  <si>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</si>
  <si>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</si>
  <si>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</si>
  <si>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</si>
  <si>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</si>
  <si>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</si>
  <si>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</si>
  <si>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</si>
  <si>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</si>
  <si>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</si>
  <si>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</si>
  <si>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</si>
  <si>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</si>
  <si>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</si>
  <si>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</si>
  <si>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</si>
  <si>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</si>
  <si>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</si>
  <si>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</si>
  <si>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</si>
  <si>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</si>
  <si>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</si>
  <si>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</si>
  <si>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</si>
  <si>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</si>
  <si>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</si>
  <si>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</si>
  <si>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</si>
  <si>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</si>
  <si>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</si>
  <si>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</si>
  <si>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</si>
  <si>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</si>
  <si>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</si>
  <si>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</si>
  <si>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</si>
  <si>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</si>
  <si>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</si>
  <si>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</si>
  <si>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</si>
  <si>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</si>
  <si>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</si>
  <si>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</si>
  <si>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</si>
  <si>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</si>
  <si>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</si>
  <si>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</si>
  <si>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</si>
  <si>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</si>
  <si>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</si>
  <si>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</si>
  <si>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1x2</t>
  </si>
  <si>
    <t>1x1</t>
  </si>
  <si>
    <t>10x5</t>
  </si>
</sst>
</file>

<file path=xl/styles.xml><?xml version="1.0" encoding="utf-8"?>
<styleSheet xmlns="http://schemas.openxmlformats.org/spreadsheetml/2006/main">
  <numFmts count="1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  <numFmt numFmtId="176" formatCode="#,##0.00_ ;[Red]\-#,##0.00\ "/>
    <numFmt numFmtId="177" formatCode="#,##0_ ;[Red]\-#,##0\ "/>
    <numFmt numFmtId="178" formatCode="0_);[Red]\(0\)"/>
    <numFmt numFmtId="179" formatCode="0.00_);[Red]\(0.00\)"/>
    <numFmt numFmtId="180" formatCode="#,##0.0_ ;[Red]\-#,##0.0\ "/>
    <numFmt numFmtId="181" formatCode="#,##0.0;[Red]\-#,##0.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6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165" fontId="8" fillId="5" borderId="1" xfId="2" applyNumberFormat="1" applyFont="1" applyFill="1" applyBorder="1"/>
    <xf numFmtId="177" fontId="4" fillId="5" borderId="1" xfId="2" applyNumberFormat="1" applyFont="1" applyFill="1" applyBorder="1"/>
    <xf numFmtId="177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7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7" fontId="4" fillId="5" borderId="1" xfId="0" applyNumberFormat="1" applyFont="1" applyFill="1" applyBorder="1"/>
    <xf numFmtId="177" fontId="5" fillId="5" borderId="1" xfId="0" applyNumberFormat="1" applyFont="1" applyFill="1" applyBorder="1"/>
    <xf numFmtId="177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165" fontId="11" fillId="5" borderId="1" xfId="2" applyNumberFormat="1" applyFont="1" applyFill="1" applyBorder="1"/>
    <xf numFmtId="40" fontId="5" fillId="5" borderId="1" xfId="0" applyNumberFormat="1" applyFont="1" applyFill="1" applyBorder="1"/>
    <xf numFmtId="170" fontId="4" fillId="5" borderId="1" xfId="1" applyNumberFormat="1" applyFont="1" applyFill="1" applyBorder="1"/>
    <xf numFmtId="1" fontId="4" fillId="5" borderId="4" xfId="0" applyNumberFormat="1" applyFont="1" applyFill="1" applyBorder="1"/>
    <xf numFmtId="178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6" fontId="4" fillId="0" borderId="1" xfId="2" applyNumberFormat="1" applyFont="1" applyBorder="1"/>
    <xf numFmtId="0" fontId="5" fillId="0" borderId="1" xfId="0" applyFont="1" applyBorder="1"/>
    <xf numFmtId="165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6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6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165" fontId="4" fillId="5" borderId="1" xfId="2" applyFont="1" applyFill="1" applyBorder="1"/>
    <xf numFmtId="2" fontId="4" fillId="5" borderId="1" xfId="1" applyNumberFormat="1" applyFont="1" applyFill="1" applyBorder="1"/>
    <xf numFmtId="179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80" fontId="4" fillId="5" borderId="1" xfId="0" applyNumberFormat="1" applyFont="1" applyFill="1" applyBorder="1"/>
    <xf numFmtId="181" fontId="4" fillId="5" borderId="1" xfId="0" applyNumberFormat="1" applyFont="1" applyFill="1" applyBorder="1"/>
    <xf numFmtId="2" fontId="4" fillId="6" borderId="1" xfId="1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9" fontId="5" fillId="5" borderId="1" xfId="1" applyFont="1" applyFill="1" applyBorder="1"/>
    <xf numFmtId="2" fontId="5" fillId="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dLbls/>
        <c:marker val="1"/>
        <c:axId val="49836800"/>
        <c:axId val="50180864"/>
      </c:lineChart>
      <c:catAx>
        <c:axId val="49836800"/>
        <c:scaling>
          <c:orientation val="minMax"/>
        </c:scaling>
        <c:axPos val="b"/>
        <c:tickLblPos val="nextTo"/>
        <c:crossAx val="50180864"/>
        <c:crosses val="autoZero"/>
        <c:auto val="1"/>
        <c:lblAlgn val="ctr"/>
        <c:lblOffset val="100"/>
      </c:catAx>
      <c:valAx>
        <c:axId val="50180864"/>
        <c:scaling>
          <c:orientation val="minMax"/>
        </c:scaling>
        <c:axPos val="l"/>
        <c:majorGridlines/>
        <c:numFmt formatCode="General" sourceLinked="1"/>
        <c:tickLblPos val="nextTo"/>
        <c:crossAx val="49836800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4"/>
  <sheetViews>
    <sheetView zoomScale="80" zoomScaleNormal="80" workbookViewId="0">
      <selection activeCell="C9" sqref="C9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279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5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5</v>
      </c>
      <c r="D8" s="20"/>
      <c r="E8" s="20"/>
      <c r="F8" s="20"/>
      <c r="G8" s="20"/>
    </row>
    <row r="9" spans="2:7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>
      <c r="B11" s="20"/>
      <c r="C11" s="20"/>
      <c r="D11" s="20"/>
      <c r="E11" s="20"/>
      <c r="F11" s="20"/>
      <c r="G11" s="20"/>
    </row>
    <row r="12" spans="2:7">
      <c r="B12" s="108" t="s">
        <v>101</v>
      </c>
      <c r="C12" s="20"/>
      <c r="D12" s="20"/>
      <c r="E12" s="20"/>
      <c r="F12" s="20"/>
      <c r="G12" s="20"/>
    </row>
    <row r="13" spans="2:7">
      <c r="B13" s="20" t="s">
        <v>25</v>
      </c>
      <c r="C13" s="130">
        <v>-2.66</v>
      </c>
      <c r="D13" s="20"/>
      <c r="E13" s="20"/>
      <c r="F13" s="20"/>
      <c r="G13" s="20"/>
    </row>
    <row r="14" spans="2:7">
      <c r="B14" s="20" t="s">
        <v>102</v>
      </c>
      <c r="C14" s="130">
        <v>28</v>
      </c>
      <c r="D14" s="20"/>
      <c r="E14" s="20"/>
      <c r="F14" s="20"/>
      <c r="G14" s="20"/>
    </row>
    <row r="15" spans="2:7">
      <c r="B15" s="20" t="s">
        <v>103</v>
      </c>
      <c r="C15" s="130">
        <v>1000</v>
      </c>
      <c r="D15" s="20"/>
      <c r="E15" s="20"/>
      <c r="F15" s="20"/>
      <c r="G15" s="20"/>
    </row>
    <row r="16" spans="2:7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>
      <c r="B17" s="20"/>
      <c r="C17" s="20"/>
      <c r="D17" s="20"/>
      <c r="E17" s="20"/>
      <c r="F17" s="20"/>
      <c r="G17" s="20"/>
    </row>
    <row r="18" spans="2:7">
      <c r="B18" s="108" t="s">
        <v>112</v>
      </c>
      <c r="C18" s="20"/>
      <c r="D18" s="20"/>
      <c r="E18" s="20"/>
      <c r="F18" s="20"/>
      <c r="G18" s="20"/>
    </row>
    <row r="19" spans="2:7">
      <c r="B19" s="20" t="s">
        <v>114</v>
      </c>
      <c r="C19" s="130">
        <f>C4</f>
        <v>5</v>
      </c>
      <c r="D19" s="20"/>
      <c r="E19" s="20"/>
      <c r="F19" s="20"/>
      <c r="G19" s="20"/>
    </row>
    <row r="20" spans="2:7">
      <c r="B20" s="20" t="s">
        <v>115</v>
      </c>
      <c r="C20" s="111">
        <v>0.08</v>
      </c>
      <c r="D20" s="20"/>
      <c r="E20" s="20"/>
      <c r="F20" s="20"/>
      <c r="G20" s="20"/>
    </row>
    <row r="21" spans="2:7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>
      <c r="B22" s="20"/>
      <c r="C22" s="20"/>
      <c r="D22" s="20"/>
      <c r="E22" s="20"/>
      <c r="F22" s="20"/>
      <c r="G22" s="20"/>
    </row>
    <row r="23" spans="2:7">
      <c r="B23" s="108" t="s">
        <v>227</v>
      </c>
      <c r="C23" s="20"/>
      <c r="D23" s="20"/>
      <c r="E23" s="20"/>
      <c r="F23" s="20"/>
      <c r="G23" s="20"/>
    </row>
    <row r="24" spans="2:7">
      <c r="B24" s="20" t="s">
        <v>99</v>
      </c>
      <c r="C24" s="130">
        <v>14</v>
      </c>
      <c r="D24" s="20"/>
      <c r="E24" s="20"/>
      <c r="F24" s="20"/>
      <c r="G24" s="20"/>
    </row>
    <row r="25" spans="2:7">
      <c r="B25" s="20" t="s">
        <v>114</v>
      </c>
      <c r="C25" s="130">
        <v>-2.66</v>
      </c>
      <c r="D25" s="20"/>
      <c r="E25" s="20"/>
      <c r="F25" s="20"/>
      <c r="G25" s="20"/>
    </row>
    <row r="26" spans="2:7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>
      <c r="B27" s="20" t="s">
        <v>77</v>
      </c>
      <c r="C27" s="130">
        <v>15</v>
      </c>
      <c r="D27" s="20"/>
      <c r="E27" s="20"/>
      <c r="F27" s="20"/>
      <c r="G27" s="20"/>
    </row>
    <row r="28" spans="2:7">
      <c r="B28" s="20" t="s">
        <v>229</v>
      </c>
      <c r="C28" s="131">
        <v>1</v>
      </c>
      <c r="D28" s="20"/>
      <c r="E28" s="20"/>
      <c r="F28" s="20"/>
      <c r="G28" s="20"/>
    </row>
    <row r="29" spans="2:7">
      <c r="B29" s="20" t="s">
        <v>230</v>
      </c>
      <c r="C29" s="22">
        <v>139.13</v>
      </c>
      <c r="D29" s="20"/>
      <c r="E29" s="20"/>
      <c r="F29" s="20"/>
      <c r="G29" s="20"/>
    </row>
    <row r="30" spans="2:7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>
      <c r="B32" s="20" t="s">
        <v>233</v>
      </c>
      <c r="C32" s="132"/>
      <c r="D32" s="20"/>
      <c r="E32" s="20"/>
      <c r="F32" s="20"/>
      <c r="G32" s="20"/>
    </row>
    <row r="33" spans="2:7">
      <c r="B33" s="20" t="s">
        <v>267</v>
      </c>
      <c r="C33" s="132">
        <v>3.44E-2</v>
      </c>
      <c r="D33" s="20"/>
      <c r="E33" s="20"/>
      <c r="F33" s="20"/>
      <c r="G33" s="20"/>
    </row>
    <row r="34" spans="2:7">
      <c r="B34" s="20" t="s">
        <v>266</v>
      </c>
      <c r="C34" s="132">
        <v>0.1241</v>
      </c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20"/>
      <c r="C36" s="20"/>
      <c r="D36" s="20"/>
      <c r="E36" s="20"/>
      <c r="F36" s="20"/>
      <c r="G36" s="20"/>
    </row>
    <row r="37" spans="2:7">
      <c r="B37" s="108" t="s">
        <v>187</v>
      </c>
      <c r="C37" s="20"/>
      <c r="D37" s="20"/>
      <c r="E37" s="20"/>
      <c r="F37" s="20"/>
      <c r="G37" s="20"/>
    </row>
    <row r="38" spans="2:7">
      <c r="B38" s="20" t="s">
        <v>215</v>
      </c>
      <c r="C38" s="130">
        <v>3141.2</v>
      </c>
      <c r="D38" s="20"/>
      <c r="E38" s="20"/>
      <c r="F38" s="20"/>
      <c r="G38" s="20"/>
    </row>
    <row r="39" spans="2:7">
      <c r="B39" s="20" t="s">
        <v>216</v>
      </c>
      <c r="C39" s="130">
        <v>3384.26</v>
      </c>
      <c r="D39" s="20"/>
      <c r="E39" s="20"/>
      <c r="F39" s="20"/>
      <c r="G39" s="20"/>
    </row>
    <row r="40" spans="2:7">
      <c r="B40" s="20" t="s">
        <v>34</v>
      </c>
      <c r="C40" s="130">
        <v>92.03</v>
      </c>
      <c r="D40" s="20"/>
      <c r="E40" s="20"/>
      <c r="F40" s="20"/>
      <c r="G40" s="20"/>
    </row>
    <row r="41" spans="2:7">
      <c r="B41" s="20" t="s">
        <v>217</v>
      </c>
      <c r="C41" s="130">
        <v>31.09</v>
      </c>
      <c r="D41" s="20"/>
      <c r="E41" s="20"/>
      <c r="F41" s="20"/>
      <c r="G41" s="20"/>
    </row>
    <row r="42" spans="2:7">
      <c r="B42" s="20" t="s">
        <v>218</v>
      </c>
      <c r="C42" s="130">
        <v>1005.03</v>
      </c>
      <c r="D42" s="20"/>
      <c r="E42" s="20"/>
      <c r="F42" s="20"/>
      <c r="G42" s="20"/>
    </row>
    <row r="43" spans="2:7">
      <c r="B43" s="20"/>
      <c r="C43" s="20"/>
      <c r="D43" s="20"/>
      <c r="E43" s="20"/>
      <c r="F43" s="20"/>
      <c r="G43" s="20"/>
    </row>
    <row r="44" spans="2:7">
      <c r="B44" s="23" t="s">
        <v>212</v>
      </c>
      <c r="C44" s="130">
        <v>281.95</v>
      </c>
      <c r="D44" s="20"/>
      <c r="E44" s="20"/>
      <c r="F44" s="20"/>
      <c r="G44" s="20"/>
    </row>
    <row r="45" spans="2:7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>
      <c r="B47" s="20"/>
      <c r="C47" s="25"/>
      <c r="D47" s="20"/>
      <c r="E47" s="20"/>
      <c r="F47" s="20"/>
      <c r="G47" s="20"/>
    </row>
    <row r="48" spans="2:7">
      <c r="B48" s="23" t="s">
        <v>213</v>
      </c>
      <c r="C48" s="130">
        <v>171.6</v>
      </c>
      <c r="D48" s="20"/>
      <c r="E48" s="20"/>
      <c r="F48" s="20"/>
      <c r="G48" s="20"/>
    </row>
    <row r="49" spans="2:7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>
      <c r="B51" s="20"/>
      <c r="C51" s="25"/>
      <c r="D51" s="20"/>
      <c r="E51" s="20"/>
      <c r="F51" s="20"/>
      <c r="G51" s="20"/>
    </row>
    <row r="52" spans="2:7">
      <c r="B52" s="23" t="s">
        <v>214</v>
      </c>
      <c r="C52" s="130">
        <v>110.33</v>
      </c>
      <c r="D52" s="20"/>
      <c r="E52" s="20"/>
      <c r="F52" s="20"/>
      <c r="G52" s="20"/>
    </row>
    <row r="53" spans="2:7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>
      <c r="B55" s="20"/>
      <c r="C55" s="20"/>
      <c r="D55" s="20"/>
      <c r="E55" s="20"/>
      <c r="F55" s="20"/>
      <c r="G55" s="20"/>
    </row>
    <row r="56" spans="2:7">
      <c r="B56" s="23" t="s">
        <v>219</v>
      </c>
      <c r="C56" s="130">
        <v>1320.99</v>
      </c>
      <c r="D56" s="20"/>
      <c r="E56" s="20"/>
      <c r="F56" s="20"/>
      <c r="G56" s="20"/>
    </row>
    <row r="57" spans="2:7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>
      <c r="B59" s="20"/>
      <c r="C59" s="20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5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  <row r="64" spans="2:7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T220"/>
  <sheetViews>
    <sheetView tabSelected="1" zoomScale="80" zoomScaleNormal="80" workbookViewId="0">
      <pane xSplit="2" ySplit="3" topLeftCell="C163" activePane="bottomRight" state="frozen"/>
      <selection pane="topRight" activeCell="C1" sqref="C1"/>
      <selection pane="bottomLeft" activeCell="A5" sqref="A5"/>
      <selection pane="bottomRight" activeCell="I185" sqref="I185"/>
    </sheetView>
  </sheetViews>
  <sheetFormatPr defaultRowHeight="12.75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398</v>
      </c>
      <c r="P1" s="164">
        <v>0.05</v>
      </c>
      <c r="Q1" s="164"/>
    </row>
    <row r="2" spans="2:3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0.15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3" t="s">
        <v>291</v>
      </c>
      <c r="AF2" s="194"/>
    </row>
    <row r="3" spans="2:3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5" t="s">
        <v>292</v>
      </c>
      <c r="AF3" s="196"/>
    </row>
    <row r="4" spans="2:3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>
      <c r="B6" s="20" t="s">
        <v>16</v>
      </c>
      <c r="C6" s="141"/>
      <c r="D6" s="141"/>
      <c r="E6" s="147"/>
      <c r="F6" s="147"/>
      <c r="G6" s="147">
        <v>39915</v>
      </c>
      <c r="H6" s="147">
        <v>47194</v>
      </c>
      <c r="I6" s="147">
        <v>55342</v>
      </c>
      <c r="J6" s="147">
        <v>64571</v>
      </c>
      <c r="K6" s="147">
        <v>75933</v>
      </c>
      <c r="L6" s="147">
        <v>90084</v>
      </c>
      <c r="M6" s="147">
        <v>99267</v>
      </c>
      <c r="N6" s="147">
        <v>111049</v>
      </c>
      <c r="O6" s="147">
        <v>132161</v>
      </c>
      <c r="P6" s="147">
        <v>148250</v>
      </c>
      <c r="Q6" s="147">
        <f>P6</f>
        <v>148250</v>
      </c>
      <c r="R6" s="118">
        <f>((Q6/G6)^(1/($H$2-$H$1) ))-1</f>
        <v>0.15695806733586815</v>
      </c>
      <c r="S6" s="31">
        <f>$L$2</f>
        <v>0.15</v>
      </c>
      <c r="T6" s="154">
        <f>Q6*(1+$S6)</f>
        <v>170487.5</v>
      </c>
      <c r="U6" s="154">
        <f>T6*(1+$S6)</f>
        <v>196060.62499999997</v>
      </c>
      <c r="V6" s="154">
        <f t="shared" ref="V6:AC6" si="0">U6*(1+$S6)</f>
        <v>225469.71874999994</v>
      </c>
      <c r="W6" s="154">
        <f t="shared" si="0"/>
        <v>259290.17656249992</v>
      </c>
      <c r="X6" s="154">
        <f t="shared" si="0"/>
        <v>298183.7030468749</v>
      </c>
      <c r="Y6" s="154">
        <f t="shared" si="0"/>
        <v>342911.25850390608</v>
      </c>
      <c r="Z6" s="154">
        <f t="shared" si="0"/>
        <v>394347.94727949199</v>
      </c>
      <c r="AA6" s="154">
        <f t="shared" si="0"/>
        <v>453500.13937141577</v>
      </c>
      <c r="AB6" s="154">
        <f t="shared" si="0"/>
        <v>521525.1602771281</v>
      </c>
      <c r="AC6" s="154">
        <f t="shared" si="0"/>
        <v>599753.93431869731</v>
      </c>
      <c r="AD6" s="138">
        <f>((AC6/G6)^(1/($AC$3-$H$1) ))-1</f>
        <v>0.14509587076473696</v>
      </c>
      <c r="AE6" s="31">
        <f>$L$1</f>
        <v>0.05</v>
      </c>
      <c r="AF6" s="146">
        <f t="shared" ref="AF6:AF44" si="1">(AC6*(1+AE6))/($C$1-AE6)</f>
        <v>3704362.5354978368</v>
      </c>
    </row>
    <row r="7" spans="2:32">
      <c r="B7" s="20" t="s">
        <v>240</v>
      </c>
      <c r="C7" s="141"/>
      <c r="D7" s="141"/>
      <c r="E7" s="147"/>
      <c r="F7" s="147"/>
      <c r="G7" s="147">
        <v>41341.699999999997</v>
      </c>
      <c r="H7" s="147">
        <v>48620</v>
      </c>
      <c r="I7" s="147">
        <v>56768</v>
      </c>
      <c r="J7" s="147">
        <v>66713</v>
      </c>
      <c r="K7" s="147">
        <v>78086</v>
      </c>
      <c r="L7" s="147">
        <v>92223</v>
      </c>
      <c r="M7" s="147">
        <v>101406</v>
      </c>
      <c r="N7" s="147">
        <v>115327</v>
      </c>
      <c r="O7" s="147">
        <v>136439</v>
      </c>
      <c r="P7" s="147">
        <v>152258</v>
      </c>
      <c r="Q7" s="147">
        <f>P7</f>
        <v>152258</v>
      </c>
      <c r="R7" s="118">
        <f>((Q7/G7)^(1/($H$2-$H$1) ))-1</f>
        <v>0.15587321203187887</v>
      </c>
      <c r="S7" s="31">
        <f>$L$2</f>
        <v>0.15</v>
      </c>
      <c r="T7" s="154">
        <f t="shared" ref="T7:T44" si="2">Q7*(1+$S7)</f>
        <v>175096.69999999998</v>
      </c>
      <c r="U7" s="154">
        <f t="shared" ref="U7:AC7" si="3">T7*(1+$S7)</f>
        <v>201361.20499999996</v>
      </c>
      <c r="V7" s="154">
        <f t="shared" si="3"/>
        <v>231565.38574999993</v>
      </c>
      <c r="W7" s="154">
        <f t="shared" si="3"/>
        <v>266300.19361249992</v>
      </c>
      <c r="X7" s="154">
        <f t="shared" si="3"/>
        <v>306245.2226543749</v>
      </c>
      <c r="Y7" s="154">
        <f t="shared" si="3"/>
        <v>352182.00605253113</v>
      </c>
      <c r="Z7" s="154">
        <f t="shared" si="3"/>
        <v>405009.30696041079</v>
      </c>
      <c r="AA7" s="154">
        <f t="shared" si="3"/>
        <v>465760.70300447237</v>
      </c>
      <c r="AB7" s="154">
        <f t="shared" si="3"/>
        <v>535624.80845514312</v>
      </c>
      <c r="AC7" s="154">
        <f t="shared" si="3"/>
        <v>615968.52972341457</v>
      </c>
      <c r="AD7" s="138">
        <f>((AC7/G7)^(1/($AC$3-$H$1) ))-1</f>
        <v>0.14461256654379762</v>
      </c>
      <c r="AE7" s="31">
        <f>$L$1</f>
        <v>0.05</v>
      </c>
      <c r="AF7" s="146">
        <f t="shared" si="1"/>
        <v>3804511.5071152081</v>
      </c>
    </row>
    <row r="8" spans="2:32">
      <c r="B8" s="20"/>
      <c r="C8" s="141"/>
      <c r="D8" s="141"/>
      <c r="E8" s="147"/>
      <c r="F8" s="147"/>
      <c r="G8" s="148">
        <f>(G7-F7)/G7</f>
        <v>1</v>
      </c>
      <c r="H8" s="151">
        <f>(H7-G7)/H7</f>
        <v>0.14969765528589063</v>
      </c>
      <c r="I8" s="151">
        <f t="shared" ref="I8:Q8" si="4">(I7-H7)/I7</f>
        <v>0.14353156708004511</v>
      </c>
      <c r="J8" s="151">
        <f t="shared" si="4"/>
        <v>0.14907139538021075</v>
      </c>
      <c r="K8" s="151">
        <f t="shared" si="4"/>
        <v>0.14564710703583228</v>
      </c>
      <c r="L8" s="151">
        <f t="shared" si="4"/>
        <v>0.15329147826464115</v>
      </c>
      <c r="M8" s="151">
        <f t="shared" si="4"/>
        <v>9.0556771788651555E-2</v>
      </c>
      <c r="N8" s="151">
        <f t="shared" si="4"/>
        <v>0.12070894066437174</v>
      </c>
      <c r="O8" s="151">
        <f t="shared" si="4"/>
        <v>0.15473581600568753</v>
      </c>
      <c r="P8" s="151">
        <f t="shared" si="4"/>
        <v>0.10389601860000788</v>
      </c>
      <c r="Q8" s="151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>
      <c r="B9" s="20" t="s">
        <v>269</v>
      </c>
      <c r="C9" s="141"/>
      <c r="D9" s="141"/>
      <c r="E9" s="147"/>
      <c r="F9" s="147"/>
      <c r="G9" s="147">
        <v>11041</v>
      </c>
      <c r="H9" s="147">
        <v>17355</v>
      </c>
      <c r="I9" s="147">
        <v>21125</v>
      </c>
      <c r="J9" s="147">
        <v>36672</v>
      </c>
      <c r="K9" s="147">
        <v>38391</v>
      </c>
      <c r="L9" s="147">
        <v>53574</v>
      </c>
      <c r="M9" s="147">
        <v>40417</v>
      </c>
      <c r="N9" s="147">
        <v>45397</v>
      </c>
      <c r="O9" s="147">
        <v>51233</v>
      </c>
      <c r="P9" s="147">
        <v>52187</v>
      </c>
      <c r="Q9" s="147">
        <f>P9</f>
        <v>52187</v>
      </c>
      <c r="R9" s="118">
        <f>((Q9/G9)^(1/($H$2-$H$1) ))-1</f>
        <v>0.18836659636939634</v>
      </c>
      <c r="S9" s="31">
        <f t="shared" ref="S9:S40" si="5">$L$2</f>
        <v>0.15</v>
      </c>
      <c r="T9" s="154">
        <f t="shared" si="2"/>
        <v>60015.049999999996</v>
      </c>
      <c r="U9" s="154">
        <f t="shared" ref="U9" si="6">T9*(1+$S9)</f>
        <v>69017.307499999995</v>
      </c>
      <c r="V9" s="154">
        <f t="shared" ref="V9" si="7">U9*(1+$S9)</f>
        <v>79369.903624999992</v>
      </c>
      <c r="W9" s="154">
        <f t="shared" ref="W9" si="8">V9*(1+$S9)</f>
        <v>91275.389168749985</v>
      </c>
      <c r="X9" s="154">
        <f t="shared" ref="X9" si="9">W9*(1+$S9)</f>
        <v>104966.69754406248</v>
      </c>
      <c r="Y9" s="154">
        <f t="shared" ref="Y9" si="10">X9*(1+$S9)</f>
        <v>120711.70217567185</v>
      </c>
      <c r="Z9" s="154">
        <f t="shared" ref="Z9" si="11">Y9*(1+$S9)</f>
        <v>138818.45750202262</v>
      </c>
      <c r="AA9" s="154">
        <f t="shared" ref="AA9" si="12">Z9*(1+$S9)</f>
        <v>159641.22612732599</v>
      </c>
      <c r="AB9" s="154">
        <f t="shared" ref="AB9" si="13">AA9*(1+$S9)</f>
        <v>183587.41004642489</v>
      </c>
      <c r="AC9" s="154">
        <f t="shared" ref="AC9" si="14">AB9*(1+$S9)</f>
        <v>211125.52155338862</v>
      </c>
      <c r="AD9" s="138">
        <f>((AC9/G9)^(1/($AC$3-$H$1) ))-1</f>
        <v>0.15898180047421029</v>
      </c>
      <c r="AE9" s="31">
        <f t="shared" ref="AE9:AE81" si="15">$L$1</f>
        <v>0.05</v>
      </c>
      <c r="AF9" s="146">
        <f t="shared" si="1"/>
        <v>1304010.5743003415</v>
      </c>
    </row>
    <row r="10" spans="2:32">
      <c r="B10" s="20" t="s">
        <v>4</v>
      </c>
      <c r="C10" s="141"/>
      <c r="D10" s="141"/>
      <c r="E10" s="147"/>
      <c r="F10" s="147"/>
      <c r="G10" s="147">
        <v>14282</v>
      </c>
      <c r="H10" s="147">
        <v>12154</v>
      </c>
      <c r="I10" s="147">
        <v>15101</v>
      </c>
      <c r="J10" s="147">
        <v>1600</v>
      </c>
      <c r="K10" s="147">
        <v>945</v>
      </c>
      <c r="L10" s="147">
        <v>6559</v>
      </c>
      <c r="M10" s="147">
        <v>23725</v>
      </c>
      <c r="N10" s="147">
        <v>6061</v>
      </c>
      <c r="O10" s="147">
        <v>15223</v>
      </c>
      <c r="P10" s="147">
        <v>20450</v>
      </c>
      <c r="Q10" s="147">
        <f>P10</f>
        <v>20450</v>
      </c>
      <c r="R10" s="118">
        <f>((Q10/G10)^(1/($H$2-$H$1) ))-1</f>
        <v>4.0693155270015824E-2</v>
      </c>
      <c r="S10" s="31">
        <f t="shared" si="5"/>
        <v>0.15</v>
      </c>
      <c r="T10" s="154">
        <f t="shared" si="2"/>
        <v>23517.5</v>
      </c>
      <c r="U10" s="154">
        <f t="shared" ref="U10:AC10" si="16">T10*(1+$S10)</f>
        <v>27045.124999999996</v>
      </c>
      <c r="V10" s="154">
        <f t="shared" si="16"/>
        <v>31101.893749999992</v>
      </c>
      <c r="W10" s="154">
        <f t="shared" si="16"/>
        <v>35767.177812499991</v>
      </c>
      <c r="X10" s="154">
        <f t="shared" si="16"/>
        <v>41132.254484374986</v>
      </c>
      <c r="Y10" s="154">
        <f t="shared" si="16"/>
        <v>47302.092657031229</v>
      </c>
      <c r="Z10" s="154">
        <f t="shared" si="16"/>
        <v>54397.406555585912</v>
      </c>
      <c r="AA10" s="154">
        <f t="shared" si="16"/>
        <v>62557.017538923792</v>
      </c>
      <c r="AB10" s="154">
        <f t="shared" si="16"/>
        <v>71940.570169762359</v>
      </c>
      <c r="AC10" s="154">
        <f t="shared" si="16"/>
        <v>82731.655695226713</v>
      </c>
      <c r="AD10" s="138">
        <f t="shared" ref="AD10:AD42" si="17">((AC10/G10)^(1/($AC$3-$H$1) ))-1</f>
        <v>9.1802625553046857E-2</v>
      </c>
      <c r="AE10" s="31">
        <f t="shared" si="15"/>
        <v>0.05</v>
      </c>
      <c r="AF10" s="146">
        <f t="shared" si="1"/>
        <v>510989.63811757683</v>
      </c>
    </row>
    <row r="11" spans="2:3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-0.17508639131150239</v>
      </c>
      <c r="I11" s="148">
        <f t="shared" si="18"/>
        <v>0.19515263889808621</v>
      </c>
      <c r="J11" s="148">
        <f t="shared" si="18"/>
        <v>-8.4381249999999994</v>
      </c>
      <c r="K11" s="148">
        <f t="shared" si="18"/>
        <v>-0.69312169312169314</v>
      </c>
      <c r="L11" s="148">
        <f t="shared" si="18"/>
        <v>0.85592315901814298</v>
      </c>
      <c r="M11" s="148">
        <f t="shared" si="18"/>
        <v>0.72354056902002106</v>
      </c>
      <c r="N11" s="148">
        <f t="shared" si="18"/>
        <v>-2.9143705659132157</v>
      </c>
      <c r="O11" s="148">
        <f t="shared" si="18"/>
        <v>0.60185246009327986</v>
      </c>
      <c r="P11" s="148">
        <f t="shared" si="18"/>
        <v>0.25559902200488999</v>
      </c>
      <c r="Q11" s="148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>
      <c r="B12" s="20" t="s">
        <v>2</v>
      </c>
      <c r="C12" s="141"/>
      <c r="D12" s="141"/>
      <c r="E12" s="147"/>
      <c r="F12" s="147"/>
      <c r="G12" s="147">
        <v>6479</v>
      </c>
      <c r="H12" s="147">
        <f>9840+381</f>
        <v>10221</v>
      </c>
      <c r="I12" s="147">
        <f>954+8151</f>
        <v>9105</v>
      </c>
      <c r="J12" s="147">
        <f>497+20178</f>
        <v>20675</v>
      </c>
      <c r="K12" s="147">
        <f>703+24352</f>
        <v>25055</v>
      </c>
      <c r="L12" s="147">
        <f>1725+20869</f>
        <v>22594</v>
      </c>
      <c r="M12" s="147">
        <f>1427+20957</f>
        <v>22384</v>
      </c>
      <c r="N12" s="147">
        <v>20815</v>
      </c>
      <c r="O12" s="147">
        <v>27889</v>
      </c>
      <c r="P12" s="147">
        <v>19619</v>
      </c>
      <c r="Q12" s="147">
        <f>P12</f>
        <v>19619</v>
      </c>
      <c r="R12" s="118">
        <f>((Q12/G12)^(1/($H$2-$H$1) ))-1</f>
        <v>0.1310015749519009</v>
      </c>
      <c r="S12" s="31">
        <f t="shared" si="5"/>
        <v>0.15</v>
      </c>
      <c r="T12" s="154">
        <f t="shared" si="2"/>
        <v>22561.85</v>
      </c>
      <c r="U12" s="154">
        <f t="shared" ref="U12:AC12" si="19">T12*(1+$S12)</f>
        <v>25946.127499999995</v>
      </c>
      <c r="V12" s="154">
        <f t="shared" si="19"/>
        <v>29838.046624999992</v>
      </c>
      <c r="W12" s="154">
        <f t="shared" si="19"/>
        <v>34313.753618749986</v>
      </c>
      <c r="X12" s="154">
        <f t="shared" si="19"/>
        <v>39460.81666156248</v>
      </c>
      <c r="Y12" s="154">
        <f t="shared" si="19"/>
        <v>45379.93916079685</v>
      </c>
      <c r="Z12" s="154">
        <f t="shared" si="19"/>
        <v>52186.930034916375</v>
      </c>
      <c r="AA12" s="154">
        <f t="shared" si="19"/>
        <v>60014.969540153827</v>
      </c>
      <c r="AB12" s="154">
        <f t="shared" si="19"/>
        <v>69017.214971176902</v>
      </c>
      <c r="AC12" s="154">
        <f t="shared" si="19"/>
        <v>79369.797216853432</v>
      </c>
      <c r="AD12" s="138">
        <f t="shared" si="17"/>
        <v>0.13346304348183802</v>
      </c>
      <c r="AE12" s="31">
        <f t="shared" si="15"/>
        <v>0.05</v>
      </c>
      <c r="AF12" s="146">
        <f t="shared" si="1"/>
        <v>490225.21810409479</v>
      </c>
    </row>
    <row r="13" spans="2:32">
      <c r="B13" s="20" t="s">
        <v>218</v>
      </c>
      <c r="C13" s="141"/>
      <c r="D13" s="141"/>
      <c r="E13" s="147"/>
      <c r="F13" s="147"/>
      <c r="G13" s="147">
        <v>3030</v>
      </c>
      <c r="H13" s="147">
        <v>2655</v>
      </c>
      <c r="I13" s="147">
        <v>3557</v>
      </c>
      <c r="J13" s="147">
        <v>3583</v>
      </c>
      <c r="K13" s="147">
        <v>4482</v>
      </c>
      <c r="L13" s="147">
        <v>3480</v>
      </c>
      <c r="M13" s="147">
        <v>5159</v>
      </c>
      <c r="N13" s="147">
        <v>3100</v>
      </c>
      <c r="O13" s="147">
        <v>2920</v>
      </c>
      <c r="P13" s="147">
        <v>2128</v>
      </c>
      <c r="Q13" s="147">
        <f>P13</f>
        <v>2128</v>
      </c>
      <c r="R13" s="118">
        <f>((Q13/G13)^(1/($H$2-$H$1) ))-1</f>
        <v>-3.8503591992997466E-2</v>
      </c>
      <c r="S13" s="31">
        <f t="shared" si="5"/>
        <v>0.15</v>
      </c>
      <c r="T13" s="154">
        <f t="shared" si="2"/>
        <v>2447.1999999999998</v>
      </c>
      <c r="U13" s="154">
        <f t="shared" ref="U13:AC13" si="20">T13*(1+$S13)</f>
        <v>2814.2799999999997</v>
      </c>
      <c r="V13" s="154">
        <f t="shared" si="20"/>
        <v>3236.4219999999996</v>
      </c>
      <c r="W13" s="154">
        <f t="shared" si="20"/>
        <v>3721.885299999999</v>
      </c>
      <c r="X13" s="154">
        <f t="shared" si="20"/>
        <v>4280.1680949999982</v>
      </c>
      <c r="Y13" s="154">
        <f t="shared" si="20"/>
        <v>4922.1933092499976</v>
      </c>
      <c r="Z13" s="154">
        <f t="shared" si="20"/>
        <v>5660.5223056374971</v>
      </c>
      <c r="AA13" s="154">
        <f t="shared" si="20"/>
        <v>6509.6006514831215</v>
      </c>
      <c r="AB13" s="154">
        <f t="shared" si="20"/>
        <v>7486.0407492055892</v>
      </c>
      <c r="AC13" s="154">
        <f t="shared" si="20"/>
        <v>8608.9468615864262</v>
      </c>
      <c r="AD13" s="138">
        <f t="shared" si="17"/>
        <v>5.3599048956326723E-2</v>
      </c>
      <c r="AE13" s="31">
        <f t="shared" si="15"/>
        <v>0.05</v>
      </c>
      <c r="AF13" s="146">
        <f t="shared" si="1"/>
        <v>53172.907086269115</v>
      </c>
    </row>
    <row r="14" spans="2:32">
      <c r="B14" s="20" t="s">
        <v>373</v>
      </c>
      <c r="C14" s="141"/>
      <c r="D14" s="141"/>
      <c r="E14" s="147"/>
      <c r="F14" s="147"/>
      <c r="G14" s="147">
        <v>3552</v>
      </c>
      <c r="H14" s="147">
        <v>4196</v>
      </c>
      <c r="I14" s="147">
        <v>4943</v>
      </c>
      <c r="J14" s="147">
        <v>5874</v>
      </c>
      <c r="K14" s="147">
        <v>7298</v>
      </c>
      <c r="L14" s="147">
        <v>6542</v>
      </c>
      <c r="M14" s="147">
        <v>8240</v>
      </c>
      <c r="N14" s="147">
        <v>8567</v>
      </c>
      <c r="O14" s="147">
        <v>13168</v>
      </c>
      <c r="P14" s="147">
        <v>12780</v>
      </c>
      <c r="Q14" s="147">
        <f>P14</f>
        <v>12780</v>
      </c>
      <c r="R14" s="118">
        <f>((Q14/G14)^(1/($H$2-$H$1) ))-1</f>
        <v>0.15288028026359202</v>
      </c>
      <c r="S14" s="31">
        <f t="shared" si="5"/>
        <v>0.15</v>
      </c>
      <c r="T14" s="154">
        <f t="shared" si="2"/>
        <v>14696.999999999998</v>
      </c>
      <c r="U14" s="154">
        <f t="shared" ref="U14" si="21">T14*(1+$S14)</f>
        <v>16901.549999999996</v>
      </c>
      <c r="V14" s="154">
        <f t="shared" ref="V14" si="22">U14*(1+$S14)</f>
        <v>19436.782499999994</v>
      </c>
      <c r="W14" s="154">
        <f t="shared" ref="W14" si="23">V14*(1+$S14)</f>
        <v>22352.29987499999</v>
      </c>
      <c r="X14" s="154">
        <f t="shared" ref="X14" si="24">W14*(1+$S14)</f>
        <v>25705.144856249986</v>
      </c>
      <c r="Y14" s="154">
        <f t="shared" ref="Y14" si="25">X14*(1+$S14)</f>
        <v>29560.916584687482</v>
      </c>
      <c r="Z14" s="154">
        <f t="shared" ref="Z14" si="26">Y14*(1+$S14)</f>
        <v>33995.054072390602</v>
      </c>
      <c r="AA14" s="154">
        <f t="shared" ref="AA14" si="27">Z14*(1+$S14)</f>
        <v>39094.312183249189</v>
      </c>
      <c r="AB14" s="154">
        <f t="shared" ref="AB14" si="28">AA14*(1+$S14)</f>
        <v>44958.459010736566</v>
      </c>
      <c r="AC14" s="154">
        <f t="shared" ref="AC14" si="29">AB14*(1+$S14)</f>
        <v>51702.227862347048</v>
      </c>
      <c r="AD14" s="138">
        <f t="shared" ref="AD14" si="30">((AC14/G14)^(1/($AC$3-$H$1) ))-1</f>
        <v>0.14327791715970251</v>
      </c>
      <c r="AE14" s="31">
        <f t="shared" si="15"/>
        <v>0.05</v>
      </c>
      <c r="AF14" s="146">
        <f t="shared" ref="AF14" si="31">(AC14*(1+AE14))/($C$1-AE14)</f>
        <v>319337.28973802592</v>
      </c>
    </row>
    <row r="15" spans="2:32">
      <c r="B15" s="20" t="s">
        <v>19</v>
      </c>
      <c r="C15" s="141"/>
      <c r="D15" s="141"/>
      <c r="E15" s="147"/>
      <c r="F15" s="147"/>
      <c r="G15" s="147">
        <v>12963</v>
      </c>
      <c r="H15" s="147">
        <v>9286</v>
      </c>
      <c r="I15" s="147">
        <v>10324</v>
      </c>
      <c r="J15" s="147">
        <v>11187</v>
      </c>
      <c r="K15" s="147">
        <v>15048</v>
      </c>
      <c r="L15" s="147">
        <v>15449</v>
      </c>
      <c r="M15" s="147">
        <v>16809</v>
      </c>
      <c r="N15" s="147">
        <v>39356</v>
      </c>
      <c r="O15" s="147">
        <v>52771</v>
      </c>
      <c r="P15" s="147">
        <v>47795</v>
      </c>
      <c r="Q15" s="147">
        <f>P15</f>
        <v>47795</v>
      </c>
      <c r="R15" s="118">
        <f>((Q15/G15)^(1/($H$2-$H$1) ))-1</f>
        <v>0.1560166919443926</v>
      </c>
      <c r="S15" s="31">
        <f t="shared" si="5"/>
        <v>0.15</v>
      </c>
      <c r="T15" s="154">
        <f t="shared" si="2"/>
        <v>54964.249999999993</v>
      </c>
      <c r="U15" s="154">
        <f t="shared" ref="U15:AC15" si="32">T15*(1+$S15)</f>
        <v>63208.88749999999</v>
      </c>
      <c r="V15" s="154">
        <f t="shared" si="32"/>
        <v>72690.220624999987</v>
      </c>
      <c r="W15" s="154">
        <f t="shared" si="32"/>
        <v>83593.753718749984</v>
      </c>
      <c r="X15" s="154">
        <f t="shared" si="32"/>
        <v>96132.816776562468</v>
      </c>
      <c r="Y15" s="154">
        <f t="shared" si="32"/>
        <v>110552.73929304683</v>
      </c>
      <c r="Z15" s="154">
        <f t="shared" si="32"/>
        <v>127135.65018700385</v>
      </c>
      <c r="AA15" s="154">
        <f t="shared" si="32"/>
        <v>146205.9977150544</v>
      </c>
      <c r="AB15" s="154">
        <f t="shared" si="32"/>
        <v>168136.89737231255</v>
      </c>
      <c r="AC15" s="154">
        <f t="shared" si="32"/>
        <v>193357.43197815941</v>
      </c>
      <c r="AD15" s="138">
        <f t="shared" si="17"/>
        <v>0.14467650131323717</v>
      </c>
      <c r="AE15" s="31">
        <f t="shared" si="15"/>
        <v>0.05</v>
      </c>
      <c r="AF15" s="146">
        <f t="shared" si="1"/>
        <v>1194266.4916298082</v>
      </c>
    </row>
    <row r="16" spans="2:32">
      <c r="B16" s="20" t="s">
        <v>23</v>
      </c>
      <c r="C16" s="141"/>
      <c r="D16" s="141"/>
      <c r="E16" s="147"/>
      <c r="F16" s="147"/>
      <c r="G16" s="147">
        <v>8692</v>
      </c>
      <c r="H16" s="147">
        <v>9241</v>
      </c>
      <c r="I16" s="147">
        <v>10153</v>
      </c>
      <c r="J16" s="147">
        <v>-2752</v>
      </c>
      <c r="K16" s="147">
        <v>2351</v>
      </c>
      <c r="L16" s="147">
        <v>-3892</v>
      </c>
      <c r="M16" s="147">
        <v>10077</v>
      </c>
      <c r="N16" s="147">
        <v>-7530</v>
      </c>
      <c r="O16" s="147">
        <v>1909</v>
      </c>
      <c r="P16" s="147">
        <v>-233</v>
      </c>
      <c r="Q16" s="147">
        <f>P16</f>
        <v>-233</v>
      </c>
      <c r="R16" s="118">
        <f>((Q16/G16)^(1/($H$2-$H$1) ))-1</f>
        <v>-1.6688975082710817</v>
      </c>
      <c r="S16" s="31">
        <f t="shared" si="5"/>
        <v>0.15</v>
      </c>
      <c r="T16" s="154">
        <f t="shared" si="2"/>
        <v>-267.95</v>
      </c>
      <c r="U16" s="154">
        <f t="shared" ref="U16:AC16" si="33">T16*(1+$S16)</f>
        <v>-308.14249999999998</v>
      </c>
      <c r="V16" s="154">
        <f t="shared" si="33"/>
        <v>-354.36387499999995</v>
      </c>
      <c r="W16" s="154">
        <f t="shared" si="33"/>
        <v>-407.51845624999993</v>
      </c>
      <c r="X16" s="154">
        <f t="shared" si="33"/>
        <v>-468.64622468749991</v>
      </c>
      <c r="Y16" s="154">
        <f t="shared" si="33"/>
        <v>-538.94315839062483</v>
      </c>
      <c r="Z16" s="154">
        <f t="shared" si="33"/>
        <v>-619.78463214921851</v>
      </c>
      <c r="AA16" s="154">
        <f t="shared" si="33"/>
        <v>-712.75232697160118</v>
      </c>
      <c r="AB16" s="154">
        <f t="shared" si="33"/>
        <v>-819.66517601734131</v>
      </c>
      <c r="AC16" s="154">
        <f t="shared" si="33"/>
        <v>-942.61495241994248</v>
      </c>
      <c r="AD16" s="138" t="e">
        <f t="shared" si="17"/>
        <v>#NUM!</v>
      </c>
      <c r="AE16" s="31">
        <f t="shared" si="15"/>
        <v>0.05</v>
      </c>
      <c r="AF16" s="146">
        <f t="shared" si="1"/>
        <v>-5822.0335296525864</v>
      </c>
    </row>
    <row r="17" spans="2:3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>
      <c r="B18" s="20" t="s">
        <v>277</v>
      </c>
      <c r="C18" s="141"/>
      <c r="D18" s="141"/>
      <c r="E18" s="147"/>
      <c r="F18" s="147"/>
      <c r="G18" s="147">
        <v>13164</v>
      </c>
      <c r="H18" s="147">
        <v>13037</v>
      </c>
      <c r="I18" s="147">
        <v>15590</v>
      </c>
      <c r="J18" s="147">
        <v>21597</v>
      </c>
      <c r="K18" s="147">
        <v>21973</v>
      </c>
      <c r="L18" s="147">
        <v>29899</v>
      </c>
      <c r="M18" s="147">
        <v>33914</v>
      </c>
      <c r="N18" s="147">
        <v>35858</v>
      </c>
      <c r="O18" s="147">
        <v>38541</v>
      </c>
      <c r="P18" s="147">
        <v>49104</v>
      </c>
      <c r="Q18" s="147">
        <f>P18</f>
        <v>49104</v>
      </c>
      <c r="R18" s="118">
        <f>((Q18/G18)^(1/($H$2-$H$1) ))-1</f>
        <v>0.15751184565736409</v>
      </c>
      <c r="S18" s="31">
        <f t="shared" si="5"/>
        <v>0.15</v>
      </c>
      <c r="T18" s="154">
        <f t="shared" si="2"/>
        <v>56469.599999999999</v>
      </c>
      <c r="U18" s="154">
        <f t="shared" ref="U18:U34" si="34">T18*(1+$S18)</f>
        <v>64940.039999999994</v>
      </c>
      <c r="V18" s="154">
        <f t="shared" ref="V18:V34" si="35">U18*(1+$S18)</f>
        <v>74681.045999999988</v>
      </c>
      <c r="W18" s="154">
        <f t="shared" ref="W18:W34" si="36">V18*(1+$S18)</f>
        <v>85883.202899999975</v>
      </c>
      <c r="X18" s="154">
        <f t="shared" ref="X18:X36" si="37">W18*(1+$S18)</f>
        <v>98765.683334999965</v>
      </c>
      <c r="Y18" s="154">
        <f t="shared" ref="Y18:Y36" si="38">X18*(1+$S18)</f>
        <v>113580.53583524995</v>
      </c>
      <c r="Z18" s="154">
        <f t="shared" ref="Z18:Z36" si="39">Y18*(1+$S18)</f>
        <v>130617.61621053742</v>
      </c>
      <c r="AA18" s="154">
        <f t="shared" ref="AA18:AA36" si="40">Z18*(1+$S18)</f>
        <v>150210.25864211802</v>
      </c>
      <c r="AB18" s="154">
        <f t="shared" ref="AB18:AB36" si="41">AA18*(1+$S18)</f>
        <v>172741.79743843569</v>
      </c>
      <c r="AC18" s="154">
        <f t="shared" ref="AC18:AC36" si="42">AB18*(1+$S18)</f>
        <v>198653.06705420103</v>
      </c>
      <c r="AD18" s="138">
        <f t="shared" si="17"/>
        <v>0.14534248352205958</v>
      </c>
      <c r="AE18" s="31">
        <f t="shared" si="15"/>
        <v>0.05</v>
      </c>
      <c r="AF18" s="146">
        <f t="shared" si="1"/>
        <v>1226974.8259230065</v>
      </c>
    </row>
    <row r="19" spans="2:3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18" t="e">
        <f>((Q20/G20)^(1/($H$2-$H$1) ))-1</f>
        <v>#DIV/0!</v>
      </c>
      <c r="S20" s="31">
        <f t="shared" si="5"/>
        <v>0.15</v>
      </c>
      <c r="T20" s="154">
        <f t="shared" si="2"/>
        <v>0</v>
      </c>
      <c r="U20" s="154">
        <f t="shared" ref="U20:U22" si="43">T20*(1+$S20)</f>
        <v>0</v>
      </c>
      <c r="V20" s="154">
        <f t="shared" ref="V20:V22" si="44">U20*(1+$S20)</f>
        <v>0</v>
      </c>
      <c r="W20" s="154">
        <f t="shared" ref="W20:W22" si="45">V20*(1+$S20)</f>
        <v>0</v>
      </c>
      <c r="X20" s="154">
        <f t="shared" ref="X20:X22" si="46">W20*(1+$S20)</f>
        <v>0</v>
      </c>
      <c r="Y20" s="154">
        <f t="shared" ref="Y20:Y22" si="47">X20*(1+$S20)</f>
        <v>0</v>
      </c>
      <c r="Z20" s="154">
        <f t="shared" ref="Z20:Z22" si="48">Y20*(1+$S20)</f>
        <v>0</v>
      </c>
      <c r="AA20" s="154">
        <f t="shared" ref="AA20:AA22" si="49">Z20*(1+$S20)</f>
        <v>0</v>
      </c>
      <c r="AB20" s="154">
        <f t="shared" ref="AB20:AB22" si="50">AA20*(1+$S20)</f>
        <v>0</v>
      </c>
      <c r="AC20" s="154">
        <f t="shared" ref="AC20:AC22" si="51">AB20*(1+$S20)</f>
        <v>0</v>
      </c>
      <c r="AD20" s="138" t="e">
        <f t="shared" ref="AD20:AD22" si="52">((AC20/G20)^(1/($AC$3-$H$1) ))-1</f>
        <v>#DIV/0!</v>
      </c>
      <c r="AE20" s="31">
        <f t="shared" si="15"/>
        <v>0.05</v>
      </c>
      <c r="AF20" s="146">
        <f t="shared" si="1"/>
        <v>0</v>
      </c>
    </row>
    <row r="21" spans="2:3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18" t="e">
        <f>((Q21/G21)^(1/($H$2-$H$1) ))-1</f>
        <v>#DIV/0!</v>
      </c>
      <c r="S21" s="31">
        <f t="shared" si="5"/>
        <v>0.15</v>
      </c>
      <c r="T21" s="154">
        <f t="shared" si="2"/>
        <v>0</v>
      </c>
      <c r="U21" s="154">
        <f t="shared" si="43"/>
        <v>0</v>
      </c>
      <c r="V21" s="154">
        <f t="shared" si="44"/>
        <v>0</v>
      </c>
      <c r="W21" s="154">
        <f t="shared" si="45"/>
        <v>0</v>
      </c>
      <c r="X21" s="154">
        <f t="shared" si="46"/>
        <v>0</v>
      </c>
      <c r="Y21" s="154">
        <f t="shared" si="47"/>
        <v>0</v>
      </c>
      <c r="Z21" s="154">
        <f t="shared" si="48"/>
        <v>0</v>
      </c>
      <c r="AA21" s="154">
        <f t="shared" si="49"/>
        <v>0</v>
      </c>
      <c r="AB21" s="154">
        <f t="shared" si="50"/>
        <v>0</v>
      </c>
      <c r="AC21" s="154">
        <f t="shared" si="51"/>
        <v>0</v>
      </c>
      <c r="AD21" s="138" t="e">
        <f t="shared" si="52"/>
        <v>#DIV/0!</v>
      </c>
      <c r="AE21" s="31">
        <f t="shared" si="15"/>
        <v>0.05</v>
      </c>
      <c r="AF21" s="146">
        <f t="shared" si="1"/>
        <v>0</v>
      </c>
    </row>
    <row r="22" spans="2:3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18" t="e">
        <f>((Q22/G22)^(1/($H$2-$H$1) ))-1</f>
        <v>#DIV/0!</v>
      </c>
      <c r="S22" s="31">
        <f t="shared" si="5"/>
        <v>0.15</v>
      </c>
      <c r="T22" s="154">
        <f t="shared" si="2"/>
        <v>0</v>
      </c>
      <c r="U22" s="154">
        <f t="shared" si="43"/>
        <v>0</v>
      </c>
      <c r="V22" s="154">
        <f t="shared" si="44"/>
        <v>0</v>
      </c>
      <c r="W22" s="154">
        <f t="shared" si="45"/>
        <v>0</v>
      </c>
      <c r="X22" s="154">
        <f t="shared" si="46"/>
        <v>0</v>
      </c>
      <c r="Y22" s="154">
        <f t="shared" si="47"/>
        <v>0</v>
      </c>
      <c r="Z22" s="154">
        <f t="shared" si="48"/>
        <v>0</v>
      </c>
      <c r="AA22" s="154">
        <f t="shared" si="49"/>
        <v>0</v>
      </c>
      <c r="AB22" s="154">
        <f t="shared" si="50"/>
        <v>0</v>
      </c>
      <c r="AC22" s="154">
        <f t="shared" si="51"/>
        <v>0</v>
      </c>
      <c r="AD22" s="138" t="e">
        <f t="shared" si="52"/>
        <v>#DIV/0!</v>
      </c>
      <c r="AE22" s="31">
        <f t="shared" si="15"/>
        <v>0.05</v>
      </c>
      <c r="AF22" s="146">
        <f t="shared" si="1"/>
        <v>0</v>
      </c>
    </row>
    <row r="23" spans="2:3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18" t="e">
        <f>((Q23/G23)^(1/($H$2-$H$1) ))-1</f>
        <v>#DIV/0!</v>
      </c>
      <c r="S23" s="31">
        <f t="shared" si="5"/>
        <v>0.15</v>
      </c>
      <c r="T23" s="154">
        <f t="shared" si="2"/>
        <v>0</v>
      </c>
      <c r="U23" s="154">
        <f t="shared" ref="U23" si="53">T23*(1+$S23)</f>
        <v>0</v>
      </c>
      <c r="V23" s="154">
        <f t="shared" ref="V23" si="54">U23*(1+$S23)</f>
        <v>0</v>
      </c>
      <c r="W23" s="154">
        <f t="shared" ref="W23" si="55">V23*(1+$S23)</f>
        <v>0</v>
      </c>
      <c r="X23" s="154">
        <f t="shared" ref="X23" si="56">W23*(1+$S23)</f>
        <v>0</v>
      </c>
      <c r="Y23" s="154">
        <f t="shared" ref="Y23" si="57">X23*(1+$S23)</f>
        <v>0</v>
      </c>
      <c r="Z23" s="154">
        <f t="shared" ref="Z23" si="58">Y23*(1+$S23)</f>
        <v>0</v>
      </c>
      <c r="AA23" s="154">
        <f t="shared" ref="AA23" si="59">Z23*(1+$S23)</f>
        <v>0</v>
      </c>
      <c r="AB23" s="154">
        <f t="shared" ref="AB23" si="60">AA23*(1+$S23)</f>
        <v>0</v>
      </c>
      <c r="AC23" s="154">
        <f t="shared" ref="AC23" si="61">AB23*(1+$S23)</f>
        <v>0</v>
      </c>
      <c r="AD23" s="138" t="e">
        <f t="shared" ref="AD23" si="62">((AC23/G23)^(1/($AC$3-$H$1) ))-1</f>
        <v>#DIV/0!</v>
      </c>
      <c r="AE23" s="31">
        <f t="shared" si="15"/>
        <v>0.05</v>
      </c>
      <c r="AF23" s="146">
        <f t="shared" si="1"/>
        <v>0</v>
      </c>
    </row>
    <row r="24" spans="2:3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>
      <c r="B25" s="20" t="s">
        <v>89</v>
      </c>
      <c r="C25" s="141"/>
      <c r="D25" s="141"/>
      <c r="E25" s="147"/>
      <c r="F25" s="147"/>
      <c r="G25" s="147">
        <v>46026</v>
      </c>
      <c r="H25" s="147">
        <v>61614</v>
      </c>
      <c r="I25" s="147">
        <v>73909</v>
      </c>
      <c r="J25" s="147">
        <v>88387</v>
      </c>
      <c r="K25" s="147">
        <v>101115</v>
      </c>
      <c r="L25" s="147">
        <v>107999</v>
      </c>
      <c r="M25" s="147">
        <v>107232</v>
      </c>
      <c r="N25" s="147">
        <v>124743</v>
      </c>
      <c r="O25" s="147">
        <v>155705</v>
      </c>
      <c r="P25" s="147">
        <v>169013</v>
      </c>
      <c r="Q25" s="147">
        <f>P25</f>
        <v>169013</v>
      </c>
      <c r="R25" s="118">
        <f>((Q25/G25)^(1/($H$2-$H$1) ))-1</f>
        <v>0.15549625416339041</v>
      </c>
      <c r="S25" s="31">
        <f t="shared" si="5"/>
        <v>0.15</v>
      </c>
      <c r="T25" s="154">
        <f t="shared" si="2"/>
        <v>194364.94999999998</v>
      </c>
      <c r="U25" s="154">
        <f t="shared" si="34"/>
        <v>223519.69249999998</v>
      </c>
      <c r="V25" s="154">
        <f t="shared" si="35"/>
        <v>257047.64637499995</v>
      </c>
      <c r="W25" s="154">
        <f t="shared" si="36"/>
        <v>295604.79333124991</v>
      </c>
      <c r="X25" s="154">
        <f t="shared" si="37"/>
        <v>339945.51233093737</v>
      </c>
      <c r="Y25" s="154">
        <f t="shared" si="38"/>
        <v>390937.33918057795</v>
      </c>
      <c r="Z25" s="154">
        <f t="shared" si="39"/>
        <v>449577.94005766459</v>
      </c>
      <c r="AA25" s="154">
        <f t="shared" si="40"/>
        <v>517014.63106631424</v>
      </c>
      <c r="AB25" s="154">
        <f t="shared" si="41"/>
        <v>594566.82572626136</v>
      </c>
      <c r="AC25" s="154">
        <f t="shared" si="42"/>
        <v>683751.84958520054</v>
      </c>
      <c r="AD25" s="138">
        <f t="shared" si="17"/>
        <v>0.14444457299992619</v>
      </c>
      <c r="AE25" s="31">
        <f t="shared" si="15"/>
        <v>0.05</v>
      </c>
      <c r="AF25" s="146">
        <f t="shared" si="1"/>
        <v>4223173.1886144746</v>
      </c>
    </row>
    <row r="26" spans="2:32" s="123" customFormat="1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0.25299444931346771</v>
      </c>
      <c r="I26" s="148">
        <f t="shared" ref="I26" si="63">(I25-H25)/I25</f>
        <v>0.16635321814663978</v>
      </c>
      <c r="J26" s="148">
        <f t="shared" ref="J26" si="64">(J25-I25)/J25</f>
        <v>0.16380236912668153</v>
      </c>
      <c r="K26" s="148">
        <f t="shared" ref="K26" si="65">(K25-J25)/K25</f>
        <v>0.12587647727834644</v>
      </c>
      <c r="L26" s="148">
        <f t="shared" ref="L26" si="66">(L25-K25)/L25</f>
        <v>6.3741330938249421E-2</v>
      </c>
      <c r="M26" s="148">
        <f t="shared" ref="M26" si="67">(M25-L25)/M25</f>
        <v>-7.1527156072814088E-3</v>
      </c>
      <c r="N26" s="148">
        <f t="shared" ref="N26" si="68">(N25-M25)/N25</f>
        <v>0.14037661431903994</v>
      </c>
      <c r="O26" s="148">
        <f t="shared" ref="O26" si="69">(O25-N25)/O25</f>
        <v>0.19885039016088116</v>
      </c>
      <c r="P26" s="148">
        <f t="shared" ref="P26:Q26" si="70">(P25-O25)/P25</f>
        <v>7.8739505245158659E-2</v>
      </c>
      <c r="Q26" s="148">
        <f t="shared" si="70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>
      <c r="B27" s="20" t="s">
        <v>261</v>
      </c>
      <c r="C27" s="141"/>
      <c r="D27" s="141"/>
      <c r="E27" s="147"/>
      <c r="F27" s="147"/>
      <c r="G27" s="147">
        <v>24186</v>
      </c>
      <c r="H27" s="147">
        <v>31748</v>
      </c>
      <c r="I27" s="147">
        <v>39580</v>
      </c>
      <c r="J27" s="147">
        <v>47484</v>
      </c>
      <c r="K27" s="147">
        <v>56286</v>
      </c>
      <c r="L27" s="147">
        <v>61428</v>
      </c>
      <c r="M27" s="147">
        <v>57777</v>
      </c>
      <c r="N27" s="147">
        <v>69355</v>
      </c>
      <c r="O27" s="147">
        <v>89044</v>
      </c>
      <c r="P27" s="147">
        <v>108647</v>
      </c>
      <c r="Q27" s="147">
        <f>P27</f>
        <v>108647</v>
      </c>
      <c r="R27" s="118">
        <f>((Q27/G27)^(1/($H$2-$H$1) ))-1</f>
        <v>0.18166631210336237</v>
      </c>
      <c r="S27" s="31">
        <f t="shared" si="5"/>
        <v>0.15</v>
      </c>
      <c r="T27" s="154">
        <f t="shared" si="2"/>
        <v>124944.04999999999</v>
      </c>
      <c r="U27" s="154">
        <f t="shared" si="34"/>
        <v>143685.65749999997</v>
      </c>
      <c r="V27" s="154">
        <f t="shared" si="35"/>
        <v>165238.50612499996</v>
      </c>
      <c r="W27" s="154">
        <f t="shared" si="36"/>
        <v>190024.28204374993</v>
      </c>
      <c r="X27" s="154">
        <f t="shared" si="37"/>
        <v>218527.92435031242</v>
      </c>
      <c r="Y27" s="154">
        <f t="shared" si="38"/>
        <v>251307.11300285926</v>
      </c>
      <c r="Z27" s="154">
        <f t="shared" si="39"/>
        <v>289003.17995328811</v>
      </c>
      <c r="AA27" s="154">
        <f t="shared" si="40"/>
        <v>332353.65694628132</v>
      </c>
      <c r="AB27" s="154">
        <f t="shared" si="41"/>
        <v>382206.70548822347</v>
      </c>
      <c r="AC27" s="154">
        <f t="shared" si="42"/>
        <v>439537.71131145698</v>
      </c>
      <c r="AD27" s="138">
        <f t="shared" si="17"/>
        <v>0.15603665503543485</v>
      </c>
      <c r="AE27" s="31">
        <f t="shared" si="15"/>
        <v>0.05</v>
      </c>
      <c r="AF27" s="146">
        <f t="shared" si="1"/>
        <v>2714791.7463354701</v>
      </c>
    </row>
    <row r="28" spans="2:32" s="123" customFormat="1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0.23818823232959557</v>
      </c>
      <c r="I28" s="148">
        <f t="shared" si="71"/>
        <v>0.19787771601819101</v>
      </c>
      <c r="J28" s="148">
        <f t="shared" si="71"/>
        <v>0.16645606941285485</v>
      </c>
      <c r="K28" s="148">
        <f t="shared" si="71"/>
        <v>0.15637991685321395</v>
      </c>
      <c r="L28" s="148">
        <f t="shared" si="71"/>
        <v>8.3707755420980662E-2</v>
      </c>
      <c r="M28" s="148">
        <f t="shared" si="71"/>
        <v>-6.3191235266628593E-2</v>
      </c>
      <c r="N28" s="148">
        <f t="shared" ref="N28" si="72">(N27-M27)/N27</f>
        <v>0.1669382164227525</v>
      </c>
      <c r="O28" s="148">
        <f t="shared" ref="O28" si="73">(O27-N27)/O27</f>
        <v>0.22111540362068191</v>
      </c>
      <c r="P28" s="148">
        <f t="shared" ref="P28:Q28" si="74">(P27-O27)/P27</f>
        <v>0.18042835973381685</v>
      </c>
      <c r="Q28" s="148">
        <f t="shared" si="74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>
      <c r="B29" s="20" t="s">
        <v>324</v>
      </c>
      <c r="C29" s="149"/>
      <c r="D29" s="149"/>
      <c r="E29" s="150"/>
      <c r="F29" s="147"/>
      <c r="G29" s="147">
        <v>382</v>
      </c>
      <c r="H29" s="147">
        <v>164</v>
      </c>
      <c r="I29" s="147">
        <v>159</v>
      </c>
      <c r="J29" s="147">
        <v>161</v>
      </c>
      <c r="K29" s="147">
        <v>135</v>
      </c>
      <c r="L29" s="147">
        <v>238</v>
      </c>
      <c r="M29" s="147">
        <v>502</v>
      </c>
      <c r="N29" s="147">
        <v>437</v>
      </c>
      <c r="O29" s="147">
        <v>435</v>
      </c>
      <c r="P29" s="147">
        <v>484</v>
      </c>
      <c r="Q29" s="147">
        <f>P29</f>
        <v>484</v>
      </c>
      <c r="R29" s="118">
        <f>((Q29/G29)^(1/($H$2-$H$1) ))-1</f>
        <v>2.6644824366475639E-2</v>
      </c>
      <c r="S29" s="31">
        <f t="shared" si="5"/>
        <v>0.15</v>
      </c>
      <c r="T29" s="154">
        <f t="shared" si="2"/>
        <v>556.59999999999991</v>
      </c>
      <c r="U29" s="154">
        <f t="shared" ref="U29" si="75">T29*(1+$S29)</f>
        <v>640.0899999999998</v>
      </c>
      <c r="V29" s="154">
        <f t="shared" ref="V29" si="76">U29*(1+$S29)</f>
        <v>736.10349999999971</v>
      </c>
      <c r="W29" s="154">
        <f t="shared" ref="W29" si="77">V29*(1+$S29)</f>
        <v>846.5190249999996</v>
      </c>
      <c r="X29" s="154">
        <f t="shared" ref="X29" si="78">W29*(1+$S29)</f>
        <v>973.4968787499995</v>
      </c>
      <c r="Y29" s="154">
        <f t="shared" ref="Y29" si="79">X29*(1+$S29)</f>
        <v>1119.5214105624993</v>
      </c>
      <c r="Z29" s="154">
        <f t="shared" ref="Z29" si="80">Y29*(1+$S29)</f>
        <v>1287.4496221468742</v>
      </c>
      <c r="AA29" s="154">
        <f t="shared" ref="AA29" si="81">Z29*(1+$S29)</f>
        <v>1480.5670654689052</v>
      </c>
      <c r="AB29" s="154">
        <f t="shared" ref="AB29" si="82">AA29*(1+$S29)</f>
        <v>1702.6521252892408</v>
      </c>
      <c r="AC29" s="154">
        <f t="shared" ref="AC29" si="83">AB29*(1+$S29)</f>
        <v>1958.0499440826268</v>
      </c>
      <c r="AD29" s="138">
        <f t="shared" ref="AD29" si="84">((AC29/G29)^(1/($AC$3-$H$1) ))-1</f>
        <v>8.5145615794751217E-2</v>
      </c>
      <c r="AE29" s="31">
        <f t="shared" si="15"/>
        <v>0.05</v>
      </c>
      <c r="AF29" s="146">
        <f t="shared" ref="AF29" si="85">(AC29*(1+AE29))/($C$1-AE29)</f>
        <v>12093.837889922108</v>
      </c>
    </row>
    <row r="30" spans="2:32" s="123" customFormat="1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-1.3292682926829269</v>
      </c>
      <c r="I30" s="148">
        <f t="shared" si="86"/>
        <v>-3.1446540880503145E-2</v>
      </c>
      <c r="J30" s="148">
        <f t="shared" si="86"/>
        <v>1.2422360248447204E-2</v>
      </c>
      <c r="K30" s="148">
        <f t="shared" si="86"/>
        <v>-0.19259259259259259</v>
      </c>
      <c r="L30" s="148">
        <f t="shared" si="86"/>
        <v>0.4327731092436975</v>
      </c>
      <c r="M30" s="148">
        <f t="shared" ref="M30" si="87">(M29-L29)/M29</f>
        <v>0.52589641434262946</v>
      </c>
      <c r="N30" s="148">
        <f t="shared" ref="N30" si="88">(N29-M29)/N29</f>
        <v>-0.14874141876430205</v>
      </c>
      <c r="O30" s="148">
        <f t="shared" ref="O30" si="89">(O29-N29)/O29</f>
        <v>-4.5977011494252873E-3</v>
      </c>
      <c r="P30" s="148">
        <f t="shared" ref="P30:Q30" si="90">(P29-O29)/P29</f>
        <v>0.1012396694214876</v>
      </c>
      <c r="Q30" s="148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18" t="e">
        <f>((Q31/G31)^(1/($H$2-$H$1) ))-1</f>
        <v>#DIV/0!</v>
      </c>
      <c r="S31" s="31">
        <f t="shared" si="5"/>
        <v>0.15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18" t="e">
        <f>((Q32/G32)^(1/($H$2-$H$1) ))-1</f>
        <v>#DIV/0!</v>
      </c>
      <c r="S32" s="31">
        <f t="shared" si="5"/>
        <v>0.15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>
      <c r="B33" s="20" t="s">
        <v>316</v>
      </c>
      <c r="C33" s="141"/>
      <c r="D33" s="141"/>
      <c r="E33" s="147"/>
      <c r="F33" s="147"/>
      <c r="G33" s="147">
        <v>7555</v>
      </c>
      <c r="H33" s="147">
        <v>10665</v>
      </c>
      <c r="I33" s="147">
        <v>16975</v>
      </c>
      <c r="J33" s="147">
        <v>19244</v>
      </c>
      <c r="K33" s="147">
        <v>25180</v>
      </c>
      <c r="L33" s="147">
        <v>28630</v>
      </c>
      <c r="M33" s="147">
        <v>25711</v>
      </c>
      <c r="N33" s="147">
        <v>32143</v>
      </c>
      <c r="O33" s="147">
        <v>46787</v>
      </c>
      <c r="P33" s="147">
        <v>61730</v>
      </c>
      <c r="Q33" s="147">
        <f>P33</f>
        <v>61730</v>
      </c>
      <c r="R33" s="118">
        <f>((Q33/G33)^(1/($H$2-$H$1) ))-1</f>
        <v>0.26288098194283371</v>
      </c>
      <c r="S33" s="31">
        <f t="shared" si="5"/>
        <v>0.15</v>
      </c>
      <c r="T33" s="154">
        <f t="shared" si="2"/>
        <v>70989.5</v>
      </c>
      <c r="U33" s="154">
        <f t="shared" si="34"/>
        <v>81637.924999999988</v>
      </c>
      <c r="V33" s="154">
        <f t="shared" si="35"/>
        <v>93883.613749999975</v>
      </c>
      <c r="W33" s="154">
        <f t="shared" si="36"/>
        <v>107966.15581249996</v>
      </c>
      <c r="X33" s="154">
        <f t="shared" si="37"/>
        <v>124161.07918437495</v>
      </c>
      <c r="Y33" s="154">
        <f t="shared" si="38"/>
        <v>142785.24106203119</v>
      </c>
      <c r="Z33" s="154">
        <f t="shared" si="39"/>
        <v>164203.02722133585</v>
      </c>
      <c r="AA33" s="154">
        <f t="shared" si="40"/>
        <v>188833.48130453622</v>
      </c>
      <c r="AB33" s="154">
        <f t="shared" si="41"/>
        <v>217158.50350021664</v>
      </c>
      <c r="AC33" s="154">
        <f t="shared" si="42"/>
        <v>249732.27902524912</v>
      </c>
      <c r="AD33" s="138">
        <f t="shared" si="17"/>
        <v>0.19113781006488417</v>
      </c>
      <c r="AE33" s="31">
        <f t="shared" si="15"/>
        <v>0.05</v>
      </c>
      <c r="AF33" s="146">
        <f t="shared" si="1"/>
        <v>1542464.0763324215</v>
      </c>
    </row>
    <row r="34" spans="2:32">
      <c r="B34" s="20" t="s">
        <v>308</v>
      </c>
      <c r="C34" s="141"/>
      <c r="D34" s="141"/>
      <c r="E34" s="147"/>
      <c r="F34" s="147"/>
      <c r="G34" s="147">
        <v>991</v>
      </c>
      <c r="H34" s="147">
        <v>1068</v>
      </c>
      <c r="I34" s="147">
        <v>1367</v>
      </c>
      <c r="J34" s="147">
        <v>2380</v>
      </c>
      <c r="K34" s="147">
        <v>1328</v>
      </c>
      <c r="L34" s="147">
        <v>1162</v>
      </c>
      <c r="M34" s="147">
        <v>1407</v>
      </c>
      <c r="N34" s="147">
        <v>1714</v>
      </c>
      <c r="O34" s="147">
        <v>1695</v>
      </c>
      <c r="P34" s="147">
        <v>2458</v>
      </c>
      <c r="Q34" s="147">
        <f>P34</f>
        <v>2458</v>
      </c>
      <c r="R34" s="118">
        <f>((Q34/G34)^(1/($H$2-$H$1) ))-1</f>
        <v>0.10620151040528536</v>
      </c>
      <c r="S34" s="31">
        <f t="shared" si="5"/>
        <v>0.15</v>
      </c>
      <c r="T34" s="154">
        <f t="shared" si="2"/>
        <v>2826.7</v>
      </c>
      <c r="U34" s="154">
        <f t="shared" si="34"/>
        <v>3250.7049999999995</v>
      </c>
      <c r="V34" s="154">
        <f t="shared" si="35"/>
        <v>3738.3107499999992</v>
      </c>
      <c r="W34" s="154">
        <f t="shared" si="36"/>
        <v>4299.0573624999988</v>
      </c>
      <c r="X34" s="154">
        <f t="shared" si="37"/>
        <v>4943.915966874998</v>
      </c>
      <c r="Y34" s="154">
        <f t="shared" si="38"/>
        <v>5685.5033619062469</v>
      </c>
      <c r="Z34" s="154">
        <f t="shared" si="39"/>
        <v>6538.3288661921833</v>
      </c>
      <c r="AA34" s="154">
        <f t="shared" si="40"/>
        <v>7519.0781961210105</v>
      </c>
      <c r="AB34" s="154">
        <f t="shared" si="41"/>
        <v>8646.9399255391618</v>
      </c>
      <c r="AC34" s="154">
        <f t="shared" si="42"/>
        <v>9943.980914370035</v>
      </c>
      <c r="AD34" s="138">
        <f t="shared" si="17"/>
        <v>0.12221050905118225</v>
      </c>
      <c r="AE34" s="31">
        <f t="shared" si="15"/>
        <v>0.05</v>
      </c>
      <c r="AF34" s="146">
        <f t="shared" si="1"/>
        <v>61418.705647579634</v>
      </c>
    </row>
    <row r="35" spans="2:3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>
      <c r="B36" s="20" t="s">
        <v>278</v>
      </c>
      <c r="C36" s="141"/>
      <c r="D36" s="141"/>
      <c r="E36" s="147"/>
      <c r="F36" s="147"/>
      <c r="G36" s="147">
        <v>19596</v>
      </c>
      <c r="H36" s="147">
        <v>28342</v>
      </c>
      <c r="I36" s="147">
        <v>31370</v>
      </c>
      <c r="J36" s="147">
        <v>35683</v>
      </c>
      <c r="K36" s="147">
        <v>40595</v>
      </c>
      <c r="L36" s="147">
        <v>42861</v>
      </c>
      <c r="M36" s="147">
        <v>44818</v>
      </c>
      <c r="N36" s="147">
        <v>51670</v>
      </c>
      <c r="O36" s="147">
        <v>58725</v>
      </c>
      <c r="P36" s="147">
        <v>54875</v>
      </c>
      <c r="Q36" s="147">
        <f>P36</f>
        <v>54875</v>
      </c>
      <c r="R36" s="118">
        <f>((Q36/G36)^(1/($H$2-$H$1) ))-1</f>
        <v>0.12121701058208978</v>
      </c>
      <c r="S36" s="31">
        <f t="shared" si="5"/>
        <v>0.15</v>
      </c>
      <c r="T36" s="154">
        <f t="shared" si="2"/>
        <v>63106.249999999993</v>
      </c>
      <c r="U36" s="154">
        <f t="shared" ref="U36" si="94">T36*(1+$S36)</f>
        <v>72572.187499999985</v>
      </c>
      <c r="V36" s="154">
        <f t="shared" ref="V36" si="95">U36*(1+$S36)</f>
        <v>83458.015624999971</v>
      </c>
      <c r="W36" s="154">
        <f t="shared" ref="W36" si="96">V36*(1+$S36)</f>
        <v>95976.717968749959</v>
      </c>
      <c r="X36" s="154">
        <f t="shared" si="37"/>
        <v>110373.22566406244</v>
      </c>
      <c r="Y36" s="154">
        <f t="shared" si="38"/>
        <v>126929.2095136718</v>
      </c>
      <c r="Z36" s="154">
        <f t="shared" si="39"/>
        <v>145968.59094072256</v>
      </c>
      <c r="AA36" s="154">
        <f t="shared" si="40"/>
        <v>167863.87958183093</v>
      </c>
      <c r="AB36" s="154">
        <f t="shared" si="41"/>
        <v>193043.46151910556</v>
      </c>
      <c r="AC36" s="154">
        <f t="shared" si="42"/>
        <v>221999.98074697139</v>
      </c>
      <c r="AD36" s="138">
        <f t="shared" si="17"/>
        <v>0.12903986163041559</v>
      </c>
      <c r="AE36" s="31">
        <f t="shared" si="15"/>
        <v>0.05</v>
      </c>
      <c r="AF36" s="146">
        <f t="shared" si="1"/>
        <v>1371176.3516724706</v>
      </c>
    </row>
    <row r="37" spans="2:32" s="123" customFormat="1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0.30858796132947569</v>
      </c>
      <c r="I37" s="148">
        <f t="shared" ref="I37" si="99">(I36-H36)/I36</f>
        <v>9.6525342684093088E-2</v>
      </c>
      <c r="J37" s="148">
        <f t="shared" ref="J37" si="100">(J36-I36)/J36</f>
        <v>0.12086988201664658</v>
      </c>
      <c r="K37" s="148">
        <f t="shared" ref="K37" si="101">(K36-J36)/K36</f>
        <v>0.12100012316787782</v>
      </c>
      <c r="L37" s="148">
        <f t="shared" ref="L37" si="102">(L36-K36)/L36</f>
        <v>5.2868575161568794E-2</v>
      </c>
      <c r="M37" s="148">
        <f t="shared" ref="M37" si="103">(M36-L36)/M36</f>
        <v>4.366549154357624E-2</v>
      </c>
      <c r="N37" s="148">
        <f t="shared" ref="N37" si="104">(N36-M36)/N36</f>
        <v>0.13261079930327074</v>
      </c>
      <c r="O37" s="148">
        <f t="shared" ref="O37" si="105">(O36-N36)/O36</f>
        <v>0.12013622818220519</v>
      </c>
      <c r="P37" s="148">
        <f t="shared" ref="P37:Q37" si="106">(P36-O36)/P36</f>
        <v>-7.0159453302961278E-2</v>
      </c>
      <c r="Q37" s="148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>
      <c r="B38" s="20" t="s">
        <v>400</v>
      </c>
      <c r="C38" s="149"/>
      <c r="D38" s="149"/>
      <c r="E38" s="150"/>
      <c r="F38" s="150"/>
      <c r="G38" s="147">
        <v>14905</v>
      </c>
      <c r="H38" s="147">
        <v>22343</v>
      </c>
      <c r="I38" s="147">
        <v>24384</v>
      </c>
      <c r="J38" s="147">
        <v>28774</v>
      </c>
      <c r="K38" s="147">
        <v>30805</v>
      </c>
      <c r="L38" s="147">
        <v>30902</v>
      </c>
      <c r="M38" s="147">
        <v>30233</v>
      </c>
      <c r="N38" s="147">
        <v>34324</v>
      </c>
      <c r="O38" s="147">
        <v>42779</v>
      </c>
      <c r="P38" s="147">
        <v>36742</v>
      </c>
      <c r="Q38" s="147">
        <f>P38</f>
        <v>36742</v>
      </c>
      <c r="R38" s="118">
        <f>((Q38/G38)^(1/($H$2-$H$1) ))-1</f>
        <v>0.1054440257657534</v>
      </c>
      <c r="S38" s="31">
        <f t="shared" si="5"/>
        <v>0.15</v>
      </c>
      <c r="T38" s="154">
        <f t="shared" si="2"/>
        <v>42253.299999999996</v>
      </c>
      <c r="U38" s="154">
        <f t="shared" ref="U38" si="107">T38*(1+$S38)</f>
        <v>48591.294999999991</v>
      </c>
      <c r="V38" s="154">
        <f t="shared" ref="V38" si="108">U38*(1+$S38)</f>
        <v>55879.989249999984</v>
      </c>
      <c r="W38" s="154">
        <f t="shared" ref="W38" si="109">V38*(1+$S38)</f>
        <v>64261.98763749998</v>
      </c>
      <c r="X38" s="154">
        <f t="shared" ref="X38" si="110">W38*(1+$S38)</f>
        <v>73901.285783124971</v>
      </c>
      <c r="Y38" s="154">
        <f t="shared" ref="Y38" si="111">X38*(1+$S38)</f>
        <v>84986.478650593708</v>
      </c>
      <c r="Z38" s="154">
        <f t="shared" ref="Z38" si="112">Y38*(1+$S38)</f>
        <v>97734.450448182761</v>
      </c>
      <c r="AA38" s="154">
        <f t="shared" ref="AA38" si="113">Z38*(1+$S38)</f>
        <v>112394.61801541016</v>
      </c>
      <c r="AB38" s="154">
        <f t="shared" ref="AB38" si="114">AA38*(1+$S38)</f>
        <v>129253.81071772167</v>
      </c>
      <c r="AC38" s="154">
        <f t="shared" ref="AC38" si="115">AB38*(1+$S38)</f>
        <v>148641.88232537991</v>
      </c>
      <c r="AD38" s="138">
        <f t="shared" ref="AD38" si="116">((AC38/G38)^(1/($AC$3-$H$1) ))-1</f>
        <v>0.12186464276420361</v>
      </c>
      <c r="AE38" s="31">
        <f t="shared" si="15"/>
        <v>0.05</v>
      </c>
      <c r="AF38" s="146">
        <f t="shared" ref="AF38" si="117">(AC38*(1+AE38))/($C$1-AE38)</f>
        <v>918082.21436264075</v>
      </c>
    </row>
    <row r="39" spans="2:32" s="123" customFormat="1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0.33290068477823032</v>
      </c>
      <c r="I39" s="148">
        <f t="shared" ref="I39" si="120">(I38-H38)/I38</f>
        <v>8.3702427821522304E-2</v>
      </c>
      <c r="J39" s="148">
        <f t="shared" ref="J39" si="121">(J38-I38)/J38</f>
        <v>0.15256829081809967</v>
      </c>
      <c r="K39" s="148">
        <f t="shared" ref="K39" si="122">(K38-J38)/K38</f>
        <v>6.5930855380620032E-2</v>
      </c>
      <c r="L39" s="148">
        <f t="shared" ref="L39" si="123">(L38-K38)/L38</f>
        <v>3.1389554074169957E-3</v>
      </c>
      <c r="M39" s="148">
        <f t="shared" ref="M39" si="124">(M38-L38)/M38</f>
        <v>-2.2128138127211986E-2</v>
      </c>
      <c r="N39" s="148">
        <f t="shared" ref="N39" si="125">(N38-M38)/N38</f>
        <v>0.11918774035660179</v>
      </c>
      <c r="O39" s="148">
        <f t="shared" ref="O39" si="126">(O38-N38)/O38</f>
        <v>0.19764370368638817</v>
      </c>
      <c r="P39" s="148">
        <f t="shared" ref="P39:Q39" si="127">(P38-O38)/P38</f>
        <v>-0.16430787654455392</v>
      </c>
      <c r="Q39" s="148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>
      <c r="B40" s="20" t="s">
        <v>401</v>
      </c>
      <c r="C40" s="141"/>
      <c r="D40" s="141"/>
      <c r="E40" s="147"/>
      <c r="F40" s="147"/>
      <c r="G40" s="147">
        <v>9488</v>
      </c>
      <c r="H40" s="147">
        <v>14520</v>
      </c>
      <c r="I40" s="147">
        <v>15487</v>
      </c>
      <c r="J40" s="147">
        <v>17901</v>
      </c>
      <c r="K40" s="147">
        <v>20221</v>
      </c>
      <c r="L40" s="147">
        <v>20170</v>
      </c>
      <c r="M40" s="147">
        <v>19727</v>
      </c>
      <c r="N40" s="147">
        <v>22824</v>
      </c>
      <c r="O40" s="147">
        <v>28428</v>
      </c>
      <c r="P40" s="147">
        <v>23990</v>
      </c>
      <c r="Q40" s="147">
        <f>P40</f>
        <v>23990</v>
      </c>
      <c r="R40" s="118">
        <f>((Q40/G40)^(1/($H$2-$H$1) ))-1</f>
        <v>0.10856644842868102</v>
      </c>
      <c r="S40" s="31">
        <f t="shared" si="5"/>
        <v>0.15</v>
      </c>
      <c r="T40" s="154">
        <f t="shared" si="2"/>
        <v>27588.499999999996</v>
      </c>
      <c r="U40" s="154">
        <f t="shared" ref="U40:AC40" si="128">T40*(1+$S40)</f>
        <v>31726.774999999994</v>
      </c>
      <c r="V40" s="154">
        <f t="shared" si="128"/>
        <v>36485.791249999987</v>
      </c>
      <c r="W40" s="154">
        <f t="shared" si="128"/>
        <v>41958.659937499986</v>
      </c>
      <c r="X40" s="154">
        <f t="shared" si="128"/>
        <v>48252.458928124979</v>
      </c>
      <c r="Y40" s="154">
        <f t="shared" si="128"/>
        <v>55490.327767343719</v>
      </c>
      <c r="Z40" s="154">
        <f t="shared" si="128"/>
        <v>63813.876932445273</v>
      </c>
      <c r="AA40" s="154">
        <f t="shared" si="128"/>
        <v>73385.958472312064</v>
      </c>
      <c r="AB40" s="154">
        <f t="shared" si="128"/>
        <v>84393.852243158864</v>
      </c>
      <c r="AC40" s="154">
        <f t="shared" si="128"/>
        <v>97052.930079632686</v>
      </c>
      <c r="AD40" s="138">
        <f t="shared" si="17"/>
        <v>0.12328949860046423</v>
      </c>
      <c r="AE40" s="31">
        <f t="shared" si="15"/>
        <v>0.05</v>
      </c>
      <c r="AF40" s="146">
        <f t="shared" si="1"/>
        <v>599444.5681389079</v>
      </c>
    </row>
    <row r="41" spans="2:32" s="123" customFormat="1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0.34655647382920113</v>
      </c>
      <c r="I41" s="148">
        <f t="shared" si="129"/>
        <v>6.2439465358042227E-2</v>
      </c>
      <c r="J41" s="148">
        <f t="shared" si="129"/>
        <v>0.13485280151946819</v>
      </c>
      <c r="K41" s="148">
        <f t="shared" si="129"/>
        <v>0.11473220908956036</v>
      </c>
      <c r="L41" s="148">
        <f t="shared" si="129"/>
        <v>-2.5285076846802181E-3</v>
      </c>
      <c r="M41" s="148">
        <f t="shared" si="129"/>
        <v>-2.2456531657119683E-2</v>
      </c>
      <c r="N41" s="148">
        <f t="shared" si="129"/>
        <v>0.13569050122677884</v>
      </c>
      <c r="O41" s="148">
        <f t="shared" si="129"/>
        <v>0.19712959054453355</v>
      </c>
      <c r="P41" s="148">
        <f t="shared" si="129"/>
        <v>-0.1849937473947478</v>
      </c>
      <c r="Q41" s="148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142.35</v>
      </c>
      <c r="H42" s="145">
        <v>142.249</v>
      </c>
      <c r="I42" s="145">
        <v>142.5</v>
      </c>
      <c r="J42" s="145">
        <v>213.88</v>
      </c>
      <c r="K42" s="145">
        <v>213.88</v>
      </c>
      <c r="L42" s="145">
        <v>213.88</v>
      </c>
      <c r="M42" s="145">
        <v>213.88</v>
      </c>
      <c r="N42" s="145">
        <v>855.54</v>
      </c>
      <c r="O42" s="145">
        <v>855.54</v>
      </c>
      <c r="P42" s="145">
        <v>855.54</v>
      </c>
      <c r="Q42" s="145">
        <f>P42</f>
        <v>855.54</v>
      </c>
      <c r="R42" s="118">
        <f>((Q42/G42)^(1/($H$2-$H$1) ))-1</f>
        <v>0.2205133628042113</v>
      </c>
      <c r="S42" s="31">
        <v>0.01</v>
      </c>
      <c r="T42" s="154">
        <f t="shared" si="2"/>
        <v>864.09539999999993</v>
      </c>
      <c r="U42" s="154">
        <f t="shared" ref="U42:AC42" si="130">T42*(1+$S42)</f>
        <v>872.73635399999989</v>
      </c>
      <c r="V42" s="154">
        <f t="shared" si="130"/>
        <v>881.46371753999995</v>
      </c>
      <c r="W42" s="154">
        <f t="shared" si="130"/>
        <v>890.27835471539993</v>
      </c>
      <c r="X42" s="154">
        <f t="shared" si="130"/>
        <v>899.18113826255399</v>
      </c>
      <c r="Y42" s="154">
        <f t="shared" si="130"/>
        <v>908.17294964517953</v>
      </c>
      <c r="Z42" s="154">
        <f t="shared" si="130"/>
        <v>917.2546791416313</v>
      </c>
      <c r="AA42" s="154">
        <f t="shared" si="130"/>
        <v>926.42722593304757</v>
      </c>
      <c r="AB42" s="154">
        <f t="shared" si="130"/>
        <v>935.69149819237805</v>
      </c>
      <c r="AC42" s="154">
        <f t="shared" si="130"/>
        <v>945.0484131743018</v>
      </c>
      <c r="AD42" s="138">
        <f t="shared" si="17"/>
        <v>9.927114767132772E-2</v>
      </c>
      <c r="AE42" s="31">
        <f t="shared" si="15"/>
        <v>0.05</v>
      </c>
      <c r="AF42" s="146">
        <f t="shared" si="1"/>
        <v>5837.0637284295117</v>
      </c>
    </row>
    <row r="43" spans="2:32">
      <c r="B43" s="20"/>
      <c r="C43" s="142"/>
      <c r="D43" s="142"/>
      <c r="E43" s="143"/>
      <c r="F43" s="147"/>
      <c r="G43" s="148">
        <f>(G42-F42)/G42</f>
        <v>0.99297506146821213</v>
      </c>
      <c r="H43" s="148">
        <f t="shared" ref="H43" si="131">(H42-G42)/H42</f>
        <v>-7.1002256606372697E-4</v>
      </c>
      <c r="I43" s="148">
        <f t="shared" ref="I43" si="132">(I42-H42)/I42</f>
        <v>1.7614035087719633E-3</v>
      </c>
      <c r="J43" s="148">
        <f t="shared" ref="J43" si="133">(J42-I42)/J42</f>
        <v>0.33373854497849259</v>
      </c>
      <c r="K43" s="148">
        <f t="shared" ref="K43" si="134">(K42-J42)/K42</f>
        <v>0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0.75000584426210348</v>
      </c>
      <c r="O43" s="148">
        <f t="shared" ref="O43" si="138">(O42-N42)/O42</f>
        <v>0</v>
      </c>
      <c r="P43" s="148">
        <f t="shared" ref="P43:Q43" si="139">(P42-O42)/P42</f>
        <v>0</v>
      </c>
      <c r="Q43" s="148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>
      <c r="B44" s="20" t="s">
        <v>282</v>
      </c>
      <c r="C44" s="145"/>
      <c r="D44" s="145"/>
      <c r="E44" s="145"/>
      <c r="F44" s="147"/>
      <c r="G44" s="145">
        <v>24</v>
      </c>
      <c r="H44" s="145">
        <v>40</v>
      </c>
      <c r="I44" s="145">
        <v>45</v>
      </c>
      <c r="J44" s="145">
        <v>31</v>
      </c>
      <c r="K44" s="145">
        <v>32</v>
      </c>
      <c r="L44" s="145">
        <v>32</v>
      </c>
      <c r="M44" s="145">
        <v>33</v>
      </c>
      <c r="N44" s="145">
        <v>8.75</v>
      </c>
      <c r="O44" s="145">
        <v>9.75</v>
      </c>
      <c r="P44" s="145">
        <v>9.5</v>
      </c>
      <c r="Q44" s="145">
        <f>P44</f>
        <v>9.5</v>
      </c>
      <c r="R44" s="118">
        <f>((Q44/G44)^(1/($H$2-$H$1) ))-1</f>
        <v>-9.7849173138146783E-2</v>
      </c>
      <c r="S44" s="31">
        <f>P1</f>
        <v>0.05</v>
      </c>
      <c r="T44" s="154">
        <f t="shared" si="2"/>
        <v>9.9749999999999996</v>
      </c>
      <c r="U44" s="154">
        <f t="shared" ref="U44" si="140">T44*(1+$S44)</f>
        <v>10.473750000000001</v>
      </c>
      <c r="V44" s="154">
        <f t="shared" ref="V44" si="141">U44*(1+$S44)</f>
        <v>10.997437500000002</v>
      </c>
      <c r="W44" s="154">
        <f t="shared" ref="W44" si="142">V44*(1+$S44)</f>
        <v>11.547309375000003</v>
      </c>
      <c r="X44" s="154">
        <f t="shared" ref="X44" si="143">W44*(1+$S44)</f>
        <v>12.124674843750004</v>
      </c>
      <c r="Y44" s="154">
        <f t="shared" ref="Y44" si="144">X44*(1+$S44)</f>
        <v>12.730908585937504</v>
      </c>
      <c r="Z44" s="154">
        <f t="shared" ref="Z44" si="145">Y44*(1+$S44)</f>
        <v>13.367454015234379</v>
      </c>
      <c r="AA44" s="154">
        <f t="shared" ref="AA44" si="146">Z44*(1+$S44)</f>
        <v>14.0358267159961</v>
      </c>
      <c r="AB44" s="154">
        <f t="shared" ref="AB44" si="147">AA44*(1+$S44)</f>
        <v>14.737618051795906</v>
      </c>
      <c r="AC44" s="154">
        <f t="shared" ref="AC44" si="148">AB44*(1+$S44)</f>
        <v>15.474498954385702</v>
      </c>
      <c r="AD44" s="138">
        <f t="shared" ref="AD44" si="149">((AC44/G44)^(1/($AC$3-$H$1) ))-1</f>
        <v>-2.170402274528771E-2</v>
      </c>
      <c r="AE44" s="31">
        <f t="shared" si="15"/>
        <v>0.05</v>
      </c>
      <c r="AF44" s="146">
        <f t="shared" si="1"/>
        <v>95.5777876594411</v>
      </c>
    </row>
    <row r="45" spans="2:3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448</v>
      </c>
      <c r="O45" s="147">
        <v>0</v>
      </c>
      <c r="P45" s="147">
        <v>0</v>
      </c>
      <c r="Q45" s="147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 t="s">
        <v>446</v>
      </c>
      <c r="K46" s="147">
        <v>0</v>
      </c>
      <c r="L46" s="147">
        <v>0</v>
      </c>
      <c r="M46" s="147">
        <v>0</v>
      </c>
      <c r="N46" s="147" t="s">
        <v>447</v>
      </c>
      <c r="O46" s="147">
        <v>0</v>
      </c>
      <c r="P46" s="147">
        <v>0</v>
      </c>
      <c r="Q46" s="147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/>
      <c r="O47" s="147">
        <v>0</v>
      </c>
      <c r="P47" s="147">
        <v>0</v>
      </c>
      <c r="Q47" s="147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323.32982086406747</v>
      </c>
      <c r="H50" s="133">
        <f t="shared" si="150"/>
        <v>433.14188500446403</v>
      </c>
      <c r="I50" s="133">
        <f t="shared" si="150"/>
        <v>518.65964912280697</v>
      </c>
      <c r="J50" s="133">
        <f t="shared" si="150"/>
        <v>413.25509631569105</v>
      </c>
      <c r="K50" s="133">
        <f t="shared" si="150"/>
        <v>472.76510192631383</v>
      </c>
      <c r="L50" s="133">
        <f t="shared" si="150"/>
        <v>504.95137460258087</v>
      </c>
      <c r="M50" s="133">
        <f t="shared" si="150"/>
        <v>501.36525154292127</v>
      </c>
      <c r="N50" s="133">
        <f t="shared" si="150"/>
        <v>145.80615751455221</v>
      </c>
      <c r="O50" s="133">
        <f t="shared" si="150"/>
        <v>181.99616616406013</v>
      </c>
      <c r="P50" s="133">
        <f t="shared" si="150"/>
        <v>197.55125417864741</v>
      </c>
      <c r="Q50" s="133">
        <f t="shared" ref="Q50" si="151">Q25/Q42</f>
        <v>197.55125417864741</v>
      </c>
      <c r="R50" s="118">
        <f>((P50/G50)^(1/($H$2-$H$1) ))-1</f>
        <v>-5.3270296436115805E-2</v>
      </c>
      <c r="S50" s="128"/>
      <c r="T50" s="158">
        <f t="shared" ref="T50:AC50" si="152">T25/T42</f>
        <v>224.93459634202426</v>
      </c>
      <c r="U50" s="158">
        <f t="shared" si="152"/>
        <v>256.11364930032465</v>
      </c>
      <c r="V50" s="158">
        <f t="shared" si="152"/>
        <v>291.61455118353797</v>
      </c>
      <c r="W50" s="158">
        <f t="shared" si="152"/>
        <v>332.03637015947385</v>
      </c>
      <c r="X50" s="158">
        <f t="shared" si="152"/>
        <v>378.06121354791577</v>
      </c>
      <c r="Y50" s="158">
        <f t="shared" si="152"/>
        <v>430.46573819812187</v>
      </c>
      <c r="Z50" s="158">
        <f t="shared" si="152"/>
        <v>490.13425636419811</v>
      </c>
      <c r="AA50" s="158">
        <f t="shared" si="152"/>
        <v>558.07365823646319</v>
      </c>
      <c r="AB50" s="158">
        <f t="shared" si="152"/>
        <v>635.4304029425075</v>
      </c>
      <c r="AC50" s="158">
        <f t="shared" si="152"/>
        <v>723.50986473651847</v>
      </c>
      <c r="AD50" s="138">
        <f t="shared" ref="AD50" si="153">((AC50/G50)^(1/($AC$3-$H$1) ))-1</f>
        <v>4.1093978882546844E-2</v>
      </c>
      <c r="AE50" s="31">
        <f t="shared" si="15"/>
        <v>0.05</v>
      </c>
      <c r="AF50" s="146">
        <f t="shared" ref="AF50:AF51" si="154">(AC50*(1+AE50))/($C$1-AE50)</f>
        <v>4468.7373998432022</v>
      </c>
    </row>
    <row r="51" spans="2:3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169.90516332982088</v>
      </c>
      <c r="H51" s="133">
        <f t="shared" si="155"/>
        <v>223.18610324149907</v>
      </c>
      <c r="I51" s="133">
        <f t="shared" si="155"/>
        <v>277.75438596491227</v>
      </c>
      <c r="J51" s="133">
        <f t="shared" si="155"/>
        <v>222.01234337011408</v>
      </c>
      <c r="K51" s="133">
        <f t="shared" si="155"/>
        <v>263.16626145502153</v>
      </c>
      <c r="L51" s="133">
        <f t="shared" si="155"/>
        <v>287.20778006358705</v>
      </c>
      <c r="M51" s="133">
        <f t="shared" si="155"/>
        <v>270.13746025808865</v>
      </c>
      <c r="N51" s="133">
        <f t="shared" si="155"/>
        <v>81.065759637188208</v>
      </c>
      <c r="O51" s="133">
        <f t="shared" si="155"/>
        <v>104.07929494821984</v>
      </c>
      <c r="P51" s="133">
        <f t="shared" si="155"/>
        <v>126.99230895107185</v>
      </c>
      <c r="Q51" s="133">
        <f t="shared" ref="Q51" si="156">Q27/Q42</f>
        <v>126.99230895107185</v>
      </c>
      <c r="R51" s="118">
        <f>((P51/G51)^(1/($H$2-$H$1) ))-1</f>
        <v>-3.1828451768520782E-2</v>
      </c>
      <c r="S51" s="128"/>
      <c r="T51" s="158">
        <f t="shared" ref="T51:AC51" si="157">T27/T42</f>
        <v>144.59520326112141</v>
      </c>
      <c r="U51" s="158">
        <f t="shared" si="157"/>
        <v>164.63810272305901</v>
      </c>
      <c r="V51" s="158">
        <f t="shared" si="157"/>
        <v>187.45922587278994</v>
      </c>
      <c r="W51" s="158">
        <f t="shared" si="157"/>
        <v>213.44367302347368</v>
      </c>
      <c r="X51" s="158">
        <f t="shared" si="157"/>
        <v>243.02992472969771</v>
      </c>
      <c r="Y51" s="158">
        <f t="shared" si="157"/>
        <v>276.71724102886373</v>
      </c>
      <c r="Z51" s="158">
        <f t="shared" si="157"/>
        <v>315.07408631999334</v>
      </c>
      <c r="AA51" s="158">
        <f t="shared" si="157"/>
        <v>358.74772204751713</v>
      </c>
      <c r="AB51" s="158">
        <f t="shared" si="157"/>
        <v>408.47512906400459</v>
      </c>
      <c r="AC51" s="158">
        <f t="shared" si="157"/>
        <v>465.09544398376767</v>
      </c>
      <c r="AD51" s="138">
        <f t="shared" ref="AD51" si="158">((AC51/G51)^(1/($AC$3-$H$1) ))-1</f>
        <v>5.1639222483331748E-2</v>
      </c>
      <c r="AE51" s="31">
        <f t="shared" si="15"/>
        <v>0.05</v>
      </c>
      <c r="AF51" s="146">
        <f t="shared" si="154"/>
        <v>2872.6483304879771</v>
      </c>
    </row>
    <row r="52" spans="2:32">
      <c r="B52" s="20" t="s">
        <v>427</v>
      </c>
      <c r="C52" s="133"/>
      <c r="D52" s="133"/>
      <c r="E52" s="133"/>
      <c r="F52" s="133"/>
      <c r="G52" s="133">
        <f>G38-G40</f>
        <v>5417</v>
      </c>
      <c r="H52" s="133">
        <f t="shared" ref="H52:P52" si="159">H38-H40</f>
        <v>7823</v>
      </c>
      <c r="I52" s="133">
        <f t="shared" si="159"/>
        <v>8897</v>
      </c>
      <c r="J52" s="133">
        <f t="shared" si="159"/>
        <v>10873</v>
      </c>
      <c r="K52" s="133">
        <f t="shared" si="159"/>
        <v>10584</v>
      </c>
      <c r="L52" s="133">
        <f t="shared" si="159"/>
        <v>10732</v>
      </c>
      <c r="M52" s="133">
        <f t="shared" si="159"/>
        <v>10506</v>
      </c>
      <c r="N52" s="133">
        <f t="shared" si="159"/>
        <v>11500</v>
      </c>
      <c r="O52" s="133">
        <f t="shared" si="159"/>
        <v>14351</v>
      </c>
      <c r="P52" s="133">
        <f t="shared" si="159"/>
        <v>12752</v>
      </c>
      <c r="Q52" s="133">
        <f t="shared" ref="Q52" si="160">Q38-Q40</f>
        <v>12752</v>
      </c>
      <c r="R52" s="118">
        <f>((P52/G52)^(1/($H$2-$H$1) ))-1</f>
        <v>9.9798883037320874E-2</v>
      </c>
      <c r="S52" s="128"/>
      <c r="T52" s="133">
        <f t="shared" ref="T52:AC52" si="161">T38-T40</f>
        <v>14664.8</v>
      </c>
      <c r="U52" s="133">
        <f t="shared" si="161"/>
        <v>16864.519999999997</v>
      </c>
      <c r="V52" s="133">
        <f t="shared" si="161"/>
        <v>19394.197999999997</v>
      </c>
      <c r="W52" s="133">
        <f t="shared" si="161"/>
        <v>22303.327699999994</v>
      </c>
      <c r="X52" s="133">
        <f t="shared" si="161"/>
        <v>25648.826854999992</v>
      </c>
      <c r="Y52" s="133">
        <f t="shared" si="161"/>
        <v>29496.150883249989</v>
      </c>
      <c r="Z52" s="133">
        <f t="shared" si="161"/>
        <v>33920.573515737487</v>
      </c>
      <c r="AA52" s="133">
        <f t="shared" si="161"/>
        <v>39008.659543098096</v>
      </c>
      <c r="AB52" s="133">
        <f t="shared" si="161"/>
        <v>44859.958474562809</v>
      </c>
      <c r="AC52" s="133">
        <f t="shared" si="161"/>
        <v>51588.952245747219</v>
      </c>
      <c r="AD52" s="138">
        <f t="shared" ref="AD52" si="162">((AC52/G52)^(1/($AC$3-$H$1) ))-1</f>
        <v>0.11928296387224036</v>
      </c>
      <c r="AE52" s="31">
        <f t="shared" si="15"/>
        <v>0.05</v>
      </c>
      <c r="AF52" s="146">
        <f t="shared" ref="AF52" si="163">(AC52*(1+AE52))/($C$1-AE52)</f>
        <v>318637.64622373285</v>
      </c>
    </row>
    <row r="53" spans="2:3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66.652616789603087</v>
      </c>
      <c r="H54" s="133">
        <f t="shared" si="164"/>
        <v>102.07453127965751</v>
      </c>
      <c r="I54" s="133">
        <f t="shared" si="164"/>
        <v>108.68070175438596</v>
      </c>
      <c r="J54" s="133">
        <f t="shared" si="164"/>
        <v>83.696465307649149</v>
      </c>
      <c r="K54" s="133">
        <f t="shared" si="164"/>
        <v>94.543669347297552</v>
      </c>
      <c r="L54" s="133">
        <f t="shared" si="164"/>
        <v>94.305217879184596</v>
      </c>
      <c r="M54" s="133">
        <f t="shared" si="164"/>
        <v>92.23396296988966</v>
      </c>
      <c r="N54" s="133">
        <f t="shared" si="164"/>
        <v>26.677887649905323</v>
      </c>
      <c r="O54" s="133">
        <f t="shared" si="164"/>
        <v>33.22813661547093</v>
      </c>
      <c r="P54" s="133">
        <f t="shared" si="164"/>
        <v>28.040769572433785</v>
      </c>
      <c r="Q54" s="133">
        <f t="shared" ref="Q54" si="165">Q40/Q42</f>
        <v>28.040769572433785</v>
      </c>
      <c r="R54" s="118">
        <f>((P54/G54)^(1/($H$2-$H$1) ))-1</f>
        <v>-9.1721170605068014E-2</v>
      </c>
      <c r="S54" s="128"/>
      <c r="T54" s="158">
        <f t="shared" ref="T54:AC54" si="166">T40/T42</f>
        <v>31.927608919107772</v>
      </c>
      <c r="U54" s="158">
        <f t="shared" si="166"/>
        <v>36.353218076211817</v>
      </c>
      <c r="V54" s="158">
        <f t="shared" si="166"/>
        <v>41.392278007567903</v>
      </c>
      <c r="W54" s="158">
        <f t="shared" si="166"/>
        <v>47.129821493765441</v>
      </c>
      <c r="X54" s="158">
        <f t="shared" si="166"/>
        <v>53.662668037455688</v>
      </c>
      <c r="Y54" s="158">
        <f t="shared" si="166"/>
        <v>61.101057666409936</v>
      </c>
      <c r="Z54" s="158">
        <f t="shared" si="166"/>
        <v>69.570511204328142</v>
      </c>
      <c r="AA54" s="158">
        <f t="shared" si="166"/>
        <v>79.213948400967695</v>
      </c>
      <c r="AB54" s="158">
        <f t="shared" si="166"/>
        <v>90.194099664468155</v>
      </c>
      <c r="AC54" s="158">
        <f t="shared" si="166"/>
        <v>102.6962520932063</v>
      </c>
      <c r="AD54" s="138">
        <f t="shared" ref="AD54:AD68" si="167">((AC54/G54)^(1/($AC$3-$H$1) ))-1</f>
        <v>2.1849341702469438E-2</v>
      </c>
      <c r="AE54" s="31">
        <f t="shared" si="15"/>
        <v>0.05</v>
      </c>
      <c r="AF54" s="146">
        <f t="shared" ref="AF54:AF82" si="168">(AC54*(1+AE54))/($C$1-AE54)</f>
        <v>634.30038057568606</v>
      </c>
    </row>
    <row r="55" spans="2:32">
      <c r="B55" s="20" t="s">
        <v>388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0</v>
      </c>
      <c r="H55" s="133">
        <f t="shared" ref="H55:P55" si="170">H20/H42</f>
        <v>0</v>
      </c>
      <c r="I55" s="133">
        <f t="shared" si="170"/>
        <v>0</v>
      </c>
      <c r="J55" s="133">
        <f t="shared" si="170"/>
        <v>0</v>
      </c>
      <c r="K55" s="133">
        <f t="shared" si="170"/>
        <v>0</v>
      </c>
      <c r="L55" s="133">
        <f t="shared" si="170"/>
        <v>0</v>
      </c>
      <c r="M55" s="133">
        <f t="shared" si="170"/>
        <v>0</v>
      </c>
      <c r="N55" s="133">
        <f t="shared" si="170"/>
        <v>0</v>
      </c>
      <c r="O55" s="133">
        <f t="shared" si="170"/>
        <v>0</v>
      </c>
      <c r="P55" s="133">
        <f t="shared" si="170"/>
        <v>0</v>
      </c>
      <c r="Q55" s="133">
        <f t="shared" ref="Q55" si="171">Q20/Q42</f>
        <v>0</v>
      </c>
      <c r="R55" s="118" t="e">
        <f>((P55/G55)^(1/($H$2-$H$1) ))-1</f>
        <v>#DIV/0!</v>
      </c>
      <c r="S55" s="128"/>
      <c r="T55" s="133">
        <f t="shared" ref="T55:AC55" si="172">T20/T42</f>
        <v>0</v>
      </c>
      <c r="U55" s="133">
        <f t="shared" si="172"/>
        <v>0</v>
      </c>
      <c r="V55" s="133">
        <f t="shared" si="172"/>
        <v>0</v>
      </c>
      <c r="W55" s="133">
        <f t="shared" si="172"/>
        <v>0</v>
      </c>
      <c r="X55" s="133">
        <f t="shared" si="172"/>
        <v>0</v>
      </c>
      <c r="Y55" s="133">
        <f t="shared" si="172"/>
        <v>0</v>
      </c>
      <c r="Z55" s="133">
        <f t="shared" si="172"/>
        <v>0</v>
      </c>
      <c r="AA55" s="133">
        <f t="shared" si="172"/>
        <v>0</v>
      </c>
      <c r="AB55" s="133">
        <f t="shared" si="172"/>
        <v>0</v>
      </c>
      <c r="AC55" s="133">
        <f t="shared" si="172"/>
        <v>0</v>
      </c>
      <c r="AD55" s="138" t="e">
        <f t="shared" ref="AD55" si="173">((AC55/G55)^(1/($AC$3-$H$1) ))-1</f>
        <v>#DIV/0!</v>
      </c>
      <c r="AE55" s="31">
        <f t="shared" si="15"/>
        <v>0.05</v>
      </c>
      <c r="AF55" s="146">
        <f t="shared" si="168"/>
        <v>0</v>
      </c>
    </row>
    <row r="56" spans="2:3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290.42290129961361</v>
      </c>
      <c r="H56" s="133">
        <f t="shared" si="174"/>
        <v>341.7950214061259</v>
      </c>
      <c r="I56" s="133">
        <f t="shared" si="174"/>
        <v>398.37192982456139</v>
      </c>
      <c r="J56" s="133">
        <f t="shared" si="174"/>
        <v>311.9178978866654</v>
      </c>
      <c r="K56" s="133">
        <f t="shared" si="174"/>
        <v>365.09257527585561</v>
      </c>
      <c r="L56" s="133">
        <f t="shared" si="174"/>
        <v>431.19038713297175</v>
      </c>
      <c r="M56" s="133">
        <f t="shared" si="174"/>
        <v>474.12567795025251</v>
      </c>
      <c r="N56" s="133">
        <f t="shared" si="174"/>
        <v>134.80024312130351</v>
      </c>
      <c r="O56" s="133">
        <f t="shared" si="174"/>
        <v>159.47705542698179</v>
      </c>
      <c r="P56" s="133">
        <f t="shared" si="174"/>
        <v>177.96713186993011</v>
      </c>
      <c r="Q56" s="133">
        <f t="shared" ref="Q56" si="175">Q7/Q42</f>
        <v>177.96713186993011</v>
      </c>
      <c r="R56" s="118">
        <f>((P56/G56)^(1/($H$2-$H$1) ))-1</f>
        <v>-5.2961444538237146E-2</v>
      </c>
      <c r="S56" s="128"/>
      <c r="T56" s="158">
        <f t="shared" ref="T56:AC56" si="176">T7/T42</f>
        <v>202.63584321823726</v>
      </c>
      <c r="U56" s="158">
        <f t="shared" si="176"/>
        <v>230.72397990195327</v>
      </c>
      <c r="V56" s="158">
        <f t="shared" si="176"/>
        <v>262.7055216705408</v>
      </c>
      <c r="W56" s="158">
        <f t="shared" si="176"/>
        <v>299.12014843675439</v>
      </c>
      <c r="X56" s="158">
        <f t="shared" si="176"/>
        <v>340.58234722996787</v>
      </c>
      <c r="Y56" s="158">
        <f t="shared" si="176"/>
        <v>387.79178149946836</v>
      </c>
      <c r="Z56" s="158">
        <f t="shared" si="176"/>
        <v>441.5450977469194</v>
      </c>
      <c r="AA56" s="158">
        <f t="shared" si="176"/>
        <v>502.74936872173987</v>
      </c>
      <c r="AB56" s="158">
        <f t="shared" si="176"/>
        <v>572.43740002970378</v>
      </c>
      <c r="AC56" s="158">
        <f t="shared" si="176"/>
        <v>651.78515844966262</v>
      </c>
      <c r="AD56" s="138">
        <f t="shared" si="167"/>
        <v>4.1246801545296918E-2</v>
      </c>
      <c r="AE56" s="31">
        <f t="shared" si="15"/>
        <v>0.05</v>
      </c>
      <c r="AF56" s="146">
        <f t="shared" si="168"/>
        <v>4025.7318610126226</v>
      </c>
    </row>
    <row r="57" spans="2:3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280.40042149631194</v>
      </c>
      <c r="H57" s="144">
        <f t="shared" si="177"/>
        <v>331.7703463644736</v>
      </c>
      <c r="I57" s="144">
        <f t="shared" si="177"/>
        <v>388.36491228070173</v>
      </c>
      <c r="J57" s="144">
        <f t="shared" si="177"/>
        <v>301.90293622592111</v>
      </c>
      <c r="K57" s="144">
        <f t="shared" si="177"/>
        <v>355.02618290630261</v>
      </c>
      <c r="L57" s="144">
        <f t="shared" si="177"/>
        <v>421.18945202917524</v>
      </c>
      <c r="M57" s="144">
        <f t="shared" si="177"/>
        <v>464.12474284645594</v>
      </c>
      <c r="N57" s="144">
        <f t="shared" si="177"/>
        <v>129.7998924655773</v>
      </c>
      <c r="O57" s="144">
        <f t="shared" si="177"/>
        <v>154.47670477125558</v>
      </c>
      <c r="P57" s="144">
        <f t="shared" si="177"/>
        <v>173.28237136779111</v>
      </c>
      <c r="Q57" s="144">
        <f t="shared" ref="Q57" si="178">Q6/Q42</f>
        <v>173.28237136779111</v>
      </c>
      <c r="R57" s="118">
        <f>((P57/G57)^(1/($H$2-$H$1) ))-1</f>
        <v>-5.2072592898385506E-2</v>
      </c>
      <c r="S57" s="128"/>
      <c r="T57" s="157">
        <f t="shared" ref="T57:AC57" si="179">T6/T42</f>
        <v>197.3017099732275</v>
      </c>
      <c r="U57" s="157">
        <f t="shared" si="179"/>
        <v>224.65046185070457</v>
      </c>
      <c r="V57" s="157">
        <f t="shared" si="179"/>
        <v>255.7901298300101</v>
      </c>
      <c r="W57" s="157">
        <f t="shared" si="179"/>
        <v>291.24618743020955</v>
      </c>
      <c r="X57" s="157">
        <f t="shared" si="179"/>
        <v>331.61694608390189</v>
      </c>
      <c r="Y57" s="157">
        <f t="shared" si="179"/>
        <v>377.58365148167042</v>
      </c>
      <c r="Z57" s="157">
        <f t="shared" si="179"/>
        <v>429.92197940982277</v>
      </c>
      <c r="AA57" s="157">
        <f t="shared" si="179"/>
        <v>489.51512507059027</v>
      </c>
      <c r="AB57" s="157">
        <f t="shared" si="179"/>
        <v>557.36870676354329</v>
      </c>
      <c r="AC57" s="157">
        <f t="shared" si="179"/>
        <v>634.6277354238365</v>
      </c>
      <c r="AD57" s="138">
        <f t="shared" si="167"/>
        <v>4.168646033372525E-2</v>
      </c>
      <c r="AE57" s="31">
        <f t="shared" si="15"/>
        <v>0.05</v>
      </c>
      <c r="AF57" s="146">
        <f t="shared" si="168"/>
        <v>3919.7595423236967</v>
      </c>
    </row>
    <row r="58" spans="2:3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100.33017211099403</v>
      </c>
      <c r="H58" s="144">
        <f t="shared" si="180"/>
        <v>85.441725425134806</v>
      </c>
      <c r="I58" s="144">
        <f t="shared" si="180"/>
        <v>105.9719298245614</v>
      </c>
      <c r="J58" s="144">
        <f t="shared" si="180"/>
        <v>7.4808303721713107</v>
      </c>
      <c r="K58" s="144">
        <f t="shared" si="180"/>
        <v>4.418365438563681</v>
      </c>
      <c r="L58" s="144">
        <f t="shared" si="180"/>
        <v>30.66672900691977</v>
      </c>
      <c r="M58" s="144">
        <f t="shared" si="180"/>
        <v>110.92668786235272</v>
      </c>
      <c r="N58" s="144">
        <f t="shared" si="180"/>
        <v>7.0844145218224748</v>
      </c>
      <c r="O58" s="144">
        <f t="shared" si="180"/>
        <v>17.793440400215069</v>
      </c>
      <c r="P58" s="144">
        <f t="shared" si="180"/>
        <v>23.90303200317928</v>
      </c>
      <c r="Q58" s="144">
        <f t="shared" ref="Q58" si="181">Q10/Q42</f>
        <v>23.90303200317928</v>
      </c>
      <c r="R58" s="118">
        <f>((P58/G58)^(1/($H$2-$H$1) ))-1</f>
        <v>-0.14733161718200827</v>
      </c>
      <c r="S58" s="128"/>
      <c r="T58" s="157">
        <f t="shared" ref="T58:AC58" si="182">T10/T42</f>
        <v>27.21632356797641</v>
      </c>
      <c r="U58" s="157">
        <f t="shared" si="182"/>
        <v>30.988883270468186</v>
      </c>
      <c r="V58" s="157">
        <f t="shared" si="182"/>
        <v>35.284372040632086</v>
      </c>
      <c r="W58" s="157">
        <f t="shared" si="182"/>
        <v>40.175275095769209</v>
      </c>
      <c r="X58" s="157">
        <f t="shared" si="182"/>
        <v>45.744125109044141</v>
      </c>
      <c r="Y58" s="157">
        <f t="shared" si="182"/>
        <v>52.084894926139363</v>
      </c>
      <c r="Z58" s="157">
        <f t="shared" si="182"/>
        <v>59.30458333174284</v>
      </c>
      <c r="AA58" s="157">
        <f t="shared" si="182"/>
        <v>67.525020625251742</v>
      </c>
      <c r="AB58" s="157">
        <f t="shared" si="182"/>
        <v>76.88492447429654</v>
      </c>
      <c r="AC58" s="157">
        <f t="shared" si="182"/>
        <v>87.542240738060414</v>
      </c>
      <c r="AD58" s="138">
        <f t="shared" si="167"/>
        <v>-6.7940672636610522E-3</v>
      </c>
      <c r="AE58" s="31">
        <f t="shared" si="15"/>
        <v>0.05</v>
      </c>
      <c r="AF58" s="146">
        <f t="shared" si="168"/>
        <v>540.70207514684387</v>
      </c>
    </row>
    <row r="59" spans="2:3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190.09272918861959</v>
      </c>
      <c r="H60" s="144">
        <f t="shared" si="183"/>
        <v>256.35329598099111</v>
      </c>
      <c r="I60" s="144">
        <f t="shared" si="183"/>
        <v>292.39999999999998</v>
      </c>
      <c r="J60" s="144">
        <f t="shared" si="183"/>
        <v>304.43706751449412</v>
      </c>
      <c r="K60" s="144">
        <f t="shared" si="183"/>
        <v>360.67420983729193</v>
      </c>
      <c r="L60" s="144">
        <f t="shared" si="183"/>
        <v>400.523658126052</v>
      </c>
      <c r="M60" s="144">
        <f t="shared" si="183"/>
        <v>363.19899008789974</v>
      </c>
      <c r="N60" s="144">
        <f t="shared" si="183"/>
        <v>127.71582859948103</v>
      </c>
      <c r="O60" s="144">
        <f t="shared" si="183"/>
        <v>141.68361502676672</v>
      </c>
      <c r="P60" s="144">
        <f t="shared" si="183"/>
        <v>154.06409986675084</v>
      </c>
      <c r="Q60" s="144">
        <f t="shared" ref="Q60" si="184">(Q7-Q10)/Q42</f>
        <v>154.06409986675084</v>
      </c>
      <c r="R60" s="118">
        <f>((P60/G60)^(1/($H$2-$H$1) ))-1</f>
        <v>-2.3078765853665972E-2</v>
      </c>
      <c r="S60" s="128"/>
      <c r="T60" s="157">
        <f t="shared" ref="T60:AC60" si="185">(T7-T10)/T42</f>
        <v>175.41951965026084</v>
      </c>
      <c r="U60" s="157">
        <f t="shared" si="185"/>
        <v>199.73509663148508</v>
      </c>
      <c r="V60" s="157">
        <f t="shared" si="185"/>
        <v>227.42114962990874</v>
      </c>
      <c r="W60" s="157">
        <f t="shared" si="185"/>
        <v>258.94487334098523</v>
      </c>
      <c r="X60" s="157">
        <f t="shared" si="185"/>
        <v>294.83822212092372</v>
      </c>
      <c r="Y60" s="157">
        <f t="shared" si="185"/>
        <v>335.70688657332903</v>
      </c>
      <c r="Z60" s="157">
        <f t="shared" si="185"/>
        <v>382.24051441517656</v>
      </c>
      <c r="AA60" s="157">
        <f t="shared" si="185"/>
        <v>435.2243480964882</v>
      </c>
      <c r="AB60" s="157">
        <f t="shared" si="185"/>
        <v>495.55247555540723</v>
      </c>
      <c r="AC60" s="157">
        <f t="shared" si="185"/>
        <v>564.24291771160222</v>
      </c>
      <c r="AD60" s="138">
        <f t="shared" si="167"/>
        <v>5.5905447711649181E-2</v>
      </c>
      <c r="AE60" s="31">
        <f t="shared" si="15"/>
        <v>0.05</v>
      </c>
      <c r="AF60" s="146">
        <f t="shared" si="168"/>
        <v>3485.0297858657791</v>
      </c>
    </row>
    <row r="61" spans="2:3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112.53038285914997</v>
      </c>
      <c r="H61" s="144">
        <f t="shared" si="186"/>
        <v>134.34892336677237</v>
      </c>
      <c r="I61" s="144">
        <f t="shared" si="186"/>
        <v>144.15438596491228</v>
      </c>
      <c r="J61" s="144">
        <f t="shared" si="186"/>
        <v>132.97643538432766</v>
      </c>
      <c r="K61" s="144">
        <f t="shared" si="186"/>
        <v>181.17636057602394</v>
      </c>
      <c r="L61" s="144">
        <f t="shared" si="186"/>
        <v>150.03740415186087</v>
      </c>
      <c r="M61" s="144">
        <f t="shared" si="186"/>
        <v>174.22853936786984</v>
      </c>
      <c r="N61" s="144">
        <f t="shared" si="186"/>
        <v>74.65343525726442</v>
      </c>
      <c r="O61" s="144">
        <f t="shared" si="186"/>
        <v>81.799798957383643</v>
      </c>
      <c r="P61" s="144">
        <f t="shared" si="186"/>
        <v>93.065198588026277</v>
      </c>
      <c r="Q61" s="144">
        <f t="shared" ref="Q61" si="187">(Q7-Q10-Q9)/Q42</f>
        <v>93.065198588026277</v>
      </c>
      <c r="R61" s="118">
        <f>((P61/G61)^(1/($H$2-$H$1) ))-1</f>
        <v>-2.088144890691257E-2</v>
      </c>
      <c r="S61" s="128"/>
      <c r="T61" s="157">
        <f t="shared" ref="T61:AC61" si="188">(T7-T10-T9)/T42</f>
        <v>105.96532512498041</v>
      </c>
      <c r="U61" s="157">
        <f t="shared" si="188"/>
        <v>120.65358801359153</v>
      </c>
      <c r="V61" s="157">
        <f t="shared" si="188"/>
        <v>137.37784773824777</v>
      </c>
      <c r="W61" s="157">
        <f t="shared" si="188"/>
        <v>156.42032168216332</v>
      </c>
      <c r="X61" s="157">
        <f t="shared" si="188"/>
        <v>178.10234646978986</v>
      </c>
      <c r="Y61" s="157">
        <f t="shared" si="188"/>
        <v>202.78980043589942</v>
      </c>
      <c r="Z61" s="157">
        <f t="shared" si="188"/>
        <v>230.89927772404386</v>
      </c>
      <c r="AA61" s="157">
        <f t="shared" si="188"/>
        <v>262.90511820064398</v>
      </c>
      <c r="AB61" s="157">
        <f t="shared" si="188"/>
        <v>299.34741181261433</v>
      </c>
      <c r="AC61" s="157">
        <f t="shared" si="188"/>
        <v>340.84111245990738</v>
      </c>
      <c r="AD61" s="138">
        <f t="shared" si="167"/>
        <v>5.6973524068590242E-2</v>
      </c>
      <c r="AE61" s="31">
        <f t="shared" si="15"/>
        <v>0.05</v>
      </c>
      <c r="AF61" s="146">
        <f t="shared" si="168"/>
        <v>2105.1951063700167</v>
      </c>
    </row>
    <row r="62" spans="2:3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203.59466104671583</v>
      </c>
      <c r="H62" s="144">
        <f t="shared" si="189"/>
        <v>199.6288198862558</v>
      </c>
      <c r="I62" s="144">
        <f t="shared" si="189"/>
        <v>216.60350877192982</v>
      </c>
      <c r="J62" s="144">
        <f t="shared" si="189"/>
        <v>185.28146624275294</v>
      </c>
      <c r="K62" s="144">
        <f t="shared" si="189"/>
        <v>251.53357022629513</v>
      </c>
      <c r="L62" s="144">
        <f t="shared" si="189"/>
        <v>222.26949691415749</v>
      </c>
      <c r="M62" s="144">
        <f t="shared" si="189"/>
        <v>252.81933794651206</v>
      </c>
      <c r="N62" s="144">
        <f t="shared" si="189"/>
        <v>120.65479112607242</v>
      </c>
      <c r="O62" s="144">
        <f t="shared" si="189"/>
        <v>143.48131004979311</v>
      </c>
      <c r="P62" s="144">
        <f t="shared" si="189"/>
        <v>148.93050003506559</v>
      </c>
      <c r="Q62" s="144">
        <f t="shared" ref="Q62" si="190">(Q7+Q15-Q10-Q9)/Q42</f>
        <v>148.93050003506559</v>
      </c>
      <c r="R62" s="118">
        <f>((P62/G62)^(1/($H$2-$H$1) ))-1</f>
        <v>-3.4142560801234012E-2</v>
      </c>
      <c r="S62" s="128"/>
      <c r="T62" s="157">
        <f t="shared" ref="T62:AC62" si="191">(T7+T15-T10-T9)/T42</f>
        <v>169.57433172309447</v>
      </c>
      <c r="U62" s="157">
        <f t="shared" si="191"/>
        <v>193.07968463520658</v>
      </c>
      <c r="V62" s="157">
        <f t="shared" si="191"/>
        <v>219.84320527771041</v>
      </c>
      <c r="W62" s="157">
        <f t="shared" si="191"/>
        <v>250.31652086075937</v>
      </c>
      <c r="X62" s="157">
        <f t="shared" si="191"/>
        <v>285.01386038601311</v>
      </c>
      <c r="Y62" s="157">
        <f t="shared" si="191"/>
        <v>324.52073212268817</v>
      </c>
      <c r="Z62" s="157">
        <f t="shared" si="191"/>
        <v>369.50380390207073</v>
      </c>
      <c r="AA62" s="157">
        <f t="shared" si="191"/>
        <v>420.72215295780319</v>
      </c>
      <c r="AB62" s="157">
        <f t="shared" si="191"/>
        <v>479.04007514997392</v>
      </c>
      <c r="AC62" s="157">
        <f t="shared" si="191"/>
        <v>545.44166972521782</v>
      </c>
      <c r="AD62" s="138">
        <f t="shared" si="167"/>
        <v>5.0507352580035469E-2</v>
      </c>
      <c r="AE62" s="31">
        <f t="shared" si="15"/>
        <v>0.05</v>
      </c>
      <c r="AF62" s="146">
        <f t="shared" si="168"/>
        <v>3368.904430655758</v>
      </c>
    </row>
    <row r="63" spans="2:3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45.514576747453461</v>
      </c>
      <c r="H64" s="144">
        <f t="shared" si="192"/>
        <v>71.852877700370485</v>
      </c>
      <c r="I64" s="144">
        <f t="shared" si="192"/>
        <v>63.89473684210526</v>
      </c>
      <c r="J64" s="144">
        <f t="shared" si="192"/>
        <v>96.666354965401155</v>
      </c>
      <c r="K64" s="144">
        <f t="shared" si="192"/>
        <v>117.14512810922012</v>
      </c>
      <c r="L64" s="144">
        <f t="shared" si="192"/>
        <v>105.63867589302413</v>
      </c>
      <c r="M64" s="144">
        <f t="shared" si="192"/>
        <v>104.65681690667664</v>
      </c>
      <c r="N64" s="144">
        <f t="shared" si="192"/>
        <v>24.329663136732357</v>
      </c>
      <c r="O64" s="144">
        <f t="shared" si="192"/>
        <v>32.59812516071721</v>
      </c>
      <c r="P64" s="144">
        <f t="shared" si="192"/>
        <v>22.931715641583093</v>
      </c>
      <c r="Q64" s="144">
        <f t="shared" ref="Q64" si="193">Q12/Q42</f>
        <v>22.931715641583093</v>
      </c>
      <c r="R64" s="118">
        <f>((P64/G64)^(1/($H$2-$H$1) ))-1</f>
        <v>-7.3339457461285895E-2</v>
      </c>
      <c r="S64" s="128"/>
      <c r="T64" s="157">
        <f t="shared" ref="T64:AC64" si="194">T12/T42</f>
        <v>26.110369294871841</v>
      </c>
      <c r="U64" s="157">
        <f t="shared" si="194"/>
        <v>29.729628405052093</v>
      </c>
      <c r="V64" s="157">
        <f t="shared" si="194"/>
        <v>33.850566995851388</v>
      </c>
      <c r="W64" s="157">
        <f t="shared" si="194"/>
        <v>38.542724797256525</v>
      </c>
      <c r="X64" s="157">
        <f t="shared" si="194"/>
        <v>43.885280709747519</v>
      </c>
      <c r="Y64" s="157">
        <f t="shared" si="194"/>
        <v>49.968388926940243</v>
      </c>
      <c r="Z64" s="157">
        <f t="shared" si="194"/>
        <v>56.894700263347801</v>
      </c>
      <c r="AA64" s="157">
        <f t="shared" si="194"/>
        <v>64.781094359257395</v>
      </c>
      <c r="AB64" s="157">
        <f t="shared" si="194"/>
        <v>73.76065199321387</v>
      </c>
      <c r="AC64" s="157">
        <f t="shared" si="194"/>
        <v>83.984900784352419</v>
      </c>
      <c r="AD64" s="138">
        <f t="shared" si="167"/>
        <v>3.1104151039478944E-2</v>
      </c>
      <c r="AE64" s="31">
        <f t="shared" si="15"/>
        <v>0.05</v>
      </c>
      <c r="AF64" s="146">
        <f t="shared" si="168"/>
        <v>518.73026955041212</v>
      </c>
    </row>
    <row r="65" spans="2:3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21.285563751317177</v>
      </c>
      <c r="H65" s="144">
        <f t="shared" si="195"/>
        <v>18.664454583160516</v>
      </c>
      <c r="I65" s="144">
        <f t="shared" si="195"/>
        <v>24.96140350877193</v>
      </c>
      <c r="J65" s="144">
        <f t="shared" si="195"/>
        <v>16.752384514681129</v>
      </c>
      <c r="K65" s="144">
        <f t="shared" si="195"/>
        <v>20.955676080044885</v>
      </c>
      <c r="L65" s="144">
        <f t="shared" si="195"/>
        <v>16.270806059472601</v>
      </c>
      <c r="M65" s="144">
        <f t="shared" si="195"/>
        <v>24.121002431269872</v>
      </c>
      <c r="N65" s="144">
        <f t="shared" si="195"/>
        <v>3.623442504149426</v>
      </c>
      <c r="O65" s="144">
        <f t="shared" si="195"/>
        <v>3.4130490684246206</v>
      </c>
      <c r="P65" s="144">
        <f t="shared" si="195"/>
        <v>2.4873179512354771</v>
      </c>
      <c r="Q65" s="144">
        <f t="shared" ref="Q65" si="196">Q13/Q42</f>
        <v>2.4873179512354771</v>
      </c>
      <c r="R65" s="118">
        <f>((P65/G65)^(1/($H$2-$H$1) ))-1</f>
        <v>-0.21221967959621513</v>
      </c>
      <c r="S65" s="128"/>
      <c r="T65" s="157">
        <f t="shared" ref="T65:AC65" si="197">T13/T42</f>
        <v>2.8320946969512857</v>
      </c>
      <c r="U65" s="157">
        <f t="shared" si="197"/>
        <v>3.2246622787069095</v>
      </c>
      <c r="V65" s="157">
        <f t="shared" si="197"/>
        <v>3.6716451688246985</v>
      </c>
      <c r="W65" s="157">
        <f t="shared" si="197"/>
        <v>4.1805860833152506</v>
      </c>
      <c r="X65" s="157">
        <f t="shared" si="197"/>
        <v>4.7600732631807299</v>
      </c>
      <c r="Y65" s="157">
        <f t="shared" si="197"/>
        <v>5.4198853986711271</v>
      </c>
      <c r="Z65" s="157">
        <f t="shared" si="197"/>
        <v>6.171156642051284</v>
      </c>
      <c r="AA65" s="157">
        <f t="shared" si="197"/>
        <v>7.0265644934247291</v>
      </c>
      <c r="AB65" s="157">
        <f t="shared" si="197"/>
        <v>8.0005437301370677</v>
      </c>
      <c r="AC65" s="157">
        <f t="shared" si="197"/>
        <v>9.1095299897600253</v>
      </c>
      <c r="AD65" s="138">
        <f t="shared" si="167"/>
        <v>-4.1547618903445049E-2</v>
      </c>
      <c r="AE65" s="31">
        <f t="shared" si="15"/>
        <v>0.05</v>
      </c>
      <c r="AF65" s="146">
        <f t="shared" si="168"/>
        <v>56.264744054400168</v>
      </c>
    </row>
    <row r="66" spans="2:3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66.800140498770645</v>
      </c>
      <c r="H66" s="144">
        <f t="shared" si="198"/>
        <v>90.517332283531005</v>
      </c>
      <c r="I66" s="144">
        <f t="shared" si="198"/>
        <v>88.856140350877183</v>
      </c>
      <c r="J66" s="144">
        <f t="shared" si="198"/>
        <v>113.41873948008228</v>
      </c>
      <c r="K66" s="144">
        <f t="shared" si="198"/>
        <v>138.10080418926501</v>
      </c>
      <c r="L66" s="144">
        <f t="shared" si="198"/>
        <v>121.90948195249673</v>
      </c>
      <c r="M66" s="144">
        <f t="shared" si="198"/>
        <v>128.77781933794651</v>
      </c>
      <c r="N66" s="144">
        <f t="shared" si="198"/>
        <v>27.953105640881784</v>
      </c>
      <c r="O66" s="144">
        <f t="shared" ref="O66" si="199">(O64+O65)</f>
        <v>36.01117422914183</v>
      </c>
      <c r="P66" s="144">
        <f t="shared" si="198"/>
        <v>25.419033592818572</v>
      </c>
      <c r="Q66" s="144">
        <f t="shared" ref="Q66" si="200">(Q64+Q65)</f>
        <v>25.419033592818572</v>
      </c>
      <c r="R66" s="118">
        <f>((P66/G66)^(1/($H$2-$H$1) ))-1</f>
        <v>-0.10179443826969814</v>
      </c>
      <c r="S66" s="128"/>
      <c r="T66" s="157">
        <f t="shared" ref="T66:AC66" si="201">(T64+T65)</f>
        <v>28.942463991823125</v>
      </c>
      <c r="U66" s="157">
        <f t="shared" si="201"/>
        <v>32.954290683759005</v>
      </c>
      <c r="V66" s="157">
        <f t="shared" si="201"/>
        <v>37.522212164676084</v>
      </c>
      <c r="W66" s="157">
        <f t="shared" si="201"/>
        <v>42.723310880571773</v>
      </c>
      <c r="X66" s="157">
        <f t="shared" si="201"/>
        <v>48.645353972928248</v>
      </c>
      <c r="Y66" s="157">
        <f t="shared" si="201"/>
        <v>55.38827432561137</v>
      </c>
      <c r="Z66" s="157">
        <f t="shared" si="201"/>
        <v>63.065856905399087</v>
      </c>
      <c r="AA66" s="157">
        <f t="shared" si="201"/>
        <v>71.807658852682124</v>
      </c>
      <c r="AB66" s="157">
        <f t="shared" si="201"/>
        <v>81.761195723350937</v>
      </c>
      <c r="AC66" s="157">
        <f t="shared" si="201"/>
        <v>93.094430774112439</v>
      </c>
      <c r="AD66" s="138">
        <f t="shared" si="167"/>
        <v>1.6733928499444994E-2</v>
      </c>
      <c r="AE66" s="31">
        <f t="shared" si="15"/>
        <v>0.05</v>
      </c>
      <c r="AF66" s="146">
        <f t="shared" si="168"/>
        <v>574.99501360481224</v>
      </c>
    </row>
    <row r="67" spans="2:3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91.064278187565861</v>
      </c>
      <c r="H67" s="144">
        <f t="shared" si="202"/>
        <v>65.279896519483444</v>
      </c>
      <c r="I67" s="144">
        <f t="shared" si="202"/>
        <v>72.449122807017545</v>
      </c>
      <c r="J67" s="144">
        <f t="shared" si="202"/>
        <v>52.305030858425283</v>
      </c>
      <c r="K67" s="144">
        <f t="shared" si="202"/>
        <v>70.357209650271187</v>
      </c>
      <c r="L67" s="144">
        <f t="shared" si="202"/>
        <v>72.232092762296617</v>
      </c>
      <c r="M67" s="144">
        <f t="shared" si="202"/>
        <v>78.590798578642236</v>
      </c>
      <c r="N67" s="144">
        <f t="shared" si="202"/>
        <v>46.001355868808005</v>
      </c>
      <c r="O67" s="144">
        <f t="shared" si="202"/>
        <v>61.681511092409472</v>
      </c>
      <c r="P67" s="144">
        <f t="shared" si="202"/>
        <v>55.8653014470393</v>
      </c>
      <c r="Q67" s="144">
        <f t="shared" ref="Q67" si="203">Q15/Q42</f>
        <v>55.8653014470393</v>
      </c>
      <c r="R67" s="118">
        <f>((P67/G67)^(1/($H$2-$H$1) ))-1</f>
        <v>-5.2843887519292032E-2</v>
      </c>
      <c r="S67" s="128"/>
      <c r="T67" s="157">
        <f t="shared" ref="T67:AC67" si="204">T15/T42</f>
        <v>63.60900659811405</v>
      </c>
      <c r="U67" s="157">
        <f t="shared" si="204"/>
        <v>72.426096621615002</v>
      </c>
      <c r="V67" s="157">
        <f t="shared" si="204"/>
        <v>82.46535753946263</v>
      </c>
      <c r="W67" s="157">
        <f t="shared" si="204"/>
        <v>93.896199178596063</v>
      </c>
      <c r="X67" s="157">
        <f t="shared" si="204"/>
        <v>106.91151391622321</v>
      </c>
      <c r="Y67" s="157">
        <f t="shared" si="204"/>
        <v>121.73093168678881</v>
      </c>
      <c r="Z67" s="157">
        <f t="shared" si="204"/>
        <v>138.60452617802684</v>
      </c>
      <c r="AA67" s="157">
        <f t="shared" si="204"/>
        <v>157.81703475715926</v>
      </c>
      <c r="AB67" s="157">
        <f t="shared" si="204"/>
        <v>179.69266333735953</v>
      </c>
      <c r="AC67" s="157">
        <f t="shared" si="204"/>
        <v>204.60055726531036</v>
      </c>
      <c r="AD67" s="138">
        <f t="shared" si="167"/>
        <v>4.1304962600078321E-2</v>
      </c>
      <c r="AE67" s="31">
        <f t="shared" si="15"/>
        <v>0.05</v>
      </c>
      <c r="AF67" s="146">
        <f t="shared" si="168"/>
        <v>1263.7093242857406</v>
      </c>
    </row>
    <row r="68" spans="2:3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61.060765718299969</v>
      </c>
      <c r="H68" s="144">
        <f t="shared" si="205"/>
        <v>64.963549831633259</v>
      </c>
      <c r="I68" s="144">
        <f t="shared" si="205"/>
        <v>71.249122807017542</v>
      </c>
      <c r="J68" s="144">
        <f t="shared" si="205"/>
        <v>-12.867028240134655</v>
      </c>
      <c r="K68" s="144">
        <f t="shared" si="205"/>
        <v>10.99214512810922</v>
      </c>
      <c r="L68" s="144">
        <f t="shared" si="205"/>
        <v>-18.197119880306715</v>
      </c>
      <c r="M68" s="144">
        <f t="shared" si="205"/>
        <v>47.115204787731436</v>
      </c>
      <c r="N68" s="144">
        <f t="shared" si="205"/>
        <v>-8.801458727821025</v>
      </c>
      <c r="O68" s="144">
        <f t="shared" si="205"/>
        <v>2.2313392711036304</v>
      </c>
      <c r="P68" s="144">
        <f t="shared" si="205"/>
        <v>-0.27234261402155363</v>
      </c>
      <c r="Q68" s="144">
        <f t="shared" ref="Q68" si="206">Q16/Q42</f>
        <v>-0.27234261402155363</v>
      </c>
      <c r="R68" s="118">
        <f>((P68/G68)^(1/($H$2-$H$1) ))-1</f>
        <v>-1.5480460342803988</v>
      </c>
      <c r="S68" s="128"/>
      <c r="T68" s="157">
        <f t="shared" ref="T68:AC68" si="207">T16/T42</f>
        <v>-0.31009307537107594</v>
      </c>
      <c r="U68" s="157">
        <f t="shared" si="207"/>
        <v>-0.35307627393736368</v>
      </c>
      <c r="V68" s="157">
        <f t="shared" si="207"/>
        <v>-0.40201753963165165</v>
      </c>
      <c r="W68" s="157">
        <f t="shared" si="207"/>
        <v>-0.45774274314494995</v>
      </c>
      <c r="X68" s="157">
        <f t="shared" si="207"/>
        <v>-0.52119223229375478</v>
      </c>
      <c r="Y68" s="157">
        <f t="shared" si="207"/>
        <v>-0.59343670013645344</v>
      </c>
      <c r="Z68" s="157">
        <f t="shared" si="207"/>
        <v>-0.67569525263061525</v>
      </c>
      <c r="AA68" s="157">
        <f t="shared" si="207"/>
        <v>-0.76935598071802724</v>
      </c>
      <c r="AB68" s="157">
        <f t="shared" si="207"/>
        <v>-0.87599938398587252</v>
      </c>
      <c r="AC68" s="157">
        <f t="shared" si="207"/>
        <v>-0.99742504117203301</v>
      </c>
      <c r="AD68" s="138" t="e">
        <f t="shared" si="167"/>
        <v>#NUM!</v>
      </c>
      <c r="AE68" s="137"/>
      <c r="AF68" s="146">
        <f t="shared" si="168"/>
        <v>-4.5337501871456043</v>
      </c>
    </row>
    <row r="69" spans="2:3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24</v>
      </c>
      <c r="H70" s="159">
        <f t="shared" si="208"/>
        <v>40</v>
      </c>
      <c r="I70" s="159">
        <f t="shared" si="208"/>
        <v>45</v>
      </c>
      <c r="J70" s="159">
        <f t="shared" si="208"/>
        <v>31</v>
      </c>
      <c r="K70" s="159">
        <f t="shared" si="208"/>
        <v>32</v>
      </c>
      <c r="L70" s="159">
        <f t="shared" si="208"/>
        <v>32</v>
      </c>
      <c r="M70" s="159">
        <f t="shared" si="208"/>
        <v>33</v>
      </c>
      <c r="N70" s="159">
        <f t="shared" si="208"/>
        <v>8.75</v>
      </c>
      <c r="O70" s="159">
        <f t="shared" si="208"/>
        <v>9.75</v>
      </c>
      <c r="P70" s="159">
        <f t="shared" si="208"/>
        <v>9.5</v>
      </c>
      <c r="Q70" s="159">
        <f t="shared" ref="Q70" si="209">Q44</f>
        <v>9.5</v>
      </c>
      <c r="R70" s="118">
        <f>((P70/G70)^(1/($H$2-$H$1) ))-1</f>
        <v>-9.7849173138146783E-2</v>
      </c>
      <c r="S70" s="128"/>
      <c r="T70" s="159">
        <f t="shared" ref="T70:AC70" si="210">T44</f>
        <v>9.9749999999999996</v>
      </c>
      <c r="U70" s="159">
        <f t="shared" si="210"/>
        <v>10.473750000000001</v>
      </c>
      <c r="V70" s="159">
        <f t="shared" si="210"/>
        <v>10.997437500000002</v>
      </c>
      <c r="W70" s="159">
        <f t="shared" si="210"/>
        <v>11.547309375000003</v>
      </c>
      <c r="X70" s="159">
        <f t="shared" si="210"/>
        <v>12.124674843750004</v>
      </c>
      <c r="Y70" s="159">
        <f t="shared" si="210"/>
        <v>12.730908585937504</v>
      </c>
      <c r="Z70" s="159">
        <f t="shared" si="210"/>
        <v>13.367454015234379</v>
      </c>
      <c r="AA70" s="159">
        <f t="shared" si="210"/>
        <v>14.0358267159961</v>
      </c>
      <c r="AB70" s="159">
        <f t="shared" si="210"/>
        <v>14.737618051795906</v>
      </c>
      <c r="AC70" s="159">
        <f t="shared" si="210"/>
        <v>15.474498954385702</v>
      </c>
      <c r="AD70" s="138">
        <f t="shared" ref="AD70" si="211">((AC70/G70)^(1/($AC$3-$H$1) ))-1</f>
        <v>-2.170402274528771E-2</v>
      </c>
      <c r="AE70" s="31">
        <f t="shared" si="15"/>
        <v>0.05</v>
      </c>
      <c r="AF70" s="146">
        <f t="shared" si="168"/>
        <v>95.5777876594411</v>
      </c>
    </row>
    <row r="71" spans="2:3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>
      <c r="B72" s="20" t="s">
        <v>317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0</v>
      </c>
      <c r="H72" s="144">
        <f t="shared" si="212"/>
        <v>0</v>
      </c>
      <c r="I72" s="144">
        <f t="shared" si="212"/>
        <v>0</v>
      </c>
      <c r="J72" s="144">
        <f t="shared" si="212"/>
        <v>0</v>
      </c>
      <c r="K72" s="144">
        <f t="shared" si="212"/>
        <v>0</v>
      </c>
      <c r="L72" s="144">
        <f t="shared" si="212"/>
        <v>0</v>
      </c>
      <c r="M72" s="144">
        <f t="shared" si="212"/>
        <v>0</v>
      </c>
      <c r="N72" s="144">
        <f t="shared" si="212"/>
        <v>0</v>
      </c>
      <c r="O72" s="144">
        <f t="shared" si="212"/>
        <v>0</v>
      </c>
      <c r="P72" s="144">
        <f t="shared" si="212"/>
        <v>0</v>
      </c>
      <c r="Q72" s="144">
        <f t="shared" ref="Q72" si="213">Q20+Q21</f>
        <v>0</v>
      </c>
      <c r="R72" s="118" t="e">
        <f>((P72/G72)^(1/($H$2-$H$1) ))-1</f>
        <v>#DIV/0!</v>
      </c>
      <c r="S72" s="128"/>
      <c r="T72" s="144">
        <f t="shared" ref="T72:AC72" si="214">T20+T21</f>
        <v>0</v>
      </c>
      <c r="U72" s="144">
        <f t="shared" si="214"/>
        <v>0</v>
      </c>
      <c r="V72" s="144">
        <f t="shared" si="214"/>
        <v>0</v>
      </c>
      <c r="W72" s="144">
        <f t="shared" si="214"/>
        <v>0</v>
      </c>
      <c r="X72" s="144">
        <f t="shared" si="214"/>
        <v>0</v>
      </c>
      <c r="Y72" s="144">
        <f t="shared" si="214"/>
        <v>0</v>
      </c>
      <c r="Z72" s="144">
        <f t="shared" si="214"/>
        <v>0</v>
      </c>
      <c r="AA72" s="144">
        <f t="shared" si="214"/>
        <v>0</v>
      </c>
      <c r="AB72" s="144">
        <f t="shared" si="214"/>
        <v>0</v>
      </c>
      <c r="AC72" s="144">
        <f t="shared" si="214"/>
        <v>0</v>
      </c>
      <c r="AD72" s="138" t="e">
        <f t="shared" ref="AD72:AD77" si="215">((AC72/G72)^(1/($AC$3-$H$1) ))-1</f>
        <v>#DIV/0!</v>
      </c>
      <c r="AE72" s="31">
        <f t="shared" si="15"/>
        <v>0.05</v>
      </c>
      <c r="AF72" s="146">
        <f t="shared" si="168"/>
        <v>0</v>
      </c>
    </row>
    <row r="73" spans="2:3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>
      <c r="B74" s="20" t="s">
        <v>318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0</v>
      </c>
      <c r="H74" s="144">
        <f t="shared" si="216"/>
        <v>0</v>
      </c>
      <c r="I74" s="144">
        <f t="shared" si="216"/>
        <v>0</v>
      </c>
      <c r="J74" s="144">
        <f t="shared" si="216"/>
        <v>0</v>
      </c>
      <c r="K74" s="144">
        <f t="shared" si="216"/>
        <v>0</v>
      </c>
      <c r="L74" s="144">
        <f t="shared" si="216"/>
        <v>0</v>
      </c>
      <c r="M74" s="144">
        <f t="shared" si="216"/>
        <v>0</v>
      </c>
      <c r="N74" s="144">
        <f t="shared" si="216"/>
        <v>0</v>
      </c>
      <c r="O74" s="144">
        <f t="shared" si="216"/>
        <v>0</v>
      </c>
      <c r="P74" s="144">
        <f t="shared" si="216"/>
        <v>0</v>
      </c>
      <c r="Q74" s="144">
        <f t="shared" ref="Q74" si="217">Q72/Q42</f>
        <v>0</v>
      </c>
      <c r="R74" s="118" t="e">
        <f>((P74/G74)^(1/($H$2-$H$1) ))-1</f>
        <v>#DIV/0!</v>
      </c>
      <c r="S74" s="128"/>
      <c r="T74" s="146">
        <f t="shared" ref="T74:AC74" si="218">T72/T42</f>
        <v>0</v>
      </c>
      <c r="U74" s="146">
        <f t="shared" si="218"/>
        <v>0</v>
      </c>
      <c r="V74" s="146">
        <f t="shared" si="218"/>
        <v>0</v>
      </c>
      <c r="W74" s="146">
        <f t="shared" si="218"/>
        <v>0</v>
      </c>
      <c r="X74" s="146">
        <f t="shared" si="218"/>
        <v>0</v>
      </c>
      <c r="Y74" s="146">
        <f t="shared" si="218"/>
        <v>0</v>
      </c>
      <c r="Z74" s="146">
        <f t="shared" si="218"/>
        <v>0</v>
      </c>
      <c r="AA74" s="146">
        <f t="shared" si="218"/>
        <v>0</v>
      </c>
      <c r="AB74" s="146">
        <f t="shared" si="218"/>
        <v>0</v>
      </c>
      <c r="AC74" s="146">
        <f t="shared" si="218"/>
        <v>0</v>
      </c>
      <c r="AD74" s="138" t="e">
        <f t="shared" si="215"/>
        <v>#DIV/0!</v>
      </c>
      <c r="AE74" s="31">
        <f t="shared" si="15"/>
        <v>0.05</v>
      </c>
      <c r="AF74" s="146">
        <f t="shared" si="168"/>
        <v>0</v>
      </c>
    </row>
    <row r="75" spans="2:3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0</v>
      </c>
      <c r="H75" s="144">
        <f t="shared" si="219"/>
        <v>0</v>
      </c>
      <c r="I75" s="144">
        <f t="shared" si="219"/>
        <v>0</v>
      </c>
      <c r="J75" s="144">
        <f t="shared" si="219"/>
        <v>0</v>
      </c>
      <c r="K75" s="144">
        <f t="shared" si="219"/>
        <v>0</v>
      </c>
      <c r="L75" s="144">
        <f t="shared" si="219"/>
        <v>0</v>
      </c>
      <c r="M75" s="144">
        <f t="shared" si="219"/>
        <v>0</v>
      </c>
      <c r="N75" s="144">
        <f t="shared" si="219"/>
        <v>0</v>
      </c>
      <c r="O75" s="144">
        <f t="shared" si="219"/>
        <v>0</v>
      </c>
      <c r="P75" s="144">
        <f t="shared" si="219"/>
        <v>0</v>
      </c>
      <c r="Q75" s="144">
        <f t="shared" ref="Q75" si="220">Q20/Q42</f>
        <v>0</v>
      </c>
      <c r="R75" s="118" t="e">
        <f>((P75/G75)^(1/($H$2-$H$1) ))-1</f>
        <v>#DIV/0!</v>
      </c>
      <c r="S75" s="128"/>
      <c r="T75" s="146">
        <f t="shared" ref="T75:AC75" si="221">T20/T42</f>
        <v>0</v>
      </c>
      <c r="U75" s="146">
        <f t="shared" si="221"/>
        <v>0</v>
      </c>
      <c r="V75" s="146">
        <f t="shared" si="221"/>
        <v>0</v>
      </c>
      <c r="W75" s="146">
        <f t="shared" si="221"/>
        <v>0</v>
      </c>
      <c r="X75" s="146">
        <f t="shared" si="221"/>
        <v>0</v>
      </c>
      <c r="Y75" s="146">
        <f t="shared" si="221"/>
        <v>0</v>
      </c>
      <c r="Z75" s="146">
        <f t="shared" si="221"/>
        <v>0</v>
      </c>
      <c r="AA75" s="146">
        <f t="shared" si="221"/>
        <v>0</v>
      </c>
      <c r="AB75" s="146">
        <f t="shared" si="221"/>
        <v>0</v>
      </c>
      <c r="AC75" s="146">
        <f t="shared" si="221"/>
        <v>0</v>
      </c>
      <c r="AD75" s="138" t="e">
        <f t="shared" si="215"/>
        <v>#DIV/0!</v>
      </c>
      <c r="AE75" s="31">
        <f t="shared" si="15"/>
        <v>0.05</v>
      </c>
      <c r="AF75" s="146">
        <f t="shared" si="168"/>
        <v>0</v>
      </c>
    </row>
    <row r="76" spans="2:3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0</v>
      </c>
      <c r="H76" s="144">
        <f t="shared" si="222"/>
        <v>0</v>
      </c>
      <c r="I76" s="144">
        <f t="shared" si="222"/>
        <v>0</v>
      </c>
      <c r="J76" s="144">
        <f t="shared" si="222"/>
        <v>0</v>
      </c>
      <c r="K76" s="144">
        <f t="shared" si="222"/>
        <v>0</v>
      </c>
      <c r="L76" s="144">
        <f t="shared" si="222"/>
        <v>0</v>
      </c>
      <c r="M76" s="144">
        <f t="shared" si="222"/>
        <v>0</v>
      </c>
      <c r="N76" s="144">
        <f t="shared" si="222"/>
        <v>0</v>
      </c>
      <c r="O76" s="144">
        <f t="shared" si="222"/>
        <v>0</v>
      </c>
      <c r="P76" s="144">
        <f t="shared" si="222"/>
        <v>0</v>
      </c>
      <c r="Q76" s="144">
        <f t="shared" ref="Q76" si="223">Q21/Q42</f>
        <v>0</v>
      </c>
      <c r="R76" s="118" t="e">
        <f>((P76/G76)^(1/($H$2-$H$1) ))-1</f>
        <v>#DIV/0!</v>
      </c>
      <c r="S76" s="128"/>
      <c r="T76" s="146">
        <f t="shared" ref="T76:AC76" si="224">T21/T42</f>
        <v>0</v>
      </c>
      <c r="U76" s="146">
        <f t="shared" si="224"/>
        <v>0</v>
      </c>
      <c r="V76" s="146">
        <f t="shared" si="224"/>
        <v>0</v>
      </c>
      <c r="W76" s="146">
        <f t="shared" si="224"/>
        <v>0</v>
      </c>
      <c r="X76" s="146">
        <f t="shared" si="224"/>
        <v>0</v>
      </c>
      <c r="Y76" s="146">
        <f t="shared" si="224"/>
        <v>0</v>
      </c>
      <c r="Z76" s="146">
        <f t="shared" si="224"/>
        <v>0</v>
      </c>
      <c r="AA76" s="146">
        <f t="shared" si="224"/>
        <v>0</v>
      </c>
      <c r="AB76" s="146">
        <f t="shared" si="224"/>
        <v>0</v>
      </c>
      <c r="AC76" s="146">
        <f t="shared" si="224"/>
        <v>0</v>
      </c>
      <c r="AD76" s="138" t="e">
        <f t="shared" si="215"/>
        <v>#DIV/0!</v>
      </c>
      <c r="AE76" s="31">
        <f t="shared" si="15"/>
        <v>0.05</v>
      </c>
      <c r="AF76" s="146">
        <f t="shared" si="168"/>
        <v>0</v>
      </c>
    </row>
    <row r="77" spans="2:3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0</v>
      </c>
      <c r="H77" s="144">
        <f t="shared" si="225"/>
        <v>0</v>
      </c>
      <c r="I77" s="144">
        <f t="shared" si="225"/>
        <v>0</v>
      </c>
      <c r="J77" s="144">
        <f t="shared" si="225"/>
        <v>0</v>
      </c>
      <c r="K77" s="144">
        <f t="shared" si="225"/>
        <v>0</v>
      </c>
      <c r="L77" s="144">
        <f t="shared" si="225"/>
        <v>0</v>
      </c>
      <c r="M77" s="144">
        <f t="shared" si="225"/>
        <v>0</v>
      </c>
      <c r="N77" s="144">
        <f t="shared" si="225"/>
        <v>0</v>
      </c>
      <c r="O77" s="144">
        <f t="shared" si="225"/>
        <v>0</v>
      </c>
      <c r="P77" s="144">
        <f t="shared" si="225"/>
        <v>0</v>
      </c>
      <c r="Q77" s="144">
        <f t="shared" ref="Q77" si="226">Q22/Q42</f>
        <v>0</v>
      </c>
      <c r="R77" s="118" t="e">
        <f>((P77/G77)^(1/($H$2-$H$1) ))-1</f>
        <v>#DIV/0!</v>
      </c>
      <c r="S77" s="128"/>
      <c r="T77" s="146">
        <f t="shared" ref="T77:AC77" si="227">T22/T42</f>
        <v>0</v>
      </c>
      <c r="U77" s="146">
        <f t="shared" si="227"/>
        <v>0</v>
      </c>
      <c r="V77" s="146">
        <f t="shared" si="227"/>
        <v>0</v>
      </c>
      <c r="W77" s="146">
        <f t="shared" si="227"/>
        <v>0</v>
      </c>
      <c r="X77" s="146">
        <f t="shared" si="227"/>
        <v>0</v>
      </c>
      <c r="Y77" s="146">
        <f t="shared" si="227"/>
        <v>0</v>
      </c>
      <c r="Z77" s="146">
        <f t="shared" si="227"/>
        <v>0</v>
      </c>
      <c r="AA77" s="146">
        <f t="shared" si="227"/>
        <v>0</v>
      </c>
      <c r="AB77" s="146">
        <f t="shared" si="227"/>
        <v>0</v>
      </c>
      <c r="AC77" s="146">
        <f t="shared" si="227"/>
        <v>0</v>
      </c>
      <c r="AD77" s="138" t="e">
        <f t="shared" si="215"/>
        <v>#DIV/0!</v>
      </c>
      <c r="AE77" s="31">
        <f t="shared" si="15"/>
        <v>0.05</v>
      </c>
      <c r="AF77" s="146">
        <f t="shared" si="168"/>
        <v>0</v>
      </c>
    </row>
    <row r="78" spans="2:3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0</v>
      </c>
      <c r="H78" s="144">
        <f t="shared" si="228"/>
        <v>0</v>
      </c>
      <c r="I78" s="144">
        <f t="shared" si="228"/>
        <v>0</v>
      </c>
      <c r="J78" s="144">
        <f t="shared" si="228"/>
        <v>0</v>
      </c>
      <c r="K78" s="144">
        <f t="shared" si="228"/>
        <v>0</v>
      </c>
      <c r="L78" s="144">
        <f t="shared" si="228"/>
        <v>0</v>
      </c>
      <c r="M78" s="144">
        <f t="shared" si="228"/>
        <v>0</v>
      </c>
      <c r="N78" s="144">
        <f t="shared" si="228"/>
        <v>0</v>
      </c>
      <c r="O78" s="144">
        <f t="shared" si="228"/>
        <v>0</v>
      </c>
      <c r="P78" s="144">
        <f t="shared" si="228"/>
        <v>0</v>
      </c>
      <c r="Q78" s="144">
        <f t="shared" ref="Q78" si="229">Q23/Q42</f>
        <v>0</v>
      </c>
      <c r="R78" s="118" t="e">
        <f>((P78/G78)^(1/($H$2-$H$1) ))-1</f>
        <v>#DIV/0!</v>
      </c>
      <c r="S78" s="128"/>
      <c r="T78" s="146">
        <f t="shared" ref="T78:AC78" si="230">T23/T42</f>
        <v>0</v>
      </c>
      <c r="U78" s="146">
        <f t="shared" si="230"/>
        <v>0</v>
      </c>
      <c r="V78" s="146">
        <f t="shared" si="230"/>
        <v>0</v>
      </c>
      <c r="W78" s="146">
        <f t="shared" si="230"/>
        <v>0</v>
      </c>
      <c r="X78" s="146">
        <f t="shared" si="230"/>
        <v>0</v>
      </c>
      <c r="Y78" s="146">
        <f t="shared" si="230"/>
        <v>0</v>
      </c>
      <c r="Z78" s="146">
        <f t="shared" si="230"/>
        <v>0</v>
      </c>
      <c r="AA78" s="146">
        <f t="shared" si="230"/>
        <v>0</v>
      </c>
      <c r="AB78" s="146">
        <f t="shared" si="230"/>
        <v>0</v>
      </c>
      <c r="AC78" s="146">
        <f t="shared" si="230"/>
        <v>0</v>
      </c>
      <c r="AD78" s="138" t="e">
        <f t="shared" ref="AD78" si="231">((AC78/G78)^(1/($AC$3-$H$1) ))-1</f>
        <v>#DIV/0!</v>
      </c>
      <c r="AE78" s="31">
        <f t="shared" si="15"/>
        <v>0.05</v>
      </c>
      <c r="AF78" s="146">
        <f t="shared" si="168"/>
        <v>0</v>
      </c>
    </row>
    <row r="79" spans="2:3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>
      <c r="B80" s="20" t="s">
        <v>311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137.66069546891464</v>
      </c>
      <c r="H80" s="144">
        <f t="shared" si="232"/>
        <v>199.24217393443891</v>
      </c>
      <c r="I80" s="144">
        <f t="shared" si="232"/>
        <v>220.14035087719299</v>
      </c>
      <c r="J80" s="144">
        <f t="shared" si="232"/>
        <v>166.83654385636805</v>
      </c>
      <c r="K80" s="144">
        <f t="shared" si="232"/>
        <v>189.80269309893399</v>
      </c>
      <c r="L80" s="144">
        <f t="shared" si="232"/>
        <v>200.39741911352161</v>
      </c>
      <c r="M80" s="144">
        <f t="shared" si="232"/>
        <v>209.54740976248365</v>
      </c>
      <c r="N80" s="144">
        <f t="shared" si="232"/>
        <v>60.394604577226083</v>
      </c>
      <c r="O80" s="144">
        <f t="shared" si="232"/>
        <v>68.640858405217756</v>
      </c>
      <c r="P80" s="144">
        <f t="shared" si="232"/>
        <v>64.140776585548309</v>
      </c>
      <c r="Q80" s="144">
        <f t="shared" ref="Q80" si="233">Q36/Q42</f>
        <v>64.140776585548309</v>
      </c>
      <c r="R80" s="118">
        <f>((P80/G80)^(1/($H$2-$H$1) ))-1</f>
        <v>-8.1356218824168769E-2</v>
      </c>
      <c r="S80" s="128"/>
      <c r="T80" s="144">
        <f t="shared" ref="T80:AC80" si="234">T36/T42</f>
        <v>73.031577300376782</v>
      </c>
      <c r="U80" s="144">
        <f t="shared" si="234"/>
        <v>83.154766233102279</v>
      </c>
      <c r="V80" s="144">
        <f t="shared" si="234"/>
        <v>94.681169473334251</v>
      </c>
      <c r="W80" s="144">
        <f t="shared" si="234"/>
        <v>107.8052919745885</v>
      </c>
      <c r="X80" s="144">
        <f t="shared" si="234"/>
        <v>122.74859977304629</v>
      </c>
      <c r="Y80" s="144">
        <f t="shared" si="234"/>
        <v>139.76325716732993</v>
      </c>
      <c r="Z80" s="144">
        <f t="shared" si="234"/>
        <v>159.13638192319743</v>
      </c>
      <c r="AA80" s="144">
        <f t="shared" si="234"/>
        <v>181.19489030859114</v>
      </c>
      <c r="AB80" s="144">
        <f t="shared" si="234"/>
        <v>206.31101371770276</v>
      </c>
      <c r="AC80" s="144">
        <f t="shared" si="234"/>
        <v>234.90857997560215</v>
      </c>
      <c r="AD80" s="138">
        <f t="shared" ref="AD80:AD82" si="235">((AC80/G80)^(1/($AC$3-$H$1) ))-1</f>
        <v>2.7080410526692411E-2</v>
      </c>
      <c r="AE80" s="31">
        <f t="shared" si="15"/>
        <v>0.05</v>
      </c>
      <c r="AF80" s="146">
        <f t="shared" si="168"/>
        <v>1450.9059351434253</v>
      </c>
    </row>
    <row r="81" spans="2:32">
      <c r="B81" s="20" t="s">
        <v>312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66.652616789603087</v>
      </c>
      <c r="H81" s="144">
        <f t="shared" si="236"/>
        <v>102.07453127965751</v>
      </c>
      <c r="I81" s="144">
        <f t="shared" si="236"/>
        <v>108.68070175438596</v>
      </c>
      <c r="J81" s="144">
        <f t="shared" si="236"/>
        <v>83.696465307649149</v>
      </c>
      <c r="K81" s="144">
        <f t="shared" si="236"/>
        <v>94.543669347297552</v>
      </c>
      <c r="L81" s="144">
        <f t="shared" si="236"/>
        <v>94.305217879184596</v>
      </c>
      <c r="M81" s="144">
        <f t="shared" si="236"/>
        <v>92.23396296988966</v>
      </c>
      <c r="N81" s="144">
        <f t="shared" si="236"/>
        <v>26.677887649905323</v>
      </c>
      <c r="O81" s="144">
        <f t="shared" si="236"/>
        <v>33.22813661547093</v>
      </c>
      <c r="P81" s="144">
        <f t="shared" si="236"/>
        <v>28.040769572433785</v>
      </c>
      <c r="Q81" s="144">
        <f t="shared" ref="Q81" si="237">Q40/Q42</f>
        <v>28.040769572433785</v>
      </c>
      <c r="R81" s="118">
        <f>((P81/G81)^(1/($H$2-$H$1) ))-1</f>
        <v>-9.1721170605068014E-2</v>
      </c>
      <c r="S81" s="128"/>
      <c r="T81" s="144">
        <f t="shared" ref="T81:AC81" si="238">T40/T42</f>
        <v>31.927608919107772</v>
      </c>
      <c r="U81" s="144">
        <f t="shared" si="238"/>
        <v>36.353218076211817</v>
      </c>
      <c r="V81" s="144">
        <f t="shared" si="238"/>
        <v>41.392278007567903</v>
      </c>
      <c r="W81" s="144">
        <f t="shared" si="238"/>
        <v>47.129821493765441</v>
      </c>
      <c r="X81" s="144">
        <f t="shared" si="238"/>
        <v>53.662668037455688</v>
      </c>
      <c r="Y81" s="144">
        <f t="shared" si="238"/>
        <v>61.101057666409936</v>
      </c>
      <c r="Z81" s="144">
        <f t="shared" si="238"/>
        <v>69.570511204328142</v>
      </c>
      <c r="AA81" s="144">
        <f t="shared" si="238"/>
        <v>79.213948400967695</v>
      </c>
      <c r="AB81" s="144">
        <f t="shared" si="238"/>
        <v>90.194099664468155</v>
      </c>
      <c r="AC81" s="144">
        <f t="shared" si="238"/>
        <v>102.6962520932063</v>
      </c>
      <c r="AD81" s="138">
        <f t="shared" si="235"/>
        <v>2.1849341702469438E-2</v>
      </c>
      <c r="AE81" s="31">
        <f t="shared" si="15"/>
        <v>0.05</v>
      </c>
      <c r="AF81" s="146">
        <f t="shared" si="168"/>
        <v>634.30038057568606</v>
      </c>
    </row>
    <row r="82" spans="2:32">
      <c r="B82" s="20" t="s">
        <v>313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280.40042149631194</v>
      </c>
      <c r="H82" s="144">
        <f t="shared" si="239"/>
        <v>331.7703463644736</v>
      </c>
      <c r="I82" s="144">
        <f t="shared" si="239"/>
        <v>388.36491228070173</v>
      </c>
      <c r="J82" s="144">
        <f t="shared" si="239"/>
        <v>301.90293622592111</v>
      </c>
      <c r="K82" s="144">
        <f t="shared" si="239"/>
        <v>355.02618290630261</v>
      </c>
      <c r="L82" s="144">
        <f t="shared" si="239"/>
        <v>421.18945202917524</v>
      </c>
      <c r="M82" s="144">
        <f t="shared" si="239"/>
        <v>464.12474284645594</v>
      </c>
      <c r="N82" s="144">
        <f t="shared" si="239"/>
        <v>129.7998924655773</v>
      </c>
      <c r="O82" s="144">
        <f t="shared" si="239"/>
        <v>154.47670477125558</v>
      </c>
      <c r="P82" s="144">
        <f t="shared" si="239"/>
        <v>173.28237136779111</v>
      </c>
      <c r="Q82" s="144">
        <f t="shared" ref="Q82" si="240">Q6/Q42</f>
        <v>173.28237136779111</v>
      </c>
      <c r="R82" s="118">
        <f>((P82/G82)^(1/($H$2-$H$1) ))-1</f>
        <v>-5.2072592898385506E-2</v>
      </c>
      <c r="S82" s="128"/>
      <c r="T82" s="144">
        <f t="shared" ref="T82:AC82" si="241">T6/T42</f>
        <v>197.3017099732275</v>
      </c>
      <c r="U82" s="144">
        <f t="shared" si="241"/>
        <v>224.65046185070457</v>
      </c>
      <c r="V82" s="144">
        <f t="shared" si="241"/>
        <v>255.7901298300101</v>
      </c>
      <c r="W82" s="144">
        <f t="shared" si="241"/>
        <v>291.24618743020955</v>
      </c>
      <c r="X82" s="144">
        <f t="shared" si="241"/>
        <v>331.61694608390189</v>
      </c>
      <c r="Y82" s="144">
        <f t="shared" si="241"/>
        <v>377.58365148167042</v>
      </c>
      <c r="Z82" s="144">
        <f t="shared" si="241"/>
        <v>429.92197940982277</v>
      </c>
      <c r="AA82" s="144">
        <f t="shared" si="241"/>
        <v>489.51512507059027</v>
      </c>
      <c r="AB82" s="144">
        <f t="shared" si="241"/>
        <v>557.36870676354329</v>
      </c>
      <c r="AC82" s="144">
        <f t="shared" si="241"/>
        <v>634.6277354238365</v>
      </c>
      <c r="AD82" s="138">
        <f t="shared" si="235"/>
        <v>4.168646033372525E-2</v>
      </c>
      <c r="AE82" s="31">
        <f t="shared" ref="AE82" si="242">$L$1</f>
        <v>0.05</v>
      </c>
      <c r="AF82" s="146">
        <f t="shared" si="168"/>
        <v>3919.7595423236967</v>
      </c>
    </row>
    <row r="83" spans="2:3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>
      <c r="B86" s="20" t="s">
        <v>309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0.42575935340894278</v>
      </c>
      <c r="H86" s="152">
        <f t="shared" si="243"/>
        <v>0.45999285876586488</v>
      </c>
      <c r="I86" s="152">
        <f t="shared" si="243"/>
        <v>0.42444086647093049</v>
      </c>
      <c r="J86" s="152">
        <f t="shared" si="243"/>
        <v>0.40371321574439678</v>
      </c>
      <c r="K86" s="152">
        <f t="shared" si="243"/>
        <v>0.40147356969786874</v>
      </c>
      <c r="L86" s="152">
        <f t="shared" si="243"/>
        <v>0.39686478578505358</v>
      </c>
      <c r="M86" s="152">
        <f t="shared" si="243"/>
        <v>0.41795359594150999</v>
      </c>
      <c r="N86" s="152">
        <f t="shared" si="243"/>
        <v>0.41421161908884668</v>
      </c>
      <c r="O86" s="152">
        <f t="shared" si="243"/>
        <v>0.37715551844834783</v>
      </c>
      <c r="P86" s="152">
        <f t="shared" si="243"/>
        <v>0.32467916669131958</v>
      </c>
      <c r="Q86" s="152">
        <f t="shared" ref="Q86" si="244">Q36/Q25</f>
        <v>0.32467916669131958</v>
      </c>
      <c r="R86" s="118">
        <f t="shared" ref="R86:R137" si="245">((P86/G86)^(1/($H$2-$H$1) ))-1</f>
        <v>-2.9666252450225139E-2</v>
      </c>
      <c r="S86" s="152"/>
      <c r="T86" s="152">
        <f t="shared" ref="T86:AC86" si="246">T36/T25</f>
        <v>0.32467916669131958</v>
      </c>
      <c r="U86" s="152">
        <f t="shared" si="246"/>
        <v>0.32467916669131958</v>
      </c>
      <c r="V86" s="152">
        <f t="shared" si="246"/>
        <v>0.32467916669131958</v>
      </c>
      <c r="W86" s="152">
        <f t="shared" si="246"/>
        <v>0.32467916669131958</v>
      </c>
      <c r="X86" s="152">
        <f t="shared" si="246"/>
        <v>0.32467916669131952</v>
      </c>
      <c r="Y86" s="152">
        <f t="shared" si="246"/>
        <v>0.32467916669131952</v>
      </c>
      <c r="Z86" s="152">
        <f t="shared" si="246"/>
        <v>0.32467916669131958</v>
      </c>
      <c r="AA86" s="152">
        <f t="shared" si="246"/>
        <v>0.32467916669131958</v>
      </c>
      <c r="AB86" s="152">
        <f t="shared" si="246"/>
        <v>0.32467916669131958</v>
      </c>
      <c r="AC86" s="152">
        <f t="shared" si="246"/>
        <v>0.32467916669131958</v>
      </c>
      <c r="AD86" s="138">
        <f t="shared" ref="AD86:AD124" si="247">((AC86/G86)^(1/($AC$3-$H$1) ))-1</f>
        <v>-1.3460425898242034E-2</v>
      </c>
      <c r="AE86" s="146"/>
      <c r="AF86" s="146"/>
    </row>
    <row r="87" spans="2:3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0.20614435319167426</v>
      </c>
      <c r="H87" s="152">
        <f t="shared" si="248"/>
        <v>0.23566072645827246</v>
      </c>
      <c r="I87" s="152">
        <f t="shared" si="248"/>
        <v>0.20954146315063119</v>
      </c>
      <c r="J87" s="152">
        <f t="shared" si="248"/>
        <v>0.20252978379173409</v>
      </c>
      <c r="K87" s="152">
        <f t="shared" si="248"/>
        <v>0.1999802205409682</v>
      </c>
      <c r="L87" s="152">
        <f t="shared" si="248"/>
        <v>0.18676098852767156</v>
      </c>
      <c r="M87" s="152">
        <f t="shared" si="248"/>
        <v>0.18396560728140854</v>
      </c>
      <c r="N87" s="152">
        <f t="shared" si="248"/>
        <v>0.18296818258339145</v>
      </c>
      <c r="O87" s="152">
        <f t="shared" si="248"/>
        <v>0.18257602517581323</v>
      </c>
      <c r="P87" s="152">
        <f t="shared" si="248"/>
        <v>0.14194174412619148</v>
      </c>
      <c r="Q87" s="152">
        <f t="shared" ref="Q87" si="249">Q40/Q25</f>
        <v>0.14194174412619148</v>
      </c>
      <c r="R87" s="118">
        <f t="shared" si="245"/>
        <v>-4.0614416157227495E-2</v>
      </c>
      <c r="S87" s="152"/>
      <c r="T87" s="152">
        <f t="shared" ref="T87:AC87" si="250">T40/T25</f>
        <v>0.14194174412619148</v>
      </c>
      <c r="U87" s="152">
        <f t="shared" si="250"/>
        <v>0.14194174412619145</v>
      </c>
      <c r="V87" s="152">
        <f t="shared" si="250"/>
        <v>0.14194174412619145</v>
      </c>
      <c r="W87" s="152">
        <f t="shared" si="250"/>
        <v>0.14194174412619148</v>
      </c>
      <c r="X87" s="152">
        <f t="shared" si="250"/>
        <v>0.14194174412619145</v>
      </c>
      <c r="Y87" s="152">
        <f t="shared" si="250"/>
        <v>0.14194174412619145</v>
      </c>
      <c r="Z87" s="152">
        <f t="shared" si="250"/>
        <v>0.14194174412619148</v>
      </c>
      <c r="AA87" s="152">
        <f t="shared" si="250"/>
        <v>0.14194174412619148</v>
      </c>
      <c r="AB87" s="152">
        <f t="shared" si="250"/>
        <v>0.14194174412619145</v>
      </c>
      <c r="AC87" s="152">
        <f t="shared" si="250"/>
        <v>0.14194174412619145</v>
      </c>
      <c r="AD87" s="138">
        <f t="shared" si="247"/>
        <v>-1.8485014389127086E-2</v>
      </c>
      <c r="AE87" s="146"/>
      <c r="AF87" s="146"/>
    </row>
    <row r="88" spans="2:32">
      <c r="B88" s="20" t="s">
        <v>359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0.22950193146387304</v>
      </c>
      <c r="H88" s="152">
        <f t="shared" si="251"/>
        <v>0.29864253393665158</v>
      </c>
      <c r="I88" s="152">
        <f t="shared" si="251"/>
        <v>0.27281214768883877</v>
      </c>
      <c r="J88" s="152">
        <f t="shared" si="251"/>
        <v>0.26832851168437938</v>
      </c>
      <c r="K88" s="152">
        <f t="shared" si="251"/>
        <v>0.25895807186947722</v>
      </c>
      <c r="L88" s="152">
        <f t="shared" si="251"/>
        <v>0.21870899883976883</v>
      </c>
      <c r="M88" s="152">
        <f t="shared" si="251"/>
        <v>0.19453484014752578</v>
      </c>
      <c r="N88" s="152">
        <f t="shared" si="251"/>
        <v>0.19790682147285543</v>
      </c>
      <c r="O88" s="152">
        <f t="shared" si="251"/>
        <v>0.20835684811527497</v>
      </c>
      <c r="P88" s="152">
        <f t="shared" ref="P88:Q88" si="252">P40/P7</f>
        <v>0.15756150744131672</v>
      </c>
      <c r="Q88" s="152">
        <f t="shared" si="252"/>
        <v>0.15756150744131672</v>
      </c>
      <c r="R88" s="118">
        <f t="shared" si="245"/>
        <v>-4.092729471603429E-2</v>
      </c>
      <c r="S88" s="20"/>
      <c r="T88" s="152">
        <f t="shared" ref="T88" si="253">T40/T7</f>
        <v>0.15756150744131669</v>
      </c>
      <c r="U88" s="152">
        <f t="shared" ref="U88:AC88" si="254">U40/U7</f>
        <v>0.15756150744131672</v>
      </c>
      <c r="V88" s="152">
        <f t="shared" si="254"/>
        <v>0.15756150744131669</v>
      </c>
      <c r="W88" s="152">
        <f t="shared" si="254"/>
        <v>0.15756150744131669</v>
      </c>
      <c r="X88" s="152">
        <f t="shared" si="254"/>
        <v>0.15756150744131669</v>
      </c>
      <c r="Y88" s="152">
        <f t="shared" si="254"/>
        <v>0.15756150744131667</v>
      </c>
      <c r="Z88" s="152">
        <f t="shared" si="254"/>
        <v>0.15756150744131667</v>
      </c>
      <c r="AA88" s="152">
        <f t="shared" si="254"/>
        <v>0.15756150744131669</v>
      </c>
      <c r="AB88" s="152">
        <f t="shared" si="254"/>
        <v>0.15756150744131669</v>
      </c>
      <c r="AC88" s="152">
        <f t="shared" si="254"/>
        <v>0.15756150744131669</v>
      </c>
      <c r="AD88" s="138">
        <f t="shared" si="247"/>
        <v>-1.8629070278093574E-2</v>
      </c>
      <c r="AE88" s="146"/>
      <c r="AF88" s="146"/>
    </row>
    <row r="89" spans="2:32">
      <c r="B89" s="20" t="s">
        <v>360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0.17057477298345849</v>
      </c>
      <c r="H89" s="152">
        <f t="shared" ref="H89:O89" si="256">(H40)/(H7+H10)</f>
        <v>0.23891795833744695</v>
      </c>
      <c r="I89" s="152">
        <f t="shared" si="256"/>
        <v>0.21548929301924336</v>
      </c>
      <c r="J89" s="152">
        <f t="shared" si="256"/>
        <v>0.26204382767555223</v>
      </c>
      <c r="K89" s="152">
        <f t="shared" si="256"/>
        <v>0.25586162391972772</v>
      </c>
      <c r="L89" s="152">
        <f t="shared" si="256"/>
        <v>0.20418699763114737</v>
      </c>
      <c r="M89" s="152">
        <f t="shared" si="256"/>
        <v>0.15765078198048446</v>
      </c>
      <c r="N89" s="152">
        <f t="shared" si="256"/>
        <v>0.18802517547039246</v>
      </c>
      <c r="O89" s="152">
        <f t="shared" si="256"/>
        <v>0.18744313011828936</v>
      </c>
      <c r="P89" s="152">
        <f t="shared" ref="P89:Q89" si="257">(P40)/(P7+P10)</f>
        <v>0.13890497255483245</v>
      </c>
      <c r="Q89" s="152">
        <f t="shared" si="257"/>
        <v>0.13890497255483245</v>
      </c>
      <c r="R89" s="118">
        <f t="shared" si="245"/>
        <v>-2.2561995325978912E-2</v>
      </c>
      <c r="S89" s="20"/>
      <c r="T89" s="152">
        <f t="shared" ref="T89:AC89" si="258">(T40)/(T7+T10)</f>
        <v>0.13890497255483242</v>
      </c>
      <c r="U89" s="152">
        <f t="shared" si="258"/>
        <v>0.13890497255483245</v>
      </c>
      <c r="V89" s="152">
        <f t="shared" si="258"/>
        <v>0.13890497255483242</v>
      </c>
      <c r="W89" s="152">
        <f t="shared" si="258"/>
        <v>0.13890497255483245</v>
      </c>
      <c r="X89" s="152">
        <f t="shared" si="258"/>
        <v>0.13890497255483242</v>
      </c>
      <c r="Y89" s="152">
        <f t="shared" si="258"/>
        <v>0.13890497255483242</v>
      </c>
      <c r="Z89" s="152">
        <f t="shared" si="258"/>
        <v>0.13890497255483239</v>
      </c>
      <c r="AA89" s="152">
        <f t="shared" si="258"/>
        <v>0.13890497255483242</v>
      </c>
      <c r="AB89" s="152">
        <f t="shared" si="258"/>
        <v>0.13890497255483242</v>
      </c>
      <c r="AC89" s="152">
        <f t="shared" si="258"/>
        <v>0.13890497255483242</v>
      </c>
      <c r="AD89" s="138">
        <f t="shared" si="247"/>
        <v>-1.0216637105167847E-2</v>
      </c>
      <c r="AE89" s="146"/>
      <c r="AF89" s="146"/>
    </row>
    <row r="90" spans="2:32">
      <c r="B90" s="20" t="s">
        <v>376</v>
      </c>
      <c r="C90" s="152"/>
      <c r="D90" s="152"/>
      <c r="E90" s="152"/>
      <c r="F90" s="152"/>
      <c r="G90" s="152">
        <f>G20/G25</f>
        <v>0</v>
      </c>
      <c r="H90" s="152">
        <f t="shared" ref="H90:P90" si="259">H20/H25</f>
        <v>0</v>
      </c>
      <c r="I90" s="152">
        <f t="shared" si="259"/>
        <v>0</v>
      </c>
      <c r="J90" s="152">
        <f t="shared" si="259"/>
        <v>0</v>
      </c>
      <c r="K90" s="152">
        <f t="shared" si="259"/>
        <v>0</v>
      </c>
      <c r="L90" s="152">
        <f t="shared" si="259"/>
        <v>0</v>
      </c>
      <c r="M90" s="152">
        <f t="shared" si="259"/>
        <v>0</v>
      </c>
      <c r="N90" s="152">
        <f t="shared" si="259"/>
        <v>0</v>
      </c>
      <c r="O90" s="152">
        <f t="shared" si="259"/>
        <v>0</v>
      </c>
      <c r="P90" s="152">
        <f t="shared" si="259"/>
        <v>0</v>
      </c>
      <c r="Q90" s="152">
        <f t="shared" ref="Q90" si="260">Q20/Q25</f>
        <v>0</v>
      </c>
      <c r="R90" s="118" t="e">
        <f t="shared" si="245"/>
        <v>#DIV/0!</v>
      </c>
      <c r="S90" s="20"/>
      <c r="T90" s="152">
        <f t="shared" ref="T90:AC90" si="261">T20/T25</f>
        <v>0</v>
      </c>
      <c r="U90" s="152">
        <f t="shared" si="261"/>
        <v>0</v>
      </c>
      <c r="V90" s="152">
        <f t="shared" si="261"/>
        <v>0</v>
      </c>
      <c r="W90" s="152">
        <f t="shared" si="261"/>
        <v>0</v>
      </c>
      <c r="X90" s="152">
        <f t="shared" si="261"/>
        <v>0</v>
      </c>
      <c r="Y90" s="152">
        <f t="shared" si="261"/>
        <v>0</v>
      </c>
      <c r="Z90" s="152">
        <f t="shared" si="261"/>
        <v>0</v>
      </c>
      <c r="AA90" s="152">
        <f t="shared" si="261"/>
        <v>0</v>
      </c>
      <c r="AB90" s="152">
        <f t="shared" si="261"/>
        <v>0</v>
      </c>
      <c r="AC90" s="152">
        <f t="shared" si="261"/>
        <v>0</v>
      </c>
      <c r="AD90" s="138" t="e">
        <f t="shared" si="247"/>
        <v>#DIV/0!</v>
      </c>
      <c r="AE90" s="146"/>
      <c r="AF90" s="146"/>
    </row>
    <row r="91" spans="2:32">
      <c r="B91" s="20" t="s">
        <v>428</v>
      </c>
      <c r="C91" s="152"/>
      <c r="D91" s="152"/>
      <c r="E91" s="152"/>
      <c r="F91" s="152"/>
      <c r="G91" s="152">
        <f>G52/G25</f>
        <v>0.11769434667361926</v>
      </c>
      <c r="H91" s="152">
        <f t="shared" ref="H91:P91" si="262">H52/H25</f>
        <v>0.12696789690654722</v>
      </c>
      <c r="I91" s="152">
        <f t="shared" si="262"/>
        <v>0.12037776184226549</v>
      </c>
      <c r="J91" s="152">
        <f t="shared" si="262"/>
        <v>0.12301582811951983</v>
      </c>
      <c r="K91" s="152">
        <f t="shared" si="262"/>
        <v>0.10467289719626169</v>
      </c>
      <c r="L91" s="152">
        <f t="shared" si="262"/>
        <v>9.9371290474911805E-2</v>
      </c>
      <c r="M91" s="152">
        <f t="shared" si="262"/>
        <v>9.7974485228290067E-2</v>
      </c>
      <c r="N91" s="152">
        <f t="shared" si="262"/>
        <v>9.218954169773054E-2</v>
      </c>
      <c r="O91" s="152">
        <f t="shared" si="262"/>
        <v>9.2167881570919361E-2</v>
      </c>
      <c r="P91" s="152">
        <f t="shared" si="262"/>
        <v>7.5449817469662103E-2</v>
      </c>
      <c r="Q91" s="152">
        <f t="shared" ref="Q91" si="263">Q52/Q25</f>
        <v>7.5449817469662103E-2</v>
      </c>
      <c r="R91" s="118">
        <f t="shared" si="245"/>
        <v>-4.8202121751053206E-2</v>
      </c>
      <c r="S91" s="20"/>
      <c r="T91" s="152">
        <f t="shared" ref="T91:AC91" si="264">T52/T25</f>
        <v>7.5449817469662103E-2</v>
      </c>
      <c r="U91" s="152">
        <f t="shared" si="264"/>
        <v>7.5449817469662089E-2</v>
      </c>
      <c r="V91" s="152">
        <f t="shared" si="264"/>
        <v>7.5449817469662103E-2</v>
      </c>
      <c r="W91" s="152">
        <f t="shared" si="264"/>
        <v>7.5449817469662103E-2</v>
      </c>
      <c r="X91" s="152">
        <f t="shared" si="264"/>
        <v>7.5449817469662103E-2</v>
      </c>
      <c r="Y91" s="152">
        <f t="shared" si="264"/>
        <v>7.5449817469662103E-2</v>
      </c>
      <c r="Z91" s="152">
        <f t="shared" si="264"/>
        <v>7.5449817469662117E-2</v>
      </c>
      <c r="AA91" s="152">
        <f t="shared" si="264"/>
        <v>7.5449817469662089E-2</v>
      </c>
      <c r="AB91" s="152">
        <f t="shared" si="264"/>
        <v>7.5449817469662089E-2</v>
      </c>
      <c r="AC91" s="152">
        <f t="shared" si="264"/>
        <v>7.5449817469662075E-2</v>
      </c>
      <c r="AD91" s="138">
        <f t="shared" si="247"/>
        <v>-2.1985869583644346E-2</v>
      </c>
      <c r="AE91" s="146"/>
      <c r="AF91" s="146"/>
    </row>
    <row r="92" spans="2:3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>
      <c r="B93" s="20" t="s">
        <v>323</v>
      </c>
      <c r="C93" s="152"/>
      <c r="D93" s="152"/>
      <c r="E93" s="152"/>
      <c r="F93" s="152"/>
      <c r="G93" s="152">
        <f>G29/G25</f>
        <v>8.2996567157693473E-3</v>
      </c>
      <c r="H93" s="152">
        <f t="shared" ref="H93:P93" si="265">H29/H25</f>
        <v>2.6617327230824164E-3</v>
      </c>
      <c r="I93" s="152">
        <f t="shared" si="265"/>
        <v>2.151294159033406E-3</v>
      </c>
      <c r="J93" s="152">
        <f t="shared" si="265"/>
        <v>1.8215348410965412E-3</v>
      </c>
      <c r="K93" s="152">
        <f t="shared" si="265"/>
        <v>1.3351134846461949E-3</v>
      </c>
      <c r="L93" s="152">
        <f t="shared" si="265"/>
        <v>2.2037241085565607E-3</v>
      </c>
      <c r="M93" s="152">
        <f t="shared" si="265"/>
        <v>4.6814383766039984E-3</v>
      </c>
      <c r="N93" s="152">
        <f t="shared" si="265"/>
        <v>3.5032025845137603E-3</v>
      </c>
      <c r="O93" s="152">
        <f t="shared" si="265"/>
        <v>2.7937445810988729E-3</v>
      </c>
      <c r="P93" s="152">
        <f t="shared" si="265"/>
        <v>2.8636850419790196E-3</v>
      </c>
      <c r="Q93" s="152">
        <f t="shared" ref="Q93" si="266">Q29/Q25</f>
        <v>2.8636850419790196E-3</v>
      </c>
      <c r="R93" s="118">
        <f t="shared" si="245"/>
        <v>-0.11151176763459658</v>
      </c>
      <c r="S93" s="20"/>
      <c r="T93" s="152">
        <f t="shared" ref="T93:AC93" si="267">T29/T25</f>
        <v>2.8636850419790191E-3</v>
      </c>
      <c r="U93" s="152">
        <f t="shared" si="267"/>
        <v>2.8636850419790187E-3</v>
      </c>
      <c r="V93" s="152">
        <f t="shared" si="267"/>
        <v>2.8636850419790187E-3</v>
      </c>
      <c r="W93" s="152">
        <f t="shared" si="267"/>
        <v>2.8636850419790187E-3</v>
      </c>
      <c r="X93" s="152">
        <f t="shared" si="267"/>
        <v>2.8636850419790191E-3</v>
      </c>
      <c r="Y93" s="152">
        <f t="shared" si="267"/>
        <v>2.8636850419790191E-3</v>
      </c>
      <c r="Z93" s="152">
        <f t="shared" si="267"/>
        <v>2.8636850419790191E-3</v>
      </c>
      <c r="AA93" s="152">
        <f t="shared" si="267"/>
        <v>2.8636850419790191E-3</v>
      </c>
      <c r="AB93" s="152">
        <f t="shared" si="267"/>
        <v>2.8636850419790187E-3</v>
      </c>
      <c r="AC93" s="152">
        <f t="shared" si="267"/>
        <v>2.8636850419790187E-3</v>
      </c>
      <c r="AD93" s="138">
        <f t="shared" si="247"/>
        <v>-5.1814616980300876E-2</v>
      </c>
      <c r="AE93" s="146"/>
      <c r="AF93" s="146"/>
    </row>
    <row r="94" spans="2:32">
      <c r="B94" s="20" t="s">
        <v>369</v>
      </c>
      <c r="C94" s="152"/>
      <c r="D94" s="152"/>
      <c r="E94" s="152"/>
      <c r="F94" s="152"/>
      <c r="G94" s="152">
        <f>G29/G36</f>
        <v>1.9493774239640743E-2</v>
      </c>
      <c r="H94" s="152">
        <f t="shared" ref="H94:P94" si="268">H29/H36</f>
        <v>5.7864653164914261E-3</v>
      </c>
      <c r="I94" s="152">
        <f t="shared" si="268"/>
        <v>5.0685368186165125E-3</v>
      </c>
      <c r="J94" s="152">
        <f t="shared" si="268"/>
        <v>4.511952470364039E-3</v>
      </c>
      <c r="K94" s="152">
        <f t="shared" si="268"/>
        <v>3.3255327010715606E-3</v>
      </c>
      <c r="L94" s="152">
        <f t="shared" si="268"/>
        <v>5.5528335783112852E-3</v>
      </c>
      <c r="M94" s="152">
        <f t="shared" si="268"/>
        <v>1.1200856798607703E-2</v>
      </c>
      <c r="N94" s="152">
        <f t="shared" si="268"/>
        <v>8.4575188697503384E-3</v>
      </c>
      <c r="O94" s="152">
        <f t="shared" si="268"/>
        <v>7.4074074074074077E-3</v>
      </c>
      <c r="P94" s="152">
        <f t="shared" si="268"/>
        <v>8.8200455580865599E-3</v>
      </c>
      <c r="Q94" s="152">
        <f t="shared" ref="Q94" si="269">Q29/Q36</f>
        <v>8.8200455580865599E-3</v>
      </c>
      <c r="R94" s="118">
        <f t="shared" ref="R94" si="270">((P94/G94)^(1/($H$2-$H$1) ))-1</f>
        <v>-8.4347798261209084E-2</v>
      </c>
      <c r="S94" s="20"/>
      <c r="T94" s="152">
        <f t="shared" ref="T94:AC94" si="271">T29/T36</f>
        <v>8.8200455580865599E-3</v>
      </c>
      <c r="U94" s="152">
        <f t="shared" si="271"/>
        <v>8.8200455580865599E-3</v>
      </c>
      <c r="V94" s="152">
        <f t="shared" si="271"/>
        <v>8.8200455580865599E-3</v>
      </c>
      <c r="W94" s="152">
        <f t="shared" si="271"/>
        <v>8.8200455580865599E-3</v>
      </c>
      <c r="X94" s="152">
        <f t="shared" si="271"/>
        <v>8.8200455580865599E-3</v>
      </c>
      <c r="Y94" s="152">
        <f t="shared" si="271"/>
        <v>8.8200455580865599E-3</v>
      </c>
      <c r="Z94" s="152">
        <f t="shared" si="271"/>
        <v>8.8200455580865599E-3</v>
      </c>
      <c r="AA94" s="152">
        <f t="shared" si="271"/>
        <v>8.8200455580865599E-3</v>
      </c>
      <c r="AB94" s="152">
        <f t="shared" si="271"/>
        <v>8.8200455580865599E-3</v>
      </c>
      <c r="AC94" s="152">
        <f t="shared" si="271"/>
        <v>8.8200455580865599E-3</v>
      </c>
      <c r="AD94" s="138">
        <f t="shared" ref="AD94" si="272">((AC94/G94)^(1/($AC$3-$H$1) ))-1</f>
        <v>-3.8877498773407293E-2</v>
      </c>
      <c r="AE94" s="146"/>
      <c r="AF94" s="146"/>
    </row>
    <row r="95" spans="2:32" ht="12" customHeight="1">
      <c r="B95" s="20" t="s">
        <v>368</v>
      </c>
      <c r="C95" s="152"/>
      <c r="D95" s="152"/>
      <c r="E95" s="152"/>
      <c r="F95" s="152"/>
      <c r="G95" s="171">
        <f t="shared" ref="G95:P95" si="273">G29/G40</f>
        <v>4.0261382799325465E-2</v>
      </c>
      <c r="H95" s="171">
        <f t="shared" si="273"/>
        <v>1.1294765840220386E-2</v>
      </c>
      <c r="I95" s="171">
        <f t="shared" si="273"/>
        <v>1.0266675276037968E-2</v>
      </c>
      <c r="J95" s="171">
        <f t="shared" si="273"/>
        <v>8.9939109546952681E-3</v>
      </c>
      <c r="K95" s="171">
        <f t="shared" si="273"/>
        <v>6.6762276840907969E-3</v>
      </c>
      <c r="L95" s="171">
        <f t="shared" si="273"/>
        <v>1.1799702528507684E-2</v>
      </c>
      <c r="M95" s="171">
        <f t="shared" si="273"/>
        <v>2.5447356415065646E-2</v>
      </c>
      <c r="N95" s="171">
        <f t="shared" si="273"/>
        <v>1.9146512443042413E-2</v>
      </c>
      <c r="O95" s="171">
        <f t="shared" si="273"/>
        <v>1.5301815111861544E-2</v>
      </c>
      <c r="P95" s="171">
        <f t="shared" si="273"/>
        <v>2.0175072947061275E-2</v>
      </c>
      <c r="Q95" s="171">
        <f t="shared" ref="Q95" si="274">Q29/Q40</f>
        <v>2.0175072947061275E-2</v>
      </c>
      <c r="R95" s="118">
        <f t="shared" ref="R95" si="275">((P95/G95)^(1/($H$2-$H$1) ))-1</f>
        <v>-7.3898704203364418E-2</v>
      </c>
      <c r="S95" s="20"/>
      <c r="T95" s="171">
        <f t="shared" ref="T95:AC95" si="276">T29/T40</f>
        <v>2.0175072947061275E-2</v>
      </c>
      <c r="U95" s="171">
        <f t="shared" si="276"/>
        <v>2.0175072947061272E-2</v>
      </c>
      <c r="V95" s="171">
        <f t="shared" si="276"/>
        <v>2.0175072947061275E-2</v>
      </c>
      <c r="W95" s="171">
        <f t="shared" si="276"/>
        <v>2.0175072947061272E-2</v>
      </c>
      <c r="X95" s="171">
        <f t="shared" si="276"/>
        <v>2.0175072947061275E-2</v>
      </c>
      <c r="Y95" s="171">
        <f t="shared" si="276"/>
        <v>2.0175072947061275E-2</v>
      </c>
      <c r="Z95" s="171">
        <f t="shared" si="276"/>
        <v>2.0175072947061275E-2</v>
      </c>
      <c r="AA95" s="171">
        <f t="shared" si="276"/>
        <v>2.0175072947061272E-2</v>
      </c>
      <c r="AB95" s="171">
        <f t="shared" si="276"/>
        <v>2.0175072947061272E-2</v>
      </c>
      <c r="AC95" s="171">
        <f t="shared" si="276"/>
        <v>2.0175072947061275E-2</v>
      </c>
      <c r="AD95" s="138">
        <f t="shared" ref="AD95" si="277">((AC95/G95)^(1/($AC$3-$H$1) ))-1</f>
        <v>-3.3957303841296027E-2</v>
      </c>
      <c r="AE95" s="146"/>
      <c r="AF95" s="146"/>
    </row>
    <row r="96" spans="2:32" ht="12" customHeight="1">
      <c r="B96" s="20" t="s">
        <v>325</v>
      </c>
      <c r="C96" s="152"/>
      <c r="D96" s="152"/>
      <c r="E96" s="152"/>
      <c r="F96" s="152"/>
      <c r="G96" s="171">
        <f t="shared" ref="G96:P96" si="278">G29/G12</f>
        <v>5.8959716005556412E-2</v>
      </c>
      <c r="H96" s="171">
        <f t="shared" si="278"/>
        <v>1.6045396732217984E-2</v>
      </c>
      <c r="I96" s="171">
        <f t="shared" si="278"/>
        <v>1.7462932454695223E-2</v>
      </c>
      <c r="J96" s="171">
        <f t="shared" si="278"/>
        <v>7.7871825876662639E-3</v>
      </c>
      <c r="K96" s="171">
        <f t="shared" si="278"/>
        <v>5.3881460786270206E-3</v>
      </c>
      <c r="L96" s="171">
        <f t="shared" si="278"/>
        <v>1.0533770027440914E-2</v>
      </c>
      <c r="M96" s="171">
        <f t="shared" si="278"/>
        <v>2.242673338098642E-2</v>
      </c>
      <c r="N96" s="171">
        <f t="shared" si="278"/>
        <v>2.0994475138121547E-2</v>
      </c>
      <c r="O96" s="171">
        <f t="shared" si="278"/>
        <v>1.5597547420129801E-2</v>
      </c>
      <c r="P96" s="171">
        <f t="shared" si="278"/>
        <v>2.4669962791171823E-2</v>
      </c>
      <c r="Q96" s="171">
        <f t="shared" ref="Q96" si="279">Q29/Q12</f>
        <v>2.4669962791171823E-2</v>
      </c>
      <c r="R96" s="118">
        <f t="shared" si="245"/>
        <v>-9.2269323842332662E-2</v>
      </c>
      <c r="S96" s="20"/>
      <c r="T96" s="152">
        <f t="shared" ref="T96:AC96" si="280">T29/T12</f>
        <v>2.4669962791171819E-2</v>
      </c>
      <c r="U96" s="152">
        <f t="shared" si="280"/>
        <v>2.4669962791171819E-2</v>
      </c>
      <c r="V96" s="152">
        <f t="shared" si="280"/>
        <v>2.4669962791171819E-2</v>
      </c>
      <c r="W96" s="152">
        <f t="shared" si="280"/>
        <v>2.4669962791171823E-2</v>
      </c>
      <c r="X96" s="152">
        <f t="shared" si="280"/>
        <v>2.4669962791171823E-2</v>
      </c>
      <c r="Y96" s="152">
        <f t="shared" si="280"/>
        <v>2.4669962791171823E-2</v>
      </c>
      <c r="Z96" s="152">
        <f t="shared" si="280"/>
        <v>2.4669962791171823E-2</v>
      </c>
      <c r="AA96" s="152">
        <f t="shared" si="280"/>
        <v>2.4669962791171823E-2</v>
      </c>
      <c r="AB96" s="152">
        <f t="shared" si="280"/>
        <v>2.4669962791171819E-2</v>
      </c>
      <c r="AC96" s="152">
        <f t="shared" si="280"/>
        <v>2.4669962791171819E-2</v>
      </c>
      <c r="AD96" s="138">
        <f t="shared" si="247"/>
        <v>-4.2628145632929049E-2</v>
      </c>
      <c r="AE96" s="146"/>
      <c r="AF96" s="146"/>
    </row>
    <row r="97" spans="2:32" ht="12" customHeight="1">
      <c r="B97" s="20" t="s">
        <v>370</v>
      </c>
      <c r="C97" s="152"/>
      <c r="D97" s="152"/>
      <c r="E97" s="152"/>
      <c r="F97" s="152"/>
      <c r="G97" s="171" t="e">
        <f>G29/G23</f>
        <v>#DIV/0!</v>
      </c>
      <c r="H97" s="171" t="e">
        <f t="shared" ref="H97:P97" si="281">H29/H23</f>
        <v>#DIV/0!</v>
      </c>
      <c r="I97" s="171" t="e">
        <f t="shared" si="281"/>
        <v>#DIV/0!</v>
      </c>
      <c r="J97" s="171" t="e">
        <f t="shared" si="281"/>
        <v>#DIV/0!</v>
      </c>
      <c r="K97" s="171" t="e">
        <f t="shared" si="281"/>
        <v>#DIV/0!</v>
      </c>
      <c r="L97" s="171" t="e">
        <f t="shared" si="281"/>
        <v>#DIV/0!</v>
      </c>
      <c r="M97" s="171" t="e">
        <f t="shared" si="281"/>
        <v>#DIV/0!</v>
      </c>
      <c r="N97" s="171" t="e">
        <f t="shared" si="281"/>
        <v>#DIV/0!</v>
      </c>
      <c r="O97" s="171" t="e">
        <f t="shared" si="281"/>
        <v>#DIV/0!</v>
      </c>
      <c r="P97" s="171" t="e">
        <f t="shared" si="281"/>
        <v>#DIV/0!</v>
      </c>
      <c r="Q97" s="171" t="e">
        <f t="shared" ref="Q97" si="282">Q29/Q23</f>
        <v>#DIV/0!</v>
      </c>
      <c r="R97" s="118" t="e">
        <f t="shared" ref="R97" si="283">((P97/G97)^(1/($H$2-$H$1) ))-1</f>
        <v>#DIV/0!</v>
      </c>
      <c r="S97" s="20"/>
      <c r="T97" s="171" t="e">
        <f t="shared" ref="T97:AC97" si="284">T29/T23</f>
        <v>#DIV/0!</v>
      </c>
      <c r="U97" s="171" t="e">
        <f t="shared" si="284"/>
        <v>#DIV/0!</v>
      </c>
      <c r="V97" s="171" t="e">
        <f t="shared" si="284"/>
        <v>#DIV/0!</v>
      </c>
      <c r="W97" s="171" t="e">
        <f t="shared" si="284"/>
        <v>#DIV/0!</v>
      </c>
      <c r="X97" s="171" t="e">
        <f t="shared" si="284"/>
        <v>#DIV/0!</v>
      </c>
      <c r="Y97" s="171" t="e">
        <f t="shared" si="284"/>
        <v>#DIV/0!</v>
      </c>
      <c r="Z97" s="171" t="e">
        <f t="shared" si="284"/>
        <v>#DIV/0!</v>
      </c>
      <c r="AA97" s="171" t="e">
        <f t="shared" si="284"/>
        <v>#DIV/0!</v>
      </c>
      <c r="AB97" s="171" t="e">
        <f t="shared" si="284"/>
        <v>#DIV/0!</v>
      </c>
      <c r="AC97" s="171" t="e">
        <f t="shared" si="284"/>
        <v>#DIV/0!</v>
      </c>
      <c r="AD97" s="138" t="e">
        <f t="shared" ref="AD97" si="285">((AC97/G97)^(1/($AC$3-$H$1) ))-1</f>
        <v>#DIV/0!</v>
      </c>
      <c r="AE97" s="146"/>
      <c r="AF97" s="146"/>
    </row>
    <row r="98" spans="2:32" ht="12" customHeight="1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>
      <c r="B99" s="20" t="s">
        <v>402</v>
      </c>
      <c r="C99" s="152"/>
      <c r="D99" s="152"/>
      <c r="E99" s="152"/>
      <c r="F99" s="152"/>
      <c r="G99" s="127">
        <f>1/G93</f>
        <v>120.4869109947644</v>
      </c>
      <c r="H99" s="127">
        <f t="shared" ref="H99:P99" si="286">1/H93</f>
        <v>375.69512195121951</v>
      </c>
      <c r="I99" s="127">
        <f t="shared" si="286"/>
        <v>464.83647798742135</v>
      </c>
      <c r="J99" s="127">
        <f t="shared" si="286"/>
        <v>548.98757763975163</v>
      </c>
      <c r="K99" s="127">
        <f t="shared" si="286"/>
        <v>749</v>
      </c>
      <c r="L99" s="127">
        <f t="shared" si="286"/>
        <v>453.77731092436977</v>
      </c>
      <c r="M99" s="127">
        <f t="shared" si="286"/>
        <v>213.60956175298807</v>
      </c>
      <c r="N99" s="127">
        <f t="shared" si="286"/>
        <v>285.45308924485124</v>
      </c>
      <c r="O99" s="127">
        <f t="shared" si="286"/>
        <v>357.94252873563215</v>
      </c>
      <c r="P99" s="127">
        <f t="shared" si="286"/>
        <v>349.20041322314046</v>
      </c>
      <c r="Q99" s="127">
        <f t="shared" ref="Q99" si="287">1/Q93</f>
        <v>349.20041322314046</v>
      </c>
      <c r="R99" s="118">
        <f t="shared" si="245"/>
        <v>0.12550730957653888</v>
      </c>
      <c r="S99" s="20"/>
      <c r="T99" s="127">
        <f t="shared" ref="T99:AC99" si="288">1/T93</f>
        <v>349.20041322314052</v>
      </c>
      <c r="U99" s="127">
        <f t="shared" si="288"/>
        <v>349.20041322314057</v>
      </c>
      <c r="V99" s="127">
        <f t="shared" si="288"/>
        <v>349.20041322314057</v>
      </c>
      <c r="W99" s="127">
        <f t="shared" si="288"/>
        <v>349.20041322314057</v>
      </c>
      <c r="X99" s="127">
        <f t="shared" si="288"/>
        <v>349.20041322314052</v>
      </c>
      <c r="Y99" s="127">
        <f t="shared" si="288"/>
        <v>349.20041322314052</v>
      </c>
      <c r="Z99" s="127">
        <f t="shared" si="288"/>
        <v>349.20041322314052</v>
      </c>
      <c r="AA99" s="127">
        <f t="shared" si="288"/>
        <v>349.20041322314052</v>
      </c>
      <c r="AB99" s="127">
        <f t="shared" si="288"/>
        <v>349.20041322314057</v>
      </c>
      <c r="AC99" s="127">
        <f t="shared" si="288"/>
        <v>349.20041322314057</v>
      </c>
      <c r="AD99" s="138">
        <f t="shared" si="247"/>
        <v>5.4646082831699028E-2</v>
      </c>
      <c r="AE99" s="146"/>
      <c r="AF99" s="146"/>
    </row>
    <row r="100" spans="2:32" ht="12" customHeight="1">
      <c r="B100" s="20" t="s">
        <v>403</v>
      </c>
      <c r="C100" s="152"/>
      <c r="D100" s="152"/>
      <c r="E100" s="152"/>
      <c r="F100" s="152"/>
      <c r="G100" s="127">
        <f t="shared" ref="G100:P103" si="289">1/G94</f>
        <v>51.298429319371728</v>
      </c>
      <c r="H100" s="127">
        <f t="shared" si="289"/>
        <v>172.8170731707317</v>
      </c>
      <c r="I100" s="127">
        <f t="shared" si="289"/>
        <v>197.29559748427673</v>
      </c>
      <c r="J100" s="127">
        <f t="shared" si="289"/>
        <v>221.63354037267081</v>
      </c>
      <c r="K100" s="127">
        <f t="shared" si="289"/>
        <v>300.7037037037037</v>
      </c>
      <c r="L100" s="127">
        <f t="shared" si="289"/>
        <v>180.08823529411765</v>
      </c>
      <c r="M100" s="127">
        <f t="shared" si="289"/>
        <v>89.278884462151396</v>
      </c>
      <c r="N100" s="127">
        <f t="shared" si="289"/>
        <v>118.23798627002289</v>
      </c>
      <c r="O100" s="127">
        <f t="shared" si="289"/>
        <v>135</v>
      </c>
      <c r="P100" s="127">
        <f t="shared" si="289"/>
        <v>113.37809917355372</v>
      </c>
      <c r="Q100" s="127">
        <f t="shared" ref="Q100" si="290">1/Q94</f>
        <v>113.37809917355372</v>
      </c>
      <c r="R100" s="118">
        <f t="shared" si="245"/>
        <v>9.2117725596067679E-2</v>
      </c>
      <c r="S100" s="20"/>
      <c r="T100" s="127">
        <f t="shared" ref="T100:AC100" si="291">1/T94</f>
        <v>113.37809917355372</v>
      </c>
      <c r="U100" s="127">
        <f t="shared" si="291"/>
        <v>113.37809917355372</v>
      </c>
      <c r="V100" s="127">
        <f t="shared" si="291"/>
        <v>113.37809917355372</v>
      </c>
      <c r="W100" s="127">
        <f t="shared" si="291"/>
        <v>113.37809917355372</v>
      </c>
      <c r="X100" s="127">
        <f t="shared" si="291"/>
        <v>113.37809917355372</v>
      </c>
      <c r="Y100" s="127">
        <f t="shared" si="291"/>
        <v>113.37809917355372</v>
      </c>
      <c r="Z100" s="127">
        <f t="shared" si="291"/>
        <v>113.37809917355372</v>
      </c>
      <c r="AA100" s="127">
        <f t="shared" si="291"/>
        <v>113.37809917355372</v>
      </c>
      <c r="AB100" s="127">
        <f t="shared" si="291"/>
        <v>113.37809917355372</v>
      </c>
      <c r="AC100" s="127">
        <f t="shared" si="291"/>
        <v>113.37809917355372</v>
      </c>
      <c r="AD100" s="138">
        <f t="shared" si="247"/>
        <v>4.0450097384871819E-2</v>
      </c>
      <c r="AE100" s="146"/>
      <c r="AF100" s="146"/>
    </row>
    <row r="101" spans="2:32" ht="12" customHeight="1">
      <c r="B101" s="20" t="s">
        <v>404</v>
      </c>
      <c r="C101" s="152"/>
      <c r="D101" s="152"/>
      <c r="E101" s="152"/>
      <c r="F101" s="152"/>
      <c r="G101" s="127">
        <f t="shared" si="289"/>
        <v>24.837696335078533</v>
      </c>
      <c r="H101" s="127">
        <f t="shared" si="289"/>
        <v>88.536585365853654</v>
      </c>
      <c r="I101" s="127">
        <f t="shared" si="289"/>
        <v>97.40251572327044</v>
      </c>
      <c r="J101" s="127">
        <f t="shared" si="289"/>
        <v>111.18633540372672</v>
      </c>
      <c r="K101" s="127">
        <f t="shared" si="289"/>
        <v>149.78518518518518</v>
      </c>
      <c r="L101" s="127">
        <f t="shared" si="289"/>
        <v>84.747899159663874</v>
      </c>
      <c r="M101" s="127">
        <f t="shared" si="289"/>
        <v>39.296812749003983</v>
      </c>
      <c r="N101" s="127">
        <f t="shared" si="289"/>
        <v>52.22883295194508</v>
      </c>
      <c r="O101" s="127">
        <f t="shared" si="289"/>
        <v>65.351724137931043</v>
      </c>
      <c r="P101" s="127">
        <f t="shared" si="289"/>
        <v>49.566115702479337</v>
      </c>
      <c r="Q101" s="127">
        <f t="shared" ref="Q101" si="292">1/Q95</f>
        <v>49.566115702479337</v>
      </c>
      <c r="R101" s="118">
        <f t="shared" si="245"/>
        <v>7.979548731739583E-2</v>
      </c>
      <c r="S101" s="20"/>
      <c r="T101" s="127">
        <f t="shared" ref="T101:AC101" si="293">1/T95</f>
        <v>49.566115702479337</v>
      </c>
      <c r="U101" s="127">
        <f t="shared" si="293"/>
        <v>49.566115702479351</v>
      </c>
      <c r="V101" s="127">
        <f t="shared" si="293"/>
        <v>49.566115702479337</v>
      </c>
      <c r="W101" s="127">
        <f t="shared" si="293"/>
        <v>49.566115702479351</v>
      </c>
      <c r="X101" s="127">
        <f t="shared" si="293"/>
        <v>49.566115702479337</v>
      </c>
      <c r="Y101" s="127">
        <f t="shared" si="293"/>
        <v>49.566115702479337</v>
      </c>
      <c r="Z101" s="127">
        <f t="shared" si="293"/>
        <v>49.566115702479337</v>
      </c>
      <c r="AA101" s="127">
        <f t="shared" si="293"/>
        <v>49.566115702479351</v>
      </c>
      <c r="AB101" s="127">
        <f t="shared" si="293"/>
        <v>49.566115702479351</v>
      </c>
      <c r="AC101" s="127">
        <f t="shared" si="293"/>
        <v>49.566115702479337</v>
      </c>
      <c r="AD101" s="138">
        <f t="shared" si="247"/>
        <v>3.5150934815118662E-2</v>
      </c>
      <c r="AE101" s="146"/>
      <c r="AF101" s="146"/>
    </row>
    <row r="102" spans="2:32" ht="12" customHeight="1">
      <c r="B102" s="20" t="s">
        <v>405</v>
      </c>
      <c r="C102" s="152"/>
      <c r="D102" s="152"/>
      <c r="E102" s="152"/>
      <c r="F102" s="152"/>
      <c r="G102" s="127">
        <f t="shared" si="289"/>
        <v>16.960732984293195</v>
      </c>
      <c r="H102" s="127">
        <f t="shared" si="289"/>
        <v>62.323170731707314</v>
      </c>
      <c r="I102" s="127">
        <f t="shared" si="289"/>
        <v>57.264150943396224</v>
      </c>
      <c r="J102" s="127">
        <f t="shared" si="289"/>
        <v>128.41614906832297</v>
      </c>
      <c r="K102" s="127">
        <f t="shared" si="289"/>
        <v>185.59259259259258</v>
      </c>
      <c r="L102" s="127">
        <f t="shared" si="289"/>
        <v>94.932773109243698</v>
      </c>
      <c r="M102" s="127">
        <f t="shared" si="289"/>
        <v>44.589641434262944</v>
      </c>
      <c r="N102" s="127">
        <f t="shared" si="289"/>
        <v>47.631578947368418</v>
      </c>
      <c r="O102" s="127">
        <f t="shared" si="289"/>
        <v>64.112643678160921</v>
      </c>
      <c r="P102" s="127">
        <f t="shared" si="289"/>
        <v>40.535123966942152</v>
      </c>
      <c r="Q102" s="127">
        <f t="shared" ref="Q102" si="294">1/Q96</f>
        <v>40.535123966942152</v>
      </c>
      <c r="R102" s="118">
        <f t="shared" si="245"/>
        <v>0.10164834820048108</v>
      </c>
      <c r="S102" s="20"/>
      <c r="T102" s="127">
        <f t="shared" ref="T102:AC102" si="295">1/T96</f>
        <v>40.535123966942159</v>
      </c>
      <c r="U102" s="127">
        <f t="shared" si="295"/>
        <v>40.535123966942159</v>
      </c>
      <c r="V102" s="127">
        <f t="shared" si="295"/>
        <v>40.535123966942159</v>
      </c>
      <c r="W102" s="127">
        <f t="shared" si="295"/>
        <v>40.535123966942152</v>
      </c>
      <c r="X102" s="127">
        <f t="shared" si="295"/>
        <v>40.535123966942152</v>
      </c>
      <c r="Y102" s="127">
        <f t="shared" si="295"/>
        <v>40.535123966942152</v>
      </c>
      <c r="Z102" s="127">
        <f t="shared" si="295"/>
        <v>40.535123966942152</v>
      </c>
      <c r="AA102" s="127">
        <f t="shared" si="295"/>
        <v>40.535123966942152</v>
      </c>
      <c r="AB102" s="127">
        <f t="shared" si="295"/>
        <v>40.535123966942159</v>
      </c>
      <c r="AC102" s="127">
        <f t="shared" si="295"/>
        <v>40.535123966942159</v>
      </c>
      <c r="AD102" s="138">
        <f t="shared" si="247"/>
        <v>4.4526215637612498E-2</v>
      </c>
      <c r="AE102" s="146"/>
      <c r="AF102" s="146"/>
    </row>
    <row r="103" spans="2:32" ht="12" customHeight="1">
      <c r="B103" s="20" t="s">
        <v>406</v>
      </c>
      <c r="C103" s="152"/>
      <c r="D103" s="152"/>
      <c r="E103" s="152"/>
      <c r="F103" s="152"/>
      <c r="G103" s="127" t="e">
        <f t="shared" si="289"/>
        <v>#DIV/0!</v>
      </c>
      <c r="H103" s="127" t="e">
        <f t="shared" si="289"/>
        <v>#DIV/0!</v>
      </c>
      <c r="I103" s="127" t="e">
        <f t="shared" si="289"/>
        <v>#DIV/0!</v>
      </c>
      <c r="J103" s="127" t="e">
        <f t="shared" si="289"/>
        <v>#DIV/0!</v>
      </c>
      <c r="K103" s="127" t="e">
        <f t="shared" si="289"/>
        <v>#DIV/0!</v>
      </c>
      <c r="L103" s="127" t="e">
        <f t="shared" si="289"/>
        <v>#DIV/0!</v>
      </c>
      <c r="M103" s="127" t="e">
        <f t="shared" si="289"/>
        <v>#DIV/0!</v>
      </c>
      <c r="N103" s="127" t="e">
        <f t="shared" si="289"/>
        <v>#DIV/0!</v>
      </c>
      <c r="O103" s="127" t="e">
        <f t="shared" si="289"/>
        <v>#DIV/0!</v>
      </c>
      <c r="P103" s="127" t="e">
        <f t="shared" si="289"/>
        <v>#DIV/0!</v>
      </c>
      <c r="Q103" s="127" t="e">
        <f t="shared" ref="Q103" si="296">1/Q97</f>
        <v>#DIV/0!</v>
      </c>
      <c r="R103" s="118" t="e">
        <f t="shared" si="245"/>
        <v>#DIV/0!</v>
      </c>
      <c r="S103" s="20"/>
      <c r="T103" s="127" t="e">
        <f t="shared" ref="T103:AC103" si="297">1/T97</f>
        <v>#DIV/0!</v>
      </c>
      <c r="U103" s="127" t="e">
        <f t="shared" si="297"/>
        <v>#DIV/0!</v>
      </c>
      <c r="V103" s="127" t="e">
        <f t="shared" si="297"/>
        <v>#DIV/0!</v>
      </c>
      <c r="W103" s="127" t="e">
        <f t="shared" si="297"/>
        <v>#DIV/0!</v>
      </c>
      <c r="X103" s="127" t="e">
        <f t="shared" si="297"/>
        <v>#DIV/0!</v>
      </c>
      <c r="Y103" s="127" t="e">
        <f t="shared" si="297"/>
        <v>#DIV/0!</v>
      </c>
      <c r="Z103" s="127" t="e">
        <f t="shared" si="297"/>
        <v>#DIV/0!</v>
      </c>
      <c r="AA103" s="127" t="e">
        <f t="shared" si="297"/>
        <v>#DIV/0!</v>
      </c>
      <c r="AB103" s="127" t="e">
        <f t="shared" si="297"/>
        <v>#DIV/0!</v>
      </c>
      <c r="AC103" s="127" t="e">
        <f t="shared" si="297"/>
        <v>#DIV/0!</v>
      </c>
      <c r="AD103" s="138" t="e">
        <f t="shared" si="247"/>
        <v>#DIV/0!</v>
      </c>
      <c r="AE103" s="146"/>
      <c r="AF103" s="146"/>
    </row>
    <row r="104" spans="2:32" ht="12" customHeight="1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>
      <c r="B106" s="20" t="s">
        <v>326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4773</v>
      </c>
      <c r="H106" s="163">
        <f t="shared" si="298"/>
        <v>-722</v>
      </c>
      <c r="I106" s="163">
        <f t="shared" si="298"/>
        <v>2439</v>
      </c>
      <c r="J106" s="163">
        <f t="shared" si="298"/>
        <v>-22658</v>
      </c>
      <c r="K106" s="163">
        <f t="shared" si="298"/>
        <v>-28592</v>
      </c>
      <c r="L106" s="163">
        <f t="shared" si="298"/>
        <v>-19515</v>
      </c>
      <c r="M106" s="163">
        <f t="shared" si="298"/>
        <v>-3818</v>
      </c>
      <c r="N106" s="163">
        <f t="shared" si="298"/>
        <v>-17854</v>
      </c>
      <c r="O106" s="163">
        <f t="shared" si="298"/>
        <v>-15586</v>
      </c>
      <c r="P106" s="163">
        <f>P10-(P12+P13)</f>
        <v>-1297</v>
      </c>
      <c r="Q106" s="163">
        <f>Q10-(Q12+Q13)</f>
        <v>-1297</v>
      </c>
      <c r="R106" s="118">
        <f t="shared" si="245"/>
        <v>-1.8652221235852489</v>
      </c>
      <c r="S106" s="20"/>
      <c r="T106" s="163">
        <f>T10-(T12+T13)</f>
        <v>-1491.5499999999993</v>
      </c>
      <c r="U106" s="163">
        <f t="shared" ref="U106:AC106" si="299">U10-(U12+U13)</f>
        <v>-1715.2824999999975</v>
      </c>
      <c r="V106" s="163">
        <f t="shared" si="299"/>
        <v>-1972.5748750000021</v>
      </c>
      <c r="W106" s="163">
        <f t="shared" si="299"/>
        <v>-2268.4611062499971</v>
      </c>
      <c r="X106" s="163">
        <f t="shared" si="299"/>
        <v>-2608.7302721874948</v>
      </c>
      <c r="Y106" s="163">
        <f t="shared" si="299"/>
        <v>-3000.0398130156173</v>
      </c>
      <c r="Z106" s="163">
        <f t="shared" si="299"/>
        <v>-3450.0457849679588</v>
      </c>
      <c r="AA106" s="163">
        <f t="shared" si="299"/>
        <v>-3967.5526527131515</v>
      </c>
      <c r="AB106" s="163">
        <f t="shared" si="299"/>
        <v>-4562.6855506201391</v>
      </c>
      <c r="AC106" s="163">
        <f t="shared" si="299"/>
        <v>-5247.0883832131512</v>
      </c>
      <c r="AD106" s="138" t="e">
        <f t="shared" si="247"/>
        <v>#NUM!</v>
      </c>
      <c r="AE106" s="146"/>
      <c r="AF106" s="146"/>
    </row>
    <row r="107" spans="2:32" ht="12" customHeight="1">
      <c r="B107" s="20" t="s">
        <v>321</v>
      </c>
      <c r="C107" s="20"/>
      <c r="D107" s="20"/>
      <c r="E107" s="20"/>
      <c r="F107" s="20"/>
      <c r="G107" s="152">
        <f t="shared" ref="G107:P107" si="300">G40/G18</f>
        <v>0.72075357034336063</v>
      </c>
      <c r="H107" s="152">
        <f t="shared" si="300"/>
        <v>1.1137531640714888</v>
      </c>
      <c r="I107" s="152">
        <f t="shared" si="300"/>
        <v>0.99339320076972415</v>
      </c>
      <c r="J107" s="152">
        <f t="shared" si="300"/>
        <v>0.82886512015557712</v>
      </c>
      <c r="K107" s="152">
        <f t="shared" si="300"/>
        <v>0.92026578073089704</v>
      </c>
      <c r="L107" s="152">
        <f t="shared" si="300"/>
        <v>0.6746045018228034</v>
      </c>
      <c r="M107" s="152">
        <f t="shared" si="300"/>
        <v>0.58167718346405617</v>
      </c>
      <c r="N107" s="152">
        <f t="shared" si="300"/>
        <v>0.6365106810195772</v>
      </c>
      <c r="O107" s="152">
        <f t="shared" si="300"/>
        <v>0.73760410990892811</v>
      </c>
      <c r="P107" s="152">
        <f t="shared" si="300"/>
        <v>0.48855490387748451</v>
      </c>
      <c r="Q107" s="152">
        <f t="shared" ref="Q107" si="301">Q40/Q18</f>
        <v>0.48855490387748451</v>
      </c>
      <c r="R107" s="118">
        <f t="shared" si="245"/>
        <v>-4.2285007632804295E-2</v>
      </c>
      <c r="S107" s="20"/>
      <c r="T107" s="152">
        <f t="shared" ref="T107:AC107" si="302">T40/T18</f>
        <v>0.48855490387748446</v>
      </c>
      <c r="U107" s="152">
        <f t="shared" si="302"/>
        <v>0.48855490387748446</v>
      </c>
      <c r="V107" s="152">
        <f t="shared" si="302"/>
        <v>0.48855490387748446</v>
      </c>
      <c r="W107" s="152">
        <f t="shared" si="302"/>
        <v>0.48855490387748451</v>
      </c>
      <c r="X107" s="152">
        <f t="shared" si="302"/>
        <v>0.48855490387748446</v>
      </c>
      <c r="Y107" s="152">
        <f t="shared" si="302"/>
        <v>0.48855490387748446</v>
      </c>
      <c r="Z107" s="152">
        <f t="shared" si="302"/>
        <v>0.48855490387748451</v>
      </c>
      <c r="AA107" s="152">
        <f t="shared" si="302"/>
        <v>0.48855490387748457</v>
      </c>
      <c r="AB107" s="152">
        <f t="shared" si="302"/>
        <v>0.48855490387748457</v>
      </c>
      <c r="AC107" s="152">
        <f t="shared" si="302"/>
        <v>0.48855490387748457</v>
      </c>
      <c r="AD107" s="138">
        <f t="shared" si="247"/>
        <v>-1.9254489586189139E-2</v>
      </c>
      <c r="AE107" s="20"/>
      <c r="AF107" s="20"/>
    </row>
    <row r="108" spans="2:32">
      <c r="B108" s="20" t="s">
        <v>322</v>
      </c>
      <c r="C108" s="20"/>
      <c r="D108" s="20"/>
      <c r="E108" s="20"/>
      <c r="F108" s="20"/>
      <c r="G108" s="152">
        <f t="shared" ref="G108:P108" si="303">G40/G25</f>
        <v>0.20614435319167426</v>
      </c>
      <c r="H108" s="152">
        <f t="shared" si="303"/>
        <v>0.23566072645827246</v>
      </c>
      <c r="I108" s="152">
        <f t="shared" si="303"/>
        <v>0.20954146315063119</v>
      </c>
      <c r="J108" s="152">
        <f t="shared" si="303"/>
        <v>0.20252978379173409</v>
      </c>
      <c r="K108" s="152">
        <f t="shared" si="303"/>
        <v>0.1999802205409682</v>
      </c>
      <c r="L108" s="152">
        <f t="shared" si="303"/>
        <v>0.18676098852767156</v>
      </c>
      <c r="M108" s="152">
        <f t="shared" si="303"/>
        <v>0.18396560728140854</v>
      </c>
      <c r="N108" s="152">
        <f t="shared" si="303"/>
        <v>0.18296818258339145</v>
      </c>
      <c r="O108" s="152">
        <f t="shared" si="303"/>
        <v>0.18257602517581323</v>
      </c>
      <c r="P108" s="152">
        <f t="shared" si="303"/>
        <v>0.14194174412619148</v>
      </c>
      <c r="Q108" s="152">
        <f t="shared" ref="Q108" si="304">Q40/Q25</f>
        <v>0.14194174412619148</v>
      </c>
      <c r="R108" s="118">
        <f t="shared" si="245"/>
        <v>-4.0614416157227495E-2</v>
      </c>
      <c r="S108" s="20"/>
      <c r="T108" s="152">
        <f t="shared" ref="T108:AC108" si="305">T40/T25</f>
        <v>0.14194174412619148</v>
      </c>
      <c r="U108" s="152">
        <f t="shared" si="305"/>
        <v>0.14194174412619145</v>
      </c>
      <c r="V108" s="152">
        <f t="shared" si="305"/>
        <v>0.14194174412619145</v>
      </c>
      <c r="W108" s="152">
        <f t="shared" si="305"/>
        <v>0.14194174412619148</v>
      </c>
      <c r="X108" s="152">
        <f t="shared" si="305"/>
        <v>0.14194174412619145</v>
      </c>
      <c r="Y108" s="152">
        <f t="shared" si="305"/>
        <v>0.14194174412619145</v>
      </c>
      <c r="Z108" s="152">
        <f t="shared" si="305"/>
        <v>0.14194174412619148</v>
      </c>
      <c r="AA108" s="152">
        <f t="shared" si="305"/>
        <v>0.14194174412619148</v>
      </c>
      <c r="AB108" s="152">
        <f t="shared" si="305"/>
        <v>0.14194174412619145</v>
      </c>
      <c r="AC108" s="152">
        <f t="shared" si="305"/>
        <v>0.14194174412619145</v>
      </c>
      <c r="AD108" s="138">
        <f t="shared" si="247"/>
        <v>-1.8485014389127086E-2</v>
      </c>
      <c r="AE108" s="20"/>
      <c r="AF108" s="20"/>
    </row>
    <row r="109" spans="2:32">
      <c r="B109" s="20" t="s">
        <v>348</v>
      </c>
      <c r="C109" s="20"/>
      <c r="D109" s="20"/>
      <c r="E109" s="152"/>
      <c r="F109" s="152"/>
      <c r="G109" s="152">
        <f t="shared" ref="G109:O109" si="306">G25/G18</f>
        <v>3.4963536918869647</v>
      </c>
      <c r="H109" s="152">
        <f t="shared" si="306"/>
        <v>4.7260872900207103</v>
      </c>
      <c r="I109" s="152">
        <f t="shared" si="306"/>
        <v>4.7407953816549071</v>
      </c>
      <c r="J109" s="152">
        <f t="shared" si="306"/>
        <v>4.0925591517340374</v>
      </c>
      <c r="K109" s="152">
        <f t="shared" si="306"/>
        <v>4.6017840076457475</v>
      </c>
      <c r="L109" s="152">
        <f t="shared" si="306"/>
        <v>3.6121274959028731</v>
      </c>
      <c r="M109" s="152">
        <f t="shared" si="306"/>
        <v>3.1618800495370643</v>
      </c>
      <c r="N109" s="152">
        <f t="shared" si="306"/>
        <v>3.4788052875230076</v>
      </c>
      <c r="O109" s="152">
        <f t="shared" si="306"/>
        <v>4.0399833943073613</v>
      </c>
      <c r="P109" s="152">
        <f>P25/P18</f>
        <v>3.4419395568589115</v>
      </c>
      <c r="Q109" s="152">
        <f>Q25/Q18</f>
        <v>3.4419395568589115</v>
      </c>
      <c r="R109" s="118">
        <f t="shared" si="245"/>
        <v>-1.7413139239442765E-3</v>
      </c>
      <c r="S109" s="20"/>
      <c r="T109" s="152">
        <f>T25/T18</f>
        <v>3.4419395568589115</v>
      </c>
      <c r="U109" s="152">
        <f t="shared" ref="U109:AC109" si="307">U25/U18</f>
        <v>3.4419395568589115</v>
      </c>
      <c r="V109" s="152">
        <f t="shared" si="307"/>
        <v>3.4419395568589115</v>
      </c>
      <c r="W109" s="152">
        <f t="shared" si="307"/>
        <v>3.4419395568589115</v>
      </c>
      <c r="X109" s="152">
        <f t="shared" si="307"/>
        <v>3.4419395568589115</v>
      </c>
      <c r="Y109" s="152">
        <f t="shared" si="307"/>
        <v>3.441939556858912</v>
      </c>
      <c r="Z109" s="152">
        <f t="shared" si="307"/>
        <v>3.4419395568589115</v>
      </c>
      <c r="AA109" s="152">
        <f t="shared" si="307"/>
        <v>3.441939556858912</v>
      </c>
      <c r="AB109" s="152">
        <f t="shared" si="307"/>
        <v>3.4419395568589124</v>
      </c>
      <c r="AC109" s="152">
        <f t="shared" si="307"/>
        <v>3.4419395568589124</v>
      </c>
      <c r="AD109" s="138">
        <f t="shared" si="247"/>
        <v>-7.8396683529302624E-4</v>
      </c>
      <c r="AE109" s="20"/>
      <c r="AF109" s="20"/>
    </row>
    <row r="110" spans="2:3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>
      <c r="B111" s="20" t="s">
        <v>334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3416.3999999999996</v>
      </c>
      <c r="H111" s="165">
        <f t="shared" ref="H111:P111" si="309">H70*H42</f>
        <v>5689.96</v>
      </c>
      <c r="I111" s="165">
        <f t="shared" si="309"/>
        <v>6412.5</v>
      </c>
      <c r="J111" s="165">
        <f t="shared" si="309"/>
        <v>6630.28</v>
      </c>
      <c r="K111" s="165">
        <f t="shared" si="309"/>
        <v>6844.16</v>
      </c>
      <c r="L111" s="165">
        <f t="shared" si="309"/>
        <v>6844.16</v>
      </c>
      <c r="M111" s="165">
        <f t="shared" si="309"/>
        <v>7058.04</v>
      </c>
      <c r="N111" s="165">
        <f t="shared" si="309"/>
        <v>7485.9749999999995</v>
      </c>
      <c r="O111" s="165">
        <f t="shared" si="309"/>
        <v>8341.5149999999994</v>
      </c>
      <c r="P111" s="165">
        <f t="shared" si="309"/>
        <v>8127.6299999999992</v>
      </c>
      <c r="Q111" s="165">
        <f t="shared" ref="Q111" si="310">Q70*Q42</f>
        <v>8127.6299999999992</v>
      </c>
      <c r="R111" s="118">
        <f t="shared" si="245"/>
        <v>0.10108713944976033</v>
      </c>
      <c r="S111" s="20"/>
      <c r="T111" s="165">
        <f t="shared" ref="T111:AC111" si="311">T70*T42</f>
        <v>8619.3516149999996</v>
      </c>
      <c r="U111" s="165">
        <f t="shared" si="311"/>
        <v>9140.8223877074997</v>
      </c>
      <c r="V111" s="165">
        <f t="shared" si="311"/>
        <v>9693.842142163805</v>
      </c>
      <c r="W111" s="165">
        <f t="shared" si="311"/>
        <v>10280.319591764715</v>
      </c>
      <c r="X111" s="165">
        <f t="shared" si="311"/>
        <v>10902.278927066482</v>
      </c>
      <c r="Y111" s="165">
        <f t="shared" si="311"/>
        <v>11561.866802154005</v>
      </c>
      <c r="Z111" s="165">
        <f t="shared" si="311"/>
        <v>12261.359743684321</v>
      </c>
      <c r="AA111" s="165">
        <f t="shared" si="311"/>
        <v>13003.172008177224</v>
      </c>
      <c r="AB111" s="165">
        <f t="shared" si="311"/>
        <v>13789.863914671947</v>
      </c>
      <c r="AC111" s="165">
        <f t="shared" si="311"/>
        <v>14624.1506815096</v>
      </c>
      <c r="AD111" s="138">
        <f t="shared" si="247"/>
        <v>7.5412541679030776E-2</v>
      </c>
      <c r="AE111" s="20"/>
      <c r="AF111" s="20"/>
    </row>
    <row r="112" spans="2:32">
      <c r="B112" s="20" t="s">
        <v>335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3997.1879999999996</v>
      </c>
      <c r="H112" s="165">
        <f t="shared" si="312"/>
        <v>6657.2532000000001</v>
      </c>
      <c r="I112" s="165">
        <f t="shared" si="312"/>
        <v>7502.625</v>
      </c>
      <c r="J112" s="165">
        <f t="shared" si="312"/>
        <v>7757.4276</v>
      </c>
      <c r="K112" s="165">
        <f t="shared" si="312"/>
        <v>8007.6671999999999</v>
      </c>
      <c r="L112" s="165">
        <f t="shared" si="312"/>
        <v>8007.6671999999999</v>
      </c>
      <c r="M112" s="165">
        <f t="shared" si="312"/>
        <v>8257.9068000000007</v>
      </c>
      <c r="N112" s="165">
        <f t="shared" si="312"/>
        <v>8758.5907499999994</v>
      </c>
      <c r="O112" s="165">
        <f t="shared" si="312"/>
        <v>9759.572549999999</v>
      </c>
      <c r="P112" s="165">
        <f t="shared" si="312"/>
        <v>9509.3270999999986</v>
      </c>
      <c r="Q112" s="165">
        <f t="shared" ref="Q112" si="313">(Q111*0.17)+Q111</f>
        <v>9509.3270999999986</v>
      </c>
      <c r="R112" s="118">
        <f t="shared" si="245"/>
        <v>0.10108713944976033</v>
      </c>
      <c r="S112" s="20"/>
      <c r="T112" s="165">
        <f t="shared" ref="T112:AC112" si="314">(T111*0.17)+T111</f>
        <v>10084.641389549999</v>
      </c>
      <c r="U112" s="165">
        <f t="shared" si="314"/>
        <v>10694.762193617775</v>
      </c>
      <c r="V112" s="165">
        <f t="shared" si="314"/>
        <v>11341.795306331653</v>
      </c>
      <c r="W112" s="165">
        <f t="shared" si="314"/>
        <v>12027.973922364718</v>
      </c>
      <c r="X112" s="165">
        <f t="shared" si="314"/>
        <v>12755.666344667783</v>
      </c>
      <c r="Y112" s="165">
        <f t="shared" si="314"/>
        <v>13527.384158520186</v>
      </c>
      <c r="Z112" s="165">
        <f t="shared" si="314"/>
        <v>14345.790900110656</v>
      </c>
      <c r="AA112" s="165">
        <f t="shared" si="314"/>
        <v>15213.711249567352</v>
      </c>
      <c r="AB112" s="165">
        <f t="shared" si="314"/>
        <v>16134.140780166177</v>
      </c>
      <c r="AC112" s="165">
        <f t="shared" si="314"/>
        <v>17110.256297366232</v>
      </c>
      <c r="AD112" s="138">
        <f t="shared" si="247"/>
        <v>7.5412541679030776E-2</v>
      </c>
      <c r="AE112" s="20"/>
      <c r="AF112" s="20"/>
    </row>
    <row r="113" spans="2:32">
      <c r="B113" s="20" t="s">
        <v>336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0.42128878583473856</v>
      </c>
      <c r="H113" s="152">
        <f t="shared" si="315"/>
        <v>0.45848851239669425</v>
      </c>
      <c r="I113" s="152">
        <f t="shared" si="315"/>
        <v>0.48444663265965004</v>
      </c>
      <c r="J113" s="152">
        <f t="shared" si="315"/>
        <v>0.43335163398692811</v>
      </c>
      <c r="K113" s="152">
        <f t="shared" si="315"/>
        <v>0.39600747737500619</v>
      </c>
      <c r="L113" s="152">
        <f t="shared" si="315"/>
        <v>0.39700878532473971</v>
      </c>
      <c r="M113" s="152">
        <f t="shared" si="315"/>
        <v>0.41860935773305624</v>
      </c>
      <c r="N113" s="152">
        <f t="shared" si="315"/>
        <v>0.38374477523659306</v>
      </c>
      <c r="O113" s="152">
        <f t="shared" si="315"/>
        <v>0.34330844765723928</v>
      </c>
      <c r="P113" s="152">
        <f t="shared" si="315"/>
        <v>0.39638712380158392</v>
      </c>
      <c r="Q113" s="152">
        <f t="shared" ref="Q113" si="316">Q112/Q40</f>
        <v>0.39638712380158392</v>
      </c>
      <c r="R113" s="118">
        <f t="shared" si="245"/>
        <v>-6.7468296460911903E-3</v>
      </c>
      <c r="S113" s="20"/>
      <c r="T113" s="152">
        <f t="shared" ref="T113:AC113" si="317">T112/T40</f>
        <v>0.36553786503615637</v>
      </c>
      <c r="U113" s="152">
        <f t="shared" si="317"/>
        <v>0.33708948336595124</v>
      </c>
      <c r="V113" s="152">
        <f t="shared" si="317"/>
        <v>0.31085512792138381</v>
      </c>
      <c r="W113" s="152">
        <f t="shared" si="317"/>
        <v>0.2866624897048935</v>
      </c>
      <c r="X113" s="152">
        <f t="shared" si="317"/>
        <v>0.26435266985394745</v>
      </c>
      <c r="Y113" s="152">
        <f t="shared" si="317"/>
        <v>0.24377913598270556</v>
      </c>
      <c r="Z113" s="152">
        <f t="shared" si="317"/>
        <v>0.22480675974752976</v>
      </c>
      <c r="AA113" s="152">
        <f t="shared" si="317"/>
        <v>0.20731092931500464</v>
      </c>
      <c r="AB113" s="152">
        <f t="shared" si="317"/>
        <v>0.19117673090309778</v>
      </c>
      <c r="AC113" s="152">
        <f t="shared" si="317"/>
        <v>0.17629819401976976</v>
      </c>
      <c r="AD113" s="138">
        <f t="shared" si="247"/>
        <v>-4.2622099628888743E-2</v>
      </c>
      <c r="AE113" s="20"/>
      <c r="AF113" s="20"/>
    </row>
    <row r="114" spans="2:3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0.5787112141652615</v>
      </c>
      <c r="H114" s="152">
        <f t="shared" ref="H114:P114" si="318">1-H113</f>
        <v>0.54151148760330581</v>
      </c>
      <c r="I114" s="152">
        <f t="shared" si="318"/>
        <v>0.51555336734034996</v>
      </c>
      <c r="J114" s="152">
        <f t="shared" si="318"/>
        <v>0.56664836601307189</v>
      </c>
      <c r="K114" s="152">
        <f t="shared" si="318"/>
        <v>0.60399252262499381</v>
      </c>
      <c r="L114" s="152">
        <f t="shared" si="318"/>
        <v>0.60299121467526029</v>
      </c>
      <c r="M114" s="152">
        <f t="shared" si="318"/>
        <v>0.5813906422669437</v>
      </c>
      <c r="N114" s="152">
        <f t="shared" si="318"/>
        <v>0.61625522476340699</v>
      </c>
      <c r="O114" s="152">
        <f t="shared" si="318"/>
        <v>0.65669155234276078</v>
      </c>
      <c r="P114" s="152">
        <f t="shared" si="318"/>
        <v>0.60361287619841608</v>
      </c>
      <c r="Q114" s="152">
        <f t="shared" ref="Q114" si="319">1-Q113</f>
        <v>0.60361287619841608</v>
      </c>
      <c r="R114" s="118">
        <f t="shared" si="245"/>
        <v>4.6920257315439251E-3</v>
      </c>
      <c r="S114" s="20"/>
      <c r="T114" s="152">
        <f t="shared" ref="T114:AC114" si="320">1-T113</f>
        <v>0.63446213496384363</v>
      </c>
      <c r="U114" s="152">
        <f t="shared" si="320"/>
        <v>0.66291051663404876</v>
      </c>
      <c r="V114" s="152">
        <f t="shared" si="320"/>
        <v>0.68914487207861619</v>
      </c>
      <c r="W114" s="152">
        <f t="shared" si="320"/>
        <v>0.7133375102951065</v>
      </c>
      <c r="X114" s="152">
        <f t="shared" si="320"/>
        <v>0.73564733014605255</v>
      </c>
      <c r="Y114" s="152">
        <f t="shared" si="320"/>
        <v>0.75622086401729449</v>
      </c>
      <c r="Z114" s="152">
        <f t="shared" si="320"/>
        <v>0.77519324025247027</v>
      </c>
      <c r="AA114" s="152">
        <f t="shared" si="320"/>
        <v>0.79268907068499539</v>
      </c>
      <c r="AB114" s="152">
        <f t="shared" si="320"/>
        <v>0.80882326909690216</v>
      </c>
      <c r="AC114" s="152">
        <f t="shared" si="320"/>
        <v>0.82370180598023024</v>
      </c>
      <c r="AD114" s="138">
        <f t="shared" si="247"/>
        <v>1.7806935741380814E-2</v>
      </c>
      <c r="AE114" s="20"/>
      <c r="AF114" s="20"/>
    </row>
    <row r="115" spans="2:3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52"/>
      <c r="R115" s="128"/>
      <c r="S115" s="20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52"/>
      <c r="AD115" s="128"/>
      <c r="AE115" s="20"/>
      <c r="AF115" s="20"/>
    </row>
    <row r="116" spans="2:32">
      <c r="B116" s="20" t="s">
        <v>333</v>
      </c>
      <c r="C116" s="152"/>
      <c r="D116" s="152"/>
      <c r="E116" s="152"/>
      <c r="F116" s="152" t="e">
        <f>F31/F25</f>
        <v>#DIV/0!</v>
      </c>
      <c r="G116" s="152">
        <f>G31/G25</f>
        <v>0</v>
      </c>
      <c r="H116" s="152">
        <f t="shared" ref="H116:P116" si="321">H31/H25</f>
        <v>0</v>
      </c>
      <c r="I116" s="152">
        <f t="shared" si="321"/>
        <v>0</v>
      </c>
      <c r="J116" s="152">
        <f t="shared" si="321"/>
        <v>0</v>
      </c>
      <c r="K116" s="152">
        <f t="shared" si="321"/>
        <v>0</v>
      </c>
      <c r="L116" s="152">
        <f t="shared" si="321"/>
        <v>0</v>
      </c>
      <c r="M116" s="152">
        <f t="shared" si="321"/>
        <v>0</v>
      </c>
      <c r="N116" s="152">
        <f t="shared" si="321"/>
        <v>0</v>
      </c>
      <c r="O116" s="152">
        <f t="shared" si="321"/>
        <v>0</v>
      </c>
      <c r="P116" s="152">
        <f t="shared" si="321"/>
        <v>0</v>
      </c>
      <c r="Q116" s="152">
        <f t="shared" ref="Q116" si="322">Q31/Q25</f>
        <v>0</v>
      </c>
      <c r="R116" s="118" t="e">
        <f t="shared" si="245"/>
        <v>#DIV/0!</v>
      </c>
      <c r="S116" s="20"/>
      <c r="T116" s="152">
        <f t="shared" ref="T116:AC116" si="323">T31/T25</f>
        <v>0</v>
      </c>
      <c r="U116" s="152">
        <f t="shared" si="323"/>
        <v>0</v>
      </c>
      <c r="V116" s="152">
        <f t="shared" si="323"/>
        <v>0</v>
      </c>
      <c r="W116" s="152">
        <f t="shared" si="323"/>
        <v>0</v>
      </c>
      <c r="X116" s="152">
        <f t="shared" si="323"/>
        <v>0</v>
      </c>
      <c r="Y116" s="152">
        <f t="shared" si="323"/>
        <v>0</v>
      </c>
      <c r="Z116" s="152">
        <f t="shared" si="323"/>
        <v>0</v>
      </c>
      <c r="AA116" s="152">
        <f t="shared" si="323"/>
        <v>0</v>
      </c>
      <c r="AB116" s="152">
        <f t="shared" si="323"/>
        <v>0</v>
      </c>
      <c r="AC116" s="152">
        <f t="shared" si="323"/>
        <v>0</v>
      </c>
      <c r="AD116" s="138" t="e">
        <f t="shared" si="247"/>
        <v>#DIV/0!</v>
      </c>
      <c r="AE116" s="20"/>
      <c r="AF116" s="20"/>
    </row>
    <row r="117" spans="2:32">
      <c r="B117" s="20" t="s">
        <v>330</v>
      </c>
      <c r="C117" s="152"/>
      <c r="D117" s="152"/>
      <c r="E117" s="152"/>
      <c r="F117" s="152" t="e">
        <f>F32/F25</f>
        <v>#DIV/0!</v>
      </c>
      <c r="G117" s="152">
        <f>G32/G25</f>
        <v>0</v>
      </c>
      <c r="H117" s="152">
        <f t="shared" ref="H117:P117" si="324">H32/H25</f>
        <v>0</v>
      </c>
      <c r="I117" s="152">
        <f t="shared" si="324"/>
        <v>0</v>
      </c>
      <c r="J117" s="152">
        <f t="shared" si="324"/>
        <v>0</v>
      </c>
      <c r="K117" s="152">
        <f t="shared" si="324"/>
        <v>0</v>
      </c>
      <c r="L117" s="152">
        <f t="shared" si="324"/>
        <v>0</v>
      </c>
      <c r="M117" s="152">
        <f t="shared" si="324"/>
        <v>0</v>
      </c>
      <c r="N117" s="152">
        <f t="shared" si="324"/>
        <v>0</v>
      </c>
      <c r="O117" s="152">
        <f t="shared" si="324"/>
        <v>0</v>
      </c>
      <c r="P117" s="152">
        <f t="shared" si="324"/>
        <v>0</v>
      </c>
      <c r="Q117" s="152">
        <f t="shared" ref="Q117" si="325">Q32/Q25</f>
        <v>0</v>
      </c>
      <c r="R117" s="118" t="e">
        <f t="shared" si="245"/>
        <v>#DIV/0!</v>
      </c>
      <c r="S117" s="20"/>
      <c r="T117" s="152">
        <f t="shared" ref="T117:AC117" si="326">T32/T25</f>
        <v>0</v>
      </c>
      <c r="U117" s="152">
        <f t="shared" si="326"/>
        <v>0</v>
      </c>
      <c r="V117" s="152">
        <f t="shared" si="326"/>
        <v>0</v>
      </c>
      <c r="W117" s="152">
        <f t="shared" si="326"/>
        <v>0</v>
      </c>
      <c r="X117" s="152">
        <f t="shared" si="326"/>
        <v>0</v>
      </c>
      <c r="Y117" s="152">
        <f t="shared" si="326"/>
        <v>0</v>
      </c>
      <c r="Z117" s="152">
        <f t="shared" si="326"/>
        <v>0</v>
      </c>
      <c r="AA117" s="152">
        <f t="shared" si="326"/>
        <v>0</v>
      </c>
      <c r="AB117" s="152">
        <f t="shared" si="326"/>
        <v>0</v>
      </c>
      <c r="AC117" s="152">
        <f t="shared" si="326"/>
        <v>0</v>
      </c>
      <c r="AD117" s="138" t="e">
        <f t="shared" si="247"/>
        <v>#DIV/0!</v>
      </c>
      <c r="AE117" s="20"/>
      <c r="AF117" s="20"/>
    </row>
    <row r="118" spans="2:32">
      <c r="B118" s="20"/>
      <c r="C118" s="20"/>
      <c r="D118" s="20"/>
      <c r="E118" s="20"/>
      <c r="F118" s="20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Q118" s="152"/>
      <c r="R118" s="128"/>
      <c r="S118" s="20"/>
      <c r="T118" s="152"/>
      <c r="U118" s="152"/>
      <c r="V118" s="152"/>
      <c r="W118" s="152"/>
      <c r="X118" s="152"/>
      <c r="Y118" s="152"/>
      <c r="Z118" s="152"/>
      <c r="AA118" s="152"/>
      <c r="AB118" s="152"/>
      <c r="AC118" s="152"/>
      <c r="AD118" s="128"/>
      <c r="AE118" s="20"/>
      <c r="AF118" s="20"/>
    </row>
    <row r="119" spans="2:32">
      <c r="B119" s="20" t="s">
        <v>354</v>
      </c>
      <c r="C119" s="20"/>
      <c r="D119" s="20"/>
      <c r="E119" s="20"/>
      <c r="F119" s="20"/>
      <c r="G119" s="152">
        <f>G27/G25</f>
        <v>0.52548559509842263</v>
      </c>
      <c r="H119" s="152">
        <f t="shared" ref="H119:P119" si="327">H27/H25</f>
        <v>0.51527250300256433</v>
      </c>
      <c r="I119" s="152">
        <f t="shared" si="327"/>
        <v>0.53552341392793845</v>
      </c>
      <c r="J119" s="152">
        <f t="shared" si="327"/>
        <v>0.53722832543247312</v>
      </c>
      <c r="K119" s="152">
        <f t="shared" si="327"/>
        <v>0.55665331553182018</v>
      </c>
      <c r="L119" s="152">
        <f t="shared" si="327"/>
        <v>0.56878304428744708</v>
      </c>
      <c r="M119" s="152">
        <f t="shared" si="327"/>
        <v>0.53880371530886306</v>
      </c>
      <c r="N119" s="152">
        <f t="shared" si="327"/>
        <v>0.55598310125618267</v>
      </c>
      <c r="O119" s="152">
        <f t="shared" si="327"/>
        <v>0.57187630455027139</v>
      </c>
      <c r="P119" s="152">
        <f t="shared" si="327"/>
        <v>0.64283220817333575</v>
      </c>
      <c r="Q119" s="152">
        <f t="shared" ref="Q119" si="328">Q27/Q25</f>
        <v>0.64283220817333575</v>
      </c>
      <c r="R119" s="118">
        <f t="shared" si="245"/>
        <v>2.2648327803468149E-2</v>
      </c>
      <c r="S119" s="20"/>
      <c r="T119" s="152">
        <f t="shared" ref="T119:AC119" si="329">T27/T25</f>
        <v>0.64283220817333575</v>
      </c>
      <c r="U119" s="152">
        <f t="shared" si="329"/>
        <v>0.64283220817333575</v>
      </c>
      <c r="V119" s="152">
        <f t="shared" si="329"/>
        <v>0.64283220817333575</v>
      </c>
      <c r="W119" s="152">
        <f t="shared" si="329"/>
        <v>0.64283220817333575</v>
      </c>
      <c r="X119" s="152">
        <f t="shared" si="329"/>
        <v>0.64283220817333575</v>
      </c>
      <c r="Y119" s="152">
        <f t="shared" si="329"/>
        <v>0.64283220817333575</v>
      </c>
      <c r="Z119" s="152">
        <f t="shared" si="329"/>
        <v>0.64283220817333575</v>
      </c>
      <c r="AA119" s="152">
        <f t="shared" si="329"/>
        <v>0.64283220817333575</v>
      </c>
      <c r="AB119" s="152">
        <f t="shared" si="329"/>
        <v>0.64283220817333575</v>
      </c>
      <c r="AC119" s="152">
        <f t="shared" si="329"/>
        <v>0.64283220817333575</v>
      </c>
      <c r="AD119" s="138">
        <f t="shared" si="247"/>
        <v>1.0129002582556001E-2</v>
      </c>
      <c r="AE119" s="20"/>
      <c r="AF119" s="20"/>
    </row>
    <row r="120" spans="2:32">
      <c r="B120" s="20" t="str">
        <f>B33</f>
        <v>Top Expenses ( Raw material )</v>
      </c>
      <c r="C120" s="20"/>
      <c r="D120" s="20"/>
      <c r="E120" s="20"/>
      <c r="F120" s="20"/>
      <c r="G120" s="152">
        <f>G33/G25</f>
        <v>0.16414635206187808</v>
      </c>
      <c r="H120" s="152">
        <f t="shared" ref="H120:P120" si="330">H33/H25</f>
        <v>0.1730937773882559</v>
      </c>
      <c r="I120" s="152">
        <f t="shared" si="330"/>
        <v>0.22967432924271738</v>
      </c>
      <c r="J120" s="152">
        <f t="shared" si="330"/>
        <v>0.2177243259755394</v>
      </c>
      <c r="K120" s="152">
        <f t="shared" si="330"/>
        <v>0.24902338921030509</v>
      </c>
      <c r="L120" s="152">
        <f t="shared" si="330"/>
        <v>0.26509504717636273</v>
      </c>
      <c r="M120" s="152">
        <f t="shared" si="330"/>
        <v>0.23976984482244107</v>
      </c>
      <c r="N120" s="152">
        <f t="shared" si="330"/>
        <v>0.25767377728610025</v>
      </c>
      <c r="O120" s="152">
        <f t="shared" si="330"/>
        <v>0.30048489130085737</v>
      </c>
      <c r="P120" s="152">
        <f t="shared" si="330"/>
        <v>0.36523817694496874</v>
      </c>
      <c r="Q120" s="152">
        <f t="shared" ref="Q120" si="331">Q33/Q25</f>
        <v>0.36523817694496874</v>
      </c>
      <c r="R120" s="118">
        <f t="shared" si="245"/>
        <v>9.2933860575076244E-2</v>
      </c>
      <c r="S120" s="20"/>
      <c r="T120" s="152">
        <f t="shared" ref="T120:AC120" si="332">T33/T25</f>
        <v>0.36523817694496874</v>
      </c>
      <c r="U120" s="152">
        <f t="shared" si="332"/>
        <v>0.36523817694496874</v>
      </c>
      <c r="V120" s="152">
        <f t="shared" si="332"/>
        <v>0.36523817694496868</v>
      </c>
      <c r="W120" s="152">
        <f t="shared" si="332"/>
        <v>0.36523817694496868</v>
      </c>
      <c r="X120" s="152">
        <f t="shared" si="332"/>
        <v>0.36523817694496868</v>
      </c>
      <c r="Y120" s="152">
        <f t="shared" si="332"/>
        <v>0.36523817694496874</v>
      </c>
      <c r="Z120" s="152">
        <f t="shared" si="332"/>
        <v>0.36523817694496874</v>
      </c>
      <c r="AA120" s="152">
        <f t="shared" si="332"/>
        <v>0.36523817694496874</v>
      </c>
      <c r="AB120" s="152">
        <f t="shared" si="332"/>
        <v>0.36523817694496874</v>
      </c>
      <c r="AC120" s="152">
        <f t="shared" si="332"/>
        <v>0.36523817694496874</v>
      </c>
      <c r="AD120" s="138">
        <f t="shared" si="247"/>
        <v>4.0799911298946778E-2</v>
      </c>
      <c r="AE120" s="20"/>
      <c r="AF120" s="20"/>
    </row>
    <row r="121" spans="2:32">
      <c r="B121" s="20" t="str">
        <f>B34</f>
        <v>2nd highest Expenses Comp. ( Empl )</v>
      </c>
      <c r="C121" s="20"/>
      <c r="D121" s="20"/>
      <c r="E121" s="20"/>
      <c r="F121" s="20"/>
      <c r="G121" s="152">
        <f>G34/G25</f>
        <v>2.1531308390909484E-2</v>
      </c>
      <c r="H121" s="152">
        <f t="shared" ref="H121:P121" si="333">H34/H25</f>
        <v>1.7333722855195247E-2</v>
      </c>
      <c r="I121" s="152">
        <f t="shared" si="333"/>
        <v>1.8495717706909848E-2</v>
      </c>
      <c r="J121" s="152">
        <f t="shared" si="333"/>
        <v>2.6927036781427133E-2</v>
      </c>
      <c r="K121" s="152">
        <f t="shared" si="333"/>
        <v>1.3133560797112198E-2</v>
      </c>
      <c r="L121" s="152">
        <f t="shared" si="333"/>
        <v>1.0759358882952619E-2</v>
      </c>
      <c r="M121" s="152">
        <f t="shared" si="333"/>
        <v>1.3121083258728738E-2</v>
      </c>
      <c r="N121" s="152">
        <f t="shared" si="333"/>
        <v>1.3740249953905229E-2</v>
      </c>
      <c r="O121" s="152">
        <f t="shared" si="333"/>
        <v>1.0885970264281815E-2</v>
      </c>
      <c r="P121" s="152">
        <f t="shared" si="333"/>
        <v>1.4543259985918242E-2</v>
      </c>
      <c r="Q121" s="152">
        <f t="shared" ref="Q121" si="334">Q34/Q25</f>
        <v>1.4543259985918242E-2</v>
      </c>
      <c r="R121" s="118">
        <f t="shared" si="245"/>
        <v>-4.2661102171893894E-2</v>
      </c>
      <c r="S121" s="20"/>
      <c r="T121" s="152">
        <f t="shared" ref="T121:AC121" si="335">T34/T25</f>
        <v>1.4543259985918244E-2</v>
      </c>
      <c r="U121" s="152">
        <f t="shared" si="335"/>
        <v>1.4543259985918242E-2</v>
      </c>
      <c r="V121" s="152">
        <f t="shared" si="335"/>
        <v>1.4543259985918242E-2</v>
      </c>
      <c r="W121" s="152">
        <f t="shared" si="335"/>
        <v>1.4543259985918244E-2</v>
      </c>
      <c r="X121" s="152">
        <f t="shared" si="335"/>
        <v>1.4543259985918242E-2</v>
      </c>
      <c r="Y121" s="152">
        <f t="shared" si="335"/>
        <v>1.4543259985918242E-2</v>
      </c>
      <c r="Z121" s="152">
        <f t="shared" si="335"/>
        <v>1.4543259985918242E-2</v>
      </c>
      <c r="AA121" s="152">
        <f t="shared" si="335"/>
        <v>1.4543259985918242E-2</v>
      </c>
      <c r="AB121" s="152">
        <f t="shared" si="335"/>
        <v>1.4543259985918242E-2</v>
      </c>
      <c r="AC121" s="152">
        <f t="shared" si="335"/>
        <v>1.454325998591824E-2</v>
      </c>
      <c r="AD121" s="138">
        <f t="shared" si="247"/>
        <v>-1.9427820685506858E-2</v>
      </c>
      <c r="AE121" s="20"/>
      <c r="AF121" s="20"/>
    </row>
    <row r="122" spans="2:3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128"/>
      <c r="S122" s="128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39"/>
      <c r="AE122" s="20"/>
      <c r="AF122" s="20"/>
    </row>
    <row r="123" spans="2:32">
      <c r="B123" s="108" t="s">
        <v>362</v>
      </c>
      <c r="C123" s="20"/>
      <c r="D123" s="20"/>
      <c r="E123" s="20"/>
      <c r="F123" s="20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118"/>
      <c r="S123" s="128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138"/>
      <c r="AE123" s="20"/>
      <c r="AF123" s="20"/>
    </row>
    <row r="124" spans="2:32">
      <c r="B124" s="20" t="s">
        <v>365</v>
      </c>
      <c r="C124" s="20"/>
      <c r="D124" s="20"/>
      <c r="E124" s="20"/>
      <c r="F124" s="20"/>
      <c r="G124" s="25">
        <f>G15/G9</f>
        <v>1.1740784349243727</v>
      </c>
      <c r="H124" s="25">
        <f t="shared" ref="H124:AC124" si="336">H15/H9</f>
        <v>0.53506194180351485</v>
      </c>
      <c r="I124" s="25">
        <f t="shared" si="336"/>
        <v>0.48871005917159765</v>
      </c>
      <c r="J124" s="25">
        <f t="shared" si="336"/>
        <v>0.3050556282722513</v>
      </c>
      <c r="K124" s="25">
        <f t="shared" si="336"/>
        <v>0.39196686723450808</v>
      </c>
      <c r="L124" s="25">
        <f t="shared" si="336"/>
        <v>0.28836749169373205</v>
      </c>
      <c r="M124" s="25">
        <f t="shared" si="336"/>
        <v>0.41588935348986811</v>
      </c>
      <c r="N124" s="25">
        <f t="shared" si="336"/>
        <v>0.86692953278851026</v>
      </c>
      <c r="O124" s="25">
        <f t="shared" si="336"/>
        <v>1.0300197138563036</v>
      </c>
      <c r="P124" s="25">
        <f t="shared" si="336"/>
        <v>0.91584110985494471</v>
      </c>
      <c r="Q124" s="25">
        <f t="shared" ref="Q124" si="337">Q15/Q9</f>
        <v>0.91584110985494471</v>
      </c>
      <c r="R124" s="118">
        <f t="shared" si="245"/>
        <v>-2.7222158990194201E-2</v>
      </c>
      <c r="S124" s="20"/>
      <c r="T124" s="20">
        <f t="shared" si="336"/>
        <v>0.91584110985494471</v>
      </c>
      <c r="U124" s="20">
        <f t="shared" si="336"/>
        <v>0.9158411098549446</v>
      </c>
      <c r="V124" s="20">
        <f t="shared" si="336"/>
        <v>0.9158411098549446</v>
      </c>
      <c r="W124" s="20">
        <f t="shared" si="336"/>
        <v>0.91584110985494471</v>
      </c>
      <c r="X124" s="20">
        <f t="shared" si="336"/>
        <v>0.9158411098549446</v>
      </c>
      <c r="Y124" s="20">
        <f t="shared" si="336"/>
        <v>0.9158411098549446</v>
      </c>
      <c r="Z124" s="20">
        <f t="shared" si="336"/>
        <v>0.9158411098549446</v>
      </c>
      <c r="AA124" s="20">
        <f t="shared" si="336"/>
        <v>0.91584110985494449</v>
      </c>
      <c r="AB124" s="20">
        <f t="shared" si="336"/>
        <v>0.91584110985494449</v>
      </c>
      <c r="AC124" s="20">
        <f t="shared" si="336"/>
        <v>0.91584110985494438</v>
      </c>
      <c r="AD124" s="138">
        <f t="shared" si="247"/>
        <v>-1.2342988608725292E-2</v>
      </c>
      <c r="AE124" s="20"/>
      <c r="AF124" s="20"/>
    </row>
    <row r="125" spans="2:32">
      <c r="B125" s="20" t="s">
        <v>355</v>
      </c>
      <c r="C125" s="20"/>
      <c r="D125" s="20"/>
      <c r="E125" s="20"/>
      <c r="F125" s="20"/>
      <c r="G125" s="25">
        <f>G12/G9</f>
        <v>0.58681278869667608</v>
      </c>
      <c r="H125" s="25">
        <f t="shared" ref="H125:P125" si="338">H12/H9</f>
        <v>0.58893690579083835</v>
      </c>
      <c r="I125" s="25">
        <f t="shared" si="338"/>
        <v>0.43100591715976333</v>
      </c>
      <c r="J125" s="25">
        <f t="shared" si="338"/>
        <v>0.56378163176265272</v>
      </c>
      <c r="K125" s="25">
        <f t="shared" si="338"/>
        <v>0.65262691776718507</v>
      </c>
      <c r="L125" s="25">
        <f t="shared" si="338"/>
        <v>0.42173442341434275</v>
      </c>
      <c r="M125" s="25">
        <f t="shared" si="338"/>
        <v>0.55382636019496745</v>
      </c>
      <c r="N125" s="25">
        <f t="shared" si="338"/>
        <v>0.45851047426041369</v>
      </c>
      <c r="O125" s="25">
        <f t="shared" si="338"/>
        <v>0.54435617668299729</v>
      </c>
      <c r="P125" s="25">
        <f t="shared" si="338"/>
        <v>0.37593653591890702</v>
      </c>
      <c r="Q125" s="25">
        <f t="shared" ref="Q125" si="339">Q12/Q9</f>
        <v>0.37593653591890702</v>
      </c>
      <c r="R125" s="118">
        <f t="shared" si="245"/>
        <v>-4.8272159107090928E-2</v>
      </c>
      <c r="S125" s="128"/>
      <c r="T125" s="20">
        <f t="shared" ref="T125:AC125" si="340">T12/T9</f>
        <v>0.37593653591890702</v>
      </c>
      <c r="U125" s="20">
        <f t="shared" si="340"/>
        <v>0.37593653591890697</v>
      </c>
      <c r="V125" s="20">
        <f t="shared" si="340"/>
        <v>0.37593653591890697</v>
      </c>
      <c r="W125" s="20">
        <f t="shared" si="340"/>
        <v>0.37593653591890691</v>
      </c>
      <c r="X125" s="20">
        <f t="shared" si="340"/>
        <v>0.37593653591890686</v>
      </c>
      <c r="Y125" s="20">
        <f t="shared" si="340"/>
        <v>0.37593653591890691</v>
      </c>
      <c r="Z125" s="20">
        <f t="shared" si="340"/>
        <v>0.37593653591890691</v>
      </c>
      <c r="AA125" s="20">
        <f t="shared" si="340"/>
        <v>0.37593653591890691</v>
      </c>
      <c r="AB125" s="20">
        <f t="shared" si="340"/>
        <v>0.37593653591890691</v>
      </c>
      <c r="AC125" s="20">
        <f t="shared" si="340"/>
        <v>0.37593653591890691</v>
      </c>
      <c r="AD125" s="118">
        <f t="shared" ref="AD125" si="341">((AC125/T125)^(1/($H$2-$H$1) ))-1</f>
        <v>0</v>
      </c>
      <c r="AE125" s="20"/>
      <c r="AF125" s="20"/>
    </row>
    <row r="126" spans="2:32">
      <c r="B126" s="20" t="s">
        <v>357</v>
      </c>
      <c r="C126" s="20"/>
      <c r="D126" s="20"/>
      <c r="E126" s="20"/>
      <c r="F126" s="20"/>
      <c r="G126" s="25">
        <f>G25/360</f>
        <v>127.85</v>
      </c>
      <c r="H126" s="25">
        <f t="shared" ref="H126:P126" si="342">H25/360</f>
        <v>171.15</v>
      </c>
      <c r="I126" s="25">
        <f t="shared" si="342"/>
        <v>205.30277777777778</v>
      </c>
      <c r="J126" s="25">
        <f t="shared" si="342"/>
        <v>245.51944444444445</v>
      </c>
      <c r="K126" s="25">
        <f t="shared" si="342"/>
        <v>280.875</v>
      </c>
      <c r="L126" s="25">
        <f t="shared" si="342"/>
        <v>299.99722222222221</v>
      </c>
      <c r="M126" s="25">
        <f t="shared" si="342"/>
        <v>297.86666666666667</v>
      </c>
      <c r="N126" s="25">
        <f t="shared" si="342"/>
        <v>346.50833333333333</v>
      </c>
      <c r="O126" s="25">
        <f t="shared" si="342"/>
        <v>432.51388888888891</v>
      </c>
      <c r="P126" s="25">
        <f t="shared" si="342"/>
        <v>469.48055555555555</v>
      </c>
      <c r="Q126" s="25">
        <f t="shared" ref="Q126" si="343">Q25/360</f>
        <v>469.48055555555555</v>
      </c>
      <c r="R126" s="118">
        <f t="shared" si="245"/>
        <v>0.15549625416339041</v>
      </c>
      <c r="S126" s="128"/>
      <c r="T126" s="25">
        <f t="shared" ref="T126:AC126" si="344">T25/360</f>
        <v>539.90263888888887</v>
      </c>
      <c r="U126" s="25">
        <f t="shared" si="344"/>
        <v>620.88803472222219</v>
      </c>
      <c r="V126" s="25">
        <f t="shared" si="344"/>
        <v>714.02123993055545</v>
      </c>
      <c r="W126" s="25">
        <f t="shared" si="344"/>
        <v>821.12442592013861</v>
      </c>
      <c r="X126" s="25">
        <f t="shared" si="344"/>
        <v>944.29308980815938</v>
      </c>
      <c r="Y126" s="25">
        <f t="shared" si="344"/>
        <v>1085.9370532793832</v>
      </c>
      <c r="Z126" s="25">
        <f t="shared" si="344"/>
        <v>1248.8276112712906</v>
      </c>
      <c r="AA126" s="25">
        <f t="shared" si="344"/>
        <v>1436.1517529619839</v>
      </c>
      <c r="AB126" s="25">
        <f t="shared" si="344"/>
        <v>1651.5745159062815</v>
      </c>
      <c r="AC126" s="25">
        <f t="shared" si="344"/>
        <v>1899.3106932922237</v>
      </c>
      <c r="AD126" s="118">
        <f t="shared" ref="AD126:AD137" si="345">((AC126/T126)^(1/($H$2-$H$1) ))-1</f>
        <v>0.14999999999999991</v>
      </c>
      <c r="AE126" s="20"/>
      <c r="AF126" s="20"/>
    </row>
    <row r="127" spans="2:32">
      <c r="B127" s="20" t="s">
        <v>356</v>
      </c>
      <c r="C127" s="20"/>
      <c r="D127" s="20"/>
      <c r="E127" s="20"/>
      <c r="F127" s="20"/>
      <c r="G127" s="25">
        <f>G27/360</f>
        <v>67.183333333333337</v>
      </c>
      <c r="H127" s="25">
        <f t="shared" ref="H127:P127" si="346">H27/360</f>
        <v>88.188888888888883</v>
      </c>
      <c r="I127" s="25">
        <f t="shared" si="346"/>
        <v>109.94444444444444</v>
      </c>
      <c r="J127" s="25">
        <f t="shared" si="346"/>
        <v>131.9</v>
      </c>
      <c r="K127" s="25">
        <f t="shared" si="346"/>
        <v>156.35</v>
      </c>
      <c r="L127" s="25">
        <f t="shared" si="346"/>
        <v>170.63333333333333</v>
      </c>
      <c r="M127" s="25">
        <f t="shared" si="346"/>
        <v>160.49166666666667</v>
      </c>
      <c r="N127" s="25">
        <f t="shared" si="346"/>
        <v>192.65277777777777</v>
      </c>
      <c r="O127" s="25">
        <f t="shared" si="346"/>
        <v>247.34444444444443</v>
      </c>
      <c r="P127" s="25">
        <f t="shared" si="346"/>
        <v>301.79722222222222</v>
      </c>
      <c r="Q127" s="25">
        <f t="shared" ref="Q127" si="347">Q27/360</f>
        <v>301.79722222222222</v>
      </c>
      <c r="R127" s="118">
        <f t="shared" si="245"/>
        <v>0.18166631210336237</v>
      </c>
      <c r="S127" s="128"/>
      <c r="T127" s="25">
        <f t="shared" ref="T127:AC127" si="348">T27/360</f>
        <v>347.0668055555555</v>
      </c>
      <c r="U127" s="25">
        <f t="shared" si="348"/>
        <v>399.12682638888879</v>
      </c>
      <c r="V127" s="25">
        <f t="shared" si="348"/>
        <v>458.99585034722207</v>
      </c>
      <c r="W127" s="25">
        <f t="shared" si="348"/>
        <v>527.84522789930531</v>
      </c>
      <c r="X127" s="25">
        <f t="shared" si="348"/>
        <v>607.02201208420115</v>
      </c>
      <c r="Y127" s="25">
        <f t="shared" si="348"/>
        <v>698.07531389683129</v>
      </c>
      <c r="Z127" s="25">
        <f t="shared" si="348"/>
        <v>802.78661098135592</v>
      </c>
      <c r="AA127" s="25">
        <f t="shared" si="348"/>
        <v>923.2046026285592</v>
      </c>
      <c r="AB127" s="25">
        <f t="shared" si="348"/>
        <v>1061.6852930228429</v>
      </c>
      <c r="AC127" s="25">
        <f t="shared" si="348"/>
        <v>1220.9380869762695</v>
      </c>
      <c r="AD127" s="118">
        <f t="shared" si="345"/>
        <v>0.14999999999999991</v>
      </c>
      <c r="AE127" s="20"/>
      <c r="AF127" s="20"/>
    </row>
    <row r="128" spans="2:3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28"/>
      <c r="AE128" s="20"/>
      <c r="AF128" s="20"/>
    </row>
    <row r="129" spans="2:32">
      <c r="B129" s="20" t="s">
        <v>366</v>
      </c>
      <c r="C129" s="20"/>
      <c r="D129" s="20"/>
      <c r="E129" s="20"/>
      <c r="F129" s="20"/>
      <c r="G129" s="25">
        <f>G10/G7</f>
        <v>0.34546232980259645</v>
      </c>
      <c r="H129" s="25">
        <f t="shared" ref="H129:P129" si="349">H10/H7</f>
        <v>0.24997943233237352</v>
      </c>
      <c r="I129" s="25">
        <f t="shared" si="349"/>
        <v>0.26601254227733934</v>
      </c>
      <c r="J129" s="25">
        <f t="shared" si="349"/>
        <v>2.3983331584548739E-2</v>
      </c>
      <c r="K129" s="25">
        <f t="shared" si="349"/>
        <v>1.2102041339036447E-2</v>
      </c>
      <c r="L129" s="25">
        <f t="shared" si="349"/>
        <v>7.1121086930592145E-2</v>
      </c>
      <c r="M129" s="25">
        <f t="shared" si="349"/>
        <v>0.23396051515689406</v>
      </c>
      <c r="N129" s="25">
        <f t="shared" si="349"/>
        <v>5.2554909084602912E-2</v>
      </c>
      <c r="O129" s="25">
        <f t="shared" si="349"/>
        <v>0.11157367028488922</v>
      </c>
      <c r="P129" s="25">
        <f t="shared" si="349"/>
        <v>0.13431149758961763</v>
      </c>
      <c r="Q129" s="25">
        <f t="shared" ref="Q129" si="350">Q10/Q7</f>
        <v>0.13431149758961763</v>
      </c>
      <c r="R129" s="118">
        <f t="shared" si="245"/>
        <v>-9.964765647556717E-2</v>
      </c>
      <c r="S129" s="128"/>
      <c r="T129" s="25">
        <f t="shared" ref="T129:AC129" si="351">T10/T7</f>
        <v>0.13431149758961763</v>
      </c>
      <c r="U129" s="25">
        <f t="shared" si="351"/>
        <v>0.13431149758961763</v>
      </c>
      <c r="V129" s="25">
        <f t="shared" si="351"/>
        <v>0.13431149758961763</v>
      </c>
      <c r="W129" s="25">
        <f t="shared" si="351"/>
        <v>0.13431149758961763</v>
      </c>
      <c r="X129" s="25">
        <f t="shared" si="351"/>
        <v>0.13431149758961761</v>
      </c>
      <c r="Y129" s="25">
        <f t="shared" si="351"/>
        <v>0.13431149758961761</v>
      </c>
      <c r="Z129" s="25">
        <f t="shared" si="351"/>
        <v>0.13431149758961761</v>
      </c>
      <c r="AA129" s="25">
        <f t="shared" si="351"/>
        <v>0.13431149758961761</v>
      </c>
      <c r="AB129" s="25">
        <f t="shared" si="351"/>
        <v>0.13431149758961763</v>
      </c>
      <c r="AC129" s="25">
        <f t="shared" si="351"/>
        <v>0.13431149758961763</v>
      </c>
      <c r="AD129" s="118">
        <f t="shared" si="345"/>
        <v>0</v>
      </c>
      <c r="AE129" s="20"/>
      <c r="AF129" s="20"/>
    </row>
    <row r="130" spans="2:32">
      <c r="B130" s="20" t="s">
        <v>358</v>
      </c>
      <c r="C130" s="20"/>
      <c r="D130" s="20"/>
      <c r="E130" s="20"/>
      <c r="F130" s="20"/>
      <c r="G130" s="25">
        <f>G10/(G10+G7)</f>
        <v>0.25676105688762163</v>
      </c>
      <c r="H130" s="25">
        <f t="shared" ref="H130:P130" si="352">H10/(H10+H7)</f>
        <v>0.19998683647612467</v>
      </c>
      <c r="I130" s="25">
        <f t="shared" si="352"/>
        <v>0.21011840988465125</v>
      </c>
      <c r="J130" s="25">
        <f t="shared" si="352"/>
        <v>2.3421603501529723E-2</v>
      </c>
      <c r="K130" s="25">
        <f t="shared" si="352"/>
        <v>1.1957333198365198E-2</v>
      </c>
      <c r="L130" s="25">
        <f t="shared" si="352"/>
        <v>6.6398736611933351E-2</v>
      </c>
      <c r="M130" s="25">
        <f t="shared" si="352"/>
        <v>0.18960129783986382</v>
      </c>
      <c r="N130" s="25">
        <f t="shared" si="352"/>
        <v>4.9930800408607111E-2</v>
      </c>
      <c r="O130" s="25">
        <f t="shared" si="352"/>
        <v>0.10037451701810605</v>
      </c>
      <c r="P130" s="25">
        <f t="shared" si="352"/>
        <v>0.11840794867637863</v>
      </c>
      <c r="Q130" s="25">
        <f t="shared" ref="Q130" si="353">Q10/(Q10+Q7)</f>
        <v>0.11840794867637863</v>
      </c>
      <c r="R130" s="118">
        <f t="shared" si="245"/>
        <v>-8.2406794282050444E-2</v>
      </c>
      <c r="S130" s="128"/>
      <c r="T130" s="25">
        <f t="shared" ref="T130:AC130" si="354">T10/(T10+T7)</f>
        <v>0.11840794867637863</v>
      </c>
      <c r="U130" s="25">
        <f t="shared" si="354"/>
        <v>0.11840794867637863</v>
      </c>
      <c r="V130" s="25">
        <f t="shared" si="354"/>
        <v>0.11840794867637862</v>
      </c>
      <c r="W130" s="25">
        <f t="shared" si="354"/>
        <v>0.11840794867637863</v>
      </c>
      <c r="X130" s="25">
        <f t="shared" si="354"/>
        <v>0.11840794867637862</v>
      </c>
      <c r="Y130" s="25">
        <f t="shared" si="354"/>
        <v>0.11840794867637863</v>
      </c>
      <c r="Z130" s="25">
        <f t="shared" si="354"/>
        <v>0.11840794867637862</v>
      </c>
      <c r="AA130" s="25">
        <f t="shared" si="354"/>
        <v>0.1184079486763786</v>
      </c>
      <c r="AB130" s="25">
        <f t="shared" si="354"/>
        <v>0.11840794867637863</v>
      </c>
      <c r="AC130" s="25">
        <f t="shared" si="354"/>
        <v>0.11840794867637863</v>
      </c>
      <c r="AD130" s="118">
        <f t="shared" si="345"/>
        <v>0</v>
      </c>
      <c r="AE130" s="20"/>
      <c r="AF130" s="20"/>
    </row>
    <row r="131" spans="2:32">
      <c r="B131" s="20"/>
      <c r="C131" s="20"/>
      <c r="D131" s="20"/>
      <c r="E131" s="20"/>
      <c r="F131" s="20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128"/>
      <c r="S131" s="128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137"/>
      <c r="AE131" s="20"/>
      <c r="AF131" s="20"/>
    </row>
    <row r="132" spans="2:32">
      <c r="B132" s="20" t="s">
        <v>363</v>
      </c>
      <c r="C132" s="20"/>
      <c r="D132" s="20"/>
      <c r="E132" s="20"/>
      <c r="F132" s="20"/>
      <c r="G132" s="25">
        <f>G16</f>
        <v>8692</v>
      </c>
      <c r="H132" s="25">
        <f t="shared" ref="H132:P132" si="355">H16</f>
        <v>9241</v>
      </c>
      <c r="I132" s="25">
        <f t="shared" si="355"/>
        <v>10153</v>
      </c>
      <c r="J132" s="25">
        <f t="shared" si="355"/>
        <v>-2752</v>
      </c>
      <c r="K132" s="25">
        <f t="shared" si="355"/>
        <v>2351</v>
      </c>
      <c r="L132" s="25">
        <f t="shared" si="355"/>
        <v>-3892</v>
      </c>
      <c r="M132" s="25">
        <f t="shared" si="355"/>
        <v>10077</v>
      </c>
      <c r="N132" s="25">
        <f t="shared" si="355"/>
        <v>-7530</v>
      </c>
      <c r="O132" s="25">
        <f t="shared" si="355"/>
        <v>1909</v>
      </c>
      <c r="P132" s="25">
        <f t="shared" si="355"/>
        <v>-233</v>
      </c>
      <c r="Q132" s="25">
        <f t="shared" ref="Q132" si="356">Q16</f>
        <v>-233</v>
      </c>
      <c r="R132" s="118">
        <f t="shared" si="245"/>
        <v>-1.6688975082710817</v>
      </c>
      <c r="S132" s="128"/>
      <c r="T132" s="25">
        <f t="shared" ref="T132:AC132" si="357">T16</f>
        <v>-267.95</v>
      </c>
      <c r="U132" s="25">
        <f t="shared" si="357"/>
        <v>-308.14249999999998</v>
      </c>
      <c r="V132" s="25">
        <f t="shared" si="357"/>
        <v>-354.36387499999995</v>
      </c>
      <c r="W132" s="25">
        <f t="shared" si="357"/>
        <v>-407.51845624999993</v>
      </c>
      <c r="X132" s="25">
        <f t="shared" si="357"/>
        <v>-468.64622468749991</v>
      </c>
      <c r="Y132" s="25">
        <f t="shared" si="357"/>
        <v>-538.94315839062483</v>
      </c>
      <c r="Z132" s="25">
        <f t="shared" si="357"/>
        <v>-619.78463214921851</v>
      </c>
      <c r="AA132" s="25">
        <f t="shared" si="357"/>
        <v>-712.75232697160118</v>
      </c>
      <c r="AB132" s="25">
        <f t="shared" si="357"/>
        <v>-819.66517601734131</v>
      </c>
      <c r="AC132" s="25">
        <f t="shared" si="357"/>
        <v>-942.61495241994248</v>
      </c>
      <c r="AD132" s="118">
        <f t="shared" si="345"/>
        <v>0.14999999999999991</v>
      </c>
      <c r="AE132" s="20"/>
      <c r="AF132" s="20"/>
    </row>
    <row r="133" spans="2:32">
      <c r="B133" s="20" t="s">
        <v>364</v>
      </c>
      <c r="C133" s="20"/>
      <c r="D133" s="20"/>
      <c r="E133" s="20"/>
      <c r="F133" s="20"/>
      <c r="G133" s="119">
        <f t="shared" ref="G133:P133" si="358">G132*365/G25</f>
        <v>68.930169903967325</v>
      </c>
      <c r="H133" s="119">
        <f t="shared" si="358"/>
        <v>54.743483623851724</v>
      </c>
      <c r="I133" s="119">
        <f t="shared" si="358"/>
        <v>50.14064592945379</v>
      </c>
      <c r="J133" s="119">
        <f t="shared" si="358"/>
        <v>-11.364567187482322</v>
      </c>
      <c r="K133" s="119">
        <f t="shared" si="358"/>
        <v>8.4865252435345901</v>
      </c>
      <c r="L133" s="119">
        <f t="shared" si="358"/>
        <v>-13.153640311484365</v>
      </c>
      <c r="M133" s="119">
        <f t="shared" si="358"/>
        <v>34.300442032229185</v>
      </c>
      <c r="N133" s="119">
        <f t="shared" si="358"/>
        <v>-22.03289964166326</v>
      </c>
      <c r="O133" s="119">
        <f t="shared" si="358"/>
        <v>4.475032914806846</v>
      </c>
      <c r="P133" s="119">
        <f t="shared" si="358"/>
        <v>-0.5031861454444333</v>
      </c>
      <c r="Q133" s="119">
        <f t="shared" ref="Q133" si="359">Q132*365/Q25</f>
        <v>-0.5031861454444333</v>
      </c>
      <c r="R133" s="118">
        <f t="shared" si="245"/>
        <v>-1.5788833203577808</v>
      </c>
      <c r="S133" s="128"/>
      <c r="T133" s="119">
        <f t="shared" ref="T133:AC133" si="360">T132*365/T25</f>
        <v>-0.5031861454444333</v>
      </c>
      <c r="U133" s="119">
        <f t="shared" si="360"/>
        <v>-0.5031861454444333</v>
      </c>
      <c r="V133" s="119">
        <f t="shared" si="360"/>
        <v>-0.5031861454444333</v>
      </c>
      <c r="W133" s="119">
        <f t="shared" si="360"/>
        <v>-0.5031861454444333</v>
      </c>
      <c r="X133" s="119">
        <f t="shared" si="360"/>
        <v>-0.5031861454444333</v>
      </c>
      <c r="Y133" s="119">
        <f t="shared" si="360"/>
        <v>-0.5031861454444333</v>
      </c>
      <c r="Z133" s="119">
        <f t="shared" si="360"/>
        <v>-0.5031861454444333</v>
      </c>
      <c r="AA133" s="119">
        <f t="shared" si="360"/>
        <v>-0.5031861454444333</v>
      </c>
      <c r="AB133" s="119">
        <f t="shared" si="360"/>
        <v>-0.5031861454444333</v>
      </c>
      <c r="AC133" s="119">
        <f t="shared" si="360"/>
        <v>-0.5031861454444333</v>
      </c>
      <c r="AD133" s="118">
        <f t="shared" si="345"/>
        <v>0</v>
      </c>
      <c r="AE133" s="20"/>
      <c r="AF133" s="20"/>
    </row>
    <row r="134" spans="2:32">
      <c r="B134" s="20" t="s">
        <v>367</v>
      </c>
      <c r="C134" s="20"/>
      <c r="D134" s="20"/>
      <c r="E134" s="20"/>
      <c r="F134" s="20"/>
      <c r="G134" s="133">
        <f>G80/G29</f>
        <v>0.36036831274584985</v>
      </c>
      <c r="H134" s="133">
        <f t="shared" ref="H134:P134" si="361">H80/H29</f>
        <v>1.2148913044782861</v>
      </c>
      <c r="I134" s="133">
        <f t="shared" si="361"/>
        <v>1.3845305086615911</v>
      </c>
      <c r="J134" s="133">
        <f t="shared" si="361"/>
        <v>1.0362518251948327</v>
      </c>
      <c r="K134" s="133">
        <f t="shared" si="361"/>
        <v>1.4059458748069185</v>
      </c>
      <c r="L134" s="133">
        <f t="shared" si="361"/>
        <v>0.84200596266185546</v>
      </c>
      <c r="M134" s="133">
        <f t="shared" si="361"/>
        <v>0.41742511904877222</v>
      </c>
      <c r="N134" s="133">
        <f t="shared" si="361"/>
        <v>0.1382027564696249</v>
      </c>
      <c r="O134" s="133">
        <f t="shared" si="361"/>
        <v>0.15779507679360405</v>
      </c>
      <c r="P134" s="133">
        <f t="shared" si="361"/>
        <v>0.13252226567262049</v>
      </c>
      <c r="Q134" s="133">
        <f t="shared" ref="Q134" si="362">Q80/Q29</f>
        <v>0.13252226567262049</v>
      </c>
      <c r="R134" s="118">
        <f t="shared" si="245"/>
        <v>-0.10519805937490601</v>
      </c>
      <c r="S134" s="128"/>
      <c r="T134" s="133">
        <f t="shared" ref="T134:AC134" si="363">T80/T29</f>
        <v>0.13121016403229752</v>
      </c>
      <c r="U134" s="133">
        <f t="shared" si="363"/>
        <v>0.12991105349732429</v>
      </c>
      <c r="V134" s="133">
        <f t="shared" si="363"/>
        <v>0.12862480544289531</v>
      </c>
      <c r="W134" s="133">
        <f t="shared" si="363"/>
        <v>0.12735129251771812</v>
      </c>
      <c r="X134" s="133">
        <f t="shared" si="363"/>
        <v>0.12609038863140409</v>
      </c>
      <c r="Y134" s="133">
        <f t="shared" si="363"/>
        <v>0.12484196894198424</v>
      </c>
      <c r="Z134" s="133">
        <f t="shared" si="363"/>
        <v>0.12360590984354874</v>
      </c>
      <c r="AA134" s="133">
        <f t="shared" si="363"/>
        <v>0.12238208895400868</v>
      </c>
      <c r="AB134" s="133">
        <f t="shared" si="363"/>
        <v>0.12117038510297889</v>
      </c>
      <c r="AC134" s="133">
        <f t="shared" si="363"/>
        <v>0.11997067831978109</v>
      </c>
      <c r="AD134" s="118">
        <f t="shared" si="345"/>
        <v>-9.9009900990099098E-3</v>
      </c>
      <c r="AE134" s="20"/>
      <c r="AF134" s="20"/>
    </row>
    <row r="135" spans="2:3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28"/>
      <c r="S135" s="12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137"/>
      <c r="AE135" s="20"/>
      <c r="AF135" s="20"/>
    </row>
    <row r="136" spans="2:32">
      <c r="B136" s="20" t="s">
        <v>374</v>
      </c>
      <c r="C136" s="20"/>
      <c r="D136" s="20"/>
      <c r="E136" s="20"/>
      <c r="F136" s="20"/>
      <c r="G136" s="180">
        <f>G25/G14</f>
        <v>12.95777027027027</v>
      </c>
      <c r="H136" s="180">
        <f t="shared" ref="H136:P136" si="364">H25/H14</f>
        <v>14.683984747378455</v>
      </c>
      <c r="I136" s="180">
        <f t="shared" si="364"/>
        <v>14.952255715152742</v>
      </c>
      <c r="J136" s="180">
        <f t="shared" si="364"/>
        <v>15.0471569628873</v>
      </c>
      <c r="K136" s="180">
        <f t="shared" si="364"/>
        <v>13.855165798848999</v>
      </c>
      <c r="L136" s="180">
        <f t="shared" si="364"/>
        <v>16.508560073372056</v>
      </c>
      <c r="M136" s="180">
        <f t="shared" si="364"/>
        <v>13.013592233009708</v>
      </c>
      <c r="N136" s="180">
        <f t="shared" si="364"/>
        <v>14.560873117777518</v>
      </c>
      <c r="O136" s="180">
        <f t="shared" si="364"/>
        <v>11.824498784933171</v>
      </c>
      <c r="P136" s="180">
        <f t="shared" si="364"/>
        <v>13.224804381846635</v>
      </c>
      <c r="Q136" s="180">
        <f t="shared" ref="Q136" si="365">Q25/Q14</f>
        <v>13.224804381846635</v>
      </c>
      <c r="R136" s="118">
        <f t="shared" si="245"/>
        <v>2.2690768023201358E-3</v>
      </c>
      <c r="S136" s="128"/>
      <c r="T136" s="20">
        <f t="shared" ref="T136" si="366">T25/T14</f>
        <v>13.224804381846635</v>
      </c>
      <c r="U136" s="20">
        <f t="shared" ref="U136:AC136" si="367">U25/U14</f>
        <v>13.224804381846637</v>
      </c>
      <c r="V136" s="20">
        <f t="shared" si="367"/>
        <v>13.224804381846637</v>
      </c>
      <c r="W136" s="20">
        <f t="shared" si="367"/>
        <v>13.224804381846637</v>
      </c>
      <c r="X136" s="20">
        <f t="shared" si="367"/>
        <v>13.224804381846637</v>
      </c>
      <c r="Y136" s="20">
        <f t="shared" si="367"/>
        <v>13.224804381846637</v>
      </c>
      <c r="Z136" s="20">
        <f t="shared" si="367"/>
        <v>13.224804381846637</v>
      </c>
      <c r="AA136" s="20">
        <f t="shared" si="367"/>
        <v>13.224804381846637</v>
      </c>
      <c r="AB136" s="20">
        <f t="shared" si="367"/>
        <v>13.224804381846637</v>
      </c>
      <c r="AC136" s="20">
        <f t="shared" si="367"/>
        <v>13.224804381846637</v>
      </c>
      <c r="AD136" s="118">
        <f t="shared" si="345"/>
        <v>0</v>
      </c>
      <c r="AE136" s="20"/>
      <c r="AF136" s="20"/>
    </row>
    <row r="137" spans="2:32">
      <c r="B137" s="20" t="s">
        <v>375</v>
      </c>
      <c r="C137" s="20"/>
      <c r="D137" s="20"/>
      <c r="E137" s="20"/>
      <c r="F137" s="20"/>
      <c r="G137" s="180">
        <f>G27/G14</f>
        <v>6.8091216216216219</v>
      </c>
      <c r="H137" s="180">
        <f t="shared" ref="H137:P137" si="368">H27/H14</f>
        <v>7.5662535748331745</v>
      </c>
      <c r="I137" s="180">
        <f t="shared" si="368"/>
        <v>8.0072830265021242</v>
      </c>
      <c r="J137" s="180">
        <f t="shared" si="368"/>
        <v>8.0837589376915222</v>
      </c>
      <c r="K137" s="180">
        <f t="shared" si="368"/>
        <v>7.7125239791723761</v>
      </c>
      <c r="L137" s="180">
        <f t="shared" si="368"/>
        <v>9.3897890553347594</v>
      </c>
      <c r="M137" s="180">
        <f t="shared" si="368"/>
        <v>7.0117718446601938</v>
      </c>
      <c r="N137" s="180">
        <f t="shared" si="368"/>
        <v>8.095599393019727</v>
      </c>
      <c r="O137" s="180">
        <f t="shared" si="368"/>
        <v>6.7621506682867558</v>
      </c>
      <c r="P137" s="180">
        <f t="shared" si="368"/>
        <v>8.5013302034428797</v>
      </c>
      <c r="Q137" s="180">
        <f t="shared" ref="Q137" si="369">Q27/Q14</f>
        <v>8.5013302034428797</v>
      </c>
      <c r="R137" s="118">
        <f t="shared" si="245"/>
        <v>2.4968795401018484E-2</v>
      </c>
      <c r="S137" s="128"/>
      <c r="T137" s="20">
        <f t="shared" ref="T137:AC137" si="370">T27/T14</f>
        <v>8.5013302034428797</v>
      </c>
      <c r="U137" s="20">
        <f t="shared" si="370"/>
        <v>8.5013302034428797</v>
      </c>
      <c r="V137" s="20">
        <f t="shared" si="370"/>
        <v>8.5013302034428797</v>
      </c>
      <c r="W137" s="20">
        <f t="shared" si="370"/>
        <v>8.5013302034428797</v>
      </c>
      <c r="X137" s="20">
        <f t="shared" si="370"/>
        <v>8.5013302034428815</v>
      </c>
      <c r="Y137" s="20">
        <f t="shared" si="370"/>
        <v>8.5013302034428815</v>
      </c>
      <c r="Z137" s="20">
        <f t="shared" si="370"/>
        <v>8.5013302034428797</v>
      </c>
      <c r="AA137" s="20">
        <f t="shared" si="370"/>
        <v>8.5013302034428815</v>
      </c>
      <c r="AB137" s="20">
        <f t="shared" si="370"/>
        <v>8.5013302034428797</v>
      </c>
      <c r="AC137" s="20">
        <f t="shared" si="370"/>
        <v>8.5013302034428797</v>
      </c>
      <c r="AD137" s="118">
        <f t="shared" si="345"/>
        <v>0</v>
      </c>
      <c r="AE137" s="20"/>
      <c r="AF137" s="20"/>
    </row>
    <row r="138" spans="2:32"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28"/>
      <c r="S138" s="128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37"/>
      <c r="AE138" s="20"/>
      <c r="AF138" s="20"/>
    </row>
    <row r="139" spans="2:32">
      <c r="B139" s="108" t="s">
        <v>244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3"/>
      <c r="S139" s="23"/>
      <c r="T139" s="122" t="s">
        <v>66</v>
      </c>
      <c r="U139" s="20"/>
      <c r="V139" s="20"/>
      <c r="W139" s="20"/>
      <c r="X139" s="20"/>
      <c r="Y139" s="20"/>
      <c r="Z139" s="20"/>
      <c r="AA139" s="20"/>
      <c r="AB139" s="20"/>
      <c r="AC139" s="20"/>
      <c r="AD139" s="137"/>
      <c r="AE139" s="20"/>
      <c r="AF139" s="20"/>
    </row>
    <row r="140" spans="2:32">
      <c r="B140" s="23" t="s">
        <v>280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5"/>
      <c r="Q140" s="25"/>
      <c r="R140" s="160">
        <f>AVERAGE(G54:Q54)</f>
        <v>68.924975339810118</v>
      </c>
      <c r="S140" s="23"/>
      <c r="T140" s="134"/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>
      <c r="B141" s="20" t="s">
        <v>25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140">
        <f>T141+U141</f>
        <v>123.09120621158351</v>
      </c>
      <c r="T141" s="133">
        <f>PV($C$1, ($AC$3-$T$3), 0, -AC54)</f>
        <v>17.152053324564914</v>
      </c>
      <c r="U141" s="133">
        <f>PV($C$1, ($AC$3-$T$3), 0, -AF54)</f>
        <v>105.93915288701859</v>
      </c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>
      <c r="B142" s="20" t="s">
        <v>272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 t="shared" ref="S142:S160" si="371">T142+U142</f>
        <v>781.22638079880301</v>
      </c>
      <c r="T142" s="133">
        <f>PV($C$1, ($AC$3-$T$3), 0, -AC56)</f>
        <v>108.85941371786598</v>
      </c>
      <c r="U142" s="133">
        <f>PV($C$1, ($AC$3-$T$3), 0, -AF56)</f>
        <v>672.366967080937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>
      <c r="B143" s="20" t="s">
        <v>273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si="371"/>
        <v>760.66158069475864</v>
      </c>
      <c r="T143" s="133">
        <f>PV($C$1, ($AC$3-$T$3), 0, -AC57)</f>
        <v>105.9938268181221</v>
      </c>
      <c r="U143" s="133">
        <f>PV($C$1, ($AC$3-$T$3), 0, -AF57)</f>
        <v>654.66775387663654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>
      <c r="B144" s="20" t="s">
        <v>274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1"/>
        <v>104.92768516160415</v>
      </c>
      <c r="T144" s="133">
        <f>PV($C$1, ($AC$3-$T$3), 0, -AC58)</f>
        <v>14.621070883174346</v>
      </c>
      <c r="U144" s="133">
        <f>PV($C$1, ($AC$3-$T$3), 0, -AF58)</f>
        <v>90.306614278429805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>
      <c r="B145" s="20" t="s">
        <v>275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1"/>
        <v>100.66387555919371</v>
      </c>
      <c r="T145" s="133">
        <f>PV($C$1, ($AC$3-$T$3), 0, -AC64)</f>
        <v>14.026933479559778</v>
      </c>
      <c r="U145" s="133">
        <f>PV($C$1, ($AC$3-$T$3), 0, -AF64)</f>
        <v>86.63694207963394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/>
      <c r="T146" s="133"/>
      <c r="U146" s="20"/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>
      <c r="B147" s="20" t="s">
        <v>270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>
        <f t="shared" si="371"/>
        <v>676.29869563719888</v>
      </c>
      <c r="T147" s="133">
        <f>PV($C$1, ($AC$3-$T$3), 0, -AC60)</f>
        <v>94.238342834691636</v>
      </c>
      <c r="U147" s="133">
        <f>PV($C$1, ($AC$3-$T$3), 0, -$AF$60)</f>
        <v>582.06035280250728</v>
      </c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>
      <c r="B148" s="20" t="s">
        <v>271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1"/>
        <v>408.53042641819474</v>
      </c>
      <c r="T148" s="133">
        <f>PV($C$1, ($AC$3-$T$3), 0, -AC61)</f>
        <v>56.926370894338596</v>
      </c>
      <c r="U148" s="133">
        <f>PV($C$1, ($AC$3-$T$3), 0, -$AF$61)</f>
        <v>351.60405552385612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>
      <c r="B149" s="20" t="s">
        <v>276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1"/>
        <v>653.76361528366522</v>
      </c>
      <c r="T149" s="133">
        <f>PV($C$1, ($AC$3-$T$3), 0, -AC62)</f>
        <v>91.09820868706808</v>
      </c>
      <c r="U149" s="133">
        <f>PV($C$1, ($AC$3-$T$3), 0, -$AF$62)</f>
        <v>562.66540659659711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/>
      <c r="T150" s="133"/>
      <c r="U150" s="20"/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>
      <c r="B151" s="20" t="s">
        <v>249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>
        <f t="shared" si="371"/>
        <v>245.23318886547037</v>
      </c>
      <c r="T151" s="133">
        <f>PV($C$1, ($AC$3-$T$3), 0, -AC67)</f>
        <v>34.171837792729477</v>
      </c>
      <c r="U151" s="133">
        <f>PV($C$1, ($AC$3-$T$3), 0, -AF67)</f>
        <v>211.06135107274091</v>
      </c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>
      <c r="B152" s="20" t="s">
        <v>250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1"/>
        <v>-0.92380209140945524</v>
      </c>
      <c r="T152" s="133">
        <f>PV($C$1, ($AC$3-$T$3), 0, -AC68)</f>
        <v>-0.1665872623853116</v>
      </c>
      <c r="U152" s="133">
        <f>PV($C$1, ($AC$3-$T$3), 0, -AF68)</f>
        <v>-0.75721482902414361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/>
      <c r="T153" s="133"/>
      <c r="U153" s="133"/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>
      <c r="B154" s="20" t="s">
        <v>293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>
        <f t="shared" ref="S154" si="372">T154+U154</f>
        <v>95132.23586119141</v>
      </c>
      <c r="T154" s="133">
        <f>PV($C$1, ($AC$3-$T$3), 0, -AC12)</f>
        <v>13256.131226559457</v>
      </c>
      <c r="U154" s="133">
        <f>PV($C$1, ($AC$3-$T$3), 0, -AF12)</f>
        <v>81876.104634631949</v>
      </c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>
      <c r="B155" s="20" t="s">
        <v>294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>T155+U155</f>
        <v>111.19554417232557</v>
      </c>
      <c r="T155" s="140">
        <f>T154/P42</f>
        <v>15.494461073192905</v>
      </c>
      <c r="U155" s="140">
        <f>U154/P42</f>
        <v>95.70108309913266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/>
      <c r="T156" s="140"/>
      <c r="U156" s="140"/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>
      <c r="B157" s="108" t="s">
        <v>297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33"/>
      <c r="U157" s="133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>
      <c r="B158" s="20" t="s">
        <v>282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>
        <f t="shared" ref="S158" si="373">T158+U158</f>
        <v>90.02850689677939</v>
      </c>
      <c r="T158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74.065360460911307</v>
      </c>
      <c r="U158" s="133">
        <f>PV($C$1, ($AC$3-$T$3), 0, -AF70)</f>
        <v>15.963146435868081</v>
      </c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>
      <c r="B159" s="23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/>
      <c r="T159" s="133"/>
      <c r="U159" s="133"/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>
      <c r="B160" s="20" t="s">
        <v>290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>
        <f t="shared" si="371"/>
        <v>0</v>
      </c>
      <c r="T160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0</v>
      </c>
      <c r="U160" s="133">
        <f>PV($C$1, ($AC$3-$T$3), 0, -AF72)</f>
        <v>0</v>
      </c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/>
      <c r="T161" s="133"/>
      <c r="U161" s="133"/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>
      <c r="B162" s="20" t="s">
        <v>286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>
        <f t="shared" ref="S162:S165" si="374">T162+U162</f>
        <v>0</v>
      </c>
      <c r="T162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0</v>
      </c>
      <c r="U162" s="133">
        <f>PV($C$1, ($AC$3-$T$3), 0, -AF74)</f>
        <v>0</v>
      </c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>
      <c r="B163" s="20" t="s">
        <v>287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si="374"/>
        <v>0</v>
      </c>
      <c r="T163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3" s="133">
        <f>PV($C$1, ($AC$3-$T$3), 0, -AF75)</f>
        <v>0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>
      <c r="B164" s="20" t="s">
        <v>288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4"/>
        <v>0</v>
      </c>
      <c r="T164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0</v>
      </c>
      <c r="U164" s="133">
        <f>PV($C$1, ($AC$3-$T$3), 0, -AF76)</f>
        <v>0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4"/>
        <v>0</v>
      </c>
      <c r="T165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5" s="133">
        <f>PV($C$1, ($AC$3-$T$3), 0, -AF77)</f>
        <v>0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>
      <c r="B167" s="20" t="s">
        <v>298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>
        <f>T167+U167</f>
        <v>0</v>
      </c>
      <c r="T167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7" s="133">
        <f>PV($C$1, ($AC$3-$T$3), 0, -AF78)</f>
        <v>0</v>
      </c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183">
        <v>41729</v>
      </c>
      <c r="P168" s="20">
        <v>305</v>
      </c>
      <c r="Q168" s="20"/>
      <c r="R168" s="20"/>
      <c r="S168" s="20"/>
      <c r="T168" s="121"/>
      <c r="U168" s="20"/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>
      <c r="B169" s="108" t="s">
        <v>251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3" t="s">
        <v>390</v>
      </c>
      <c r="P169" s="20">
        <v>380</v>
      </c>
      <c r="Q169" s="20"/>
      <c r="R169" s="20">
        <v>200</v>
      </c>
      <c r="S169" s="23" t="s">
        <v>391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>
      <c r="B170" s="20" t="s">
        <v>204</v>
      </c>
      <c r="C170" s="22">
        <v>0</v>
      </c>
      <c r="D170" s="22">
        <v>0</v>
      </c>
      <c r="E170" s="22">
        <v>0</v>
      </c>
      <c r="F170" s="22">
        <v>0</v>
      </c>
      <c r="G170" s="22">
        <v>730</v>
      </c>
      <c r="H170" s="22">
        <v>820</v>
      </c>
      <c r="I170" s="22">
        <v>1140</v>
      </c>
      <c r="J170" s="22">
        <v>750</v>
      </c>
      <c r="K170" s="22">
        <v>920</v>
      </c>
      <c r="L170" s="22">
        <v>670</v>
      </c>
      <c r="M170" s="22">
        <v>1000</v>
      </c>
      <c r="N170" s="22">
        <v>265</v>
      </c>
      <c r="O170" s="22">
        <v>254</v>
      </c>
      <c r="P170" s="22">
        <v>290</v>
      </c>
      <c r="Q170" s="22">
        <v>250</v>
      </c>
      <c r="R170" s="118">
        <f t="shared" ref="R170:R175" si="375">((P170/G170)^(1/($H$2-$H$1) ))-1</f>
        <v>-9.7488399008536231E-2</v>
      </c>
      <c r="S170" s="31">
        <f>L2-3%</f>
        <v>0.12</v>
      </c>
      <c r="T170" s="119">
        <f t="shared" ref="T170" si="376">P170*(1+$S170)</f>
        <v>324.8</v>
      </c>
      <c r="U170" s="119">
        <f t="shared" ref="U170:AC170" si="377">T170*(1+$S170)</f>
        <v>363.77600000000007</v>
      </c>
      <c r="V170" s="119">
        <f t="shared" si="377"/>
        <v>407.42912000000013</v>
      </c>
      <c r="W170" s="119">
        <f t="shared" si="377"/>
        <v>456.32061440000018</v>
      </c>
      <c r="X170" s="119">
        <f t="shared" si="377"/>
        <v>511.07908812800025</v>
      </c>
      <c r="Y170" s="119">
        <f t="shared" si="377"/>
        <v>572.40857870336038</v>
      </c>
      <c r="Z170" s="119">
        <f t="shared" si="377"/>
        <v>641.09760814776371</v>
      </c>
      <c r="AA170" s="119">
        <f t="shared" si="377"/>
        <v>718.02932112549547</v>
      </c>
      <c r="AB170" s="119">
        <f t="shared" si="377"/>
        <v>804.19283966055502</v>
      </c>
      <c r="AC170" s="119">
        <f t="shared" si="377"/>
        <v>900.69598041982169</v>
      </c>
      <c r="AD170" s="138">
        <f t="shared" ref="AD170:AD175" si="378">((AC170/G170)^(1/($AC$3-$H$1) ))-1</f>
        <v>1.0561545602497668E-2</v>
      </c>
      <c r="AE170" s="31">
        <v>0.08</v>
      </c>
      <c r="AF170" s="127">
        <f t="shared" ref="AF170:AF178" si="379">(AC170*(1+AD170))/($C$1-AE170)</f>
        <v>6501.4908720786561</v>
      </c>
    </row>
    <row r="171" spans="2:32">
      <c r="B171" s="20" t="s">
        <v>361</v>
      </c>
      <c r="C171" s="25" t="e">
        <f t="shared" ref="C171:P171" si="380">C170/C50</f>
        <v>#DIV/0!</v>
      </c>
      <c r="D171" s="25" t="e">
        <f t="shared" si="380"/>
        <v>#DIV/0!</v>
      </c>
      <c r="E171" s="25" t="e">
        <f t="shared" si="380"/>
        <v>#DIV/0!</v>
      </c>
      <c r="F171" s="25" t="e">
        <f t="shared" si="380"/>
        <v>#DIV/0!</v>
      </c>
      <c r="G171" s="25">
        <f t="shared" si="380"/>
        <v>2.257756485464737</v>
      </c>
      <c r="H171" s="25">
        <f t="shared" si="380"/>
        <v>1.8931440906287531</v>
      </c>
      <c r="I171" s="25">
        <f t="shared" si="380"/>
        <v>2.1979731832388478</v>
      </c>
      <c r="J171" s="25">
        <f t="shared" si="380"/>
        <v>1.8148596513061874</v>
      </c>
      <c r="K171" s="25">
        <f t="shared" si="380"/>
        <v>1.9459981209513919</v>
      </c>
      <c r="L171" s="25">
        <f t="shared" si="380"/>
        <v>1.3268604338929064</v>
      </c>
      <c r="M171" s="25">
        <f t="shared" si="380"/>
        <v>1.9945538645180543</v>
      </c>
      <c r="N171" s="25">
        <f t="shared" si="380"/>
        <v>1.8174815420504558</v>
      </c>
      <c r="O171" s="25">
        <f t="shared" si="380"/>
        <v>1.3956337946758293</v>
      </c>
      <c r="P171" s="25">
        <f t="shared" si="380"/>
        <v>1.4679734694964293</v>
      </c>
      <c r="Q171" s="25">
        <f t="shared" ref="Q171" si="381">Q170/Q50</f>
        <v>1.2654943702555423</v>
      </c>
      <c r="R171" s="118">
        <f t="shared" ref="R171" si="382">((P171/G171)^(1/($H$2-$H$1) ))-1</f>
        <v>-4.6706153198706191E-2</v>
      </c>
      <c r="S171" s="128"/>
      <c r="T171" s="25">
        <f t="shared" ref="T171:AC171" si="383">T170/T50</f>
        <v>1.4439752945168356</v>
      </c>
      <c r="U171" s="25">
        <f t="shared" si="383"/>
        <v>1.4203694375282128</v>
      </c>
      <c r="V171" s="25">
        <f t="shared" si="383"/>
        <v>1.3971494849842734</v>
      </c>
      <c r="W171" s="25">
        <f t="shared" si="383"/>
        <v>1.37430912818627</v>
      </c>
      <c r="X171" s="25">
        <f t="shared" si="383"/>
        <v>1.3518421615689642</v>
      </c>
      <c r="Y171" s="25">
        <f t="shared" si="383"/>
        <v>1.3297424810146199</v>
      </c>
      <c r="Z171" s="25">
        <f t="shared" si="383"/>
        <v>1.3080040821945551</v>
      </c>
      <c r="AA171" s="25">
        <f t="shared" si="383"/>
        <v>1.2866210589378095</v>
      </c>
      <c r="AB171" s="25">
        <f t="shared" si="383"/>
        <v>1.2655876016264787</v>
      </c>
      <c r="AC171" s="25">
        <f t="shared" si="383"/>
        <v>1.2448979956172808</v>
      </c>
      <c r="AD171" s="138">
        <f t="shared" ref="AD171" si="384">((AC171/G171)^(1/($AC$3-$H$1) ))-1</f>
        <v>-2.9327259497572977E-2</v>
      </c>
      <c r="AE171" s="31">
        <v>0.08</v>
      </c>
      <c r="AF171" s="127">
        <f t="shared" ref="AF171" si="385">(AC171*(1+AD171))/($C$1-AE171)</f>
        <v>8.6313467789414577</v>
      </c>
    </row>
    <row r="172" spans="2:32">
      <c r="B172" s="20" t="s">
        <v>389</v>
      </c>
      <c r="C172" s="25" t="e">
        <f t="shared" ref="C172:P172" si="386">C170/C54</f>
        <v>#DIV/0!</v>
      </c>
      <c r="D172" s="25" t="e">
        <f t="shared" si="386"/>
        <v>#DIV/0!</v>
      </c>
      <c r="E172" s="25" t="e">
        <f t="shared" si="386"/>
        <v>#DIV/0!</v>
      </c>
      <c r="F172" s="25" t="e">
        <f t="shared" si="386"/>
        <v>#DIV/0!</v>
      </c>
      <c r="G172" s="25">
        <f t="shared" si="386"/>
        <v>10.952308178752109</v>
      </c>
      <c r="H172" s="25">
        <f t="shared" si="386"/>
        <v>8.0333457300275484</v>
      </c>
      <c r="I172" s="25">
        <f t="shared" si="386"/>
        <v>10.489442758442564</v>
      </c>
      <c r="J172" s="25">
        <f t="shared" si="386"/>
        <v>8.9609519021283734</v>
      </c>
      <c r="K172" s="25">
        <f t="shared" si="386"/>
        <v>9.7309529696849815</v>
      </c>
      <c r="L172" s="25">
        <f t="shared" si="386"/>
        <v>7.1045909766980655</v>
      </c>
      <c r="M172" s="25">
        <f t="shared" si="386"/>
        <v>10.841993207279364</v>
      </c>
      <c r="N172" s="25">
        <f t="shared" si="386"/>
        <v>9.9333201892744487</v>
      </c>
      <c r="O172" s="25">
        <f t="shared" si="386"/>
        <v>7.6441241029970453</v>
      </c>
      <c r="P172" s="25">
        <f t="shared" si="386"/>
        <v>10.34208420175073</v>
      </c>
      <c r="Q172" s="25">
        <f t="shared" ref="Q172" si="387">Q170/Q54</f>
        <v>8.9155898290954561</v>
      </c>
      <c r="R172" s="118">
        <f t="shared" si="375"/>
        <v>-6.3496232839757027E-3</v>
      </c>
      <c r="S172" s="128"/>
      <c r="T172" s="119">
        <f t="shared" ref="T172:AC172" si="388">T170/T54</f>
        <v>10.173013607843849</v>
      </c>
      <c r="U172" s="119">
        <f t="shared" si="388"/>
        <v>10.006706950602577</v>
      </c>
      <c r="V172" s="119">
        <f t="shared" si="388"/>
        <v>9.8431190456709903</v>
      </c>
      <c r="W172" s="119">
        <f t="shared" si="388"/>
        <v>9.6822054473591521</v>
      </c>
      <c r="X172" s="119">
        <f t="shared" si="388"/>
        <v>9.5239224365675437</v>
      </c>
      <c r="Y172" s="119">
        <f t="shared" si="388"/>
        <v>9.3682270089088764</v>
      </c>
      <c r="Z172" s="119">
        <f t="shared" si="388"/>
        <v>9.2150768630241071</v>
      </c>
      <c r="AA172" s="119">
        <f t="shared" si="388"/>
        <v>9.0644303890894538</v>
      </c>
      <c r="AB172" s="119">
        <f t="shared" si="388"/>
        <v>8.916246657511298</v>
      </c>
      <c r="AC172" s="119">
        <f t="shared" si="388"/>
        <v>8.7704854078058982</v>
      </c>
      <c r="AD172" s="138">
        <f t="shared" si="378"/>
        <v>-1.104643868651467E-2</v>
      </c>
      <c r="AE172" s="31">
        <v>0.08</v>
      </c>
      <c r="AF172" s="127">
        <f t="shared" si="379"/>
        <v>61.954305560697136</v>
      </c>
    </row>
    <row r="173" spans="2:32">
      <c r="B173" s="20" t="s">
        <v>258</v>
      </c>
      <c r="C173" s="25" t="e">
        <f t="shared" ref="C173:P173" si="389">C170/C57</f>
        <v>#DIV/0!</v>
      </c>
      <c r="D173" s="25" t="e">
        <f t="shared" si="389"/>
        <v>#DIV/0!</v>
      </c>
      <c r="E173" s="25" t="e">
        <f t="shared" si="389"/>
        <v>#DIV/0!</v>
      </c>
      <c r="F173" s="25" t="e">
        <f t="shared" si="389"/>
        <v>#DIV/0!</v>
      </c>
      <c r="G173" s="25">
        <f t="shared" si="389"/>
        <v>2.6034197670048851</v>
      </c>
      <c r="H173" s="25">
        <f t="shared" si="389"/>
        <v>2.471589185065898</v>
      </c>
      <c r="I173" s="25">
        <f t="shared" si="389"/>
        <v>2.9353836146145786</v>
      </c>
      <c r="J173" s="25">
        <f t="shared" si="389"/>
        <v>2.4842421520496814</v>
      </c>
      <c r="K173" s="25">
        <f t="shared" si="389"/>
        <v>2.5913581710191878</v>
      </c>
      <c r="L173" s="25">
        <f t="shared" si="389"/>
        <v>1.5907330935571244</v>
      </c>
      <c r="M173" s="25">
        <f t="shared" si="389"/>
        <v>2.1545931679208601</v>
      </c>
      <c r="N173" s="25">
        <f t="shared" si="389"/>
        <v>2.0416041567236083</v>
      </c>
      <c r="O173" s="25">
        <f t="shared" si="389"/>
        <v>1.6442608636435863</v>
      </c>
      <c r="P173" s="25">
        <f t="shared" si="389"/>
        <v>1.6735689713322091</v>
      </c>
      <c r="Q173" s="25">
        <f t="shared" ref="Q173" si="390">Q170/Q57</f>
        <v>1.4427318718381112</v>
      </c>
      <c r="R173" s="118">
        <f t="shared" si="375"/>
        <v>-4.7910637217478791E-2</v>
      </c>
      <c r="S173" s="128"/>
      <c r="T173" s="119">
        <f t="shared" ref="T173:AC173" si="391">T170/T57</f>
        <v>1.6462097568443435</v>
      </c>
      <c r="U173" s="119">
        <f t="shared" si="391"/>
        <v>1.6192978060368015</v>
      </c>
      <c r="V173" s="119">
        <f t="shared" si="391"/>
        <v>1.592825807120722</v>
      </c>
      <c r="W173" s="119">
        <f t="shared" si="391"/>
        <v>1.5667865678390964</v>
      </c>
      <c r="X173" s="119">
        <f t="shared" si="391"/>
        <v>1.5411730135126838</v>
      </c>
      <c r="Y173" s="119">
        <f t="shared" si="391"/>
        <v>1.5159781851178682</v>
      </c>
      <c r="Z173" s="119">
        <f t="shared" si="391"/>
        <v>1.4911952373959414</v>
      </c>
      <c r="AA173" s="119">
        <f t="shared" si="391"/>
        <v>1.4668174369932949</v>
      </c>
      <c r="AB173" s="119">
        <f t="shared" si="391"/>
        <v>1.4428381606320138</v>
      </c>
      <c r="AC173" s="119">
        <f t="shared" si="391"/>
        <v>1.4192508933103773</v>
      </c>
      <c r="AD173" s="138">
        <f t="shared" si="378"/>
        <v>-2.9879350376941671E-2</v>
      </c>
      <c r="AE173" s="31">
        <v>0.08</v>
      </c>
      <c r="AF173" s="127">
        <f t="shared" si="379"/>
        <v>9.8346042756883492</v>
      </c>
    </row>
    <row r="174" spans="2:32">
      <c r="B174" s="20" t="s">
        <v>259</v>
      </c>
      <c r="C174" s="25" t="e">
        <f t="shared" ref="C174:P174" si="392">C170/C66</f>
        <v>#DIV/0!</v>
      </c>
      <c r="D174" s="25" t="e">
        <f t="shared" si="392"/>
        <v>#DIV/0!</v>
      </c>
      <c r="E174" s="25" t="e">
        <f t="shared" si="392"/>
        <v>#DIV/0!</v>
      </c>
      <c r="F174" s="25" t="e">
        <f t="shared" si="392"/>
        <v>#DIV/0!</v>
      </c>
      <c r="G174" s="25">
        <f t="shared" si="392"/>
        <v>10.928120727731621</v>
      </c>
      <c r="H174" s="25">
        <f t="shared" si="392"/>
        <v>9.0590385212798985</v>
      </c>
      <c r="I174" s="25">
        <f t="shared" si="392"/>
        <v>12.829726741431054</v>
      </c>
      <c r="J174" s="25">
        <f t="shared" si="392"/>
        <v>6.6126638634677226</v>
      </c>
      <c r="K174" s="25">
        <f t="shared" si="392"/>
        <v>6.6618004536682802</v>
      </c>
      <c r="L174" s="25">
        <f t="shared" si="392"/>
        <v>5.495880954207256</v>
      </c>
      <c r="M174" s="25">
        <f t="shared" si="392"/>
        <v>7.7653124205787316</v>
      </c>
      <c r="N174" s="25">
        <f t="shared" si="392"/>
        <v>9.480163077566381</v>
      </c>
      <c r="O174" s="25">
        <f t="shared" si="392"/>
        <v>7.0533662241552788</v>
      </c>
      <c r="P174" s="25">
        <f t="shared" si="392"/>
        <v>11.408773623948131</v>
      </c>
      <c r="Q174" s="25">
        <f t="shared" ref="Q174" si="393">Q170/Q66</f>
        <v>9.8351496758173536</v>
      </c>
      <c r="R174" s="118">
        <f t="shared" si="375"/>
        <v>4.7940465352571682E-3</v>
      </c>
      <c r="S174" s="128"/>
      <c r="T174" s="119">
        <f t="shared" ref="T174:AC174" si="394">T170/T66</f>
        <v>11.222264976878371</v>
      </c>
      <c r="U174" s="119">
        <f t="shared" si="394"/>
        <v>11.038805340734621</v>
      </c>
      <c r="V174" s="119">
        <f t="shared" si="394"/>
        <v>10.858344870816529</v>
      </c>
      <c r="W174" s="119">
        <f t="shared" si="394"/>
        <v>10.680834537276226</v>
      </c>
      <c r="X174" s="119">
        <f t="shared" si="394"/>
        <v>10.506226111797279</v>
      </c>
      <c r="Y174" s="119">
        <f t="shared" si="394"/>
        <v>10.334472154491378</v>
      </c>
      <c r="Z174" s="119">
        <f t="shared" si="394"/>
        <v>10.165526001009258</v>
      </c>
      <c r="AA174" s="119">
        <f t="shared" si="394"/>
        <v>9.9993417498623263</v>
      </c>
      <c r="AB174" s="119">
        <f t="shared" si="394"/>
        <v>9.8358742499515355</v>
      </c>
      <c r="AC174" s="119">
        <f t="shared" si="394"/>
        <v>9.675079088300155</v>
      </c>
      <c r="AD174" s="138">
        <f t="shared" si="378"/>
        <v>-6.0707946532846391E-3</v>
      </c>
      <c r="AE174" s="31">
        <v>0.08</v>
      </c>
      <c r="AF174" s="127">
        <f t="shared" si="379"/>
        <v>68.688169070719965</v>
      </c>
    </row>
    <row r="175" spans="2:32">
      <c r="B175" s="20" t="s">
        <v>260</v>
      </c>
      <c r="C175" s="25" t="e">
        <f t="shared" ref="C175:P175" si="395">C170/C68</f>
        <v>#DIV/0!</v>
      </c>
      <c r="D175" s="25" t="e">
        <f t="shared" si="395"/>
        <v>#DIV/0!</v>
      </c>
      <c r="E175" s="25" t="e">
        <f t="shared" si="395"/>
        <v>#DIV/0!</v>
      </c>
      <c r="F175" s="25" t="e">
        <f t="shared" si="395"/>
        <v>#DIV/0!</v>
      </c>
      <c r="G175" s="25">
        <f t="shared" si="395"/>
        <v>11.955303727565576</v>
      </c>
      <c r="H175" s="25">
        <f t="shared" si="395"/>
        <v>12.622462936911591</v>
      </c>
      <c r="I175" s="25">
        <f t="shared" si="395"/>
        <v>16.000196986112478</v>
      </c>
      <c r="J175" s="25">
        <f t="shared" si="395"/>
        <v>-58.288517441860463</v>
      </c>
      <c r="K175" s="25">
        <f t="shared" si="395"/>
        <v>83.696129306678017</v>
      </c>
      <c r="L175" s="25">
        <f t="shared" si="395"/>
        <v>-36.81901336073998</v>
      </c>
      <c r="M175" s="25">
        <f t="shared" si="395"/>
        <v>21.224570804803019</v>
      </c>
      <c r="N175" s="25">
        <f t="shared" si="395"/>
        <v>-30.108645418326695</v>
      </c>
      <c r="O175" s="25">
        <f t="shared" si="395"/>
        <v>113.83298061812468</v>
      </c>
      <c r="P175" s="25">
        <f t="shared" si="395"/>
        <v>-1064.8351931330471</v>
      </c>
      <c r="Q175" s="25">
        <f t="shared" ref="Q175" si="396">Q170/Q68</f>
        <v>-917.96137339055792</v>
      </c>
      <c r="R175" s="118">
        <f t="shared" si="375"/>
        <v>-2.6467806434846097</v>
      </c>
      <c r="S175" s="128"/>
      <c r="T175" s="119">
        <f t="shared" ref="T175:AC175" si="397">T170/T68</f>
        <v>-1047.4274525844373</v>
      </c>
      <c r="U175" s="119">
        <f t="shared" si="397"/>
        <v>-1030.3042907508832</v>
      </c>
      <c r="V175" s="119">
        <f t="shared" si="397"/>
        <v>-1013.4610553890431</v>
      </c>
      <c r="W175" s="119">
        <f t="shared" si="397"/>
        <v>-996.89317030963957</v>
      </c>
      <c r="X175" s="119">
        <f t="shared" si="397"/>
        <v>-980.5961341341432</v>
      </c>
      <c r="Y175" s="119">
        <f t="shared" si="397"/>
        <v>-964.56551907177652</v>
      </c>
      <c r="Z175" s="119">
        <f t="shared" si="397"/>
        <v>-948.79696971651629</v>
      </c>
      <c r="AA175" s="119">
        <f t="shared" si="397"/>
        <v>-933.28620186375952</v>
      </c>
      <c r="AB175" s="119">
        <f t="shared" si="397"/>
        <v>-918.02900134633478</v>
      </c>
      <c r="AC175" s="119">
        <f t="shared" si="397"/>
        <v>-903.02122288954263</v>
      </c>
      <c r="AD175" s="138" t="e">
        <f t="shared" si="378"/>
        <v>#NUM!</v>
      </c>
      <c r="AE175" s="31">
        <v>0.08</v>
      </c>
      <c r="AF175" s="127" t="e">
        <f t="shared" si="379"/>
        <v>#NUM!</v>
      </c>
    </row>
    <row r="176" spans="2:32">
      <c r="B176" s="20" t="s">
        <v>281</v>
      </c>
      <c r="C176" s="25" t="e">
        <f>C172/C122</f>
        <v>#DIV/0!</v>
      </c>
      <c r="D176" s="25" t="e">
        <f>D172/D122</f>
        <v>#DIV/0!</v>
      </c>
      <c r="E176" s="25" t="e">
        <f>E172/E122</f>
        <v>#DIV/0!</v>
      </c>
      <c r="F176" s="25" t="e">
        <f>F172/F122</f>
        <v>#DIV/0!</v>
      </c>
      <c r="G176" s="182">
        <f t="shared" ref="G176:P176" si="398">G170/G62</f>
        <v>3.585555712742869</v>
      </c>
      <c r="H176" s="182">
        <f t="shared" si="398"/>
        <v>4.1076233404937144</v>
      </c>
      <c r="I176" s="182">
        <f t="shared" si="398"/>
        <v>5.2630726365580252</v>
      </c>
      <c r="J176" s="182">
        <f t="shared" si="398"/>
        <v>4.0478954274755221</v>
      </c>
      <c r="K176" s="182">
        <f t="shared" si="398"/>
        <v>3.6575634781962152</v>
      </c>
      <c r="L176" s="182">
        <f t="shared" si="398"/>
        <v>3.0143587370369591</v>
      </c>
      <c r="M176" s="182">
        <f t="shared" si="398"/>
        <v>3.9553936345310969</v>
      </c>
      <c r="N176" s="182">
        <f t="shared" si="398"/>
        <v>2.1963487527246306</v>
      </c>
      <c r="O176" s="182">
        <f t="shared" si="398"/>
        <v>1.7702654088665135</v>
      </c>
      <c r="P176" s="182">
        <f t="shared" si="398"/>
        <v>1.947216990016952</v>
      </c>
      <c r="Q176" s="182">
        <f t="shared" ref="Q176" si="399">Q170/Q62</f>
        <v>1.6786353362215105</v>
      </c>
      <c r="R176" s="118">
        <f t="shared" ref="R176:R178" si="400">((P176/G176)^(1/($H$2-$H$1) ))-1</f>
        <v>-6.5585080816741748E-2</v>
      </c>
      <c r="S176" s="128"/>
      <c r="T176" s="135">
        <f t="shared" ref="T176:AC176" si="401">T170/T62</f>
        <v>1.9153842253105882</v>
      </c>
      <c r="U176" s="135">
        <f t="shared" si="401"/>
        <v>1.8840718571055111</v>
      </c>
      <c r="V176" s="135">
        <f t="shared" si="401"/>
        <v>1.8532713780502217</v>
      </c>
      <c r="W176" s="135">
        <f t="shared" si="401"/>
        <v>1.8229744198699225</v>
      </c>
      <c r="X176" s="135">
        <f t="shared" si="401"/>
        <v>1.793172751092919</v>
      </c>
      <c r="Y176" s="135">
        <f t="shared" si="401"/>
        <v>1.7638582748141829</v>
      </c>
      <c r="Z176" s="135">
        <f t="shared" si="401"/>
        <v>1.7350230264954816</v>
      </c>
      <c r="AA176" s="135">
        <f t="shared" si="401"/>
        <v>1.7066591718014692</v>
      </c>
      <c r="AB176" s="135">
        <f t="shared" si="401"/>
        <v>1.6787590044711498</v>
      </c>
      <c r="AC176" s="135">
        <f t="shared" si="401"/>
        <v>1.6513149442241433</v>
      </c>
      <c r="AD176" s="138">
        <f t="shared" ref="AD176" si="402">((AC176/G176)^(1/($AC$3-$H$1) ))-1</f>
        <v>-3.8025252159760159E-2</v>
      </c>
      <c r="AE176" s="31">
        <v>0.08</v>
      </c>
      <c r="AF176" s="127">
        <f t="shared" si="379"/>
        <v>11.346594836248855</v>
      </c>
    </row>
    <row r="177" spans="2:46">
      <c r="B177" s="20" t="s">
        <v>371</v>
      </c>
      <c r="C177" s="161" t="e">
        <f t="shared" ref="C177:P177" si="403">C54/C170</f>
        <v>#DIV/0!</v>
      </c>
      <c r="D177" s="161" t="e">
        <f t="shared" si="403"/>
        <v>#DIV/0!</v>
      </c>
      <c r="E177" s="161" t="e">
        <f t="shared" si="403"/>
        <v>#DIV/0!</v>
      </c>
      <c r="F177" s="161" t="e">
        <f t="shared" si="403"/>
        <v>#DIV/0!</v>
      </c>
      <c r="G177" s="161">
        <f t="shared" si="403"/>
        <v>9.1304954506305602E-2</v>
      </c>
      <c r="H177" s="161">
        <f t="shared" si="403"/>
        <v>0.12448113570689939</v>
      </c>
      <c r="I177" s="161">
        <f t="shared" si="403"/>
        <v>9.5333948907356109E-2</v>
      </c>
      <c r="J177" s="161">
        <f t="shared" si="403"/>
        <v>0.11159528707686553</v>
      </c>
      <c r="K177" s="161">
        <f t="shared" si="403"/>
        <v>0.10276485798619299</v>
      </c>
      <c r="L177" s="161">
        <f t="shared" si="403"/>
        <v>0.14075405653609641</v>
      </c>
      <c r="M177" s="161">
        <f t="shared" si="403"/>
        <v>9.2233962969889657E-2</v>
      </c>
      <c r="N177" s="161">
        <f t="shared" si="403"/>
        <v>0.10067127415058612</v>
      </c>
      <c r="O177" s="161">
        <f t="shared" si="403"/>
        <v>0.13081943549398004</v>
      </c>
      <c r="P177" s="161">
        <f t="shared" si="403"/>
        <v>9.6692308870461333E-2</v>
      </c>
      <c r="Q177" s="161">
        <f t="shared" ref="Q177" si="404">Q54/Q170</f>
        <v>0.11216307828973514</v>
      </c>
      <c r="R177" s="118">
        <f t="shared" si="400"/>
        <v>6.3901986380370257E-3</v>
      </c>
      <c r="S177" s="128"/>
      <c r="T177" s="161">
        <f t="shared" ref="T177:AC177" si="405">T54/T170</f>
        <v>9.8299288544051025E-2</v>
      </c>
      <c r="U177" s="161">
        <f t="shared" si="405"/>
        <v>9.9932975447010824E-2</v>
      </c>
      <c r="V177" s="161">
        <f t="shared" si="405"/>
        <v>0.10159381344064923</v>
      </c>
      <c r="W177" s="161">
        <f t="shared" si="405"/>
        <v>0.10328225376303626</v>
      </c>
      <c r="X177" s="161">
        <f t="shared" si="405"/>
        <v>0.10499875515160155</v>
      </c>
      <c r="Y177" s="161">
        <f t="shared" si="405"/>
        <v>0.10674378396777029</v>
      </c>
      <c r="Z177" s="161">
        <f t="shared" si="405"/>
        <v>0.10851781432367028</v>
      </c>
      <c r="AA177" s="161">
        <f t="shared" si="405"/>
        <v>0.11032132821094484</v>
      </c>
      <c r="AB177" s="161">
        <f t="shared" si="405"/>
        <v>0.11215481563170662</v>
      </c>
      <c r="AC177" s="161">
        <f t="shared" si="405"/>
        <v>0.11401877473166777</v>
      </c>
      <c r="AD177" s="138">
        <f t="shared" ref="AD177:AD178" si="406">((AC177/G177)^(1/($AC$3-$H$1) ))-1</f>
        <v>1.1169825478805295E-2</v>
      </c>
      <c r="AE177" s="31">
        <v>0.08</v>
      </c>
      <c r="AF177" s="127">
        <f t="shared" si="379"/>
        <v>0.82351674676234066</v>
      </c>
    </row>
    <row r="178" spans="2:46">
      <c r="B178" s="20" t="s">
        <v>320</v>
      </c>
      <c r="C178" s="152" t="e">
        <f t="shared" ref="C178:P178" si="407">C44/C170</f>
        <v>#DIV/0!</v>
      </c>
      <c r="D178" s="152" t="e">
        <f t="shared" si="407"/>
        <v>#DIV/0!</v>
      </c>
      <c r="E178" s="152" t="e">
        <f t="shared" si="407"/>
        <v>#DIV/0!</v>
      </c>
      <c r="F178" s="152" t="e">
        <f t="shared" si="407"/>
        <v>#DIV/0!</v>
      </c>
      <c r="G178" s="152">
        <f t="shared" si="407"/>
        <v>3.287671232876712E-2</v>
      </c>
      <c r="H178" s="152">
        <f t="shared" si="407"/>
        <v>4.878048780487805E-2</v>
      </c>
      <c r="I178" s="152">
        <f t="shared" si="407"/>
        <v>3.9473684210526314E-2</v>
      </c>
      <c r="J178" s="152">
        <f t="shared" si="407"/>
        <v>4.1333333333333333E-2</v>
      </c>
      <c r="K178" s="152">
        <f t="shared" si="407"/>
        <v>3.4782608695652174E-2</v>
      </c>
      <c r="L178" s="152">
        <f t="shared" si="407"/>
        <v>4.7761194029850747E-2</v>
      </c>
      <c r="M178" s="152">
        <f t="shared" si="407"/>
        <v>3.3000000000000002E-2</v>
      </c>
      <c r="N178" s="152">
        <f t="shared" si="407"/>
        <v>3.3018867924528301E-2</v>
      </c>
      <c r="O178" s="152">
        <f t="shared" si="407"/>
        <v>3.8385826771653545E-2</v>
      </c>
      <c r="P178" s="152">
        <f t="shared" si="407"/>
        <v>3.2758620689655175E-2</v>
      </c>
      <c r="Q178" s="152">
        <f t="shared" ref="Q178" si="408">Q44/Q170</f>
        <v>3.7999999999999999E-2</v>
      </c>
      <c r="R178" s="118">
        <f t="shared" si="400"/>
        <v>-3.9974458966962612E-4</v>
      </c>
      <c r="S178" s="128"/>
      <c r="T178" s="152">
        <f t="shared" ref="T178:AC178" si="409">T44/T170</f>
        <v>3.0711206896551723E-2</v>
      </c>
      <c r="U178" s="152">
        <f t="shared" si="409"/>
        <v>2.8791756465517238E-2</v>
      </c>
      <c r="V178" s="152">
        <f t="shared" si="409"/>
        <v>2.699227168642241E-2</v>
      </c>
      <c r="W178" s="152">
        <f t="shared" si="409"/>
        <v>2.5305254706021008E-2</v>
      </c>
      <c r="X178" s="152">
        <f t="shared" si="409"/>
        <v>2.3723676286894695E-2</v>
      </c>
      <c r="Y178" s="152">
        <f t="shared" si="409"/>
        <v>2.2240946518963772E-2</v>
      </c>
      <c r="Z178" s="152">
        <f t="shared" si="409"/>
        <v>2.0850887361528535E-2</v>
      </c>
      <c r="AA178" s="152">
        <f t="shared" si="409"/>
        <v>1.9547706901432999E-2</v>
      </c>
      <c r="AB178" s="152">
        <f t="shared" si="409"/>
        <v>1.8325975220093438E-2</v>
      </c>
      <c r="AC178" s="152">
        <f t="shared" si="409"/>
        <v>1.7180601768837598E-2</v>
      </c>
      <c r="AD178" s="138">
        <f t="shared" si="406"/>
        <v>-3.1928355564478261E-2</v>
      </c>
      <c r="AE178" s="31">
        <v>0.08</v>
      </c>
      <c r="AF178" s="127">
        <f t="shared" si="379"/>
        <v>0.1188003814767889</v>
      </c>
    </row>
    <row r="179" spans="2:46">
      <c r="B179" s="20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Q179" s="152"/>
      <c r="R179" s="128"/>
      <c r="S179" s="128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7"/>
      <c r="AE179" s="20"/>
      <c r="AF179" s="127"/>
    </row>
    <row r="180" spans="2:46">
      <c r="B180" s="20"/>
      <c r="C180" s="129"/>
      <c r="D180" s="129"/>
      <c r="E180" s="129"/>
      <c r="F180" s="129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28"/>
      <c r="S180" s="128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7"/>
      <c r="AE180" s="20"/>
      <c r="AF180" s="20"/>
    </row>
    <row r="181" spans="2:46">
      <c r="B181" s="108" t="s">
        <v>301</v>
      </c>
      <c r="C181" s="20"/>
      <c r="D181" s="20"/>
      <c r="E181" s="20"/>
      <c r="F181" s="20"/>
      <c r="G181" s="20"/>
      <c r="H181" s="20"/>
      <c r="I181" s="20"/>
      <c r="J181" s="20"/>
      <c r="K181" s="200" t="s">
        <v>351</v>
      </c>
      <c r="L181" s="201"/>
      <c r="M181" s="20"/>
      <c r="N181" s="20"/>
      <c r="O181" s="20"/>
      <c r="P181" s="108" t="s">
        <v>430</v>
      </c>
      <c r="Q181" s="108" t="s">
        <v>429</v>
      </c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137"/>
      <c r="AE181" s="20"/>
      <c r="AF181" s="20"/>
    </row>
    <row r="182" spans="2:46">
      <c r="B182" s="20" t="s">
        <v>299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20" t="s">
        <v>352</v>
      </c>
      <c r="L182" s="22">
        <v>1</v>
      </c>
      <c r="M182" s="20"/>
      <c r="N182" s="20"/>
      <c r="O182" s="20"/>
      <c r="P182" s="128">
        <f>(Q170-S158)/Q170</f>
        <v>0.63988597241288248</v>
      </c>
      <c r="Q182" s="128">
        <f>(Q170-T158)/Q170</f>
        <v>0.70373855815635478</v>
      </c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137"/>
      <c r="AE182" s="20"/>
      <c r="AF182" s="20"/>
    </row>
    <row r="183" spans="2:46">
      <c r="B183" s="20" t="s">
        <v>349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$L$182</f>
        <v>1</v>
      </c>
      <c r="L183" s="20"/>
      <c r="M183" s="128">
        <f>(P170-(K183*S149))/P170</f>
        <v>-1.2543572940816041</v>
      </c>
      <c r="N183" s="20"/>
      <c r="O183" s="20"/>
      <c r="P183" s="128">
        <f>(Q170-S149)/Q170</f>
        <v>-1.6150544611346609</v>
      </c>
      <c r="Q183" s="128">
        <f>(Q170-T149)/Q170</f>
        <v>0.63560716525172767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>
      <c r="B184" s="20" t="s">
        <v>350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172">
        <f>$L$182</f>
        <v>1</v>
      </c>
      <c r="L184" s="20"/>
      <c r="M184" s="128">
        <f>(P170-(K184*S142))/P170</f>
        <v>-1.6938840717200103</v>
      </c>
      <c r="N184" s="20"/>
      <c r="O184" s="20"/>
      <c r="P184" s="128">
        <f>(Q170-S142)/Q170</f>
        <v>-2.1249055231952121</v>
      </c>
      <c r="Q184" s="128">
        <f>(Q170-T142)/Q170</f>
        <v>0.56456234512853609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>
      <c r="B185" s="20" t="s">
        <v>353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$L$182</f>
        <v>1</v>
      </c>
      <c r="L185" s="20"/>
      <c r="M185" s="128">
        <f>(P170-(K185*S155))/P170</f>
        <v>0.61656708906094626</v>
      </c>
      <c r="N185" s="20"/>
      <c r="O185" s="20"/>
      <c r="P185" s="128">
        <f>(Q170-S155)/Q170</f>
        <v>0.55521782331069769</v>
      </c>
      <c r="Q185" s="128">
        <f>(Q170-T155)/Q170</f>
        <v>0.93802215570722847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>
      <c r="B186" s="20" t="s">
        <v>399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$L$182</f>
        <v>1</v>
      </c>
      <c r="L186" s="20"/>
      <c r="M186" s="128">
        <f>(P170-(K186*S167))/P170</f>
        <v>1</v>
      </c>
      <c r="N186" s="20"/>
      <c r="O186" s="20"/>
      <c r="P186" s="128">
        <f>(Q170-S167)/Q170</f>
        <v>1</v>
      </c>
      <c r="Q186" s="128">
        <f>(Q170-T167)/Q170</f>
        <v>1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>
      <c r="B187" s="20" t="s">
        <v>300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5">
        <f>Q170/S141</f>
        <v>2.0310142998377225</v>
      </c>
      <c r="Q187" s="25">
        <f>Q170/T141</f>
        <v>14.575514387070715</v>
      </c>
      <c r="R187" s="20"/>
      <c r="S187" s="20"/>
      <c r="T187" s="115" t="s">
        <v>11</v>
      </c>
      <c r="U187" s="115" t="s">
        <v>12</v>
      </c>
      <c r="V187" s="115" t="s">
        <v>13</v>
      </c>
      <c r="W187" s="115" t="s">
        <v>14</v>
      </c>
      <c r="X187" s="115" t="s">
        <v>15</v>
      </c>
      <c r="Y187" s="115" t="s">
        <v>234</v>
      </c>
      <c r="Z187" s="115" t="s">
        <v>235</v>
      </c>
      <c r="AA187" s="115" t="s">
        <v>236</v>
      </c>
      <c r="AB187" s="115" t="s">
        <v>237</v>
      </c>
      <c r="AC187" s="115" t="s">
        <v>238</v>
      </c>
      <c r="AD187" s="115" t="s">
        <v>407</v>
      </c>
      <c r="AE187" s="115" t="s">
        <v>408</v>
      </c>
      <c r="AF187" s="115" t="s">
        <v>409</v>
      </c>
      <c r="AG187" s="115" t="s">
        <v>410</v>
      </c>
      <c r="AH187" s="115" t="s">
        <v>411</v>
      </c>
      <c r="AI187" s="115" t="s">
        <v>412</v>
      </c>
      <c r="AJ187" s="115" t="s">
        <v>413</v>
      </c>
      <c r="AK187" s="115" t="s">
        <v>414</v>
      </c>
      <c r="AL187" s="115" t="s">
        <v>415</v>
      </c>
      <c r="AM187" s="115" t="s">
        <v>416</v>
      </c>
      <c r="AN187" s="115" t="s">
        <v>417</v>
      </c>
      <c r="AO187" s="115" t="s">
        <v>418</v>
      </c>
      <c r="AP187" s="115" t="s">
        <v>419</v>
      </c>
      <c r="AQ187" s="115" t="s">
        <v>420</v>
      </c>
      <c r="AR187" s="115" t="s">
        <v>421</v>
      </c>
      <c r="AS187" s="115" t="s">
        <v>422</v>
      </c>
      <c r="AT187" s="115" t="s">
        <v>423</v>
      </c>
    </row>
    <row r="188" spans="2:46">
      <c r="B188" s="20" t="s">
        <v>371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152">
        <f>1/P187</f>
        <v>0.49236482484633404</v>
      </c>
      <c r="Q188" s="152">
        <f>1/Q187</f>
        <v>6.8608213298259654E-2</v>
      </c>
      <c r="R188" s="20"/>
      <c r="S188" s="20"/>
      <c r="T188" s="25">
        <f>Q170-T189</f>
        <v>177.62877589319936</v>
      </c>
      <c r="U188" s="25">
        <f>T188-U189</f>
        <v>101.63899058105871</v>
      </c>
      <c r="V188" s="25">
        <f t="shared" ref="V188:X188" si="410">U188-V189</f>
        <v>21.849716003311016</v>
      </c>
      <c r="W188" s="185">
        <f t="shared" si="410"/>
        <v>-61.929022303324061</v>
      </c>
      <c r="X188" s="185">
        <f t="shared" si="410"/>
        <v>-149.8966975252909</v>
      </c>
      <c r="Y188" s="185">
        <f>X188-Y189</f>
        <v>-242.26275650835606</v>
      </c>
      <c r="Z188" s="185">
        <f t="shared" ref="Z188:AC188" si="411">Y188-Z189</f>
        <v>-339.24711844057447</v>
      </c>
      <c r="AA188" s="185">
        <f t="shared" si="411"/>
        <v>-441.08069846940384</v>
      </c>
      <c r="AB188" s="185">
        <f t="shared" si="411"/>
        <v>-548.00595749967465</v>
      </c>
      <c r="AC188" s="185">
        <f t="shared" si="411"/>
        <v>-660.27747948145907</v>
      </c>
      <c r="AD188" s="185">
        <f t="shared" ref="AD188" si="412">AC188-AD189</f>
        <v>-778.16257756233267</v>
      </c>
      <c r="AE188" s="185">
        <f t="shared" ref="AE188" si="413">AD188-AE189</f>
        <v>-901.94193054724997</v>
      </c>
      <c r="AF188" s="185">
        <f t="shared" ref="AF188" si="414">AE188-AF189</f>
        <v>-1031.9102511814131</v>
      </c>
      <c r="AG188" s="185">
        <f t="shared" ref="AG188" si="415">AF188-AG189</f>
        <v>-1168.3769878472845</v>
      </c>
      <c r="AH188" s="185">
        <f t="shared" ref="AH188" si="416">AG188-AH189</f>
        <v>-1311.6670613464494</v>
      </c>
      <c r="AI188" s="185">
        <f t="shared" ref="AI188" si="417">AH188-AI189</f>
        <v>-1462.1216385205726</v>
      </c>
      <c r="AJ188" s="185">
        <f t="shared" ref="AJ188" si="418">AI188-AJ189</f>
        <v>-1620.0989445534019</v>
      </c>
      <c r="AK188" s="185">
        <f t="shared" ref="AK188" si="419">AJ188-AK189</f>
        <v>-1785.9751158878728</v>
      </c>
      <c r="AL188" s="185">
        <f t="shared" ref="AL188" si="420">AK188-AL189</f>
        <v>-1960.1450957890672</v>
      </c>
      <c r="AM188" s="185">
        <f t="shared" ref="AM188" si="421">AL188-AM189</f>
        <v>-2143.0235746853214</v>
      </c>
      <c r="AN188" s="185">
        <f t="shared" ref="AN188" si="422">AM188-AN189</f>
        <v>-2335.045977526388</v>
      </c>
      <c r="AO188" s="185">
        <f t="shared" ref="AO188" si="423">AN188-AO189</f>
        <v>-2536.669500509508</v>
      </c>
      <c r="AP188" s="185">
        <f t="shared" ref="AP188" si="424">AO188-AP189</f>
        <v>-2748.3741996417843</v>
      </c>
      <c r="AQ188" s="185">
        <f t="shared" ref="AQ188" si="425">AP188-AQ189</f>
        <v>-2970.6641337306742</v>
      </c>
      <c r="AR188" s="185">
        <f t="shared" ref="AR188" si="426">AQ188-AR189</f>
        <v>-3204.0685645240087</v>
      </c>
      <c r="AS188" s="185">
        <f t="shared" ref="AS188" si="427">AR188-AS189</f>
        <v>-3449.14321685701</v>
      </c>
      <c r="AT188" s="185">
        <f t="shared" ref="AT188" si="428">AS188-AT189</f>
        <v>-3706.4716018066611</v>
      </c>
    </row>
    <row r="189" spans="2:46">
      <c r="B189" s="20" t="s">
        <v>396</v>
      </c>
      <c r="C189" s="20"/>
      <c r="D189" s="20"/>
      <c r="E189" s="20"/>
      <c r="F189" s="20"/>
      <c r="G189" s="20"/>
      <c r="H189" s="20"/>
      <c r="I189" s="20"/>
      <c r="J189" s="20"/>
      <c r="K189" s="184">
        <f>P1</f>
        <v>0.05</v>
      </c>
      <c r="L189" s="20"/>
      <c r="M189" s="187">
        <v>3</v>
      </c>
      <c r="N189" s="20"/>
      <c r="O189" s="20"/>
      <c r="P189" s="181">
        <f>Q170/R140</f>
        <v>3.6271322371529879</v>
      </c>
      <c r="Q189" s="181" t="e">
        <f>Q170/S140</f>
        <v>#DIV/0!</v>
      </c>
      <c r="R189" s="20"/>
      <c r="S189" s="20"/>
      <c r="T189" s="186">
        <f>R140*(1+$K$189)</f>
        <v>72.371224106800625</v>
      </c>
      <c r="U189" s="186">
        <f>T189*(1+$K$189)</f>
        <v>75.989785312140654</v>
      </c>
      <c r="V189" s="186">
        <f t="shared" ref="V189:AC189" si="429">U189*(1+$K$189)</f>
        <v>79.78927457774769</v>
      </c>
      <c r="W189" s="186">
        <f t="shared" si="429"/>
        <v>83.778738306635077</v>
      </c>
      <c r="X189" s="186">
        <f t="shared" si="429"/>
        <v>87.967675221966829</v>
      </c>
      <c r="Y189" s="186">
        <f t="shared" si="429"/>
        <v>92.366058983065173</v>
      </c>
      <c r="Z189" s="186">
        <f t="shared" si="429"/>
        <v>96.984361932218434</v>
      </c>
      <c r="AA189" s="186">
        <f t="shared" si="429"/>
        <v>101.83358002882936</v>
      </c>
      <c r="AB189" s="186">
        <f t="shared" si="429"/>
        <v>106.92525903027084</v>
      </c>
      <c r="AC189" s="186">
        <f t="shared" si="429"/>
        <v>112.27152198178439</v>
      </c>
      <c r="AD189" s="186">
        <f t="shared" ref="AD189" si="430">AC189*(1+$K$189)</f>
        <v>117.88509808087362</v>
      </c>
      <c r="AE189" s="186">
        <f t="shared" ref="AE189" si="431">AD189*(1+$K$189)</f>
        <v>123.77935298491731</v>
      </c>
      <c r="AF189" s="186">
        <f t="shared" ref="AF189" si="432">AE189*(1+$K$189)</f>
        <v>129.96832063416318</v>
      </c>
      <c r="AG189" s="186">
        <f t="shared" ref="AG189" si="433">AF189*(1+$K$189)</f>
        <v>136.46673666587134</v>
      </c>
      <c r="AH189" s="186">
        <f t="shared" ref="AH189" si="434">AG189*(1+$K$189)</f>
        <v>143.29007349916492</v>
      </c>
      <c r="AI189" s="186">
        <f t="shared" ref="AI189" si="435">AH189*(1+$K$189)</f>
        <v>150.45457717412316</v>
      </c>
      <c r="AJ189" s="186">
        <f t="shared" ref="AJ189" si="436">AI189*(1+$K$189)</f>
        <v>157.97730603282932</v>
      </c>
      <c r="AK189" s="186">
        <f t="shared" ref="AK189" si="437">AJ189*(1+$K$189)</f>
        <v>165.8761713344708</v>
      </c>
      <c r="AL189" s="186">
        <f t="shared" ref="AL189" si="438">AK189*(1+$K$189)</f>
        <v>174.16997990119435</v>
      </c>
      <c r="AM189" s="186">
        <f t="shared" ref="AM189" si="439">AL189*(1+$K$189)</f>
        <v>182.87847889625408</v>
      </c>
      <c r="AN189" s="186">
        <f t="shared" ref="AN189" si="440">AM189*(1+$K$189)</f>
        <v>192.02240284106679</v>
      </c>
      <c r="AO189" s="186">
        <f t="shared" ref="AO189" si="441">AN189*(1+$K$189)</f>
        <v>201.62352298312015</v>
      </c>
      <c r="AP189" s="186">
        <f t="shared" ref="AP189" si="442">AO189*(1+$K$189)</f>
        <v>211.70469913227618</v>
      </c>
      <c r="AQ189" s="186">
        <f t="shared" ref="AQ189" si="443">AP189*(1+$K$189)</f>
        <v>222.28993408888999</v>
      </c>
      <c r="AR189" s="186">
        <f t="shared" ref="AR189" si="444">AQ189*(1+$K$189)</f>
        <v>233.40443079333451</v>
      </c>
      <c r="AS189" s="186">
        <f t="shared" ref="AS189" si="445">AR189*(1+$K$189)</f>
        <v>245.07465233300124</v>
      </c>
      <c r="AT189" s="186">
        <f t="shared" ref="AT189" si="446">AS189*(1+$K$189)</f>
        <v>257.32838494965131</v>
      </c>
    </row>
    <row r="190" spans="2:46">
      <c r="B190" s="20" t="s">
        <v>395</v>
      </c>
      <c r="C190" s="20"/>
      <c r="D190" s="20"/>
      <c r="E190" s="20"/>
      <c r="F190" s="20"/>
      <c r="G190" s="20"/>
      <c r="H190" s="20"/>
      <c r="I190" s="20"/>
      <c r="J190" s="20"/>
      <c r="K190" s="184">
        <f>P1</f>
        <v>0.05</v>
      </c>
      <c r="L190" s="20"/>
      <c r="M190" s="187">
        <v>7</v>
      </c>
      <c r="N190" s="20"/>
      <c r="O190" s="20"/>
      <c r="P190" s="181">
        <f>Q170/P54</f>
        <v>8.9155898290954561</v>
      </c>
      <c r="Q190" s="181">
        <f>Q170/Q54</f>
        <v>8.9155898290954561</v>
      </c>
      <c r="R190" s="20"/>
      <c r="S190" s="20"/>
      <c r="T190" s="186">
        <f>Q54*(1+$K$190)</f>
        <v>29.442808051055476</v>
      </c>
      <c r="U190" s="186">
        <f>T190*(1+$K$190)</f>
        <v>30.91494845360825</v>
      </c>
      <c r="V190" s="186">
        <f t="shared" ref="V190:AC190" si="447">U190*(1+$K$190)</f>
        <v>32.460695876288668</v>
      </c>
      <c r="W190" s="186">
        <f t="shared" si="447"/>
        <v>34.083730670103101</v>
      </c>
      <c r="X190" s="186">
        <f t="shared" si="447"/>
        <v>35.787917203608259</v>
      </c>
      <c r="Y190" s="186">
        <f t="shared" si="447"/>
        <v>37.577313063788672</v>
      </c>
      <c r="Z190" s="186">
        <f t="shared" si="447"/>
        <v>39.456178716978108</v>
      </c>
      <c r="AA190" s="186">
        <f t="shared" si="447"/>
        <v>41.428987652827018</v>
      </c>
      <c r="AB190" s="186">
        <f t="shared" si="447"/>
        <v>43.500437035468373</v>
      </c>
      <c r="AC190" s="186">
        <f t="shared" si="447"/>
        <v>45.675458887241795</v>
      </c>
      <c r="AD190" s="186">
        <f t="shared" ref="AD190" si="448">AC190*(1+$K$190)</f>
        <v>47.959231831603887</v>
      </c>
      <c r="AE190" s="186">
        <f t="shared" ref="AE190" si="449">AD190*(1+$K$190)</f>
        <v>50.357193423184086</v>
      </c>
      <c r="AF190" s="186">
        <f t="shared" ref="AF190" si="450">AE190*(1+$K$190)</f>
        <v>52.875053094343293</v>
      </c>
      <c r="AG190" s="186">
        <f t="shared" ref="AG190" si="451">AF190*(1+$K$190)</f>
        <v>55.518805749060462</v>
      </c>
      <c r="AH190" s="186">
        <f t="shared" ref="AH190" si="452">AG190*(1+$K$190)</f>
        <v>58.294746036513487</v>
      </c>
      <c r="AI190" s="186">
        <f t="shared" ref="AI190" si="453">AH190*(1+$K$190)</f>
        <v>61.209483338339162</v>
      </c>
      <c r="AJ190" s="186">
        <f t="shared" ref="AJ190" si="454">AI190*(1+$K$190)</f>
        <v>64.269957505256116</v>
      </c>
      <c r="AK190" s="186">
        <f t="shared" ref="AK190" si="455">AJ190*(1+$K$190)</f>
        <v>67.483455380518919</v>
      </c>
      <c r="AL190" s="186">
        <f t="shared" ref="AL190" si="456">AK190*(1+$K$190)</f>
        <v>70.857628149544865</v>
      </c>
      <c r="AM190" s="186">
        <f t="shared" ref="AM190" si="457">AL190*(1+$K$190)</f>
        <v>74.400509557022119</v>
      </c>
      <c r="AN190" s="186">
        <f t="shared" ref="AN190" si="458">AM190*(1+$K$190)</f>
        <v>78.120535034873228</v>
      </c>
      <c r="AO190" s="186">
        <f t="shared" ref="AO190" si="459">AN190*(1+$K$190)</f>
        <v>82.026561786616895</v>
      </c>
      <c r="AP190" s="186">
        <f t="shared" ref="AP190" si="460">AO190*(1+$K$190)</f>
        <v>86.127889875947744</v>
      </c>
      <c r="AQ190" s="186">
        <f t="shared" ref="AQ190" si="461">AP190*(1+$K$190)</f>
        <v>90.434284369745129</v>
      </c>
      <c r="AR190" s="186">
        <f t="shared" ref="AR190" si="462">AQ190*(1+$K$190)</f>
        <v>94.95599858823239</v>
      </c>
      <c r="AS190" s="186">
        <f t="shared" ref="AS190" si="463">AR190*(1+$K$190)</f>
        <v>99.703798517644017</v>
      </c>
      <c r="AT190" s="186">
        <f t="shared" ref="AT190" si="464">AS190*(1+$K$190)</f>
        <v>104.68898844352623</v>
      </c>
    </row>
    <row r="191" spans="2:46"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5">
        <f>Q170-T190</f>
        <v>220.55719194894453</v>
      </c>
      <c r="U191" s="25">
        <f>T191-U190</f>
        <v>189.64224349533629</v>
      </c>
      <c r="V191" s="25">
        <f t="shared" ref="V191:AA191" si="465">U191-V190</f>
        <v>157.18154761904762</v>
      </c>
      <c r="W191" s="25">
        <f t="shared" si="465"/>
        <v>123.09781694894451</v>
      </c>
      <c r="X191" s="25">
        <f t="shared" si="465"/>
        <v>87.309899745336253</v>
      </c>
      <c r="Y191" s="25">
        <f t="shared" si="465"/>
        <v>49.732586681547581</v>
      </c>
      <c r="Z191" s="25">
        <f t="shared" si="465"/>
        <v>10.276407964569472</v>
      </c>
      <c r="AA191" s="185">
        <f t="shared" si="465"/>
        <v>-31.152579688257546</v>
      </c>
      <c r="AB191" s="185">
        <f>AA191-AB190</f>
        <v>-74.653016723725926</v>
      </c>
      <c r="AC191" s="185">
        <f t="shared" ref="AC191" si="466">AB191-AC190</f>
        <v>-120.32847561096773</v>
      </c>
      <c r="AD191" s="185">
        <f t="shared" ref="AD191" si="467">AC191-AD190</f>
        <v>-168.28770744257162</v>
      </c>
      <c r="AE191" s="185">
        <f t="shared" ref="AE191" si="468">AD191-AE190</f>
        <v>-218.64490086575569</v>
      </c>
      <c r="AF191" s="185">
        <f t="shared" ref="AF191" si="469">AE191-AF190</f>
        <v>-271.51995396009897</v>
      </c>
      <c r="AG191" s="185">
        <f t="shared" ref="AG191" si="470">AF191-AG190</f>
        <v>-327.03875970915942</v>
      </c>
      <c r="AH191" s="185">
        <f t="shared" ref="AH191" si="471">AG191-AH190</f>
        <v>-385.33350574567294</v>
      </c>
      <c r="AI191" s="185">
        <f t="shared" ref="AI191" si="472">AH191-AI190</f>
        <v>-446.54298908401211</v>
      </c>
      <c r="AJ191" s="185">
        <f t="shared" ref="AJ191" si="473">AI191-AJ190</f>
        <v>-510.81294658926822</v>
      </c>
      <c r="AK191" s="185">
        <f t="shared" ref="AK191" si="474">AJ191-AK190</f>
        <v>-578.2964019697871</v>
      </c>
      <c r="AL191" s="185">
        <f t="shared" ref="AL191" si="475">AK191-AL190</f>
        <v>-649.15403011933199</v>
      </c>
      <c r="AM191" s="185">
        <f t="shared" ref="AM191" si="476">AL191-AM190</f>
        <v>-723.55453967635412</v>
      </c>
      <c r="AN191" s="185">
        <f t="shared" ref="AN191" si="477">AM191-AN190</f>
        <v>-801.67507471122735</v>
      </c>
      <c r="AO191" s="185">
        <f t="shared" ref="AO191" si="478">AN191-AO190</f>
        <v>-883.70163649784422</v>
      </c>
      <c r="AP191" s="185">
        <f t="shared" ref="AP191" si="479">AO191-AP190</f>
        <v>-969.82952637379196</v>
      </c>
      <c r="AQ191" s="185">
        <f t="shared" ref="AQ191" si="480">AP191-AQ190</f>
        <v>-1060.2638107435371</v>
      </c>
      <c r="AR191" s="185">
        <f t="shared" ref="AR191" si="481">AQ191-AR190</f>
        <v>-1155.2198093317695</v>
      </c>
      <c r="AS191" s="185">
        <f t="shared" ref="AS191" si="482">AR191-AS190</f>
        <v>-1254.9236078494134</v>
      </c>
      <c r="AT191" s="185">
        <f t="shared" ref="AT191" si="483">AS191-AT190</f>
        <v>-1359.6125962929395</v>
      </c>
    </row>
    <row r="192" spans="2:46">
      <c r="B192" s="108" t="s">
        <v>302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</row>
    <row r="193" spans="2:32">
      <c r="B193" s="20" t="s">
        <v>305</v>
      </c>
      <c r="C193" s="25" t="e">
        <f t="shared" ref="C193:P193" si="484">C10/C7</f>
        <v>#DIV/0!</v>
      </c>
      <c r="D193" s="25" t="e">
        <f t="shared" si="484"/>
        <v>#DIV/0!</v>
      </c>
      <c r="E193" s="25" t="e">
        <f t="shared" si="484"/>
        <v>#DIV/0!</v>
      </c>
      <c r="F193" s="25" t="e">
        <f t="shared" si="484"/>
        <v>#DIV/0!</v>
      </c>
      <c r="G193" s="25">
        <f t="shared" si="484"/>
        <v>0.34546232980259645</v>
      </c>
      <c r="H193" s="25">
        <f t="shared" si="484"/>
        <v>0.24997943233237352</v>
      </c>
      <c r="I193" s="25">
        <f t="shared" si="484"/>
        <v>0.26601254227733934</v>
      </c>
      <c r="J193" s="25">
        <f t="shared" si="484"/>
        <v>2.3983331584548739E-2</v>
      </c>
      <c r="K193" s="25">
        <f t="shared" si="484"/>
        <v>1.2102041339036447E-2</v>
      </c>
      <c r="L193" s="25">
        <f t="shared" si="484"/>
        <v>7.1121086930592145E-2</v>
      </c>
      <c r="M193" s="25">
        <f t="shared" si="484"/>
        <v>0.23396051515689406</v>
      </c>
      <c r="N193" s="25">
        <f t="shared" si="484"/>
        <v>5.2554909084602912E-2</v>
      </c>
      <c r="O193" s="25">
        <f t="shared" si="484"/>
        <v>0.11157367028488922</v>
      </c>
      <c r="P193" s="25">
        <f t="shared" si="484"/>
        <v>0.13431149758961763</v>
      </c>
      <c r="Q193" s="25">
        <f t="shared" ref="Q193" si="485">Q10/Q7</f>
        <v>0.13431149758961763</v>
      </c>
      <c r="R193" s="118">
        <f t="shared" ref="R193:R195" si="486">((P193/G193)^(1/($H$2-$H$1) ))-1</f>
        <v>-9.964765647556717E-2</v>
      </c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</row>
    <row r="194" spans="2:32">
      <c r="B194" s="20" t="s">
        <v>306</v>
      </c>
      <c r="C194" s="112" t="e">
        <f>C10/C12</f>
        <v>#DIV/0!</v>
      </c>
      <c r="D194" s="112" t="e">
        <f>D10/D12</f>
        <v>#DIV/0!</v>
      </c>
      <c r="E194" s="112" t="e">
        <f>E10/E12</f>
        <v>#DIV/0!</v>
      </c>
      <c r="F194" s="112" t="e">
        <f>F10/F12</f>
        <v>#DIV/0!</v>
      </c>
      <c r="G194" s="112">
        <f>G10/G12</f>
        <v>2.2043525235375832</v>
      </c>
      <c r="H194" s="112">
        <f t="shared" ref="H194:P194" si="487">H10/H12</f>
        <v>1.1891204383132765</v>
      </c>
      <c r="I194" s="112">
        <f t="shared" si="487"/>
        <v>1.6585392641405821</v>
      </c>
      <c r="J194" s="112">
        <f t="shared" si="487"/>
        <v>7.7388149939540504E-2</v>
      </c>
      <c r="K194" s="112">
        <f t="shared" si="487"/>
        <v>3.7717022550389147E-2</v>
      </c>
      <c r="L194" s="112">
        <f t="shared" si="487"/>
        <v>0.29029830928565103</v>
      </c>
      <c r="M194" s="112">
        <f t="shared" si="487"/>
        <v>1.05990886347391</v>
      </c>
      <c r="N194" s="112">
        <f t="shared" si="487"/>
        <v>0.29118424213307709</v>
      </c>
      <c r="O194" s="112">
        <f t="shared" si="487"/>
        <v>0.54584244684284122</v>
      </c>
      <c r="P194" s="112">
        <f t="shared" si="487"/>
        <v>1.042356898924512</v>
      </c>
      <c r="Q194" s="112">
        <f t="shared" ref="Q194" si="488">Q10/Q12</f>
        <v>1.042356898924512</v>
      </c>
      <c r="R194" s="118">
        <f t="shared" si="486"/>
        <v>-7.9848182073244067E-2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32">
      <c r="B195" s="20" t="s">
        <v>307</v>
      </c>
      <c r="C195" s="25" t="e">
        <f>C10/(C12+C13)</f>
        <v>#DIV/0!</v>
      </c>
      <c r="D195" s="25" t="e">
        <f>D10/(D12+D13)</f>
        <v>#DIV/0!</v>
      </c>
      <c r="E195" s="25" t="e">
        <f>E10/(E12+E13)</f>
        <v>#DIV/0!</v>
      </c>
      <c r="F195" s="25" t="e">
        <f>F10/(F12+F13)</f>
        <v>#DIV/0!</v>
      </c>
      <c r="G195" s="25">
        <f>G10/(G12+G13)</f>
        <v>1.5019455252918288</v>
      </c>
      <c r="H195" s="25">
        <f t="shared" ref="H195:P195" si="489">H10/(H12+H13)</f>
        <v>0.94392668530599566</v>
      </c>
      <c r="I195" s="25">
        <f t="shared" si="489"/>
        <v>1.192623598167746</v>
      </c>
      <c r="J195" s="25">
        <f t="shared" si="489"/>
        <v>6.5957622227718685E-2</v>
      </c>
      <c r="K195" s="25">
        <f t="shared" si="489"/>
        <v>3.1993770525104104E-2</v>
      </c>
      <c r="L195" s="25">
        <f t="shared" si="489"/>
        <v>0.25155327145815753</v>
      </c>
      <c r="M195" s="25">
        <f t="shared" si="489"/>
        <v>0.86138038703118758</v>
      </c>
      <c r="N195" s="25">
        <f t="shared" si="489"/>
        <v>0.25343926406021328</v>
      </c>
      <c r="O195" s="25">
        <f t="shared" si="489"/>
        <v>0.49410886429290141</v>
      </c>
      <c r="P195" s="25">
        <f t="shared" si="489"/>
        <v>0.94035958982848211</v>
      </c>
      <c r="Q195" s="25">
        <f t="shared" ref="Q195" si="490">Q10/(Q12+Q13)</f>
        <v>0.94035958982848211</v>
      </c>
      <c r="R195" s="118">
        <f t="shared" si="486"/>
        <v>-5.0697948056107944E-2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32"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32"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32">
      <c r="B198" s="20"/>
      <c r="C198" s="174" t="s">
        <v>377</v>
      </c>
      <c r="D198" s="175"/>
      <c r="E198" s="175"/>
      <c r="F198" s="175"/>
      <c r="G198" s="175"/>
      <c r="H198" s="175"/>
      <c r="I198" s="175"/>
      <c r="J198" s="175"/>
      <c r="K198" s="20"/>
      <c r="L198" s="197" t="s">
        <v>337</v>
      </c>
      <c r="M198" s="198"/>
      <c r="N198" s="199"/>
      <c r="O198" s="23" t="s">
        <v>340</v>
      </c>
      <c r="P198" s="20"/>
      <c r="Q198" s="137"/>
      <c r="R198" s="197" t="s">
        <v>338</v>
      </c>
      <c r="S198" s="198"/>
      <c r="T198" s="199"/>
      <c r="U198" s="23" t="s">
        <v>340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32">
      <c r="B199" s="20"/>
      <c r="C199" s="166" t="s">
        <v>339</v>
      </c>
      <c r="D199" s="166" t="s">
        <v>0</v>
      </c>
      <c r="E199" s="166" t="s">
        <v>378</v>
      </c>
      <c r="F199" s="166" t="s">
        <v>379</v>
      </c>
      <c r="G199" s="166" t="s">
        <v>380</v>
      </c>
      <c r="H199" s="166" t="s">
        <v>381</v>
      </c>
      <c r="I199" s="166" t="s">
        <v>382</v>
      </c>
      <c r="J199" s="166" t="s">
        <v>383</v>
      </c>
      <c r="K199" s="20"/>
      <c r="L199" s="166" t="s">
        <v>339</v>
      </c>
      <c r="M199" s="166"/>
      <c r="N199" s="166" t="s">
        <v>0</v>
      </c>
      <c r="O199" s="166" t="s">
        <v>372</v>
      </c>
      <c r="P199" s="20"/>
      <c r="Q199" s="20"/>
      <c r="R199" s="166" t="s">
        <v>339</v>
      </c>
      <c r="S199" s="166"/>
      <c r="T199" s="166" t="s">
        <v>0</v>
      </c>
      <c r="U199" s="166" t="s">
        <v>372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32">
      <c r="B200" s="20"/>
      <c r="C200" s="167" t="s">
        <v>341</v>
      </c>
      <c r="D200" s="21">
        <v>300</v>
      </c>
      <c r="E200" s="176" t="s">
        <v>384</v>
      </c>
      <c r="F200" s="22">
        <v>1</v>
      </c>
      <c r="G200" s="22">
        <v>2</v>
      </c>
      <c r="H200" s="167">
        <f>F200/G200</f>
        <v>0.5</v>
      </c>
      <c r="I200" s="167">
        <f>H200*D201</f>
        <v>0.5</v>
      </c>
      <c r="J200" s="177">
        <f>I200+D201</f>
        <v>1.5</v>
      </c>
      <c r="K200" s="20"/>
      <c r="L200" s="167" t="s">
        <v>341</v>
      </c>
      <c r="M200" s="167"/>
      <c r="N200" s="21">
        <v>140</v>
      </c>
      <c r="O200" s="173">
        <f>N200</f>
        <v>140</v>
      </c>
      <c r="P200" s="20"/>
      <c r="Q200" s="20"/>
      <c r="R200" s="167" t="s">
        <v>341</v>
      </c>
      <c r="S200" s="167"/>
      <c r="T200" s="21">
        <v>1</v>
      </c>
      <c r="U200" s="173">
        <f>T200</f>
        <v>1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32">
      <c r="B201" s="20"/>
      <c r="C201" s="167" t="s">
        <v>342</v>
      </c>
      <c r="D201" s="21">
        <v>1</v>
      </c>
      <c r="E201" s="176" t="s">
        <v>385</v>
      </c>
      <c r="F201" s="22">
        <v>1</v>
      </c>
      <c r="G201" s="22">
        <v>1</v>
      </c>
      <c r="H201" s="167">
        <f>F201/G201</f>
        <v>1</v>
      </c>
      <c r="I201" s="167">
        <f>H201*J200</f>
        <v>1.5</v>
      </c>
      <c r="J201" s="167">
        <f>I201+J200</f>
        <v>3</v>
      </c>
      <c r="K201" s="20"/>
      <c r="L201" s="167" t="s">
        <v>342</v>
      </c>
      <c r="M201" s="167"/>
      <c r="N201" s="21">
        <v>1</v>
      </c>
      <c r="O201" s="173">
        <f>N201</f>
        <v>1</v>
      </c>
      <c r="P201" s="20"/>
      <c r="Q201" s="20"/>
      <c r="R201" s="167" t="s">
        <v>342</v>
      </c>
      <c r="S201" s="167"/>
      <c r="T201" s="21">
        <v>1</v>
      </c>
      <c r="U201" s="173">
        <f>T201</f>
        <v>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32">
      <c r="B202" s="20"/>
      <c r="C202" s="167" t="s">
        <v>344</v>
      </c>
      <c r="D202" s="168">
        <f>D200*D201</f>
        <v>300</v>
      </c>
      <c r="E202" s="176" t="s">
        <v>397</v>
      </c>
      <c r="F202" s="22">
        <v>0</v>
      </c>
      <c r="G202" s="22">
        <v>1</v>
      </c>
      <c r="H202" s="167">
        <f>F202/G202</f>
        <v>0</v>
      </c>
      <c r="I202" s="167">
        <f>H202*J201</f>
        <v>0</v>
      </c>
      <c r="J202" s="167">
        <f>I202+J201</f>
        <v>3</v>
      </c>
      <c r="K202" s="20"/>
      <c r="L202" s="167" t="s">
        <v>343</v>
      </c>
      <c r="M202" s="167"/>
      <c r="N202" s="168">
        <f>N200*N201</f>
        <v>140</v>
      </c>
      <c r="O202" s="173">
        <f>N202</f>
        <v>140</v>
      </c>
      <c r="P202" s="20"/>
      <c r="Q202" s="20"/>
      <c r="R202" s="167" t="s">
        <v>344</v>
      </c>
      <c r="S202" s="167"/>
      <c r="T202" s="168">
        <f>T200*T201</f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32">
      <c r="B203" s="20"/>
      <c r="C203" s="167"/>
      <c r="D203" s="168"/>
      <c r="E203" s="176" t="s">
        <v>386</v>
      </c>
      <c r="F203" s="22">
        <v>10</v>
      </c>
      <c r="G203" s="22">
        <v>5</v>
      </c>
      <c r="H203" s="167">
        <f>F203/G203</f>
        <v>2</v>
      </c>
      <c r="I203" s="167">
        <f>H203*J202</f>
        <v>6</v>
      </c>
      <c r="J203" s="167">
        <f>I203</f>
        <v>6</v>
      </c>
      <c r="K203" s="20"/>
      <c r="L203" s="167" t="s">
        <v>345</v>
      </c>
      <c r="M203" s="167"/>
      <c r="N203" s="21">
        <v>380</v>
      </c>
      <c r="O203" s="21">
        <v>420</v>
      </c>
      <c r="P203" s="20"/>
      <c r="Q203" s="20"/>
      <c r="R203" s="167" t="s">
        <v>345</v>
      </c>
      <c r="S203" s="167"/>
      <c r="T203" s="21">
        <v>1</v>
      </c>
      <c r="U203" s="21"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32">
      <c r="B204" s="20"/>
      <c r="C204" s="167" t="s">
        <v>345</v>
      </c>
      <c r="D204" s="21">
        <v>420</v>
      </c>
      <c r="E204" s="176"/>
      <c r="F204" s="167"/>
      <c r="G204" s="167"/>
      <c r="H204" s="169" t="s">
        <v>387</v>
      </c>
      <c r="I204" s="167"/>
      <c r="J204" s="167">
        <f>J203</f>
        <v>6</v>
      </c>
      <c r="K204" s="20"/>
      <c r="L204" s="167" t="s">
        <v>346</v>
      </c>
      <c r="M204" s="167"/>
      <c r="N204" s="168">
        <f>N203*N201</f>
        <v>380</v>
      </c>
      <c r="O204" s="168">
        <f>O203*O201</f>
        <v>420</v>
      </c>
      <c r="P204" s="20"/>
      <c r="Q204" s="20"/>
      <c r="R204" s="167" t="s">
        <v>342</v>
      </c>
      <c r="S204" s="167"/>
      <c r="T204" s="21">
        <v>1</v>
      </c>
      <c r="U204" s="127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32">
      <c r="B205" s="20"/>
      <c r="C205" s="167" t="s">
        <v>342</v>
      </c>
      <c r="D205" s="21">
        <v>6</v>
      </c>
      <c r="E205" s="176" t="s">
        <v>386</v>
      </c>
      <c r="F205" s="22">
        <v>10</v>
      </c>
      <c r="G205" s="22">
        <v>2</v>
      </c>
      <c r="H205" s="167">
        <f>F205/G205</f>
        <v>5</v>
      </c>
      <c r="I205" s="177">
        <f>H205*D201</f>
        <v>5</v>
      </c>
      <c r="J205" s="177">
        <f>I205</f>
        <v>5</v>
      </c>
      <c r="K205" s="20"/>
      <c r="L205" s="167"/>
      <c r="M205" s="167"/>
      <c r="N205" s="168"/>
      <c r="O205" s="168"/>
      <c r="P205" s="20"/>
      <c r="Q205" s="20"/>
      <c r="R205" s="167" t="s">
        <v>344</v>
      </c>
      <c r="S205" s="167"/>
      <c r="T205" s="168">
        <f>T204*T203</f>
        <v>1</v>
      </c>
      <c r="U205" s="168">
        <f>U204*U203</f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32">
      <c r="B206" s="20"/>
      <c r="C206" s="167" t="s">
        <v>344</v>
      </c>
      <c r="D206" s="168">
        <f>D205*D204</f>
        <v>2520</v>
      </c>
      <c r="E206" s="167"/>
      <c r="F206" s="167"/>
      <c r="G206" s="167"/>
      <c r="H206" s="169" t="s">
        <v>387</v>
      </c>
      <c r="I206" s="167"/>
      <c r="J206" s="167">
        <f>J205</f>
        <v>5</v>
      </c>
      <c r="K206" s="20"/>
      <c r="L206" s="167"/>
      <c r="M206" s="167"/>
      <c r="N206" s="168"/>
      <c r="O206" s="168"/>
      <c r="P206" s="20"/>
      <c r="Q206" s="20"/>
      <c r="R206" s="167"/>
      <c r="S206" s="167"/>
      <c r="T206" s="168"/>
      <c r="U206" s="168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32">
      <c r="B207" s="20"/>
      <c r="C207" s="167"/>
      <c r="D207" s="168"/>
      <c r="E207" s="176" t="s">
        <v>386</v>
      </c>
      <c r="F207" s="22">
        <v>10</v>
      </c>
      <c r="G207" s="22">
        <v>2</v>
      </c>
      <c r="H207" s="167">
        <f>F207/G207</f>
        <v>5</v>
      </c>
      <c r="I207" s="167">
        <f>H207*J206</f>
        <v>25</v>
      </c>
      <c r="J207" s="167">
        <f>I207</f>
        <v>25</v>
      </c>
      <c r="K207" s="20"/>
      <c r="L207" s="169" t="s">
        <v>347</v>
      </c>
      <c r="M207" s="169"/>
      <c r="N207" s="170">
        <f>N204/N202</f>
        <v>2.7142857142857144</v>
      </c>
      <c r="O207" s="170">
        <f>O204/O202</f>
        <v>3</v>
      </c>
      <c r="P207" s="20"/>
      <c r="Q207" s="20"/>
      <c r="R207" s="169" t="s">
        <v>347</v>
      </c>
      <c r="S207" s="169"/>
      <c r="T207" s="170">
        <f>T205/T202</f>
        <v>1</v>
      </c>
      <c r="U207" s="170">
        <f>U205/U202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32">
      <c r="B208" s="20"/>
      <c r="C208" s="169" t="s">
        <v>347</v>
      </c>
      <c r="D208" s="170">
        <f>D206/D202</f>
        <v>8.4</v>
      </c>
      <c r="E208" s="176"/>
      <c r="F208" s="167"/>
      <c r="G208" s="167"/>
      <c r="H208" s="169" t="s">
        <v>387</v>
      </c>
      <c r="I208" s="167"/>
      <c r="J208" s="167">
        <f>J207</f>
        <v>25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>
      <c r="B210" s="20"/>
      <c r="C210" s="20"/>
      <c r="D210" s="137"/>
      <c r="E210" s="178"/>
      <c r="F210" s="178"/>
      <c r="G210" s="179"/>
      <c r="H210" s="20"/>
      <c r="I210" s="137"/>
      <c r="J210" s="178"/>
      <c r="K210" s="179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ht="14.25">
      <c r="B211" s="20"/>
      <c r="C211" s="20"/>
      <c r="D211" s="190" t="s">
        <v>27</v>
      </c>
      <c r="E211" s="191"/>
      <c r="F211" s="191"/>
      <c r="G211" s="192"/>
      <c r="H211" s="20"/>
      <c r="I211" s="190" t="s">
        <v>392</v>
      </c>
      <c r="J211" s="191"/>
      <c r="K211" s="192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>
      <c r="B212" s="20"/>
      <c r="C212" s="20"/>
      <c r="D212" s="20" t="s">
        <v>28</v>
      </c>
      <c r="E212" s="127"/>
      <c r="F212" s="127"/>
      <c r="G212" s="21">
        <f>D202</f>
        <v>300</v>
      </c>
      <c r="H212" s="20"/>
      <c r="I212" s="20" t="s">
        <v>28</v>
      </c>
      <c r="J212" s="127"/>
      <c r="K212" s="21">
        <f>G212</f>
        <v>300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>
      <c r="B213" s="20"/>
      <c r="C213" s="20"/>
      <c r="D213" s="20" t="s">
        <v>29</v>
      </c>
      <c r="E213" s="127"/>
      <c r="F213" s="127"/>
      <c r="G213" s="21">
        <f>D206</f>
        <v>2520</v>
      </c>
      <c r="H213" s="20"/>
      <c r="I213" s="20" t="s">
        <v>29</v>
      </c>
      <c r="J213" s="20"/>
      <c r="K213" s="21">
        <f>G213</f>
        <v>2520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>
      <c r="B214" s="20"/>
      <c r="C214" s="20"/>
      <c r="D214" s="20" t="s">
        <v>30</v>
      </c>
      <c r="E214" s="20"/>
      <c r="F214" s="20"/>
      <c r="G214" s="22"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>
      <c r="B215" s="20"/>
      <c r="C215" s="20"/>
      <c r="D215" s="23" t="s">
        <v>31</v>
      </c>
      <c r="E215" s="3"/>
      <c r="F215" s="3"/>
      <c r="G215" s="3">
        <f>((G213/G212)^(1/G214))-1</f>
        <v>7.4</v>
      </c>
      <c r="H215" s="20"/>
      <c r="I215" s="23" t="s">
        <v>393</v>
      </c>
      <c r="J215" s="23"/>
      <c r="K215" s="210">
        <f>(K213-K212)/K212</f>
        <v>7.4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>
      <c r="B216" s="20"/>
      <c r="C216" s="20"/>
      <c r="D216" s="23" t="s">
        <v>32</v>
      </c>
      <c r="E216" s="165"/>
      <c r="F216" s="165"/>
      <c r="G216" s="24">
        <f>G214*12</f>
        <v>12</v>
      </c>
      <c r="H216" s="20"/>
      <c r="I216" s="23" t="s">
        <v>394</v>
      </c>
      <c r="J216" s="23"/>
      <c r="K216" s="211">
        <f>K213/K212</f>
        <v>8.4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>
      <c r="B217" s="20"/>
      <c r="C217" s="20"/>
      <c r="D217" s="20" t="s">
        <v>30</v>
      </c>
      <c r="E217" s="25"/>
      <c r="F217" s="25"/>
      <c r="G217" s="25">
        <f>G216/12</f>
        <v>1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>
      <c r="B218" s="20"/>
      <c r="C218" s="20"/>
      <c r="D218" s="23" t="s">
        <v>33</v>
      </c>
      <c r="E218" s="3"/>
      <c r="F218" s="3"/>
      <c r="G218" s="3">
        <f>((G213/G212)^(1/G217))-1</f>
        <v>7.4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>
      <c r="C220" s="20"/>
      <c r="D220" s="20"/>
      <c r="E220" s="20"/>
      <c r="F220" s="20"/>
      <c r="G220" s="20"/>
      <c r="H220" s="20"/>
      <c r="I220" s="20"/>
      <c r="J220" s="20"/>
      <c r="K220" s="20"/>
    </row>
  </sheetData>
  <mergeCells count="7">
    <mergeCell ref="D211:G211"/>
    <mergeCell ref="I211:K211"/>
    <mergeCell ref="AE2:AF2"/>
    <mergeCell ref="AE3:AF3"/>
    <mergeCell ref="L198:N198"/>
    <mergeCell ref="R198:T198"/>
    <mergeCell ref="K181:L181"/>
  </mergeCells>
  <pageMargins left="0.7" right="0.7" top="0.75" bottom="0.75" header="0.3" footer="0.3"/>
  <pageSetup orientation="portrait" r:id="rId1"/>
  <ignoredErrors>
    <ignoredError sqref="C172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A5" zoomScale="80" zoomScaleNormal="80" workbookViewId="0">
      <selection activeCell="F26" sqref="F26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2" t="s">
        <v>27</v>
      </c>
      <c r="K5" s="202"/>
      <c r="M5" s="202" t="s">
        <v>65</v>
      </c>
      <c r="N5" s="202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2" t="s">
        <v>36</v>
      </c>
      <c r="K14" s="202"/>
      <c r="L14" s="202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202" t="s">
        <v>27</v>
      </c>
      <c r="S5" s="202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2" t="s">
        <v>36</v>
      </c>
      <c r="S14" s="202"/>
      <c r="T14" s="202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202" t="s">
        <v>27</v>
      </c>
      <c r="C2" s="202"/>
      <c r="E2" s="202" t="s">
        <v>65</v>
      </c>
      <c r="F2" s="202"/>
      <c r="H2" s="206" t="s">
        <v>36</v>
      </c>
      <c r="I2" s="207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203" t="s">
        <v>68</v>
      </c>
      <c r="E10" s="204"/>
      <c r="F10" s="204"/>
      <c r="G10" s="204"/>
      <c r="H10" s="205"/>
      <c r="I10" s="203" t="s">
        <v>72</v>
      </c>
      <c r="J10" s="204"/>
      <c r="K10" s="204"/>
      <c r="L10" s="205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88"/>
    <col min="2" max="2" width="16.5703125" style="188" customWidth="1"/>
    <col min="3" max="3" width="39.7109375" style="188" customWidth="1"/>
    <col min="4" max="5" width="9.140625" style="188"/>
    <col min="6" max="6" width="19" style="188" bestFit="1" customWidth="1"/>
    <col min="7" max="7" width="49" style="188" customWidth="1"/>
    <col min="8" max="16384" width="9.140625" style="188"/>
  </cols>
  <sheetData>
    <row r="3" spans="2:7">
      <c r="B3" s="208" t="s">
        <v>431</v>
      </c>
      <c r="C3" s="209"/>
      <c r="F3" s="208" t="s">
        <v>432</v>
      </c>
      <c r="G3" s="209"/>
    </row>
    <row r="4" spans="2:7">
      <c r="B4" s="189" t="s">
        <v>433</v>
      </c>
      <c r="C4" s="189"/>
      <c r="F4" s="189" t="s">
        <v>434</v>
      </c>
      <c r="G4" s="189"/>
    </row>
    <row r="5" spans="2:7">
      <c r="B5" s="189" t="s">
        <v>435</v>
      </c>
      <c r="C5" s="189"/>
      <c r="F5" s="189" t="s">
        <v>292</v>
      </c>
      <c r="G5" s="189"/>
    </row>
    <row r="6" spans="2:7">
      <c r="B6" s="189" t="s">
        <v>436</v>
      </c>
      <c r="C6" s="189"/>
      <c r="F6" s="189" t="s">
        <v>437</v>
      </c>
      <c r="G6" s="189"/>
    </row>
    <row r="7" spans="2:7">
      <c r="B7" s="189" t="s">
        <v>438</v>
      </c>
      <c r="C7" s="189"/>
      <c r="F7" s="189" t="s">
        <v>439</v>
      </c>
      <c r="G7" s="189"/>
    </row>
    <row r="8" spans="2:7">
      <c r="B8" s="189" t="s">
        <v>440</v>
      </c>
      <c r="C8" s="189"/>
      <c r="F8" s="189" t="s">
        <v>441</v>
      </c>
      <c r="G8" s="189"/>
    </row>
    <row r="9" spans="2:7">
      <c r="B9" s="189" t="s">
        <v>442</v>
      </c>
      <c r="C9" s="189"/>
      <c r="F9" s="189" t="s">
        <v>443</v>
      </c>
      <c r="G9" s="189"/>
    </row>
    <row r="10" spans="2:7">
      <c r="B10" s="189" t="s">
        <v>441</v>
      </c>
      <c r="C10" s="189"/>
      <c r="F10" s="189"/>
      <c r="G10" s="189"/>
    </row>
    <row r="11" spans="2:7">
      <c r="B11" s="189" t="s">
        <v>444</v>
      </c>
      <c r="C11" s="189"/>
      <c r="F11" s="189"/>
      <c r="G11" s="189"/>
    </row>
    <row r="12" spans="2:7">
      <c r="B12" s="189" t="s">
        <v>445</v>
      </c>
      <c r="C12" s="189"/>
      <c r="F12" s="189"/>
      <c r="G12" s="189"/>
    </row>
    <row r="13" spans="2:7">
      <c r="B13" s="189"/>
      <c r="C13" s="189"/>
      <c r="F13" s="189"/>
      <c r="G13" s="189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2014-05-17T16:27:03Z</dcterms:modified>
</cp:coreProperties>
</file>
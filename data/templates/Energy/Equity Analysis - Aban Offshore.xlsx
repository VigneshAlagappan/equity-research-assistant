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25725"/>
</workbook>
</file>

<file path=xl/calcChain.xml><?xml version="1.0" encoding="utf-8"?>
<calcChain xmlns="http://schemas.openxmlformats.org/spreadsheetml/2006/main">
  <c r="S39" i="18"/>
  <c r="AD31"/>
  <c r="R31"/>
  <c r="S31" s="1"/>
  <c r="T31" s="1"/>
  <c r="U31" s="1"/>
  <c r="V31" s="1"/>
  <c r="W31" s="1"/>
  <c r="X31" s="1"/>
  <c r="Y31" s="1"/>
  <c r="Z31" s="1"/>
  <c r="AA31" s="1"/>
  <c r="AB31" s="1"/>
  <c r="Q31"/>
  <c r="G86"/>
  <c r="H86"/>
  <c r="I86"/>
  <c r="J86"/>
  <c r="K86"/>
  <c r="L86"/>
  <c r="M86"/>
  <c r="N86"/>
  <c r="O86"/>
  <c r="P86"/>
  <c r="Q86" s="1"/>
  <c r="O12"/>
  <c r="N12"/>
  <c r="M12"/>
  <c r="L12"/>
  <c r="Q158"/>
  <c r="K157"/>
  <c r="Q155"/>
  <c r="K155"/>
  <c r="F94"/>
  <c r="H94"/>
  <c r="I94"/>
  <c r="J94"/>
  <c r="K94"/>
  <c r="L94"/>
  <c r="M94"/>
  <c r="N94"/>
  <c r="O94"/>
  <c r="P94"/>
  <c r="G94"/>
  <c r="F93"/>
  <c r="H93"/>
  <c r="I93"/>
  <c r="J93"/>
  <c r="K93"/>
  <c r="L93"/>
  <c r="M93"/>
  <c r="N93"/>
  <c r="O93"/>
  <c r="P93"/>
  <c r="G93"/>
  <c r="AC31" l="1"/>
  <c r="AE31"/>
  <c r="K160"/>
  <c r="Q160"/>
  <c r="Q94"/>
  <c r="Q93"/>
  <c r="R9"/>
  <c r="R10"/>
  <c r="R12"/>
  <c r="R13"/>
  <c r="R14"/>
  <c r="R15"/>
  <c r="R17"/>
  <c r="R19"/>
  <c r="R20"/>
  <c r="R21"/>
  <c r="R22"/>
  <c r="R24"/>
  <c r="R26"/>
  <c r="R28"/>
  <c r="R30"/>
  <c r="S30" s="1"/>
  <c r="T30" s="1"/>
  <c r="U30" s="1"/>
  <c r="V30" s="1"/>
  <c r="W30" s="1"/>
  <c r="X30" s="1"/>
  <c r="Y30" s="1"/>
  <c r="Z30" s="1"/>
  <c r="AA30" s="1"/>
  <c r="AB30" s="1"/>
  <c r="R32"/>
  <c r="R33"/>
  <c r="R35"/>
  <c r="R37"/>
  <c r="R7"/>
  <c r="R6"/>
  <c r="AD9"/>
  <c r="AD10"/>
  <c r="AD11"/>
  <c r="AD12"/>
  <c r="AD13"/>
  <c r="AD14"/>
  <c r="AD15"/>
  <c r="AD17"/>
  <c r="AD19"/>
  <c r="AD20"/>
  <c r="AD21"/>
  <c r="AD22"/>
  <c r="AD24"/>
  <c r="AD26"/>
  <c r="AD28"/>
  <c r="AD30"/>
  <c r="AD32"/>
  <c r="AD33"/>
  <c r="AD35"/>
  <c r="AD37"/>
  <c r="AD39"/>
  <c r="AD40"/>
  <c r="AD43"/>
  <c r="AD44"/>
  <c r="AD46"/>
  <c r="AD47"/>
  <c r="AD48"/>
  <c r="AD49"/>
  <c r="AD51"/>
  <c r="AD52"/>
  <c r="AD53"/>
  <c r="AD55"/>
  <c r="AD56"/>
  <c r="AD57"/>
  <c r="AD58"/>
  <c r="AD60"/>
  <c r="AD61"/>
  <c r="AD63"/>
  <c r="AD65"/>
  <c r="AD66"/>
  <c r="AD67"/>
  <c r="AD68"/>
  <c r="AD69"/>
  <c r="AD71"/>
  <c r="AD72"/>
  <c r="AD73"/>
  <c r="AD7"/>
  <c r="AD6"/>
  <c r="G83" l="1"/>
  <c r="F83"/>
  <c r="H83"/>
  <c r="I83"/>
  <c r="J83"/>
  <c r="K83"/>
  <c r="L83"/>
  <c r="M83"/>
  <c r="N83"/>
  <c r="O83"/>
  <c r="P83"/>
  <c r="Q83" l="1"/>
  <c r="H81"/>
  <c r="I81"/>
  <c r="J81"/>
  <c r="K81"/>
  <c r="L81"/>
  <c r="M81"/>
  <c r="N81"/>
  <c r="O81"/>
  <c r="P81"/>
  <c r="H82"/>
  <c r="I82"/>
  <c r="J82"/>
  <c r="K82"/>
  <c r="L82"/>
  <c r="M82"/>
  <c r="N82"/>
  <c r="O82"/>
  <c r="P82"/>
  <c r="G82"/>
  <c r="G81"/>
  <c r="S28"/>
  <c r="T28" s="1"/>
  <c r="U28" s="1"/>
  <c r="V28" s="1"/>
  <c r="W28" s="1"/>
  <c r="X28" s="1"/>
  <c r="Y28" s="1"/>
  <c r="Z28" s="1"/>
  <c r="AA28" s="1"/>
  <c r="AB28" s="1"/>
  <c r="Q28"/>
  <c r="P29"/>
  <c r="O29"/>
  <c r="N29"/>
  <c r="M29"/>
  <c r="L29"/>
  <c r="K29"/>
  <c r="J29"/>
  <c r="I29"/>
  <c r="H29"/>
  <c r="G29"/>
  <c r="Q80"/>
  <c r="Q82" l="1"/>
  <c r="Q81"/>
  <c r="AE28"/>
  <c r="AC28"/>
  <c r="H85"/>
  <c r="I85"/>
  <c r="J85"/>
  <c r="K85"/>
  <c r="L85"/>
  <c r="M85"/>
  <c r="N85"/>
  <c r="O85"/>
  <c r="P85"/>
  <c r="G85"/>
  <c r="H84"/>
  <c r="I84"/>
  <c r="J84"/>
  <c r="K84"/>
  <c r="L84"/>
  <c r="M84"/>
  <c r="N84"/>
  <c r="O84"/>
  <c r="P84"/>
  <c r="G84"/>
  <c r="Q84" l="1"/>
  <c r="Q85"/>
  <c r="AE60"/>
  <c r="C136" l="1"/>
  <c r="D136"/>
  <c r="E136"/>
  <c r="F136"/>
  <c r="G136"/>
  <c r="H136"/>
  <c r="I136"/>
  <c r="J136"/>
  <c r="K136"/>
  <c r="L136"/>
  <c r="M136"/>
  <c r="N136"/>
  <c r="O136"/>
  <c r="P136"/>
  <c r="C9" i="15"/>
  <c r="D61" i="18"/>
  <c r="E61"/>
  <c r="E88" s="1"/>
  <c r="E89" s="1"/>
  <c r="F61"/>
  <c r="F88" s="1"/>
  <c r="F89" s="1"/>
  <c r="G61"/>
  <c r="G88" s="1"/>
  <c r="G89" s="1"/>
  <c r="H61"/>
  <c r="H88" s="1"/>
  <c r="H89" s="1"/>
  <c r="I61"/>
  <c r="I88" s="1"/>
  <c r="I89" s="1"/>
  <c r="J61"/>
  <c r="J88" s="1"/>
  <c r="J89" s="1"/>
  <c r="K61"/>
  <c r="K88" s="1"/>
  <c r="K89" s="1"/>
  <c r="L61"/>
  <c r="L88" s="1"/>
  <c r="L89" s="1"/>
  <c r="M61"/>
  <c r="M88" s="1"/>
  <c r="M89" s="1"/>
  <c r="N61"/>
  <c r="N88" s="1"/>
  <c r="N89" s="1"/>
  <c r="O61"/>
  <c r="O88" s="1"/>
  <c r="O89" s="1"/>
  <c r="P61"/>
  <c r="P88" s="1"/>
  <c r="C61"/>
  <c r="S40"/>
  <c r="S61" s="1"/>
  <c r="S88" s="1"/>
  <c r="S89" s="1"/>
  <c r="Q40"/>
  <c r="N91" l="1"/>
  <c r="N90"/>
  <c r="J91"/>
  <c r="J90"/>
  <c r="L91"/>
  <c r="L90"/>
  <c r="H91"/>
  <c r="H90"/>
  <c r="M91"/>
  <c r="M90"/>
  <c r="I91"/>
  <c r="I90"/>
  <c r="F91"/>
  <c r="F90"/>
  <c r="O91"/>
  <c r="O90"/>
  <c r="K91"/>
  <c r="K90"/>
  <c r="G91"/>
  <c r="G90"/>
  <c r="P89"/>
  <c r="Q88"/>
  <c r="T40"/>
  <c r="U40" s="1"/>
  <c r="V40" s="1"/>
  <c r="W40" s="1"/>
  <c r="P90" l="1"/>
  <c r="Q89"/>
  <c r="U61"/>
  <c r="X40"/>
  <c r="W61"/>
  <c r="V61"/>
  <c r="T61"/>
  <c r="C71"/>
  <c r="D71"/>
  <c r="E71"/>
  <c r="F71"/>
  <c r="G71"/>
  <c r="H71"/>
  <c r="I71"/>
  <c r="J71"/>
  <c r="K71"/>
  <c r="L71"/>
  <c r="M71"/>
  <c r="N71"/>
  <c r="O71"/>
  <c r="C72"/>
  <c r="D72"/>
  <c r="E72"/>
  <c r="F72"/>
  <c r="G72"/>
  <c r="H72"/>
  <c r="I72"/>
  <c r="J72"/>
  <c r="K72"/>
  <c r="L72"/>
  <c r="M72"/>
  <c r="N72"/>
  <c r="O72"/>
  <c r="C73"/>
  <c r="D73"/>
  <c r="E73"/>
  <c r="F73"/>
  <c r="G73"/>
  <c r="H73"/>
  <c r="I73"/>
  <c r="J73"/>
  <c r="K73"/>
  <c r="L73"/>
  <c r="M73"/>
  <c r="N73"/>
  <c r="O73"/>
  <c r="P73"/>
  <c r="P72"/>
  <c r="P71"/>
  <c r="C79"/>
  <c r="D79"/>
  <c r="E79"/>
  <c r="F79"/>
  <c r="G79"/>
  <c r="H79"/>
  <c r="I79"/>
  <c r="J79"/>
  <c r="K79"/>
  <c r="L79"/>
  <c r="M79"/>
  <c r="N79"/>
  <c r="O79"/>
  <c r="P79"/>
  <c r="C77"/>
  <c r="D77"/>
  <c r="E77"/>
  <c r="C78"/>
  <c r="D78"/>
  <c r="E78"/>
  <c r="F78"/>
  <c r="G78"/>
  <c r="H78"/>
  <c r="I78"/>
  <c r="J78"/>
  <c r="K78"/>
  <c r="L78"/>
  <c r="M78"/>
  <c r="N78"/>
  <c r="O78"/>
  <c r="F77"/>
  <c r="G77"/>
  <c r="H77"/>
  <c r="I77"/>
  <c r="J77"/>
  <c r="K77"/>
  <c r="L77"/>
  <c r="M77"/>
  <c r="N77"/>
  <c r="O77"/>
  <c r="P78"/>
  <c r="G38"/>
  <c r="G36"/>
  <c r="G27"/>
  <c r="G11"/>
  <c r="G8"/>
  <c r="G25"/>
  <c r="Q73" l="1"/>
  <c r="Y40"/>
  <c r="X61"/>
  <c r="Q71"/>
  <c r="Q72"/>
  <c r="Q78"/>
  <c r="Q79"/>
  <c r="P77"/>
  <c r="Q77" s="1"/>
  <c r="C146"/>
  <c r="D146"/>
  <c r="E146"/>
  <c r="F146"/>
  <c r="C147"/>
  <c r="D147"/>
  <c r="E147"/>
  <c r="F147"/>
  <c r="C148"/>
  <c r="D148"/>
  <c r="E148"/>
  <c r="F148"/>
  <c r="H148"/>
  <c r="I148"/>
  <c r="J148"/>
  <c r="K148"/>
  <c r="L148"/>
  <c r="M148"/>
  <c r="N148"/>
  <c r="O148"/>
  <c r="P148"/>
  <c r="G148"/>
  <c r="H147"/>
  <c r="I147"/>
  <c r="J147"/>
  <c r="K147"/>
  <c r="L147"/>
  <c r="M147"/>
  <c r="N147"/>
  <c r="O147"/>
  <c r="P147"/>
  <c r="G147"/>
  <c r="H146"/>
  <c r="I146"/>
  <c r="J146"/>
  <c r="K146"/>
  <c r="L146"/>
  <c r="M146"/>
  <c r="N146"/>
  <c r="O146"/>
  <c r="P146"/>
  <c r="G146"/>
  <c r="H44"/>
  <c r="I44"/>
  <c r="J44"/>
  <c r="K44"/>
  <c r="L44"/>
  <c r="M44"/>
  <c r="N44"/>
  <c r="O44"/>
  <c r="P44"/>
  <c r="C44"/>
  <c r="D44"/>
  <c r="E44"/>
  <c r="F44"/>
  <c r="G44"/>
  <c r="G46"/>
  <c r="G135" s="1"/>
  <c r="H43"/>
  <c r="I43"/>
  <c r="J43"/>
  <c r="K43"/>
  <c r="L43"/>
  <c r="M43"/>
  <c r="N43"/>
  <c r="O43"/>
  <c r="P43"/>
  <c r="C43"/>
  <c r="D43"/>
  <c r="E43"/>
  <c r="F43"/>
  <c r="G43"/>
  <c r="P38"/>
  <c r="O38"/>
  <c r="N38"/>
  <c r="M38"/>
  <c r="L38"/>
  <c r="K38"/>
  <c r="J38"/>
  <c r="I38"/>
  <c r="H38"/>
  <c r="P36"/>
  <c r="O36"/>
  <c r="N36"/>
  <c r="M36"/>
  <c r="L36"/>
  <c r="K36"/>
  <c r="J36"/>
  <c r="I36"/>
  <c r="H36"/>
  <c r="P27"/>
  <c r="O27"/>
  <c r="N27"/>
  <c r="M27"/>
  <c r="L27"/>
  <c r="K27"/>
  <c r="J27"/>
  <c r="I27"/>
  <c r="H27"/>
  <c r="P25"/>
  <c r="O25"/>
  <c r="N25"/>
  <c r="M25"/>
  <c r="L25"/>
  <c r="K25"/>
  <c r="J25"/>
  <c r="I25"/>
  <c r="H25"/>
  <c r="P11"/>
  <c r="O11"/>
  <c r="N11"/>
  <c r="M11"/>
  <c r="L11"/>
  <c r="K11"/>
  <c r="J11"/>
  <c r="I11"/>
  <c r="H11"/>
  <c r="I8"/>
  <c r="J8"/>
  <c r="K8"/>
  <c r="L8"/>
  <c r="M8"/>
  <c r="N8"/>
  <c r="O8"/>
  <c r="P8"/>
  <c r="H8"/>
  <c r="Q39"/>
  <c r="S35"/>
  <c r="Q35"/>
  <c r="Z40" l="1"/>
  <c r="Y61"/>
  <c r="T35"/>
  <c r="Q148"/>
  <c r="Q44"/>
  <c r="Q43"/>
  <c r="Q147"/>
  <c r="Q146"/>
  <c r="Q30"/>
  <c r="Q33"/>
  <c r="AA40" l="1"/>
  <c r="Z61"/>
  <c r="U35"/>
  <c r="I68"/>
  <c r="J68"/>
  <c r="K68"/>
  <c r="L68"/>
  <c r="M68"/>
  <c r="N68"/>
  <c r="O68"/>
  <c r="P68"/>
  <c r="I69"/>
  <c r="J69"/>
  <c r="K69"/>
  <c r="L69"/>
  <c r="M69"/>
  <c r="N69"/>
  <c r="O69"/>
  <c r="P69"/>
  <c r="I63"/>
  <c r="I65" s="1"/>
  <c r="J63"/>
  <c r="J65" s="1"/>
  <c r="K63"/>
  <c r="K65" s="1"/>
  <c r="L63"/>
  <c r="L65" s="1"/>
  <c r="M63"/>
  <c r="M65" s="1"/>
  <c r="N63"/>
  <c r="N65" s="1"/>
  <c r="O63"/>
  <c r="O65" s="1"/>
  <c r="P63"/>
  <c r="P65" s="1"/>
  <c r="I66"/>
  <c r="J66"/>
  <c r="K66"/>
  <c r="L66"/>
  <c r="M66"/>
  <c r="N66"/>
  <c r="O66"/>
  <c r="P66"/>
  <c r="I67"/>
  <c r="J67"/>
  <c r="K67"/>
  <c r="L67"/>
  <c r="M67"/>
  <c r="N67"/>
  <c r="O67"/>
  <c r="P67"/>
  <c r="C66"/>
  <c r="D66"/>
  <c r="E66"/>
  <c r="F66"/>
  <c r="G66"/>
  <c r="C67"/>
  <c r="D67"/>
  <c r="E67"/>
  <c r="F67"/>
  <c r="G67"/>
  <c r="C68"/>
  <c r="D68"/>
  <c r="E68"/>
  <c r="F68"/>
  <c r="G68"/>
  <c r="C69"/>
  <c r="D69"/>
  <c r="E69"/>
  <c r="F69"/>
  <c r="G69"/>
  <c r="H69"/>
  <c r="H68"/>
  <c r="S22"/>
  <c r="T22" s="1"/>
  <c r="U22" s="1"/>
  <c r="V22" s="1"/>
  <c r="W22" s="1"/>
  <c r="X22" s="1"/>
  <c r="Y22" s="1"/>
  <c r="Z22" s="1"/>
  <c r="AA22" s="1"/>
  <c r="AB22" s="1"/>
  <c r="AE22" s="1"/>
  <c r="Q22"/>
  <c r="S21"/>
  <c r="T21" s="1"/>
  <c r="U21" s="1"/>
  <c r="V21" s="1"/>
  <c r="W21" s="1"/>
  <c r="X21" s="1"/>
  <c r="Y21" s="1"/>
  <c r="Z21" s="1"/>
  <c r="AA21" s="1"/>
  <c r="AB21" s="1"/>
  <c r="S20"/>
  <c r="Q19"/>
  <c r="C63"/>
  <c r="C65" s="1"/>
  <c r="D63"/>
  <c r="D65" s="1"/>
  <c r="E63"/>
  <c r="E65" s="1"/>
  <c r="F63"/>
  <c r="F65" s="1"/>
  <c r="G63"/>
  <c r="G65" s="1"/>
  <c r="H63"/>
  <c r="H65" s="1"/>
  <c r="H67"/>
  <c r="H66"/>
  <c r="AE30" l="1"/>
  <c r="AC30"/>
  <c r="AC21"/>
  <c r="AE21"/>
  <c r="AB40"/>
  <c r="AE40" s="1"/>
  <c r="AA61"/>
  <c r="V35"/>
  <c r="Q68"/>
  <c r="Q69"/>
  <c r="Q67"/>
  <c r="Q65"/>
  <c r="Q66"/>
  <c r="AC22"/>
  <c r="Q21"/>
  <c r="Q20"/>
  <c r="Q63"/>
  <c r="S19"/>
  <c r="T20"/>
  <c r="Q61"/>
  <c r="Q129"/>
  <c r="T19" l="1"/>
  <c r="T63" s="1"/>
  <c r="S63"/>
  <c r="AB61"/>
  <c r="AC40"/>
  <c r="U20"/>
  <c r="C19" i="15"/>
  <c r="S9" i="18"/>
  <c r="T9" s="1"/>
  <c r="U9" s="1"/>
  <c r="V9" s="1"/>
  <c r="W9" s="1"/>
  <c r="X9" s="1"/>
  <c r="Y9" s="1"/>
  <c r="Z9" s="1"/>
  <c r="AA9" s="1"/>
  <c r="AB9" s="1"/>
  <c r="AE9" s="1"/>
  <c r="Q37"/>
  <c r="Q32"/>
  <c r="Q26"/>
  <c r="Q24"/>
  <c r="Q17"/>
  <c r="Q15"/>
  <c r="Q14"/>
  <c r="Q13"/>
  <c r="Q12"/>
  <c r="Q10"/>
  <c r="Q9"/>
  <c r="Q7"/>
  <c r="Q6"/>
  <c r="S17"/>
  <c r="S24"/>
  <c r="S26"/>
  <c r="S32"/>
  <c r="T32" s="1"/>
  <c r="U32" s="1"/>
  <c r="V32" s="1"/>
  <c r="W32" s="1"/>
  <c r="X32" s="1"/>
  <c r="Y32" s="1"/>
  <c r="Z32" s="1"/>
  <c r="AA32" s="1"/>
  <c r="AB32" s="1"/>
  <c r="AE32" s="1"/>
  <c r="S33"/>
  <c r="T33" s="1"/>
  <c r="U33" s="1"/>
  <c r="V33" s="1"/>
  <c r="W33" s="1"/>
  <c r="X33" s="1"/>
  <c r="Y33" s="1"/>
  <c r="Z33" s="1"/>
  <c r="AA33" s="1"/>
  <c r="AB33" s="1"/>
  <c r="AE33" s="1"/>
  <c r="W35"/>
  <c r="O59"/>
  <c r="O133" s="1"/>
  <c r="O58"/>
  <c r="O56"/>
  <c r="O55"/>
  <c r="O53"/>
  <c r="O134" s="1"/>
  <c r="O52"/>
  <c r="O51"/>
  <c r="O49"/>
  <c r="O48"/>
  <c r="O131" s="1"/>
  <c r="O47"/>
  <c r="O46"/>
  <c r="S86" l="1"/>
  <c r="P91"/>
  <c r="Q91" s="1"/>
  <c r="Q90"/>
  <c r="S81"/>
  <c r="S94"/>
  <c r="S93"/>
  <c r="T17"/>
  <c r="S117"/>
  <c r="AE61"/>
  <c r="O130"/>
  <c r="O135"/>
  <c r="U19"/>
  <c r="AC61"/>
  <c r="T117" s="1"/>
  <c r="T26"/>
  <c r="X35"/>
  <c r="T24"/>
  <c r="S77"/>
  <c r="V20"/>
  <c r="AC32"/>
  <c r="AC33"/>
  <c r="AC9"/>
  <c r="O57"/>
  <c r="O132" s="1"/>
  <c r="D53"/>
  <c r="E53"/>
  <c r="F53"/>
  <c r="G53"/>
  <c r="G134" s="1"/>
  <c r="H53"/>
  <c r="H134" s="1"/>
  <c r="I53"/>
  <c r="I134" s="1"/>
  <c r="J53"/>
  <c r="J134" s="1"/>
  <c r="K53"/>
  <c r="K134" s="1"/>
  <c r="L53"/>
  <c r="L134" s="1"/>
  <c r="M53"/>
  <c r="M134" s="1"/>
  <c r="N53"/>
  <c r="N134" s="1"/>
  <c r="P53"/>
  <c r="C53"/>
  <c r="C52"/>
  <c r="T86" l="1"/>
  <c r="T81"/>
  <c r="T94"/>
  <c r="T93"/>
  <c r="U17"/>
  <c r="R117"/>
  <c r="P140" s="1"/>
  <c r="V19"/>
  <c r="U63"/>
  <c r="U26"/>
  <c r="U24"/>
  <c r="T77"/>
  <c r="Y35"/>
  <c r="W20"/>
  <c r="P134"/>
  <c r="Q134" s="1"/>
  <c r="Q53"/>
  <c r="D52"/>
  <c r="E52"/>
  <c r="F52"/>
  <c r="G52"/>
  <c r="H52"/>
  <c r="I52"/>
  <c r="J52"/>
  <c r="K52"/>
  <c r="L52"/>
  <c r="M52"/>
  <c r="N52"/>
  <c r="P52"/>
  <c r="D51"/>
  <c r="E51"/>
  <c r="F51"/>
  <c r="G51"/>
  <c r="H51"/>
  <c r="I51"/>
  <c r="J51"/>
  <c r="K51"/>
  <c r="L51"/>
  <c r="M51"/>
  <c r="N51"/>
  <c r="P51"/>
  <c r="C51"/>
  <c r="U86" l="1"/>
  <c r="U81"/>
  <c r="U94"/>
  <c r="U93"/>
  <c r="V17"/>
  <c r="W19"/>
  <c r="V63"/>
  <c r="V26"/>
  <c r="V24"/>
  <c r="V86" s="1"/>
  <c r="U77"/>
  <c r="Z35"/>
  <c r="X20"/>
  <c r="Q51"/>
  <c r="Q52"/>
  <c r="C46" i="15"/>
  <c r="V81" i="18" l="1"/>
  <c r="V94"/>
  <c r="V93"/>
  <c r="W17"/>
  <c r="X19"/>
  <c r="W63"/>
  <c r="W26"/>
  <c r="W24"/>
  <c r="W86" s="1"/>
  <c r="V77"/>
  <c r="AA35"/>
  <c r="Y20"/>
  <c r="S129"/>
  <c r="C46"/>
  <c r="D46"/>
  <c r="E46"/>
  <c r="F46"/>
  <c r="H46"/>
  <c r="H135" s="1"/>
  <c r="I46"/>
  <c r="J46"/>
  <c r="K46"/>
  <c r="L46"/>
  <c r="L135" s="1"/>
  <c r="M46"/>
  <c r="N46"/>
  <c r="N135" s="1"/>
  <c r="P46"/>
  <c r="D59"/>
  <c r="D133" s="1"/>
  <c r="E59"/>
  <c r="E133" s="1"/>
  <c r="F59"/>
  <c r="F133" s="1"/>
  <c r="G59"/>
  <c r="H59"/>
  <c r="H133" s="1"/>
  <c r="I59"/>
  <c r="I133" s="1"/>
  <c r="J59"/>
  <c r="J133" s="1"/>
  <c r="K59"/>
  <c r="K133" s="1"/>
  <c r="L59"/>
  <c r="L133" s="1"/>
  <c r="M59"/>
  <c r="M133" s="1"/>
  <c r="N59"/>
  <c r="P59"/>
  <c r="D58"/>
  <c r="E58"/>
  <c r="F58"/>
  <c r="G58"/>
  <c r="H58"/>
  <c r="I58"/>
  <c r="J58"/>
  <c r="K58"/>
  <c r="L58"/>
  <c r="M58"/>
  <c r="N58"/>
  <c r="P58"/>
  <c r="D56"/>
  <c r="E56"/>
  <c r="F56"/>
  <c r="G56"/>
  <c r="H56"/>
  <c r="I56"/>
  <c r="J56"/>
  <c r="K56"/>
  <c r="L56"/>
  <c r="M56"/>
  <c r="N56"/>
  <c r="P56"/>
  <c r="D55"/>
  <c r="D57" s="1"/>
  <c r="D132" s="1"/>
  <c r="E55"/>
  <c r="E57" s="1"/>
  <c r="E132" s="1"/>
  <c r="F55"/>
  <c r="G55"/>
  <c r="H55"/>
  <c r="I55"/>
  <c r="J55"/>
  <c r="K55"/>
  <c r="L55"/>
  <c r="M55"/>
  <c r="N55"/>
  <c r="P55"/>
  <c r="D49"/>
  <c r="E49"/>
  <c r="F49"/>
  <c r="G49"/>
  <c r="H49"/>
  <c r="I49"/>
  <c r="J49"/>
  <c r="K49"/>
  <c r="L49"/>
  <c r="M49"/>
  <c r="N49"/>
  <c r="P49"/>
  <c r="D48"/>
  <c r="D131" s="1"/>
  <c r="E48"/>
  <c r="E131" s="1"/>
  <c r="F48"/>
  <c r="F131" s="1"/>
  <c r="G48"/>
  <c r="H48"/>
  <c r="H131" s="1"/>
  <c r="I48"/>
  <c r="I131" s="1"/>
  <c r="J48"/>
  <c r="J131" s="1"/>
  <c r="K48"/>
  <c r="K131" s="1"/>
  <c r="L48"/>
  <c r="L131" s="1"/>
  <c r="M48"/>
  <c r="M131" s="1"/>
  <c r="N48"/>
  <c r="P48"/>
  <c r="C59"/>
  <c r="C133" s="1"/>
  <c r="C58"/>
  <c r="C56"/>
  <c r="C55"/>
  <c r="C49"/>
  <c r="C48"/>
  <c r="C131" s="1"/>
  <c r="D47"/>
  <c r="E47"/>
  <c r="F47"/>
  <c r="G47"/>
  <c r="H47"/>
  <c r="I47"/>
  <c r="J47"/>
  <c r="K47"/>
  <c r="L47"/>
  <c r="M47"/>
  <c r="N47"/>
  <c r="P47"/>
  <c r="C47"/>
  <c r="S14"/>
  <c r="S15"/>
  <c r="S37"/>
  <c r="S10"/>
  <c r="S12"/>
  <c r="S82" s="1"/>
  <c r="S13"/>
  <c r="S7"/>
  <c r="S6"/>
  <c r="S85" l="1"/>
  <c r="S90"/>
  <c r="S91" s="1"/>
  <c r="W81"/>
  <c r="W94"/>
  <c r="W93"/>
  <c r="S83"/>
  <c r="S84"/>
  <c r="X17"/>
  <c r="D130"/>
  <c r="D134" s="1"/>
  <c r="D135"/>
  <c r="E130"/>
  <c r="E134" s="1"/>
  <c r="E135"/>
  <c r="C130"/>
  <c r="C134" s="1"/>
  <c r="C135"/>
  <c r="P130"/>
  <c r="P135"/>
  <c r="K130"/>
  <c r="K135"/>
  <c r="F130"/>
  <c r="F134" s="1"/>
  <c r="F135"/>
  <c r="J130"/>
  <c r="J135"/>
  <c r="M130"/>
  <c r="M135"/>
  <c r="I130"/>
  <c r="I135"/>
  <c r="H130"/>
  <c r="Q99"/>
  <c r="Y19"/>
  <c r="X63"/>
  <c r="H57"/>
  <c r="H132" s="1"/>
  <c r="X26"/>
  <c r="T12"/>
  <c r="T82" s="1"/>
  <c r="T14"/>
  <c r="T13"/>
  <c r="T10"/>
  <c r="T15"/>
  <c r="T6"/>
  <c r="T7"/>
  <c r="X24"/>
  <c r="X86" s="1"/>
  <c r="W77"/>
  <c r="T37"/>
  <c r="S79"/>
  <c r="S78"/>
  <c r="AB35"/>
  <c r="AE35" s="1"/>
  <c r="F57"/>
  <c r="F132" s="1"/>
  <c r="L57"/>
  <c r="L132" s="1"/>
  <c r="K57"/>
  <c r="K132" s="1"/>
  <c r="J57"/>
  <c r="J132" s="1"/>
  <c r="Z20"/>
  <c r="C57"/>
  <c r="C132" s="1"/>
  <c r="T129"/>
  <c r="I57"/>
  <c r="I132" s="1"/>
  <c r="Q47"/>
  <c r="G131"/>
  <c r="Q48"/>
  <c r="Q49"/>
  <c r="Q56"/>
  <c r="Q58"/>
  <c r="G130"/>
  <c r="Q46"/>
  <c r="G133"/>
  <c r="Q59"/>
  <c r="G57"/>
  <c r="Q55"/>
  <c r="N131"/>
  <c r="N130"/>
  <c r="N133"/>
  <c r="P131"/>
  <c r="L130"/>
  <c r="N57"/>
  <c r="M57"/>
  <c r="M132" s="1"/>
  <c r="P133"/>
  <c r="P57"/>
  <c r="S56"/>
  <c r="C6" i="12"/>
  <c r="C26" i="15"/>
  <c r="C58"/>
  <c r="C57"/>
  <c r="C54"/>
  <c r="C53"/>
  <c r="C50"/>
  <c r="C49"/>
  <c r="C45"/>
  <c r="X81" i="18" l="1"/>
  <c r="X94"/>
  <c r="X93"/>
  <c r="T83"/>
  <c r="T84"/>
  <c r="T85"/>
  <c r="Y17"/>
  <c r="Z19"/>
  <c r="Y63"/>
  <c r="S55"/>
  <c r="S72"/>
  <c r="S51"/>
  <c r="S53"/>
  <c r="S134" s="1"/>
  <c r="S59"/>
  <c r="S133" s="1"/>
  <c r="S69"/>
  <c r="S71"/>
  <c r="S44"/>
  <c r="S43"/>
  <c r="S52"/>
  <c r="S48"/>
  <c r="S49"/>
  <c r="S58"/>
  <c r="S47"/>
  <c r="S73"/>
  <c r="S46"/>
  <c r="Y26"/>
  <c r="U14"/>
  <c r="U13"/>
  <c r="U12"/>
  <c r="U82" s="1"/>
  <c r="S57"/>
  <c r="U15"/>
  <c r="U10"/>
  <c r="U7"/>
  <c r="U6"/>
  <c r="AC35"/>
  <c r="Y24"/>
  <c r="X77"/>
  <c r="U37"/>
  <c r="T79"/>
  <c r="T78"/>
  <c r="T39"/>
  <c r="T88" s="1"/>
  <c r="T89" s="1"/>
  <c r="T90" s="1"/>
  <c r="T91" s="1"/>
  <c r="S66"/>
  <c r="S67"/>
  <c r="S68"/>
  <c r="S65"/>
  <c r="AA20"/>
  <c r="U129"/>
  <c r="Q131"/>
  <c r="Q130"/>
  <c r="Q133"/>
  <c r="G132"/>
  <c r="Q57"/>
  <c r="N132"/>
  <c r="P132"/>
  <c r="C16" i="15"/>
  <c r="C21"/>
  <c r="C10"/>
  <c r="Y86" i="18" l="1"/>
  <c r="T55"/>
  <c r="Y81"/>
  <c r="Y94"/>
  <c r="Y93"/>
  <c r="U83"/>
  <c r="U84"/>
  <c r="U85"/>
  <c r="T51"/>
  <c r="Z17"/>
  <c r="AA19"/>
  <c r="Z63"/>
  <c r="T53"/>
  <c r="T134" s="1"/>
  <c r="T59"/>
  <c r="T133" s="1"/>
  <c r="T69"/>
  <c r="T71"/>
  <c r="T43"/>
  <c r="T44"/>
  <c r="T48"/>
  <c r="T47"/>
  <c r="T58"/>
  <c r="T73"/>
  <c r="T52"/>
  <c r="T49"/>
  <c r="T46"/>
  <c r="T56"/>
  <c r="T72"/>
  <c r="Z26"/>
  <c r="V13"/>
  <c r="V12"/>
  <c r="V82" s="1"/>
  <c r="V14"/>
  <c r="V10"/>
  <c r="V15"/>
  <c r="V6"/>
  <c r="V7"/>
  <c r="V37"/>
  <c r="U79"/>
  <c r="U78"/>
  <c r="Z24"/>
  <c r="Y77"/>
  <c r="U39"/>
  <c r="U88" s="1"/>
  <c r="U89" s="1"/>
  <c r="U90" s="1"/>
  <c r="U91" s="1"/>
  <c r="T68"/>
  <c r="T67"/>
  <c r="T66"/>
  <c r="T65"/>
  <c r="AB20"/>
  <c r="AE20" s="1"/>
  <c r="S132"/>
  <c r="V129"/>
  <c r="S130"/>
  <c r="S131"/>
  <c r="Q132"/>
  <c r="D31" i="8"/>
  <c r="D29"/>
  <c r="D28"/>
  <c r="D13"/>
  <c r="D30" s="1"/>
  <c r="E14"/>
  <c r="F14" s="1"/>
  <c r="G14" s="1"/>
  <c r="H14" s="1"/>
  <c r="I14" s="1"/>
  <c r="Z86" i="18" l="1"/>
  <c r="U55"/>
  <c r="T57"/>
  <c r="T132" s="1"/>
  <c r="Z81"/>
  <c r="Z94"/>
  <c r="Z93"/>
  <c r="V83"/>
  <c r="V85"/>
  <c r="V84"/>
  <c r="AA17"/>
  <c r="AB19"/>
  <c r="AE19" s="1"/>
  <c r="AA63"/>
  <c r="U73"/>
  <c r="U72"/>
  <c r="U51"/>
  <c r="U59"/>
  <c r="U133" s="1"/>
  <c r="U58"/>
  <c r="U53"/>
  <c r="U134" s="1"/>
  <c r="U56"/>
  <c r="U47"/>
  <c r="U69"/>
  <c r="U71"/>
  <c r="U44"/>
  <c r="U43"/>
  <c r="U52"/>
  <c r="U48"/>
  <c r="U49"/>
  <c r="U46"/>
  <c r="AA26"/>
  <c r="W12"/>
  <c r="W82" s="1"/>
  <c r="W14"/>
  <c r="W13"/>
  <c r="W15"/>
  <c r="W10"/>
  <c r="W7"/>
  <c r="W6"/>
  <c r="AA24"/>
  <c r="AA86" s="1"/>
  <c r="Z77"/>
  <c r="W37"/>
  <c r="V78"/>
  <c r="V79"/>
  <c r="V39"/>
  <c r="V88" s="1"/>
  <c r="V89" s="1"/>
  <c r="V90" s="1"/>
  <c r="V91" s="1"/>
  <c r="U68"/>
  <c r="U66"/>
  <c r="U67"/>
  <c r="U65"/>
  <c r="AC20"/>
  <c r="W129"/>
  <c r="T130"/>
  <c r="T13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U57" i="18" l="1"/>
  <c r="U132" s="1"/>
  <c r="AA81"/>
  <c r="AA94"/>
  <c r="AA93"/>
  <c r="V58"/>
  <c r="W83"/>
  <c r="W85"/>
  <c r="W84"/>
  <c r="AB17"/>
  <c r="V73"/>
  <c r="V49"/>
  <c r="V56"/>
  <c r="AC19"/>
  <c r="AB63"/>
  <c r="V47"/>
  <c r="V55"/>
  <c r="V52"/>
  <c r="V72"/>
  <c r="V48"/>
  <c r="V53"/>
  <c r="V134" s="1"/>
  <c r="V69"/>
  <c r="V71"/>
  <c r="V43"/>
  <c r="V44"/>
  <c r="V51"/>
  <c r="V59"/>
  <c r="V133" s="1"/>
  <c r="V46"/>
  <c r="AB26"/>
  <c r="AE26" s="1"/>
  <c r="X14"/>
  <c r="X13"/>
  <c r="X12"/>
  <c r="X82" s="1"/>
  <c r="X10"/>
  <c r="X15"/>
  <c r="X6"/>
  <c r="X7"/>
  <c r="X37"/>
  <c r="W79"/>
  <c r="W78"/>
  <c r="AB24"/>
  <c r="AA77"/>
  <c r="W39"/>
  <c r="W88" s="1"/>
  <c r="W89" s="1"/>
  <c r="W90" s="1"/>
  <c r="W91" s="1"/>
  <c r="V68"/>
  <c r="V66"/>
  <c r="V67"/>
  <c r="V65"/>
  <c r="X129"/>
  <c r="U130"/>
  <c r="U13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2"/>
  <c r="N33" s="1"/>
  <c r="N34" s="1"/>
  <c r="N35" s="1"/>
  <c r="N36" s="1"/>
  <c r="N37" s="1"/>
  <c r="N38" s="1"/>
  <c r="N39" s="1"/>
  <c r="N40" s="1"/>
  <c r="N41" s="1"/>
  <c r="N42" s="1"/>
  <c r="N31"/>
  <c r="P31" s="1"/>
  <c r="M45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B86" i="18" l="1"/>
  <c r="AC86" s="1"/>
  <c r="V57"/>
  <c r="V132" s="1"/>
  <c r="W56"/>
  <c r="AB81"/>
  <c r="AC81" s="1"/>
  <c r="AB94"/>
  <c r="AC94" s="1"/>
  <c r="AB93"/>
  <c r="AC93" s="1"/>
  <c r="X83"/>
  <c r="X85"/>
  <c r="X84"/>
  <c r="AE24"/>
  <c r="AE17"/>
  <c r="AC17"/>
  <c r="S119"/>
  <c r="AE63"/>
  <c r="AC63"/>
  <c r="M32" i="9"/>
  <c r="M33" s="1"/>
  <c r="M34" s="1"/>
  <c r="M35" s="1"/>
  <c r="M36" s="1"/>
  <c r="M37" s="1"/>
  <c r="M38" s="1"/>
  <c r="M39" s="1"/>
  <c r="M40" s="1"/>
  <c r="M41" s="1"/>
  <c r="P32"/>
  <c r="W59" i="18"/>
  <c r="W133" s="1"/>
  <c r="W58"/>
  <c r="W53"/>
  <c r="W134" s="1"/>
  <c r="W55"/>
  <c r="W52"/>
  <c r="W72"/>
  <c r="W51"/>
  <c r="W73"/>
  <c r="W69"/>
  <c r="W71"/>
  <c r="W44"/>
  <c r="W43"/>
  <c r="W47"/>
  <c r="W48"/>
  <c r="W49"/>
  <c r="W46"/>
  <c r="AC26"/>
  <c r="Y12"/>
  <c r="Y82" s="1"/>
  <c r="Y14"/>
  <c r="Y13"/>
  <c r="Y10"/>
  <c r="Y15"/>
  <c r="Y7"/>
  <c r="Y6"/>
  <c r="AC24"/>
  <c r="AB77"/>
  <c r="AC77" s="1"/>
  <c r="Y37"/>
  <c r="X79"/>
  <c r="X78"/>
  <c r="O31" i="9"/>
  <c r="O32" s="1"/>
  <c r="X39" i="18"/>
  <c r="X88" s="1"/>
  <c r="X89" s="1"/>
  <c r="X90" s="1"/>
  <c r="X91" s="1"/>
  <c r="W68"/>
  <c r="W66"/>
  <c r="W67"/>
  <c r="W65"/>
  <c r="Y129"/>
  <c r="V130"/>
  <c r="V131"/>
  <c r="P31" i="11"/>
  <c r="N32"/>
  <c r="T19" i="9"/>
  <c r="D22"/>
  <c r="W57" i="18" l="1"/>
  <c r="W132" s="1"/>
  <c r="X49"/>
  <c r="Y83"/>
  <c r="Y84"/>
  <c r="Y85"/>
  <c r="T119"/>
  <c r="R119" s="1"/>
  <c r="X51"/>
  <c r="X58"/>
  <c r="X46"/>
  <c r="X53"/>
  <c r="X134" s="1"/>
  <c r="X48"/>
  <c r="X47"/>
  <c r="X69"/>
  <c r="X71"/>
  <c r="X44"/>
  <c r="X43"/>
  <c r="X73"/>
  <c r="X52"/>
  <c r="X59"/>
  <c r="X133" s="1"/>
  <c r="X56"/>
  <c r="X55"/>
  <c r="X72"/>
  <c r="Z13"/>
  <c r="Z12"/>
  <c r="Z82" s="1"/>
  <c r="Z14"/>
  <c r="Z10"/>
  <c r="Z15"/>
  <c r="Z6"/>
  <c r="Z7"/>
  <c r="Z37"/>
  <c r="Y79"/>
  <c r="Y78"/>
  <c r="Y39"/>
  <c r="Y88" s="1"/>
  <c r="Y89" s="1"/>
  <c r="Y90" s="1"/>
  <c r="Y91" s="1"/>
  <c r="X68"/>
  <c r="X66"/>
  <c r="X67"/>
  <c r="X65"/>
  <c r="Z129"/>
  <c r="W130"/>
  <c r="W13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Z83" i="18" l="1"/>
  <c r="Z84"/>
  <c r="Z85"/>
  <c r="X57"/>
  <c r="X132" s="1"/>
  <c r="Y69"/>
  <c r="Y71"/>
  <c r="Y43"/>
  <c r="Y44"/>
  <c r="Y53"/>
  <c r="Y134" s="1"/>
  <c r="Y59"/>
  <c r="Y133" s="1"/>
  <c r="Y58"/>
  <c r="Y56"/>
  <c r="Y47"/>
  <c r="Y46"/>
  <c r="Y52"/>
  <c r="Y48"/>
  <c r="Y49"/>
  <c r="Y55"/>
  <c r="Y72"/>
  <c r="Y51"/>
  <c r="Y73"/>
  <c r="AA12"/>
  <c r="AA82" s="1"/>
  <c r="AA14"/>
  <c r="AA13"/>
  <c r="AA10"/>
  <c r="AA15"/>
  <c r="AA7"/>
  <c r="AA6"/>
  <c r="AA37"/>
  <c r="Z78"/>
  <c r="Z79"/>
  <c r="Z39"/>
  <c r="Z88" s="1"/>
  <c r="Z89" s="1"/>
  <c r="Z90" s="1"/>
  <c r="Z91" s="1"/>
  <c r="Y68"/>
  <c r="Y66"/>
  <c r="Y67"/>
  <c r="Y65"/>
  <c r="AA129"/>
  <c r="X130"/>
  <c r="X131"/>
  <c r="N34" i="11"/>
  <c r="O33"/>
  <c r="D25" i="8"/>
  <c r="D23"/>
  <c r="AA83" i="18" l="1"/>
  <c r="AA84"/>
  <c r="AA85"/>
  <c r="Y57"/>
  <c r="Y132" s="1"/>
  <c r="Z69"/>
  <c r="Z71"/>
  <c r="Z44"/>
  <c r="Z43"/>
  <c r="Z47"/>
  <c r="Z58"/>
  <c r="Z48"/>
  <c r="Z53"/>
  <c r="Z134" s="1"/>
  <c r="Z56"/>
  <c r="Z55"/>
  <c r="Z73"/>
  <c r="Z59"/>
  <c r="Z133" s="1"/>
  <c r="Z46"/>
  <c r="Z52"/>
  <c r="Z72"/>
  <c r="Z51"/>
  <c r="Z49"/>
  <c r="AB14"/>
  <c r="AE14" s="1"/>
  <c r="AB13"/>
  <c r="AE13" s="1"/>
  <c r="AB12"/>
  <c r="AB10"/>
  <c r="AB15"/>
  <c r="AE15" s="1"/>
  <c r="AB6"/>
  <c r="AE6" s="1"/>
  <c r="AB7"/>
  <c r="AE7" s="1"/>
  <c r="AB37"/>
  <c r="AA79"/>
  <c r="AA78"/>
  <c r="AA39"/>
  <c r="AA88" s="1"/>
  <c r="AA89" s="1"/>
  <c r="AA90" s="1"/>
  <c r="AA91" s="1"/>
  <c r="Z68"/>
  <c r="Z66"/>
  <c r="Z67"/>
  <c r="Z65"/>
  <c r="AB129"/>
  <c r="Y130"/>
  <c r="Y131"/>
  <c r="N35" i="11"/>
  <c r="O34"/>
  <c r="D35" i="8"/>
  <c r="E5"/>
  <c r="E18" s="1"/>
  <c r="D18"/>
  <c r="D19"/>
  <c r="D21"/>
  <c r="D20"/>
  <c r="AE10" i="18" l="1"/>
  <c r="AB83"/>
  <c r="AC83" s="1"/>
  <c r="AE12"/>
  <c r="AB82"/>
  <c r="AC82" s="1"/>
  <c r="AE37"/>
  <c r="AB84"/>
  <c r="AC84" s="1"/>
  <c r="AB85"/>
  <c r="AC85" s="1"/>
  <c r="Z57"/>
  <c r="Z132" s="1"/>
  <c r="AA69"/>
  <c r="AA71"/>
  <c r="AA43"/>
  <c r="AA44"/>
  <c r="AA51"/>
  <c r="AA59"/>
  <c r="AA133" s="1"/>
  <c r="AA46"/>
  <c r="AA53"/>
  <c r="AA134" s="1"/>
  <c r="AA56"/>
  <c r="AA72"/>
  <c r="AA47"/>
  <c r="AA48"/>
  <c r="AA49"/>
  <c r="AA52"/>
  <c r="AA73"/>
  <c r="AA55"/>
  <c r="AA58"/>
  <c r="AC14"/>
  <c r="AC13"/>
  <c r="S113"/>
  <c r="AC12"/>
  <c r="AC10"/>
  <c r="AC15"/>
  <c r="AC7"/>
  <c r="AC6"/>
  <c r="AB79"/>
  <c r="AC79" s="1"/>
  <c r="AB78"/>
  <c r="AC78" s="1"/>
  <c r="AC37"/>
  <c r="AB39"/>
  <c r="AB88" s="1"/>
  <c r="AB89" s="1"/>
  <c r="AB90" s="1"/>
  <c r="AB91" s="1"/>
  <c r="AA68"/>
  <c r="AA66"/>
  <c r="AA67"/>
  <c r="AA65"/>
  <c r="AC129"/>
  <c r="AE129" s="1"/>
  <c r="Z130"/>
  <c r="Z131"/>
  <c r="N36" i="11"/>
  <c r="O35"/>
  <c r="F5" i="8"/>
  <c r="G5" s="1"/>
  <c r="H5" s="1"/>
  <c r="I5" s="1"/>
  <c r="AE39" i="18" l="1"/>
  <c r="T113"/>
  <c r="T114" s="1"/>
  <c r="AA57"/>
  <c r="AA132" s="1"/>
  <c r="AB69"/>
  <c r="AB71"/>
  <c r="AE71" s="1"/>
  <c r="AB43"/>
  <c r="AB44"/>
  <c r="AB51"/>
  <c r="AB56"/>
  <c r="AB46"/>
  <c r="AE46" s="1"/>
  <c r="AB53"/>
  <c r="AB49"/>
  <c r="AB72"/>
  <c r="AB48"/>
  <c r="AE48" s="1"/>
  <c r="AB47"/>
  <c r="AB58"/>
  <c r="AB73"/>
  <c r="AB52"/>
  <c r="AB59"/>
  <c r="AB55"/>
  <c r="S114"/>
  <c r="AB68"/>
  <c r="AB66"/>
  <c r="AC39"/>
  <c r="AB67"/>
  <c r="AB65"/>
  <c r="AA130"/>
  <c r="AA131"/>
  <c r="N37" i="11"/>
  <c r="O36"/>
  <c r="F18" i="8"/>
  <c r="G18"/>
  <c r="AC88" i="18" l="1"/>
  <c r="R113"/>
  <c r="R114"/>
  <c r="AC72"/>
  <c r="AE72"/>
  <c r="AC44"/>
  <c r="AE44"/>
  <c r="S110"/>
  <c r="AE58"/>
  <c r="AB133"/>
  <c r="AC133" s="1"/>
  <c r="AE133" s="1"/>
  <c r="AE59"/>
  <c r="AC43"/>
  <c r="AE43"/>
  <c r="AC56"/>
  <c r="AE56"/>
  <c r="S104"/>
  <c r="AE55"/>
  <c r="S103"/>
  <c r="AE49"/>
  <c r="AB134"/>
  <c r="AC134" s="1"/>
  <c r="AE134" s="1"/>
  <c r="AE53"/>
  <c r="AC52"/>
  <c r="AE52"/>
  <c r="S101"/>
  <c r="AE47"/>
  <c r="S106"/>
  <c r="AE51"/>
  <c r="AC73"/>
  <c r="AE73"/>
  <c r="S126"/>
  <c r="AE69"/>
  <c r="S124"/>
  <c r="AE68"/>
  <c r="S123"/>
  <c r="AE67"/>
  <c r="S121"/>
  <c r="AE65"/>
  <c r="S122"/>
  <c r="AE66"/>
  <c r="AC58"/>
  <c r="S107"/>
  <c r="AC47"/>
  <c r="AC49"/>
  <c r="T103" s="1"/>
  <c r="AC51"/>
  <c r="S108"/>
  <c r="AC69"/>
  <c r="AC55"/>
  <c r="S111"/>
  <c r="AB57"/>
  <c r="AC53"/>
  <c r="AC59"/>
  <c r="AC71"/>
  <c r="AC67"/>
  <c r="AC66"/>
  <c r="AC65"/>
  <c r="AC68"/>
  <c r="S100"/>
  <c r="AC46"/>
  <c r="T100" s="1"/>
  <c r="AB130"/>
  <c r="AC48"/>
  <c r="T102" s="1"/>
  <c r="AB131"/>
  <c r="S102"/>
  <c r="N38" i="11"/>
  <c r="O37"/>
  <c r="H18" i="8"/>
  <c r="AC89" i="18" l="1"/>
  <c r="T111"/>
  <c r="R111" s="1"/>
  <c r="T101"/>
  <c r="R101" s="1"/>
  <c r="T110"/>
  <c r="R110" s="1"/>
  <c r="T106"/>
  <c r="R106" s="1"/>
  <c r="T108"/>
  <c r="R108" s="1"/>
  <c r="T126"/>
  <c r="R126" s="1"/>
  <c r="T123"/>
  <c r="R123" s="1"/>
  <c r="AC57"/>
  <c r="AE57"/>
  <c r="T104"/>
  <c r="R104" s="1"/>
  <c r="R103"/>
  <c r="T107"/>
  <c r="R107" s="1"/>
  <c r="T121"/>
  <c r="R121" s="1"/>
  <c r="AB132"/>
  <c r="AC132" s="1"/>
  <c r="AE132" s="1"/>
  <c r="T124"/>
  <c r="R124" s="1"/>
  <c r="T122"/>
  <c r="R122" s="1"/>
  <c r="R100"/>
  <c r="P143" s="1"/>
  <c r="AC131"/>
  <c r="AE131" s="1"/>
  <c r="AC130"/>
  <c r="AE130" s="1"/>
  <c r="R102"/>
  <c r="N39" i="11"/>
  <c r="O38"/>
  <c r="I18" i="8"/>
  <c r="P141" i="18" l="1"/>
  <c r="M141"/>
  <c r="P142"/>
  <c r="M142"/>
  <c r="AC91"/>
  <c r="AC90"/>
  <c r="N40" i="11"/>
  <c r="O39"/>
  <c r="N41" l="1"/>
  <c r="O40"/>
  <c r="N42" l="1"/>
  <c r="O41"/>
</calcChain>
</file>

<file path=xl/sharedStrings.xml><?xml version="1.0" encoding="utf-8"?>
<sst xmlns="http://schemas.openxmlformats.org/spreadsheetml/2006/main" count="509" uniqueCount="357">
  <si>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</si>
  <si>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</si>
  <si>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</si>
  <si>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</si>
  <si>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</si>
  <si>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</si>
  <si>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</si>
  <si>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</si>
  <si>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</si>
  <si>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</si>
  <si>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</si>
  <si>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</si>
  <si>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</si>
  <si>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</si>
  <si>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</si>
  <si>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</si>
  <si>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</si>
  <si>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</si>
  <si>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</si>
  <si>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</si>
  <si>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</si>
  <si>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</si>
  <si>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</si>
  <si>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</si>
  <si>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</si>
  <si>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</si>
  <si>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</si>
  <si>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</si>
  <si>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</si>
  <si>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</si>
  <si>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</si>
  <si>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</si>
  <si>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</si>
  <si>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</si>
  <si>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</si>
  <si>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</si>
  <si>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</si>
  <si>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</si>
  <si>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</si>
  <si>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</si>
  <si>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</si>
  <si>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</si>
  <si>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</si>
  <si>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</si>
  <si>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</si>
  <si>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</si>
  <si>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</si>
  <si>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</si>
  <si>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</si>
  <si>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</si>
  <si>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</si>
  <si>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</si>
  <si>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</si>
  <si>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</si>
  <si>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</si>
  <si>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</si>
  <si>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</si>
  <si>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</si>
  <si>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</si>
  <si>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</si>
  <si>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</si>
  <si>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</si>
  <si>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</si>
  <si>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</si>
  <si>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</si>
  <si>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</si>
  <si>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</si>
  <si>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</si>
  <si>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</si>
  <si>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</si>
  <si>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</si>
  <si>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</si>
  <si>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</si>
  <si>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</si>
  <si>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</si>
  <si>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</si>
  <si>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</si>
  <si>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</si>
  <si>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</si>
  <si>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</si>
  <si>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</si>
  <si>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</si>
  <si>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</si>
  <si>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</si>
  <si>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</si>
  <si>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</si>
  <si>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</si>
  <si>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</si>
  <si>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</si>
  <si>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</si>
  <si>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</si>
  <si>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</si>
  <si>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</si>
  <si>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</si>
  <si>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</si>
  <si>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</si>
  <si>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</si>
  <si>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</si>
  <si>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</si>
  <si>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</si>
  <si>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</si>
  <si>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</si>
  <si>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</si>
  <si>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</si>
  <si>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</si>
  <si>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</si>
  <si>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</si>
  <si>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</si>
  <si>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</si>
  <si>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</si>
  <si>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</si>
  <si>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</si>
  <si>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</si>
  <si>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</si>
  <si>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</si>
  <si>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</si>
  <si>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</si>
  <si>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</si>
  <si>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</si>
  <si>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</si>
  <si>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</si>
  <si>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</si>
  <si>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</si>
  <si>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</si>
  <si>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</si>
  <si>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</si>
  <si>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</si>
  <si>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</si>
  <si>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</si>
  <si>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</si>
  <si>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</si>
  <si>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</si>
  <si>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</si>
  <si>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</si>
  <si>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</si>
  <si>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</si>
  <si>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</si>
  <si>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</si>
  <si>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</si>
  <si>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</si>
  <si>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</si>
  <si>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</si>
  <si>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</si>
  <si>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</si>
  <si>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</si>
  <si>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</si>
  <si>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</si>
  <si>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</si>
  <si>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</si>
  <si>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</si>
  <si>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</si>
  <si>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</si>
  <si>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</si>
  <si>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</si>
  <si>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</si>
  <si>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</si>
  <si>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</si>
  <si>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</si>
  <si>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</si>
  <si>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</si>
  <si>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</si>
  <si>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</si>
  <si>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</si>
  <si>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</si>
  <si>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</si>
  <si>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</si>
  <si>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</si>
  <si>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</si>
  <si>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</si>
  <si>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</si>
  <si>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</si>
  <si>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</si>
  <si>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</si>
  <si>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</si>
  <si>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</si>
  <si>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</si>
  <si>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</si>
  <si>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</si>
  <si>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</si>
  <si>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</si>
  <si>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</si>
  <si>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</si>
  <si>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</si>
  <si>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</si>
  <si>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</si>
  <si>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</si>
  <si>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</si>
  <si>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</si>
  <si>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</si>
  <si>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</si>
  <si>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</si>
  <si>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</si>
  <si>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</si>
  <si>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</si>
  <si>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</si>
  <si>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</si>
  <si>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</si>
  <si>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</si>
  <si>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</si>
  <si>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</si>
  <si>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</si>
  <si>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</si>
  <si>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</si>
  <si>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</si>
  <si>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</si>
  <si>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</si>
  <si>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</si>
  <si>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</si>
  <si>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</si>
  <si>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</si>
  <si>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</si>
  <si>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</si>
  <si>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</si>
  <si>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</si>
  <si>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</si>
  <si>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</si>
  <si>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</si>
  <si>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</si>
  <si>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</si>
  <si>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</si>
  <si>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</si>
  <si>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</si>
  <si>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</si>
  <si>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</si>
  <si>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</si>
  <si>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</si>
  <si>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</si>
  <si>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</si>
  <si>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</si>
  <si>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</si>
  <si>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</si>
  <si>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</si>
  <si>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</si>
  <si>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</si>
  <si>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</si>
  <si>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</si>
  <si>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</si>
  <si>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</si>
  <si>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</si>
  <si>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</si>
  <si>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</si>
  <si>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</si>
  <si>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</si>
  <si>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</si>
  <si>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</si>
  <si>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</si>
  <si>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</si>
  <si>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</si>
  <si>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</si>
  <si>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</si>
  <si>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</si>
  <si>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</si>
  <si>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</si>
  <si>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</si>
  <si>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</si>
  <si>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</si>
  <si>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</si>
  <si>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</si>
  <si>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</si>
  <si>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</si>
  <si>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</si>
  <si>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</si>
  <si>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</si>
  <si>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</si>
  <si>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</si>
  <si>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</si>
  <si>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</si>
  <si>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</si>
  <si>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</si>
  <si>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</si>
  <si>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</si>
  <si>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</si>
  <si>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</si>
  <si>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</si>
  <si>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</si>
  <si>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</si>
  <si>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</si>
  <si>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</si>
  <si>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</si>
  <si>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</si>
  <si>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</si>
  <si>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</si>
  <si>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</si>
  <si>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</si>
  <si>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</si>
  <si>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</si>
  <si>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</si>
  <si>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</si>
  <si>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</si>
  <si>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</si>
  <si>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</si>
  <si>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</si>
  <si>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</si>
  <si>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</si>
  <si>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</si>
  <si>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</si>
  <si>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</si>
  <si>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</si>
  <si>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</si>
  <si>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</si>
  <si>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</si>
  <si>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</si>
  <si>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</si>
  <si>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</si>
  <si>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</si>
  <si>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</si>
  <si>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</si>
  <si>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</si>
  <si>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</si>
  <si>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</si>
  <si>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</si>
  <si>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RONW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</si>
  <si>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</si>
  <si>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</si>
  <si>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</si>
  <si>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</si>
  <si>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</si>
  <si>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</si>
  <si>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</si>
  <si>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</si>
  <si>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</si>
  <si>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</si>
  <si>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Earning ratio / earnings yield</t>
  </si>
  <si>
    <t>Earnings yield/ratio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</si>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</sst>
</file>

<file path=xl/styles.xml><?xml version="1.0" encoding="utf-8"?>
<styleSheet xmlns="http://schemas.openxmlformats.org/spreadsheetml/2006/main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[$₹-861]#,##0.00;[Red]\-[$₹-861]#,##0.00"/>
    <numFmt numFmtId="169" formatCode="[$₹-861]#,##0;[Red]\-[$₹-861]#,##0"/>
    <numFmt numFmtId="170" formatCode="0.0%"/>
    <numFmt numFmtId="171" formatCode="_-[$₹-861]* #,##0.00_-;\-[$₹-861]* #,##0.00_-;_-[$₹-861]* &quot;-&quot;??_-;_-@_-"/>
    <numFmt numFmtId="172" formatCode="_-[$₹-861]* #,##0_-;\-[$₹-861]* #,##0_-;_-[$₹-861]* &quot;-&quot;??_-;_-@_-"/>
    <numFmt numFmtId="173" formatCode="0.000"/>
    <numFmt numFmtId="174" formatCode="0.0"/>
    <numFmt numFmtId="175" formatCode="_(&quot;$&quot;* #,##0_);_(&quot;$&quot;* \(#,##0\);_(&quot;$&quot;* &quot;-&quot;??_);_(@_)"/>
    <numFmt numFmtId="176" formatCode="#,##0.00_ ;[Red]\-#,##0.00\ "/>
    <numFmt numFmtId="177" formatCode="#,##0_ ;[Red]\-#,##0\ "/>
    <numFmt numFmtId="178" formatCode="0_);[Red]\(0\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0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6" fontId="2" fillId="6" borderId="0" xfId="2" applyNumberFormat="1" applyFont="1" applyFill="1"/>
    <xf numFmtId="166" fontId="2" fillId="5" borderId="0" xfId="2" applyNumberFormat="1" applyFont="1" applyFill="1"/>
    <xf numFmtId="1" fontId="2" fillId="5" borderId="0" xfId="2" applyNumberFormat="1" applyFont="1" applyFill="1"/>
    <xf numFmtId="166" fontId="2" fillId="6" borderId="1" xfId="2" applyNumberFormat="1" applyFont="1" applyFill="1" applyBorder="1"/>
    <xf numFmtId="167" fontId="2" fillId="5" borderId="1" xfId="0" applyNumberFormat="1" applyFont="1" applyFill="1" applyBorder="1"/>
    <xf numFmtId="165" fontId="2" fillId="5" borderId="0" xfId="0" applyNumberFormat="1" applyFont="1" applyFill="1"/>
    <xf numFmtId="165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6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8" fontId="4" fillId="5" borderId="1" xfId="0" applyNumberFormat="1" applyFont="1" applyFill="1" applyBorder="1"/>
    <xf numFmtId="168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9" fontId="4" fillId="6" borderId="1" xfId="0" applyNumberFormat="1" applyFont="1" applyFill="1" applyBorder="1"/>
    <xf numFmtId="168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70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70" fontId="2" fillId="8" borderId="1" xfId="0" applyNumberFormat="1" applyFont="1" applyFill="1" applyBorder="1"/>
    <xf numFmtId="2" fontId="2" fillId="8" borderId="1" xfId="1" applyNumberFormat="1" applyFont="1" applyFill="1" applyBorder="1"/>
    <xf numFmtId="170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9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6" fontId="2" fillId="5" borderId="1" xfId="2" applyNumberFormat="1" applyFont="1" applyFill="1" applyBorder="1"/>
    <xf numFmtId="166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2" fontId="2" fillId="5" borderId="1" xfId="2" applyNumberFormat="1" applyFont="1" applyFill="1" applyBorder="1" applyAlignment="1">
      <alignment horizontal="center"/>
    </xf>
    <xf numFmtId="171" fontId="0" fillId="5" borderId="1" xfId="2" applyNumberFormat="1" applyFont="1" applyFill="1" applyBorder="1"/>
    <xf numFmtId="171" fontId="0" fillId="5" borderId="1" xfId="0" applyNumberFormat="1" applyFill="1" applyBorder="1"/>
    <xf numFmtId="172" fontId="0" fillId="5" borderId="1" xfId="0" applyNumberFormat="1" applyFill="1" applyBorder="1"/>
    <xf numFmtId="166" fontId="2" fillId="5" borderId="10" xfId="2" applyNumberFormat="1" applyFont="1" applyFill="1" applyBorder="1"/>
    <xf numFmtId="166" fontId="2" fillId="5" borderId="11" xfId="2" applyNumberFormat="1" applyFont="1" applyFill="1" applyBorder="1"/>
    <xf numFmtId="172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2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6" fontId="0" fillId="5" borderId="10" xfId="2" applyNumberFormat="1" applyFont="1" applyFill="1" applyBorder="1"/>
    <xf numFmtId="166" fontId="0" fillId="5" borderId="11" xfId="2" applyNumberFormat="1" applyFont="1" applyFill="1" applyBorder="1"/>
    <xf numFmtId="171" fontId="0" fillId="5" borderId="11" xfId="2" applyNumberFormat="1" applyFont="1" applyFill="1" applyBorder="1"/>
    <xf numFmtId="171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6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3" fontId="4" fillId="5" borderId="1" xfId="0" applyNumberFormat="1" applyFont="1" applyFill="1" applyBorder="1"/>
    <xf numFmtId="9" fontId="4" fillId="6" borderId="1" xfId="0" applyNumberFormat="1" applyFont="1" applyFill="1" applyBorder="1"/>
    <xf numFmtId="174" fontId="4" fillId="5" borderId="1" xfId="0" applyNumberFormat="1" applyFont="1" applyFill="1" applyBorder="1"/>
    <xf numFmtId="175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71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6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2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6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165" fontId="8" fillId="5" borderId="1" xfId="2" applyNumberFormat="1" applyFont="1" applyFill="1" applyBorder="1"/>
    <xf numFmtId="177" fontId="4" fillId="5" borderId="1" xfId="2" applyNumberFormat="1" applyFont="1" applyFill="1" applyBorder="1"/>
    <xf numFmtId="177" fontId="8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7" fontId="11" fillId="5" borderId="1" xfId="2" applyNumberFormat="1" applyFont="1" applyFill="1" applyBorder="1"/>
    <xf numFmtId="9" fontId="10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7" fontId="4" fillId="5" borderId="1" xfId="0" applyNumberFormat="1" applyFont="1" applyFill="1" applyBorder="1"/>
    <xf numFmtId="177" fontId="5" fillId="5" borderId="1" xfId="0" applyNumberFormat="1" applyFont="1" applyFill="1" applyBorder="1"/>
    <xf numFmtId="177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165" fontId="12" fillId="5" borderId="1" xfId="2" applyNumberFormat="1" applyFont="1" applyFill="1" applyBorder="1"/>
    <xf numFmtId="40" fontId="5" fillId="5" borderId="1" xfId="0" applyNumberFormat="1" applyFont="1" applyFill="1" applyBorder="1"/>
    <xf numFmtId="170" fontId="4" fillId="5" borderId="1" xfId="1" applyNumberFormat="1" applyFont="1" applyFill="1" applyBorder="1"/>
    <xf numFmtId="1" fontId="4" fillId="5" borderId="4" xfId="0" applyNumberFormat="1" applyFont="1" applyFill="1" applyBorder="1"/>
    <xf numFmtId="178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6" fontId="4" fillId="0" borderId="1" xfId="2" applyNumberFormat="1" applyFont="1" applyBorder="1"/>
    <xf numFmtId="0" fontId="5" fillId="0" borderId="1" xfId="0" applyFont="1" applyBorder="1"/>
    <xf numFmtId="165" fontId="5" fillId="0" borderId="1" xfId="2" applyNumberFormat="1" applyFont="1" applyBorder="1"/>
    <xf numFmtId="9" fontId="4" fillId="5" borderId="1" xfId="1" applyNumberFormat="1" applyFont="1" applyFill="1" applyBorder="1"/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76" fontId="8" fillId="5" borderId="1" xfId="2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49127808"/>
        <c:axId val="49129344"/>
      </c:lineChart>
      <c:catAx>
        <c:axId val="49127808"/>
        <c:scaling>
          <c:orientation val="minMax"/>
        </c:scaling>
        <c:axPos val="b"/>
        <c:tickLblPos val="nextTo"/>
        <c:crossAx val="49129344"/>
        <c:crosses val="autoZero"/>
        <c:auto val="1"/>
        <c:lblAlgn val="ctr"/>
        <c:lblOffset val="100"/>
      </c:catAx>
      <c:valAx>
        <c:axId val="49129344"/>
        <c:scaling>
          <c:orientation val="minMax"/>
        </c:scaling>
        <c:axPos val="l"/>
        <c:majorGridlines/>
        <c:numFmt formatCode="General" sourceLinked="1"/>
        <c:tickLblPos val="nextTo"/>
        <c:crossAx val="49127808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280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321</v>
      </c>
      <c r="C9" s="153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268</v>
      </c>
      <c r="C33" s="132">
        <v>3.44E-2</v>
      </c>
      <c r="D33" s="20"/>
      <c r="E33" s="20"/>
      <c r="F33" s="20"/>
      <c r="G33" s="20"/>
    </row>
    <row r="34" spans="2:7">
      <c r="B34" s="20" t="s">
        <v>267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E161"/>
  <sheetViews>
    <sheetView tabSelected="1" zoomScale="80" zoomScaleNormal="80" workbookViewId="0">
      <pane xSplit="2" ySplit="3" topLeftCell="C31" activePane="bottomRight" state="frozen"/>
      <selection pane="topRight" activeCell="C1" sqref="C1"/>
      <selection pane="bottomLeft" activeCell="A5" sqref="A5"/>
      <selection pane="bottomRight" activeCell="G41" sqref="G41"/>
    </sheetView>
  </sheetViews>
  <sheetFormatPr defaultRowHeight="12.75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7109375" style="104" bestFit="1" customWidth="1"/>
    <col min="8" max="9" width="9" style="104" bestFit="1" customWidth="1"/>
    <col min="10" max="10" width="9.28515625" style="104" bestFit="1" customWidth="1"/>
    <col min="11" max="11" width="8.85546875" style="104" bestFit="1" customWidth="1"/>
    <col min="12" max="12" width="8.7109375" style="104" bestFit="1" customWidth="1"/>
    <col min="13" max="13" width="9.85546875" style="104" bestFit="1" customWidth="1"/>
    <col min="14" max="15" width="8.7109375" style="104" bestFit="1" customWidth="1"/>
    <col min="16" max="16" width="10.570312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>
      <c r="B1" s="123" t="s">
        <v>241</v>
      </c>
      <c r="C1" s="124">
        <v>0.15</v>
      </c>
      <c r="F1" s="104" t="s">
        <v>252</v>
      </c>
      <c r="H1" s="126">
        <v>2004</v>
      </c>
      <c r="J1" s="104" t="s">
        <v>331</v>
      </c>
      <c r="L1" s="165">
        <v>0.08</v>
      </c>
    </row>
    <row r="2" spans="2:31">
      <c r="B2" s="154" t="s">
        <v>317</v>
      </c>
      <c r="C2" s="120"/>
      <c r="F2" s="104" t="s">
        <v>253</v>
      </c>
      <c r="H2" s="126">
        <v>2013</v>
      </c>
      <c r="J2" s="104" t="s">
        <v>332</v>
      </c>
      <c r="L2" s="165">
        <v>0.15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73" t="s">
        <v>292</v>
      </c>
      <c r="AE2" s="174"/>
    </row>
    <row r="3" spans="2:31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75" t="s">
        <v>293</v>
      </c>
      <c r="AE3" s="176"/>
    </row>
    <row r="4" spans="2:3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37"/>
      <c r="AD5" s="20"/>
      <c r="AE5" s="155"/>
    </row>
    <row r="6" spans="2:31">
      <c r="B6" s="20" t="s">
        <v>16</v>
      </c>
      <c r="C6" s="141"/>
      <c r="D6" s="141"/>
      <c r="E6" s="147"/>
      <c r="F6" s="147"/>
      <c r="G6" s="147">
        <v>170</v>
      </c>
      <c r="H6" s="147">
        <v>213</v>
      </c>
      <c r="I6" s="147">
        <v>273</v>
      </c>
      <c r="J6" s="147">
        <v>217</v>
      </c>
      <c r="K6" s="147">
        <v>498</v>
      </c>
      <c r="L6" s="147">
        <v>1410</v>
      </c>
      <c r="M6" s="147">
        <v>1845</v>
      </c>
      <c r="N6" s="147">
        <v>1799</v>
      </c>
      <c r="O6" s="147">
        <v>2571</v>
      </c>
      <c r="P6" s="147">
        <v>2994</v>
      </c>
      <c r="Q6" s="118">
        <f>((P6/G6)^(1/($H$2-$H$1) ))-1</f>
        <v>0.37537948328019</v>
      </c>
      <c r="R6" s="31">
        <f>$L$2</f>
        <v>0.15</v>
      </c>
      <c r="S6" s="155">
        <f>P6*(1+$R6)</f>
        <v>3443.1</v>
      </c>
      <c r="T6" s="155">
        <f>S6*(1+$R6)</f>
        <v>3959.5649999999996</v>
      </c>
      <c r="U6" s="155">
        <f t="shared" ref="U6:AB6" si="0">T6*(1+$R6)</f>
        <v>4553.499749999999</v>
      </c>
      <c r="V6" s="155">
        <f t="shared" si="0"/>
        <v>5236.5247124999987</v>
      </c>
      <c r="W6" s="155">
        <f t="shared" si="0"/>
        <v>6022.003419374998</v>
      </c>
      <c r="X6" s="155">
        <f t="shared" si="0"/>
        <v>6925.3039322812474</v>
      </c>
      <c r="Y6" s="155">
        <f t="shared" si="0"/>
        <v>7964.0995221234343</v>
      </c>
      <c r="Z6" s="155">
        <f t="shared" si="0"/>
        <v>9158.7144504419484</v>
      </c>
      <c r="AA6" s="155">
        <f t="shared" si="0"/>
        <v>10532.521618008241</v>
      </c>
      <c r="AB6" s="155">
        <f t="shared" si="0"/>
        <v>12112.399860709476</v>
      </c>
      <c r="AC6" s="138">
        <f>((AB6/G6)^(1/($AB$3-$H$1) ))-1</f>
        <v>0.25174194134841188</v>
      </c>
      <c r="AD6" s="31">
        <f>$L$1</f>
        <v>0.08</v>
      </c>
      <c r="AE6" s="146">
        <f t="shared" ref="AE6:AE40" si="1">(AB6*(1+AD6))/($C$1-AD6)</f>
        <v>186877.02642237479</v>
      </c>
    </row>
    <row r="7" spans="2:31">
      <c r="B7" s="20" t="s">
        <v>240</v>
      </c>
      <c r="C7" s="141"/>
      <c r="D7" s="141"/>
      <c r="E7" s="147"/>
      <c r="F7" s="147"/>
      <c r="G7" s="147">
        <v>177</v>
      </c>
      <c r="H7" s="147">
        <v>220</v>
      </c>
      <c r="I7" s="147">
        <v>430</v>
      </c>
      <c r="J7" s="147">
        <v>530</v>
      </c>
      <c r="K7" s="147">
        <v>811</v>
      </c>
      <c r="L7" s="147">
        <v>1744</v>
      </c>
      <c r="M7" s="147">
        <v>2180</v>
      </c>
      <c r="N7" s="147">
        <v>2133</v>
      </c>
      <c r="O7" s="147">
        <v>2861</v>
      </c>
      <c r="P7" s="147">
        <v>3283</v>
      </c>
      <c r="Q7" s="118">
        <f>((P7/G7)^(1/($H$2-$H$1) ))-1</f>
        <v>0.38331777472611606</v>
      </c>
      <c r="R7" s="31">
        <f>$L$2</f>
        <v>0.15</v>
      </c>
      <c r="S7" s="155">
        <f t="shared" ref="S7:S15" si="2">P7*(1+$R7)</f>
        <v>3775.45</v>
      </c>
      <c r="T7" s="155">
        <f t="shared" ref="T7:AB7" si="3">S7*(1+$R7)</f>
        <v>4341.767499999999</v>
      </c>
      <c r="U7" s="155">
        <f t="shared" si="3"/>
        <v>4993.0326249999989</v>
      </c>
      <c r="V7" s="155">
        <f t="shared" si="3"/>
        <v>5741.9875187499983</v>
      </c>
      <c r="W7" s="155">
        <f t="shared" si="3"/>
        <v>6603.2856465624973</v>
      </c>
      <c r="X7" s="155">
        <f t="shared" si="3"/>
        <v>7593.7784935468717</v>
      </c>
      <c r="Y7" s="155">
        <f t="shared" si="3"/>
        <v>8732.8452675789013</v>
      </c>
      <c r="Z7" s="155">
        <f t="shared" si="3"/>
        <v>10042.772057715736</v>
      </c>
      <c r="AA7" s="155">
        <f t="shared" si="3"/>
        <v>11549.187866373095</v>
      </c>
      <c r="AB7" s="155">
        <f t="shared" si="3"/>
        <v>13281.566046329059</v>
      </c>
      <c r="AC7" s="138">
        <f>((AB7/G7)^(1/($AB$3-$H$1) ))-1</f>
        <v>0.2551589808916368</v>
      </c>
      <c r="AD7" s="31">
        <f>$L$1</f>
        <v>0.08</v>
      </c>
      <c r="AE7" s="146">
        <f t="shared" si="1"/>
        <v>204915.59042907692</v>
      </c>
    </row>
    <row r="8" spans="2:31">
      <c r="B8" s="20"/>
      <c r="C8" s="141"/>
      <c r="D8" s="141"/>
      <c r="E8" s="147"/>
      <c r="F8" s="147"/>
      <c r="G8" s="149">
        <f>(G7-F7)/G7</f>
        <v>1</v>
      </c>
      <c r="H8" s="152">
        <f>(H7-G7)/H7</f>
        <v>0.19545454545454546</v>
      </c>
      <c r="I8" s="152">
        <f t="shared" ref="I8:P8" si="4">(I7-H7)/I7</f>
        <v>0.48837209302325579</v>
      </c>
      <c r="J8" s="152">
        <f t="shared" si="4"/>
        <v>0.18867924528301888</v>
      </c>
      <c r="K8" s="152">
        <f t="shared" si="4"/>
        <v>0.34648581997533906</v>
      </c>
      <c r="L8" s="152">
        <f t="shared" si="4"/>
        <v>0.53497706422018354</v>
      </c>
      <c r="M8" s="152">
        <f t="shared" si="4"/>
        <v>0.2</v>
      </c>
      <c r="N8" s="152">
        <f t="shared" si="4"/>
        <v>-2.2034692920768869E-2</v>
      </c>
      <c r="O8" s="152">
        <f t="shared" si="4"/>
        <v>0.25445648374694163</v>
      </c>
      <c r="P8" s="152">
        <f t="shared" si="4"/>
        <v>0.12854096862625647</v>
      </c>
      <c r="Q8" s="128"/>
      <c r="R8" s="20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37"/>
      <c r="AD8" s="137"/>
      <c r="AE8" s="146"/>
    </row>
    <row r="9" spans="2:31">
      <c r="B9" s="20" t="s">
        <v>270</v>
      </c>
      <c r="C9" s="141"/>
      <c r="D9" s="141"/>
      <c r="E9" s="147"/>
      <c r="F9" s="147"/>
      <c r="G9" s="147">
        <v>74</v>
      </c>
      <c r="H9" s="147">
        <v>110</v>
      </c>
      <c r="I9" s="147">
        <v>147</v>
      </c>
      <c r="J9" s="147">
        <v>736</v>
      </c>
      <c r="K9" s="147">
        <v>722</v>
      </c>
      <c r="L9" s="147">
        <v>1325</v>
      </c>
      <c r="M9" s="147">
        <v>832</v>
      </c>
      <c r="N9" s="147">
        <v>705</v>
      </c>
      <c r="O9" s="147">
        <v>2709</v>
      </c>
      <c r="P9" s="147">
        <v>2975</v>
      </c>
      <c r="Q9" s="118">
        <f t="shared" ref="Q9:Q15" si="5">((P9/G9)^(1/($H$2-$H$1) ))-1</f>
        <v>0.507476613530361</v>
      </c>
      <c r="R9" s="31">
        <f t="shared" ref="R9:R37" si="6">$L$2</f>
        <v>0.15</v>
      </c>
      <c r="S9" s="155">
        <f t="shared" ref="S9" si="7">P9*(1+$R9)</f>
        <v>3421.2499999999995</v>
      </c>
      <c r="T9" s="155">
        <f t="shared" ref="T9" si="8">S9*(1+$R9)</f>
        <v>3934.4374999999991</v>
      </c>
      <c r="U9" s="155">
        <f t="shared" ref="U9" si="9">T9*(1+$R9)</f>
        <v>4524.6031249999987</v>
      </c>
      <c r="V9" s="155">
        <f t="shared" ref="V9" si="10">U9*(1+$R9)</f>
        <v>5203.2935937499979</v>
      </c>
      <c r="W9" s="155">
        <f t="shared" ref="W9" si="11">V9*(1+$R9)</f>
        <v>5983.7876328124967</v>
      </c>
      <c r="X9" s="155">
        <f t="shared" ref="X9" si="12">W9*(1+$R9)</f>
        <v>6881.3557777343703</v>
      </c>
      <c r="Y9" s="155">
        <f t="shared" ref="Y9" si="13">X9*(1+$R9)</f>
        <v>7913.559144394525</v>
      </c>
      <c r="Z9" s="155">
        <f t="shared" ref="Z9" si="14">Y9*(1+$R9)</f>
        <v>9100.5930160537027</v>
      </c>
      <c r="AA9" s="155">
        <f t="shared" ref="AA9" si="15">Z9*(1+$R9)</f>
        <v>10465.681968461757</v>
      </c>
      <c r="AB9" s="155">
        <f t="shared" ref="AB9" si="16">AA9*(1+$R9)</f>
        <v>12035.534263731019</v>
      </c>
      <c r="AC9" s="138">
        <f>((AB9/G9)^(1/($AB$3-$H$1) ))-1</f>
        <v>0.30731642793771186</v>
      </c>
      <c r="AD9" s="31">
        <f t="shared" ref="AD9:AD72" si="17">$L$1</f>
        <v>0.08</v>
      </c>
      <c r="AE9" s="146">
        <f t="shared" si="1"/>
        <v>185691.10006899288</v>
      </c>
    </row>
    <row r="10" spans="2:31">
      <c r="B10" s="20" t="s">
        <v>4</v>
      </c>
      <c r="C10" s="141"/>
      <c r="D10" s="141"/>
      <c r="E10" s="147"/>
      <c r="F10" s="147"/>
      <c r="G10" s="147">
        <v>241</v>
      </c>
      <c r="H10" s="147">
        <v>717</v>
      </c>
      <c r="I10" s="147">
        <v>1109</v>
      </c>
      <c r="J10" s="147">
        <v>10852</v>
      </c>
      <c r="K10" s="147">
        <v>13043</v>
      </c>
      <c r="L10" s="147">
        <v>16635</v>
      </c>
      <c r="M10" s="147">
        <v>14164</v>
      </c>
      <c r="N10" s="147">
        <v>13047</v>
      </c>
      <c r="O10" s="147">
        <v>11701</v>
      </c>
      <c r="P10" s="147">
        <v>11865</v>
      </c>
      <c r="Q10" s="118">
        <f t="shared" si="5"/>
        <v>0.54179934045099043</v>
      </c>
      <c r="R10" s="31">
        <f t="shared" si="6"/>
        <v>0.15</v>
      </c>
      <c r="S10" s="155">
        <f t="shared" si="2"/>
        <v>13644.749999999998</v>
      </c>
      <c r="T10" s="155">
        <f t="shared" ref="T10:AB10" si="18">S10*(1+$R10)</f>
        <v>15691.462499999996</v>
      </c>
      <c r="U10" s="155">
        <f t="shared" si="18"/>
        <v>18045.181874999995</v>
      </c>
      <c r="V10" s="155">
        <f t="shared" si="18"/>
        <v>20751.959156249992</v>
      </c>
      <c r="W10" s="155">
        <f t="shared" si="18"/>
        <v>23864.75302968749</v>
      </c>
      <c r="X10" s="155">
        <f t="shared" si="18"/>
        <v>27444.46598414061</v>
      </c>
      <c r="Y10" s="155">
        <f t="shared" si="18"/>
        <v>31561.1358817617</v>
      </c>
      <c r="Z10" s="155">
        <f t="shared" si="18"/>
        <v>36295.306264025952</v>
      </c>
      <c r="AA10" s="155">
        <f t="shared" si="18"/>
        <v>41739.602203629845</v>
      </c>
      <c r="AB10" s="155">
        <f t="shared" si="18"/>
        <v>48000.542534174318</v>
      </c>
      <c r="AC10" s="138">
        <f t="shared" ref="AC10:AC39" si="19">((AB10/G10)^(1/($AB$3-$H$1) ))-1</f>
        <v>0.32133232014490409</v>
      </c>
      <c r="AD10" s="31">
        <f t="shared" si="17"/>
        <v>0.08</v>
      </c>
      <c r="AE10" s="146">
        <f t="shared" si="1"/>
        <v>740579.79909868957</v>
      </c>
    </row>
    <row r="11" spans="2:31">
      <c r="B11" s="20"/>
      <c r="C11" s="141"/>
      <c r="D11" s="141"/>
      <c r="E11" s="147"/>
      <c r="F11" s="147"/>
      <c r="G11" s="149">
        <f>(G10-F10)/G10</f>
        <v>1</v>
      </c>
      <c r="H11" s="148">
        <f>(H10-G10)/H10</f>
        <v>0.66387726638772659</v>
      </c>
      <c r="I11" s="148">
        <f t="shared" ref="I11" si="20">(I10-H10)/I10</f>
        <v>0.3534715960324617</v>
      </c>
      <c r="J11" s="148">
        <f t="shared" ref="J11" si="21">(J10-I10)/J10</f>
        <v>0.89780685587910058</v>
      </c>
      <c r="K11" s="148">
        <f t="shared" ref="K11" si="22">(K10-J10)/K10</f>
        <v>0.16798282603695469</v>
      </c>
      <c r="L11" s="148">
        <f t="shared" ref="L11" si="23">(L10-K10)/L10</f>
        <v>0.21593026750826572</v>
      </c>
      <c r="M11" s="148">
        <f t="shared" ref="M11" si="24">(M10-L10)/M10</f>
        <v>-0.17445636825755437</v>
      </c>
      <c r="N11" s="148">
        <f t="shared" ref="N11" si="25">(N10-M10)/N10</f>
        <v>-8.5613551007894528E-2</v>
      </c>
      <c r="O11" s="148">
        <f t="shared" ref="O11" si="26">(O10-N10)/O10</f>
        <v>-0.11503290317066918</v>
      </c>
      <c r="P11" s="148">
        <f t="shared" ref="P11" si="27">(P10-O10)/P10</f>
        <v>1.3822166034555414E-2</v>
      </c>
      <c r="Q11" s="128"/>
      <c r="R11" s="20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19"/>
      <c r="AD11" s="31">
        <f t="shared" si="17"/>
        <v>0.08</v>
      </c>
      <c r="AE11" s="155"/>
    </row>
    <row r="12" spans="2:31">
      <c r="B12" s="20" t="s">
        <v>2</v>
      </c>
      <c r="C12" s="141"/>
      <c r="D12" s="141"/>
      <c r="E12" s="147"/>
      <c r="F12" s="147"/>
      <c r="G12" s="147">
        <v>42</v>
      </c>
      <c r="H12" s="147">
        <v>98</v>
      </c>
      <c r="I12" s="147">
        <v>10</v>
      </c>
      <c r="J12" s="147">
        <v>1326</v>
      </c>
      <c r="K12" s="147">
        <v>950</v>
      </c>
      <c r="L12" s="147">
        <f>208+387</f>
        <v>595</v>
      </c>
      <c r="M12" s="147">
        <f>95+140</f>
        <v>235</v>
      </c>
      <c r="N12" s="147">
        <f>498+97</f>
        <v>595</v>
      </c>
      <c r="O12" s="147">
        <f>84</f>
        <v>84</v>
      </c>
      <c r="P12" s="147">
        <v>138</v>
      </c>
      <c r="Q12" s="118">
        <f t="shared" si="5"/>
        <v>0.14130918048636243</v>
      </c>
      <c r="R12" s="31">
        <f t="shared" si="6"/>
        <v>0.15</v>
      </c>
      <c r="S12" s="155">
        <f t="shared" si="2"/>
        <v>158.69999999999999</v>
      </c>
      <c r="T12" s="155">
        <f t="shared" ref="T12:AB12" si="28">S12*(1+$R12)</f>
        <v>182.50499999999997</v>
      </c>
      <c r="U12" s="155">
        <f t="shared" si="28"/>
        <v>209.88074999999995</v>
      </c>
      <c r="V12" s="155">
        <f t="shared" si="28"/>
        <v>241.36286249999992</v>
      </c>
      <c r="W12" s="155">
        <f t="shared" si="28"/>
        <v>277.56729187499991</v>
      </c>
      <c r="X12" s="155">
        <f t="shared" si="28"/>
        <v>319.20238565624987</v>
      </c>
      <c r="Y12" s="155">
        <f t="shared" si="28"/>
        <v>367.0827435046873</v>
      </c>
      <c r="Z12" s="155">
        <f t="shared" si="28"/>
        <v>422.14515503039036</v>
      </c>
      <c r="AA12" s="155">
        <f t="shared" si="28"/>
        <v>485.46692828494889</v>
      </c>
      <c r="AB12" s="155">
        <f t="shared" si="28"/>
        <v>558.28696752769122</v>
      </c>
      <c r="AC12" s="138">
        <f t="shared" si="19"/>
        <v>0.14587507731213889</v>
      </c>
      <c r="AD12" s="31">
        <f t="shared" si="17"/>
        <v>0.08</v>
      </c>
      <c r="AE12" s="146">
        <f t="shared" si="1"/>
        <v>8613.570356141523</v>
      </c>
    </row>
    <row r="13" spans="2:31">
      <c r="B13" s="20" t="s">
        <v>218</v>
      </c>
      <c r="C13" s="141"/>
      <c r="D13" s="141"/>
      <c r="E13" s="147"/>
      <c r="F13" s="147"/>
      <c r="G13" s="147">
        <v>76</v>
      </c>
      <c r="H13" s="147">
        <v>23</v>
      </c>
      <c r="I13" s="147">
        <v>19</v>
      </c>
      <c r="J13" s="147">
        <v>468</v>
      </c>
      <c r="K13" s="147">
        <v>639</v>
      </c>
      <c r="L13" s="147">
        <v>575</v>
      </c>
      <c r="M13" s="147">
        <v>495</v>
      </c>
      <c r="N13" s="147">
        <v>15</v>
      </c>
      <c r="O13" s="147">
        <v>3.41</v>
      </c>
      <c r="P13" s="147">
        <v>6.22</v>
      </c>
      <c r="Q13" s="118">
        <f t="shared" si="5"/>
        <v>-0.24278424138610055</v>
      </c>
      <c r="R13" s="31">
        <f t="shared" si="6"/>
        <v>0.15</v>
      </c>
      <c r="S13" s="155">
        <f t="shared" si="2"/>
        <v>7.1529999999999996</v>
      </c>
      <c r="T13" s="155">
        <f t="shared" ref="T13:AB13" si="29">S13*(1+$R13)</f>
        <v>8.2259499999999992</v>
      </c>
      <c r="U13" s="155">
        <f t="shared" si="29"/>
        <v>9.4598424999999988</v>
      </c>
      <c r="V13" s="155">
        <f t="shared" si="29"/>
        <v>10.878818874999999</v>
      </c>
      <c r="W13" s="155">
        <f t="shared" si="29"/>
        <v>12.510641706249997</v>
      </c>
      <c r="X13" s="155">
        <f t="shared" si="29"/>
        <v>14.387237962187495</v>
      </c>
      <c r="Y13" s="155">
        <f t="shared" si="29"/>
        <v>16.545323656515617</v>
      </c>
      <c r="Z13" s="155">
        <f t="shared" si="29"/>
        <v>19.027122204992956</v>
      </c>
      <c r="AA13" s="155">
        <f t="shared" si="29"/>
        <v>21.881190535741897</v>
      </c>
      <c r="AB13" s="155">
        <f t="shared" si="29"/>
        <v>25.16336911610318</v>
      </c>
      <c r="AC13" s="138">
        <f t="shared" si="19"/>
        <v>-5.6516120825384819E-2</v>
      </c>
      <c r="AD13" s="31">
        <f t="shared" si="17"/>
        <v>0.08</v>
      </c>
      <c r="AE13" s="146">
        <f t="shared" si="1"/>
        <v>388.23483779130623</v>
      </c>
    </row>
    <row r="14" spans="2:31">
      <c r="B14" s="20" t="s">
        <v>19</v>
      </c>
      <c r="C14" s="141"/>
      <c r="D14" s="141"/>
      <c r="E14" s="147"/>
      <c r="F14" s="147"/>
      <c r="G14" s="147">
        <v>60</v>
      </c>
      <c r="H14" s="147">
        <v>125</v>
      </c>
      <c r="I14" s="147">
        <v>129</v>
      </c>
      <c r="J14" s="147">
        <v>631</v>
      </c>
      <c r="K14" s="147">
        <v>803</v>
      </c>
      <c r="L14" s="147">
        <v>1012</v>
      </c>
      <c r="M14" s="147">
        <v>1112</v>
      </c>
      <c r="N14" s="147">
        <v>1729</v>
      </c>
      <c r="O14" s="147">
        <v>1396</v>
      </c>
      <c r="P14" s="147">
        <v>1555</v>
      </c>
      <c r="Q14" s="118">
        <f t="shared" si="5"/>
        <v>0.43570214494181037</v>
      </c>
      <c r="R14" s="31">
        <f t="shared" si="6"/>
        <v>0.15</v>
      </c>
      <c r="S14" s="155">
        <f t="shared" si="2"/>
        <v>1788.2499999999998</v>
      </c>
      <c r="T14" s="155">
        <f t="shared" ref="T14:AB14" si="30">S14*(1+$R14)</f>
        <v>2056.4874999999997</v>
      </c>
      <c r="U14" s="155">
        <f t="shared" si="30"/>
        <v>2364.9606249999997</v>
      </c>
      <c r="V14" s="155">
        <f t="shared" si="30"/>
        <v>2719.7047187499993</v>
      </c>
      <c r="W14" s="155">
        <f t="shared" si="30"/>
        <v>3127.6604265624987</v>
      </c>
      <c r="X14" s="155">
        <f t="shared" si="30"/>
        <v>3596.8094905468733</v>
      </c>
      <c r="Y14" s="155">
        <f t="shared" si="30"/>
        <v>4136.3309141289037</v>
      </c>
      <c r="Z14" s="155">
        <f t="shared" si="30"/>
        <v>4756.7805512482391</v>
      </c>
      <c r="AA14" s="155">
        <f t="shared" si="30"/>
        <v>5470.2976339354746</v>
      </c>
      <c r="AB14" s="155">
        <f t="shared" si="30"/>
        <v>6290.8422790257955</v>
      </c>
      <c r="AC14" s="138">
        <f t="shared" si="19"/>
        <v>0.27745359850095896</v>
      </c>
      <c r="AD14" s="31">
        <f t="shared" si="17"/>
        <v>0.08</v>
      </c>
      <c r="AE14" s="146">
        <f t="shared" si="1"/>
        <v>97058.709447826579</v>
      </c>
    </row>
    <row r="15" spans="2:31">
      <c r="B15" s="20" t="s">
        <v>23</v>
      </c>
      <c r="C15" s="141"/>
      <c r="D15" s="141"/>
      <c r="E15" s="147"/>
      <c r="F15" s="147"/>
      <c r="G15" s="147">
        <v>38</v>
      </c>
      <c r="H15" s="147">
        <v>108</v>
      </c>
      <c r="I15" s="147">
        <v>-24</v>
      </c>
      <c r="J15" s="147">
        <v>1150</v>
      </c>
      <c r="K15" s="147">
        <v>591</v>
      </c>
      <c r="L15" s="147">
        <v>245</v>
      </c>
      <c r="M15" s="147">
        <v>485</v>
      </c>
      <c r="N15" s="147">
        <v>1242</v>
      </c>
      <c r="O15" s="147">
        <v>-1162</v>
      </c>
      <c r="P15" s="147">
        <v>-1286</v>
      </c>
      <c r="Q15" s="118">
        <f t="shared" si="5"/>
        <v>-2.4789030615489738</v>
      </c>
      <c r="R15" s="31">
        <f t="shared" si="6"/>
        <v>0.15</v>
      </c>
      <c r="S15" s="155">
        <f t="shared" si="2"/>
        <v>-1478.8999999999999</v>
      </c>
      <c r="T15" s="155">
        <f t="shared" ref="T15:AB15" si="31">S15*(1+$R15)</f>
        <v>-1700.7349999999997</v>
      </c>
      <c r="U15" s="155">
        <f t="shared" si="31"/>
        <v>-1955.8452499999994</v>
      </c>
      <c r="V15" s="155">
        <f t="shared" si="31"/>
        <v>-2249.2220374999993</v>
      </c>
      <c r="W15" s="155">
        <f t="shared" si="31"/>
        <v>-2586.6053431249989</v>
      </c>
      <c r="X15" s="155">
        <f t="shared" si="31"/>
        <v>-2974.5961445937482</v>
      </c>
      <c r="Y15" s="155">
        <f t="shared" si="31"/>
        <v>-3420.7855662828101</v>
      </c>
      <c r="Z15" s="155">
        <f t="shared" si="31"/>
        <v>-3933.9034012252314</v>
      </c>
      <c r="AA15" s="155">
        <f t="shared" si="31"/>
        <v>-4523.9889114090156</v>
      </c>
      <c r="AB15" s="155">
        <f t="shared" si="31"/>
        <v>-5202.5872481203678</v>
      </c>
      <c r="AC15" s="138">
        <f t="shared" si="19"/>
        <v>-2.2955196010252505</v>
      </c>
      <c r="AD15" s="31">
        <f t="shared" si="17"/>
        <v>0.08</v>
      </c>
      <c r="AE15" s="146">
        <f t="shared" si="1"/>
        <v>-80268.48897099997</v>
      </c>
    </row>
    <row r="16" spans="2:31">
      <c r="B16" s="20"/>
      <c r="C16" s="141"/>
      <c r="D16" s="141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28"/>
      <c r="R16" s="20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39"/>
      <c r="AD16" s="137"/>
      <c r="AE16" s="155"/>
    </row>
    <row r="17" spans="2:31">
      <c r="B17" s="20" t="s">
        <v>278</v>
      </c>
      <c r="C17" s="141"/>
      <c r="D17" s="141"/>
      <c r="E17" s="147"/>
      <c r="F17" s="147"/>
      <c r="G17" s="147">
        <v>289</v>
      </c>
      <c r="H17" s="147">
        <v>805</v>
      </c>
      <c r="I17" s="147">
        <v>715</v>
      </c>
      <c r="J17" s="147">
        <v>7520</v>
      </c>
      <c r="K17" s="147">
        <v>8352</v>
      </c>
      <c r="L17" s="147">
        <v>12860</v>
      </c>
      <c r="M17" s="147">
        <v>15351</v>
      </c>
      <c r="N17" s="147">
        <v>13905</v>
      </c>
      <c r="O17" s="147">
        <v>15697</v>
      </c>
      <c r="P17" s="147">
        <v>16409</v>
      </c>
      <c r="Q17" s="118">
        <f>((P17/G17)^(1/($H$2-$H$1) ))-1</f>
        <v>0.56642412631644978</v>
      </c>
      <c r="R17" s="31">
        <f t="shared" si="6"/>
        <v>0.15</v>
      </c>
      <c r="S17" s="155">
        <f t="shared" ref="S17:S33" si="32">P17*(1+$R17)</f>
        <v>18870.349999999999</v>
      </c>
      <c r="T17" s="155">
        <f t="shared" ref="T17:T33" si="33">S17*(1+$R17)</f>
        <v>21700.902499999997</v>
      </c>
      <c r="U17" s="155">
        <f t="shared" ref="U17:U33" si="34">T17*(1+$R17)</f>
        <v>24956.037874999995</v>
      </c>
      <c r="V17" s="155">
        <f t="shared" ref="V17:V33" si="35">U17*(1+$R17)</f>
        <v>28699.443556249993</v>
      </c>
      <c r="W17" s="155">
        <f t="shared" ref="W17:W35" si="36">V17*(1+$R17)</f>
        <v>33004.360089687492</v>
      </c>
      <c r="X17" s="155">
        <f t="shared" ref="X17:X35" si="37">W17*(1+$R17)</f>
        <v>37955.014103140616</v>
      </c>
      <c r="Y17" s="155">
        <f t="shared" ref="Y17:Y35" si="38">X17*(1+$R17)</f>
        <v>43648.266218611709</v>
      </c>
      <c r="Z17" s="155">
        <f t="shared" ref="Z17:Z35" si="39">Y17*(1+$R17)</f>
        <v>50195.506151403461</v>
      </c>
      <c r="AA17" s="155">
        <f t="shared" ref="AA17:AA35" si="40">Z17*(1+$R17)</f>
        <v>57724.832074113976</v>
      </c>
      <c r="AB17" s="155">
        <f t="shared" ref="AB17:AB35" si="41">AA17*(1+$R17)</f>
        <v>66383.556885231068</v>
      </c>
      <c r="AC17" s="138">
        <f t="shared" si="19"/>
        <v>0.33128708776677573</v>
      </c>
      <c r="AD17" s="31">
        <f t="shared" si="17"/>
        <v>0.08</v>
      </c>
      <c r="AE17" s="146">
        <f t="shared" si="1"/>
        <v>1024203.4490864224</v>
      </c>
    </row>
    <row r="18" spans="2:31">
      <c r="B18" s="20"/>
      <c r="C18" s="141"/>
      <c r="D18" s="141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28"/>
      <c r="R18" s="20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39"/>
      <c r="AD18" s="137"/>
      <c r="AE18" s="155"/>
    </row>
    <row r="19" spans="2:31">
      <c r="B19" s="20" t="s">
        <v>284</v>
      </c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18" t="e">
        <f>((P19/G19)^(1/($H$2-$H$1) ))-1</f>
        <v>#DIV/0!</v>
      </c>
      <c r="R19" s="31">
        <f t="shared" si="6"/>
        <v>0.15</v>
      </c>
      <c r="S19" s="155">
        <f t="shared" ref="S19:S21" si="42">P19*(1+$R19)</f>
        <v>0</v>
      </c>
      <c r="T19" s="155">
        <f t="shared" ref="T19:T21" si="43">S19*(1+$R19)</f>
        <v>0</v>
      </c>
      <c r="U19" s="155">
        <f t="shared" ref="U19:U21" si="44">T19*(1+$R19)</f>
        <v>0</v>
      </c>
      <c r="V19" s="155">
        <f t="shared" ref="V19:V21" si="45">U19*(1+$R19)</f>
        <v>0</v>
      </c>
      <c r="W19" s="155">
        <f t="shared" ref="W19:W21" si="46">V19*(1+$R19)</f>
        <v>0</v>
      </c>
      <c r="X19" s="155">
        <f t="shared" ref="X19:X21" si="47">W19*(1+$R19)</f>
        <v>0</v>
      </c>
      <c r="Y19" s="155">
        <f t="shared" ref="Y19:Y21" si="48">X19*(1+$R19)</f>
        <v>0</v>
      </c>
      <c r="Z19" s="155">
        <f t="shared" ref="Z19:Z21" si="49">Y19*(1+$R19)</f>
        <v>0</v>
      </c>
      <c r="AA19" s="155">
        <f t="shared" ref="AA19:AA21" si="50">Z19*(1+$R19)</f>
        <v>0</v>
      </c>
      <c r="AB19" s="155">
        <f t="shared" ref="AB19:AB21" si="51">AA19*(1+$R19)</f>
        <v>0</v>
      </c>
      <c r="AC19" s="138" t="e">
        <f t="shared" ref="AC19:AC21" si="52">((AB19/G19)^(1/($AB$3-$H$1) ))-1</f>
        <v>#DIV/0!</v>
      </c>
      <c r="AD19" s="31">
        <f t="shared" si="17"/>
        <v>0.08</v>
      </c>
      <c r="AE19" s="146">
        <f t="shared" si="1"/>
        <v>0</v>
      </c>
    </row>
    <row r="20" spans="2:31">
      <c r="B20" s="20" t="s">
        <v>285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f t="shared" si="6"/>
        <v>0.15</v>
      </c>
      <c r="S20" s="155">
        <f t="shared" si="42"/>
        <v>0</v>
      </c>
      <c r="T20" s="155">
        <f t="shared" si="43"/>
        <v>0</v>
      </c>
      <c r="U20" s="155">
        <f t="shared" si="44"/>
        <v>0</v>
      </c>
      <c r="V20" s="155">
        <f t="shared" si="45"/>
        <v>0</v>
      </c>
      <c r="W20" s="155">
        <f t="shared" si="46"/>
        <v>0</v>
      </c>
      <c r="X20" s="155">
        <f t="shared" si="47"/>
        <v>0</v>
      </c>
      <c r="Y20" s="155">
        <f t="shared" si="48"/>
        <v>0</v>
      </c>
      <c r="Z20" s="155">
        <f t="shared" si="49"/>
        <v>0</v>
      </c>
      <c r="AA20" s="155">
        <f t="shared" si="50"/>
        <v>0</v>
      </c>
      <c r="AB20" s="155">
        <f t="shared" si="51"/>
        <v>0</v>
      </c>
      <c r="AC20" s="138" t="e">
        <f t="shared" si="52"/>
        <v>#DIV/0!</v>
      </c>
      <c r="AD20" s="31">
        <f t="shared" si="17"/>
        <v>0.08</v>
      </c>
      <c r="AE20" s="146">
        <f t="shared" si="1"/>
        <v>0</v>
      </c>
    </row>
    <row r="21" spans="2:31">
      <c r="B21" s="20" t="s">
        <v>286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f t="shared" si="6"/>
        <v>0.15</v>
      </c>
      <c r="S21" s="155">
        <f t="shared" si="42"/>
        <v>0</v>
      </c>
      <c r="T21" s="155">
        <f t="shared" si="43"/>
        <v>0</v>
      </c>
      <c r="U21" s="155">
        <f t="shared" si="44"/>
        <v>0</v>
      </c>
      <c r="V21" s="155">
        <f t="shared" si="45"/>
        <v>0</v>
      </c>
      <c r="W21" s="155">
        <f t="shared" si="46"/>
        <v>0</v>
      </c>
      <c r="X21" s="155">
        <f t="shared" si="47"/>
        <v>0</v>
      </c>
      <c r="Y21" s="155">
        <f t="shared" si="48"/>
        <v>0</v>
      </c>
      <c r="Z21" s="155">
        <f t="shared" si="49"/>
        <v>0</v>
      </c>
      <c r="AA21" s="155">
        <f t="shared" si="50"/>
        <v>0</v>
      </c>
      <c r="AB21" s="155">
        <f t="shared" si="51"/>
        <v>0</v>
      </c>
      <c r="AC21" s="138" t="e">
        <f t="shared" si="52"/>
        <v>#DIV/0!</v>
      </c>
      <c r="AD21" s="31">
        <f t="shared" si="17"/>
        <v>0.08</v>
      </c>
      <c r="AE21" s="146">
        <f t="shared" si="1"/>
        <v>0</v>
      </c>
    </row>
    <row r="22" spans="2:31">
      <c r="B22" s="20" t="s">
        <v>296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f t="shared" si="6"/>
        <v>0.15</v>
      </c>
      <c r="S22" s="155">
        <f t="shared" ref="S22" si="53">P22*(1+$R22)</f>
        <v>0</v>
      </c>
      <c r="T22" s="155">
        <f t="shared" ref="T22" si="54">S22*(1+$R22)</f>
        <v>0</v>
      </c>
      <c r="U22" s="155">
        <f t="shared" ref="U22" si="55">T22*(1+$R22)</f>
        <v>0</v>
      </c>
      <c r="V22" s="155">
        <f t="shared" ref="V22" si="56">U22*(1+$R22)</f>
        <v>0</v>
      </c>
      <c r="W22" s="155">
        <f t="shared" ref="W22" si="57">V22*(1+$R22)</f>
        <v>0</v>
      </c>
      <c r="X22" s="155">
        <f t="shared" ref="X22" si="58">W22*(1+$R22)</f>
        <v>0</v>
      </c>
      <c r="Y22" s="155">
        <f t="shared" ref="Y22" si="59">X22*(1+$R22)</f>
        <v>0</v>
      </c>
      <c r="Z22" s="155">
        <f t="shared" ref="Z22" si="60">Y22*(1+$R22)</f>
        <v>0</v>
      </c>
      <c r="AA22" s="155">
        <f t="shared" ref="AA22" si="61">Z22*(1+$R22)</f>
        <v>0</v>
      </c>
      <c r="AB22" s="155">
        <f t="shared" ref="AB22" si="62">AA22*(1+$R22)</f>
        <v>0</v>
      </c>
      <c r="AC22" s="138" t="e">
        <f t="shared" ref="AC22" si="63">((AB22/G22)^(1/($AB$3-$H$1) ))-1</f>
        <v>#DIV/0!</v>
      </c>
      <c r="AD22" s="31">
        <f t="shared" si="17"/>
        <v>0.08</v>
      </c>
      <c r="AE22" s="146">
        <f t="shared" si="1"/>
        <v>0</v>
      </c>
    </row>
    <row r="23" spans="2:31">
      <c r="B23" s="20"/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28"/>
      <c r="R23" s="20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19"/>
      <c r="AD23" s="137"/>
      <c r="AE23" s="155"/>
    </row>
    <row r="24" spans="2:31">
      <c r="B24" s="20" t="s">
        <v>89</v>
      </c>
      <c r="C24" s="141"/>
      <c r="D24" s="141"/>
      <c r="E24" s="147"/>
      <c r="F24" s="147"/>
      <c r="G24" s="147">
        <v>291</v>
      </c>
      <c r="H24" s="147">
        <v>298</v>
      </c>
      <c r="I24" s="147">
        <v>505</v>
      </c>
      <c r="J24" s="147">
        <v>806</v>
      </c>
      <c r="K24" s="147">
        <v>1933</v>
      </c>
      <c r="L24" s="147">
        <v>3449</v>
      </c>
      <c r="M24" s="147">
        <v>3139</v>
      </c>
      <c r="N24" s="147">
        <v>2906</v>
      </c>
      <c r="O24" s="147">
        <v>3228</v>
      </c>
      <c r="P24" s="147">
        <v>3699</v>
      </c>
      <c r="Q24" s="118">
        <f>((P24/G24)^(1/($H$2-$H$1) ))-1</f>
        <v>0.32644096812827983</v>
      </c>
      <c r="R24" s="31">
        <f t="shared" si="6"/>
        <v>0.15</v>
      </c>
      <c r="S24" s="155">
        <f t="shared" si="32"/>
        <v>4253.8499999999995</v>
      </c>
      <c r="T24" s="155">
        <f t="shared" si="33"/>
        <v>4891.9274999999989</v>
      </c>
      <c r="U24" s="155">
        <f t="shared" si="34"/>
        <v>5625.7166249999982</v>
      </c>
      <c r="V24" s="155">
        <f t="shared" si="35"/>
        <v>6469.5741187499971</v>
      </c>
      <c r="W24" s="155">
        <f t="shared" si="36"/>
        <v>7440.0102365624962</v>
      </c>
      <c r="X24" s="155">
        <f t="shared" si="37"/>
        <v>8556.0117720468697</v>
      </c>
      <c r="Y24" s="155">
        <f t="shared" si="38"/>
        <v>9839.4135378538995</v>
      </c>
      <c r="Z24" s="155">
        <f t="shared" si="39"/>
        <v>11315.325568531984</v>
      </c>
      <c r="AA24" s="155">
        <f t="shared" si="40"/>
        <v>13012.62440381178</v>
      </c>
      <c r="AB24" s="155">
        <f t="shared" si="41"/>
        <v>14964.518064383547</v>
      </c>
      <c r="AC24" s="138">
        <f t="shared" si="19"/>
        <v>0.23044318603626679</v>
      </c>
      <c r="AD24" s="31">
        <f t="shared" si="17"/>
        <v>0.08</v>
      </c>
      <c r="AE24" s="146">
        <f t="shared" si="1"/>
        <v>230881.13585048905</v>
      </c>
    </row>
    <row r="25" spans="2:31" s="123" customFormat="1">
      <c r="B25" s="23"/>
      <c r="C25" s="150"/>
      <c r="D25" s="150"/>
      <c r="E25" s="151"/>
      <c r="F25" s="151"/>
      <c r="G25" s="149">
        <f>(G24-F24)/G24</f>
        <v>1</v>
      </c>
      <c r="H25" s="149">
        <f>(H24-G24)/H24</f>
        <v>2.3489932885906041E-2</v>
      </c>
      <c r="I25" s="149">
        <f t="shared" ref="I25" si="64">(I24-H24)/I24</f>
        <v>0.40990099009900988</v>
      </c>
      <c r="J25" s="149">
        <f t="shared" ref="J25" si="65">(J24-I24)/J24</f>
        <v>0.37344913151364767</v>
      </c>
      <c r="K25" s="149">
        <f t="shared" ref="K25" si="66">(K24-J24)/K24</f>
        <v>0.58303155716502841</v>
      </c>
      <c r="L25" s="149">
        <f t="shared" ref="L25" si="67">(L24-K24)/L24</f>
        <v>0.43954769498405333</v>
      </c>
      <c r="M25" s="149">
        <f t="shared" ref="M25" si="68">(M24-L24)/M24</f>
        <v>-9.8757566103854735E-2</v>
      </c>
      <c r="N25" s="149">
        <f t="shared" ref="N25" si="69">(N24-M24)/N24</f>
        <v>-8.0178940123881617E-2</v>
      </c>
      <c r="O25" s="149">
        <f t="shared" ref="O25" si="70">(O24-N24)/O24</f>
        <v>9.9752168525402723E-2</v>
      </c>
      <c r="P25" s="149">
        <f t="shared" ref="P25" si="71">(P24-O24)/P24</f>
        <v>0.12733171127331711</v>
      </c>
      <c r="Q25" s="128"/>
      <c r="R25" s="20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19"/>
      <c r="AD25" s="137"/>
      <c r="AE25" s="155"/>
    </row>
    <row r="26" spans="2:31">
      <c r="B26" s="20" t="s">
        <v>262</v>
      </c>
      <c r="C26" s="141"/>
      <c r="D26" s="141"/>
      <c r="E26" s="147"/>
      <c r="F26" s="147"/>
      <c r="G26" s="147">
        <v>100</v>
      </c>
      <c r="H26" s="147">
        <v>115</v>
      </c>
      <c r="I26" s="147">
        <v>192</v>
      </c>
      <c r="J26" s="147">
        <v>337</v>
      </c>
      <c r="K26" s="147">
        <v>709</v>
      </c>
      <c r="L26" s="147">
        <v>1201</v>
      </c>
      <c r="M26" s="147">
        <v>1211</v>
      </c>
      <c r="N26" s="147">
        <v>1116</v>
      </c>
      <c r="O26" s="147">
        <v>1322</v>
      </c>
      <c r="P26" s="147">
        <v>1686</v>
      </c>
      <c r="Q26" s="118">
        <f>((P26/G26)^(1/($H$2-$H$1) ))-1</f>
        <v>0.3687291223614424</v>
      </c>
      <c r="R26" s="31">
        <f t="shared" si="6"/>
        <v>0.15</v>
      </c>
      <c r="S26" s="155">
        <f t="shared" si="32"/>
        <v>1938.8999999999999</v>
      </c>
      <c r="T26" s="155">
        <f t="shared" si="33"/>
        <v>2229.7349999999997</v>
      </c>
      <c r="U26" s="155">
        <f t="shared" si="34"/>
        <v>2564.1952499999993</v>
      </c>
      <c r="V26" s="155">
        <f t="shared" si="35"/>
        <v>2948.8245374999988</v>
      </c>
      <c r="W26" s="155">
        <f t="shared" si="36"/>
        <v>3391.1482181249985</v>
      </c>
      <c r="X26" s="155">
        <f t="shared" si="37"/>
        <v>3899.8204508437479</v>
      </c>
      <c r="Y26" s="155">
        <f t="shared" si="38"/>
        <v>4484.7935184703101</v>
      </c>
      <c r="Z26" s="155">
        <f t="shared" si="39"/>
        <v>5157.512546240856</v>
      </c>
      <c r="AA26" s="155">
        <f t="shared" si="40"/>
        <v>5931.1394281769835</v>
      </c>
      <c r="AB26" s="155">
        <f t="shared" si="41"/>
        <v>6820.8103424035307</v>
      </c>
      <c r="AC26" s="138">
        <f t="shared" si="19"/>
        <v>0.24887129288277521</v>
      </c>
      <c r="AD26" s="31">
        <f t="shared" si="17"/>
        <v>0.08</v>
      </c>
      <c r="AE26" s="146">
        <f t="shared" si="1"/>
        <v>105235.35956851163</v>
      </c>
    </row>
    <row r="27" spans="2:31" s="123" customFormat="1">
      <c r="B27" s="23"/>
      <c r="C27" s="150"/>
      <c r="D27" s="150"/>
      <c r="E27" s="151"/>
      <c r="F27" s="151"/>
      <c r="G27" s="149">
        <f t="shared" ref="G27:P27" si="72">(G26-F26)/G26</f>
        <v>1</v>
      </c>
      <c r="H27" s="149">
        <f t="shared" si="72"/>
        <v>0.13043478260869565</v>
      </c>
      <c r="I27" s="149">
        <f t="shared" si="72"/>
        <v>0.40104166666666669</v>
      </c>
      <c r="J27" s="149">
        <f t="shared" si="72"/>
        <v>0.43026706231454004</v>
      </c>
      <c r="K27" s="149">
        <f t="shared" si="72"/>
        <v>0.52468265162200278</v>
      </c>
      <c r="L27" s="149">
        <f t="shared" si="72"/>
        <v>0.40965861781848462</v>
      </c>
      <c r="M27" s="149">
        <f t="shared" si="72"/>
        <v>8.2576383154417832E-3</v>
      </c>
      <c r="N27" s="149">
        <f t="shared" si="72"/>
        <v>-8.5125448028673834E-2</v>
      </c>
      <c r="O27" s="149">
        <f t="shared" si="72"/>
        <v>0.15582450832072617</v>
      </c>
      <c r="P27" s="149">
        <f t="shared" si="72"/>
        <v>0.21589561091340451</v>
      </c>
      <c r="Q27" s="128"/>
      <c r="R27" s="20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19"/>
      <c r="AD27" s="137"/>
      <c r="AE27" s="155"/>
    </row>
    <row r="28" spans="2:31" s="123" customFormat="1">
      <c r="B28" s="20" t="s">
        <v>328</v>
      </c>
      <c r="C28" s="150"/>
      <c r="D28" s="150"/>
      <c r="E28" s="151"/>
      <c r="F28" s="147"/>
      <c r="G28" s="147">
        <v>68</v>
      </c>
      <c r="H28" s="147">
        <v>43</v>
      </c>
      <c r="I28" s="147">
        <v>61</v>
      </c>
      <c r="J28" s="147">
        <v>302</v>
      </c>
      <c r="K28" s="147">
        <v>729</v>
      </c>
      <c r="L28" s="147">
        <v>966</v>
      </c>
      <c r="M28" s="147">
        <v>1023</v>
      </c>
      <c r="N28" s="147">
        <v>967</v>
      </c>
      <c r="O28" s="147">
        <v>989</v>
      </c>
      <c r="P28" s="147">
        <v>1188</v>
      </c>
      <c r="Q28" s="118">
        <f>((P28/G28)^(1/($H$2-$H$1) ))-1</f>
        <v>0.3741500872465835</v>
      </c>
      <c r="R28" s="31">
        <f t="shared" si="6"/>
        <v>0.15</v>
      </c>
      <c r="S28" s="155">
        <f t="shared" ref="S28" si="73">P28*(1+$R28)</f>
        <v>1366.1999999999998</v>
      </c>
      <c r="T28" s="155">
        <f t="shared" ref="T28" si="74">S28*(1+$R28)</f>
        <v>1571.1299999999997</v>
      </c>
      <c r="U28" s="155">
        <f t="shared" ref="U28" si="75">T28*(1+$R28)</f>
        <v>1806.7994999999994</v>
      </c>
      <c r="V28" s="155">
        <f t="shared" ref="V28" si="76">U28*(1+$R28)</f>
        <v>2077.8194249999992</v>
      </c>
      <c r="W28" s="155">
        <f t="shared" ref="W28" si="77">V28*(1+$R28)</f>
        <v>2389.4923387499989</v>
      </c>
      <c r="X28" s="155">
        <f t="shared" ref="X28" si="78">W28*(1+$R28)</f>
        <v>2747.9161895624984</v>
      </c>
      <c r="Y28" s="155">
        <f t="shared" ref="Y28" si="79">X28*(1+$R28)</f>
        <v>3160.1036179968728</v>
      </c>
      <c r="Z28" s="155">
        <f t="shared" ref="Z28" si="80">Y28*(1+$R28)</f>
        <v>3634.1191606964035</v>
      </c>
      <c r="AA28" s="155">
        <f t="shared" ref="AA28" si="81">Z28*(1+$R28)</f>
        <v>4179.2370348008635</v>
      </c>
      <c r="AB28" s="155">
        <f t="shared" ref="AB28" si="82">AA28*(1+$R28)</f>
        <v>4806.1225900209929</v>
      </c>
      <c r="AC28" s="138">
        <f t="shared" ref="AC28" si="83">((AB28/G28)^(1/($AB$3-$H$1) ))-1</f>
        <v>0.25121182015071342</v>
      </c>
      <c r="AD28" s="31">
        <f t="shared" si="17"/>
        <v>0.08</v>
      </c>
      <c r="AE28" s="146">
        <f t="shared" ref="AE28" si="84">(AB28*(1+AD28))/($C$1-AD28)</f>
        <v>74151.605674609615</v>
      </c>
    </row>
    <row r="29" spans="2:31" s="123" customFormat="1">
      <c r="B29" s="23"/>
      <c r="C29" s="150"/>
      <c r="D29" s="150"/>
      <c r="E29" s="151"/>
      <c r="F29" s="151"/>
      <c r="G29" s="149">
        <f t="shared" ref="G29:P29" si="85">(G28-F28)/G28</f>
        <v>1</v>
      </c>
      <c r="H29" s="149">
        <f t="shared" si="85"/>
        <v>-0.58139534883720934</v>
      </c>
      <c r="I29" s="149">
        <f t="shared" si="85"/>
        <v>0.29508196721311475</v>
      </c>
      <c r="J29" s="149">
        <f t="shared" si="85"/>
        <v>0.79801324503311255</v>
      </c>
      <c r="K29" s="149">
        <f t="shared" si="85"/>
        <v>0.58573388203017829</v>
      </c>
      <c r="L29" s="149">
        <f t="shared" si="85"/>
        <v>0.24534161490683229</v>
      </c>
      <c r="M29" s="149">
        <f t="shared" si="85"/>
        <v>5.5718475073313782E-2</v>
      </c>
      <c r="N29" s="149">
        <f t="shared" si="85"/>
        <v>-5.7911065149948295E-2</v>
      </c>
      <c r="O29" s="149">
        <f t="shared" si="85"/>
        <v>2.2244691607684528E-2</v>
      </c>
      <c r="P29" s="149">
        <f t="shared" si="85"/>
        <v>0.1675084175084175</v>
      </c>
      <c r="Q29" s="128"/>
      <c r="R29" s="20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63"/>
      <c r="AD29" s="137"/>
      <c r="AE29" s="155"/>
    </row>
    <row r="30" spans="2:31">
      <c r="B30" s="20" t="s">
        <v>336</v>
      </c>
      <c r="C30" s="141"/>
      <c r="D30" s="141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18" t="e">
        <f>((P30/G30)^(1/($H$2-$H$1) ))-1</f>
        <v>#DIV/0!</v>
      </c>
      <c r="R30" s="31">
        <f t="shared" si="6"/>
        <v>0.15</v>
      </c>
      <c r="S30" s="155">
        <f>P30*(1+$R30)</f>
        <v>0</v>
      </c>
      <c r="T30" s="155">
        <f>S30*(1+$R30)</f>
        <v>0</v>
      </c>
      <c r="U30" s="155">
        <f t="shared" ref="U30:AB31" si="86">T30*(1+$R30)</f>
        <v>0</v>
      </c>
      <c r="V30" s="155">
        <f t="shared" si="86"/>
        <v>0</v>
      </c>
      <c r="W30" s="155">
        <f t="shared" si="86"/>
        <v>0</v>
      </c>
      <c r="X30" s="155">
        <f t="shared" si="86"/>
        <v>0</v>
      </c>
      <c r="Y30" s="155">
        <f t="shared" si="86"/>
        <v>0</v>
      </c>
      <c r="Z30" s="155">
        <f t="shared" si="86"/>
        <v>0</v>
      </c>
      <c r="AA30" s="155">
        <f t="shared" si="86"/>
        <v>0</v>
      </c>
      <c r="AB30" s="155">
        <f t="shared" si="86"/>
        <v>0</v>
      </c>
      <c r="AC30" s="138" t="e">
        <f t="shared" ref="AC30" si="87">((AB30/G30)^(1/($AB$3-$H$1) ))-1</f>
        <v>#DIV/0!</v>
      </c>
      <c r="AD30" s="31">
        <f t="shared" si="17"/>
        <v>0.08</v>
      </c>
      <c r="AE30" s="146">
        <f t="shared" si="1"/>
        <v>0</v>
      </c>
    </row>
    <row r="31" spans="2:31">
      <c r="B31" s="20" t="s">
        <v>335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0.15</v>
      </c>
      <c r="S31" s="155">
        <f>P31*(1+$R31)</f>
        <v>0</v>
      </c>
      <c r="T31" s="155">
        <f>S31*(1+$R31)</f>
        <v>0</v>
      </c>
      <c r="U31" s="155">
        <f t="shared" si="86"/>
        <v>0</v>
      </c>
      <c r="V31" s="155">
        <f t="shared" si="86"/>
        <v>0</v>
      </c>
      <c r="W31" s="155">
        <f t="shared" si="86"/>
        <v>0</v>
      </c>
      <c r="X31" s="155">
        <f t="shared" si="86"/>
        <v>0</v>
      </c>
      <c r="Y31" s="155">
        <f t="shared" si="86"/>
        <v>0</v>
      </c>
      <c r="Z31" s="155">
        <f t="shared" si="86"/>
        <v>0</v>
      </c>
      <c r="AA31" s="155">
        <f t="shared" si="86"/>
        <v>0</v>
      </c>
      <c r="AB31" s="155">
        <f t="shared" si="86"/>
        <v>0</v>
      </c>
      <c r="AC31" s="138" t="e">
        <f t="shared" ref="AC31" si="88">((AB31/G31)^(1/($AB$3-$H$1) ))-1</f>
        <v>#DIV/0!</v>
      </c>
      <c r="AD31" s="31">
        <f t="shared" si="17"/>
        <v>0.08</v>
      </c>
      <c r="AE31" s="146">
        <f t="shared" si="1"/>
        <v>0</v>
      </c>
    </row>
    <row r="32" spans="2:31">
      <c r="B32" s="20" t="s">
        <v>318</v>
      </c>
      <c r="C32" s="141"/>
      <c r="D32" s="141"/>
      <c r="E32" s="147"/>
      <c r="F32" s="147"/>
      <c r="G32" s="147">
        <v>35</v>
      </c>
      <c r="H32" s="147">
        <v>33</v>
      </c>
      <c r="I32" s="147">
        <v>58</v>
      </c>
      <c r="J32" s="147">
        <v>53</v>
      </c>
      <c r="K32" s="147">
        <v>96</v>
      </c>
      <c r="L32" s="147">
        <v>173</v>
      </c>
      <c r="M32" s="147">
        <v>103</v>
      </c>
      <c r="N32" s="147">
        <v>105</v>
      </c>
      <c r="O32" s="147">
        <v>98</v>
      </c>
      <c r="P32" s="147">
        <v>155</v>
      </c>
      <c r="Q32" s="118">
        <f>((P32/G32)^(1/($H$2-$H$1) ))-1</f>
        <v>0.17979641631683774</v>
      </c>
      <c r="R32" s="31">
        <f t="shared" si="6"/>
        <v>0.15</v>
      </c>
      <c r="S32" s="155">
        <f t="shared" si="32"/>
        <v>178.25</v>
      </c>
      <c r="T32" s="155">
        <f t="shared" si="33"/>
        <v>204.98749999999998</v>
      </c>
      <c r="U32" s="155">
        <f t="shared" si="34"/>
        <v>235.73562499999997</v>
      </c>
      <c r="V32" s="155">
        <f t="shared" si="35"/>
        <v>271.09596874999994</v>
      </c>
      <c r="W32" s="155">
        <f t="shared" si="36"/>
        <v>311.76036406249989</v>
      </c>
      <c r="X32" s="155">
        <f t="shared" si="37"/>
        <v>358.52441867187486</v>
      </c>
      <c r="Y32" s="155">
        <f t="shared" si="38"/>
        <v>412.30308147265606</v>
      </c>
      <c r="Z32" s="155">
        <f t="shared" si="39"/>
        <v>474.14854369355442</v>
      </c>
      <c r="AA32" s="155">
        <f t="shared" si="40"/>
        <v>545.27082524758748</v>
      </c>
      <c r="AB32" s="155">
        <f t="shared" si="41"/>
        <v>627.06144903472557</v>
      </c>
      <c r="AC32" s="138">
        <f t="shared" si="19"/>
        <v>0.16401910460119407</v>
      </c>
      <c r="AD32" s="31">
        <f t="shared" si="17"/>
        <v>0.08</v>
      </c>
      <c r="AE32" s="146">
        <f t="shared" si="1"/>
        <v>9674.6623565357677</v>
      </c>
    </row>
    <row r="33" spans="2:31">
      <c r="B33" s="20" t="s">
        <v>309</v>
      </c>
      <c r="C33" s="141"/>
      <c r="D33" s="141"/>
      <c r="E33" s="147"/>
      <c r="F33" s="147"/>
      <c r="G33" s="147">
        <v>17</v>
      </c>
      <c r="H33" s="147">
        <v>15</v>
      </c>
      <c r="I33" s="147">
        <v>27</v>
      </c>
      <c r="J33" s="147">
        <v>56</v>
      </c>
      <c r="K33" s="147">
        <v>200</v>
      </c>
      <c r="L33" s="147">
        <v>344</v>
      </c>
      <c r="M33" s="147">
        <v>288</v>
      </c>
      <c r="N33" s="147">
        <v>289</v>
      </c>
      <c r="O33" s="147">
        <v>337</v>
      </c>
      <c r="P33" s="147">
        <v>448</v>
      </c>
      <c r="Q33" s="118">
        <f>((P33/G33)^(1/($H$2-$H$1) ))-1</f>
        <v>0.43836762449624889</v>
      </c>
      <c r="R33" s="31">
        <f t="shared" si="6"/>
        <v>0.15</v>
      </c>
      <c r="S33" s="155">
        <f t="shared" si="32"/>
        <v>515.19999999999993</v>
      </c>
      <c r="T33" s="155">
        <f t="shared" si="33"/>
        <v>592.4799999999999</v>
      </c>
      <c r="U33" s="155">
        <f t="shared" si="34"/>
        <v>681.35199999999986</v>
      </c>
      <c r="V33" s="155">
        <f t="shared" si="35"/>
        <v>783.55479999999977</v>
      </c>
      <c r="W33" s="155">
        <f t="shared" si="36"/>
        <v>901.08801999999969</v>
      </c>
      <c r="X33" s="155">
        <f t="shared" si="37"/>
        <v>1036.2512229999995</v>
      </c>
      <c r="Y33" s="155">
        <f t="shared" si="38"/>
        <v>1191.6889064499994</v>
      </c>
      <c r="Z33" s="155">
        <f t="shared" si="39"/>
        <v>1370.4422424174993</v>
      </c>
      <c r="AA33" s="155">
        <f t="shared" si="40"/>
        <v>1576.008578780124</v>
      </c>
      <c r="AB33" s="155">
        <f t="shared" si="41"/>
        <v>1812.4098655971425</v>
      </c>
      <c r="AC33" s="138">
        <f t="shared" si="19"/>
        <v>0.27857647764064208</v>
      </c>
      <c r="AD33" s="31">
        <f t="shared" si="17"/>
        <v>0.08</v>
      </c>
      <c r="AE33" s="146">
        <f t="shared" si="1"/>
        <v>27962.89506921306</v>
      </c>
    </row>
    <row r="34" spans="2:31">
      <c r="B34" s="20"/>
      <c r="C34" s="141"/>
      <c r="D34" s="141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28"/>
      <c r="R34" s="20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39"/>
      <c r="AD34" s="137"/>
      <c r="AE34" s="155"/>
    </row>
    <row r="35" spans="2:31">
      <c r="B35" s="20" t="s">
        <v>279</v>
      </c>
      <c r="C35" s="141"/>
      <c r="D35" s="141"/>
      <c r="E35" s="147"/>
      <c r="F35" s="147"/>
      <c r="G35" s="147">
        <v>177</v>
      </c>
      <c r="H35" s="147">
        <v>175</v>
      </c>
      <c r="I35" s="147">
        <v>298</v>
      </c>
      <c r="J35" s="147">
        <v>380</v>
      </c>
      <c r="K35" s="147">
        <v>1311</v>
      </c>
      <c r="L35" s="147">
        <v>1848</v>
      </c>
      <c r="M35" s="147">
        <v>2146</v>
      </c>
      <c r="N35" s="147">
        <v>2230</v>
      </c>
      <c r="O35" s="147">
        <v>1840</v>
      </c>
      <c r="P35" s="147">
        <v>1985</v>
      </c>
      <c r="Q35" s="118">
        <f>((P35/G35)^(1/($H$2-$H$1) ))-1</f>
        <v>0.30810626961319243</v>
      </c>
      <c r="R35" s="31">
        <f t="shared" si="6"/>
        <v>0.15</v>
      </c>
      <c r="S35" s="155">
        <f t="shared" ref="S35" si="89">P35*(1+$R35)</f>
        <v>2282.75</v>
      </c>
      <c r="T35" s="155">
        <f t="shared" ref="T35" si="90">S35*(1+$R35)</f>
        <v>2625.1624999999999</v>
      </c>
      <c r="U35" s="155">
        <f t="shared" ref="U35" si="91">T35*(1+$R35)</f>
        <v>3018.9368749999999</v>
      </c>
      <c r="V35" s="155">
        <f t="shared" ref="V35" si="92">U35*(1+$R35)</f>
        <v>3471.7774062499998</v>
      </c>
      <c r="W35" s="155">
        <f t="shared" si="36"/>
        <v>3992.5440171874993</v>
      </c>
      <c r="X35" s="155">
        <f t="shared" si="37"/>
        <v>4591.4256197656241</v>
      </c>
      <c r="Y35" s="155">
        <f t="shared" si="38"/>
        <v>5280.1394627304671</v>
      </c>
      <c r="Z35" s="155">
        <f t="shared" si="39"/>
        <v>6072.1603821400367</v>
      </c>
      <c r="AA35" s="155">
        <f t="shared" si="40"/>
        <v>6982.9844394610418</v>
      </c>
      <c r="AB35" s="155">
        <f t="shared" si="41"/>
        <v>8030.4321053801978</v>
      </c>
      <c r="AC35" s="138">
        <f t="shared" si="19"/>
        <v>0.22235736054468602</v>
      </c>
      <c r="AD35" s="31">
        <f t="shared" si="17"/>
        <v>0.08</v>
      </c>
      <c r="AE35" s="146">
        <f t="shared" si="1"/>
        <v>123898.09534015166</v>
      </c>
    </row>
    <row r="36" spans="2:31" s="123" customFormat="1">
      <c r="B36" s="23"/>
      <c r="C36" s="150"/>
      <c r="D36" s="150"/>
      <c r="E36" s="151"/>
      <c r="F36" s="151"/>
      <c r="G36" s="149">
        <f>(G35-F35)/G35</f>
        <v>1</v>
      </c>
      <c r="H36" s="149">
        <f>(H35-G35)/H35</f>
        <v>-1.1428571428571429E-2</v>
      </c>
      <c r="I36" s="149">
        <f t="shared" ref="I36" si="93">(I35-H35)/I35</f>
        <v>0.41275167785234901</v>
      </c>
      <c r="J36" s="149">
        <f t="shared" ref="J36" si="94">(J35-I35)/J35</f>
        <v>0.21578947368421053</v>
      </c>
      <c r="K36" s="149">
        <f t="shared" ref="K36" si="95">(K35-J35)/K35</f>
        <v>0.71014492753623193</v>
      </c>
      <c r="L36" s="149">
        <f t="shared" ref="L36" si="96">(L35-K35)/L35</f>
        <v>0.29058441558441561</v>
      </c>
      <c r="M36" s="149">
        <f t="shared" ref="M36" si="97">(M35-L35)/M35</f>
        <v>0.13886300093196646</v>
      </c>
      <c r="N36" s="149">
        <f t="shared" ref="N36" si="98">(N35-M35)/N35</f>
        <v>3.766816143497758E-2</v>
      </c>
      <c r="O36" s="149">
        <f t="shared" ref="O36" si="99">(O35-N35)/O35</f>
        <v>-0.21195652173913043</v>
      </c>
      <c r="P36" s="149">
        <f t="shared" ref="P36" si="100">(P35-O35)/P35</f>
        <v>7.3047858942065488E-2</v>
      </c>
      <c r="Q36" s="128"/>
      <c r="R36" s="20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39"/>
      <c r="AD36" s="137"/>
      <c r="AE36" s="157"/>
    </row>
    <row r="37" spans="2:31">
      <c r="B37" s="20" t="s">
        <v>257</v>
      </c>
      <c r="C37" s="141"/>
      <c r="D37" s="141"/>
      <c r="E37" s="147"/>
      <c r="F37" s="147"/>
      <c r="G37" s="147">
        <v>47</v>
      </c>
      <c r="H37" s="147">
        <v>51</v>
      </c>
      <c r="I37" s="147">
        <v>82</v>
      </c>
      <c r="J37" s="147">
        <v>-35</v>
      </c>
      <c r="K37" s="147">
        <v>38</v>
      </c>
      <c r="L37" s="147">
        <v>429</v>
      </c>
      <c r="M37" s="147">
        <v>185</v>
      </c>
      <c r="N37" s="147">
        <v>78</v>
      </c>
      <c r="O37" s="147">
        <v>321</v>
      </c>
      <c r="P37" s="147">
        <v>191</v>
      </c>
      <c r="Q37" s="118">
        <f>((P37/G37)^(1/($H$2-$H$1) ))-1</f>
        <v>0.16858283028791421</v>
      </c>
      <c r="R37" s="31">
        <f t="shared" si="6"/>
        <v>0.15</v>
      </c>
      <c r="S37" s="155">
        <f>P37*(1+$R37)</f>
        <v>219.64999999999998</v>
      </c>
      <c r="T37" s="155">
        <f t="shared" ref="T37:AB37" si="101">S37*(1+$R37)</f>
        <v>252.59749999999997</v>
      </c>
      <c r="U37" s="155">
        <f t="shared" si="101"/>
        <v>290.48712499999993</v>
      </c>
      <c r="V37" s="155">
        <f t="shared" si="101"/>
        <v>334.06019374999988</v>
      </c>
      <c r="W37" s="155">
        <f t="shared" si="101"/>
        <v>384.16922281249981</v>
      </c>
      <c r="X37" s="155">
        <f t="shared" si="101"/>
        <v>441.79460623437473</v>
      </c>
      <c r="Y37" s="155">
        <f t="shared" si="101"/>
        <v>508.06379716953091</v>
      </c>
      <c r="Z37" s="155">
        <f t="shared" si="101"/>
        <v>584.27336674496053</v>
      </c>
      <c r="AA37" s="155">
        <f t="shared" si="101"/>
        <v>671.91437175670455</v>
      </c>
      <c r="AB37" s="155">
        <f t="shared" si="101"/>
        <v>772.70152752021022</v>
      </c>
      <c r="AC37" s="138">
        <f t="shared" si="19"/>
        <v>0.15876526693843585</v>
      </c>
      <c r="AD37" s="31">
        <f t="shared" si="17"/>
        <v>0.08</v>
      </c>
      <c r="AE37" s="146">
        <f t="shared" si="1"/>
        <v>11921.680710311817</v>
      </c>
    </row>
    <row r="38" spans="2:31" s="123" customFormat="1">
      <c r="B38" s="23"/>
      <c r="C38" s="150"/>
      <c r="D38" s="150"/>
      <c r="E38" s="151"/>
      <c r="F38" s="151"/>
      <c r="G38" s="149">
        <f>(G37-F37)/G37</f>
        <v>1</v>
      </c>
      <c r="H38" s="149">
        <f>(H37-G37)/H37</f>
        <v>7.8431372549019607E-2</v>
      </c>
      <c r="I38" s="149">
        <f t="shared" ref="I38" si="102">(I37-H37)/I37</f>
        <v>0.37804878048780488</v>
      </c>
      <c r="J38" s="149">
        <f t="shared" ref="J38" si="103">(J37-I37)/J37</f>
        <v>3.342857142857143</v>
      </c>
      <c r="K38" s="149">
        <f t="shared" ref="K38" si="104">(K37-J37)/K37</f>
        <v>1.9210526315789473</v>
      </c>
      <c r="L38" s="149">
        <f t="shared" ref="L38" si="105">(L37-K37)/L37</f>
        <v>0.91142191142191142</v>
      </c>
      <c r="M38" s="149">
        <f t="shared" ref="M38" si="106">(M37-L37)/M37</f>
        <v>-1.318918918918919</v>
      </c>
      <c r="N38" s="149">
        <f t="shared" ref="N38" si="107">(N37-M37)/N37</f>
        <v>-1.3717948717948718</v>
      </c>
      <c r="O38" s="149">
        <f t="shared" ref="O38" si="108">(O37-N37)/O37</f>
        <v>0.7570093457943925</v>
      </c>
      <c r="P38" s="149">
        <f t="shared" ref="P38" si="109">(P37-O37)/P37</f>
        <v>-0.68062827225130895</v>
      </c>
      <c r="Q38" s="128"/>
      <c r="R38" s="20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39"/>
      <c r="AD38" s="137"/>
      <c r="AE38" s="157"/>
    </row>
    <row r="39" spans="2:31">
      <c r="B39" s="20" t="s">
        <v>239</v>
      </c>
      <c r="C39" s="142">
        <v>1</v>
      </c>
      <c r="D39" s="142">
        <v>1</v>
      </c>
      <c r="E39" s="143">
        <v>1</v>
      </c>
      <c r="F39" s="189">
        <v>0.73</v>
      </c>
      <c r="G39" s="189">
        <v>0.73</v>
      </c>
      <c r="H39" s="189">
        <v>0.73</v>
      </c>
      <c r="I39" s="189">
        <v>3.68</v>
      </c>
      <c r="J39" s="189">
        <v>3.69</v>
      </c>
      <c r="K39" s="189">
        <v>3.77</v>
      </c>
      <c r="L39" s="189">
        <v>3.78</v>
      </c>
      <c r="M39" s="189">
        <v>4.3499999999999996</v>
      </c>
      <c r="N39" s="189">
        <v>4.3499999999999996</v>
      </c>
      <c r="O39" s="189">
        <v>4.3499999999999996</v>
      </c>
      <c r="P39" s="189">
        <v>4.3499999999999996</v>
      </c>
      <c r="Q39" s="118">
        <f>((P39/G39)^(1/($H$2-$H$1) ))-1</f>
        <v>0.21935341703445044</v>
      </c>
      <c r="R39" s="31">
        <v>0.15</v>
      </c>
      <c r="S39" s="155">
        <f>P39*(1+$R39)</f>
        <v>5.0024999999999995</v>
      </c>
      <c r="T39" s="155">
        <f t="shared" ref="T39:AB39" si="110">S39*(1+$R39)</f>
        <v>5.7528749999999986</v>
      </c>
      <c r="U39" s="155">
        <f t="shared" si="110"/>
        <v>6.6158062499999977</v>
      </c>
      <c r="V39" s="155">
        <f t="shared" si="110"/>
        <v>7.6081771874999964</v>
      </c>
      <c r="W39" s="155">
        <f t="shared" si="110"/>
        <v>8.7494037656249954</v>
      </c>
      <c r="X39" s="155">
        <f t="shared" si="110"/>
        <v>10.061814330468744</v>
      </c>
      <c r="Y39" s="155">
        <f t="shared" si="110"/>
        <v>11.571086480039055</v>
      </c>
      <c r="Z39" s="155">
        <f t="shared" si="110"/>
        <v>13.306749452044912</v>
      </c>
      <c r="AA39" s="155">
        <f t="shared" si="110"/>
        <v>15.302761869851647</v>
      </c>
      <c r="AB39" s="155">
        <f t="shared" si="110"/>
        <v>17.598176150329394</v>
      </c>
      <c r="AC39" s="138">
        <f t="shared" si="19"/>
        <v>0.18234566440920585</v>
      </c>
      <c r="AD39" s="31">
        <f t="shared" si="17"/>
        <v>0.08</v>
      </c>
      <c r="AE39" s="146">
        <f t="shared" si="1"/>
        <v>271.51471774793924</v>
      </c>
    </row>
    <row r="40" spans="2:31">
      <c r="B40" s="20" t="s">
        <v>283</v>
      </c>
      <c r="C40" s="145">
        <v>1</v>
      </c>
      <c r="D40" s="145">
        <v>1</v>
      </c>
      <c r="E40" s="145">
        <v>1</v>
      </c>
      <c r="F40" s="189">
        <v>5</v>
      </c>
      <c r="G40" s="189">
        <v>7.5</v>
      </c>
      <c r="H40" s="189">
        <v>10</v>
      </c>
      <c r="I40" s="189">
        <v>2.6</v>
      </c>
      <c r="J40" s="189">
        <v>3</v>
      </c>
      <c r="K40" s="189">
        <v>3.6</v>
      </c>
      <c r="L40" s="189">
        <v>3.6</v>
      </c>
      <c r="M40" s="189">
        <v>3.6</v>
      </c>
      <c r="N40" s="189">
        <v>3.6</v>
      </c>
      <c r="O40" s="189">
        <v>3.6</v>
      </c>
      <c r="P40" s="189">
        <v>3.6</v>
      </c>
      <c r="Q40" s="118">
        <f>((P40/G40)^(1/($H$2-$H$1) ))-1</f>
        <v>-7.8315339340138235E-2</v>
      </c>
      <c r="R40" s="31">
        <v>0.05</v>
      </c>
      <c r="S40" s="155">
        <f t="shared" ref="S40" si="111">P40*(1+$R40)</f>
        <v>3.7800000000000002</v>
      </c>
      <c r="T40" s="155">
        <f t="shared" ref="T40" si="112">S40*(1+$R40)</f>
        <v>3.9690000000000003</v>
      </c>
      <c r="U40" s="155">
        <f t="shared" ref="U40" si="113">T40*(1+$R40)</f>
        <v>4.1674500000000005</v>
      </c>
      <c r="V40" s="155">
        <f t="shared" ref="V40" si="114">U40*(1+$R40)</f>
        <v>4.3758225000000008</v>
      </c>
      <c r="W40" s="155">
        <f t="shared" ref="W40" si="115">V40*(1+$R40)</f>
        <v>4.5946136250000009</v>
      </c>
      <c r="X40" s="155">
        <f t="shared" ref="X40" si="116">W40*(1+$R40)</f>
        <v>4.8243443062500013</v>
      </c>
      <c r="Y40" s="155">
        <f t="shared" ref="Y40" si="117">X40*(1+$R40)</f>
        <v>5.0655615215625014</v>
      </c>
      <c r="Z40" s="155">
        <f t="shared" ref="Z40" si="118">Y40*(1+$R40)</f>
        <v>5.3188395976406264</v>
      </c>
      <c r="AA40" s="155">
        <f t="shared" ref="AA40" si="119">Z40*(1+$R40)</f>
        <v>5.5847815775226577</v>
      </c>
      <c r="AB40" s="155">
        <f t="shared" ref="AB40" si="120">AA40*(1+$R40)</f>
        <v>5.8640206563987904</v>
      </c>
      <c r="AC40" s="138">
        <f t="shared" ref="AC40" si="121">((AB40/G40)^(1/($AB$3-$H$1) ))-1</f>
        <v>-1.2867420475107694E-2</v>
      </c>
      <c r="AD40" s="31">
        <f t="shared" si="17"/>
        <v>0.08</v>
      </c>
      <c r="AE40" s="146">
        <f t="shared" si="1"/>
        <v>90.473461555867061</v>
      </c>
    </row>
    <row r="41" spans="2:31">
      <c r="B41" s="20"/>
      <c r="C41" s="20"/>
      <c r="D41" s="20"/>
      <c r="E41" s="127"/>
      <c r="F41" s="127"/>
      <c r="G41" s="127"/>
      <c r="H41" s="20"/>
      <c r="I41" s="20"/>
      <c r="J41" s="20"/>
      <c r="K41" s="20"/>
      <c r="L41" s="20"/>
      <c r="M41" s="20"/>
      <c r="N41" s="20"/>
      <c r="O41" s="20"/>
      <c r="P41" s="20"/>
      <c r="Q41" s="128"/>
      <c r="R41" s="128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5"/>
    </row>
    <row r="42" spans="2:31">
      <c r="B42" s="108" t="s">
        <v>243</v>
      </c>
      <c r="C42" s="20"/>
      <c r="D42" s="20"/>
      <c r="E42" s="127"/>
      <c r="F42" s="127"/>
      <c r="G42" s="127"/>
      <c r="H42" s="20"/>
      <c r="I42" s="20"/>
      <c r="J42" s="20"/>
      <c r="K42" s="20"/>
      <c r="L42" s="20"/>
      <c r="M42" s="20"/>
      <c r="N42" s="20"/>
      <c r="O42" s="20"/>
      <c r="P42" s="20"/>
      <c r="Q42" s="128"/>
      <c r="R42" s="128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39"/>
      <c r="AD42" s="137"/>
      <c r="AE42" s="155"/>
    </row>
    <row r="43" spans="2:31">
      <c r="B43" s="20" t="s">
        <v>304</v>
      </c>
      <c r="C43" s="133">
        <f t="shared" ref="C43:P43" si="122">C24/C39</f>
        <v>0</v>
      </c>
      <c r="D43" s="133">
        <f t="shared" si="122"/>
        <v>0</v>
      </c>
      <c r="E43" s="133">
        <f t="shared" si="122"/>
        <v>0</v>
      </c>
      <c r="F43" s="133">
        <f t="shared" si="122"/>
        <v>0</v>
      </c>
      <c r="G43" s="133">
        <f t="shared" si="122"/>
        <v>398.63013698630135</v>
      </c>
      <c r="H43" s="133">
        <f t="shared" si="122"/>
        <v>408.21917808219177</v>
      </c>
      <c r="I43" s="133">
        <f t="shared" si="122"/>
        <v>137.22826086956522</v>
      </c>
      <c r="J43" s="133">
        <f t="shared" si="122"/>
        <v>218.42818428184282</v>
      </c>
      <c r="K43" s="133">
        <f t="shared" si="122"/>
        <v>512.73209549071623</v>
      </c>
      <c r="L43" s="133">
        <f t="shared" si="122"/>
        <v>912.43386243386249</v>
      </c>
      <c r="M43" s="133">
        <f t="shared" si="122"/>
        <v>721.60919540229895</v>
      </c>
      <c r="N43" s="133">
        <f t="shared" si="122"/>
        <v>668.0459770114943</v>
      </c>
      <c r="O43" s="133">
        <f t="shared" si="122"/>
        <v>742.06896551724139</v>
      </c>
      <c r="P43" s="133">
        <f t="shared" si="122"/>
        <v>850.34482758620697</v>
      </c>
      <c r="Q43" s="118">
        <f>((P43/G43)^(1/($H$2-$H$1) ))-1</f>
        <v>8.7823226308147539E-2</v>
      </c>
      <c r="R43" s="128"/>
      <c r="S43" s="159">
        <f t="shared" ref="S43:AB43" si="123">S24/S39</f>
        <v>850.34482758620686</v>
      </c>
      <c r="T43" s="159">
        <f t="shared" si="123"/>
        <v>850.34482758620686</v>
      </c>
      <c r="U43" s="159">
        <f t="shared" si="123"/>
        <v>850.34482758620697</v>
      </c>
      <c r="V43" s="159">
        <f t="shared" si="123"/>
        <v>850.34482758620686</v>
      </c>
      <c r="W43" s="159">
        <f t="shared" si="123"/>
        <v>850.34482758620686</v>
      </c>
      <c r="X43" s="159">
        <f t="shared" si="123"/>
        <v>850.34482758620686</v>
      </c>
      <c r="Y43" s="159">
        <f t="shared" si="123"/>
        <v>850.34482758620686</v>
      </c>
      <c r="Z43" s="159">
        <f t="shared" si="123"/>
        <v>850.34482758620686</v>
      </c>
      <c r="AA43" s="159">
        <f t="shared" si="123"/>
        <v>850.34482758620697</v>
      </c>
      <c r="AB43" s="159">
        <f t="shared" si="123"/>
        <v>850.34482758620686</v>
      </c>
      <c r="AC43" s="138">
        <f t="shared" ref="AC43" si="124">((AB43/G43)^(1/($AB$3-$H$1) ))-1</f>
        <v>4.0679746266160111E-2</v>
      </c>
      <c r="AD43" s="31">
        <f t="shared" si="17"/>
        <v>0.08</v>
      </c>
      <c r="AE43" s="146">
        <f t="shared" ref="AE43:AE44" si="125">(AB43*(1+AD43))/($C$1-AD43)</f>
        <v>13119.605911330051</v>
      </c>
    </row>
    <row r="44" spans="2:31">
      <c r="B44" s="20" t="s">
        <v>305</v>
      </c>
      <c r="C44" s="133">
        <f t="shared" ref="C44:P44" si="126">C26/C39</f>
        <v>0</v>
      </c>
      <c r="D44" s="133">
        <f t="shared" si="126"/>
        <v>0</v>
      </c>
      <c r="E44" s="133">
        <f t="shared" si="126"/>
        <v>0</v>
      </c>
      <c r="F44" s="133">
        <f t="shared" si="126"/>
        <v>0</v>
      </c>
      <c r="G44" s="133">
        <f t="shared" si="126"/>
        <v>136.98630136986301</v>
      </c>
      <c r="H44" s="133">
        <f t="shared" si="126"/>
        <v>157.53424657534248</v>
      </c>
      <c r="I44" s="133">
        <f t="shared" si="126"/>
        <v>52.173913043478258</v>
      </c>
      <c r="J44" s="133">
        <f t="shared" si="126"/>
        <v>91.327913279132787</v>
      </c>
      <c r="K44" s="133">
        <f t="shared" si="126"/>
        <v>188.06366047745357</v>
      </c>
      <c r="L44" s="133">
        <f t="shared" si="126"/>
        <v>317.72486772486775</v>
      </c>
      <c r="M44" s="133">
        <f t="shared" si="126"/>
        <v>278.39080459770116</v>
      </c>
      <c r="N44" s="133">
        <f t="shared" si="126"/>
        <v>256.55172413793105</v>
      </c>
      <c r="O44" s="133">
        <f t="shared" si="126"/>
        <v>303.90804597701151</v>
      </c>
      <c r="P44" s="133">
        <f t="shared" si="126"/>
        <v>387.58620689655174</v>
      </c>
      <c r="Q44" s="118">
        <f>((P44/G44)^(1/($H$2-$H$1) ))-1</f>
        <v>0.1225040281514802</v>
      </c>
      <c r="R44" s="128"/>
      <c r="S44" s="159">
        <f t="shared" ref="S44:AB44" si="127">S26/S39</f>
        <v>387.58620689655174</v>
      </c>
      <c r="T44" s="159">
        <f t="shared" si="127"/>
        <v>387.58620689655174</v>
      </c>
      <c r="U44" s="159">
        <f t="shared" si="127"/>
        <v>387.58620689655174</v>
      </c>
      <c r="V44" s="159">
        <f t="shared" si="127"/>
        <v>387.58620689655174</v>
      </c>
      <c r="W44" s="159">
        <f t="shared" si="127"/>
        <v>387.58620689655174</v>
      </c>
      <c r="X44" s="159">
        <f t="shared" si="127"/>
        <v>387.58620689655174</v>
      </c>
      <c r="Y44" s="159">
        <f t="shared" si="127"/>
        <v>387.58620689655174</v>
      </c>
      <c r="Z44" s="159">
        <f t="shared" si="127"/>
        <v>387.58620689655174</v>
      </c>
      <c r="AA44" s="159">
        <f t="shared" si="127"/>
        <v>387.58620689655174</v>
      </c>
      <c r="AB44" s="159">
        <f t="shared" si="127"/>
        <v>387.58620689655174</v>
      </c>
      <c r="AC44" s="138">
        <f t="shared" ref="AC44" si="128">((AB44/G44)^(1/($AB$3-$H$1) ))-1</f>
        <v>5.62658032046921E-2</v>
      </c>
      <c r="AD44" s="31">
        <f t="shared" si="17"/>
        <v>0.08</v>
      </c>
      <c r="AE44" s="146">
        <f t="shared" si="125"/>
        <v>5979.9014778325136</v>
      </c>
    </row>
    <row r="45" spans="2:31">
      <c r="B45" s="20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28"/>
      <c r="R45" s="128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19"/>
      <c r="AD45" s="137"/>
      <c r="AE45" s="146"/>
    </row>
    <row r="46" spans="2:31">
      <c r="B46" s="20" t="s">
        <v>258</v>
      </c>
      <c r="C46" s="25">
        <f t="shared" ref="C46:P46" si="129">C37/C39</f>
        <v>0</v>
      </c>
      <c r="D46" s="25">
        <f t="shared" si="129"/>
        <v>0</v>
      </c>
      <c r="E46" s="25">
        <f t="shared" si="129"/>
        <v>0</v>
      </c>
      <c r="F46" s="133">
        <f t="shared" si="129"/>
        <v>0</v>
      </c>
      <c r="G46" s="133">
        <f t="shared" si="129"/>
        <v>64.38356164383562</v>
      </c>
      <c r="H46" s="133">
        <f t="shared" si="129"/>
        <v>69.863013698630141</v>
      </c>
      <c r="I46" s="133">
        <f t="shared" si="129"/>
        <v>22.282608695652172</v>
      </c>
      <c r="J46" s="133">
        <f t="shared" si="129"/>
        <v>-9.48509485094851</v>
      </c>
      <c r="K46" s="133">
        <f t="shared" si="129"/>
        <v>10.079575596816976</v>
      </c>
      <c r="L46" s="133">
        <f t="shared" si="129"/>
        <v>113.49206349206349</v>
      </c>
      <c r="M46" s="133">
        <f t="shared" si="129"/>
        <v>42.52873563218391</v>
      </c>
      <c r="N46" s="133">
        <f t="shared" si="129"/>
        <v>17.931034482758623</v>
      </c>
      <c r="O46" s="133">
        <f t="shared" si="129"/>
        <v>73.793103448275872</v>
      </c>
      <c r="P46" s="133">
        <f t="shared" si="129"/>
        <v>43.908045977011497</v>
      </c>
      <c r="Q46" s="118">
        <f>((P46/G46)^(1/($H$2-$H$1) ))-1</f>
        <v>-4.163730222695694E-2</v>
      </c>
      <c r="R46" s="128"/>
      <c r="S46" s="159">
        <f t="shared" ref="S46:AB46" si="130">S37/S39</f>
        <v>43.908045977011497</v>
      </c>
      <c r="T46" s="159">
        <f t="shared" si="130"/>
        <v>43.908045977011497</v>
      </c>
      <c r="U46" s="159">
        <f t="shared" si="130"/>
        <v>43.908045977011497</v>
      </c>
      <c r="V46" s="159">
        <f t="shared" si="130"/>
        <v>43.908045977011497</v>
      </c>
      <c r="W46" s="159">
        <f t="shared" si="130"/>
        <v>43.908045977011497</v>
      </c>
      <c r="X46" s="159">
        <f t="shared" si="130"/>
        <v>43.90804597701149</v>
      </c>
      <c r="Y46" s="159">
        <f t="shared" si="130"/>
        <v>43.908045977011497</v>
      </c>
      <c r="Z46" s="159">
        <f t="shared" si="130"/>
        <v>43.908045977011497</v>
      </c>
      <c r="AA46" s="159">
        <f t="shared" si="130"/>
        <v>43.908045977011497</v>
      </c>
      <c r="AB46" s="159">
        <f t="shared" si="130"/>
        <v>43.908045977011497</v>
      </c>
      <c r="AC46" s="138">
        <f t="shared" ref="AC46:AC59" si="131">((AB46/G46)^(1/($AB$3-$H$1) ))-1</f>
        <v>-1.9943742494757277E-2</v>
      </c>
      <c r="AD46" s="31">
        <f t="shared" si="17"/>
        <v>0.08</v>
      </c>
      <c r="AE46" s="146">
        <f t="shared" ref="AE46:AE73" si="132">(AB46*(1+AD46))/($C$1-AD46)</f>
        <v>677.43842364532031</v>
      </c>
    </row>
    <row r="47" spans="2:31">
      <c r="B47" s="20" t="s">
        <v>245</v>
      </c>
      <c r="C47" s="25">
        <f t="shared" ref="C47:P47" si="133">C7/C39</f>
        <v>0</v>
      </c>
      <c r="D47" s="25">
        <f t="shared" si="133"/>
        <v>0</v>
      </c>
      <c r="E47" s="25">
        <f t="shared" si="133"/>
        <v>0</v>
      </c>
      <c r="F47" s="133">
        <f t="shared" si="133"/>
        <v>0</v>
      </c>
      <c r="G47" s="133">
        <f t="shared" si="133"/>
        <v>242.46575342465755</v>
      </c>
      <c r="H47" s="133">
        <f t="shared" si="133"/>
        <v>301.36986301369865</v>
      </c>
      <c r="I47" s="133">
        <f t="shared" si="133"/>
        <v>116.84782608695652</v>
      </c>
      <c r="J47" s="133">
        <f t="shared" si="133"/>
        <v>143.63143631436316</v>
      </c>
      <c r="K47" s="133">
        <f t="shared" si="133"/>
        <v>215.11936339522546</v>
      </c>
      <c r="L47" s="133">
        <f t="shared" si="133"/>
        <v>461.37566137566142</v>
      </c>
      <c r="M47" s="133">
        <f t="shared" si="133"/>
        <v>501.14942528735634</v>
      </c>
      <c r="N47" s="133">
        <f t="shared" si="133"/>
        <v>490.34482758620692</v>
      </c>
      <c r="O47" s="133">
        <f t="shared" si="133"/>
        <v>657.70114942528744</v>
      </c>
      <c r="P47" s="133">
        <f t="shared" si="133"/>
        <v>754.71264367816093</v>
      </c>
      <c r="Q47" s="118">
        <f>((P47/G47)^(1/($H$2-$H$1) ))-1</f>
        <v>0.13446828081266071</v>
      </c>
      <c r="R47" s="128"/>
      <c r="S47" s="159">
        <f t="shared" ref="S47:AB47" si="134">S7/S39</f>
        <v>754.71264367816093</v>
      </c>
      <c r="T47" s="159">
        <f t="shared" si="134"/>
        <v>754.71264367816093</v>
      </c>
      <c r="U47" s="159">
        <f t="shared" si="134"/>
        <v>754.71264367816104</v>
      </c>
      <c r="V47" s="159">
        <f t="shared" si="134"/>
        <v>754.71264367816104</v>
      </c>
      <c r="W47" s="159">
        <f t="shared" si="134"/>
        <v>754.71264367816104</v>
      </c>
      <c r="X47" s="159">
        <f t="shared" si="134"/>
        <v>754.71264367816104</v>
      </c>
      <c r="Y47" s="159">
        <f t="shared" si="134"/>
        <v>754.71264367816093</v>
      </c>
      <c r="Z47" s="159">
        <f t="shared" si="134"/>
        <v>754.71264367816104</v>
      </c>
      <c r="AA47" s="159">
        <f t="shared" si="134"/>
        <v>754.71264367816104</v>
      </c>
      <c r="AB47" s="159">
        <f t="shared" si="134"/>
        <v>754.71264367816104</v>
      </c>
      <c r="AC47" s="138">
        <f t="shared" si="131"/>
        <v>6.1583781016200989E-2</v>
      </c>
      <c r="AD47" s="31">
        <f t="shared" si="17"/>
        <v>0.08</v>
      </c>
      <c r="AE47" s="146">
        <f t="shared" si="132"/>
        <v>11644.137931034486</v>
      </c>
    </row>
    <row r="48" spans="2:31">
      <c r="B48" s="20" t="s">
        <v>246</v>
      </c>
      <c r="C48" s="127">
        <f t="shared" ref="C48:P48" si="135">C6/C39</f>
        <v>0</v>
      </c>
      <c r="D48" s="127">
        <f t="shared" si="135"/>
        <v>0</v>
      </c>
      <c r="E48" s="127">
        <f t="shared" si="135"/>
        <v>0</v>
      </c>
      <c r="F48" s="144">
        <f t="shared" si="135"/>
        <v>0</v>
      </c>
      <c r="G48" s="144">
        <f t="shared" si="135"/>
        <v>232.87671232876713</v>
      </c>
      <c r="H48" s="144">
        <f t="shared" si="135"/>
        <v>291.78082191780823</v>
      </c>
      <c r="I48" s="144">
        <f t="shared" si="135"/>
        <v>74.184782608695656</v>
      </c>
      <c r="J48" s="144">
        <f t="shared" si="135"/>
        <v>58.807588075880759</v>
      </c>
      <c r="K48" s="144">
        <f t="shared" si="135"/>
        <v>132.09549071618036</v>
      </c>
      <c r="L48" s="144">
        <f t="shared" si="135"/>
        <v>373.01587301587301</v>
      </c>
      <c r="M48" s="144">
        <f t="shared" si="135"/>
        <v>424.13793103448279</v>
      </c>
      <c r="N48" s="144">
        <f t="shared" si="135"/>
        <v>413.56321839080465</v>
      </c>
      <c r="O48" s="144">
        <f t="shared" si="135"/>
        <v>591.0344827586207</v>
      </c>
      <c r="P48" s="144">
        <f t="shared" si="135"/>
        <v>688.27586206896558</v>
      </c>
      <c r="Q48" s="118">
        <f>((P48/G48)^(1/($H$2-$H$1) ))-1</f>
        <v>0.12795803420570673</v>
      </c>
      <c r="R48" s="128"/>
      <c r="S48" s="158">
        <f t="shared" ref="S48:AB48" si="136">S6/S39</f>
        <v>688.27586206896558</v>
      </c>
      <c r="T48" s="158">
        <f t="shared" si="136"/>
        <v>688.27586206896558</v>
      </c>
      <c r="U48" s="158">
        <f t="shared" si="136"/>
        <v>688.27586206896558</v>
      </c>
      <c r="V48" s="158">
        <f t="shared" si="136"/>
        <v>688.27586206896569</v>
      </c>
      <c r="W48" s="158">
        <f t="shared" si="136"/>
        <v>688.27586206896569</v>
      </c>
      <c r="X48" s="158">
        <f t="shared" si="136"/>
        <v>688.27586206896569</v>
      </c>
      <c r="Y48" s="158">
        <f t="shared" si="136"/>
        <v>688.27586206896569</v>
      </c>
      <c r="Z48" s="158">
        <f t="shared" si="136"/>
        <v>688.27586206896569</v>
      </c>
      <c r="AA48" s="158">
        <f t="shared" si="136"/>
        <v>688.27586206896581</v>
      </c>
      <c r="AB48" s="158">
        <f t="shared" si="136"/>
        <v>688.27586206896569</v>
      </c>
      <c r="AC48" s="138">
        <f t="shared" si="131"/>
        <v>5.8693729784920379E-2</v>
      </c>
      <c r="AD48" s="31">
        <f t="shared" si="17"/>
        <v>0.08</v>
      </c>
      <c r="AE48" s="146">
        <f t="shared" si="132"/>
        <v>10619.113300492614</v>
      </c>
    </row>
    <row r="49" spans="2:31">
      <c r="B49" s="20" t="s">
        <v>247</v>
      </c>
      <c r="C49" s="127">
        <f t="shared" ref="C49:P49" si="137">C10/C39</f>
        <v>0</v>
      </c>
      <c r="D49" s="127">
        <f t="shared" si="137"/>
        <v>0</v>
      </c>
      <c r="E49" s="127">
        <f t="shared" si="137"/>
        <v>0</v>
      </c>
      <c r="F49" s="144">
        <f t="shared" si="137"/>
        <v>0</v>
      </c>
      <c r="G49" s="144">
        <f t="shared" si="137"/>
        <v>330.13698630136986</v>
      </c>
      <c r="H49" s="144">
        <f t="shared" si="137"/>
        <v>982.19178082191786</v>
      </c>
      <c r="I49" s="144">
        <f t="shared" si="137"/>
        <v>301.35869565217388</v>
      </c>
      <c r="J49" s="144">
        <f t="shared" si="137"/>
        <v>2940.9214092140924</v>
      </c>
      <c r="K49" s="144">
        <f t="shared" si="137"/>
        <v>3459.681697612732</v>
      </c>
      <c r="L49" s="144">
        <f t="shared" si="137"/>
        <v>4400.7936507936511</v>
      </c>
      <c r="M49" s="144">
        <f t="shared" si="137"/>
        <v>3256.0919540229888</v>
      </c>
      <c r="N49" s="144">
        <f t="shared" si="137"/>
        <v>2999.3103448275865</v>
      </c>
      <c r="O49" s="144">
        <f t="shared" si="137"/>
        <v>2689.8850574712646</v>
      </c>
      <c r="P49" s="144">
        <f t="shared" si="137"/>
        <v>2727.5862068965521</v>
      </c>
      <c r="Q49" s="118">
        <f>((P49/G49)^(1/($H$2-$H$1) ))-1</f>
        <v>0.26444008678037756</v>
      </c>
      <c r="R49" s="128"/>
      <c r="S49" s="158">
        <f t="shared" ref="S49:AB49" si="138">S10/S39</f>
        <v>2727.5862068965516</v>
      </c>
      <c r="T49" s="158">
        <f t="shared" si="138"/>
        <v>2727.5862068965516</v>
      </c>
      <c r="U49" s="158">
        <f t="shared" si="138"/>
        <v>2727.5862068965521</v>
      </c>
      <c r="V49" s="158">
        <f t="shared" si="138"/>
        <v>2727.5862068965521</v>
      </c>
      <c r="W49" s="158">
        <f t="shared" si="138"/>
        <v>2727.5862068965521</v>
      </c>
      <c r="X49" s="158">
        <f t="shared" si="138"/>
        <v>2727.5862068965521</v>
      </c>
      <c r="Y49" s="158">
        <f t="shared" si="138"/>
        <v>2727.5862068965521</v>
      </c>
      <c r="Z49" s="158">
        <f t="shared" si="138"/>
        <v>2727.5862068965521</v>
      </c>
      <c r="AA49" s="158">
        <f t="shared" si="138"/>
        <v>2727.5862068965521</v>
      </c>
      <c r="AB49" s="158">
        <f t="shared" si="138"/>
        <v>2727.5862068965521</v>
      </c>
      <c r="AC49" s="138">
        <f t="shared" si="131"/>
        <v>0.11755162633014549</v>
      </c>
      <c r="AD49" s="31">
        <f t="shared" si="17"/>
        <v>0.08</v>
      </c>
      <c r="AE49" s="146">
        <f t="shared" si="132"/>
        <v>42082.758620689667</v>
      </c>
    </row>
    <row r="50" spans="2:31">
      <c r="B50" s="20"/>
      <c r="C50" s="127"/>
      <c r="D50" s="127"/>
      <c r="E50" s="127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28"/>
      <c r="R50" s="12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39"/>
      <c r="AD50" s="137"/>
      <c r="AE50" s="146"/>
    </row>
    <row r="51" spans="2:31">
      <c r="B51" s="20" t="s">
        <v>271</v>
      </c>
      <c r="C51" s="127">
        <f t="shared" ref="C51:P51" si="139">(C7-C10)/C39</f>
        <v>0</v>
      </c>
      <c r="D51" s="127">
        <f t="shared" si="139"/>
        <v>0</v>
      </c>
      <c r="E51" s="127">
        <f t="shared" si="139"/>
        <v>0</v>
      </c>
      <c r="F51" s="144">
        <f t="shared" si="139"/>
        <v>0</v>
      </c>
      <c r="G51" s="144">
        <f t="shared" si="139"/>
        <v>-87.671232876712324</v>
      </c>
      <c r="H51" s="144">
        <f t="shared" si="139"/>
        <v>-680.82191780821915</v>
      </c>
      <c r="I51" s="144">
        <f t="shared" si="139"/>
        <v>-184.51086956521738</v>
      </c>
      <c r="J51" s="144">
        <f t="shared" si="139"/>
        <v>-2797.289972899729</v>
      </c>
      <c r="K51" s="144">
        <f t="shared" si="139"/>
        <v>-3244.5623342175068</v>
      </c>
      <c r="L51" s="144">
        <f t="shared" si="139"/>
        <v>-3939.4179894179897</v>
      </c>
      <c r="M51" s="144">
        <f t="shared" si="139"/>
        <v>-2754.9425287356325</v>
      </c>
      <c r="N51" s="144">
        <f t="shared" si="139"/>
        <v>-2508.9655172413795</v>
      </c>
      <c r="O51" s="144">
        <f t="shared" si="139"/>
        <v>-2032.1839080459772</v>
      </c>
      <c r="P51" s="144">
        <f t="shared" si="139"/>
        <v>-1972.8735632183909</v>
      </c>
      <c r="Q51" s="118">
        <f>((P51/G51)^(1/($H$2-$H$1) ))-1</f>
        <v>0.41334805831283616</v>
      </c>
      <c r="R51" s="128"/>
      <c r="S51" s="158">
        <f t="shared" ref="S51:AB51" si="140">(S7-S10)/S39</f>
        <v>-1972.8735632183909</v>
      </c>
      <c r="T51" s="158">
        <f t="shared" si="140"/>
        <v>-1972.8735632183907</v>
      </c>
      <c r="U51" s="158">
        <f t="shared" si="140"/>
        <v>-1972.8735632183907</v>
      </c>
      <c r="V51" s="158">
        <f t="shared" si="140"/>
        <v>-1972.8735632183909</v>
      </c>
      <c r="W51" s="158">
        <f t="shared" si="140"/>
        <v>-1972.8735632183909</v>
      </c>
      <c r="X51" s="158">
        <f t="shared" si="140"/>
        <v>-1972.8735632183907</v>
      </c>
      <c r="Y51" s="158">
        <f t="shared" si="140"/>
        <v>-1972.8735632183909</v>
      </c>
      <c r="Z51" s="158">
        <f t="shared" si="140"/>
        <v>-1972.8735632183909</v>
      </c>
      <c r="AA51" s="158">
        <f t="shared" si="140"/>
        <v>-1972.8735632183912</v>
      </c>
      <c r="AB51" s="158">
        <f t="shared" si="140"/>
        <v>-1972.8735632183909</v>
      </c>
      <c r="AC51" s="138">
        <f t="shared" si="131"/>
        <v>0.17806875832595503</v>
      </c>
      <c r="AD51" s="31">
        <f t="shared" si="17"/>
        <v>0.08</v>
      </c>
      <c r="AE51" s="146">
        <f t="shared" si="132"/>
        <v>-30438.620689655178</v>
      </c>
    </row>
    <row r="52" spans="2:31">
      <c r="B52" s="20" t="s">
        <v>272</v>
      </c>
      <c r="C52" s="127">
        <f t="shared" ref="C52:P52" si="141">(C7-C10-C9)/C39</f>
        <v>0</v>
      </c>
      <c r="D52" s="127">
        <f t="shared" si="141"/>
        <v>0</v>
      </c>
      <c r="E52" s="127">
        <f t="shared" si="141"/>
        <v>0</v>
      </c>
      <c r="F52" s="144">
        <f t="shared" si="141"/>
        <v>0</v>
      </c>
      <c r="G52" s="144">
        <f t="shared" si="141"/>
        <v>-189.04109589041096</v>
      </c>
      <c r="H52" s="144">
        <f t="shared" si="141"/>
        <v>-831.50684931506851</v>
      </c>
      <c r="I52" s="144">
        <f t="shared" si="141"/>
        <v>-224.45652173913044</v>
      </c>
      <c r="J52" s="144">
        <f t="shared" si="141"/>
        <v>-2996.747967479675</v>
      </c>
      <c r="K52" s="144">
        <f t="shared" si="141"/>
        <v>-3436.0742705570292</v>
      </c>
      <c r="L52" s="144">
        <f t="shared" si="141"/>
        <v>-4289.9470899470898</v>
      </c>
      <c r="M52" s="144">
        <f t="shared" si="141"/>
        <v>-2946.2068965517242</v>
      </c>
      <c r="N52" s="144">
        <f t="shared" si="141"/>
        <v>-2671.0344827586209</v>
      </c>
      <c r="O52" s="144">
        <f t="shared" si="141"/>
        <v>-2654.9425287356325</v>
      </c>
      <c r="P52" s="144">
        <f t="shared" si="141"/>
        <v>-2656.7816091954023</v>
      </c>
      <c r="Q52" s="118">
        <f>((P52/G52)^(1/($H$2-$H$1) ))-1</f>
        <v>0.34132275483256924</v>
      </c>
      <c r="R52" s="128"/>
      <c r="S52" s="158">
        <f t="shared" ref="S52:AB52" si="142">(S7-S10-S9)/S39</f>
        <v>-2656.7816091954023</v>
      </c>
      <c r="T52" s="158">
        <f t="shared" si="142"/>
        <v>-2656.7816091954023</v>
      </c>
      <c r="U52" s="158">
        <f t="shared" si="142"/>
        <v>-2656.7816091954023</v>
      </c>
      <c r="V52" s="158">
        <f t="shared" si="142"/>
        <v>-2656.7816091954023</v>
      </c>
      <c r="W52" s="158">
        <f t="shared" si="142"/>
        <v>-2656.7816091954023</v>
      </c>
      <c r="X52" s="158">
        <f t="shared" si="142"/>
        <v>-2656.7816091954023</v>
      </c>
      <c r="Y52" s="158">
        <f t="shared" si="142"/>
        <v>-2656.7816091954023</v>
      </c>
      <c r="Z52" s="158">
        <f t="shared" si="142"/>
        <v>-2656.7816091954023</v>
      </c>
      <c r="AA52" s="158">
        <f t="shared" si="142"/>
        <v>-2656.7816091954028</v>
      </c>
      <c r="AB52" s="158">
        <f t="shared" si="142"/>
        <v>-2656.7816091954019</v>
      </c>
      <c r="AC52" s="138">
        <f t="shared" si="131"/>
        <v>0.14923940030431493</v>
      </c>
      <c r="AD52" s="31">
        <f t="shared" si="17"/>
        <v>0.08</v>
      </c>
      <c r="AE52" s="146">
        <f t="shared" si="132"/>
        <v>-40990.34482758621</v>
      </c>
    </row>
    <row r="53" spans="2:31">
      <c r="B53" s="20" t="s">
        <v>277</v>
      </c>
      <c r="C53" s="127">
        <f t="shared" ref="C53:P53" si="143">(C7+C14-C10-C9)/C39</f>
        <v>0</v>
      </c>
      <c r="D53" s="127">
        <f t="shared" si="143"/>
        <v>0</v>
      </c>
      <c r="E53" s="127">
        <f t="shared" si="143"/>
        <v>0</v>
      </c>
      <c r="F53" s="144">
        <f t="shared" si="143"/>
        <v>0</v>
      </c>
      <c r="G53" s="144">
        <f t="shared" si="143"/>
        <v>-106.84931506849315</v>
      </c>
      <c r="H53" s="144">
        <f t="shared" si="143"/>
        <v>-660.27397260273972</v>
      </c>
      <c r="I53" s="144">
        <f t="shared" si="143"/>
        <v>-189.40217391304347</v>
      </c>
      <c r="J53" s="144">
        <f t="shared" si="143"/>
        <v>-2825.7452574525746</v>
      </c>
      <c r="K53" s="144">
        <f t="shared" si="143"/>
        <v>-3223.0769230769229</v>
      </c>
      <c r="L53" s="144">
        <f t="shared" si="143"/>
        <v>-4022.2222222222226</v>
      </c>
      <c r="M53" s="144">
        <f t="shared" si="143"/>
        <v>-2690.5747126436786</v>
      </c>
      <c r="N53" s="144">
        <f t="shared" si="143"/>
        <v>-2273.5632183908046</v>
      </c>
      <c r="O53" s="144">
        <f t="shared" si="143"/>
        <v>-2334.0229885057474</v>
      </c>
      <c r="P53" s="144">
        <f t="shared" si="143"/>
        <v>-2299.3103448275865</v>
      </c>
      <c r="Q53" s="118">
        <f>((P53/G53)^(1/($H$2-$H$1) ))-1</f>
        <v>0.40634463640510909</v>
      </c>
      <c r="R53" s="128"/>
      <c r="S53" s="158">
        <f t="shared" ref="S53:AB53" si="144">(S7+S14-S10-S9)/S39</f>
        <v>-2299.3103448275861</v>
      </c>
      <c r="T53" s="158">
        <f t="shared" si="144"/>
        <v>-2299.3103448275861</v>
      </c>
      <c r="U53" s="158">
        <f t="shared" si="144"/>
        <v>-2299.3103448275861</v>
      </c>
      <c r="V53" s="158">
        <f t="shared" si="144"/>
        <v>-2299.3103448275865</v>
      </c>
      <c r="W53" s="158">
        <f t="shared" si="144"/>
        <v>-2299.3103448275861</v>
      </c>
      <c r="X53" s="158">
        <f t="shared" si="144"/>
        <v>-2299.3103448275861</v>
      </c>
      <c r="Y53" s="158">
        <f t="shared" si="144"/>
        <v>-2299.3103448275865</v>
      </c>
      <c r="Z53" s="158">
        <f t="shared" si="144"/>
        <v>-2299.3103448275861</v>
      </c>
      <c r="AA53" s="158">
        <f t="shared" si="144"/>
        <v>-2299.3103448275865</v>
      </c>
      <c r="AB53" s="158">
        <f t="shared" si="144"/>
        <v>-2299.3103448275861</v>
      </c>
      <c r="AC53" s="138">
        <f t="shared" si="131"/>
        <v>0.17529998059964513</v>
      </c>
      <c r="AD53" s="31">
        <f t="shared" si="17"/>
        <v>0.08</v>
      </c>
      <c r="AE53" s="146">
        <f t="shared" si="132"/>
        <v>-35475.073891625616</v>
      </c>
    </row>
    <row r="54" spans="2:31">
      <c r="B54" s="20"/>
      <c r="C54" s="127"/>
      <c r="D54" s="127"/>
      <c r="E54" s="127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28"/>
      <c r="R54" s="128"/>
      <c r="S54" s="155"/>
      <c r="T54" s="155"/>
      <c r="U54" s="155"/>
      <c r="V54" s="155"/>
      <c r="W54" s="155"/>
      <c r="X54" s="155"/>
      <c r="Y54" s="155"/>
      <c r="Z54" s="155"/>
      <c r="AA54" s="155"/>
      <c r="AB54" s="155"/>
      <c r="AC54" s="139"/>
      <c r="AD54" s="137"/>
      <c r="AE54" s="155"/>
    </row>
    <row r="55" spans="2:31">
      <c r="B55" s="20" t="s">
        <v>248</v>
      </c>
      <c r="C55" s="127">
        <f t="shared" ref="C55:P55" si="145">C12/C39</f>
        <v>0</v>
      </c>
      <c r="D55" s="127">
        <f t="shared" si="145"/>
        <v>0</v>
      </c>
      <c r="E55" s="127">
        <f t="shared" si="145"/>
        <v>0</v>
      </c>
      <c r="F55" s="144">
        <f t="shared" si="145"/>
        <v>0</v>
      </c>
      <c r="G55" s="144">
        <f t="shared" si="145"/>
        <v>57.534246575342465</v>
      </c>
      <c r="H55" s="144">
        <f t="shared" si="145"/>
        <v>134.24657534246575</v>
      </c>
      <c r="I55" s="144">
        <f t="shared" si="145"/>
        <v>2.7173913043478262</v>
      </c>
      <c r="J55" s="144">
        <f t="shared" si="145"/>
        <v>359.34959349593498</v>
      </c>
      <c r="K55" s="144">
        <f t="shared" si="145"/>
        <v>251.9893899204244</v>
      </c>
      <c r="L55" s="144">
        <f t="shared" si="145"/>
        <v>157.40740740740742</v>
      </c>
      <c r="M55" s="144">
        <f t="shared" si="145"/>
        <v>54.022988505747129</v>
      </c>
      <c r="N55" s="144">
        <f t="shared" si="145"/>
        <v>136.7816091954023</v>
      </c>
      <c r="O55" s="144">
        <f t="shared" si="145"/>
        <v>19.31034482758621</v>
      </c>
      <c r="P55" s="144">
        <f t="shared" si="145"/>
        <v>31.724137931034484</v>
      </c>
      <c r="Q55" s="118">
        <f>((P55/G55)^(1/($H$2-$H$1) ))-1</f>
        <v>-6.4004607243318246E-2</v>
      </c>
      <c r="R55" s="128"/>
      <c r="S55" s="158">
        <f t="shared" ref="S55:AB55" si="146">S12/S39</f>
        <v>31.724137931034484</v>
      </c>
      <c r="T55" s="158">
        <f t="shared" si="146"/>
        <v>31.724137931034484</v>
      </c>
      <c r="U55" s="158">
        <f t="shared" si="146"/>
        <v>31.724137931034488</v>
      </c>
      <c r="V55" s="158">
        <f t="shared" si="146"/>
        <v>31.724137931034488</v>
      </c>
      <c r="W55" s="158">
        <f t="shared" si="146"/>
        <v>31.724137931034488</v>
      </c>
      <c r="X55" s="158">
        <f t="shared" si="146"/>
        <v>31.724137931034488</v>
      </c>
      <c r="Y55" s="158">
        <f t="shared" si="146"/>
        <v>31.724137931034488</v>
      </c>
      <c r="Z55" s="158">
        <f t="shared" si="146"/>
        <v>31.724137931034488</v>
      </c>
      <c r="AA55" s="158">
        <f t="shared" si="146"/>
        <v>31.724137931034488</v>
      </c>
      <c r="AB55" s="158">
        <f t="shared" si="146"/>
        <v>31.724137931034488</v>
      </c>
      <c r="AC55" s="138">
        <f t="shared" si="131"/>
        <v>-3.0845960022435892E-2</v>
      </c>
      <c r="AD55" s="31">
        <f t="shared" si="17"/>
        <v>0.08</v>
      </c>
      <c r="AE55" s="146">
        <f t="shared" si="132"/>
        <v>489.45812807881794</v>
      </c>
    </row>
    <row r="56" spans="2:31">
      <c r="B56" s="20" t="s">
        <v>255</v>
      </c>
      <c r="C56" s="127">
        <f t="shared" ref="C56:P56" si="147">C13/C39</f>
        <v>0</v>
      </c>
      <c r="D56" s="127">
        <f t="shared" si="147"/>
        <v>0</v>
      </c>
      <c r="E56" s="127">
        <f t="shared" si="147"/>
        <v>0</v>
      </c>
      <c r="F56" s="144">
        <f t="shared" si="147"/>
        <v>0</v>
      </c>
      <c r="G56" s="144">
        <f t="shared" si="147"/>
        <v>104.10958904109589</v>
      </c>
      <c r="H56" s="144">
        <f t="shared" si="147"/>
        <v>31.506849315068493</v>
      </c>
      <c r="I56" s="144">
        <f t="shared" si="147"/>
        <v>5.1630434782608692</v>
      </c>
      <c r="J56" s="144">
        <f t="shared" si="147"/>
        <v>126.82926829268293</v>
      </c>
      <c r="K56" s="144">
        <f t="shared" si="147"/>
        <v>169.49602122015915</v>
      </c>
      <c r="L56" s="144">
        <f t="shared" si="147"/>
        <v>152.11640211640213</v>
      </c>
      <c r="M56" s="144">
        <f t="shared" si="147"/>
        <v>113.79310344827587</v>
      </c>
      <c r="N56" s="144">
        <f t="shared" si="147"/>
        <v>3.4482758620689657</v>
      </c>
      <c r="O56" s="144">
        <f t="shared" si="147"/>
        <v>0.78390804597701158</v>
      </c>
      <c r="P56" s="144">
        <f t="shared" si="147"/>
        <v>1.4298850574712645</v>
      </c>
      <c r="Q56" s="118">
        <f>((P56/G56)^(1/($H$2-$H$1) ))-1</f>
        <v>-0.37900222524860827</v>
      </c>
      <c r="R56" s="128"/>
      <c r="S56" s="158">
        <f t="shared" ref="S56:AB56" si="148">S13/S39</f>
        <v>1.4298850574712645</v>
      </c>
      <c r="T56" s="158">
        <f t="shared" si="148"/>
        <v>1.4298850574712645</v>
      </c>
      <c r="U56" s="158">
        <f t="shared" si="148"/>
        <v>1.4298850574712647</v>
      </c>
      <c r="V56" s="158">
        <f t="shared" si="148"/>
        <v>1.4298850574712649</v>
      </c>
      <c r="W56" s="158">
        <f t="shared" si="148"/>
        <v>1.4298850574712647</v>
      </c>
      <c r="X56" s="158">
        <f t="shared" si="148"/>
        <v>1.4298850574712647</v>
      </c>
      <c r="Y56" s="158">
        <f t="shared" si="148"/>
        <v>1.4298850574712645</v>
      </c>
      <c r="Z56" s="158">
        <f t="shared" si="148"/>
        <v>1.4298850574712645</v>
      </c>
      <c r="AA56" s="158">
        <f t="shared" si="148"/>
        <v>1.4298850574712645</v>
      </c>
      <c r="AB56" s="158">
        <f t="shared" si="148"/>
        <v>1.4298850574712645</v>
      </c>
      <c r="AC56" s="138">
        <f t="shared" si="131"/>
        <v>-0.20202364877275125</v>
      </c>
      <c r="AD56" s="31">
        <f t="shared" si="17"/>
        <v>0.08</v>
      </c>
      <c r="AE56" s="146">
        <f t="shared" si="132"/>
        <v>22.061083743842371</v>
      </c>
    </row>
    <row r="57" spans="2:31">
      <c r="B57" s="20" t="s">
        <v>256</v>
      </c>
      <c r="C57" s="127">
        <f>(C55+C56)</f>
        <v>0</v>
      </c>
      <c r="D57" s="127">
        <f t="shared" ref="D57:P57" si="149">(D55+D56)</f>
        <v>0</v>
      </c>
      <c r="E57" s="127">
        <f t="shared" si="149"/>
        <v>0</v>
      </c>
      <c r="F57" s="144">
        <f t="shared" si="149"/>
        <v>0</v>
      </c>
      <c r="G57" s="144">
        <f t="shared" si="149"/>
        <v>161.64383561643837</v>
      </c>
      <c r="H57" s="144">
        <f t="shared" si="149"/>
        <v>165.75342465753425</v>
      </c>
      <c r="I57" s="144">
        <f t="shared" si="149"/>
        <v>7.8804347826086953</v>
      </c>
      <c r="J57" s="144">
        <f t="shared" si="149"/>
        <v>486.17886178861789</v>
      </c>
      <c r="K57" s="144">
        <f t="shared" si="149"/>
        <v>421.48541114058355</v>
      </c>
      <c r="L57" s="144">
        <f t="shared" si="149"/>
        <v>309.52380952380952</v>
      </c>
      <c r="M57" s="144">
        <f t="shared" si="149"/>
        <v>167.81609195402299</v>
      </c>
      <c r="N57" s="144">
        <f t="shared" si="149"/>
        <v>140.22988505747125</v>
      </c>
      <c r="O57" s="144">
        <f t="shared" ref="O57" si="150">(O55+O56)</f>
        <v>20.094252873563221</v>
      </c>
      <c r="P57" s="144">
        <f t="shared" si="149"/>
        <v>33.154022988505751</v>
      </c>
      <c r="Q57" s="118">
        <f>((P57/G57)^(1/($H$2-$H$1) ))-1</f>
        <v>-0.16140356913998122</v>
      </c>
      <c r="R57" s="128"/>
      <c r="S57" s="158">
        <f t="shared" ref="S57:AB57" si="151">(S55+S56)</f>
        <v>33.154022988505751</v>
      </c>
      <c r="T57" s="158">
        <f t="shared" si="151"/>
        <v>33.154022988505751</v>
      </c>
      <c r="U57" s="158">
        <f t="shared" si="151"/>
        <v>33.154022988505751</v>
      </c>
      <c r="V57" s="158">
        <f t="shared" si="151"/>
        <v>33.154022988505751</v>
      </c>
      <c r="W57" s="158">
        <f t="shared" si="151"/>
        <v>33.154022988505751</v>
      </c>
      <c r="X57" s="158">
        <f t="shared" si="151"/>
        <v>33.154022988505751</v>
      </c>
      <c r="Y57" s="158">
        <f t="shared" si="151"/>
        <v>33.154022988505751</v>
      </c>
      <c r="Z57" s="158">
        <f t="shared" si="151"/>
        <v>33.154022988505751</v>
      </c>
      <c r="AA57" s="158">
        <f t="shared" si="151"/>
        <v>33.154022988505751</v>
      </c>
      <c r="AB57" s="158">
        <f t="shared" si="151"/>
        <v>33.154022988505751</v>
      </c>
      <c r="AC57" s="138">
        <f t="shared" si="131"/>
        <v>-7.999906707475557E-2</v>
      </c>
      <c r="AD57" s="31">
        <f t="shared" si="17"/>
        <v>0.08</v>
      </c>
      <c r="AE57" s="146">
        <f t="shared" si="132"/>
        <v>511.51921182266028</v>
      </c>
    </row>
    <row r="58" spans="2:31">
      <c r="B58" s="20" t="s">
        <v>249</v>
      </c>
      <c r="C58" s="127">
        <f t="shared" ref="C58:P58" si="152">C14/C39</f>
        <v>0</v>
      </c>
      <c r="D58" s="127">
        <f t="shared" si="152"/>
        <v>0</v>
      </c>
      <c r="E58" s="127">
        <f t="shared" si="152"/>
        <v>0</v>
      </c>
      <c r="F58" s="144">
        <f t="shared" si="152"/>
        <v>0</v>
      </c>
      <c r="G58" s="144">
        <f t="shared" si="152"/>
        <v>82.191780821917817</v>
      </c>
      <c r="H58" s="144">
        <f t="shared" si="152"/>
        <v>171.23287671232876</v>
      </c>
      <c r="I58" s="144">
        <f t="shared" si="152"/>
        <v>35.054347826086953</v>
      </c>
      <c r="J58" s="144">
        <f t="shared" si="152"/>
        <v>171.00271002710028</v>
      </c>
      <c r="K58" s="144">
        <f t="shared" si="152"/>
        <v>212.9973474801061</v>
      </c>
      <c r="L58" s="144">
        <f t="shared" si="152"/>
        <v>267.72486772486775</v>
      </c>
      <c r="M58" s="144">
        <f t="shared" si="152"/>
        <v>255.63218390804599</v>
      </c>
      <c r="N58" s="144">
        <f t="shared" si="152"/>
        <v>397.4712643678161</v>
      </c>
      <c r="O58" s="144">
        <f t="shared" si="152"/>
        <v>320.91954022988506</v>
      </c>
      <c r="P58" s="144">
        <f t="shared" si="152"/>
        <v>357.4712643678161</v>
      </c>
      <c r="Q58" s="118">
        <f>((P58/G58)^(1/($H$2-$H$1) ))-1</f>
        <v>0.17742905779813589</v>
      </c>
      <c r="R58" s="128"/>
      <c r="S58" s="158">
        <f t="shared" ref="S58:AB58" si="153">S14/S39</f>
        <v>357.4712643678161</v>
      </c>
      <c r="T58" s="158">
        <f t="shared" si="153"/>
        <v>357.4712643678161</v>
      </c>
      <c r="U58" s="158">
        <f t="shared" si="153"/>
        <v>357.47126436781616</v>
      </c>
      <c r="V58" s="158">
        <f t="shared" si="153"/>
        <v>357.47126436781616</v>
      </c>
      <c r="W58" s="158">
        <f t="shared" si="153"/>
        <v>357.47126436781616</v>
      </c>
      <c r="X58" s="158">
        <f t="shared" si="153"/>
        <v>357.47126436781616</v>
      </c>
      <c r="Y58" s="158">
        <f t="shared" si="153"/>
        <v>357.4712643678161</v>
      </c>
      <c r="Z58" s="158">
        <f t="shared" si="153"/>
        <v>357.47126436781616</v>
      </c>
      <c r="AA58" s="158">
        <f t="shared" si="153"/>
        <v>357.47126436781616</v>
      </c>
      <c r="AB58" s="158">
        <f t="shared" si="153"/>
        <v>357.4712643678161</v>
      </c>
      <c r="AC58" s="138">
        <f t="shared" si="131"/>
        <v>8.0440041313363908E-2</v>
      </c>
      <c r="AD58" s="31">
        <f t="shared" si="17"/>
        <v>0.08</v>
      </c>
      <c r="AE58" s="146">
        <f t="shared" si="132"/>
        <v>5515.2709359605915</v>
      </c>
    </row>
    <row r="59" spans="2:31">
      <c r="B59" s="20" t="s">
        <v>250</v>
      </c>
      <c r="C59" s="127">
        <f t="shared" ref="C59:P59" si="154">C15/C39</f>
        <v>0</v>
      </c>
      <c r="D59" s="127">
        <f t="shared" si="154"/>
        <v>0</v>
      </c>
      <c r="E59" s="127">
        <f t="shared" si="154"/>
        <v>0</v>
      </c>
      <c r="F59" s="144">
        <f t="shared" si="154"/>
        <v>0</v>
      </c>
      <c r="G59" s="144">
        <f t="shared" si="154"/>
        <v>52.054794520547944</v>
      </c>
      <c r="H59" s="144">
        <f t="shared" si="154"/>
        <v>147.94520547945206</v>
      </c>
      <c r="I59" s="144">
        <f t="shared" si="154"/>
        <v>-6.5217391304347823</v>
      </c>
      <c r="J59" s="144">
        <f t="shared" si="154"/>
        <v>311.65311653116532</v>
      </c>
      <c r="K59" s="144">
        <f t="shared" si="154"/>
        <v>156.76392572944297</v>
      </c>
      <c r="L59" s="144">
        <f t="shared" si="154"/>
        <v>64.814814814814824</v>
      </c>
      <c r="M59" s="144">
        <f t="shared" si="154"/>
        <v>111.49425287356323</v>
      </c>
      <c r="N59" s="144">
        <f t="shared" si="154"/>
        <v>285.51724137931035</v>
      </c>
      <c r="O59" s="144">
        <f t="shared" si="154"/>
        <v>-267.12643678160924</v>
      </c>
      <c r="P59" s="144">
        <f t="shared" si="154"/>
        <v>-295.63218390804599</v>
      </c>
      <c r="Q59" s="118">
        <f>((P59/G59)^(1/($H$2-$H$1) ))-1</f>
        <v>-2.2128584222495276</v>
      </c>
      <c r="R59" s="128"/>
      <c r="S59" s="158">
        <f t="shared" ref="S59:AB59" si="155">S15/S39</f>
        <v>-295.63218390804599</v>
      </c>
      <c r="T59" s="158">
        <f t="shared" si="155"/>
        <v>-295.63218390804599</v>
      </c>
      <c r="U59" s="158">
        <f t="shared" si="155"/>
        <v>-295.63218390804599</v>
      </c>
      <c r="V59" s="158">
        <f t="shared" si="155"/>
        <v>-295.63218390804604</v>
      </c>
      <c r="W59" s="158">
        <f t="shared" si="155"/>
        <v>-295.63218390804599</v>
      </c>
      <c r="X59" s="158">
        <f t="shared" si="155"/>
        <v>-295.63218390804599</v>
      </c>
      <c r="Y59" s="158">
        <f t="shared" si="155"/>
        <v>-295.63218390804599</v>
      </c>
      <c r="Z59" s="158">
        <f t="shared" si="155"/>
        <v>-295.63218390804599</v>
      </c>
      <c r="AA59" s="158">
        <f t="shared" si="155"/>
        <v>-295.63218390804599</v>
      </c>
      <c r="AB59" s="158">
        <f t="shared" si="155"/>
        <v>-295.63218390804599</v>
      </c>
      <c r="AC59" s="138">
        <f t="shared" si="131"/>
        <v>-2.09571983898008</v>
      </c>
      <c r="AD59" s="137"/>
      <c r="AE59" s="146">
        <f t="shared" si="132"/>
        <v>-1970.8812260536399</v>
      </c>
    </row>
    <row r="60" spans="2:31">
      <c r="B60" s="20"/>
      <c r="C60" s="127"/>
      <c r="D60" s="127"/>
      <c r="E60" s="127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28"/>
      <c r="R60" s="128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39"/>
      <c r="AD60" s="31">
        <f t="shared" si="17"/>
        <v>0.08</v>
      </c>
      <c r="AE60" s="146">
        <f t="shared" si="132"/>
        <v>0</v>
      </c>
    </row>
    <row r="61" spans="2:31">
      <c r="B61" s="20" t="s">
        <v>283</v>
      </c>
      <c r="C61" s="160">
        <f>C40</f>
        <v>1</v>
      </c>
      <c r="D61" s="160">
        <f t="shared" ref="D61:P61" si="156">D40</f>
        <v>1</v>
      </c>
      <c r="E61" s="160">
        <f t="shared" si="156"/>
        <v>1</v>
      </c>
      <c r="F61" s="160">
        <f t="shared" si="156"/>
        <v>5</v>
      </c>
      <c r="G61" s="160">
        <f t="shared" si="156"/>
        <v>7.5</v>
      </c>
      <c r="H61" s="160">
        <f t="shared" si="156"/>
        <v>10</v>
      </c>
      <c r="I61" s="160">
        <f t="shared" si="156"/>
        <v>2.6</v>
      </c>
      <c r="J61" s="160">
        <f t="shared" si="156"/>
        <v>3</v>
      </c>
      <c r="K61" s="160">
        <f t="shared" si="156"/>
        <v>3.6</v>
      </c>
      <c r="L61" s="160">
        <f t="shared" si="156"/>
        <v>3.6</v>
      </c>
      <c r="M61" s="160">
        <f t="shared" si="156"/>
        <v>3.6</v>
      </c>
      <c r="N61" s="160">
        <f t="shared" si="156"/>
        <v>3.6</v>
      </c>
      <c r="O61" s="160">
        <f t="shared" si="156"/>
        <v>3.6</v>
      </c>
      <c r="P61" s="160">
        <f t="shared" si="156"/>
        <v>3.6</v>
      </c>
      <c r="Q61" s="118">
        <f>((P61/G61)^(1/($H$2-$H$1) ))-1</f>
        <v>-7.8315339340138235E-2</v>
      </c>
      <c r="R61" s="128"/>
      <c r="S61" s="160">
        <f t="shared" ref="S61:AB61" si="157">S40</f>
        <v>3.7800000000000002</v>
      </c>
      <c r="T61" s="160">
        <f t="shared" si="157"/>
        <v>3.9690000000000003</v>
      </c>
      <c r="U61" s="160">
        <f t="shared" si="157"/>
        <v>4.1674500000000005</v>
      </c>
      <c r="V61" s="160">
        <f t="shared" si="157"/>
        <v>4.3758225000000008</v>
      </c>
      <c r="W61" s="160">
        <f t="shared" si="157"/>
        <v>4.5946136250000009</v>
      </c>
      <c r="X61" s="160">
        <f t="shared" si="157"/>
        <v>4.8243443062500013</v>
      </c>
      <c r="Y61" s="160">
        <f t="shared" si="157"/>
        <v>5.0655615215625014</v>
      </c>
      <c r="Z61" s="160">
        <f t="shared" si="157"/>
        <v>5.3188395976406264</v>
      </c>
      <c r="AA61" s="160">
        <f t="shared" si="157"/>
        <v>5.5847815775226577</v>
      </c>
      <c r="AB61" s="160">
        <f t="shared" si="157"/>
        <v>5.8640206563987904</v>
      </c>
      <c r="AC61" s="138">
        <f t="shared" ref="AC61" si="158">((AB61/G61)^(1/($AB$3-$H$1) ))-1</f>
        <v>-1.2867420475107694E-2</v>
      </c>
      <c r="AD61" s="31">
        <f t="shared" si="17"/>
        <v>0.08</v>
      </c>
      <c r="AE61" s="146">
        <f t="shared" si="132"/>
        <v>90.473461555867061</v>
      </c>
    </row>
    <row r="62" spans="2:31">
      <c r="B62" s="20"/>
      <c r="C62" s="127"/>
      <c r="D62" s="127"/>
      <c r="E62" s="12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28"/>
      <c r="R62" s="128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39"/>
      <c r="AD62" s="137"/>
      <c r="AE62" s="155"/>
    </row>
    <row r="63" spans="2:31">
      <c r="B63" s="20" t="s">
        <v>319</v>
      </c>
      <c r="C63" s="127">
        <f t="shared" ref="C63:P63" si="159">C19+C20</f>
        <v>0</v>
      </c>
      <c r="D63" s="127">
        <f t="shared" si="159"/>
        <v>0</v>
      </c>
      <c r="E63" s="127">
        <f t="shared" si="159"/>
        <v>0</v>
      </c>
      <c r="F63" s="144">
        <f t="shared" si="159"/>
        <v>0</v>
      </c>
      <c r="G63" s="144">
        <f t="shared" si="159"/>
        <v>0</v>
      </c>
      <c r="H63" s="144">
        <f t="shared" si="159"/>
        <v>0</v>
      </c>
      <c r="I63" s="144">
        <f t="shared" si="159"/>
        <v>0</v>
      </c>
      <c r="J63" s="144">
        <f t="shared" si="159"/>
        <v>0</v>
      </c>
      <c r="K63" s="144">
        <f t="shared" si="159"/>
        <v>0</v>
      </c>
      <c r="L63" s="144">
        <f t="shared" si="159"/>
        <v>0</v>
      </c>
      <c r="M63" s="144">
        <f t="shared" si="159"/>
        <v>0</v>
      </c>
      <c r="N63" s="144">
        <f t="shared" si="159"/>
        <v>0</v>
      </c>
      <c r="O63" s="144">
        <f t="shared" si="159"/>
        <v>0</v>
      </c>
      <c r="P63" s="144">
        <f t="shared" si="159"/>
        <v>0</v>
      </c>
      <c r="Q63" s="118" t="e">
        <f>((P63/G63)^(1/($H$2-$H$1) ))-1</f>
        <v>#DIV/0!</v>
      </c>
      <c r="R63" s="128"/>
      <c r="S63" s="144">
        <f t="shared" ref="S63:AB63" si="160">S19+S20</f>
        <v>0</v>
      </c>
      <c r="T63" s="144">
        <f t="shared" si="160"/>
        <v>0</v>
      </c>
      <c r="U63" s="144">
        <f t="shared" si="160"/>
        <v>0</v>
      </c>
      <c r="V63" s="144">
        <f t="shared" si="160"/>
        <v>0</v>
      </c>
      <c r="W63" s="144">
        <f t="shared" si="160"/>
        <v>0</v>
      </c>
      <c r="X63" s="144">
        <f t="shared" si="160"/>
        <v>0</v>
      </c>
      <c r="Y63" s="144">
        <f t="shared" si="160"/>
        <v>0</v>
      </c>
      <c r="Z63" s="144">
        <f t="shared" si="160"/>
        <v>0</v>
      </c>
      <c r="AA63" s="144">
        <f t="shared" si="160"/>
        <v>0</v>
      </c>
      <c r="AB63" s="144">
        <f t="shared" si="160"/>
        <v>0</v>
      </c>
      <c r="AC63" s="138" t="e">
        <f t="shared" ref="AC63:AC68" si="161">((AB63/G63)^(1/($AB$3-$H$1) ))-1</f>
        <v>#DIV/0!</v>
      </c>
      <c r="AD63" s="31">
        <f t="shared" si="17"/>
        <v>0.08</v>
      </c>
      <c r="AE63" s="146">
        <f t="shared" si="132"/>
        <v>0</v>
      </c>
    </row>
    <row r="64" spans="2:31">
      <c r="B64" s="20"/>
      <c r="C64" s="127"/>
      <c r="D64" s="127"/>
      <c r="E64" s="127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28"/>
      <c r="R64" s="128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39"/>
      <c r="AD64" s="137"/>
      <c r="AE64" s="146"/>
    </row>
    <row r="65" spans="2:31">
      <c r="B65" s="20" t="s">
        <v>320</v>
      </c>
      <c r="C65" s="127">
        <f t="shared" ref="C65:P65" si="162">C63/C39</f>
        <v>0</v>
      </c>
      <c r="D65" s="127">
        <f t="shared" si="162"/>
        <v>0</v>
      </c>
      <c r="E65" s="127">
        <f t="shared" si="162"/>
        <v>0</v>
      </c>
      <c r="F65" s="144">
        <f t="shared" si="162"/>
        <v>0</v>
      </c>
      <c r="G65" s="144">
        <f t="shared" si="162"/>
        <v>0</v>
      </c>
      <c r="H65" s="144">
        <f t="shared" si="162"/>
        <v>0</v>
      </c>
      <c r="I65" s="144">
        <f t="shared" si="162"/>
        <v>0</v>
      </c>
      <c r="J65" s="144">
        <f t="shared" si="162"/>
        <v>0</v>
      </c>
      <c r="K65" s="144">
        <f t="shared" si="162"/>
        <v>0</v>
      </c>
      <c r="L65" s="144">
        <f t="shared" si="162"/>
        <v>0</v>
      </c>
      <c r="M65" s="144">
        <f t="shared" si="162"/>
        <v>0</v>
      </c>
      <c r="N65" s="144">
        <f t="shared" si="162"/>
        <v>0</v>
      </c>
      <c r="O65" s="144">
        <f t="shared" si="162"/>
        <v>0</v>
      </c>
      <c r="P65" s="144">
        <f t="shared" si="162"/>
        <v>0</v>
      </c>
      <c r="Q65" s="118" t="e">
        <f>((P65/G65)^(1/($H$2-$H$1) ))-1</f>
        <v>#DIV/0!</v>
      </c>
      <c r="R65" s="128"/>
      <c r="S65" s="146">
        <f t="shared" ref="S65:AB65" si="163">S63/S39</f>
        <v>0</v>
      </c>
      <c r="T65" s="146">
        <f t="shared" si="163"/>
        <v>0</v>
      </c>
      <c r="U65" s="146">
        <f t="shared" si="163"/>
        <v>0</v>
      </c>
      <c r="V65" s="146">
        <f t="shared" si="163"/>
        <v>0</v>
      </c>
      <c r="W65" s="146">
        <f t="shared" si="163"/>
        <v>0</v>
      </c>
      <c r="X65" s="146">
        <f t="shared" si="163"/>
        <v>0</v>
      </c>
      <c r="Y65" s="146">
        <f t="shared" si="163"/>
        <v>0</v>
      </c>
      <c r="Z65" s="146">
        <f t="shared" si="163"/>
        <v>0</v>
      </c>
      <c r="AA65" s="146">
        <f t="shared" si="163"/>
        <v>0</v>
      </c>
      <c r="AB65" s="146">
        <f t="shared" si="163"/>
        <v>0</v>
      </c>
      <c r="AC65" s="138" t="e">
        <f t="shared" si="161"/>
        <v>#DIV/0!</v>
      </c>
      <c r="AD65" s="31">
        <f t="shared" si="17"/>
        <v>0.08</v>
      </c>
      <c r="AE65" s="146">
        <f t="shared" si="132"/>
        <v>0</v>
      </c>
    </row>
    <row r="66" spans="2:31">
      <c r="B66" s="20" t="s">
        <v>288</v>
      </c>
      <c r="C66" s="127">
        <f t="shared" ref="C66:P66" si="164">C19/C39</f>
        <v>0</v>
      </c>
      <c r="D66" s="127">
        <f t="shared" si="164"/>
        <v>0</v>
      </c>
      <c r="E66" s="127">
        <f t="shared" si="164"/>
        <v>0</v>
      </c>
      <c r="F66" s="144">
        <f t="shared" si="164"/>
        <v>0</v>
      </c>
      <c r="G66" s="144">
        <f t="shared" si="164"/>
        <v>0</v>
      </c>
      <c r="H66" s="144">
        <f t="shared" si="164"/>
        <v>0</v>
      </c>
      <c r="I66" s="144">
        <f t="shared" si="164"/>
        <v>0</v>
      </c>
      <c r="J66" s="144">
        <f t="shared" si="164"/>
        <v>0</v>
      </c>
      <c r="K66" s="144">
        <f t="shared" si="164"/>
        <v>0</v>
      </c>
      <c r="L66" s="144">
        <f t="shared" si="164"/>
        <v>0</v>
      </c>
      <c r="M66" s="144">
        <f t="shared" si="164"/>
        <v>0</v>
      </c>
      <c r="N66" s="144">
        <f t="shared" si="164"/>
        <v>0</v>
      </c>
      <c r="O66" s="144">
        <f t="shared" si="164"/>
        <v>0</v>
      </c>
      <c r="P66" s="144">
        <f t="shared" si="164"/>
        <v>0</v>
      </c>
      <c r="Q66" s="118" t="e">
        <f>((P66/G66)^(1/($H$2-$H$1) ))-1</f>
        <v>#DIV/0!</v>
      </c>
      <c r="R66" s="128"/>
      <c r="S66" s="146">
        <f t="shared" ref="S66:AB66" si="165">S19/S39</f>
        <v>0</v>
      </c>
      <c r="T66" s="146">
        <f t="shared" si="165"/>
        <v>0</v>
      </c>
      <c r="U66" s="146">
        <f t="shared" si="165"/>
        <v>0</v>
      </c>
      <c r="V66" s="146">
        <f t="shared" si="165"/>
        <v>0</v>
      </c>
      <c r="W66" s="146">
        <f t="shared" si="165"/>
        <v>0</v>
      </c>
      <c r="X66" s="146">
        <f t="shared" si="165"/>
        <v>0</v>
      </c>
      <c r="Y66" s="146">
        <f t="shared" si="165"/>
        <v>0</v>
      </c>
      <c r="Z66" s="146">
        <f t="shared" si="165"/>
        <v>0</v>
      </c>
      <c r="AA66" s="146">
        <f t="shared" si="165"/>
        <v>0</v>
      </c>
      <c r="AB66" s="146">
        <f t="shared" si="165"/>
        <v>0</v>
      </c>
      <c r="AC66" s="138" t="e">
        <f t="shared" si="161"/>
        <v>#DIV/0!</v>
      </c>
      <c r="AD66" s="31">
        <f t="shared" si="17"/>
        <v>0.08</v>
      </c>
      <c r="AE66" s="146">
        <f t="shared" si="132"/>
        <v>0</v>
      </c>
    </row>
    <row r="67" spans="2:31">
      <c r="B67" s="20" t="s">
        <v>289</v>
      </c>
      <c r="C67" s="127">
        <f t="shared" ref="C67:P67" si="166">C20/C39</f>
        <v>0</v>
      </c>
      <c r="D67" s="127">
        <f t="shared" si="166"/>
        <v>0</v>
      </c>
      <c r="E67" s="127">
        <f t="shared" si="166"/>
        <v>0</v>
      </c>
      <c r="F67" s="144">
        <f t="shared" si="166"/>
        <v>0</v>
      </c>
      <c r="G67" s="144">
        <f t="shared" si="166"/>
        <v>0</v>
      </c>
      <c r="H67" s="144">
        <f t="shared" si="166"/>
        <v>0</v>
      </c>
      <c r="I67" s="144">
        <f t="shared" si="166"/>
        <v>0</v>
      </c>
      <c r="J67" s="144">
        <f t="shared" si="166"/>
        <v>0</v>
      </c>
      <c r="K67" s="144">
        <f t="shared" si="166"/>
        <v>0</v>
      </c>
      <c r="L67" s="144">
        <f t="shared" si="166"/>
        <v>0</v>
      </c>
      <c r="M67" s="144">
        <f t="shared" si="166"/>
        <v>0</v>
      </c>
      <c r="N67" s="144">
        <f t="shared" si="166"/>
        <v>0</v>
      </c>
      <c r="O67" s="144">
        <f t="shared" si="166"/>
        <v>0</v>
      </c>
      <c r="P67" s="144">
        <f t="shared" si="166"/>
        <v>0</v>
      </c>
      <c r="Q67" s="118" t="e">
        <f>((P67/G67)^(1/($H$2-$H$1) ))-1</f>
        <v>#DIV/0!</v>
      </c>
      <c r="R67" s="128"/>
      <c r="S67" s="146">
        <f t="shared" ref="S67:AB67" si="167">S20/S39</f>
        <v>0</v>
      </c>
      <c r="T67" s="146">
        <f t="shared" si="167"/>
        <v>0</v>
      </c>
      <c r="U67" s="146">
        <f t="shared" si="167"/>
        <v>0</v>
      </c>
      <c r="V67" s="146">
        <f t="shared" si="167"/>
        <v>0</v>
      </c>
      <c r="W67" s="146">
        <f t="shared" si="167"/>
        <v>0</v>
      </c>
      <c r="X67" s="146">
        <f t="shared" si="167"/>
        <v>0</v>
      </c>
      <c r="Y67" s="146">
        <f t="shared" si="167"/>
        <v>0</v>
      </c>
      <c r="Z67" s="146">
        <f t="shared" si="167"/>
        <v>0</v>
      </c>
      <c r="AA67" s="146">
        <f t="shared" si="167"/>
        <v>0</v>
      </c>
      <c r="AB67" s="146">
        <f t="shared" si="167"/>
        <v>0</v>
      </c>
      <c r="AC67" s="138" t="e">
        <f t="shared" si="161"/>
        <v>#DIV/0!</v>
      </c>
      <c r="AD67" s="31">
        <f t="shared" si="17"/>
        <v>0.08</v>
      </c>
      <c r="AE67" s="146">
        <f t="shared" si="132"/>
        <v>0</v>
      </c>
    </row>
    <row r="68" spans="2:31">
      <c r="B68" s="20" t="s">
        <v>290</v>
      </c>
      <c r="C68" s="127">
        <f t="shared" ref="C68:P68" si="168">C21/C39</f>
        <v>0</v>
      </c>
      <c r="D68" s="127">
        <f t="shared" si="168"/>
        <v>0</v>
      </c>
      <c r="E68" s="127">
        <f t="shared" si="168"/>
        <v>0</v>
      </c>
      <c r="F68" s="144">
        <f t="shared" si="168"/>
        <v>0</v>
      </c>
      <c r="G68" s="144">
        <f t="shared" si="168"/>
        <v>0</v>
      </c>
      <c r="H68" s="144">
        <f t="shared" si="168"/>
        <v>0</v>
      </c>
      <c r="I68" s="144">
        <f t="shared" si="168"/>
        <v>0</v>
      </c>
      <c r="J68" s="144">
        <f t="shared" si="168"/>
        <v>0</v>
      </c>
      <c r="K68" s="144">
        <f t="shared" si="168"/>
        <v>0</v>
      </c>
      <c r="L68" s="144">
        <f t="shared" si="168"/>
        <v>0</v>
      </c>
      <c r="M68" s="144">
        <f t="shared" si="168"/>
        <v>0</v>
      </c>
      <c r="N68" s="144">
        <f t="shared" si="168"/>
        <v>0</v>
      </c>
      <c r="O68" s="144">
        <f t="shared" si="168"/>
        <v>0</v>
      </c>
      <c r="P68" s="144">
        <f t="shared" si="168"/>
        <v>0</v>
      </c>
      <c r="Q68" s="118" t="e">
        <f>((P68/G68)^(1/($H$2-$H$1) ))-1</f>
        <v>#DIV/0!</v>
      </c>
      <c r="R68" s="128"/>
      <c r="S68" s="146">
        <f t="shared" ref="S68:AB68" si="169">S21/S39</f>
        <v>0</v>
      </c>
      <c r="T68" s="146">
        <f t="shared" si="169"/>
        <v>0</v>
      </c>
      <c r="U68" s="146">
        <f t="shared" si="169"/>
        <v>0</v>
      </c>
      <c r="V68" s="146">
        <f t="shared" si="169"/>
        <v>0</v>
      </c>
      <c r="W68" s="146">
        <f t="shared" si="169"/>
        <v>0</v>
      </c>
      <c r="X68" s="146">
        <f t="shared" si="169"/>
        <v>0</v>
      </c>
      <c r="Y68" s="146">
        <f t="shared" si="169"/>
        <v>0</v>
      </c>
      <c r="Z68" s="146">
        <f t="shared" si="169"/>
        <v>0</v>
      </c>
      <c r="AA68" s="146">
        <f t="shared" si="169"/>
        <v>0</v>
      </c>
      <c r="AB68" s="146">
        <f t="shared" si="169"/>
        <v>0</v>
      </c>
      <c r="AC68" s="138" t="e">
        <f t="shared" si="161"/>
        <v>#DIV/0!</v>
      </c>
      <c r="AD68" s="31">
        <f t="shared" si="17"/>
        <v>0.08</v>
      </c>
      <c r="AE68" s="146">
        <f t="shared" si="132"/>
        <v>0</v>
      </c>
    </row>
    <row r="69" spans="2:31">
      <c r="B69" s="20" t="s">
        <v>297</v>
      </c>
      <c r="C69" s="127">
        <f t="shared" ref="C69:P69" si="170">C22/C39</f>
        <v>0</v>
      </c>
      <c r="D69" s="127">
        <f t="shared" si="170"/>
        <v>0</v>
      </c>
      <c r="E69" s="127">
        <f t="shared" si="170"/>
        <v>0</v>
      </c>
      <c r="F69" s="144">
        <f t="shared" si="170"/>
        <v>0</v>
      </c>
      <c r="G69" s="144">
        <f t="shared" si="170"/>
        <v>0</v>
      </c>
      <c r="H69" s="144">
        <f t="shared" si="170"/>
        <v>0</v>
      </c>
      <c r="I69" s="144">
        <f t="shared" si="170"/>
        <v>0</v>
      </c>
      <c r="J69" s="144">
        <f t="shared" si="170"/>
        <v>0</v>
      </c>
      <c r="K69" s="144">
        <f t="shared" si="170"/>
        <v>0</v>
      </c>
      <c r="L69" s="144">
        <f t="shared" si="170"/>
        <v>0</v>
      </c>
      <c r="M69" s="144">
        <f t="shared" si="170"/>
        <v>0</v>
      </c>
      <c r="N69" s="144">
        <f t="shared" si="170"/>
        <v>0</v>
      </c>
      <c r="O69" s="144">
        <f t="shared" si="170"/>
        <v>0</v>
      </c>
      <c r="P69" s="144">
        <f t="shared" si="170"/>
        <v>0</v>
      </c>
      <c r="Q69" s="118" t="e">
        <f>((P69/G69)^(1/($H$2-$H$1) ))-1</f>
        <v>#DIV/0!</v>
      </c>
      <c r="R69" s="128"/>
      <c r="S69" s="146">
        <f t="shared" ref="S69:AB69" si="171">S22/S39</f>
        <v>0</v>
      </c>
      <c r="T69" s="146">
        <f t="shared" si="171"/>
        <v>0</v>
      </c>
      <c r="U69" s="146">
        <f t="shared" si="171"/>
        <v>0</v>
      </c>
      <c r="V69" s="146">
        <f t="shared" si="171"/>
        <v>0</v>
      </c>
      <c r="W69" s="146">
        <f t="shared" si="171"/>
        <v>0</v>
      </c>
      <c r="X69" s="146">
        <f t="shared" si="171"/>
        <v>0</v>
      </c>
      <c r="Y69" s="146">
        <f t="shared" si="171"/>
        <v>0</v>
      </c>
      <c r="Z69" s="146">
        <f t="shared" si="171"/>
        <v>0</v>
      </c>
      <c r="AA69" s="146">
        <f t="shared" si="171"/>
        <v>0</v>
      </c>
      <c r="AB69" s="146">
        <f t="shared" si="171"/>
        <v>0</v>
      </c>
      <c r="AC69" s="138" t="e">
        <f t="shared" ref="AC69" si="172">((AB69/G69)^(1/($AB$3-$H$1) ))-1</f>
        <v>#DIV/0!</v>
      </c>
      <c r="AD69" s="31">
        <f t="shared" si="17"/>
        <v>0.08</v>
      </c>
      <c r="AE69" s="146">
        <f t="shared" si="132"/>
        <v>0</v>
      </c>
    </row>
    <row r="70" spans="2:31">
      <c r="B70" s="20"/>
      <c r="C70" s="127"/>
      <c r="D70" s="127"/>
      <c r="E70" s="127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28"/>
      <c r="R70" s="128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39"/>
      <c r="AD70" s="137"/>
      <c r="AE70" s="155"/>
    </row>
    <row r="71" spans="2:31">
      <c r="B71" s="20" t="s">
        <v>313</v>
      </c>
      <c r="C71" s="144">
        <f t="shared" ref="C71:P71" si="173">C35/C39</f>
        <v>0</v>
      </c>
      <c r="D71" s="144">
        <f t="shared" si="173"/>
        <v>0</v>
      </c>
      <c r="E71" s="144">
        <f t="shared" si="173"/>
        <v>0</v>
      </c>
      <c r="F71" s="144">
        <f t="shared" si="173"/>
        <v>0</v>
      </c>
      <c r="G71" s="144">
        <f t="shared" si="173"/>
        <v>242.46575342465755</v>
      </c>
      <c r="H71" s="144">
        <f t="shared" si="173"/>
        <v>239.72602739726028</v>
      </c>
      <c r="I71" s="144">
        <f t="shared" si="173"/>
        <v>80.978260869565219</v>
      </c>
      <c r="J71" s="144">
        <f t="shared" si="173"/>
        <v>102.98102981029811</v>
      </c>
      <c r="K71" s="144">
        <f t="shared" si="173"/>
        <v>347.74535809018568</v>
      </c>
      <c r="L71" s="144">
        <f t="shared" si="173"/>
        <v>488.88888888888891</v>
      </c>
      <c r="M71" s="144">
        <f t="shared" si="173"/>
        <v>493.33333333333337</v>
      </c>
      <c r="N71" s="144">
        <f t="shared" si="173"/>
        <v>512.64367816091954</v>
      </c>
      <c r="O71" s="144">
        <f t="shared" si="173"/>
        <v>422.98850574712645</v>
      </c>
      <c r="P71" s="144">
        <f t="shared" si="173"/>
        <v>456.32183908045982</v>
      </c>
      <c r="Q71" s="118">
        <f>((P71/G71)^(1/($H$2-$H$1) ))-1</f>
        <v>7.2786815814724903E-2</v>
      </c>
      <c r="R71" s="128"/>
      <c r="S71" s="144">
        <f t="shared" ref="S71:AB71" si="174">S35/S39</f>
        <v>456.32183908045982</v>
      </c>
      <c r="T71" s="144">
        <f t="shared" si="174"/>
        <v>456.32183908045988</v>
      </c>
      <c r="U71" s="144">
        <f t="shared" si="174"/>
        <v>456.32183908045994</v>
      </c>
      <c r="V71" s="144">
        <f t="shared" si="174"/>
        <v>456.32183908045994</v>
      </c>
      <c r="W71" s="144">
        <f t="shared" si="174"/>
        <v>456.32183908045994</v>
      </c>
      <c r="X71" s="144">
        <f t="shared" si="174"/>
        <v>456.32183908045994</v>
      </c>
      <c r="Y71" s="144">
        <f t="shared" si="174"/>
        <v>456.32183908045994</v>
      </c>
      <c r="Z71" s="144">
        <f t="shared" si="174"/>
        <v>456.32183908045994</v>
      </c>
      <c r="AA71" s="144">
        <f t="shared" si="174"/>
        <v>456.32183908045994</v>
      </c>
      <c r="AB71" s="144">
        <f t="shared" si="174"/>
        <v>456.32183908045994</v>
      </c>
      <c r="AC71" s="138">
        <f t="shared" ref="AC71:AC73" si="175">((AB71/G71)^(1/($AB$3-$H$1) ))-1</f>
        <v>3.3840946298452579E-2</v>
      </c>
      <c r="AD71" s="31">
        <f t="shared" si="17"/>
        <v>0.08</v>
      </c>
      <c r="AE71" s="146">
        <f t="shared" si="132"/>
        <v>7040.3940886699538</v>
      </c>
    </row>
    <row r="72" spans="2:31">
      <c r="B72" s="20" t="s">
        <v>314</v>
      </c>
      <c r="C72" s="144">
        <f t="shared" ref="C72:P72" si="176">C37/C39</f>
        <v>0</v>
      </c>
      <c r="D72" s="144">
        <f t="shared" si="176"/>
        <v>0</v>
      </c>
      <c r="E72" s="144">
        <f t="shared" si="176"/>
        <v>0</v>
      </c>
      <c r="F72" s="144">
        <f t="shared" si="176"/>
        <v>0</v>
      </c>
      <c r="G72" s="144">
        <f t="shared" si="176"/>
        <v>64.38356164383562</v>
      </c>
      <c r="H72" s="144">
        <f t="shared" si="176"/>
        <v>69.863013698630141</v>
      </c>
      <c r="I72" s="144">
        <f t="shared" si="176"/>
        <v>22.282608695652172</v>
      </c>
      <c r="J72" s="144">
        <f t="shared" si="176"/>
        <v>-9.48509485094851</v>
      </c>
      <c r="K72" s="144">
        <f t="shared" si="176"/>
        <v>10.079575596816976</v>
      </c>
      <c r="L72" s="144">
        <f t="shared" si="176"/>
        <v>113.49206349206349</v>
      </c>
      <c r="M72" s="144">
        <f t="shared" si="176"/>
        <v>42.52873563218391</v>
      </c>
      <c r="N72" s="144">
        <f t="shared" si="176"/>
        <v>17.931034482758623</v>
      </c>
      <c r="O72" s="144">
        <f t="shared" si="176"/>
        <v>73.793103448275872</v>
      </c>
      <c r="P72" s="144">
        <f t="shared" si="176"/>
        <v>43.908045977011497</v>
      </c>
      <c r="Q72" s="118">
        <f>((P72/G72)^(1/($H$2-$H$1) ))-1</f>
        <v>-4.163730222695694E-2</v>
      </c>
      <c r="R72" s="128"/>
      <c r="S72" s="144">
        <f t="shared" ref="S72:AB72" si="177">S37/S39</f>
        <v>43.908045977011497</v>
      </c>
      <c r="T72" s="144">
        <f t="shared" si="177"/>
        <v>43.908045977011497</v>
      </c>
      <c r="U72" s="144">
        <f t="shared" si="177"/>
        <v>43.908045977011497</v>
      </c>
      <c r="V72" s="144">
        <f t="shared" si="177"/>
        <v>43.908045977011497</v>
      </c>
      <c r="W72" s="144">
        <f t="shared" si="177"/>
        <v>43.908045977011497</v>
      </c>
      <c r="X72" s="144">
        <f t="shared" si="177"/>
        <v>43.90804597701149</v>
      </c>
      <c r="Y72" s="144">
        <f t="shared" si="177"/>
        <v>43.908045977011497</v>
      </c>
      <c r="Z72" s="144">
        <f t="shared" si="177"/>
        <v>43.908045977011497</v>
      </c>
      <c r="AA72" s="144">
        <f t="shared" si="177"/>
        <v>43.908045977011497</v>
      </c>
      <c r="AB72" s="144">
        <f t="shared" si="177"/>
        <v>43.908045977011497</v>
      </c>
      <c r="AC72" s="138">
        <f t="shared" si="175"/>
        <v>-1.9943742494757277E-2</v>
      </c>
      <c r="AD72" s="31">
        <f t="shared" si="17"/>
        <v>0.08</v>
      </c>
      <c r="AE72" s="146">
        <f t="shared" si="132"/>
        <v>677.43842364532031</v>
      </c>
    </row>
    <row r="73" spans="2:31">
      <c r="B73" s="20" t="s">
        <v>315</v>
      </c>
      <c r="C73" s="144">
        <f t="shared" ref="C73:P73" si="178">C6/C39</f>
        <v>0</v>
      </c>
      <c r="D73" s="144">
        <f t="shared" si="178"/>
        <v>0</v>
      </c>
      <c r="E73" s="144">
        <f t="shared" si="178"/>
        <v>0</v>
      </c>
      <c r="F73" s="144">
        <f t="shared" si="178"/>
        <v>0</v>
      </c>
      <c r="G73" s="144">
        <f t="shared" si="178"/>
        <v>232.87671232876713</v>
      </c>
      <c r="H73" s="144">
        <f t="shared" si="178"/>
        <v>291.78082191780823</v>
      </c>
      <c r="I73" s="144">
        <f t="shared" si="178"/>
        <v>74.184782608695656</v>
      </c>
      <c r="J73" s="144">
        <f t="shared" si="178"/>
        <v>58.807588075880759</v>
      </c>
      <c r="K73" s="144">
        <f t="shared" si="178"/>
        <v>132.09549071618036</v>
      </c>
      <c r="L73" s="144">
        <f t="shared" si="178"/>
        <v>373.01587301587301</v>
      </c>
      <c r="M73" s="144">
        <f t="shared" si="178"/>
        <v>424.13793103448279</v>
      </c>
      <c r="N73" s="144">
        <f t="shared" si="178"/>
        <v>413.56321839080465</v>
      </c>
      <c r="O73" s="144">
        <f t="shared" si="178"/>
        <v>591.0344827586207</v>
      </c>
      <c r="P73" s="144">
        <f t="shared" si="178"/>
        <v>688.27586206896558</v>
      </c>
      <c r="Q73" s="118">
        <f>((P73/G73)^(1/($H$2-$H$1) ))-1</f>
        <v>0.12795803420570673</v>
      </c>
      <c r="R73" s="128"/>
      <c r="S73" s="144">
        <f t="shared" ref="S73:AB73" si="179">S6/S39</f>
        <v>688.27586206896558</v>
      </c>
      <c r="T73" s="144">
        <f t="shared" si="179"/>
        <v>688.27586206896558</v>
      </c>
      <c r="U73" s="144">
        <f t="shared" si="179"/>
        <v>688.27586206896558</v>
      </c>
      <c r="V73" s="144">
        <f t="shared" si="179"/>
        <v>688.27586206896569</v>
      </c>
      <c r="W73" s="144">
        <f t="shared" si="179"/>
        <v>688.27586206896569</v>
      </c>
      <c r="X73" s="144">
        <f t="shared" si="179"/>
        <v>688.27586206896569</v>
      </c>
      <c r="Y73" s="144">
        <f t="shared" si="179"/>
        <v>688.27586206896569</v>
      </c>
      <c r="Z73" s="144">
        <f t="shared" si="179"/>
        <v>688.27586206896569</v>
      </c>
      <c r="AA73" s="144">
        <f t="shared" si="179"/>
        <v>688.27586206896581</v>
      </c>
      <c r="AB73" s="144">
        <f t="shared" si="179"/>
        <v>688.27586206896569</v>
      </c>
      <c r="AC73" s="138">
        <f t="shared" si="175"/>
        <v>5.8693729784920379E-2</v>
      </c>
      <c r="AD73" s="31">
        <f t="shared" ref="AD73" si="180">$L$1</f>
        <v>0.08</v>
      </c>
      <c r="AE73" s="146">
        <f t="shared" si="132"/>
        <v>10619.113300492614</v>
      </c>
    </row>
    <row r="74" spans="2:31">
      <c r="B74" s="20"/>
      <c r="C74" s="127"/>
      <c r="D74" s="127"/>
      <c r="E74" s="127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28"/>
      <c r="R74" s="128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39"/>
      <c r="AD74" s="20"/>
      <c r="AE74" s="155"/>
    </row>
    <row r="75" spans="2:31">
      <c r="B75" s="20"/>
      <c r="C75" s="127"/>
      <c r="D75" s="127"/>
      <c r="E75" s="127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28"/>
      <c r="R75" s="128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39"/>
      <c r="AD75" s="20"/>
      <c r="AE75" s="155"/>
    </row>
    <row r="76" spans="2:31">
      <c r="B76" s="108" t="s">
        <v>312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</row>
    <row r="77" spans="2:31">
      <c r="B77" s="20" t="s">
        <v>310</v>
      </c>
      <c r="C77" s="153" t="e">
        <f t="shared" ref="C77:P77" si="181">C35/C24</f>
        <v>#DIV/0!</v>
      </c>
      <c r="D77" s="153" t="e">
        <f t="shared" si="181"/>
        <v>#DIV/0!</v>
      </c>
      <c r="E77" s="153" t="e">
        <f t="shared" si="181"/>
        <v>#DIV/0!</v>
      </c>
      <c r="F77" s="153" t="e">
        <f t="shared" si="181"/>
        <v>#DIV/0!</v>
      </c>
      <c r="G77" s="153">
        <f t="shared" si="181"/>
        <v>0.60824742268041232</v>
      </c>
      <c r="H77" s="153">
        <f t="shared" si="181"/>
        <v>0.58724832214765099</v>
      </c>
      <c r="I77" s="153">
        <f t="shared" si="181"/>
        <v>0.59009900990099007</v>
      </c>
      <c r="J77" s="153">
        <f t="shared" si="181"/>
        <v>0.47146401985111663</v>
      </c>
      <c r="K77" s="153">
        <f t="shared" si="181"/>
        <v>0.67822038282462493</v>
      </c>
      <c r="L77" s="153">
        <f t="shared" si="181"/>
        <v>0.53580748042910986</v>
      </c>
      <c r="M77" s="153">
        <f t="shared" si="181"/>
        <v>0.68365721567378146</v>
      </c>
      <c r="N77" s="153">
        <f t="shared" si="181"/>
        <v>0.76737783895388856</v>
      </c>
      <c r="O77" s="153">
        <f t="shared" si="181"/>
        <v>0.57001239157372985</v>
      </c>
      <c r="P77" s="153">
        <f t="shared" si="181"/>
        <v>0.53663152203298192</v>
      </c>
      <c r="Q77" s="118">
        <f t="shared" ref="Q77:Q94" si="182">((P77/G77)^(1/($H$2-$H$1) ))-1</f>
        <v>-1.3822476051052024E-2</v>
      </c>
      <c r="R77" s="153"/>
      <c r="S77" s="153">
        <f t="shared" ref="S77:AB77" si="183">S35/S24</f>
        <v>0.53663152203298192</v>
      </c>
      <c r="T77" s="153">
        <f t="shared" si="183"/>
        <v>0.53663152203298203</v>
      </c>
      <c r="U77" s="153">
        <f t="shared" si="183"/>
        <v>0.53663152203298203</v>
      </c>
      <c r="V77" s="153">
        <f t="shared" si="183"/>
        <v>0.53663152203298214</v>
      </c>
      <c r="W77" s="153">
        <f t="shared" si="183"/>
        <v>0.53663152203298203</v>
      </c>
      <c r="X77" s="153">
        <f t="shared" si="183"/>
        <v>0.53663152203298214</v>
      </c>
      <c r="Y77" s="153">
        <f t="shared" si="183"/>
        <v>0.53663152203298214</v>
      </c>
      <c r="Z77" s="153">
        <f t="shared" si="183"/>
        <v>0.53663152203298203</v>
      </c>
      <c r="AA77" s="153">
        <f t="shared" si="183"/>
        <v>0.53663152203298214</v>
      </c>
      <c r="AB77" s="153">
        <f t="shared" si="183"/>
        <v>0.53663152203298214</v>
      </c>
      <c r="AC77" s="138">
        <f t="shared" ref="AC77:AC94" si="184">((AB77/G77)^(1/($AB$3-$H$1) ))-1</f>
        <v>-6.5714740699474028E-3</v>
      </c>
      <c r="AD77" s="146"/>
      <c r="AE77" s="146"/>
    </row>
    <row r="78" spans="2:31">
      <c r="B78" s="20" t="s">
        <v>267</v>
      </c>
      <c r="C78" s="153" t="e">
        <f t="shared" ref="C78:P78" si="185">C37/C24</f>
        <v>#DIV/0!</v>
      </c>
      <c r="D78" s="153" t="e">
        <f t="shared" si="185"/>
        <v>#DIV/0!</v>
      </c>
      <c r="E78" s="153" t="e">
        <f t="shared" si="185"/>
        <v>#DIV/0!</v>
      </c>
      <c r="F78" s="153" t="e">
        <f t="shared" si="185"/>
        <v>#DIV/0!</v>
      </c>
      <c r="G78" s="153">
        <f t="shared" si="185"/>
        <v>0.16151202749140894</v>
      </c>
      <c r="H78" s="153">
        <f t="shared" si="185"/>
        <v>0.17114093959731544</v>
      </c>
      <c r="I78" s="153">
        <f t="shared" si="185"/>
        <v>0.16237623762376238</v>
      </c>
      <c r="J78" s="153">
        <f t="shared" si="185"/>
        <v>-4.3424317617866005E-2</v>
      </c>
      <c r="K78" s="153">
        <f t="shared" si="185"/>
        <v>1.9658561821003621E-2</v>
      </c>
      <c r="L78" s="153">
        <f t="shared" si="185"/>
        <v>0.12438387938532908</v>
      </c>
      <c r="M78" s="153">
        <f t="shared" si="185"/>
        <v>5.8935966868429439E-2</v>
      </c>
      <c r="N78" s="153">
        <f t="shared" si="185"/>
        <v>2.6841018582243633E-2</v>
      </c>
      <c r="O78" s="153">
        <f t="shared" si="185"/>
        <v>9.9442379182156135E-2</v>
      </c>
      <c r="P78" s="153">
        <f t="shared" si="185"/>
        <v>5.1635577183022439E-2</v>
      </c>
      <c r="Q78" s="118">
        <f t="shared" si="182"/>
        <v>-0.11900879242527973</v>
      </c>
      <c r="R78" s="153"/>
      <c r="S78" s="153">
        <f t="shared" ref="S78:AB78" si="186">S37/S24</f>
        <v>5.1635577183022439E-2</v>
      </c>
      <c r="T78" s="153">
        <f t="shared" si="186"/>
        <v>5.1635577183022446E-2</v>
      </c>
      <c r="U78" s="153">
        <f t="shared" si="186"/>
        <v>5.1635577183022446E-2</v>
      </c>
      <c r="V78" s="153">
        <f t="shared" si="186"/>
        <v>5.1635577183022446E-2</v>
      </c>
      <c r="W78" s="153">
        <f t="shared" si="186"/>
        <v>5.1635577183022439E-2</v>
      </c>
      <c r="X78" s="153">
        <f t="shared" si="186"/>
        <v>5.1635577183022439E-2</v>
      </c>
      <c r="Y78" s="153">
        <f t="shared" si="186"/>
        <v>5.1635577183022439E-2</v>
      </c>
      <c r="Z78" s="153">
        <f t="shared" si="186"/>
        <v>5.1635577183022439E-2</v>
      </c>
      <c r="AA78" s="153">
        <f t="shared" si="186"/>
        <v>5.1635577183022439E-2</v>
      </c>
      <c r="AB78" s="153">
        <f t="shared" si="186"/>
        <v>5.1635577183022439E-2</v>
      </c>
      <c r="AC78" s="138">
        <f t="shared" si="184"/>
        <v>-5.8253741343989418E-2</v>
      </c>
      <c r="AD78" s="146"/>
      <c r="AE78" s="146"/>
    </row>
    <row r="79" spans="2:31">
      <c r="B79" s="20" t="s">
        <v>311</v>
      </c>
      <c r="C79" s="153" t="e">
        <f t="shared" ref="C79:P79" si="187">C37/C7</f>
        <v>#DIV/0!</v>
      </c>
      <c r="D79" s="153" t="e">
        <f t="shared" si="187"/>
        <v>#DIV/0!</v>
      </c>
      <c r="E79" s="153" t="e">
        <f t="shared" si="187"/>
        <v>#DIV/0!</v>
      </c>
      <c r="F79" s="153" t="e">
        <f t="shared" si="187"/>
        <v>#DIV/0!</v>
      </c>
      <c r="G79" s="153">
        <f t="shared" si="187"/>
        <v>0.2655367231638418</v>
      </c>
      <c r="H79" s="153">
        <f t="shared" si="187"/>
        <v>0.23181818181818181</v>
      </c>
      <c r="I79" s="153">
        <f t="shared" si="187"/>
        <v>0.19069767441860466</v>
      </c>
      <c r="J79" s="153">
        <f t="shared" si="187"/>
        <v>-6.6037735849056603E-2</v>
      </c>
      <c r="K79" s="153">
        <f t="shared" si="187"/>
        <v>4.6855733662145502E-2</v>
      </c>
      <c r="L79" s="153">
        <f t="shared" si="187"/>
        <v>0.2459862385321101</v>
      </c>
      <c r="M79" s="153">
        <f t="shared" si="187"/>
        <v>8.4862385321100922E-2</v>
      </c>
      <c r="N79" s="153">
        <f t="shared" si="187"/>
        <v>3.6568213783403657E-2</v>
      </c>
      <c r="O79" s="153">
        <f t="shared" si="187"/>
        <v>0.11219853198182454</v>
      </c>
      <c r="P79" s="153">
        <f t="shared" si="187"/>
        <v>5.8178495278708497E-2</v>
      </c>
      <c r="Q79" s="118">
        <f t="shared" si="182"/>
        <v>-0.15523182623798593</v>
      </c>
      <c r="R79" s="20"/>
      <c r="S79" s="153">
        <f t="shared" ref="S79:AB79" si="188">S37/S7</f>
        <v>5.8178495278708497E-2</v>
      </c>
      <c r="T79" s="153">
        <f t="shared" si="188"/>
        <v>5.8178495278708504E-2</v>
      </c>
      <c r="U79" s="153">
        <f t="shared" si="188"/>
        <v>5.8178495278708497E-2</v>
      </c>
      <c r="V79" s="153">
        <f t="shared" si="188"/>
        <v>5.8178495278708497E-2</v>
      </c>
      <c r="W79" s="153">
        <f t="shared" si="188"/>
        <v>5.8178495278708491E-2</v>
      </c>
      <c r="X79" s="153">
        <f t="shared" si="188"/>
        <v>5.8178495278708491E-2</v>
      </c>
      <c r="Y79" s="153">
        <f t="shared" si="188"/>
        <v>5.8178495278708491E-2</v>
      </c>
      <c r="Z79" s="153">
        <f t="shared" si="188"/>
        <v>5.8178495278708491E-2</v>
      </c>
      <c r="AA79" s="153">
        <f t="shared" si="188"/>
        <v>5.8178495278708497E-2</v>
      </c>
      <c r="AB79" s="153">
        <f t="shared" si="188"/>
        <v>5.8178495278708497E-2</v>
      </c>
      <c r="AC79" s="138">
        <f t="shared" si="184"/>
        <v>-7.6798011583142367E-2</v>
      </c>
      <c r="AD79" s="146"/>
      <c r="AE79" s="146"/>
    </row>
    <row r="80" spans="2:31">
      <c r="B80" s="20" t="s">
        <v>322</v>
      </c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18" t="e">
        <f t="shared" si="182"/>
        <v>#DIV/0!</v>
      </c>
      <c r="R80" s="20"/>
      <c r="S80" s="153"/>
      <c r="T80" s="153"/>
      <c r="U80" s="153"/>
      <c r="V80" s="153"/>
      <c r="W80" s="153"/>
      <c r="X80" s="153"/>
      <c r="Y80" s="153"/>
      <c r="Z80" s="153"/>
      <c r="AA80" s="153"/>
      <c r="AB80" s="153"/>
      <c r="AC80" s="3"/>
      <c r="AD80" s="146"/>
      <c r="AE80" s="146"/>
    </row>
    <row r="81" spans="2:31">
      <c r="B81" s="20" t="s">
        <v>327</v>
      </c>
      <c r="C81" s="153"/>
      <c r="D81" s="153"/>
      <c r="E81" s="153"/>
      <c r="F81" s="153"/>
      <c r="G81" s="153">
        <f>G28/G24</f>
        <v>0.23367697594501718</v>
      </c>
      <c r="H81" s="153">
        <f t="shared" ref="H81:P81" si="189">H28/H24</f>
        <v>0.14429530201342283</v>
      </c>
      <c r="I81" s="153">
        <f t="shared" si="189"/>
        <v>0.12079207920792079</v>
      </c>
      <c r="J81" s="153">
        <f t="shared" si="189"/>
        <v>0.37468982630272951</v>
      </c>
      <c r="K81" s="153">
        <f t="shared" si="189"/>
        <v>0.37713398861872738</v>
      </c>
      <c r="L81" s="153">
        <f t="shared" si="189"/>
        <v>0.28008118295158019</v>
      </c>
      <c r="M81" s="153">
        <f t="shared" si="189"/>
        <v>0.3258999681427206</v>
      </c>
      <c r="N81" s="153">
        <f t="shared" si="189"/>
        <v>0.33275980729525123</v>
      </c>
      <c r="O81" s="153">
        <f t="shared" si="189"/>
        <v>0.30638166047087978</v>
      </c>
      <c r="P81" s="153">
        <f t="shared" si="189"/>
        <v>0.32116788321167883</v>
      </c>
      <c r="Q81" s="118">
        <f t="shared" si="182"/>
        <v>3.5967766575865978E-2</v>
      </c>
      <c r="R81" s="20"/>
      <c r="S81" s="153">
        <f t="shared" ref="S81:AB81" si="190">S28/S24</f>
        <v>0.32116788321167883</v>
      </c>
      <c r="T81" s="153">
        <f t="shared" si="190"/>
        <v>0.32116788321167883</v>
      </c>
      <c r="U81" s="153">
        <f t="shared" si="190"/>
        <v>0.32116788321167883</v>
      </c>
      <c r="V81" s="153">
        <f t="shared" si="190"/>
        <v>0.32116788321167888</v>
      </c>
      <c r="W81" s="153">
        <f t="shared" si="190"/>
        <v>0.32116788321167883</v>
      </c>
      <c r="X81" s="153">
        <f t="shared" si="190"/>
        <v>0.32116788321167883</v>
      </c>
      <c r="Y81" s="153">
        <f t="shared" si="190"/>
        <v>0.32116788321167883</v>
      </c>
      <c r="Z81" s="153">
        <f t="shared" si="190"/>
        <v>0.32116788321167883</v>
      </c>
      <c r="AA81" s="153">
        <f t="shared" si="190"/>
        <v>0.32116788321167883</v>
      </c>
      <c r="AB81" s="153">
        <f t="shared" si="190"/>
        <v>0.32116788321167883</v>
      </c>
      <c r="AC81" s="138">
        <f t="shared" si="184"/>
        <v>1.6878986653053429E-2</v>
      </c>
      <c r="AD81" s="146"/>
      <c r="AE81" s="146"/>
    </row>
    <row r="82" spans="2:31">
      <c r="B82" s="20" t="s">
        <v>329</v>
      </c>
      <c r="C82" s="153"/>
      <c r="D82" s="153"/>
      <c r="E82" s="153"/>
      <c r="F82" s="153"/>
      <c r="G82" s="172">
        <f>G28/G12</f>
        <v>1.6190476190476191</v>
      </c>
      <c r="H82" s="172">
        <f t="shared" ref="H82:P82" si="191">H28/H12</f>
        <v>0.43877551020408162</v>
      </c>
      <c r="I82" s="172">
        <f t="shared" si="191"/>
        <v>6.1</v>
      </c>
      <c r="J82" s="172">
        <f t="shared" si="191"/>
        <v>0.2277526395173454</v>
      </c>
      <c r="K82" s="172">
        <f t="shared" si="191"/>
        <v>0.76736842105263159</v>
      </c>
      <c r="L82" s="172">
        <f t="shared" si="191"/>
        <v>1.6235294117647059</v>
      </c>
      <c r="M82" s="172">
        <f t="shared" si="191"/>
        <v>4.3531914893617021</v>
      </c>
      <c r="N82" s="172">
        <f t="shared" si="191"/>
        <v>1.6252100840336134</v>
      </c>
      <c r="O82" s="172">
        <f t="shared" si="191"/>
        <v>11.773809523809524</v>
      </c>
      <c r="P82" s="172">
        <f t="shared" si="191"/>
        <v>8.6086956521739122</v>
      </c>
      <c r="Q82" s="118">
        <f t="shared" si="182"/>
        <v>0.2040121211160304</v>
      </c>
      <c r="R82" s="20"/>
      <c r="S82" s="153">
        <f t="shared" ref="S82:AB82" si="192">S28/S12</f>
        <v>8.6086956521739122</v>
      </c>
      <c r="T82" s="153">
        <f t="shared" si="192"/>
        <v>8.6086956521739122</v>
      </c>
      <c r="U82" s="153">
        <f t="shared" si="192"/>
        <v>8.6086956521739122</v>
      </c>
      <c r="V82" s="153">
        <f t="shared" si="192"/>
        <v>8.6086956521739122</v>
      </c>
      <c r="W82" s="153">
        <f t="shared" si="192"/>
        <v>8.6086956521739122</v>
      </c>
      <c r="X82" s="153">
        <f t="shared" si="192"/>
        <v>8.6086956521739122</v>
      </c>
      <c r="Y82" s="153">
        <f t="shared" si="192"/>
        <v>8.6086956521739122</v>
      </c>
      <c r="Z82" s="153">
        <f t="shared" si="192"/>
        <v>8.6086956521739122</v>
      </c>
      <c r="AA82" s="153">
        <f t="shared" si="192"/>
        <v>8.6086956521739104</v>
      </c>
      <c r="AB82" s="153">
        <f t="shared" si="192"/>
        <v>8.6086956521739104</v>
      </c>
      <c r="AC82" s="138">
        <f t="shared" si="184"/>
        <v>9.1926899296615572E-2</v>
      </c>
      <c r="AD82" s="146"/>
      <c r="AE82" s="146"/>
    </row>
    <row r="83" spans="2:31">
      <c r="B83" s="20" t="s">
        <v>330</v>
      </c>
      <c r="C83" s="153"/>
      <c r="D83" s="153"/>
      <c r="E83" s="153"/>
      <c r="F83" s="164">
        <f>F12+F13-F10</f>
        <v>0</v>
      </c>
      <c r="G83" s="164">
        <f>G12+G13-G10</f>
        <v>-123</v>
      </c>
      <c r="H83" s="164">
        <f t="shared" ref="H83:P83" si="193">H12+H13-H10</f>
        <v>-596</v>
      </c>
      <c r="I83" s="164">
        <f t="shared" si="193"/>
        <v>-1080</v>
      </c>
      <c r="J83" s="164">
        <f t="shared" si="193"/>
        <v>-9058</v>
      </c>
      <c r="K83" s="164">
        <f t="shared" si="193"/>
        <v>-11454</v>
      </c>
      <c r="L83" s="164">
        <f t="shared" si="193"/>
        <v>-15465</v>
      </c>
      <c r="M83" s="164">
        <f t="shared" si="193"/>
        <v>-13434</v>
      </c>
      <c r="N83" s="164">
        <f t="shared" si="193"/>
        <v>-12437</v>
      </c>
      <c r="O83" s="164">
        <f t="shared" si="193"/>
        <v>-11613.59</v>
      </c>
      <c r="P83" s="164">
        <f t="shared" si="193"/>
        <v>-11720.78</v>
      </c>
      <c r="Q83" s="118">
        <f t="shared" si="182"/>
        <v>0.65918418826933012</v>
      </c>
      <c r="R83" s="20"/>
      <c r="S83" s="164">
        <f t="shared" ref="S83:AB83" si="194">S12+S13-S10</f>
        <v>-13478.896999999999</v>
      </c>
      <c r="T83" s="164">
        <f t="shared" si="194"/>
        <v>-15500.731549999997</v>
      </c>
      <c r="U83" s="164">
        <f t="shared" si="194"/>
        <v>-17825.841282499994</v>
      </c>
      <c r="V83" s="164">
        <f t="shared" si="194"/>
        <v>-20499.717474874993</v>
      </c>
      <c r="W83" s="164">
        <f t="shared" si="194"/>
        <v>-23574.675096106239</v>
      </c>
      <c r="X83" s="164">
        <f t="shared" si="194"/>
        <v>-27110.876360522172</v>
      </c>
      <c r="Y83" s="164">
        <f t="shared" si="194"/>
        <v>-31177.507814600496</v>
      </c>
      <c r="Z83" s="164">
        <f t="shared" si="194"/>
        <v>-35854.13398679057</v>
      </c>
      <c r="AA83" s="164">
        <f t="shared" si="194"/>
        <v>-41232.254084809152</v>
      </c>
      <c r="AB83" s="164">
        <f t="shared" si="194"/>
        <v>-47417.092197530525</v>
      </c>
      <c r="AC83" s="138">
        <f t="shared" si="184"/>
        <v>0.3680653140111998</v>
      </c>
      <c r="AD83" s="146"/>
      <c r="AE83" s="146"/>
    </row>
    <row r="84" spans="2:31" ht="12" customHeight="1">
      <c r="B84" s="20" t="s">
        <v>325</v>
      </c>
      <c r="C84" s="20"/>
      <c r="D84" s="20"/>
      <c r="E84" s="20"/>
      <c r="F84" s="20"/>
      <c r="G84" s="153">
        <f t="shared" ref="G84:P84" si="195">G37/G17</f>
        <v>0.16262975778546712</v>
      </c>
      <c r="H84" s="153">
        <f t="shared" si="195"/>
        <v>6.3354037267080748E-2</v>
      </c>
      <c r="I84" s="153">
        <f t="shared" si="195"/>
        <v>0.11468531468531469</v>
      </c>
      <c r="J84" s="153">
        <f t="shared" si="195"/>
        <v>-4.6542553191489359E-3</v>
      </c>
      <c r="K84" s="153">
        <f t="shared" si="195"/>
        <v>4.5498084291187742E-3</v>
      </c>
      <c r="L84" s="153">
        <f t="shared" si="195"/>
        <v>3.3359253499222398E-2</v>
      </c>
      <c r="M84" s="153">
        <f t="shared" si="195"/>
        <v>1.2051332160771285E-2</v>
      </c>
      <c r="N84" s="153">
        <f t="shared" si="195"/>
        <v>5.6094929881337647E-3</v>
      </c>
      <c r="O84" s="153">
        <f t="shared" si="195"/>
        <v>2.0449767471491367E-2</v>
      </c>
      <c r="P84" s="153">
        <f t="shared" si="195"/>
        <v>1.1639953683953928E-2</v>
      </c>
      <c r="Q84" s="118">
        <f t="shared" si="182"/>
        <v>-0.2539805722758407</v>
      </c>
      <c r="R84" s="20"/>
      <c r="S84" s="153">
        <f t="shared" ref="S84:AB84" si="196">S37/S17</f>
        <v>1.1639953683953928E-2</v>
      </c>
      <c r="T84" s="153">
        <f t="shared" si="196"/>
        <v>1.1639953683953928E-2</v>
      </c>
      <c r="U84" s="153">
        <f t="shared" si="196"/>
        <v>1.1639953683953928E-2</v>
      </c>
      <c r="V84" s="153">
        <f t="shared" si="196"/>
        <v>1.1639953683953926E-2</v>
      </c>
      <c r="W84" s="153">
        <f t="shared" si="196"/>
        <v>1.1639953683953925E-2</v>
      </c>
      <c r="X84" s="153">
        <f t="shared" si="196"/>
        <v>1.1639953683953923E-2</v>
      </c>
      <c r="Y84" s="153">
        <f t="shared" si="196"/>
        <v>1.1639953683953923E-2</v>
      </c>
      <c r="Z84" s="153">
        <f t="shared" si="196"/>
        <v>1.1639953683953923E-2</v>
      </c>
      <c r="AA84" s="153">
        <f t="shared" si="196"/>
        <v>1.1639953683953923E-2</v>
      </c>
      <c r="AB84" s="153">
        <f t="shared" si="196"/>
        <v>1.1639953683953923E-2</v>
      </c>
      <c r="AC84" s="138">
        <f t="shared" si="184"/>
        <v>-0.12959024572058608</v>
      </c>
      <c r="AD84" s="20"/>
      <c r="AE84" s="20"/>
    </row>
    <row r="85" spans="2:31">
      <c r="B85" s="20" t="s">
        <v>326</v>
      </c>
      <c r="C85" s="20"/>
      <c r="D85" s="20"/>
      <c r="E85" s="20"/>
      <c r="F85" s="20"/>
      <c r="G85" s="153">
        <f t="shared" ref="G85:P85" si="197">G37/G24</f>
        <v>0.16151202749140894</v>
      </c>
      <c r="H85" s="153">
        <f t="shared" si="197"/>
        <v>0.17114093959731544</v>
      </c>
      <c r="I85" s="153">
        <f t="shared" si="197"/>
        <v>0.16237623762376238</v>
      </c>
      <c r="J85" s="153">
        <f t="shared" si="197"/>
        <v>-4.3424317617866005E-2</v>
      </c>
      <c r="K85" s="153">
        <f t="shared" si="197"/>
        <v>1.9658561821003621E-2</v>
      </c>
      <c r="L85" s="153">
        <f t="shared" si="197"/>
        <v>0.12438387938532908</v>
      </c>
      <c r="M85" s="153">
        <f t="shared" si="197"/>
        <v>5.8935966868429439E-2</v>
      </c>
      <c r="N85" s="153">
        <f t="shared" si="197"/>
        <v>2.6841018582243633E-2</v>
      </c>
      <c r="O85" s="153">
        <f t="shared" si="197"/>
        <v>9.9442379182156135E-2</v>
      </c>
      <c r="P85" s="153">
        <f t="shared" si="197"/>
        <v>5.1635577183022439E-2</v>
      </c>
      <c r="Q85" s="118">
        <f t="shared" si="182"/>
        <v>-0.11900879242527973</v>
      </c>
      <c r="R85" s="20"/>
      <c r="S85" s="153">
        <f t="shared" ref="S85:AB85" si="198">S37/S24</f>
        <v>5.1635577183022439E-2</v>
      </c>
      <c r="T85" s="153">
        <f t="shared" si="198"/>
        <v>5.1635577183022446E-2</v>
      </c>
      <c r="U85" s="153">
        <f t="shared" si="198"/>
        <v>5.1635577183022446E-2</v>
      </c>
      <c r="V85" s="153">
        <f t="shared" si="198"/>
        <v>5.1635577183022446E-2</v>
      </c>
      <c r="W85" s="153">
        <f t="shared" si="198"/>
        <v>5.1635577183022439E-2</v>
      </c>
      <c r="X85" s="153">
        <f t="shared" si="198"/>
        <v>5.1635577183022439E-2</v>
      </c>
      <c r="Y85" s="153">
        <f t="shared" si="198"/>
        <v>5.1635577183022439E-2</v>
      </c>
      <c r="Z85" s="153">
        <f t="shared" si="198"/>
        <v>5.1635577183022439E-2</v>
      </c>
      <c r="AA85" s="153">
        <f t="shared" si="198"/>
        <v>5.1635577183022439E-2</v>
      </c>
      <c r="AB85" s="153">
        <f t="shared" si="198"/>
        <v>5.1635577183022439E-2</v>
      </c>
      <c r="AC85" s="138">
        <f t="shared" si="184"/>
        <v>-5.8253741343989418E-2</v>
      </c>
      <c r="AD85" s="20"/>
      <c r="AE85" s="20"/>
    </row>
    <row r="86" spans="2:31">
      <c r="B86" s="20" t="s">
        <v>352</v>
      </c>
      <c r="C86" s="20"/>
      <c r="D86" s="20"/>
      <c r="E86" s="153"/>
      <c r="F86" s="153"/>
      <c r="G86" s="153">
        <f t="shared" ref="G86:O86" si="199">G24/G17</f>
        <v>1.0069204152249136</v>
      </c>
      <c r="H86" s="153">
        <f t="shared" si="199"/>
        <v>0.3701863354037267</v>
      </c>
      <c r="I86" s="153">
        <f t="shared" si="199"/>
        <v>0.70629370629370625</v>
      </c>
      <c r="J86" s="153">
        <f t="shared" si="199"/>
        <v>0.10718085106382978</v>
      </c>
      <c r="K86" s="153">
        <f t="shared" si="199"/>
        <v>0.23144157088122605</v>
      </c>
      <c r="L86" s="153">
        <f t="shared" si="199"/>
        <v>0.26819595645412131</v>
      </c>
      <c r="M86" s="153">
        <f t="shared" si="199"/>
        <v>0.20448179271708683</v>
      </c>
      <c r="N86" s="153">
        <f t="shared" si="199"/>
        <v>0.2089895720963682</v>
      </c>
      <c r="O86" s="153">
        <f t="shared" si="199"/>
        <v>0.2056443906478945</v>
      </c>
      <c r="P86" s="153">
        <f>P24/P17</f>
        <v>0.22542507160704492</v>
      </c>
      <c r="Q86" s="118">
        <f t="shared" si="182"/>
        <v>-0.1532044573090855</v>
      </c>
      <c r="R86" s="20"/>
      <c r="S86" s="153">
        <f>S24/S17</f>
        <v>0.22542507160704489</v>
      </c>
      <c r="T86" s="153">
        <f t="shared" ref="T86:AB86" si="200">T24/T17</f>
        <v>0.22542507160704489</v>
      </c>
      <c r="U86" s="153">
        <f t="shared" si="200"/>
        <v>0.22542507160704489</v>
      </c>
      <c r="V86" s="153">
        <f t="shared" si="200"/>
        <v>0.22542507160704486</v>
      </c>
      <c r="W86" s="153">
        <f t="shared" si="200"/>
        <v>0.22542507160704486</v>
      </c>
      <c r="X86" s="153">
        <f t="shared" si="200"/>
        <v>0.22542507160704484</v>
      </c>
      <c r="Y86" s="153">
        <f t="shared" si="200"/>
        <v>0.22542507160704481</v>
      </c>
      <c r="Z86" s="153">
        <f t="shared" si="200"/>
        <v>0.22542507160704481</v>
      </c>
      <c r="AA86" s="153">
        <f t="shared" si="200"/>
        <v>0.22542507160704481</v>
      </c>
      <c r="AB86" s="153">
        <f t="shared" si="200"/>
        <v>0.22542507160704481</v>
      </c>
      <c r="AC86" s="138">
        <f t="shared" si="184"/>
        <v>-7.5749177361641773E-2</v>
      </c>
      <c r="AD86" s="20"/>
      <c r="AE86" s="20"/>
    </row>
    <row r="87" spans="2:31">
      <c r="B87" s="20"/>
      <c r="C87" s="20"/>
      <c r="D87" s="20"/>
      <c r="E87" s="20"/>
      <c r="F87" s="20"/>
      <c r="G87" s="153"/>
      <c r="H87" s="153"/>
      <c r="I87" s="153"/>
      <c r="J87" s="153"/>
      <c r="K87" s="153"/>
      <c r="L87" s="153"/>
      <c r="M87" s="153"/>
      <c r="N87" s="153"/>
      <c r="O87" s="153"/>
      <c r="P87" s="153"/>
      <c r="Q87" s="128"/>
      <c r="R87" s="20"/>
      <c r="S87" s="153"/>
      <c r="T87" s="153"/>
      <c r="U87" s="153"/>
      <c r="V87" s="153"/>
      <c r="W87" s="153"/>
      <c r="X87" s="153"/>
      <c r="Y87" s="153"/>
      <c r="Z87" s="153"/>
      <c r="AA87" s="153"/>
      <c r="AB87" s="153"/>
      <c r="AC87" s="128"/>
      <c r="AD87" s="20"/>
      <c r="AE87" s="20"/>
    </row>
    <row r="88" spans="2:31">
      <c r="B88" s="20" t="s">
        <v>338</v>
      </c>
      <c r="C88" s="20"/>
      <c r="D88" s="20"/>
      <c r="E88" s="166">
        <f t="shared" ref="E88:F88" si="201">E61*E39</f>
        <v>1</v>
      </c>
      <c r="F88" s="166">
        <f t="shared" si="201"/>
        <v>3.65</v>
      </c>
      <c r="G88" s="166">
        <f>G61*G39</f>
        <v>5.4749999999999996</v>
      </c>
      <c r="H88" s="166">
        <f t="shared" ref="H88:P88" si="202">H61*H39</f>
        <v>7.3</v>
      </c>
      <c r="I88" s="166">
        <f t="shared" si="202"/>
        <v>9.5680000000000014</v>
      </c>
      <c r="J88" s="166">
        <f t="shared" si="202"/>
        <v>11.07</v>
      </c>
      <c r="K88" s="166">
        <f t="shared" si="202"/>
        <v>13.572000000000001</v>
      </c>
      <c r="L88" s="166">
        <f t="shared" si="202"/>
        <v>13.607999999999999</v>
      </c>
      <c r="M88" s="166">
        <f t="shared" si="202"/>
        <v>15.659999999999998</v>
      </c>
      <c r="N88" s="166">
        <f t="shared" si="202"/>
        <v>15.659999999999998</v>
      </c>
      <c r="O88" s="166">
        <f t="shared" si="202"/>
        <v>15.659999999999998</v>
      </c>
      <c r="P88" s="166">
        <f t="shared" si="202"/>
        <v>15.659999999999998</v>
      </c>
      <c r="Q88" s="118">
        <f t="shared" si="182"/>
        <v>0.12385934040384039</v>
      </c>
      <c r="R88" s="20"/>
      <c r="S88" s="166">
        <f t="shared" ref="S88:AB88" si="203">S61*S39</f>
        <v>18.90945</v>
      </c>
      <c r="T88" s="166">
        <f t="shared" si="203"/>
        <v>22.833160874999997</v>
      </c>
      <c r="U88" s="166">
        <f t="shared" si="203"/>
        <v>27.571041756562494</v>
      </c>
      <c r="V88" s="166">
        <f t="shared" si="203"/>
        <v>33.292032921049213</v>
      </c>
      <c r="W88" s="166">
        <f t="shared" si="203"/>
        <v>40.200129752166916</v>
      </c>
      <c r="X88" s="166">
        <f t="shared" si="203"/>
        <v>48.541656675741557</v>
      </c>
      <c r="Y88" s="166">
        <f t="shared" si="203"/>
        <v>58.614050435957921</v>
      </c>
      <c r="Z88" s="166">
        <f t="shared" si="203"/>
        <v>70.776465901419186</v>
      </c>
      <c r="AA88" s="166">
        <f t="shared" si="203"/>
        <v>85.462582575963651</v>
      </c>
      <c r="AB88" s="166">
        <f t="shared" si="203"/>
        <v>103.19606846047611</v>
      </c>
      <c r="AC88" s="138">
        <f t="shared" si="184"/>
        <v>0.16713192559833212</v>
      </c>
      <c r="AD88" s="20"/>
      <c r="AE88" s="20"/>
    </row>
    <row r="89" spans="2:31">
      <c r="B89" s="20" t="s">
        <v>339</v>
      </c>
      <c r="C89" s="20"/>
      <c r="D89" s="20"/>
      <c r="E89" s="166">
        <f>(E88*0.17)+E88</f>
        <v>1.17</v>
      </c>
      <c r="F89" s="166">
        <f>(F88*0.17)+F88</f>
        <v>4.2705000000000002</v>
      </c>
      <c r="G89" s="166">
        <f t="shared" ref="G89:P89" si="204">(G88*0.17)+G88</f>
        <v>6.4057499999999994</v>
      </c>
      <c r="H89" s="166">
        <f t="shared" si="204"/>
        <v>8.5410000000000004</v>
      </c>
      <c r="I89" s="166">
        <f t="shared" si="204"/>
        <v>11.194560000000003</v>
      </c>
      <c r="J89" s="166">
        <f t="shared" si="204"/>
        <v>12.9519</v>
      </c>
      <c r="K89" s="166">
        <f t="shared" si="204"/>
        <v>15.879240000000001</v>
      </c>
      <c r="L89" s="166">
        <f t="shared" si="204"/>
        <v>15.921359999999998</v>
      </c>
      <c r="M89" s="166">
        <f t="shared" si="204"/>
        <v>18.322199999999999</v>
      </c>
      <c r="N89" s="166">
        <f t="shared" si="204"/>
        <v>18.322199999999999</v>
      </c>
      <c r="O89" s="166">
        <f t="shared" si="204"/>
        <v>18.322199999999999</v>
      </c>
      <c r="P89" s="166">
        <f t="shared" si="204"/>
        <v>18.322199999999999</v>
      </c>
      <c r="Q89" s="118">
        <f t="shared" si="182"/>
        <v>0.12385934040384039</v>
      </c>
      <c r="R89" s="20"/>
      <c r="S89" s="166">
        <f t="shared" ref="S89:AB89" si="205">(S88*0.17)+S88</f>
        <v>22.124056500000002</v>
      </c>
      <c r="T89" s="166">
        <f t="shared" si="205"/>
        <v>26.714798223749998</v>
      </c>
      <c r="U89" s="166">
        <f t="shared" si="205"/>
        <v>32.258118855178118</v>
      </c>
      <c r="V89" s="166">
        <f t="shared" si="205"/>
        <v>38.951678517627577</v>
      </c>
      <c r="W89" s="166">
        <f t="shared" si="205"/>
        <v>47.03415181003529</v>
      </c>
      <c r="X89" s="166">
        <f t="shared" si="205"/>
        <v>56.79373831061762</v>
      </c>
      <c r="Y89" s="166">
        <f t="shared" si="205"/>
        <v>68.578439010070767</v>
      </c>
      <c r="Z89" s="166">
        <f t="shared" si="205"/>
        <v>82.808465104660456</v>
      </c>
      <c r="AA89" s="166">
        <f t="shared" si="205"/>
        <v>99.991221613877471</v>
      </c>
      <c r="AB89" s="166">
        <f t="shared" si="205"/>
        <v>120.73940009875705</v>
      </c>
      <c r="AC89" s="138">
        <f t="shared" si="184"/>
        <v>0.16713192559833212</v>
      </c>
      <c r="AD89" s="20"/>
      <c r="AE89" s="20"/>
    </row>
    <row r="90" spans="2:31">
      <c r="B90" s="20" t="s">
        <v>340</v>
      </c>
      <c r="C90" s="20"/>
      <c r="D90" s="20"/>
      <c r="E90" s="20"/>
      <c r="F90" s="153" t="e">
        <f t="shared" ref="F90:M90" si="206">F89/F37</f>
        <v>#DIV/0!</v>
      </c>
      <c r="G90" s="153">
        <f t="shared" si="206"/>
        <v>0.13629255319148934</v>
      </c>
      <c r="H90" s="153">
        <f t="shared" si="206"/>
        <v>0.16747058823529412</v>
      </c>
      <c r="I90" s="153">
        <f t="shared" si="206"/>
        <v>0.13651902439024394</v>
      </c>
      <c r="J90" s="153">
        <f t="shared" si="206"/>
        <v>-0.37005428571428572</v>
      </c>
      <c r="K90" s="153">
        <f t="shared" si="206"/>
        <v>0.4178747368421053</v>
      </c>
      <c r="L90" s="153">
        <f t="shared" si="206"/>
        <v>3.7112727272727269E-2</v>
      </c>
      <c r="M90" s="153">
        <f t="shared" si="206"/>
        <v>9.9038918918918917E-2</v>
      </c>
      <c r="N90" s="153">
        <f t="shared" ref="N90" si="207">N89/N37</f>
        <v>0.23489999999999997</v>
      </c>
      <c r="O90" s="153">
        <f t="shared" ref="O90" si="208">O89/O37</f>
        <v>5.7078504672897191E-2</v>
      </c>
      <c r="P90" s="153">
        <f t="shared" ref="P90" si="209">P89/P37</f>
        <v>9.5927748691099476E-2</v>
      </c>
      <c r="Q90" s="118">
        <f t="shared" si="182"/>
        <v>-3.827156169413759E-2</v>
      </c>
      <c r="R90" s="20"/>
      <c r="S90" s="153">
        <f t="shared" ref="S90:AB90" si="210">S89/S37</f>
        <v>0.10072413612565446</v>
      </c>
      <c r="T90" s="153">
        <f t="shared" si="210"/>
        <v>0.10576034293193717</v>
      </c>
      <c r="U90" s="153">
        <f t="shared" si="210"/>
        <v>0.11104836007853404</v>
      </c>
      <c r="V90" s="153">
        <f t="shared" si="210"/>
        <v>0.11660077808246075</v>
      </c>
      <c r="W90" s="153">
        <f t="shared" si="210"/>
        <v>0.12243081698658377</v>
      </c>
      <c r="X90" s="153">
        <f t="shared" si="210"/>
        <v>0.12855235783591301</v>
      </c>
      <c r="Y90" s="153">
        <f t="shared" si="210"/>
        <v>0.13497997572770865</v>
      </c>
      <c r="Z90" s="153">
        <f t="shared" si="210"/>
        <v>0.14172897451409408</v>
      </c>
      <c r="AA90" s="153">
        <f t="shared" si="210"/>
        <v>0.14881542323979877</v>
      </c>
      <c r="AB90" s="153">
        <f t="shared" si="210"/>
        <v>0.1562561944017887</v>
      </c>
      <c r="AC90" s="138">
        <f t="shared" si="184"/>
        <v>7.2203222676856527E-3</v>
      </c>
      <c r="AD90" s="20"/>
      <c r="AE90" s="20"/>
    </row>
    <row r="91" spans="2:31">
      <c r="B91" s="20" t="s">
        <v>333</v>
      </c>
      <c r="C91" s="20"/>
      <c r="D91" s="20"/>
      <c r="E91" s="20"/>
      <c r="F91" s="153" t="e">
        <f>1-F90</f>
        <v>#DIV/0!</v>
      </c>
      <c r="G91" s="153">
        <f>1-G90</f>
        <v>0.86370744680851064</v>
      </c>
      <c r="H91" s="153">
        <f t="shared" ref="H91:P91" si="211">1-H90</f>
        <v>0.83252941176470585</v>
      </c>
      <c r="I91" s="153">
        <f t="shared" si="211"/>
        <v>0.86348097560975612</v>
      </c>
      <c r="J91" s="153">
        <f t="shared" si="211"/>
        <v>1.3700542857142857</v>
      </c>
      <c r="K91" s="153">
        <f t="shared" si="211"/>
        <v>0.5821252631578947</v>
      </c>
      <c r="L91" s="153">
        <f t="shared" si="211"/>
        <v>0.9628872727272727</v>
      </c>
      <c r="M91" s="153">
        <f t="shared" si="211"/>
        <v>0.90096108108108108</v>
      </c>
      <c r="N91" s="153">
        <f t="shared" si="211"/>
        <v>0.7651</v>
      </c>
      <c r="O91" s="153">
        <f t="shared" si="211"/>
        <v>0.94292149532710279</v>
      </c>
      <c r="P91" s="153">
        <f t="shared" si="211"/>
        <v>0.90407225130890057</v>
      </c>
      <c r="Q91" s="118">
        <f t="shared" si="182"/>
        <v>5.0879189427610605E-3</v>
      </c>
      <c r="R91" s="20"/>
      <c r="S91" s="153">
        <f t="shared" ref="S91:AB91" si="212">1-S90</f>
        <v>0.89927586387434555</v>
      </c>
      <c r="T91" s="153">
        <f t="shared" si="212"/>
        <v>0.89423965706806285</v>
      </c>
      <c r="U91" s="153">
        <f t="shared" si="212"/>
        <v>0.88895163992146597</v>
      </c>
      <c r="V91" s="153">
        <f t="shared" si="212"/>
        <v>0.88339922191753928</v>
      </c>
      <c r="W91" s="153">
        <f t="shared" si="212"/>
        <v>0.87756918301341624</v>
      </c>
      <c r="X91" s="153">
        <f t="shared" si="212"/>
        <v>0.87144764216408699</v>
      </c>
      <c r="Y91" s="153">
        <f t="shared" si="212"/>
        <v>0.86502002427229141</v>
      </c>
      <c r="Z91" s="153">
        <f t="shared" si="212"/>
        <v>0.85827102548590595</v>
      </c>
      <c r="AA91" s="153">
        <f t="shared" si="212"/>
        <v>0.85118457676020121</v>
      </c>
      <c r="AB91" s="153">
        <f t="shared" si="212"/>
        <v>0.84374380559821127</v>
      </c>
      <c r="AC91" s="138">
        <f t="shared" si="184"/>
        <v>-1.2300432751899404E-3</v>
      </c>
      <c r="AD91" s="20"/>
      <c r="AE91" s="20"/>
    </row>
    <row r="92" spans="2:31">
      <c r="B92" s="20"/>
      <c r="C92" s="20"/>
      <c r="D92" s="20"/>
      <c r="E92" s="20"/>
      <c r="F92" s="20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28"/>
      <c r="R92" s="20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  <c r="AC92" s="128"/>
      <c r="AD92" s="20"/>
      <c r="AE92" s="20"/>
    </row>
    <row r="93" spans="2:31">
      <c r="B93" s="20" t="s">
        <v>337</v>
      </c>
      <c r="C93" s="153"/>
      <c r="D93" s="153"/>
      <c r="E93" s="153"/>
      <c r="F93" s="153" t="e">
        <f>F30/F24</f>
        <v>#DIV/0!</v>
      </c>
      <c r="G93" s="153">
        <f>G30/G24</f>
        <v>0</v>
      </c>
      <c r="H93" s="153">
        <f t="shared" ref="H93:P93" si="213">H30/H24</f>
        <v>0</v>
      </c>
      <c r="I93" s="153">
        <f t="shared" si="213"/>
        <v>0</v>
      </c>
      <c r="J93" s="153">
        <f t="shared" si="213"/>
        <v>0</v>
      </c>
      <c r="K93" s="153">
        <f t="shared" si="213"/>
        <v>0</v>
      </c>
      <c r="L93" s="153">
        <f t="shared" si="213"/>
        <v>0</v>
      </c>
      <c r="M93" s="153">
        <f t="shared" si="213"/>
        <v>0</v>
      </c>
      <c r="N93" s="153">
        <f t="shared" si="213"/>
        <v>0</v>
      </c>
      <c r="O93" s="153">
        <f t="shared" si="213"/>
        <v>0</v>
      </c>
      <c r="P93" s="153">
        <f t="shared" si="213"/>
        <v>0</v>
      </c>
      <c r="Q93" s="118" t="e">
        <f t="shared" si="182"/>
        <v>#DIV/0!</v>
      </c>
      <c r="R93" s="20"/>
      <c r="S93" s="153">
        <f t="shared" ref="S93:AB93" si="214">S30/S24</f>
        <v>0</v>
      </c>
      <c r="T93" s="153">
        <f t="shared" si="214"/>
        <v>0</v>
      </c>
      <c r="U93" s="153">
        <f t="shared" si="214"/>
        <v>0</v>
      </c>
      <c r="V93" s="153">
        <f t="shared" si="214"/>
        <v>0</v>
      </c>
      <c r="W93" s="153">
        <f t="shared" si="214"/>
        <v>0</v>
      </c>
      <c r="X93" s="153">
        <f t="shared" si="214"/>
        <v>0</v>
      </c>
      <c r="Y93" s="153">
        <f t="shared" si="214"/>
        <v>0</v>
      </c>
      <c r="Z93" s="153">
        <f t="shared" si="214"/>
        <v>0</v>
      </c>
      <c r="AA93" s="153">
        <f t="shared" si="214"/>
        <v>0</v>
      </c>
      <c r="AB93" s="153">
        <f t="shared" si="214"/>
        <v>0</v>
      </c>
      <c r="AC93" s="138" t="e">
        <f t="shared" si="184"/>
        <v>#DIV/0!</v>
      </c>
      <c r="AD93" s="20"/>
      <c r="AE93" s="20"/>
    </row>
    <row r="94" spans="2:31">
      <c r="B94" s="20" t="s">
        <v>334</v>
      </c>
      <c r="C94" s="153"/>
      <c r="D94" s="153"/>
      <c r="E94" s="153"/>
      <c r="F94" s="153" t="e">
        <f>F31/F24</f>
        <v>#DIV/0!</v>
      </c>
      <c r="G94" s="153">
        <f>G31/G24</f>
        <v>0</v>
      </c>
      <c r="H94" s="153">
        <f t="shared" ref="H94:P94" si="215">H31/H24</f>
        <v>0</v>
      </c>
      <c r="I94" s="153">
        <f t="shared" si="215"/>
        <v>0</v>
      </c>
      <c r="J94" s="153">
        <f t="shared" si="215"/>
        <v>0</v>
      </c>
      <c r="K94" s="153">
        <f t="shared" si="215"/>
        <v>0</v>
      </c>
      <c r="L94" s="153">
        <f t="shared" si="215"/>
        <v>0</v>
      </c>
      <c r="M94" s="153">
        <f t="shared" si="215"/>
        <v>0</v>
      </c>
      <c r="N94" s="153">
        <f t="shared" si="215"/>
        <v>0</v>
      </c>
      <c r="O94" s="153">
        <f t="shared" si="215"/>
        <v>0</v>
      </c>
      <c r="P94" s="153">
        <f t="shared" si="215"/>
        <v>0</v>
      </c>
      <c r="Q94" s="118" t="e">
        <f t="shared" si="182"/>
        <v>#DIV/0!</v>
      </c>
      <c r="R94" s="20"/>
      <c r="S94" s="153">
        <f t="shared" ref="S94:AB94" si="216">S31/S24</f>
        <v>0</v>
      </c>
      <c r="T94" s="153">
        <f t="shared" si="216"/>
        <v>0</v>
      </c>
      <c r="U94" s="153">
        <f t="shared" si="216"/>
        <v>0</v>
      </c>
      <c r="V94" s="153">
        <f t="shared" si="216"/>
        <v>0</v>
      </c>
      <c r="W94" s="153">
        <f t="shared" si="216"/>
        <v>0</v>
      </c>
      <c r="X94" s="153">
        <f t="shared" si="216"/>
        <v>0</v>
      </c>
      <c r="Y94" s="153">
        <f t="shared" si="216"/>
        <v>0</v>
      </c>
      <c r="Z94" s="153">
        <f t="shared" si="216"/>
        <v>0</v>
      </c>
      <c r="AA94" s="153">
        <f t="shared" si="216"/>
        <v>0</v>
      </c>
      <c r="AB94" s="153">
        <f t="shared" si="216"/>
        <v>0</v>
      </c>
      <c r="AC94" s="138" t="e">
        <f t="shared" si="184"/>
        <v>#DIV/0!</v>
      </c>
      <c r="AD94" s="20"/>
      <c r="AE94" s="20"/>
    </row>
    <row r="95" spans="2:31">
      <c r="B95" s="20"/>
      <c r="C95" s="20"/>
      <c r="D95" s="20"/>
      <c r="E95" s="20"/>
      <c r="F95" s="20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28"/>
      <c r="R95" s="20"/>
      <c r="S95" s="153"/>
      <c r="T95" s="153"/>
      <c r="U95" s="153"/>
      <c r="V95" s="153"/>
      <c r="W95" s="153"/>
      <c r="X95" s="153"/>
      <c r="Y95" s="153"/>
      <c r="Z95" s="153"/>
      <c r="AA95" s="153"/>
      <c r="AB95" s="153"/>
      <c r="AC95" s="128"/>
      <c r="AD95" s="20"/>
      <c r="AE95" s="20"/>
    </row>
    <row r="96" spans="2:31">
      <c r="B96" s="20"/>
      <c r="C96" s="20"/>
      <c r="D96" s="20"/>
      <c r="E96" s="20"/>
      <c r="F96" s="20"/>
      <c r="G96" s="153"/>
      <c r="H96" s="153"/>
      <c r="I96" s="153"/>
      <c r="J96" s="153"/>
      <c r="K96" s="153"/>
      <c r="L96" s="153"/>
      <c r="M96" s="153"/>
      <c r="N96" s="153"/>
      <c r="O96" s="153"/>
      <c r="P96" s="153"/>
      <c r="Q96" s="128"/>
      <c r="R96" s="20"/>
      <c r="S96" s="153"/>
      <c r="T96" s="153"/>
      <c r="U96" s="153"/>
      <c r="V96" s="153"/>
      <c r="W96" s="153"/>
      <c r="X96" s="153"/>
      <c r="Y96" s="153"/>
      <c r="Z96" s="153"/>
      <c r="AA96" s="153"/>
      <c r="AB96" s="153"/>
      <c r="AC96" s="128"/>
      <c r="AD96" s="20"/>
      <c r="AE96" s="20"/>
    </row>
    <row r="97" spans="2:31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128"/>
      <c r="R97" s="128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39"/>
      <c r="AD97" s="20"/>
      <c r="AE97" s="20"/>
    </row>
    <row r="98" spans="2:31">
      <c r="B98" s="108" t="s">
        <v>244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3"/>
      <c r="R98" s="23"/>
      <c r="S98" s="122" t="s">
        <v>66</v>
      </c>
      <c r="T98" s="20"/>
      <c r="U98" s="20"/>
      <c r="V98" s="20"/>
      <c r="W98" s="20"/>
      <c r="X98" s="20"/>
      <c r="Y98" s="20"/>
      <c r="Z98" s="20"/>
      <c r="AA98" s="20"/>
      <c r="AB98" s="20"/>
      <c r="AC98" s="137"/>
      <c r="AD98" s="20"/>
      <c r="AE98" s="20"/>
    </row>
    <row r="99" spans="2:31">
      <c r="B99" s="23" t="s">
        <v>281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5"/>
      <c r="Q99" s="161">
        <f>AVERAGE(G46:P46)</f>
        <v>44.877664781627978</v>
      </c>
      <c r="R99" s="23"/>
      <c r="S99" s="134"/>
      <c r="T99" s="20"/>
      <c r="U99" s="20"/>
      <c r="V99" s="20"/>
      <c r="W99" s="20"/>
      <c r="X99" s="20"/>
      <c r="Y99" s="20"/>
      <c r="Z99" s="20"/>
      <c r="AA99" s="20"/>
      <c r="AB99" s="20"/>
      <c r="AC99" s="137"/>
      <c r="AD99" s="20"/>
      <c r="AE99" s="20"/>
    </row>
    <row r="100" spans="2:31">
      <c r="B100" s="20" t="s">
        <v>25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40">
        <f>S100+T100</f>
        <v>205.05168737148773</v>
      </c>
      <c r="S100" s="133">
        <f>PV($C$1, ($AB$3-$S$3), 0, -AB46)</f>
        <v>12.481407057394906</v>
      </c>
      <c r="T100" s="133">
        <f>PV($C$1, ($AB$3-$S$3), 0, -AE46)</f>
        <v>192.57028031409283</v>
      </c>
      <c r="U100" s="20"/>
      <c r="V100" s="20"/>
      <c r="W100" s="20"/>
      <c r="X100" s="20"/>
      <c r="Y100" s="20"/>
      <c r="Z100" s="20"/>
      <c r="AA100" s="20"/>
      <c r="AB100" s="20"/>
      <c r="AC100" s="137"/>
      <c r="AD100" s="20"/>
      <c r="AE100" s="20"/>
    </row>
    <row r="101" spans="2:31">
      <c r="B101" s="20" t="s">
        <v>273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40">
        <f t="shared" ref="R101:R119" si="217">S101+T101</f>
        <v>3524.5271708931641</v>
      </c>
      <c r="S101" s="133">
        <f>PV($C$1, ($AB$3-$S$3), 0, -AB47)</f>
        <v>214.53643648914908</v>
      </c>
      <c r="T101" s="133">
        <f>PV($C$1, ($AB$3-$S$3), 0, -AE47)</f>
        <v>3309.9907344040148</v>
      </c>
      <c r="U101" s="20"/>
      <c r="V101" s="20"/>
      <c r="W101" s="20"/>
      <c r="X101" s="20"/>
      <c r="Y101" s="20"/>
      <c r="Z101" s="20"/>
      <c r="AA101" s="20"/>
      <c r="AB101" s="20"/>
      <c r="AC101" s="137"/>
      <c r="AD101" s="20"/>
      <c r="AE101" s="20"/>
    </row>
    <row r="102" spans="2:31">
      <c r="B102" s="20" t="s">
        <v>274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40">
        <f t="shared" si="217"/>
        <v>3214.265717226358</v>
      </c>
      <c r="S102" s="133">
        <f>PV($C$1, ($AB$3-$S$3), 0, -AB48)</f>
        <v>195.65095670073484</v>
      </c>
      <c r="T102" s="133">
        <f>PV($C$1, ($AB$3-$S$3), 0, -AE48)</f>
        <v>3018.6147605256233</v>
      </c>
      <c r="U102" s="20"/>
      <c r="V102" s="20"/>
      <c r="W102" s="20"/>
      <c r="X102" s="20"/>
      <c r="Y102" s="20"/>
      <c r="Z102" s="20"/>
      <c r="AA102" s="20"/>
      <c r="AB102" s="20"/>
      <c r="AC102" s="137"/>
      <c r="AD102" s="20"/>
      <c r="AE102" s="20"/>
    </row>
    <row r="103" spans="2:31">
      <c r="B103" s="20" t="s">
        <v>275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140">
        <f t="shared" si="217"/>
        <v>12737.896705040326</v>
      </c>
      <c r="S103" s="133">
        <f>PV($C$1, ($AB$3-$S$3), 0, -AB49)</f>
        <v>775.35023421984579</v>
      </c>
      <c r="T103" s="133">
        <f>PV($C$1, ($AB$3-$S$3), 0, -AE49)</f>
        <v>11962.54647082048</v>
      </c>
      <c r="U103" s="20"/>
      <c r="V103" s="20"/>
      <c r="W103" s="20"/>
      <c r="X103" s="20"/>
      <c r="Y103" s="20"/>
      <c r="Z103" s="20"/>
      <c r="AA103" s="20"/>
      <c r="AB103" s="20"/>
      <c r="AC103" s="137"/>
      <c r="AD103" s="20"/>
      <c r="AE103" s="20"/>
    </row>
    <row r="104" spans="2:31">
      <c r="B104" s="20" t="s">
        <v>276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140">
        <f t="shared" si="217"/>
        <v>148.15252804850951</v>
      </c>
      <c r="S104" s="133">
        <f>PV($C$1, ($AB$3-$S$3), 0, -AB55)</f>
        <v>9.0179799681701418</v>
      </c>
      <c r="T104" s="133">
        <f>PV($C$1, ($AB$3-$S$3), 0, -AE55)</f>
        <v>139.13454808033936</v>
      </c>
      <c r="U104" s="20"/>
      <c r="V104" s="20"/>
      <c r="W104" s="20"/>
      <c r="X104" s="20"/>
      <c r="Y104" s="20"/>
      <c r="Z104" s="20"/>
      <c r="AA104" s="20"/>
      <c r="AB104" s="20"/>
      <c r="AC104" s="137"/>
      <c r="AD104" s="20"/>
      <c r="AE104" s="20"/>
    </row>
    <row r="105" spans="2:31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140"/>
      <c r="S105" s="133"/>
      <c r="T105" s="20"/>
      <c r="U105" s="20"/>
      <c r="V105" s="20"/>
      <c r="W105" s="20"/>
      <c r="X105" s="20"/>
      <c r="Y105" s="20"/>
      <c r="Z105" s="20"/>
      <c r="AA105" s="20"/>
      <c r="AB105" s="20"/>
      <c r="AC105" s="137"/>
      <c r="AD105" s="20"/>
      <c r="AE105" s="20"/>
    </row>
    <row r="106" spans="2:31">
      <c r="B106" s="20" t="s">
        <v>271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140">
        <f t="shared" si="217"/>
        <v>-9213.3695341471612</v>
      </c>
      <c r="S106" s="133">
        <f>PV($C$1, ($AB$3-$S$3), 0, -AB51)</f>
        <v>-560.81379773069671</v>
      </c>
      <c r="T106" s="133">
        <f>PV($C$1, ($AB$3-$S$3), 0, -$AE$51)</f>
        <v>-8652.5557364164652</v>
      </c>
      <c r="U106" s="20"/>
      <c r="V106" s="20"/>
      <c r="W106" s="20"/>
      <c r="X106" s="20"/>
      <c r="Y106" s="20"/>
      <c r="Z106" s="20"/>
      <c r="AA106" s="20"/>
      <c r="AB106" s="20"/>
      <c r="AC106" s="137"/>
      <c r="AD106" s="20"/>
      <c r="AE106" s="20"/>
    </row>
    <row r="107" spans="2:31">
      <c r="B107" s="20" t="s">
        <v>272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40">
        <f t="shared" si="217"/>
        <v>-12407.237439540753</v>
      </c>
      <c r="S107" s="133">
        <f>PV($C$1, ($AB$3-$S$3), 0, -AB52)</f>
        <v>-755.22314849378472</v>
      </c>
      <c r="T107" s="133">
        <f>PV($C$1, ($AB$3-$S$3), 0, -$AE$52)</f>
        <v>-11652.014291046968</v>
      </c>
      <c r="U107" s="20"/>
      <c r="V107" s="20"/>
      <c r="W107" s="20"/>
      <c r="X107" s="20"/>
      <c r="Y107" s="20"/>
      <c r="Z107" s="20"/>
      <c r="AA107" s="20"/>
      <c r="AB107" s="20"/>
      <c r="AC107" s="137"/>
      <c r="AD107" s="20"/>
      <c r="AE107" s="20"/>
    </row>
    <row r="108" spans="2:31">
      <c r="B108" s="20" t="s">
        <v>277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40">
        <f t="shared" si="217"/>
        <v>-10737.837576385444</v>
      </c>
      <c r="S108" s="133">
        <f>PV($C$1, ($AB$3-$S$3), 0, -AB53)</f>
        <v>-653.60750464954879</v>
      </c>
      <c r="T108" s="133">
        <f>PV($C$1, ($AB$3-$S$3), 0, -$AE$53)</f>
        <v>-10084.230071735896</v>
      </c>
      <c r="U108" s="20"/>
      <c r="V108" s="20"/>
      <c r="W108" s="20"/>
      <c r="X108" s="20"/>
      <c r="Y108" s="20"/>
      <c r="Z108" s="20"/>
      <c r="AA108" s="20"/>
      <c r="AB108" s="20"/>
      <c r="AC108" s="137"/>
      <c r="AD108" s="20"/>
      <c r="AE108" s="20"/>
    </row>
    <row r="109" spans="2:31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40"/>
      <c r="S109" s="133"/>
      <c r="T109" s="20"/>
      <c r="U109" s="20"/>
      <c r="V109" s="20"/>
      <c r="W109" s="20"/>
      <c r="X109" s="20"/>
      <c r="Y109" s="20"/>
      <c r="Z109" s="20"/>
      <c r="AA109" s="20"/>
      <c r="AB109" s="20"/>
      <c r="AC109" s="137"/>
      <c r="AD109" s="20"/>
      <c r="AE109" s="20"/>
    </row>
    <row r="110" spans="2:31">
      <c r="B110" s="20" t="s">
        <v>249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40">
        <f t="shared" si="217"/>
        <v>1669.3998631553059</v>
      </c>
      <c r="S110" s="133">
        <f>PV($C$1, ($AB$3-$S$3), 0, -AB58)</f>
        <v>101.615643844236</v>
      </c>
      <c r="T110" s="133">
        <f>PV($C$1, ($AB$3-$S$3), 0, -AE58)</f>
        <v>1567.7842193110698</v>
      </c>
      <c r="U110" s="20"/>
      <c r="V110" s="20"/>
      <c r="W110" s="20"/>
      <c r="X110" s="20"/>
      <c r="Y110" s="20"/>
      <c r="Z110" s="20"/>
      <c r="AA110" s="20"/>
      <c r="AB110" s="20"/>
      <c r="AC110" s="137"/>
      <c r="AD110" s="20"/>
      <c r="AE110" s="20"/>
    </row>
    <row r="111" spans="2:31">
      <c r="B111" s="20" t="s">
        <v>250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140">
        <f t="shared" si="217"/>
        <v>-644.2845688370445</v>
      </c>
      <c r="S111" s="133">
        <f>PV($C$1, ($AB$3-$S$3), 0, -AB59)</f>
        <v>-84.037117674397109</v>
      </c>
      <c r="T111" s="133">
        <f>PV($C$1, ($AB$3-$S$3), 0, -AE59)</f>
        <v>-560.24745116264739</v>
      </c>
      <c r="U111" s="20"/>
      <c r="V111" s="20"/>
      <c r="W111" s="20"/>
      <c r="X111" s="20"/>
      <c r="Y111" s="20"/>
      <c r="Z111" s="20"/>
      <c r="AA111" s="20"/>
      <c r="AB111" s="20"/>
      <c r="AC111" s="137"/>
      <c r="AD111" s="20"/>
      <c r="AE111" s="20"/>
    </row>
    <row r="112" spans="2:31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140"/>
      <c r="S112" s="133"/>
      <c r="T112" s="133"/>
      <c r="U112" s="20"/>
      <c r="V112" s="20"/>
      <c r="W112" s="20"/>
      <c r="X112" s="20"/>
      <c r="Y112" s="20"/>
      <c r="Z112" s="20"/>
      <c r="AA112" s="20"/>
      <c r="AB112" s="20"/>
      <c r="AC112" s="137"/>
      <c r="AD112" s="20"/>
      <c r="AE112" s="20"/>
    </row>
    <row r="113" spans="2:31">
      <c r="B113" s="20" t="s">
        <v>294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140">
        <f t="shared" ref="R113" si="218">S113+T113</f>
        <v>2607.2142857142862</v>
      </c>
      <c r="S113" s="133">
        <f>PV($C$1, ($AB$3-$S$3), 0, -AB12)</f>
        <v>158.70000000000002</v>
      </c>
      <c r="T113" s="133">
        <f>PV($C$1, ($AB$3-$S$3), 0, -AE12)</f>
        <v>2448.5142857142864</v>
      </c>
      <c r="U113" s="20"/>
      <c r="V113" s="20"/>
      <c r="W113" s="20"/>
      <c r="X113" s="20"/>
      <c r="Y113" s="20"/>
      <c r="Z113" s="20"/>
      <c r="AA113" s="20"/>
      <c r="AB113" s="20"/>
      <c r="AC113" s="137"/>
      <c r="AD113" s="20"/>
      <c r="AE113" s="20"/>
    </row>
    <row r="114" spans="2:31">
      <c r="B114" s="20" t="s">
        <v>295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140">
        <f>S114+T114</f>
        <v>599.35960591133028</v>
      </c>
      <c r="S114" s="140">
        <f>S113/P39</f>
        <v>36.482758620689665</v>
      </c>
      <c r="T114" s="140">
        <f>T113/P39</f>
        <v>562.87684729064063</v>
      </c>
      <c r="U114" s="20"/>
      <c r="V114" s="20"/>
      <c r="W114" s="20"/>
      <c r="X114" s="20"/>
      <c r="Y114" s="20"/>
      <c r="Z114" s="20"/>
      <c r="AA114" s="20"/>
      <c r="AB114" s="20"/>
      <c r="AC114" s="137"/>
      <c r="AD114" s="20"/>
      <c r="AE114" s="20"/>
    </row>
    <row r="115" spans="2:31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140"/>
      <c r="S115" s="140"/>
      <c r="T115" s="140"/>
      <c r="U115" s="20"/>
      <c r="V115" s="20"/>
      <c r="W115" s="20"/>
      <c r="X115" s="20"/>
      <c r="Y115" s="20"/>
      <c r="Z115" s="20"/>
      <c r="AA115" s="20"/>
      <c r="AB115" s="20"/>
      <c r="AC115" s="137"/>
      <c r="AD115" s="20"/>
      <c r="AE115" s="20"/>
    </row>
    <row r="116" spans="2:31">
      <c r="B116" s="108" t="s">
        <v>298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140"/>
      <c r="S116" s="133"/>
      <c r="T116" s="133"/>
      <c r="U116" s="20"/>
      <c r="V116" s="20"/>
      <c r="W116" s="20"/>
      <c r="X116" s="20"/>
      <c r="Y116" s="20"/>
      <c r="Z116" s="20"/>
      <c r="AA116" s="20"/>
      <c r="AB116" s="20"/>
      <c r="AC116" s="137"/>
      <c r="AD116" s="20"/>
      <c r="AE116" s="20"/>
    </row>
    <row r="117" spans="2:31">
      <c r="B117" s="20" t="s">
        <v>283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140">
        <f t="shared" ref="R117" si="219">S117+T117</f>
        <v>59.56289173294185</v>
      </c>
      <c r="S117" s="133">
        <f>PV($C$1, ($AB$3-$S$3), 0, -AB61)+PV($C$1, ($AA$3-$S$3), 0, -AB61)+PV($C$1, ($Z$3-$S$3), 0, -AB61)+PV($C$1, ($Y$3-$S$3), 0, -AB61)+PV($C$1, ($X$3-$S$3), 0, -AB61)+PV($C$1, ($W$3-$S$3), 0, -AB61)+PV($C$1, ($V$3-$S$3), 0, -AB61)+PV($C$1, ($U$3-$S$3), 0, -AB61)+PV($C$1, ($T$3-$S$3), 0, -AB61)+PV($C$1, ($S$3-$S$3), 0, -AB61)</f>
        <v>33.844687325449684</v>
      </c>
      <c r="T117" s="133">
        <f>PV($C$1, ($AB$3-$S$3), 0, -AE61)</f>
        <v>25.718204407492166</v>
      </c>
      <c r="U117" s="20"/>
      <c r="V117" s="20"/>
      <c r="W117" s="20"/>
      <c r="X117" s="20"/>
      <c r="Y117" s="20"/>
      <c r="Z117" s="20"/>
      <c r="AA117" s="20"/>
      <c r="AB117" s="20"/>
      <c r="AC117" s="137"/>
      <c r="AD117" s="20"/>
      <c r="AE117" s="20"/>
    </row>
    <row r="118" spans="2:31">
      <c r="B118" s="23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140"/>
      <c r="S118" s="133"/>
      <c r="T118" s="133"/>
      <c r="U118" s="20"/>
      <c r="V118" s="20"/>
      <c r="W118" s="20"/>
      <c r="X118" s="20"/>
      <c r="Y118" s="20"/>
      <c r="Z118" s="20"/>
      <c r="AA118" s="20"/>
      <c r="AB118" s="20"/>
      <c r="AC118" s="137"/>
      <c r="AD118" s="20"/>
      <c r="AE118" s="20"/>
    </row>
    <row r="119" spans="2:31">
      <c r="B119" s="20" t="s">
        <v>291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140">
        <f t="shared" si="217"/>
        <v>0</v>
      </c>
      <c r="S119" s="133">
        <f>PV($C$1, ($AB$3-$S$3), 0, -AB63)+PV($C$1, ($AA$3-$S$3), 0, -AB63)+PV($C$1, ($Z$3-$S$3), 0, -AB63)+PV($C$1, ($Y$3-$S$3), 0, -AB63)+PV($C$1, ($X$3-$S$3), 0, -AB63)+PV($C$1, ($W$3-$S$3), 0, -AB63)+PV($C$1, ($V$3-$S$3), 0, -AB63)+PV($C$1, ($U$3-$S$3), 0, -AB63)+PV($C$1, ($T$3-$S$3), 0, -AB63)+PV($C$1, ($S$3-$S$3), 0, -AB63)</f>
        <v>0</v>
      </c>
      <c r="T119" s="133">
        <f>PV($C$1, ($AB$3-$S$3), 0, -AE63)</f>
        <v>0</v>
      </c>
      <c r="U119" s="20"/>
      <c r="V119" s="20"/>
      <c r="W119" s="20"/>
      <c r="X119" s="20"/>
      <c r="Y119" s="20"/>
      <c r="Z119" s="20"/>
      <c r="AA119" s="20"/>
      <c r="AB119" s="20"/>
      <c r="AC119" s="137"/>
      <c r="AD119" s="20"/>
      <c r="AE119" s="20"/>
    </row>
    <row r="120" spans="2:31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140"/>
      <c r="S120" s="133"/>
      <c r="T120" s="133"/>
      <c r="U120" s="20"/>
      <c r="V120" s="20"/>
      <c r="W120" s="20"/>
      <c r="X120" s="20"/>
      <c r="Y120" s="20"/>
      <c r="Z120" s="20"/>
      <c r="AA120" s="20"/>
      <c r="AB120" s="20"/>
      <c r="AC120" s="137"/>
      <c r="AD120" s="20"/>
      <c r="AE120" s="20"/>
    </row>
    <row r="121" spans="2:31">
      <c r="B121" s="20" t="s">
        <v>287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140">
        <f t="shared" ref="R121:R124" si="220">S121+T121</f>
        <v>0</v>
      </c>
      <c r="S121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0</v>
      </c>
      <c r="T121" s="133">
        <f>PV($C$1, ($AB$3-$S$3), 0, -AE65)</f>
        <v>0</v>
      </c>
      <c r="U121" s="20"/>
      <c r="V121" s="20"/>
      <c r="W121" s="20"/>
      <c r="X121" s="20"/>
      <c r="Y121" s="20"/>
      <c r="Z121" s="20"/>
      <c r="AA121" s="20"/>
      <c r="AB121" s="20"/>
      <c r="AC121" s="137"/>
      <c r="AD121" s="20"/>
      <c r="AE121" s="20"/>
    </row>
    <row r="122" spans="2:31">
      <c r="B122" s="20" t="s">
        <v>288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140">
        <f t="shared" si="220"/>
        <v>0</v>
      </c>
      <c r="S122" s="133">
        <f>PV($C$1, ($AB$3-$S$3), 0, -AB66)+PV($C$1, ($AA$3-$S$3), 0, -AB66)+PV($C$1, ($Z$3-$S$3), 0, -AB66)+PV($C$1, ($Y$3-$S$3), 0, -AB66)+PV($C$1, ($X$3-$S$3), 0, -AB66)+PV($C$1, ($W$3-$S$3), 0, -AB66)+PV($C$1, ($V$3-$S$3), 0, -AB66)+PV($C$1, ($U$3-$S$3), 0, -AB66)+PV($C$1, ($T$3-$S$3), 0, -AB66)+PV($C$1, ($S$3-$S$3), 0, -AB66)</f>
        <v>0</v>
      </c>
      <c r="T122" s="133">
        <f>PV($C$1, ($AB$3-$S$3), 0, -AE66)</f>
        <v>0</v>
      </c>
      <c r="U122" s="20"/>
      <c r="V122" s="20"/>
      <c r="W122" s="20"/>
      <c r="X122" s="20"/>
      <c r="Y122" s="20"/>
      <c r="Z122" s="20"/>
      <c r="AA122" s="20"/>
      <c r="AB122" s="20"/>
      <c r="AC122" s="137"/>
      <c r="AD122" s="20"/>
      <c r="AE122" s="20"/>
    </row>
    <row r="123" spans="2:31">
      <c r="B123" s="20" t="s">
        <v>289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40">
        <f t="shared" si="220"/>
        <v>0</v>
      </c>
      <c r="S123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0</v>
      </c>
      <c r="T123" s="133">
        <f>PV($C$1, ($AB$3-$S$3), 0, -AE67)</f>
        <v>0</v>
      </c>
      <c r="U123" s="20"/>
      <c r="V123" s="20"/>
      <c r="W123" s="20"/>
      <c r="X123" s="20"/>
      <c r="Y123" s="20"/>
      <c r="Z123" s="20"/>
      <c r="AA123" s="20"/>
      <c r="AB123" s="20"/>
      <c r="AC123" s="137"/>
      <c r="AD123" s="20"/>
      <c r="AE123" s="20"/>
    </row>
    <row r="124" spans="2:31">
      <c r="B124" s="20" t="s">
        <v>290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140">
        <f t="shared" si="220"/>
        <v>0</v>
      </c>
      <c r="S124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0</v>
      </c>
      <c r="T124" s="133">
        <f>PV($C$1, ($AB$3-$S$3), 0, -AE68)</f>
        <v>0</v>
      </c>
      <c r="U124" s="20"/>
      <c r="V124" s="20"/>
      <c r="W124" s="20"/>
      <c r="X124" s="20"/>
      <c r="Y124" s="20"/>
      <c r="Z124" s="20"/>
      <c r="AA124" s="20"/>
      <c r="AB124" s="20"/>
      <c r="AC124" s="137"/>
      <c r="AD124" s="20"/>
      <c r="AE124" s="20"/>
    </row>
    <row r="125" spans="2:31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140"/>
      <c r="S125" s="133"/>
      <c r="T125" s="133"/>
      <c r="U125" s="20"/>
      <c r="V125" s="20"/>
      <c r="W125" s="20"/>
      <c r="X125" s="20"/>
      <c r="Y125" s="20"/>
      <c r="Z125" s="20"/>
      <c r="AA125" s="20"/>
      <c r="AB125" s="20"/>
      <c r="AC125" s="137"/>
      <c r="AD125" s="20"/>
      <c r="AE125" s="20"/>
    </row>
    <row r="126" spans="2:31">
      <c r="B126" s="20" t="s">
        <v>299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40">
        <f>S126+T126</f>
        <v>0</v>
      </c>
      <c r="S126" s="133">
        <f>PV($C$1, ($AB$3-$S$3), 0, -AB69)+PV($C$1, ($AA$3-$S$3), 0, -AB69)+PV($C$1, ($Z$3-$S$3), 0, -AB69)+PV($C$1, ($Y$3-$S$3), 0, -AB69)+PV($C$1, ($X$3-$S$3), 0, -AB69)+PV($C$1, ($W$3-$S$3), 0, -AB69)+PV($C$1, ($V$3-$S$3), 0, -AB69)+PV($C$1, ($U$3-$S$3), 0, -AB69)+PV($C$1, ($T$3-$S$3), 0, -AB69)+PV($C$1, ($S$3-$S$3), 0, -AB69)</f>
        <v>0</v>
      </c>
      <c r="T126" s="133">
        <f>PV($C$1, ($AB$3-$S$3), 0, -AE69)</f>
        <v>0</v>
      </c>
      <c r="U126" s="20"/>
      <c r="V126" s="20"/>
      <c r="W126" s="20"/>
      <c r="X126" s="20"/>
      <c r="Y126" s="20"/>
      <c r="Z126" s="20"/>
      <c r="AA126" s="20"/>
      <c r="AB126" s="20"/>
      <c r="AC126" s="137"/>
      <c r="AD126" s="20"/>
      <c r="AE126" s="20"/>
    </row>
    <row r="127" spans="2:31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121"/>
      <c r="T127" s="20"/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>
      <c r="B128" s="108" t="s">
        <v>251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>
      <c r="B129" s="20" t="s">
        <v>204</v>
      </c>
      <c r="C129" s="22">
        <v>14</v>
      </c>
      <c r="D129" s="22">
        <v>14</v>
      </c>
      <c r="E129" s="22">
        <v>14</v>
      </c>
      <c r="F129" s="22">
        <v>80</v>
      </c>
      <c r="G129" s="22">
        <v>90</v>
      </c>
      <c r="H129" s="22">
        <v>150</v>
      </c>
      <c r="I129" s="22">
        <v>250</v>
      </c>
      <c r="J129" s="22">
        <v>1000</v>
      </c>
      <c r="K129" s="22">
        <v>5000</v>
      </c>
      <c r="L129" s="22">
        <v>4000</v>
      </c>
      <c r="M129" s="22">
        <v>1500</v>
      </c>
      <c r="N129" s="22">
        <v>500</v>
      </c>
      <c r="O129" s="22">
        <v>200</v>
      </c>
      <c r="P129" s="22">
        <v>400</v>
      </c>
      <c r="Q129" s="118">
        <f t="shared" ref="Q129:Q133" si="221">((P129/G129)^(1/($H$2-$H$1) ))-1</f>
        <v>0.18026552075403668</v>
      </c>
      <c r="R129" s="31">
        <v>0.1</v>
      </c>
      <c r="S129" s="119">
        <f t="shared" ref="S129" si="222">P129*(1+$R129)</f>
        <v>440.00000000000006</v>
      </c>
      <c r="T129" s="119">
        <f t="shared" ref="T129:AB129" si="223">S129*(1+$R129)</f>
        <v>484.00000000000011</v>
      </c>
      <c r="U129" s="119">
        <f t="shared" si="223"/>
        <v>532.4000000000002</v>
      </c>
      <c r="V129" s="119">
        <f t="shared" si="223"/>
        <v>585.64000000000033</v>
      </c>
      <c r="W129" s="119">
        <f t="shared" si="223"/>
        <v>644.20400000000041</v>
      </c>
      <c r="X129" s="119">
        <f t="shared" si="223"/>
        <v>708.62440000000049</v>
      </c>
      <c r="Y129" s="119">
        <f t="shared" si="223"/>
        <v>779.4868400000006</v>
      </c>
      <c r="Z129" s="119">
        <f t="shared" si="223"/>
        <v>857.43552400000078</v>
      </c>
      <c r="AA129" s="119">
        <f t="shared" si="223"/>
        <v>943.17907640000089</v>
      </c>
      <c r="AB129" s="119">
        <f t="shared" si="223"/>
        <v>1037.4969840400011</v>
      </c>
      <c r="AC129" s="138">
        <f t="shared" ref="AC129:AC133" si="224">((AB129/G129)^(1/($AB$3-$H$1) ))-1</f>
        <v>0.13731634508562274</v>
      </c>
      <c r="AD129" s="31">
        <v>0.08</v>
      </c>
      <c r="AE129" s="127">
        <f t="shared" ref="AE129:AE134" si="225">(AB129*(1+AC129))/($C$1-AD129)</f>
        <v>16856.603970367581</v>
      </c>
    </row>
    <row r="130" spans="2:31">
      <c r="B130" s="20" t="s">
        <v>42</v>
      </c>
      <c r="C130" s="25" t="e">
        <f t="shared" ref="C130:P130" si="226">C129/C46</f>
        <v>#DIV/0!</v>
      </c>
      <c r="D130" s="25" t="e">
        <f t="shared" si="226"/>
        <v>#DIV/0!</v>
      </c>
      <c r="E130" s="25" t="e">
        <f t="shared" si="226"/>
        <v>#DIV/0!</v>
      </c>
      <c r="F130" s="25" t="e">
        <f t="shared" si="226"/>
        <v>#DIV/0!</v>
      </c>
      <c r="G130" s="25">
        <f t="shared" si="226"/>
        <v>1.3978723404255318</v>
      </c>
      <c r="H130" s="25">
        <f t="shared" si="226"/>
        <v>2.1470588235294117</v>
      </c>
      <c r="I130" s="25">
        <f t="shared" si="226"/>
        <v>11.219512195121952</v>
      </c>
      <c r="J130" s="25">
        <f t="shared" si="226"/>
        <v>-105.42857142857142</v>
      </c>
      <c r="K130" s="25">
        <f t="shared" si="226"/>
        <v>496.05263157894734</v>
      </c>
      <c r="L130" s="25">
        <f t="shared" si="226"/>
        <v>35.244755244755247</v>
      </c>
      <c r="M130" s="25">
        <f t="shared" si="226"/>
        <v>35.270270270270267</v>
      </c>
      <c r="N130" s="25">
        <f t="shared" si="226"/>
        <v>27.88461538461538</v>
      </c>
      <c r="O130" s="25">
        <f t="shared" si="226"/>
        <v>2.7102803738317753</v>
      </c>
      <c r="P130" s="25">
        <f t="shared" si="226"/>
        <v>9.1099476439790568</v>
      </c>
      <c r="Q130" s="118">
        <f t="shared" si="221"/>
        <v>0.23154367704067713</v>
      </c>
      <c r="R130" s="128"/>
      <c r="S130" s="119">
        <f t="shared" ref="S130:AB130" si="227">S129/S46</f>
        <v>10.020942408376964</v>
      </c>
      <c r="T130" s="119">
        <f t="shared" si="227"/>
        <v>11.023036649214662</v>
      </c>
      <c r="U130" s="119">
        <f t="shared" si="227"/>
        <v>12.12534031413613</v>
      </c>
      <c r="V130" s="119">
        <f t="shared" si="227"/>
        <v>13.337874345549745</v>
      </c>
      <c r="W130" s="119">
        <f t="shared" si="227"/>
        <v>14.671661780104721</v>
      </c>
      <c r="X130" s="119">
        <f t="shared" si="227"/>
        <v>16.138827958115197</v>
      </c>
      <c r="Y130" s="119">
        <f t="shared" si="227"/>
        <v>17.752710753926713</v>
      </c>
      <c r="Z130" s="119">
        <f t="shared" si="227"/>
        <v>19.527981829319387</v>
      </c>
      <c r="AA130" s="119">
        <f t="shared" si="227"/>
        <v>21.480780012251326</v>
      </c>
      <c r="AB130" s="119">
        <f t="shared" si="227"/>
        <v>23.628858013476464</v>
      </c>
      <c r="AC130" s="138">
        <f t="shared" si="224"/>
        <v>0.16046026580217898</v>
      </c>
      <c r="AD130" s="31">
        <v>0.08</v>
      </c>
      <c r="AE130" s="127">
        <f t="shared" si="225"/>
        <v>391.71929787029779</v>
      </c>
    </row>
    <row r="131" spans="2:31">
      <c r="B131" s="20" t="s">
        <v>259</v>
      </c>
      <c r="C131" s="25" t="e">
        <f t="shared" ref="C131:P131" si="228">C129/C48</f>
        <v>#DIV/0!</v>
      </c>
      <c r="D131" s="25" t="e">
        <f t="shared" si="228"/>
        <v>#DIV/0!</v>
      </c>
      <c r="E131" s="25" t="e">
        <f t="shared" si="228"/>
        <v>#DIV/0!</v>
      </c>
      <c r="F131" s="25" t="e">
        <f t="shared" si="228"/>
        <v>#DIV/0!</v>
      </c>
      <c r="G131" s="25">
        <f t="shared" si="228"/>
        <v>0.38647058823529412</v>
      </c>
      <c r="H131" s="25">
        <f t="shared" si="228"/>
        <v>0.5140845070422535</v>
      </c>
      <c r="I131" s="25">
        <f t="shared" si="228"/>
        <v>3.36996336996337</v>
      </c>
      <c r="J131" s="25">
        <f t="shared" si="228"/>
        <v>17.004608294930875</v>
      </c>
      <c r="K131" s="25">
        <f t="shared" si="228"/>
        <v>37.851405622489963</v>
      </c>
      <c r="L131" s="25">
        <f t="shared" si="228"/>
        <v>10.723404255319149</v>
      </c>
      <c r="M131" s="25">
        <f t="shared" si="228"/>
        <v>3.5365853658536581</v>
      </c>
      <c r="N131" s="25">
        <f t="shared" si="228"/>
        <v>1.2090050027793218</v>
      </c>
      <c r="O131" s="25">
        <f t="shared" si="228"/>
        <v>0.33838973162193697</v>
      </c>
      <c r="P131" s="25">
        <f t="shared" si="228"/>
        <v>0.58116232464929851</v>
      </c>
      <c r="Q131" s="118">
        <f t="shared" si="221"/>
        <v>4.6373610508625207E-2</v>
      </c>
      <c r="R131" s="128"/>
      <c r="S131" s="119">
        <f t="shared" ref="S131:AB131" si="229">S129/S48</f>
        <v>0.63927855711422843</v>
      </c>
      <c r="T131" s="119">
        <f t="shared" si="229"/>
        <v>0.70320641282565144</v>
      </c>
      <c r="U131" s="119">
        <f t="shared" si="229"/>
        <v>0.77352705410821665</v>
      </c>
      <c r="V131" s="119">
        <f t="shared" si="229"/>
        <v>0.85087975951903838</v>
      </c>
      <c r="W131" s="119">
        <f t="shared" si="229"/>
        <v>0.93596773547094225</v>
      </c>
      <c r="X131" s="119">
        <f t="shared" si="229"/>
        <v>1.0295645090180365</v>
      </c>
      <c r="Y131" s="119">
        <f t="shared" si="229"/>
        <v>1.1325209599198403</v>
      </c>
      <c r="Z131" s="119">
        <f t="shared" si="229"/>
        <v>1.2457730559118245</v>
      </c>
      <c r="AA131" s="119">
        <f t="shared" si="229"/>
        <v>1.3703503615030068</v>
      </c>
      <c r="AB131" s="119">
        <f t="shared" si="229"/>
        <v>1.5073853976533078</v>
      </c>
      <c r="AC131" s="138">
        <f t="shared" si="224"/>
        <v>7.4263796118519521E-2</v>
      </c>
      <c r="AD131" s="31">
        <v>0.08</v>
      </c>
      <c r="AE131" s="127">
        <f t="shared" si="225"/>
        <v>23.133279421380955</v>
      </c>
    </row>
    <row r="132" spans="2:31">
      <c r="B132" s="20" t="s">
        <v>260</v>
      </c>
      <c r="C132" s="25" t="e">
        <f t="shared" ref="C132:P132" si="230">C129/C57</f>
        <v>#DIV/0!</v>
      </c>
      <c r="D132" s="25" t="e">
        <f t="shared" si="230"/>
        <v>#DIV/0!</v>
      </c>
      <c r="E132" s="25" t="e">
        <f t="shared" si="230"/>
        <v>#DIV/0!</v>
      </c>
      <c r="F132" s="25" t="e">
        <f t="shared" si="230"/>
        <v>#DIV/0!</v>
      </c>
      <c r="G132" s="25">
        <f t="shared" si="230"/>
        <v>0.55677966101694909</v>
      </c>
      <c r="H132" s="25">
        <f t="shared" si="230"/>
        <v>0.9049586776859504</v>
      </c>
      <c r="I132" s="25">
        <f t="shared" si="230"/>
        <v>31.724137931034484</v>
      </c>
      <c r="J132" s="25">
        <f t="shared" si="230"/>
        <v>2.0568561872909701</v>
      </c>
      <c r="K132" s="25">
        <f t="shared" si="230"/>
        <v>11.862806796727501</v>
      </c>
      <c r="L132" s="25">
        <f t="shared" si="230"/>
        <v>12.923076923076923</v>
      </c>
      <c r="M132" s="25">
        <f t="shared" si="230"/>
        <v>8.9383561643835616</v>
      </c>
      <c r="N132" s="25">
        <f t="shared" si="230"/>
        <v>3.5655737704918038</v>
      </c>
      <c r="O132" s="25">
        <f t="shared" si="230"/>
        <v>9.9530946116005019</v>
      </c>
      <c r="P132" s="25">
        <f t="shared" si="230"/>
        <v>12.064900845929827</v>
      </c>
      <c r="Q132" s="118">
        <f t="shared" si="221"/>
        <v>0.40742969719489586</v>
      </c>
      <c r="R132" s="128"/>
      <c r="S132" s="119">
        <f t="shared" ref="S132:AB132" si="231">S129/S57</f>
        <v>13.271390930522813</v>
      </c>
      <c r="T132" s="119">
        <f t="shared" si="231"/>
        <v>14.598530023575096</v>
      </c>
      <c r="U132" s="119">
        <f t="shared" si="231"/>
        <v>16.058383025932606</v>
      </c>
      <c r="V132" s="119">
        <f t="shared" si="231"/>
        <v>17.664221328525869</v>
      </c>
      <c r="W132" s="119">
        <f t="shared" si="231"/>
        <v>19.430643461378459</v>
      </c>
      <c r="X132" s="119">
        <f t="shared" si="231"/>
        <v>21.373707807516308</v>
      </c>
      <c r="Y132" s="119">
        <f t="shared" si="231"/>
        <v>23.511078588267939</v>
      </c>
      <c r="Z132" s="119">
        <f t="shared" si="231"/>
        <v>25.862186447094736</v>
      </c>
      <c r="AA132" s="119">
        <f t="shared" si="231"/>
        <v>28.448405091804212</v>
      </c>
      <c r="AB132" s="119">
        <f t="shared" si="231"/>
        <v>31.293245600984633</v>
      </c>
      <c r="AC132" s="138">
        <f t="shared" si="224"/>
        <v>0.23621216499139841</v>
      </c>
      <c r="AD132" s="31">
        <v>0.08</v>
      </c>
      <c r="AE132" s="127">
        <f t="shared" si="225"/>
        <v>552.64415562858244</v>
      </c>
    </row>
    <row r="133" spans="2:31">
      <c r="B133" s="20" t="s">
        <v>261</v>
      </c>
      <c r="C133" s="25" t="e">
        <f t="shared" ref="C133:P133" si="232">C129/C59</f>
        <v>#DIV/0!</v>
      </c>
      <c r="D133" s="25" t="e">
        <f t="shared" si="232"/>
        <v>#DIV/0!</v>
      </c>
      <c r="E133" s="25" t="e">
        <f t="shared" si="232"/>
        <v>#DIV/0!</v>
      </c>
      <c r="F133" s="25" t="e">
        <f t="shared" si="232"/>
        <v>#DIV/0!</v>
      </c>
      <c r="G133" s="25">
        <f t="shared" si="232"/>
        <v>1.7289473684210528</v>
      </c>
      <c r="H133" s="25">
        <f t="shared" si="232"/>
        <v>1.0138888888888888</v>
      </c>
      <c r="I133" s="25">
        <f t="shared" si="232"/>
        <v>-38.333333333333336</v>
      </c>
      <c r="J133" s="25">
        <f t="shared" si="232"/>
        <v>3.2086956521739127</v>
      </c>
      <c r="K133" s="25">
        <f t="shared" si="232"/>
        <v>31.895093062605753</v>
      </c>
      <c r="L133" s="25">
        <f t="shared" si="232"/>
        <v>61.714285714285708</v>
      </c>
      <c r="M133" s="25">
        <f t="shared" si="232"/>
        <v>13.453608247422679</v>
      </c>
      <c r="N133" s="25">
        <f t="shared" si="232"/>
        <v>1.751207729468599</v>
      </c>
      <c r="O133" s="25">
        <f t="shared" si="232"/>
        <v>-0.74870912220309793</v>
      </c>
      <c r="P133" s="25">
        <f t="shared" si="232"/>
        <v>-1.3530326594090201</v>
      </c>
      <c r="Q133" s="118">
        <f t="shared" si="221"/>
        <v>-1.97312720025884</v>
      </c>
      <c r="R133" s="128"/>
      <c r="S133" s="119">
        <f t="shared" ref="S133:AB133" si="233">S129/S59</f>
        <v>-1.4883359253499224</v>
      </c>
      <c r="T133" s="119">
        <f t="shared" si="233"/>
        <v>-1.6371695178849148</v>
      </c>
      <c r="U133" s="119">
        <f t="shared" si="233"/>
        <v>-1.8008864696734066</v>
      </c>
      <c r="V133" s="119">
        <f t="shared" si="233"/>
        <v>-1.9809751166407472</v>
      </c>
      <c r="W133" s="119">
        <f t="shared" si="233"/>
        <v>-2.1790726283048225</v>
      </c>
      <c r="X133" s="119">
        <f t="shared" si="233"/>
        <v>-2.3969798911353046</v>
      </c>
      <c r="Y133" s="119">
        <f t="shared" si="233"/>
        <v>-2.6366778802488353</v>
      </c>
      <c r="Z133" s="119">
        <f t="shared" si="233"/>
        <v>-2.9003456682737196</v>
      </c>
      <c r="AA133" s="119">
        <f t="shared" si="233"/>
        <v>-3.1903802351010917</v>
      </c>
      <c r="AB133" s="119">
        <f t="shared" si="233"/>
        <v>-3.509418258611201</v>
      </c>
      <c r="AC133" s="138">
        <f t="shared" si="224"/>
        <v>-2.0379627206022493</v>
      </c>
      <c r="AD133" s="31">
        <v>0.08</v>
      </c>
      <c r="AE133" s="127">
        <f t="shared" si="225"/>
        <v>52.03779033484701</v>
      </c>
    </row>
    <row r="134" spans="2:31">
      <c r="B134" s="20" t="s">
        <v>282</v>
      </c>
      <c r="C134" s="25" t="e">
        <f>C130/C97</f>
        <v>#DIV/0!</v>
      </c>
      <c r="D134" s="25" t="e">
        <f>D130/D97</f>
        <v>#DIV/0!</v>
      </c>
      <c r="E134" s="25" t="e">
        <f>E130/E97</f>
        <v>#DIV/0!</v>
      </c>
      <c r="F134" s="25" t="e">
        <f>F130/F97</f>
        <v>#DIV/0!</v>
      </c>
      <c r="G134" s="25">
        <f t="shared" ref="G134:P134" si="234">G129/G53</f>
        <v>-0.84230769230769231</v>
      </c>
      <c r="H134" s="25">
        <f t="shared" si="234"/>
        <v>-0.22717842323651452</v>
      </c>
      <c r="I134" s="25">
        <f t="shared" si="234"/>
        <v>-1.3199426111908179</v>
      </c>
      <c r="J134" s="25">
        <f t="shared" si="234"/>
        <v>-0.353888942169368</v>
      </c>
      <c r="K134" s="25">
        <f t="shared" si="234"/>
        <v>-1.5513126491646778</v>
      </c>
      <c r="L134" s="25">
        <f t="shared" si="234"/>
        <v>-0.99447513812154686</v>
      </c>
      <c r="M134" s="25">
        <f t="shared" si="234"/>
        <v>-0.55750170881749816</v>
      </c>
      <c r="N134" s="25">
        <f t="shared" si="234"/>
        <v>-0.21991911021233568</v>
      </c>
      <c r="O134" s="25">
        <f t="shared" si="234"/>
        <v>-8.5688958928395537E-2</v>
      </c>
      <c r="P134" s="25">
        <f t="shared" si="234"/>
        <v>-0.17396520695860826</v>
      </c>
      <c r="Q134" s="118">
        <f t="shared" ref="Q134" si="235">((P134/G134)^(1/($H$2-$H$1) ))-1</f>
        <v>-0.16075655269605527</v>
      </c>
      <c r="R134" s="128"/>
      <c r="S134" s="135">
        <f t="shared" ref="S134:AB134" si="236">S129/S53</f>
        <v>-0.19136172765446915</v>
      </c>
      <c r="T134" s="135">
        <f t="shared" si="236"/>
        <v>-0.21049790041991609</v>
      </c>
      <c r="U134" s="135">
        <f t="shared" si="236"/>
        <v>-0.23154769046190773</v>
      </c>
      <c r="V134" s="135">
        <f t="shared" si="236"/>
        <v>-0.2547024595080985</v>
      </c>
      <c r="W134" s="135">
        <f t="shared" si="236"/>
        <v>-0.28017270545890843</v>
      </c>
      <c r="X134" s="135">
        <f t="shared" si="236"/>
        <v>-0.30818997600479925</v>
      </c>
      <c r="Y134" s="135">
        <f t="shared" si="236"/>
        <v>-0.33900897360527915</v>
      </c>
      <c r="Z134" s="135">
        <f t="shared" si="236"/>
        <v>-0.37290987096580719</v>
      </c>
      <c r="AA134" s="135">
        <f t="shared" si="236"/>
        <v>-0.41020085806238787</v>
      </c>
      <c r="AB134" s="135">
        <f t="shared" si="236"/>
        <v>-0.45122094386862677</v>
      </c>
      <c r="AC134" s="138">
        <f t="shared" ref="AC134" si="237">((AB134/G134)^(1/($AB$3-$H$1) ))-1</f>
        <v>-3.2318247375995868E-2</v>
      </c>
      <c r="AD134" s="31">
        <v>0.08</v>
      </c>
      <c r="AE134" s="127">
        <f t="shared" si="225"/>
        <v>-6.2376896254778602</v>
      </c>
    </row>
    <row r="135" spans="2:31">
      <c r="B135" s="20" t="s">
        <v>323</v>
      </c>
      <c r="C135" s="162">
        <f t="shared" ref="C135:P135" si="238">C46/C129</f>
        <v>0</v>
      </c>
      <c r="D135" s="162">
        <f t="shared" si="238"/>
        <v>0</v>
      </c>
      <c r="E135" s="162">
        <f t="shared" si="238"/>
        <v>0</v>
      </c>
      <c r="F135" s="162">
        <f t="shared" si="238"/>
        <v>0</v>
      </c>
      <c r="G135" s="162">
        <f t="shared" si="238"/>
        <v>0.71537290715372914</v>
      </c>
      <c r="H135" s="162">
        <f t="shared" si="238"/>
        <v>0.46575342465753428</v>
      </c>
      <c r="I135" s="162">
        <f t="shared" si="238"/>
        <v>8.9130434782608695E-2</v>
      </c>
      <c r="J135" s="162">
        <f t="shared" si="238"/>
        <v>-9.4850948509485108E-3</v>
      </c>
      <c r="K135" s="162">
        <f t="shared" si="238"/>
        <v>2.0159151193633951E-3</v>
      </c>
      <c r="L135" s="162">
        <f t="shared" si="238"/>
        <v>2.8373015873015873E-2</v>
      </c>
      <c r="M135" s="162">
        <f t="shared" si="238"/>
        <v>2.8352490421455941E-2</v>
      </c>
      <c r="N135" s="162">
        <f t="shared" si="238"/>
        <v>3.5862068965517246E-2</v>
      </c>
      <c r="O135" s="162">
        <f t="shared" si="238"/>
        <v>0.36896551724137938</v>
      </c>
      <c r="P135" s="162">
        <f t="shared" si="238"/>
        <v>0.10977011494252874</v>
      </c>
      <c r="Q135" s="128"/>
      <c r="R135" s="128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  <c r="AC135" s="138"/>
      <c r="AD135" s="31"/>
      <c r="AE135" s="127"/>
    </row>
    <row r="136" spans="2:31">
      <c r="B136" s="20" t="s">
        <v>324</v>
      </c>
      <c r="C136" s="153">
        <f t="shared" ref="C136:P136" si="239">C40/C129</f>
        <v>7.1428571428571425E-2</v>
      </c>
      <c r="D136" s="153">
        <f t="shared" si="239"/>
        <v>7.1428571428571425E-2</v>
      </c>
      <c r="E136" s="153">
        <f t="shared" si="239"/>
        <v>7.1428571428571425E-2</v>
      </c>
      <c r="F136" s="153">
        <f t="shared" si="239"/>
        <v>6.25E-2</v>
      </c>
      <c r="G136" s="153">
        <f t="shared" si="239"/>
        <v>8.3333333333333329E-2</v>
      </c>
      <c r="H136" s="153">
        <f t="shared" si="239"/>
        <v>6.6666666666666666E-2</v>
      </c>
      <c r="I136" s="153">
        <f t="shared" si="239"/>
        <v>1.04E-2</v>
      </c>
      <c r="J136" s="153">
        <f t="shared" si="239"/>
        <v>3.0000000000000001E-3</v>
      </c>
      <c r="K136" s="153">
        <f t="shared" si="239"/>
        <v>7.2000000000000005E-4</v>
      </c>
      <c r="L136" s="153">
        <f t="shared" si="239"/>
        <v>8.9999999999999998E-4</v>
      </c>
      <c r="M136" s="153">
        <f t="shared" si="239"/>
        <v>2.4000000000000002E-3</v>
      </c>
      <c r="N136" s="153">
        <f t="shared" si="239"/>
        <v>7.1999999999999998E-3</v>
      </c>
      <c r="O136" s="153">
        <f t="shared" si="239"/>
        <v>1.8000000000000002E-2</v>
      </c>
      <c r="P136" s="153">
        <f t="shared" si="239"/>
        <v>9.0000000000000011E-3</v>
      </c>
      <c r="Q136" s="128"/>
      <c r="R136" s="128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8"/>
      <c r="AD136" s="31"/>
      <c r="AE136" s="127"/>
    </row>
    <row r="137" spans="2:31">
      <c r="B137" s="20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28"/>
      <c r="R137" s="128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8"/>
      <c r="AD137" s="31"/>
      <c r="AE137" s="127"/>
    </row>
    <row r="138" spans="2:31">
      <c r="B138" s="20"/>
      <c r="C138" s="129"/>
      <c r="D138" s="129"/>
      <c r="E138" s="129"/>
      <c r="F138" s="129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28"/>
      <c r="R138" s="128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7"/>
      <c r="AD138" s="20"/>
      <c r="AE138" s="127"/>
    </row>
    <row r="139" spans="2:31">
      <c r="B139" s="108" t="s">
        <v>302</v>
      </c>
      <c r="C139" s="20"/>
      <c r="D139" s="20"/>
      <c r="E139" s="20"/>
      <c r="F139" s="20"/>
      <c r="G139" s="20"/>
      <c r="H139" s="20"/>
      <c r="I139" s="20"/>
      <c r="J139" s="20"/>
      <c r="K139" s="186" t="s">
        <v>355</v>
      </c>
      <c r="L139" s="187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>
      <c r="B140" s="20" t="s">
        <v>300</v>
      </c>
      <c r="C140" s="20" t="s">
        <v>316</v>
      </c>
      <c r="D140" s="20"/>
      <c r="E140" s="20"/>
      <c r="F140" s="20"/>
      <c r="G140" s="20"/>
      <c r="H140" s="20"/>
      <c r="I140" s="20"/>
      <c r="J140" s="20"/>
      <c r="K140" s="20" t="s">
        <v>356</v>
      </c>
      <c r="L140" s="20"/>
      <c r="M140" s="20"/>
      <c r="N140" s="20"/>
      <c r="O140" s="20"/>
      <c r="P140" s="128">
        <f>(P129-R117)/P129</f>
        <v>0.85109277066764533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>
      <c r="B141" s="20" t="s">
        <v>353</v>
      </c>
      <c r="C141" s="20" t="s">
        <v>316</v>
      </c>
      <c r="D141" s="20"/>
      <c r="E141" s="20"/>
      <c r="F141" s="20"/>
      <c r="G141" s="20"/>
      <c r="H141" s="20"/>
      <c r="I141" s="20"/>
      <c r="J141" s="20"/>
      <c r="K141" s="188">
        <v>1</v>
      </c>
      <c r="L141" s="20"/>
      <c r="M141" s="128">
        <f>(P129-(K141*R108))/P129</f>
        <v>27.844593940963609</v>
      </c>
      <c r="N141" s="20"/>
      <c r="O141" s="20"/>
      <c r="P141" s="128">
        <f>(P129-R108)/P129</f>
        <v>27.844593940963609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>
      <c r="B142" s="20" t="s">
        <v>354</v>
      </c>
      <c r="C142" s="20" t="s">
        <v>316</v>
      </c>
      <c r="D142" s="20"/>
      <c r="E142" s="20"/>
      <c r="F142" s="20"/>
      <c r="G142" s="20"/>
      <c r="H142" s="20"/>
      <c r="I142" s="20"/>
      <c r="J142" s="20"/>
      <c r="K142" s="188">
        <v>1</v>
      </c>
      <c r="L142" s="20"/>
      <c r="M142" s="128">
        <f>(P129-(K141*R101))/P129</f>
        <v>-7.8113179272329099</v>
      </c>
      <c r="N142" s="20"/>
      <c r="O142" s="20"/>
      <c r="P142" s="128">
        <f>(P129-R101)/P129</f>
        <v>-7.8113179272329099</v>
      </c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>
      <c r="B143" s="20" t="s">
        <v>301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5">
        <f>P129/R100</f>
        <v>1.9507276683626047</v>
      </c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</row>
    <row r="145" spans="2:31">
      <c r="B145" s="108" t="s">
        <v>303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</row>
    <row r="146" spans="2:31">
      <c r="B146" s="20" t="s">
        <v>306</v>
      </c>
      <c r="C146" s="25" t="e">
        <f t="shared" ref="C146:P146" si="240">C10/C7</f>
        <v>#DIV/0!</v>
      </c>
      <c r="D146" s="25" t="e">
        <f t="shared" si="240"/>
        <v>#DIV/0!</v>
      </c>
      <c r="E146" s="25" t="e">
        <f t="shared" si="240"/>
        <v>#DIV/0!</v>
      </c>
      <c r="F146" s="25" t="e">
        <f t="shared" si="240"/>
        <v>#DIV/0!</v>
      </c>
      <c r="G146" s="25">
        <f t="shared" si="240"/>
        <v>1.3615819209039548</v>
      </c>
      <c r="H146" s="25">
        <f t="shared" si="240"/>
        <v>3.2590909090909093</v>
      </c>
      <c r="I146" s="25">
        <f t="shared" si="240"/>
        <v>2.5790697674418603</v>
      </c>
      <c r="J146" s="25">
        <f t="shared" si="240"/>
        <v>20.475471698113207</v>
      </c>
      <c r="K146" s="25">
        <f t="shared" si="240"/>
        <v>16.0826140567201</v>
      </c>
      <c r="L146" s="25">
        <f t="shared" si="240"/>
        <v>9.5384174311926611</v>
      </c>
      <c r="M146" s="25">
        <f t="shared" si="240"/>
        <v>6.4972477064220184</v>
      </c>
      <c r="N146" s="25">
        <f t="shared" si="240"/>
        <v>6.1167369901547115</v>
      </c>
      <c r="O146" s="25">
        <f t="shared" si="240"/>
        <v>4.0898287312128625</v>
      </c>
      <c r="P146" s="25">
        <f t="shared" si="240"/>
        <v>3.6140724946695095</v>
      </c>
      <c r="Q146" s="118">
        <f t="shared" ref="Q146:Q148" si="241">((P146/G146)^(1/($H$2-$H$1) ))-1</f>
        <v>0.11456627581920009</v>
      </c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</row>
    <row r="147" spans="2:31">
      <c r="B147" s="20" t="s">
        <v>307</v>
      </c>
      <c r="C147" s="112" t="e">
        <f>C10/C12</f>
        <v>#DIV/0!</v>
      </c>
      <c r="D147" s="112" t="e">
        <f>D10/D12</f>
        <v>#DIV/0!</v>
      </c>
      <c r="E147" s="112" t="e">
        <f>E10/E12</f>
        <v>#DIV/0!</v>
      </c>
      <c r="F147" s="112" t="e">
        <f>F10/F12</f>
        <v>#DIV/0!</v>
      </c>
      <c r="G147" s="112">
        <f>G10/G12</f>
        <v>5.7380952380952381</v>
      </c>
      <c r="H147" s="112">
        <f t="shared" ref="H147:P147" si="242">H10/H12</f>
        <v>7.3163265306122449</v>
      </c>
      <c r="I147" s="112">
        <f t="shared" si="242"/>
        <v>110.9</v>
      </c>
      <c r="J147" s="112">
        <f t="shared" si="242"/>
        <v>8.1840120663650069</v>
      </c>
      <c r="K147" s="112">
        <f t="shared" si="242"/>
        <v>13.729473684210527</v>
      </c>
      <c r="L147" s="112">
        <f t="shared" si="242"/>
        <v>27.957983193277311</v>
      </c>
      <c r="M147" s="112">
        <f t="shared" si="242"/>
        <v>60.272340425531915</v>
      </c>
      <c r="N147" s="112">
        <f t="shared" si="242"/>
        <v>21.927731092436975</v>
      </c>
      <c r="O147" s="112">
        <f t="shared" si="242"/>
        <v>139.29761904761904</v>
      </c>
      <c r="P147" s="112">
        <f t="shared" si="242"/>
        <v>85.978260869565219</v>
      </c>
      <c r="Q147" s="118">
        <f t="shared" si="241"/>
        <v>0.35090417812460029</v>
      </c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</row>
    <row r="148" spans="2:31">
      <c r="B148" s="20" t="s">
        <v>308</v>
      </c>
      <c r="C148" s="25" t="e">
        <f>C10/(C12+C13)</f>
        <v>#DIV/0!</v>
      </c>
      <c r="D148" s="25" t="e">
        <f>D10/(D12+D13)</f>
        <v>#DIV/0!</v>
      </c>
      <c r="E148" s="25" t="e">
        <f>E10/(E12+E13)</f>
        <v>#DIV/0!</v>
      </c>
      <c r="F148" s="25" t="e">
        <f>F10/(F12+F13)</f>
        <v>#DIV/0!</v>
      </c>
      <c r="G148" s="25">
        <f>G10/(G12+G13)</f>
        <v>2.0423728813559321</v>
      </c>
      <c r="H148" s="25">
        <f t="shared" ref="H148:P148" si="243">H10/(H12+H13)</f>
        <v>5.9256198347107434</v>
      </c>
      <c r="I148" s="25">
        <f t="shared" si="243"/>
        <v>38.241379310344826</v>
      </c>
      <c r="J148" s="25">
        <f t="shared" si="243"/>
        <v>6.0490523968784835</v>
      </c>
      <c r="K148" s="25">
        <f t="shared" si="243"/>
        <v>8.2083071113908126</v>
      </c>
      <c r="L148" s="25">
        <f t="shared" si="243"/>
        <v>14.217948717948717</v>
      </c>
      <c r="M148" s="25">
        <f t="shared" si="243"/>
        <v>19.402739726027399</v>
      </c>
      <c r="N148" s="25">
        <f t="shared" si="243"/>
        <v>21.388524590163936</v>
      </c>
      <c r="O148" s="25">
        <f t="shared" si="243"/>
        <v>133.86340235670977</v>
      </c>
      <c r="P148" s="25">
        <f t="shared" si="243"/>
        <v>82.270142837331861</v>
      </c>
      <c r="Q148" s="118">
        <f t="shared" si="241"/>
        <v>0.50780523294576474</v>
      </c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</row>
    <row r="149" spans="2:31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</row>
    <row r="150" spans="2:31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</row>
    <row r="151" spans="2:31">
      <c r="B151" s="20"/>
      <c r="C151" s="20"/>
      <c r="D151" s="20"/>
      <c r="E151" s="20"/>
      <c r="F151" s="20"/>
      <c r="G151" s="20"/>
      <c r="H151" s="20"/>
      <c r="I151" s="177" t="s">
        <v>341</v>
      </c>
      <c r="J151" s="178"/>
      <c r="K151" s="179"/>
      <c r="L151" s="20"/>
      <c r="M151" s="20"/>
      <c r="N151" s="20"/>
      <c r="O151" s="177" t="s">
        <v>342</v>
      </c>
      <c r="P151" s="178"/>
      <c r="Q151" s="179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</row>
    <row r="152" spans="2:31">
      <c r="B152" s="20"/>
      <c r="C152" s="20"/>
      <c r="D152" s="20"/>
      <c r="E152" s="20"/>
      <c r="F152" s="20"/>
      <c r="G152" s="20"/>
      <c r="H152" s="20"/>
      <c r="I152" s="167" t="s">
        <v>343</v>
      </c>
      <c r="J152" s="167"/>
      <c r="K152" s="167" t="s">
        <v>0</v>
      </c>
      <c r="L152" s="23" t="s">
        <v>344</v>
      </c>
      <c r="M152" s="20"/>
      <c r="N152" s="20"/>
      <c r="O152" s="167" t="s">
        <v>343</v>
      </c>
      <c r="P152" s="167"/>
      <c r="Q152" s="167" t="s">
        <v>0</v>
      </c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</row>
    <row r="153" spans="2:31">
      <c r="B153" s="20"/>
      <c r="C153" s="20"/>
      <c r="D153" s="20"/>
      <c r="E153" s="20"/>
      <c r="F153" s="20"/>
      <c r="G153" s="20"/>
      <c r="H153" s="20"/>
      <c r="I153" s="168" t="s">
        <v>345</v>
      </c>
      <c r="J153" s="168"/>
      <c r="K153" s="21">
        <v>80</v>
      </c>
      <c r="L153" s="20"/>
      <c r="M153" s="20"/>
      <c r="N153" s="20"/>
      <c r="O153" s="168" t="s">
        <v>345</v>
      </c>
      <c r="P153" s="168"/>
      <c r="Q153" s="21">
        <v>24</v>
      </c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</row>
    <row r="154" spans="2:31">
      <c r="B154" s="20"/>
      <c r="C154" s="20"/>
      <c r="D154" s="20"/>
      <c r="E154" s="20"/>
      <c r="F154" s="20"/>
      <c r="G154" s="20"/>
      <c r="H154" s="20"/>
      <c r="I154" s="168" t="s">
        <v>346</v>
      </c>
      <c r="J154" s="168"/>
      <c r="K154" s="21">
        <v>1</v>
      </c>
      <c r="L154" s="20"/>
      <c r="M154" s="20"/>
      <c r="N154" s="20"/>
      <c r="O154" s="168" t="s">
        <v>346</v>
      </c>
      <c r="P154" s="168"/>
      <c r="Q154" s="21">
        <v>1</v>
      </c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</row>
    <row r="155" spans="2:31">
      <c r="B155" s="20"/>
      <c r="C155" s="20"/>
      <c r="D155" s="20"/>
      <c r="E155" s="20"/>
      <c r="F155" s="20"/>
      <c r="G155" s="20"/>
      <c r="H155" s="20"/>
      <c r="I155" s="168" t="s">
        <v>347</v>
      </c>
      <c r="J155" s="168"/>
      <c r="K155" s="169">
        <f>K153*K154</f>
        <v>80</v>
      </c>
      <c r="L155" s="20"/>
      <c r="M155" s="20"/>
      <c r="N155" s="20"/>
      <c r="O155" s="168" t="s">
        <v>348</v>
      </c>
      <c r="P155" s="168"/>
      <c r="Q155" s="169">
        <f>Q153*Q154</f>
        <v>24</v>
      </c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</row>
    <row r="156" spans="2:31">
      <c r="B156" s="20"/>
      <c r="C156" s="20"/>
      <c r="D156" s="20"/>
      <c r="E156" s="20"/>
      <c r="F156" s="20"/>
      <c r="G156" s="20"/>
      <c r="H156" s="20"/>
      <c r="I156" s="168" t="s">
        <v>349</v>
      </c>
      <c r="J156" s="168"/>
      <c r="K156" s="21">
        <v>370</v>
      </c>
      <c r="L156" s="20"/>
      <c r="M156" s="20"/>
      <c r="N156" s="20"/>
      <c r="O156" s="168" t="s">
        <v>349</v>
      </c>
      <c r="P156" s="168"/>
      <c r="Q156" s="21">
        <v>540</v>
      </c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</row>
    <row r="157" spans="2:31">
      <c r="B157" s="20"/>
      <c r="C157" s="20"/>
      <c r="D157" s="20"/>
      <c r="E157" s="20"/>
      <c r="F157" s="20"/>
      <c r="G157" s="20"/>
      <c r="H157" s="20"/>
      <c r="I157" s="168" t="s">
        <v>350</v>
      </c>
      <c r="J157" s="168"/>
      <c r="K157" s="169">
        <f>K156*K154</f>
        <v>370</v>
      </c>
      <c r="L157" s="20"/>
      <c r="M157" s="20"/>
      <c r="N157" s="20"/>
      <c r="O157" s="168" t="s">
        <v>346</v>
      </c>
      <c r="P157" s="168"/>
      <c r="Q157" s="21">
        <v>1</v>
      </c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</row>
    <row r="158" spans="2:31">
      <c r="B158" s="20"/>
      <c r="C158" s="20"/>
      <c r="D158" s="20"/>
      <c r="E158" s="20"/>
      <c r="F158" s="20"/>
      <c r="G158" s="20"/>
      <c r="H158" s="20"/>
      <c r="I158" s="168"/>
      <c r="J158" s="168"/>
      <c r="K158" s="169"/>
      <c r="L158" s="20"/>
      <c r="M158" s="20"/>
      <c r="N158" s="20"/>
      <c r="O158" s="168" t="s">
        <v>348</v>
      </c>
      <c r="P158" s="168"/>
      <c r="Q158" s="169">
        <f>Q157*Q156</f>
        <v>540</v>
      </c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</row>
    <row r="159" spans="2:31">
      <c r="B159" s="20"/>
      <c r="C159" s="20"/>
      <c r="D159" s="20"/>
      <c r="E159" s="20"/>
      <c r="F159" s="20"/>
      <c r="G159" s="20"/>
      <c r="H159" s="20"/>
      <c r="I159" s="168"/>
      <c r="J159" s="168"/>
      <c r="K159" s="169"/>
      <c r="L159" s="20"/>
      <c r="M159" s="20"/>
      <c r="N159" s="20"/>
      <c r="O159" s="168"/>
      <c r="P159" s="168"/>
      <c r="Q159" s="169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</row>
    <row r="160" spans="2:31">
      <c r="B160" s="20"/>
      <c r="C160" s="20"/>
      <c r="D160" s="20"/>
      <c r="E160" s="20"/>
      <c r="F160" s="20"/>
      <c r="G160" s="20"/>
      <c r="H160" s="20"/>
      <c r="I160" s="170" t="s">
        <v>351</v>
      </c>
      <c r="J160" s="170"/>
      <c r="K160" s="171">
        <f>K157/K155</f>
        <v>4.625</v>
      </c>
      <c r="L160" s="20"/>
      <c r="M160" s="20"/>
      <c r="N160" s="20"/>
      <c r="O160" s="170" t="s">
        <v>351</v>
      </c>
      <c r="P160" s="170"/>
      <c r="Q160" s="171">
        <f>Q158/Q155</f>
        <v>22.5</v>
      </c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</row>
    <row r="161" spans="2:31"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</row>
  </sheetData>
  <mergeCells count="5">
    <mergeCell ref="AD2:AE2"/>
    <mergeCell ref="AD3:AE3"/>
    <mergeCell ref="I151:K151"/>
    <mergeCell ref="O151:Q151"/>
    <mergeCell ref="K139:L139"/>
  </mergeCells>
  <pageMargins left="0.7" right="0.7" top="0.75" bottom="0.75" header="0.3" footer="0.3"/>
  <pageSetup orientation="portrait" r:id="rId1"/>
  <ignoredErrors>
    <ignoredError sqref="C130" evalError="1"/>
    <ignoredError sqref="T3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D1" zoomScale="80" zoomScaleNormal="80" workbookViewId="0">
      <selection activeCell="F33" sqref="F33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80" t="s">
        <v>27</v>
      </c>
      <c r="K5" s="180"/>
      <c r="M5" s="180" t="s">
        <v>65</v>
      </c>
      <c r="N5" s="180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80" t="s">
        <v>36</v>
      </c>
      <c r="K14" s="180"/>
      <c r="L14" s="180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180" t="s">
        <v>27</v>
      </c>
      <c r="S5" s="180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80" t="s">
        <v>36</v>
      </c>
      <c r="S14" s="180"/>
      <c r="T14" s="180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180" t="s">
        <v>27</v>
      </c>
      <c r="C2" s="180"/>
      <c r="E2" s="180" t="s">
        <v>65</v>
      </c>
      <c r="F2" s="180"/>
      <c r="H2" s="184" t="s">
        <v>36</v>
      </c>
      <c r="I2" s="185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181" t="s">
        <v>68</v>
      </c>
      <c r="E10" s="182"/>
      <c r="F10" s="182"/>
      <c r="G10" s="182"/>
      <c r="H10" s="183"/>
      <c r="I10" s="181" t="s">
        <v>72</v>
      </c>
      <c r="J10" s="182"/>
      <c r="K10" s="182"/>
      <c r="L10" s="183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2013-11-27T02:04:23Z</dcterms:modified>
</cp:coreProperties>
</file>
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R60" i="18"/>
  <c r="Q60"/>
  <c r="P60"/>
  <c r="O60"/>
  <c r="N60"/>
  <c r="M60"/>
  <c r="L60"/>
  <c r="K60"/>
  <c r="J60"/>
  <c r="I60"/>
  <c r="H60"/>
  <c r="R58"/>
  <c r="Q58"/>
  <c r="P58"/>
  <c r="O58"/>
  <c r="N58"/>
  <c r="M58"/>
  <c r="L58"/>
  <c r="K58"/>
  <c r="J58"/>
  <c r="I58"/>
  <c r="H58"/>
  <c r="G58"/>
  <c r="R56"/>
  <c r="Q56"/>
  <c r="P56"/>
  <c r="O56"/>
  <c r="N56"/>
  <c r="M56"/>
  <c r="L56"/>
  <c r="K56"/>
  <c r="J56"/>
  <c r="I56"/>
  <c r="H56"/>
  <c r="G56"/>
  <c r="R54"/>
  <c r="Q54"/>
  <c r="P54"/>
  <c r="O54"/>
  <c r="N54"/>
  <c r="M54"/>
  <c r="L54"/>
  <c r="K54"/>
  <c r="J54"/>
  <c r="I54"/>
  <c r="H54"/>
  <c r="G54"/>
  <c r="R52"/>
  <c r="Q52"/>
  <c r="P52"/>
  <c r="O52"/>
  <c r="N52"/>
  <c r="M52"/>
  <c r="L52"/>
  <c r="K52"/>
  <c r="J52"/>
  <c r="I52"/>
  <c r="H52"/>
  <c r="G52"/>
  <c r="H49"/>
  <c r="R48"/>
  <c r="Q48"/>
  <c r="P48"/>
  <c r="O48"/>
  <c r="N48"/>
  <c r="M48"/>
  <c r="L48"/>
  <c r="K48"/>
  <c r="J48"/>
  <c r="H48"/>
  <c r="H47"/>
  <c r="I48" s="1"/>
  <c r="R46"/>
  <c r="Q46"/>
  <c r="P46"/>
  <c r="O46"/>
  <c r="N46"/>
  <c r="M46"/>
  <c r="L46"/>
  <c r="K46"/>
  <c r="J46"/>
  <c r="H46"/>
  <c r="H45"/>
  <c r="I46" s="1"/>
  <c r="R44"/>
  <c r="Q44"/>
  <c r="P44"/>
  <c r="O44"/>
  <c r="N44"/>
  <c r="M44"/>
  <c r="L44"/>
  <c r="K44"/>
  <c r="J44"/>
  <c r="H44"/>
  <c r="H43"/>
  <c r="I44" s="1"/>
  <c r="H42"/>
  <c r="H41"/>
  <c r="H40"/>
  <c r="R39"/>
  <c r="Q39"/>
  <c r="P39"/>
  <c r="O39"/>
  <c r="N39"/>
  <c r="M39"/>
  <c r="L39"/>
  <c r="K39"/>
  <c r="J39"/>
  <c r="H38"/>
  <c r="H39" s="1"/>
  <c r="R37"/>
  <c r="Q37"/>
  <c r="P37"/>
  <c r="O37"/>
  <c r="N37"/>
  <c r="M37"/>
  <c r="L37"/>
  <c r="K37"/>
  <c r="J37"/>
  <c r="H36"/>
  <c r="H37" s="1"/>
  <c r="H32"/>
  <c r="H31"/>
  <c r="R30"/>
  <c r="Q30"/>
  <c r="P30"/>
  <c r="O30"/>
  <c r="N30"/>
  <c r="M30"/>
  <c r="L30"/>
  <c r="K30"/>
  <c r="J30"/>
  <c r="I30"/>
  <c r="H30"/>
  <c r="G30"/>
  <c r="R28"/>
  <c r="Q28"/>
  <c r="P28"/>
  <c r="O28"/>
  <c r="N28"/>
  <c r="M28"/>
  <c r="L28"/>
  <c r="K28"/>
  <c r="J28"/>
  <c r="I28"/>
  <c r="H28"/>
  <c r="G28"/>
  <c r="R26"/>
  <c r="Q26"/>
  <c r="P26"/>
  <c r="O26"/>
  <c r="N26"/>
  <c r="M26"/>
  <c r="L26"/>
  <c r="K26"/>
  <c r="J26"/>
  <c r="I26"/>
  <c r="H26"/>
  <c r="G26"/>
  <c r="K23"/>
  <c r="K22"/>
  <c r="K21"/>
  <c r="K20"/>
  <c r="R11"/>
  <c r="Q11"/>
  <c r="P11"/>
  <c r="O11"/>
  <c r="N11"/>
  <c r="M11"/>
  <c r="L11"/>
  <c r="K11"/>
  <c r="J11"/>
  <c r="I11"/>
  <c r="H11"/>
  <c r="G11"/>
  <c r="R8"/>
  <c r="Q8"/>
  <c r="P8"/>
  <c r="O8"/>
  <c r="N8"/>
  <c r="M8"/>
  <c r="L8"/>
  <c r="K8"/>
  <c r="J8"/>
  <c r="I8"/>
  <c r="H8"/>
  <c r="I37" l="1"/>
  <c r="I39"/>
  <c r="H266" l="1"/>
  <c r="H268" s="1"/>
  <c r="H269" s="1"/>
  <c r="H265"/>
  <c r="H264"/>
  <c r="T201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G66"/>
  <c r="H66"/>
  <c r="H202" s="1"/>
  <c r="G67"/>
  <c r="H67"/>
  <c r="G68"/>
  <c r="H68"/>
  <c r="G70"/>
  <c r="G204" s="1"/>
  <c r="H70"/>
  <c r="H204" s="1"/>
  <c r="G71"/>
  <c r="G205" s="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T90" s="1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T126" s="1"/>
  <c r="H126"/>
  <c r="G127"/>
  <c r="T127" s="1"/>
  <c r="H127"/>
  <c r="G128"/>
  <c r="T128" s="1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G142" s="1"/>
  <c r="H141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T162" s="1"/>
  <c r="H162"/>
  <c r="G163"/>
  <c r="H163"/>
  <c r="G164"/>
  <c r="H164"/>
  <c r="G166"/>
  <c r="H166"/>
  <c r="G167"/>
  <c r="H167"/>
  <c r="T130" l="1"/>
  <c r="H215"/>
  <c r="H216"/>
  <c r="H217" s="1"/>
  <c r="H214"/>
  <c r="G214"/>
  <c r="G203"/>
  <c r="G209"/>
  <c r="G202"/>
  <c r="H267"/>
  <c r="H270"/>
  <c r="G100"/>
  <c r="G75"/>
  <c r="S129"/>
  <c r="T129" s="1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S130"/>
  <c r="R130"/>
  <c r="Q130"/>
  <c r="P130"/>
  <c r="O130"/>
  <c r="N130"/>
  <c r="M130"/>
  <c r="L130"/>
  <c r="K130"/>
  <c r="J130"/>
  <c r="I130"/>
  <c r="V57"/>
  <c r="G215" l="1"/>
  <c r="G216"/>
  <c r="G206"/>
  <c r="AF47"/>
  <c r="S126"/>
  <c r="R126"/>
  <c r="Q126"/>
  <c r="P126"/>
  <c r="O126"/>
  <c r="N126"/>
  <c r="M126"/>
  <c r="L126"/>
  <c r="K126"/>
  <c r="J126"/>
  <c r="U49"/>
  <c r="S46"/>
  <c r="S44"/>
  <c r="S39"/>
  <c r="S37"/>
  <c r="I126"/>
  <c r="G217" l="1"/>
  <c r="S132"/>
  <c r="T132" s="1"/>
  <c r="S131"/>
  <c r="T131" s="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S58"/>
  <c r="S56"/>
  <c r="S54"/>
  <c r="S52"/>
  <c r="S30"/>
  <c r="S28"/>
  <c r="S26"/>
  <c r="S11"/>
  <c r="S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AH47" s="1"/>
  <c r="V220" l="1"/>
  <c r="G220"/>
  <c r="H220"/>
  <c r="V225"/>
  <c r="V226" s="1"/>
  <c r="V227" s="1"/>
  <c r="G225"/>
  <c r="H225"/>
  <c r="AB38"/>
  <c r="AA127"/>
  <c r="AB36"/>
  <c r="AA126"/>
  <c r="AA128"/>
  <c r="AH45"/>
  <c r="AH40"/>
  <c r="AH49"/>
  <c r="AH41"/>
  <c r="AH42"/>
  <c r="AH43"/>
  <c r="M225"/>
  <c r="M226" s="1"/>
  <c r="M227" s="1"/>
  <c r="V221"/>
  <c r="V222" s="1"/>
  <c r="V219"/>
  <c r="S225"/>
  <c r="T225" s="1"/>
  <c r="R225"/>
  <c r="R224" s="1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24" l="1"/>
  <c r="S205"/>
  <c r="T205" s="1"/>
  <c r="T71"/>
  <c r="S204"/>
  <c r="T204" s="1"/>
  <c r="T70"/>
  <c r="H224"/>
  <c r="H226"/>
  <c r="H227" s="1"/>
  <c r="G224"/>
  <c r="G226"/>
  <c r="H219"/>
  <c r="H221"/>
  <c r="H222" s="1"/>
  <c r="T220"/>
  <c r="G219"/>
  <c r="G22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21" l="1"/>
  <c r="G222"/>
  <c r="T222" s="1"/>
  <c r="T224"/>
  <c r="T226"/>
  <c r="G227"/>
  <c r="T227" s="1"/>
  <c r="T219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2" s="1"/>
  <c r="T92" s="1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3" s="1"/>
  <c r="T163" s="1"/>
  <c r="S166"/>
  <c r="T166" s="1"/>
  <c r="S167"/>
  <c r="T167" s="1"/>
  <c r="V17"/>
  <c r="V19"/>
  <c r="V24"/>
  <c r="S208" l="1"/>
  <c r="T208" s="1"/>
  <c r="T86"/>
  <c r="S209"/>
  <c r="T209" s="1"/>
  <c r="T80"/>
  <c r="S206"/>
  <c r="T206" s="1"/>
  <c r="T75"/>
  <c r="S139"/>
  <c r="T88"/>
  <c r="S214"/>
  <c r="T214" s="1"/>
  <c r="T72"/>
  <c r="S110"/>
  <c r="T110" s="1"/>
  <c r="T68"/>
  <c r="S164"/>
  <c r="T164" s="1"/>
  <c r="T98"/>
  <c r="S122"/>
  <c r="T122" s="1"/>
  <c r="T116"/>
  <c r="S120"/>
  <c r="T120" s="1"/>
  <c r="T114"/>
  <c r="S121"/>
  <c r="T121" s="1"/>
  <c r="T115"/>
  <c r="S119"/>
  <c r="T119" s="1"/>
  <c r="T113"/>
  <c r="S202"/>
  <c r="T202" s="1"/>
  <c r="T66"/>
  <c r="S118"/>
  <c r="T118" s="1"/>
  <c r="T112"/>
  <c r="R238"/>
  <c r="S203"/>
  <c r="T203" s="1"/>
  <c r="S84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07" l="1"/>
  <c r="T207" s="1"/>
  <c r="T84"/>
  <c r="S140"/>
  <c r="T139"/>
  <c r="S216"/>
  <c r="S215"/>
  <c r="T215" s="1"/>
  <c r="J238"/>
  <c r="U59"/>
  <c r="V59" s="1"/>
  <c r="T140" l="1"/>
  <c r="S141"/>
  <c r="S143"/>
  <c r="T143" s="1"/>
  <c r="S217"/>
  <c r="T217" s="1"/>
  <c r="T216"/>
  <c r="M234"/>
  <c r="M233"/>
  <c r="M232"/>
  <c r="M231"/>
  <c r="T141" l="1"/>
  <c r="S142"/>
  <c r="T142" s="1"/>
  <c r="AG53"/>
  <c r="U53"/>
  <c r="V53" l="1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V25"/>
  <c r="V129" s="1"/>
  <c r="V27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<sst xmlns="http://schemas.openxmlformats.org/spreadsheetml/2006/main" count="700" uniqueCount="496">
  <si>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</si>
  <si>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</si>
  <si>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</si>
  <si>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</si>
  <si>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</si>
  <si>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</si>
  <si>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</si>
  <si>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</si>
  <si>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</si>
  <si>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</si>
  <si>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</si>
  <si>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</si>
  <si>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</si>
  <si>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</si>
  <si>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</si>
  <si>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</si>
  <si>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</si>
  <si>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</si>
  <si>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</si>
  <si>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</si>
  <si>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</si>
  <si>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</si>
  <si>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</si>
  <si>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</si>
  <si>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</si>
  <si>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</si>
  <si>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</si>
  <si>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</si>
  <si>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</si>
  <si>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</si>
  <si>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</si>
  <si>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</si>
  <si>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</si>
  <si>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</si>
  <si>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</si>
  <si>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</si>
  <si>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</si>
  <si>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</si>
  <si>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</si>
  <si>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</si>
  <si>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</si>
  <si>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</si>
  <si>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</si>
  <si>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</si>
  <si>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</si>
  <si>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</si>
  <si>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</si>
  <si>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</si>
  <si>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</si>
  <si>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</si>
  <si>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</si>
  <si>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</si>
  <si>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</si>
  <si>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</si>
  <si>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</si>
  <si>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</si>
  <si>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</si>
  <si>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</si>
  <si>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</si>
  <si>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</si>
  <si>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</si>
  <si>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</si>
  <si>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</si>
  <si>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</si>
  <si>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</si>
  <si>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</si>
  <si>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</si>
  <si>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</si>
  <si>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</si>
  <si>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</si>
  <si>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</si>
  <si>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</si>
  <si>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</si>
  <si>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</si>
  <si>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</si>
  <si>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</si>
  <si>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</si>
  <si>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</si>
  <si>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</si>
  <si>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</si>
  <si>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</si>
  <si>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</si>
  <si>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</si>
  <si>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</si>
  <si>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</si>
  <si>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</si>
  <si>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</si>
  <si>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</si>
  <si>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</si>
  <si>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</si>
  <si>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</si>
  <si>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</si>
  <si>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</si>
  <si>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</si>
  <si>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</si>
  <si>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</si>
  <si>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</si>
  <si>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</si>
  <si>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</si>
  <si>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</si>
  <si>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</si>
  <si>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</si>
  <si>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</si>
  <si>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</si>
  <si>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</si>
  <si>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</si>
  <si>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</si>
  <si>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</si>
  <si>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</si>
  <si>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</si>
  <si>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</si>
  <si>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</si>
  <si>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</si>
  <si>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</si>
  <si>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</si>
  <si>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</si>
  <si>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</si>
  <si>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</si>
  <si>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</si>
  <si>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</si>
  <si>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</si>
  <si>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</si>
  <si>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</si>
  <si>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</si>
  <si>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</si>
  <si>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</si>
  <si>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</si>
  <si>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</si>
  <si>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</si>
  <si>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</si>
  <si>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</si>
  <si>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</si>
  <si>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</si>
  <si>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</si>
  <si>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</si>
  <si>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</si>
  <si>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</si>
  <si>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</si>
  <si>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</si>
  <si>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</si>
  <si>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</si>
  <si>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</si>
  <si>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</si>
  <si>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</si>
  <si>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</si>
  <si>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</si>
  <si>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</si>
  <si>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</si>
  <si>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</si>
  <si>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</si>
  <si>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</si>
  <si>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</si>
  <si>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</si>
  <si>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</si>
  <si>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</si>
  <si>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</si>
  <si>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</si>
  <si>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</si>
  <si>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</si>
  <si>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</si>
  <si>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</si>
  <si>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</si>
  <si>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</si>
  <si>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</si>
  <si>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</si>
  <si>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</si>
  <si>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</si>
  <si>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</si>
  <si>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</si>
  <si>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</si>
  <si>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</si>
  <si>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</si>
  <si>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</si>
  <si>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</si>
  <si>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</si>
  <si>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</si>
  <si>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</si>
  <si>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</si>
  <si>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</si>
  <si>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</si>
  <si>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</si>
  <si>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</si>
  <si>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</si>
  <si>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</si>
  <si>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</si>
  <si>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</si>
  <si>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</si>
  <si>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</si>
  <si>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</si>
  <si>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</si>
  <si>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</si>
  <si>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</si>
  <si>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</si>
  <si>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</si>
  <si>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</si>
  <si>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</si>
  <si>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</si>
  <si>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</si>
  <si>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</si>
  <si>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</si>
  <si>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</si>
  <si>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</si>
  <si>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</si>
  <si>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</si>
  <si>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</si>
  <si>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</si>
  <si>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</si>
  <si>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</si>
  <si>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</si>
  <si>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</si>
  <si>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</si>
  <si>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</si>
  <si>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</si>
  <si>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</si>
  <si>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</si>
  <si>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</si>
  <si>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</si>
  <si>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</si>
  <si>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</si>
  <si>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</si>
  <si>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</si>
  <si>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</si>
  <si>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</si>
  <si>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</si>
  <si>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</si>
  <si>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</si>
  <si>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</si>
  <si>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</si>
  <si>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</si>
  <si>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</si>
  <si>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</si>
  <si>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</si>
  <si>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</si>
  <si>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</si>
  <si>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</si>
  <si>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</si>
  <si>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</si>
  <si>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</si>
  <si>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</si>
  <si>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</si>
  <si>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</si>
  <si>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</si>
  <si>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</si>
  <si>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</si>
  <si>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</si>
  <si>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</si>
  <si>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</si>
  <si>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</si>
  <si>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</si>
  <si>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</si>
  <si>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</si>
  <si>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</si>
  <si>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</si>
  <si>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</si>
  <si>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</si>
  <si>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</si>
  <si>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</si>
  <si>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</si>
  <si>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</si>
  <si>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</si>
  <si>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</si>
  <si>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</si>
  <si>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</si>
  <si>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</si>
  <si>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</si>
  <si>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</si>
  <si>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</si>
  <si>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</si>
  <si>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</si>
  <si>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</si>
  <si>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</si>
  <si>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</si>
  <si>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</si>
  <si>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</si>
  <si>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</si>
  <si>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</si>
  <si>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</si>
  <si>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</si>
  <si>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</si>
  <si>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</si>
  <si>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</si>
  <si>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</si>
  <si>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</si>
  <si>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</si>
  <si>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</si>
  <si>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</si>
  <si>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</si>
  <si>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</si>
  <si>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</si>
  <si>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</si>
  <si>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</si>
  <si>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</si>
  <si>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</si>
  <si>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</si>
  <si>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</si>
  <si>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</si>
  <si>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</si>
  <si>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</si>
  <si>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</si>
  <si>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</si>
  <si>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</si>
  <si>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</si>
  <si>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</si>
  <si>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</si>
  <si>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</si>
  <si>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</si>
  <si>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</si>
  <si>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</si>
  <si>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</si>
  <si>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</si>
  <si>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</si>
  <si>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</si>
  <si>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</si>
  <si>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</si>
  <si>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</si>
  <si>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</si>
  <si>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</si>
  <si>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</si>
  <si>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</si>
  <si>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</si>
  <si>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</si>
  <si>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</si>
  <si>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</si>
  <si>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</si>
  <si>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</si>
  <si>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</si>
  <si>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</si>
  <si>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</si>
  <si>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</si>
  <si>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</si>
  <si>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</si>
  <si>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</si>
  <si>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</si>
  <si>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</si>
  <si>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</si>
  <si>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</si>
  <si>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</si>
  <si>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</si>
  <si>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</si>
  <si>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</si>
  <si>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</si>
  <si>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</si>
  <si>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</si>
  <si>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</si>
  <si>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</si>
  <si>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</si>
  <si>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</si>
  <si>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</si>
  <si>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</si>
  <si>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</si>
  <si>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</si>
  <si>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</si>
  <si>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</si>
  <si>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</si>
  <si>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</si>
  <si>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</si>
  <si>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</si>
  <si>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</si>
  <si>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</si>
  <si>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</si>
  <si>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</si>
  <si>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</si>
  <si>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</si>
  <si>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</si>
  <si>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</si>
  <si>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</si>
  <si>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</si>
  <si>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</si>
  <si>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</si>
  <si>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</si>
  <si>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</si>
  <si>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</si>
  <si>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</si>
  <si>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</si>
  <si>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</si>
  <si>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</si>
  <si>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</si>
  <si>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</si>
  <si>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</si>
  <si>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</si>
  <si>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</si>
  <si>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</si>
  <si>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</si>
  <si>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</si>
  <si>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</si>
  <si>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</si>
  <si>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</si>
  <si>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</si>
  <si>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</si>
  <si>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</si>
  <si>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</si>
  <si>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</si>
  <si>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</si>
  <si>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</si>
  <si>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</si>
  <si>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</si>
  <si>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</si>
  <si>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</si>
  <si>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</si>
  <si>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</si>
  <si>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</si>
  <si>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</si>
  <si>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</si>
  <si>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</si>
  <si>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</si>
  <si>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</si>
  <si>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</si>
  <si>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</si>
  <si>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</si>
  <si>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</si>
  <si>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</si>
  <si>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</si>
  <si>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</si>
  <si>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</si>
  <si>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</si>
  <si>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</si>
  <si>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</si>
  <si>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</si>
  <si>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</si>
  <si>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</si>
  <si>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</si>
  <si>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</si>
  <si>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</si>
  <si>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</si>
  <si>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</si>
  <si>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</si>
  <si>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</si>
  <si>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</si>
  <si>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</si>
  <si>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</si>
  <si>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</si>
  <si>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</si>
  <si>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</si>
  <si>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</si>
  <si>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</si>
  <si>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</si>
  <si>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</si>
  <si>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</si>
  <si>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</si>
  <si>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</si>
  <si>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</si>
  <si>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</si>
  <si>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</si>
  <si>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</si>
  <si>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</si>
  <si>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</si>
  <si>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</si>
  <si>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</si>
  <si>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</si>
  <si>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</si>
  <si>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</si>
  <si>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</si>
  <si>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</si>
  <si>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</si>
  <si>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</si>
  <si>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</si>
  <si>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</si>
  <si>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</si>
  <si>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</si>
  <si>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</si>
  <si>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</si>
  <si>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</si>
  <si>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</si>
  <si>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</si>
  <si>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</si>
  <si>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</si>
  <si>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</si>
  <si>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</si>
  <si>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</si>
  <si>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</si>
  <si>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</si>
  <si>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</si>
  <si>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</si>
  <si>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</si>
  <si>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</si>
  <si>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</si>
  <si>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</si>
  <si>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</si>
  <si>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</si>
  <si>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</si>
  <si>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</si>
  <si>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</si>
  <si>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</si>
  <si>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</si>
  <si>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</si>
  <si>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</si>
  <si>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</si>
  <si>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</si>
  <si>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</si>
  <si>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</si>
  <si>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</si>
  <si>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</si>
  <si>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</si>
  <si>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</si>
  <si>
    <t>Operating profit per share</t>
  </si>
  <si>
    <t>Net Profit per share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</si>
</sst>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9" fillId="5" borderId="1" xfId="1" applyFont="1" applyFill="1" applyBorder="1"/>
    <xf numFmtId="172" fontId="8" fillId="5" borderId="1" xfId="0" applyNumberFormat="1" applyFont="1" applyFill="1" applyBorder="1"/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98507392"/>
        <c:axId val="98513280"/>
      </c:lineChart>
      <c:catAx>
        <c:axId val="98507392"/>
        <c:scaling>
          <c:orientation val="minMax"/>
        </c:scaling>
        <c:axPos val="b"/>
        <c:tickLblPos val="nextTo"/>
        <c:crossAx val="98513280"/>
        <c:crosses val="autoZero"/>
        <c:auto val="1"/>
        <c:lblAlgn val="ctr"/>
        <c:lblOffset val="100"/>
      </c:catAx>
      <c:valAx>
        <c:axId val="98513280"/>
        <c:scaling>
          <c:orientation val="minMax"/>
        </c:scaling>
        <c:axPos val="l"/>
        <c:majorGridlines/>
        <c:numFmt formatCode="General" sourceLinked="1"/>
        <c:tickLblPos val="nextTo"/>
        <c:crossAx val="9850739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315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H135" activePane="bottomRight" state="frozen"/>
      <selection pane="topRight" activeCell="C1" sqref="C1"/>
      <selection pane="bottomLeft" activeCell="A5" sqref="A5"/>
      <selection pane="bottomRight" activeCell="B166" sqref="B166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0.15</v>
      </c>
      <c r="H1" s="104" t="s">
        <v>252</v>
      </c>
      <c r="J1" s="126">
        <v>2004</v>
      </c>
      <c r="L1" s="104" t="s">
        <v>323</v>
      </c>
      <c r="N1" s="162">
        <v>0.05</v>
      </c>
      <c r="P1" s="104" t="s">
        <v>394</v>
      </c>
      <c r="R1" s="162">
        <v>0.05</v>
      </c>
    </row>
    <row r="2" spans="2:34">
      <c r="B2" s="151" t="s">
        <v>312</v>
      </c>
      <c r="C2" s="120"/>
      <c r="H2" s="104" t="s">
        <v>253</v>
      </c>
      <c r="J2" s="126">
        <v>2016</v>
      </c>
      <c r="L2" s="104" t="s">
        <v>324</v>
      </c>
      <c r="N2" s="162">
        <v>0.12</v>
      </c>
      <c r="P2" s="104" t="s">
        <v>462</v>
      </c>
      <c r="R2" s="162">
        <v>0.15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09" t="s">
        <v>290</v>
      </c>
      <c r="AH2" s="210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1" t="s">
        <v>291</v>
      </c>
      <c r="AH3" s="212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1</v>
      </c>
      <c r="H6" s="146">
        <v>1</v>
      </c>
      <c r="I6" s="146">
        <v>1</v>
      </c>
      <c r="J6" s="146">
        <v>27480</v>
      </c>
      <c r="K6" s="146">
        <v>27562</v>
      </c>
      <c r="L6" s="146">
        <v>30866</v>
      </c>
      <c r="M6" s="146">
        <v>31924</v>
      </c>
      <c r="N6" s="146">
        <v>38931</v>
      </c>
      <c r="O6" s="146">
        <v>46384</v>
      </c>
      <c r="P6" s="146">
        <v>45789</v>
      </c>
      <c r="Q6" s="146">
        <v>55530</v>
      </c>
      <c r="R6" s="203">
        <v>56995</v>
      </c>
      <c r="S6" s="203">
        <v>46917</v>
      </c>
      <c r="T6" s="118">
        <f>((S6/G6)^(1/($J$2-$J$1) ))-1</f>
        <v>1.4506287235908566</v>
      </c>
      <c r="U6" s="31">
        <f>$N$2</f>
        <v>0.12</v>
      </c>
      <c r="V6" s="152">
        <f>S6*(1+$U6)</f>
        <v>52547.040000000008</v>
      </c>
      <c r="W6" s="152">
        <f>V6*(1+$U6)</f>
        <v>58852.684800000017</v>
      </c>
      <c r="X6" s="152">
        <f t="shared" ref="X6:AE6" si="0">W6*(1+$U6)</f>
        <v>65915.006976000019</v>
      </c>
      <c r="Y6" s="152">
        <f t="shared" si="0"/>
        <v>73824.807813120031</v>
      </c>
      <c r="Z6" s="152">
        <f t="shared" si="0"/>
        <v>82683.784750694438</v>
      </c>
      <c r="AA6" s="152">
        <f t="shared" si="0"/>
        <v>92605.83892077778</v>
      </c>
      <c r="AB6" s="152">
        <f t="shared" si="0"/>
        <v>103718.53959127112</v>
      </c>
      <c r="AC6" s="152">
        <f t="shared" si="0"/>
        <v>116164.76434222367</v>
      </c>
      <c r="AD6" s="152">
        <f t="shared" si="0"/>
        <v>130104.53606329052</v>
      </c>
      <c r="AE6" s="152">
        <f t="shared" si="0"/>
        <v>145717.08039088538</v>
      </c>
      <c r="AF6" s="137">
        <f>((AE6/I6)^(1/($AE$3-$J$1) ))-1</f>
        <v>0.76149514501005622</v>
      </c>
      <c r="AG6" s="31">
        <f>$N$1</f>
        <v>0.05</v>
      </c>
      <c r="AH6" s="145">
        <f t="shared" ref="AH6:AH59" si="1">(AE6*(1+AG6))/($C$1-AG6)</f>
        <v>1530029.3441042965</v>
      </c>
    </row>
    <row r="7" spans="2:34">
      <c r="B7" s="20" t="s">
        <v>240</v>
      </c>
      <c r="C7" s="140"/>
      <c r="D7" s="140"/>
      <c r="E7" s="146"/>
      <c r="F7" s="146"/>
      <c r="G7" s="146">
        <v>1</v>
      </c>
      <c r="H7" s="146">
        <v>1</v>
      </c>
      <c r="I7" s="146">
        <v>1</v>
      </c>
      <c r="J7" s="146">
        <v>29280</v>
      </c>
      <c r="K7" s="146">
        <v>29435</v>
      </c>
      <c r="L7" s="146">
        <v>32802</v>
      </c>
      <c r="M7" s="146">
        <v>33868</v>
      </c>
      <c r="N7" s="146">
        <v>40293</v>
      </c>
      <c r="O7" s="146">
        <v>48292</v>
      </c>
      <c r="P7" s="146">
        <v>47699.43</v>
      </c>
      <c r="Q7" s="146">
        <v>57437</v>
      </c>
      <c r="R7" s="203">
        <v>58870</v>
      </c>
      <c r="S7" s="203">
        <v>48792</v>
      </c>
      <c r="T7" s="118">
        <f>((S7/G7)^(1/($J$2-$J$1) ))-1</f>
        <v>1.4586443898015014</v>
      </c>
      <c r="U7" s="31">
        <f>$N$2</f>
        <v>0.12</v>
      </c>
      <c r="V7" s="152">
        <f t="shared" ref="V7:V59" si="2">S7*(1+$U7)</f>
        <v>54647.040000000008</v>
      </c>
      <c r="W7" s="152">
        <f t="shared" ref="W7:AE7" si="3">V7*(1+$U7)</f>
        <v>61204.684800000017</v>
      </c>
      <c r="X7" s="152">
        <f t="shared" si="3"/>
        <v>68549.246976000024</v>
      </c>
      <c r="Y7" s="152">
        <f t="shared" si="3"/>
        <v>76775.156613120038</v>
      </c>
      <c r="Z7" s="152">
        <f t="shared" si="3"/>
        <v>85988.175406694456</v>
      </c>
      <c r="AA7" s="152">
        <f t="shared" si="3"/>
        <v>96306.756455497802</v>
      </c>
      <c r="AB7" s="152">
        <f t="shared" si="3"/>
        <v>107863.56723015755</v>
      </c>
      <c r="AC7" s="152">
        <f t="shared" si="3"/>
        <v>120807.19529777647</v>
      </c>
      <c r="AD7" s="152">
        <f t="shared" si="3"/>
        <v>135304.05873350965</v>
      </c>
      <c r="AE7" s="152">
        <f t="shared" si="3"/>
        <v>151540.54578153082</v>
      </c>
      <c r="AF7" s="137">
        <f>((AE7/I7)^(1/($AE$3-$J$1) ))-1</f>
        <v>0.76478518727111644</v>
      </c>
      <c r="AG7" s="31">
        <f>$N$1</f>
        <v>0.05</v>
      </c>
      <c r="AH7" s="145">
        <f t="shared" si="1"/>
        <v>1591175.7307060736</v>
      </c>
    </row>
    <row r="8" spans="2:34">
      <c r="B8" s="20"/>
      <c r="C8" s="140"/>
      <c r="D8" s="140"/>
      <c r="E8" s="146"/>
      <c r="F8" s="146"/>
      <c r="G8" s="146"/>
      <c r="H8" s="149">
        <f t="shared" ref="H8:R8" si="4">(H7-G7)/G7</f>
        <v>0</v>
      </c>
      <c r="I8" s="149">
        <f t="shared" si="4"/>
        <v>0</v>
      </c>
      <c r="J8" s="149">
        <f t="shared" si="4"/>
        <v>29279</v>
      </c>
      <c r="K8" s="149">
        <f t="shared" si="4"/>
        <v>5.2937158469945353E-3</v>
      </c>
      <c r="L8" s="149">
        <f t="shared" si="4"/>
        <v>0.11438763376932223</v>
      </c>
      <c r="M8" s="149">
        <f t="shared" si="4"/>
        <v>3.2498018413511374E-2</v>
      </c>
      <c r="N8" s="149">
        <f t="shared" si="4"/>
        <v>0.1897070981457423</v>
      </c>
      <c r="O8" s="149">
        <f t="shared" si="4"/>
        <v>0.19852083488447125</v>
      </c>
      <c r="P8" s="149">
        <f t="shared" si="4"/>
        <v>-1.2270562411993698E-2</v>
      </c>
      <c r="Q8" s="149">
        <f t="shared" si="4"/>
        <v>0.20414436818217743</v>
      </c>
      <c r="R8" s="149">
        <f t="shared" si="4"/>
        <v>2.4949074638299353E-2</v>
      </c>
      <c r="S8" s="149">
        <f t="shared" ref="I8:S8" si="5">(S7-R7)/R7</f>
        <v>-0.17119075930015287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1</v>
      </c>
      <c r="H9" s="146">
        <v>1</v>
      </c>
      <c r="I9" s="146">
        <v>1</v>
      </c>
      <c r="J9" s="146">
        <v>3332</v>
      </c>
      <c r="K9" s="146">
        <v>960</v>
      </c>
      <c r="L9" s="146">
        <v>1741</v>
      </c>
      <c r="M9" s="146">
        <v>1448</v>
      </c>
      <c r="N9" s="146">
        <v>1838</v>
      </c>
      <c r="O9" s="146">
        <v>3166</v>
      </c>
      <c r="P9" s="146">
        <v>2204</v>
      </c>
      <c r="Q9" s="146">
        <v>3452</v>
      </c>
      <c r="R9" s="203">
        <v>5289</v>
      </c>
      <c r="S9" s="203">
        <v>4775</v>
      </c>
      <c r="T9" s="118">
        <f>((S9/G9)^(1/($J$2-$J$1) ))-1</f>
        <v>1.0257279235998471</v>
      </c>
      <c r="U9" s="31">
        <f t="shared" ref="U9:U55" si="6">$N$2</f>
        <v>0.12</v>
      </c>
      <c r="V9" s="152">
        <f t="shared" si="2"/>
        <v>5348.0000000000009</v>
      </c>
      <c r="W9" s="152">
        <f t="shared" ref="W9" si="7">V9*(1+$U9)</f>
        <v>5989.760000000002</v>
      </c>
      <c r="X9" s="152">
        <f t="shared" ref="X9" si="8">W9*(1+$U9)</f>
        <v>6708.5312000000031</v>
      </c>
      <c r="Y9" s="152">
        <f t="shared" ref="Y9" si="9">X9*(1+$U9)</f>
        <v>7513.5549440000041</v>
      </c>
      <c r="Z9" s="152">
        <f t="shared" ref="Z9" si="10">Y9*(1+$U9)</f>
        <v>8415.1815372800047</v>
      </c>
      <c r="AA9" s="152">
        <f t="shared" ref="AA9" si="11">Z9*(1+$U9)</f>
        <v>9425.0033217536056</v>
      </c>
      <c r="AB9" s="152">
        <f t="shared" ref="AB9" si="12">AA9*(1+$U9)</f>
        <v>10556.003720364039</v>
      </c>
      <c r="AC9" s="152">
        <f t="shared" ref="AC9" si="13">AB9*(1+$U9)</f>
        <v>11822.724166807724</v>
      </c>
      <c r="AD9" s="152">
        <f t="shared" ref="AD9" si="14">AC9*(1+$U9)</f>
        <v>13241.451066824653</v>
      </c>
      <c r="AE9" s="152">
        <f t="shared" ref="AE9" si="15">AD9*(1+$U9)</f>
        <v>14830.425194843612</v>
      </c>
      <c r="AF9" s="137">
        <f>((AE9/I9)^(1/($AE$3-$J$1) ))-1</f>
        <v>0.57988822408280472</v>
      </c>
      <c r="AG9" s="31">
        <f t="shared" ref="AG9:AG99" si="16">$N$1</f>
        <v>0.05</v>
      </c>
      <c r="AH9" s="145">
        <f t="shared" si="1"/>
        <v>155719.46454585795</v>
      </c>
    </row>
    <row r="10" spans="2:34">
      <c r="B10" s="20" t="s">
        <v>4</v>
      </c>
      <c r="C10" s="140"/>
      <c r="D10" s="140"/>
      <c r="E10" s="146"/>
      <c r="F10" s="146"/>
      <c r="G10" s="146">
        <v>1</v>
      </c>
      <c r="H10" s="146">
        <v>1</v>
      </c>
      <c r="I10" s="146">
        <v>1</v>
      </c>
      <c r="J10" s="146">
        <v>20</v>
      </c>
      <c r="K10" s="146">
        <v>312</v>
      </c>
      <c r="L10" s="146">
        <v>4356</v>
      </c>
      <c r="M10" s="146">
        <v>3400</v>
      </c>
      <c r="N10" s="146">
        <v>2673</v>
      </c>
      <c r="O10" s="146">
        <v>0</v>
      </c>
      <c r="P10" s="146">
        <v>0</v>
      </c>
      <c r="Q10" s="146">
        <v>0</v>
      </c>
      <c r="R10" s="203">
        <v>0</v>
      </c>
      <c r="S10" s="203">
        <v>0</v>
      </c>
      <c r="T10" s="118">
        <f>((S10/G10)^(1/($J$2-$J$1) ))-1</f>
        <v>-1</v>
      </c>
      <c r="U10" s="31">
        <f t="shared" si="6"/>
        <v>0.12</v>
      </c>
      <c r="V10" s="152">
        <f t="shared" si="2"/>
        <v>0</v>
      </c>
      <c r="W10" s="152">
        <f t="shared" ref="W10:AE10" si="17">V10*(1+$U10)</f>
        <v>0</v>
      </c>
      <c r="X10" s="152">
        <f t="shared" si="17"/>
        <v>0</v>
      </c>
      <c r="Y10" s="152">
        <f t="shared" si="17"/>
        <v>0</v>
      </c>
      <c r="Z10" s="152">
        <f t="shared" si="17"/>
        <v>0</v>
      </c>
      <c r="AA10" s="152">
        <f t="shared" si="17"/>
        <v>0</v>
      </c>
      <c r="AB10" s="152">
        <f t="shared" si="17"/>
        <v>0</v>
      </c>
      <c r="AC10" s="152">
        <f t="shared" si="17"/>
        <v>0</v>
      </c>
      <c r="AD10" s="152">
        <f t="shared" si="17"/>
        <v>0</v>
      </c>
      <c r="AE10" s="152">
        <f t="shared" si="17"/>
        <v>0</v>
      </c>
      <c r="AF10" s="137">
        <f t="shared" ref="AF10:AF57" si="18">((AE10/I10)^(1/($AE$3-$J$1) ))-1</f>
        <v>-1</v>
      </c>
      <c r="AG10" s="31">
        <f t="shared" si="16"/>
        <v>0.05</v>
      </c>
      <c r="AH10" s="145">
        <f t="shared" si="1"/>
        <v>0</v>
      </c>
    </row>
    <row r="11" spans="2:34">
      <c r="B11" s="20"/>
      <c r="C11" s="140"/>
      <c r="D11" s="140"/>
      <c r="E11" s="146"/>
      <c r="F11" s="146"/>
      <c r="G11" s="226">
        <f>(G10-F10)/G10</f>
        <v>1</v>
      </c>
      <c r="H11" s="226">
        <f t="shared" ref="H11:Q11" si="19">(H10-G10)/H10</f>
        <v>0</v>
      </c>
      <c r="I11" s="226">
        <f t="shared" si="19"/>
        <v>0</v>
      </c>
      <c r="J11" s="226">
        <f t="shared" si="19"/>
        <v>0.95</v>
      </c>
      <c r="K11" s="226">
        <f t="shared" si="19"/>
        <v>0.9358974358974359</v>
      </c>
      <c r="L11" s="226">
        <f t="shared" si="19"/>
        <v>0.92837465564738297</v>
      </c>
      <c r="M11" s="226">
        <f t="shared" si="19"/>
        <v>-0.28117647058823531</v>
      </c>
      <c r="N11" s="226">
        <f t="shared" si="19"/>
        <v>-0.27197904975682752</v>
      </c>
      <c r="O11" s="226" t="e">
        <f t="shared" si="19"/>
        <v>#DIV/0!</v>
      </c>
      <c r="P11" s="226" t="e">
        <f t="shared" si="19"/>
        <v>#DIV/0!</v>
      </c>
      <c r="Q11" s="226" t="e">
        <f t="shared" si="19"/>
        <v>#DIV/0!</v>
      </c>
      <c r="R11" s="149" t="e">
        <f t="shared" ref="R11" si="20">(R10-Q10)/Q10</f>
        <v>#DIV/0!</v>
      </c>
      <c r="S11" s="149" t="e">
        <f t="shared" ref="I11:S11" si="21">(S10-R10)/R10</f>
        <v>#DIV/0!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1</v>
      </c>
      <c r="H12" s="146">
        <v>1</v>
      </c>
      <c r="I12" s="146">
        <v>1</v>
      </c>
      <c r="J12" s="146">
        <v>5283</v>
      </c>
      <c r="K12" s="146">
        <v>60</v>
      </c>
      <c r="L12" s="146">
        <v>23</v>
      </c>
      <c r="M12" s="146">
        <v>925</v>
      </c>
      <c r="N12" s="146">
        <v>4426</v>
      </c>
      <c r="O12" s="146">
        <v>7013</v>
      </c>
      <c r="P12" s="146">
        <v>5556</v>
      </c>
      <c r="Q12" s="146">
        <v>1762</v>
      </c>
      <c r="R12" s="203">
        <v>851</v>
      </c>
      <c r="S12" s="203">
        <v>2385</v>
      </c>
      <c r="T12" s="118">
        <f>((S12/G12)^(1/($J$2-$J$1) ))-1</f>
        <v>0.91186562741363675</v>
      </c>
      <c r="U12" s="31">
        <f t="shared" si="6"/>
        <v>0.12</v>
      </c>
      <c r="V12" s="152">
        <f t="shared" si="2"/>
        <v>2671.2000000000003</v>
      </c>
      <c r="W12" s="152">
        <f t="shared" ref="W12:AE12" si="22">V12*(1+$U12)</f>
        <v>2991.7440000000006</v>
      </c>
      <c r="X12" s="152">
        <f t="shared" si="22"/>
        <v>3350.7532800000008</v>
      </c>
      <c r="Y12" s="152">
        <f t="shared" si="22"/>
        <v>3752.8436736000012</v>
      </c>
      <c r="Z12" s="152">
        <f t="shared" si="22"/>
        <v>4203.1849144320022</v>
      </c>
      <c r="AA12" s="152">
        <f t="shared" si="22"/>
        <v>4707.5671041638425</v>
      </c>
      <c r="AB12" s="152">
        <f t="shared" si="22"/>
        <v>5272.4751566635041</v>
      </c>
      <c r="AC12" s="152">
        <f t="shared" si="22"/>
        <v>5905.1721754631253</v>
      </c>
      <c r="AD12" s="152">
        <f t="shared" si="22"/>
        <v>6613.7928365187008</v>
      </c>
      <c r="AE12" s="152">
        <f t="shared" si="22"/>
        <v>7407.4479769009458</v>
      </c>
      <c r="AF12" s="137">
        <f t="shared" si="18"/>
        <v>0.52851580528621467</v>
      </c>
      <c r="AG12" s="31">
        <f t="shared" si="16"/>
        <v>0.05</v>
      </c>
      <c r="AH12" s="145">
        <f t="shared" si="1"/>
        <v>77778.203757459938</v>
      </c>
    </row>
    <row r="13" spans="2:34">
      <c r="B13" s="20" t="s">
        <v>218</v>
      </c>
      <c r="C13" s="140"/>
      <c r="D13" s="140"/>
      <c r="E13" s="146"/>
      <c r="F13" s="146"/>
      <c r="G13" s="146">
        <v>1</v>
      </c>
      <c r="H13" s="146">
        <v>1</v>
      </c>
      <c r="I13" s="146">
        <v>1</v>
      </c>
      <c r="J13" s="146">
        <v>0</v>
      </c>
      <c r="K13" s="146">
        <v>712</v>
      </c>
      <c r="L13" s="146">
        <v>171</v>
      </c>
      <c r="M13" s="146">
        <v>1712</v>
      </c>
      <c r="N13" s="146">
        <v>1094</v>
      </c>
      <c r="O13" s="146">
        <v>1835</v>
      </c>
      <c r="P13" s="146">
        <v>10382</v>
      </c>
      <c r="Q13" s="146">
        <v>16363</v>
      </c>
      <c r="R13" s="203">
        <v>15233</v>
      </c>
      <c r="S13" s="203">
        <v>7754.65</v>
      </c>
      <c r="T13" s="118">
        <f t="shared" ref="T13:T59" si="23">((S13/G13)^(1/($J$2-$J$1) ))-1</f>
        <v>1.1092603236889542</v>
      </c>
      <c r="U13" s="31">
        <f t="shared" si="6"/>
        <v>0.12</v>
      </c>
      <c r="V13" s="152">
        <f t="shared" si="2"/>
        <v>8685.2080000000005</v>
      </c>
      <c r="W13" s="152">
        <f t="shared" ref="W13:AE13" si="24">V13*(1+$U13)</f>
        <v>9727.4329600000019</v>
      </c>
      <c r="X13" s="152">
        <f t="shared" si="24"/>
        <v>10894.724915200004</v>
      </c>
      <c r="Y13" s="152">
        <f t="shared" si="24"/>
        <v>12202.091905024006</v>
      </c>
      <c r="Z13" s="152">
        <f t="shared" si="24"/>
        <v>13666.342933626889</v>
      </c>
      <c r="AA13" s="152">
        <f t="shared" si="24"/>
        <v>15306.304085662117</v>
      </c>
      <c r="AB13" s="152">
        <f t="shared" si="24"/>
        <v>17143.060575941574</v>
      </c>
      <c r="AC13" s="152">
        <f t="shared" si="24"/>
        <v>19200.227845054564</v>
      </c>
      <c r="AD13" s="152">
        <f t="shared" si="24"/>
        <v>21504.255186461112</v>
      </c>
      <c r="AE13" s="152">
        <f t="shared" si="24"/>
        <v>24084.765808836448</v>
      </c>
      <c r="AF13" s="137">
        <f t="shared" si="18"/>
        <v>0.61679292969028743</v>
      </c>
      <c r="AG13" s="31">
        <f t="shared" si="16"/>
        <v>0.05</v>
      </c>
      <c r="AH13" s="145">
        <f t="shared" si="1"/>
        <v>252890.04099278271</v>
      </c>
    </row>
    <row r="14" spans="2:34">
      <c r="B14" s="20" t="s">
        <v>369</v>
      </c>
      <c r="C14" s="140"/>
      <c r="D14" s="140"/>
      <c r="E14" s="146"/>
      <c r="F14" s="146"/>
      <c r="G14" s="146">
        <v>1</v>
      </c>
      <c r="H14" s="146"/>
      <c r="I14" s="146"/>
      <c r="J14" s="146"/>
      <c r="K14" s="146"/>
      <c r="L14" s="146"/>
      <c r="M14" s="146">
        <v>291</v>
      </c>
      <c r="N14" s="146">
        <v>90</v>
      </c>
      <c r="O14" s="146">
        <v>136</v>
      </c>
      <c r="P14" s="146">
        <v>196</v>
      </c>
      <c r="Q14" s="146">
        <v>297</v>
      </c>
      <c r="R14" s="203">
        <v>343</v>
      </c>
      <c r="S14" s="203">
        <v>468</v>
      </c>
      <c r="T14" s="118">
        <f t="shared" si="23"/>
        <v>0.66924655172916814</v>
      </c>
      <c r="U14" s="31">
        <f t="shared" si="6"/>
        <v>0.12</v>
      </c>
      <c r="V14" s="152">
        <f t="shared" si="2"/>
        <v>524.16000000000008</v>
      </c>
      <c r="W14" s="152">
        <f t="shared" ref="W14" si="25">V14*(1+$U14)</f>
        <v>587.05920000000015</v>
      </c>
      <c r="X14" s="152">
        <f t="shared" ref="X14" si="26">W14*(1+$U14)</f>
        <v>657.50630400000023</v>
      </c>
      <c r="Y14" s="152">
        <f t="shared" ref="Y14" si="27">X14*(1+$U14)</f>
        <v>736.40706048000027</v>
      </c>
      <c r="Z14" s="152">
        <f t="shared" ref="Z14" si="28">Y14*(1+$U14)</f>
        <v>824.77590773760039</v>
      </c>
      <c r="AA14" s="152">
        <f t="shared" ref="AA14" si="29">Z14*(1+$U14)</f>
        <v>923.74901666611254</v>
      </c>
      <c r="AB14" s="152">
        <f t="shared" ref="AB14" si="30">AA14*(1+$U14)</f>
        <v>1034.5988986660461</v>
      </c>
      <c r="AC14" s="152">
        <f t="shared" ref="AC14" si="31">AB14*(1+$U14)</f>
        <v>1158.7507665059718</v>
      </c>
      <c r="AD14" s="152">
        <f t="shared" ref="AD14" si="32">AC14*(1+$U14)</f>
        <v>1297.8008584866886</v>
      </c>
      <c r="AE14" s="152">
        <f t="shared" ref="AE14" si="33">AD14*(1+$U14)</f>
        <v>1453.5369615050913</v>
      </c>
      <c r="AF14" s="137" t="e">
        <f t="shared" ref="AF14" si="34">((AE14/I14)^(1/($AE$3-$J$1) ))-1</f>
        <v>#DIV/0!</v>
      </c>
      <c r="AG14" s="31">
        <f t="shared" si="16"/>
        <v>0.05</v>
      </c>
      <c r="AH14" s="145">
        <f t="shared" ref="AH14" si="35">(AE14*(1+AG14))/($C$1-AG14)</f>
        <v>15262.138095803461</v>
      </c>
    </row>
    <row r="15" spans="2:34">
      <c r="B15" s="20" t="s">
        <v>19</v>
      </c>
      <c r="C15" s="140"/>
      <c r="D15" s="140"/>
      <c r="E15" s="146"/>
      <c r="F15" s="146"/>
      <c r="G15" s="146">
        <v>1</v>
      </c>
      <c r="H15" s="146">
        <v>1</v>
      </c>
      <c r="I15" s="146">
        <v>1</v>
      </c>
      <c r="J15" s="146">
        <v>0</v>
      </c>
      <c r="K15" s="146">
        <v>2053</v>
      </c>
      <c r="L15" s="146">
        <v>7276</v>
      </c>
      <c r="M15" s="146">
        <v>651</v>
      </c>
      <c r="N15" s="146">
        <v>6000</v>
      </c>
      <c r="O15" s="146">
        <v>8646</v>
      </c>
      <c r="P15" s="146">
        <v>8038</v>
      </c>
      <c r="Q15" s="146">
        <v>4571</v>
      </c>
      <c r="R15" s="203">
        <v>2320</v>
      </c>
      <c r="S15" s="203">
        <v>0</v>
      </c>
      <c r="T15" s="118">
        <f t="shared" si="23"/>
        <v>-1</v>
      </c>
      <c r="U15" s="31">
        <f t="shared" si="6"/>
        <v>0.12</v>
      </c>
      <c r="V15" s="152">
        <f t="shared" si="2"/>
        <v>0</v>
      </c>
      <c r="W15" s="152">
        <f t="shared" ref="W15:AE15" si="36">V15*(1+$U15)</f>
        <v>0</v>
      </c>
      <c r="X15" s="152">
        <f t="shared" si="36"/>
        <v>0</v>
      </c>
      <c r="Y15" s="152">
        <f t="shared" si="36"/>
        <v>0</v>
      </c>
      <c r="Z15" s="152">
        <f t="shared" si="36"/>
        <v>0</v>
      </c>
      <c r="AA15" s="152">
        <f t="shared" si="36"/>
        <v>0</v>
      </c>
      <c r="AB15" s="152">
        <f t="shared" si="36"/>
        <v>0</v>
      </c>
      <c r="AC15" s="152">
        <f t="shared" si="36"/>
        <v>0</v>
      </c>
      <c r="AD15" s="152">
        <f t="shared" si="36"/>
        <v>0</v>
      </c>
      <c r="AE15" s="152">
        <f t="shared" si="36"/>
        <v>0</v>
      </c>
      <c r="AF15" s="137">
        <f t="shared" si="18"/>
        <v>-1</v>
      </c>
      <c r="AG15" s="31">
        <f t="shared" si="16"/>
        <v>0.05</v>
      </c>
      <c r="AH15" s="145">
        <f t="shared" si="1"/>
        <v>0</v>
      </c>
    </row>
    <row r="16" spans="2:34">
      <c r="B16" s="20" t="s">
        <v>23</v>
      </c>
      <c r="C16" s="140"/>
      <c r="D16" s="140"/>
      <c r="E16" s="146"/>
      <c r="F16" s="146"/>
      <c r="G16" s="146">
        <v>1</v>
      </c>
      <c r="H16" s="146">
        <v>1</v>
      </c>
      <c r="I16" s="146">
        <v>1</v>
      </c>
      <c r="J16" s="146">
        <v>0</v>
      </c>
      <c r="K16" s="146">
        <v>724</v>
      </c>
      <c r="L16" s="146">
        <v>5100</v>
      </c>
      <c r="M16" s="146">
        <v>447</v>
      </c>
      <c r="N16" s="146">
        <v>4473</v>
      </c>
      <c r="O16" s="146">
        <v>7687</v>
      </c>
      <c r="P16" s="146">
        <v>8347</v>
      </c>
      <c r="Q16" s="146">
        <v>10301</v>
      </c>
      <c r="R16" s="203">
        <v>14096</v>
      </c>
      <c r="S16" s="203">
        <v>0</v>
      </c>
      <c r="T16" s="118">
        <f t="shared" si="23"/>
        <v>-1</v>
      </c>
      <c r="U16" s="31">
        <f t="shared" si="6"/>
        <v>0.12</v>
      </c>
      <c r="V16" s="152">
        <f t="shared" si="2"/>
        <v>0</v>
      </c>
      <c r="W16" s="152">
        <f t="shared" ref="W16:AE16" si="37">V16*(1+$U16)</f>
        <v>0</v>
      </c>
      <c r="X16" s="152">
        <f t="shared" si="37"/>
        <v>0</v>
      </c>
      <c r="Y16" s="152">
        <f t="shared" si="37"/>
        <v>0</v>
      </c>
      <c r="Z16" s="152">
        <f t="shared" si="37"/>
        <v>0</v>
      </c>
      <c r="AA16" s="152">
        <f t="shared" si="37"/>
        <v>0</v>
      </c>
      <c r="AB16" s="152">
        <f t="shared" si="37"/>
        <v>0</v>
      </c>
      <c r="AC16" s="152">
        <f t="shared" si="37"/>
        <v>0</v>
      </c>
      <c r="AD16" s="152">
        <f t="shared" si="37"/>
        <v>0</v>
      </c>
      <c r="AE16" s="152">
        <f t="shared" si="37"/>
        <v>0</v>
      </c>
      <c r="AF16" s="137">
        <f t="shared" si="18"/>
        <v>-1</v>
      </c>
      <c r="AG16" s="31">
        <f t="shared" si="16"/>
        <v>0.05</v>
      </c>
      <c r="AH16" s="145">
        <f t="shared" si="1"/>
        <v>0</v>
      </c>
    </row>
    <row r="17" spans="2:34">
      <c r="B17" s="20"/>
      <c r="C17" s="140"/>
      <c r="D17" s="140"/>
      <c r="E17" s="146"/>
      <c r="F17" s="146"/>
      <c r="G17" s="146">
        <v>1</v>
      </c>
      <c r="H17" s="146">
        <v>1</v>
      </c>
      <c r="I17" s="146">
        <v>1</v>
      </c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1</v>
      </c>
      <c r="H18" s="146">
        <v>1</v>
      </c>
      <c r="I18" s="146">
        <v>1</v>
      </c>
      <c r="J18" s="146">
        <v>0</v>
      </c>
      <c r="K18" s="146">
        <v>25367</v>
      </c>
      <c r="L18" s="146">
        <v>25382</v>
      </c>
      <c r="M18" s="146">
        <v>25446</v>
      </c>
      <c r="N18" s="146">
        <v>31242</v>
      </c>
      <c r="O18" s="146">
        <v>31248</v>
      </c>
      <c r="P18" s="146">
        <v>21253</v>
      </c>
      <c r="Q18" s="146">
        <v>25075</v>
      </c>
      <c r="R18" s="203">
        <v>23633</v>
      </c>
      <c r="S18" s="203">
        <v>0</v>
      </c>
      <c r="T18" s="118">
        <f t="shared" si="23"/>
        <v>-1</v>
      </c>
      <c r="U18" s="31">
        <f t="shared" si="6"/>
        <v>0.12</v>
      </c>
      <c r="V18" s="152">
        <f t="shared" si="2"/>
        <v>0</v>
      </c>
      <c r="W18" s="152">
        <f t="shared" ref="W18:W34" si="38">V18*(1+$U18)</f>
        <v>0</v>
      </c>
      <c r="X18" s="152">
        <f t="shared" ref="X18:X34" si="39">W18*(1+$U18)</f>
        <v>0</v>
      </c>
      <c r="Y18" s="152">
        <f t="shared" ref="Y18:Y34" si="40">X18*(1+$U18)</f>
        <v>0</v>
      </c>
      <c r="Z18" s="152">
        <f t="shared" ref="Z18:Z51" si="41">Y18*(1+$U18)</f>
        <v>0</v>
      </c>
      <c r="AA18" s="152">
        <f t="shared" ref="AA18:AA51" si="42">Z18*(1+$U18)</f>
        <v>0</v>
      </c>
      <c r="AB18" s="152">
        <f t="shared" ref="AB18:AB51" si="43">AA18*(1+$U18)</f>
        <v>0</v>
      </c>
      <c r="AC18" s="152">
        <f t="shared" ref="AC18:AC51" si="44">AB18*(1+$U18)</f>
        <v>0</v>
      </c>
      <c r="AD18" s="152">
        <f t="shared" ref="AD18:AD51" si="45">AC18*(1+$U18)</f>
        <v>0</v>
      </c>
      <c r="AE18" s="152">
        <f t="shared" ref="AE18:AE51" si="46">AD18*(1+$U18)</f>
        <v>0</v>
      </c>
      <c r="AF18" s="137">
        <f t="shared" si="18"/>
        <v>-1</v>
      </c>
      <c r="AG18" s="31">
        <f t="shared" si="16"/>
        <v>0.05</v>
      </c>
      <c r="AH18" s="145">
        <f t="shared" si="1"/>
        <v>0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1</v>
      </c>
      <c r="H20" s="146"/>
      <c r="I20" s="146">
        <v>-1.32</v>
      </c>
      <c r="J20" s="146">
        <v>-12</v>
      </c>
      <c r="K20" s="146">
        <f>J20</f>
        <v>-12</v>
      </c>
      <c r="L20" s="146">
        <v>-35</v>
      </c>
      <c r="M20" s="146">
        <v>-79</v>
      </c>
      <c r="N20" s="146">
        <v>-53</v>
      </c>
      <c r="O20" s="146">
        <v>-121</v>
      </c>
      <c r="P20" s="146">
        <v>13599</v>
      </c>
      <c r="Q20" s="146">
        <v>4912</v>
      </c>
      <c r="R20" s="203">
        <v>9520</v>
      </c>
      <c r="S20" s="203">
        <v>0</v>
      </c>
      <c r="T20" s="118">
        <f t="shared" si="23"/>
        <v>-1</v>
      </c>
      <c r="U20" s="31">
        <f t="shared" si="6"/>
        <v>0.12</v>
      </c>
      <c r="V20" s="152">
        <f t="shared" si="2"/>
        <v>0</v>
      </c>
      <c r="W20" s="152">
        <f t="shared" ref="W20:W22" si="47">V20*(1+$U20)</f>
        <v>0</v>
      </c>
      <c r="X20" s="152">
        <f t="shared" ref="X20:X22" si="48">W20*(1+$U20)</f>
        <v>0</v>
      </c>
      <c r="Y20" s="152">
        <f t="shared" ref="Y20:Y22" si="49">X20*(1+$U20)</f>
        <v>0</v>
      </c>
      <c r="Z20" s="152">
        <f t="shared" ref="Z20:Z22" si="50">Y20*(1+$U20)</f>
        <v>0</v>
      </c>
      <c r="AA20" s="152">
        <f t="shared" ref="AA20:AA22" si="51">Z20*(1+$U20)</f>
        <v>0</v>
      </c>
      <c r="AB20" s="152">
        <f t="shared" ref="AB20:AB22" si="52">AA20*(1+$U20)</f>
        <v>0</v>
      </c>
      <c r="AC20" s="152">
        <f t="shared" ref="AC20:AC22" si="53">AB20*(1+$U20)</f>
        <v>0</v>
      </c>
      <c r="AD20" s="152">
        <f t="shared" ref="AD20:AD22" si="54">AC20*(1+$U20)</f>
        <v>0</v>
      </c>
      <c r="AE20" s="152">
        <f t="shared" ref="AE20:AE22" si="55">AD20*(1+$U20)</f>
        <v>0</v>
      </c>
      <c r="AF20" s="137">
        <f t="shared" ref="AF20:AF22" si="56">((AE20/I20)^(1/($AE$3-$J$1) ))-1</f>
        <v>-1</v>
      </c>
      <c r="AG20" s="31">
        <f t="shared" si="16"/>
        <v>0.05</v>
      </c>
      <c r="AH20" s="145">
        <f t="shared" si="1"/>
        <v>0</v>
      </c>
    </row>
    <row r="21" spans="2:34">
      <c r="B21" s="20" t="s">
        <v>284</v>
      </c>
      <c r="C21" s="140"/>
      <c r="D21" s="140"/>
      <c r="E21" s="146"/>
      <c r="F21" s="146"/>
      <c r="G21" s="146">
        <v>1</v>
      </c>
      <c r="H21" s="146"/>
      <c r="I21" s="146">
        <v>-9612</v>
      </c>
      <c r="J21" s="146">
        <v>-5974</v>
      </c>
      <c r="K21" s="146">
        <f>J21</f>
        <v>-5974</v>
      </c>
      <c r="L21" s="146">
        <v>-2490</v>
      </c>
      <c r="M21" s="146">
        <v>-1165</v>
      </c>
      <c r="N21" s="146">
        <v>117</v>
      </c>
      <c r="O21" s="146">
        <v>309</v>
      </c>
      <c r="P21" s="146">
        <v>-11937</v>
      </c>
      <c r="Q21" s="146">
        <v>-2003</v>
      </c>
      <c r="R21" s="146">
        <v>-5941</v>
      </c>
      <c r="S21" s="203">
        <v>0</v>
      </c>
      <c r="T21" s="118">
        <f t="shared" si="23"/>
        <v>-1</v>
      </c>
      <c r="U21" s="31">
        <f t="shared" si="6"/>
        <v>0.12</v>
      </c>
      <c r="V21" s="152">
        <f t="shared" si="2"/>
        <v>0</v>
      </c>
      <c r="W21" s="152">
        <f t="shared" si="47"/>
        <v>0</v>
      </c>
      <c r="X21" s="152">
        <f t="shared" si="48"/>
        <v>0</v>
      </c>
      <c r="Y21" s="152">
        <f t="shared" si="49"/>
        <v>0</v>
      </c>
      <c r="Z21" s="152">
        <f t="shared" si="50"/>
        <v>0</v>
      </c>
      <c r="AA21" s="152">
        <f t="shared" si="51"/>
        <v>0</v>
      </c>
      <c r="AB21" s="152">
        <f t="shared" si="52"/>
        <v>0</v>
      </c>
      <c r="AC21" s="152">
        <f t="shared" si="53"/>
        <v>0</v>
      </c>
      <c r="AD21" s="152">
        <f t="shared" si="54"/>
        <v>0</v>
      </c>
      <c r="AE21" s="152">
        <f t="shared" si="55"/>
        <v>0</v>
      </c>
      <c r="AF21" s="137">
        <f t="shared" si="56"/>
        <v>-1</v>
      </c>
      <c r="AG21" s="31">
        <f t="shared" si="16"/>
        <v>0.05</v>
      </c>
      <c r="AH21" s="145">
        <f t="shared" si="1"/>
        <v>0</v>
      </c>
    </row>
    <row r="22" spans="2:34">
      <c r="B22" s="20" t="s">
        <v>285</v>
      </c>
      <c r="C22" s="140"/>
      <c r="D22" s="140"/>
      <c r="E22" s="146"/>
      <c r="F22" s="146"/>
      <c r="G22" s="146">
        <v>1</v>
      </c>
      <c r="H22" s="146"/>
      <c r="I22" s="146">
        <v>15551</v>
      </c>
      <c r="J22" s="146">
        <v>49.64</v>
      </c>
      <c r="K22" s="146">
        <f>J22</f>
        <v>49.64</v>
      </c>
      <c r="L22" s="146">
        <v>2531</v>
      </c>
      <c r="M22" s="146">
        <v>1238</v>
      </c>
      <c r="N22" s="146">
        <v>-12</v>
      </c>
      <c r="O22" s="146">
        <v>-156</v>
      </c>
      <c r="P22" s="146">
        <v>-2443</v>
      </c>
      <c r="Q22" s="146">
        <v>-2892</v>
      </c>
      <c r="R22" s="146">
        <v>-3433</v>
      </c>
      <c r="S22" s="203">
        <v>0</v>
      </c>
      <c r="T22" s="118">
        <f t="shared" si="23"/>
        <v>-1</v>
      </c>
      <c r="U22" s="31">
        <f t="shared" si="6"/>
        <v>0.12</v>
      </c>
      <c r="V22" s="152">
        <f t="shared" si="2"/>
        <v>0</v>
      </c>
      <c r="W22" s="152">
        <f t="shared" si="47"/>
        <v>0</v>
      </c>
      <c r="X22" s="152">
        <f t="shared" si="48"/>
        <v>0</v>
      </c>
      <c r="Y22" s="152">
        <f t="shared" si="49"/>
        <v>0</v>
      </c>
      <c r="Z22" s="152">
        <f t="shared" si="50"/>
        <v>0</v>
      </c>
      <c r="AA22" s="152">
        <f t="shared" si="51"/>
        <v>0</v>
      </c>
      <c r="AB22" s="152">
        <f t="shared" si="52"/>
        <v>0</v>
      </c>
      <c r="AC22" s="152">
        <f t="shared" si="53"/>
        <v>0</v>
      </c>
      <c r="AD22" s="152">
        <f t="shared" si="54"/>
        <v>0</v>
      </c>
      <c r="AE22" s="152">
        <f t="shared" si="55"/>
        <v>0</v>
      </c>
      <c r="AF22" s="137">
        <f t="shared" si="56"/>
        <v>-1</v>
      </c>
      <c r="AG22" s="31">
        <f t="shared" si="16"/>
        <v>0.05</v>
      </c>
      <c r="AH22" s="145">
        <f t="shared" si="1"/>
        <v>0</v>
      </c>
    </row>
    <row r="23" spans="2:34">
      <c r="B23" s="20" t="s">
        <v>294</v>
      </c>
      <c r="C23" s="140"/>
      <c r="D23" s="140"/>
      <c r="E23" s="146"/>
      <c r="F23" s="146"/>
      <c r="G23" s="146">
        <v>1</v>
      </c>
      <c r="H23" s="146"/>
      <c r="I23" s="146">
        <v>5937.4</v>
      </c>
      <c r="J23" s="146">
        <v>0.78</v>
      </c>
      <c r="K23" s="146">
        <f>J23</f>
        <v>0.78</v>
      </c>
      <c r="L23" s="146">
        <v>6.4</v>
      </c>
      <c r="M23" s="146">
        <v>0.43</v>
      </c>
      <c r="N23" s="146">
        <v>52.2</v>
      </c>
      <c r="O23" s="146">
        <v>83</v>
      </c>
      <c r="P23" s="146">
        <v>1.01</v>
      </c>
      <c r="Q23" s="146">
        <v>18</v>
      </c>
      <c r="R23" s="203">
        <v>228</v>
      </c>
      <c r="S23" s="203">
        <v>0</v>
      </c>
      <c r="T23" s="118">
        <f t="shared" si="23"/>
        <v>-1</v>
      </c>
      <c r="U23" s="31">
        <f t="shared" si="6"/>
        <v>0.12</v>
      </c>
      <c r="V23" s="152">
        <f t="shared" si="2"/>
        <v>0</v>
      </c>
      <c r="W23" s="152">
        <f t="shared" ref="W23" si="57">V23*(1+$U23)</f>
        <v>0</v>
      </c>
      <c r="X23" s="152">
        <f t="shared" ref="X23" si="58">W23*(1+$U23)</f>
        <v>0</v>
      </c>
      <c r="Y23" s="152">
        <f t="shared" ref="Y23" si="59">X23*(1+$U23)</f>
        <v>0</v>
      </c>
      <c r="Z23" s="152">
        <f t="shared" ref="Z23" si="60">Y23*(1+$U23)</f>
        <v>0</v>
      </c>
      <c r="AA23" s="152">
        <f t="shared" ref="AA23" si="61">Z23*(1+$U23)</f>
        <v>0</v>
      </c>
      <c r="AB23" s="152">
        <f t="shared" ref="AB23" si="62">AA23*(1+$U23)</f>
        <v>0</v>
      </c>
      <c r="AC23" s="152">
        <f t="shared" ref="AC23" si="63">AB23*(1+$U23)</f>
        <v>0</v>
      </c>
      <c r="AD23" s="152">
        <f t="shared" ref="AD23" si="64">AC23*(1+$U23)</f>
        <v>0</v>
      </c>
      <c r="AE23" s="152">
        <f t="shared" ref="AE23" si="65">AD23*(1+$U23)</f>
        <v>0</v>
      </c>
      <c r="AF23" s="137">
        <f t="shared" ref="AF23" si="66">((AE23/I23)^(1/($AE$3-$J$1) ))-1</f>
        <v>-1</v>
      </c>
      <c r="AG23" s="31">
        <f t="shared" si="16"/>
        <v>0.05</v>
      </c>
      <c r="AH23" s="145">
        <f t="shared" si="1"/>
        <v>0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1</v>
      </c>
      <c r="H25" s="146">
        <v>1</v>
      </c>
      <c r="I25" s="146">
        <v>1</v>
      </c>
      <c r="J25" s="146">
        <v>44.9</v>
      </c>
      <c r="K25" s="146">
        <v>949</v>
      </c>
      <c r="L25" s="146">
        <v>2004</v>
      </c>
      <c r="M25" s="146">
        <v>2052</v>
      </c>
      <c r="N25" s="146">
        <v>10433</v>
      </c>
      <c r="O25" s="146">
        <v>12722</v>
      </c>
      <c r="P25" s="146">
        <v>18587</v>
      </c>
      <c r="Q25" s="146">
        <v>20278</v>
      </c>
      <c r="R25" s="203">
        <v>13822</v>
      </c>
      <c r="S25" s="203">
        <v>8625</v>
      </c>
      <c r="T25" s="118">
        <f t="shared" si="23"/>
        <v>1.1280406778441474</v>
      </c>
      <c r="U25" s="31">
        <v>0.02</v>
      </c>
      <c r="V25" s="152">
        <f t="shared" si="2"/>
        <v>8797.5</v>
      </c>
      <c r="W25" s="152">
        <f t="shared" si="38"/>
        <v>8973.4500000000007</v>
      </c>
      <c r="X25" s="152">
        <f t="shared" si="39"/>
        <v>9152.9190000000017</v>
      </c>
      <c r="Y25" s="152">
        <f t="shared" si="40"/>
        <v>9335.9773800000021</v>
      </c>
      <c r="Z25" s="152">
        <f t="shared" si="41"/>
        <v>9522.6969276000018</v>
      </c>
      <c r="AA25" s="152">
        <f t="shared" si="42"/>
        <v>9713.150866152002</v>
      </c>
      <c r="AB25" s="152">
        <f t="shared" si="43"/>
        <v>9907.4138834750429</v>
      </c>
      <c r="AC25" s="152">
        <f t="shared" si="44"/>
        <v>10105.562161144544</v>
      </c>
      <c r="AD25" s="152">
        <f t="shared" si="45"/>
        <v>10307.673404367435</v>
      </c>
      <c r="AE25" s="152">
        <f t="shared" si="46"/>
        <v>10513.826872454783</v>
      </c>
      <c r="AF25" s="137">
        <f t="shared" si="18"/>
        <v>0.55421973811069969</v>
      </c>
      <c r="AG25" s="31">
        <f t="shared" si="16"/>
        <v>0.05</v>
      </c>
      <c r="AH25" s="145">
        <f t="shared" si="1"/>
        <v>110395.18216077525</v>
      </c>
    </row>
    <row r="26" spans="2:34" s="123" customFormat="1">
      <c r="B26" s="23"/>
      <c r="C26" s="147"/>
      <c r="D26" s="147"/>
      <c r="E26" s="148"/>
      <c r="F26" s="148"/>
      <c r="G26" s="226">
        <f>(G25-F25)/G25</f>
        <v>1</v>
      </c>
      <c r="H26" s="226">
        <f>(H25-G25)/H25</f>
        <v>0</v>
      </c>
      <c r="I26" s="226">
        <f t="shared" ref="I26:Q26" si="67">(I25-H25)/I25</f>
        <v>0</v>
      </c>
      <c r="J26" s="226">
        <f t="shared" si="67"/>
        <v>0.97772828507795095</v>
      </c>
      <c r="K26" s="226">
        <f t="shared" si="67"/>
        <v>0.9526870389884089</v>
      </c>
      <c r="L26" s="226">
        <f t="shared" si="67"/>
        <v>0.52644710578842313</v>
      </c>
      <c r="M26" s="226">
        <f t="shared" si="67"/>
        <v>2.3391812865497075E-2</v>
      </c>
      <c r="N26" s="226">
        <f t="shared" si="67"/>
        <v>0.80331639988498038</v>
      </c>
      <c r="O26" s="226">
        <f t="shared" si="67"/>
        <v>0.17992454016664047</v>
      </c>
      <c r="P26" s="226">
        <f t="shared" si="67"/>
        <v>0.31554312153655784</v>
      </c>
      <c r="Q26" s="226">
        <f t="shared" si="67"/>
        <v>8.33908669494033E-2</v>
      </c>
      <c r="R26" s="149">
        <f t="shared" ref="R26" si="68">(R25-Q25)/Q25</f>
        <v>-0.31837459315514349</v>
      </c>
      <c r="S26" s="149">
        <f t="shared" ref="I26:S26" si="69">(S25-R25)/R25</f>
        <v>-0.37599479091303717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1</v>
      </c>
      <c r="H27" s="146">
        <v>1</v>
      </c>
      <c r="I27" s="146">
        <v>1</v>
      </c>
      <c r="J27" s="146">
        <v>54</v>
      </c>
      <c r="K27" s="146">
        <v>803</v>
      </c>
      <c r="L27" s="146">
        <v>955</v>
      </c>
      <c r="M27" s="146">
        <v>878</v>
      </c>
      <c r="N27" s="146">
        <v>2049</v>
      </c>
      <c r="O27" s="146">
        <v>2632</v>
      </c>
      <c r="P27" s="146">
        <v>4518</v>
      </c>
      <c r="Q27" s="146">
        <v>5090</v>
      </c>
      <c r="R27" s="203">
        <v>6123</v>
      </c>
      <c r="S27" s="203">
        <v>8693</v>
      </c>
      <c r="T27" s="118">
        <f t="shared" si="23"/>
        <v>1.1294337839617898</v>
      </c>
      <c r="U27" s="31">
        <v>0.01</v>
      </c>
      <c r="V27" s="152">
        <f t="shared" si="2"/>
        <v>8779.93</v>
      </c>
      <c r="W27" s="152">
        <f t="shared" si="38"/>
        <v>8867.7293000000009</v>
      </c>
      <c r="X27" s="152">
        <f t="shared" si="39"/>
        <v>8956.4065930000015</v>
      </c>
      <c r="Y27" s="152">
        <f t="shared" si="40"/>
        <v>9045.9706589300022</v>
      </c>
      <c r="Z27" s="152">
        <f t="shared" si="41"/>
        <v>9136.4303655193016</v>
      </c>
      <c r="AA27" s="152">
        <f t="shared" si="42"/>
        <v>9227.7946691744946</v>
      </c>
      <c r="AB27" s="152">
        <f t="shared" si="43"/>
        <v>9320.0726158662401</v>
      </c>
      <c r="AC27" s="152">
        <f t="shared" si="44"/>
        <v>9413.2733420249024</v>
      </c>
      <c r="AD27" s="152">
        <f t="shared" si="45"/>
        <v>9507.4060754451511</v>
      </c>
      <c r="AE27" s="152">
        <f t="shared" si="46"/>
        <v>9602.4801361996033</v>
      </c>
      <c r="AF27" s="137">
        <f t="shared" si="18"/>
        <v>0.54752368831661724</v>
      </c>
      <c r="AG27" s="31">
        <f t="shared" si="16"/>
        <v>0.05</v>
      </c>
      <c r="AH27" s="145">
        <f t="shared" si="1"/>
        <v>100826.04143009585</v>
      </c>
    </row>
    <row r="28" spans="2:34" s="123" customFormat="1">
      <c r="B28" s="23"/>
      <c r="C28" s="147"/>
      <c r="D28" s="147"/>
      <c r="E28" s="148"/>
      <c r="F28" s="148"/>
      <c r="G28" s="226">
        <f t="shared" ref="G28:Q28" si="70">(G27-F27)/G27</f>
        <v>1</v>
      </c>
      <c r="H28" s="226">
        <f t="shared" si="70"/>
        <v>0</v>
      </c>
      <c r="I28" s="226">
        <f t="shared" si="70"/>
        <v>0</v>
      </c>
      <c r="J28" s="226">
        <f t="shared" si="70"/>
        <v>0.98148148148148151</v>
      </c>
      <c r="K28" s="226">
        <f t="shared" si="70"/>
        <v>0.93275217932752175</v>
      </c>
      <c r="L28" s="226">
        <f t="shared" si="70"/>
        <v>0.15916230366492146</v>
      </c>
      <c r="M28" s="226">
        <f t="shared" si="70"/>
        <v>-8.769931662870159E-2</v>
      </c>
      <c r="N28" s="226">
        <f t="shared" si="70"/>
        <v>0.57149829184968282</v>
      </c>
      <c r="O28" s="226">
        <f t="shared" si="70"/>
        <v>0.22150455927051671</v>
      </c>
      <c r="P28" s="226">
        <f t="shared" si="70"/>
        <v>0.4174413457281983</v>
      </c>
      <c r="Q28" s="226">
        <f t="shared" si="70"/>
        <v>0.11237721021611002</v>
      </c>
      <c r="R28" s="149">
        <f t="shared" ref="R28" si="71">(R27-Q27)/Q27</f>
        <v>0.20294695481335953</v>
      </c>
      <c r="S28" s="149">
        <f t="shared" ref="I28:S28" si="72">(S27-R27)/R27</f>
        <v>0.41972889106647071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320</v>
      </c>
      <c r="C29" s="147"/>
      <c r="D29" s="147"/>
      <c r="E29" s="148"/>
      <c r="F29" s="148"/>
      <c r="G29" s="146">
        <v>0.1</v>
      </c>
      <c r="H29" s="146">
        <v>0</v>
      </c>
      <c r="I29" s="146">
        <v>0</v>
      </c>
      <c r="J29" s="146">
        <v>0.27</v>
      </c>
      <c r="K29" s="146">
        <v>2.7</v>
      </c>
      <c r="L29" s="146">
        <v>6</v>
      </c>
      <c r="M29" s="146">
        <v>18</v>
      </c>
      <c r="N29" s="146">
        <v>300</v>
      </c>
      <c r="O29" s="146">
        <v>226</v>
      </c>
      <c r="P29" s="146">
        <v>69</v>
      </c>
      <c r="Q29" s="146">
        <v>42</v>
      </c>
      <c r="R29" s="203">
        <v>20</v>
      </c>
      <c r="S29" s="203">
        <v>26.96</v>
      </c>
      <c r="T29" s="118">
        <f t="shared" si="23"/>
        <v>0.59426308678421291</v>
      </c>
      <c r="U29" s="31">
        <f t="shared" si="6"/>
        <v>0.12</v>
      </c>
      <c r="V29" s="152">
        <f t="shared" si="2"/>
        <v>30.195200000000003</v>
      </c>
      <c r="W29" s="152">
        <f t="shared" ref="W29" si="73">V29*(1+$U29)</f>
        <v>33.818624000000007</v>
      </c>
      <c r="X29" s="152">
        <f t="shared" ref="X29" si="74">W29*(1+$U29)</f>
        <v>37.876858880000015</v>
      </c>
      <c r="Y29" s="152">
        <f t="shared" ref="Y29" si="75">X29*(1+$U29)</f>
        <v>42.42208194560002</v>
      </c>
      <c r="Z29" s="152">
        <f t="shared" ref="Z29" si="76">Y29*(1+$U29)</f>
        <v>47.512731779072027</v>
      </c>
      <c r="AA29" s="152">
        <f t="shared" ref="AA29" si="77">Z29*(1+$U29)</f>
        <v>53.214259592560673</v>
      </c>
      <c r="AB29" s="152">
        <f t="shared" ref="AB29" si="78">AA29*(1+$U29)</f>
        <v>59.59997074366796</v>
      </c>
      <c r="AC29" s="152">
        <f t="shared" ref="AC29" si="79">AB29*(1+$U29)</f>
        <v>66.751967232908115</v>
      </c>
      <c r="AD29" s="152">
        <f t="shared" ref="AD29" si="80">AC29*(1+$U29)</f>
        <v>74.762203300857095</v>
      </c>
      <c r="AE29" s="152">
        <f t="shared" ref="AE29" si="81">AD29*(1+$U29)</f>
        <v>83.733667696959955</v>
      </c>
      <c r="AF29" s="137" t="e">
        <f t="shared" ref="AF29" si="82">((AE29/I29)^(1/($AE$3-$J$1) ))-1</f>
        <v>#DIV/0!</v>
      </c>
      <c r="AG29" s="31">
        <f t="shared" si="16"/>
        <v>0.05</v>
      </c>
      <c r="AH29" s="145">
        <f t="shared" ref="AH29" si="83">(AE29*(1+AG29))/($C$1-AG29)</f>
        <v>879.20351081807962</v>
      </c>
    </row>
    <row r="30" spans="2:34" s="123" customFormat="1">
      <c r="B30" s="23"/>
      <c r="C30" s="147"/>
      <c r="D30" s="147"/>
      <c r="E30" s="148"/>
      <c r="F30" s="148"/>
      <c r="G30" s="226">
        <f t="shared" ref="G30:Q30" si="84">(G29-F29)/G29</f>
        <v>1</v>
      </c>
      <c r="H30" s="226" t="e">
        <f t="shared" si="84"/>
        <v>#DIV/0!</v>
      </c>
      <c r="I30" s="226" t="e">
        <f t="shared" si="84"/>
        <v>#DIV/0!</v>
      </c>
      <c r="J30" s="226">
        <f t="shared" si="84"/>
        <v>1</v>
      </c>
      <c r="K30" s="226">
        <f t="shared" si="84"/>
        <v>0.9</v>
      </c>
      <c r="L30" s="226">
        <f t="shared" si="84"/>
        <v>0.54999999999999993</v>
      </c>
      <c r="M30" s="226">
        <f t="shared" si="84"/>
        <v>0.66666666666666663</v>
      </c>
      <c r="N30" s="226">
        <f t="shared" si="84"/>
        <v>0.94</v>
      </c>
      <c r="O30" s="226">
        <f t="shared" si="84"/>
        <v>-0.32743362831858408</v>
      </c>
      <c r="P30" s="226">
        <f t="shared" si="84"/>
        <v>-2.2753623188405796</v>
      </c>
      <c r="Q30" s="226">
        <f t="shared" si="84"/>
        <v>-0.6428571428571429</v>
      </c>
      <c r="R30" s="149">
        <f t="shared" ref="R30" si="85">(R29-Q29)/Q29</f>
        <v>-0.52380952380952384</v>
      </c>
      <c r="S30" s="149">
        <f t="shared" ref="I30:S30" si="86">(S29-R29)/R29</f>
        <v>0.34800000000000003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328</v>
      </c>
      <c r="C31" s="140"/>
      <c r="D31" s="140"/>
      <c r="E31" s="146"/>
      <c r="F31" s="146"/>
      <c r="G31" s="146"/>
      <c r="H31" s="203">
        <f>I31</f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118" t="e">
        <f t="shared" si="23"/>
        <v>#DIV/0!</v>
      </c>
      <c r="U31" s="31">
        <f t="shared" si="6"/>
        <v>0.12</v>
      </c>
      <c r="V31" s="152">
        <f t="shared" si="2"/>
        <v>0</v>
      </c>
      <c r="W31" s="152">
        <f>V31*(1+$U31)</f>
        <v>0</v>
      </c>
      <c r="X31" s="152">
        <f t="shared" ref="X31:AE32" si="87">W31*(1+$U31)</f>
        <v>0</v>
      </c>
      <c r="Y31" s="152">
        <f t="shared" si="87"/>
        <v>0</v>
      </c>
      <c r="Z31" s="152">
        <f t="shared" si="87"/>
        <v>0</v>
      </c>
      <c r="AA31" s="152">
        <f t="shared" si="87"/>
        <v>0</v>
      </c>
      <c r="AB31" s="152">
        <f t="shared" si="87"/>
        <v>0</v>
      </c>
      <c r="AC31" s="152">
        <f t="shared" si="87"/>
        <v>0</v>
      </c>
      <c r="AD31" s="152">
        <f t="shared" si="87"/>
        <v>0</v>
      </c>
      <c r="AE31" s="152">
        <f t="shared" si="87"/>
        <v>0</v>
      </c>
      <c r="AF31" s="137" t="e">
        <f t="shared" ref="AF31" si="88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327</v>
      </c>
      <c r="C32" s="140"/>
      <c r="D32" s="140"/>
      <c r="E32" s="146"/>
      <c r="F32" s="146"/>
      <c r="G32" s="146"/>
      <c r="H32" s="203">
        <f>I32</f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118" t="e">
        <f t="shared" si="23"/>
        <v>#DIV/0!</v>
      </c>
      <c r="U32" s="31">
        <f t="shared" si="6"/>
        <v>0.12</v>
      </c>
      <c r="V32" s="152">
        <f t="shared" si="2"/>
        <v>0</v>
      </c>
      <c r="W32" s="152">
        <f>V32*(1+$U32)</f>
        <v>0</v>
      </c>
      <c r="X32" s="152">
        <f t="shared" si="87"/>
        <v>0</v>
      </c>
      <c r="Y32" s="152">
        <f t="shared" si="87"/>
        <v>0</v>
      </c>
      <c r="Z32" s="152">
        <f t="shared" si="87"/>
        <v>0</v>
      </c>
      <c r="AA32" s="152">
        <f t="shared" si="87"/>
        <v>0</v>
      </c>
      <c r="AB32" s="152">
        <f t="shared" si="87"/>
        <v>0</v>
      </c>
      <c r="AC32" s="152">
        <f t="shared" si="87"/>
        <v>0</v>
      </c>
      <c r="AD32" s="152">
        <f t="shared" si="87"/>
        <v>0</v>
      </c>
      <c r="AE32" s="152">
        <f t="shared" si="87"/>
        <v>0</v>
      </c>
      <c r="AF32" s="137" t="e">
        <f t="shared" ref="AF32" si="89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487</v>
      </c>
      <c r="C33" s="140"/>
      <c r="D33" s="140"/>
      <c r="E33" s="146"/>
      <c r="F33" s="146"/>
      <c r="G33" s="146">
        <v>1</v>
      </c>
      <c r="H33" s="146">
        <v>1</v>
      </c>
      <c r="I33" s="146">
        <v>1</v>
      </c>
      <c r="J33" s="146">
        <v>15</v>
      </c>
      <c r="K33" s="146">
        <v>574</v>
      </c>
      <c r="L33" s="146">
        <v>574</v>
      </c>
      <c r="M33" s="146">
        <v>505</v>
      </c>
      <c r="N33" s="146">
        <v>668</v>
      </c>
      <c r="O33" s="146">
        <v>1915</v>
      </c>
      <c r="P33" s="146">
        <v>3658</v>
      </c>
      <c r="Q33" s="146">
        <v>4072</v>
      </c>
      <c r="R33" s="203">
        <v>20</v>
      </c>
      <c r="S33" s="203">
        <v>26.96</v>
      </c>
      <c r="T33" s="118">
        <f t="shared" si="23"/>
        <v>0.31591142424999941</v>
      </c>
      <c r="U33" s="31">
        <f t="shared" si="6"/>
        <v>0.12</v>
      </c>
      <c r="V33" s="152">
        <f t="shared" si="2"/>
        <v>30.195200000000003</v>
      </c>
      <c r="W33" s="152">
        <f t="shared" si="38"/>
        <v>33.818624000000007</v>
      </c>
      <c r="X33" s="152">
        <f t="shared" si="39"/>
        <v>37.876858880000015</v>
      </c>
      <c r="Y33" s="152">
        <f t="shared" si="40"/>
        <v>42.42208194560002</v>
      </c>
      <c r="Z33" s="152">
        <f t="shared" si="41"/>
        <v>47.512731779072027</v>
      </c>
      <c r="AA33" s="152">
        <f t="shared" si="42"/>
        <v>53.214259592560673</v>
      </c>
      <c r="AB33" s="152">
        <f t="shared" si="43"/>
        <v>59.59997074366796</v>
      </c>
      <c r="AC33" s="152">
        <f t="shared" si="44"/>
        <v>66.751967232908115</v>
      </c>
      <c r="AD33" s="152">
        <f t="shared" si="45"/>
        <v>74.762203300857095</v>
      </c>
      <c r="AE33" s="152">
        <f t="shared" si="46"/>
        <v>83.733667696959955</v>
      </c>
      <c r="AF33" s="137">
        <f t="shared" si="18"/>
        <v>0.23471485186591057</v>
      </c>
      <c r="AG33" s="31">
        <f t="shared" si="16"/>
        <v>0.05</v>
      </c>
      <c r="AH33" s="145">
        <f t="shared" si="1"/>
        <v>879.20351081807962</v>
      </c>
    </row>
    <row r="34" spans="1:34">
      <c r="B34" s="20" t="s">
        <v>307</v>
      </c>
      <c r="C34" s="140"/>
      <c r="D34" s="140"/>
      <c r="E34" s="146"/>
      <c r="F34" s="146"/>
      <c r="G34" s="146">
        <v>1</v>
      </c>
      <c r="H34" s="146">
        <v>1</v>
      </c>
      <c r="I34" s="146">
        <v>1</v>
      </c>
      <c r="J34" s="146">
        <v>10</v>
      </c>
      <c r="K34" s="146">
        <v>409</v>
      </c>
      <c r="L34" s="146">
        <v>532</v>
      </c>
      <c r="M34" s="146">
        <v>491</v>
      </c>
      <c r="N34" s="146">
        <v>110</v>
      </c>
      <c r="O34" s="146">
        <v>89</v>
      </c>
      <c r="P34" s="146">
        <v>103</v>
      </c>
      <c r="Q34" s="146">
        <v>274</v>
      </c>
      <c r="R34" s="203">
        <v>4565</v>
      </c>
      <c r="S34" s="203">
        <v>0</v>
      </c>
      <c r="T34" s="118">
        <f t="shared" si="23"/>
        <v>-1</v>
      </c>
      <c r="U34" s="31">
        <f t="shared" si="6"/>
        <v>0.12</v>
      </c>
      <c r="V34" s="152">
        <f t="shared" si="2"/>
        <v>0</v>
      </c>
      <c r="W34" s="152">
        <f t="shared" si="38"/>
        <v>0</v>
      </c>
      <c r="X34" s="152">
        <f t="shared" si="39"/>
        <v>0</v>
      </c>
      <c r="Y34" s="152">
        <f t="shared" si="40"/>
        <v>0</v>
      </c>
      <c r="Z34" s="152">
        <f t="shared" si="41"/>
        <v>0</v>
      </c>
      <c r="AA34" s="152">
        <f t="shared" si="42"/>
        <v>0</v>
      </c>
      <c r="AB34" s="152">
        <f t="shared" si="43"/>
        <v>0</v>
      </c>
      <c r="AC34" s="152">
        <f t="shared" si="44"/>
        <v>0</v>
      </c>
      <c r="AD34" s="152">
        <f t="shared" si="45"/>
        <v>0</v>
      </c>
      <c r="AE34" s="152">
        <f t="shared" si="46"/>
        <v>0</v>
      </c>
      <c r="AF34" s="137">
        <f t="shared" si="18"/>
        <v>-1</v>
      </c>
      <c r="AG34" s="31">
        <f t="shared" si="16"/>
        <v>0.05</v>
      </c>
      <c r="AH34" s="145">
        <f t="shared" si="1"/>
        <v>0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5" t="s">
        <v>480</v>
      </c>
      <c r="B36" s="200" t="s">
        <v>474</v>
      </c>
      <c r="C36" s="140"/>
      <c r="D36" s="140"/>
      <c r="E36" s="146"/>
      <c r="F36" s="146"/>
      <c r="G36" s="146"/>
      <c r="H36" s="203">
        <f>I36</f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3"/>
        <v>#DIV/0!</v>
      </c>
      <c r="U36" s="31">
        <f t="shared" si="6"/>
        <v>0.12</v>
      </c>
      <c r="V36" s="152">
        <f t="shared" ref="V36:V49" si="90">S36*(1+$U36)</f>
        <v>0</v>
      </c>
      <c r="W36" s="152">
        <f t="shared" ref="W36:W49" si="91">V36*(1+$U36)</f>
        <v>0</v>
      </c>
      <c r="X36" s="152">
        <f t="shared" ref="X36:X49" si="92">W36*(1+$U36)</f>
        <v>0</v>
      </c>
      <c r="Y36" s="152">
        <f t="shared" ref="Y36:Y49" si="93">X36*(1+$U36)</f>
        <v>0</v>
      </c>
      <c r="Z36" s="152">
        <f t="shared" ref="Z36:Z49" si="94">Y36*(1+$U36)</f>
        <v>0</v>
      </c>
      <c r="AA36" s="152">
        <f t="shared" ref="AA36:AA49" si="95">Z36*(1+$U36)</f>
        <v>0</v>
      </c>
      <c r="AB36" s="152">
        <f t="shared" ref="AB36:AB49" si="96">AA36*(1+$U36)</f>
        <v>0</v>
      </c>
      <c r="AC36" s="152">
        <f t="shared" ref="AC36:AC49" si="97">AB36*(1+$U36)</f>
        <v>0</v>
      </c>
      <c r="AD36" s="152">
        <f t="shared" ref="AD36:AD49" si="98">AC36*(1+$U36)</f>
        <v>0</v>
      </c>
      <c r="AE36" s="152">
        <f t="shared" ref="AE36:AE49" si="99">AD36*(1+$U36)</f>
        <v>0</v>
      </c>
      <c r="AF36" s="137" t="e">
        <f t="shared" ref="AF36:AF49" si="100">((AE36/I36)^(1/($AE$3-$J$1) ))-1</f>
        <v>#DIV/0!</v>
      </c>
      <c r="AG36" s="31">
        <f t="shared" si="16"/>
        <v>0.05</v>
      </c>
      <c r="AH36" s="145">
        <f t="shared" ref="AH36:AH49" si="101">(AE36*(1+AG36))/($C$1-AG36)</f>
        <v>0</v>
      </c>
    </row>
    <row r="37" spans="1:34">
      <c r="A37" s="205"/>
      <c r="B37" s="200"/>
      <c r="C37" s="140"/>
      <c r="D37" s="140"/>
      <c r="E37" s="146"/>
      <c r="F37" s="146"/>
      <c r="G37" s="146"/>
      <c r="H37" s="149" t="e">
        <f t="shared" ref="H37:R37" si="102">(H36-G36)/G36</f>
        <v>#DIV/0!</v>
      </c>
      <c r="I37" s="149" t="e">
        <f t="shared" si="102"/>
        <v>#DIV/0!</v>
      </c>
      <c r="J37" s="149" t="e">
        <f t="shared" si="102"/>
        <v>#DIV/0!</v>
      </c>
      <c r="K37" s="149" t="e">
        <f t="shared" si="102"/>
        <v>#DIV/0!</v>
      </c>
      <c r="L37" s="149" t="e">
        <f t="shared" si="102"/>
        <v>#DIV/0!</v>
      </c>
      <c r="M37" s="149" t="e">
        <f t="shared" si="102"/>
        <v>#DIV/0!</v>
      </c>
      <c r="N37" s="149" t="e">
        <f t="shared" si="102"/>
        <v>#DIV/0!</v>
      </c>
      <c r="O37" s="149" t="e">
        <f t="shared" si="102"/>
        <v>#DIV/0!</v>
      </c>
      <c r="P37" s="149" t="e">
        <f t="shared" si="102"/>
        <v>#DIV/0!</v>
      </c>
      <c r="Q37" s="149" t="e">
        <f t="shared" si="102"/>
        <v>#DIV/0!</v>
      </c>
      <c r="R37" s="149" t="e">
        <f t="shared" si="102"/>
        <v>#DIV/0!</v>
      </c>
      <c r="S37" s="149" t="e">
        <f t="shared" ref="S37" si="103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5"/>
      <c r="B38" s="200" t="s">
        <v>475</v>
      </c>
      <c r="C38" s="140"/>
      <c r="D38" s="140"/>
      <c r="E38" s="146"/>
      <c r="F38" s="146"/>
      <c r="G38" s="146"/>
      <c r="H38" s="203">
        <f>I38</f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3"/>
        <v>#DIV/0!</v>
      </c>
      <c r="U38" s="31">
        <f t="shared" si="6"/>
        <v>0.12</v>
      </c>
      <c r="V38" s="152">
        <f t="shared" si="90"/>
        <v>0</v>
      </c>
      <c r="W38" s="152">
        <f t="shared" si="91"/>
        <v>0</v>
      </c>
      <c r="X38" s="152">
        <f t="shared" si="92"/>
        <v>0</v>
      </c>
      <c r="Y38" s="152">
        <f t="shared" si="93"/>
        <v>0</v>
      </c>
      <c r="Z38" s="152">
        <f t="shared" si="94"/>
        <v>0</v>
      </c>
      <c r="AA38" s="152">
        <f t="shared" si="95"/>
        <v>0</v>
      </c>
      <c r="AB38" s="152">
        <f t="shared" si="96"/>
        <v>0</v>
      </c>
      <c r="AC38" s="152">
        <f t="shared" si="97"/>
        <v>0</v>
      </c>
      <c r="AD38" s="152">
        <f t="shared" si="98"/>
        <v>0</v>
      </c>
      <c r="AE38" s="152">
        <f t="shared" si="99"/>
        <v>0</v>
      </c>
      <c r="AF38" s="137" t="e">
        <f t="shared" si="100"/>
        <v>#DIV/0!</v>
      </c>
      <c r="AG38" s="31">
        <f t="shared" si="16"/>
        <v>0.05</v>
      </c>
      <c r="AH38" s="145">
        <f t="shared" si="101"/>
        <v>0</v>
      </c>
    </row>
    <row r="39" spans="1:34">
      <c r="A39" s="205"/>
      <c r="B39" s="200"/>
      <c r="C39" s="140"/>
      <c r="D39" s="140"/>
      <c r="E39" s="146"/>
      <c r="F39" s="146"/>
      <c r="G39" s="146"/>
      <c r="H39" s="149" t="e">
        <f t="shared" ref="H39:R39" si="104">(H38-G38)/G38</f>
        <v>#DIV/0!</v>
      </c>
      <c r="I39" s="149" t="e">
        <f t="shared" si="104"/>
        <v>#DIV/0!</v>
      </c>
      <c r="J39" s="149" t="e">
        <f t="shared" si="104"/>
        <v>#DIV/0!</v>
      </c>
      <c r="K39" s="149" t="e">
        <f t="shared" si="104"/>
        <v>#DIV/0!</v>
      </c>
      <c r="L39" s="149" t="e">
        <f t="shared" si="104"/>
        <v>#DIV/0!</v>
      </c>
      <c r="M39" s="149" t="e">
        <f t="shared" si="104"/>
        <v>#DIV/0!</v>
      </c>
      <c r="N39" s="149" t="e">
        <f t="shared" si="104"/>
        <v>#DIV/0!</v>
      </c>
      <c r="O39" s="149" t="e">
        <f t="shared" si="104"/>
        <v>#DIV/0!</v>
      </c>
      <c r="P39" s="149" t="e">
        <f t="shared" si="104"/>
        <v>#DIV/0!</v>
      </c>
      <c r="Q39" s="149" t="e">
        <f t="shared" si="104"/>
        <v>#DIV/0!</v>
      </c>
      <c r="R39" s="149" t="e">
        <f t="shared" si="104"/>
        <v>#DIV/0!</v>
      </c>
      <c r="S39" s="149" t="e">
        <f t="shared" ref="S39" si="105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5"/>
      <c r="B40" s="200" t="s">
        <v>479</v>
      </c>
      <c r="C40" s="140"/>
      <c r="D40" s="140"/>
      <c r="E40" s="146"/>
      <c r="F40" s="146"/>
      <c r="G40" s="146"/>
      <c r="H40" s="203">
        <f>I40</f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3"/>
        <v>#DIV/0!</v>
      </c>
      <c r="U40" s="31">
        <f t="shared" si="6"/>
        <v>0.12</v>
      </c>
      <c r="V40" s="152">
        <f t="shared" si="90"/>
        <v>0</v>
      </c>
      <c r="W40" s="152">
        <f t="shared" si="91"/>
        <v>0</v>
      </c>
      <c r="X40" s="152">
        <f t="shared" si="92"/>
        <v>0</v>
      </c>
      <c r="Y40" s="152">
        <f t="shared" si="93"/>
        <v>0</v>
      </c>
      <c r="Z40" s="152">
        <f t="shared" si="94"/>
        <v>0</v>
      </c>
      <c r="AA40" s="152">
        <f t="shared" si="95"/>
        <v>0</v>
      </c>
      <c r="AB40" s="152">
        <f t="shared" si="96"/>
        <v>0</v>
      </c>
      <c r="AC40" s="152">
        <f t="shared" si="97"/>
        <v>0</v>
      </c>
      <c r="AD40" s="152">
        <f t="shared" si="98"/>
        <v>0</v>
      </c>
      <c r="AE40" s="152">
        <f t="shared" si="99"/>
        <v>0</v>
      </c>
      <c r="AF40" s="137" t="e">
        <f t="shared" si="100"/>
        <v>#DIV/0!</v>
      </c>
      <c r="AG40" s="31">
        <f t="shared" si="16"/>
        <v>0.05</v>
      </c>
      <c r="AH40" s="145">
        <f t="shared" si="101"/>
        <v>0</v>
      </c>
    </row>
    <row r="41" spans="1:34">
      <c r="A41" s="205"/>
      <c r="B41" s="200" t="s">
        <v>476</v>
      </c>
      <c r="C41" s="140"/>
      <c r="D41" s="140"/>
      <c r="E41" s="146"/>
      <c r="F41" s="146"/>
      <c r="G41" s="146"/>
      <c r="H41" s="203">
        <f>I41</f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3"/>
        <v>#DIV/0!</v>
      </c>
      <c r="U41" s="31">
        <f t="shared" si="6"/>
        <v>0.12</v>
      </c>
      <c r="V41" s="152">
        <f t="shared" si="90"/>
        <v>0</v>
      </c>
      <c r="W41" s="152">
        <f t="shared" si="91"/>
        <v>0</v>
      </c>
      <c r="X41" s="152">
        <f t="shared" si="92"/>
        <v>0</v>
      </c>
      <c r="Y41" s="152">
        <f t="shared" si="93"/>
        <v>0</v>
      </c>
      <c r="Z41" s="152">
        <f t="shared" si="94"/>
        <v>0</v>
      </c>
      <c r="AA41" s="152">
        <f t="shared" si="95"/>
        <v>0</v>
      </c>
      <c r="AB41" s="152">
        <f t="shared" si="96"/>
        <v>0</v>
      </c>
      <c r="AC41" s="152">
        <f t="shared" si="97"/>
        <v>0</v>
      </c>
      <c r="AD41" s="152">
        <f t="shared" si="98"/>
        <v>0</v>
      </c>
      <c r="AE41" s="152">
        <f t="shared" si="99"/>
        <v>0</v>
      </c>
      <c r="AF41" s="137" t="e">
        <f t="shared" si="100"/>
        <v>#DIV/0!</v>
      </c>
      <c r="AG41" s="31">
        <f t="shared" si="16"/>
        <v>0.05</v>
      </c>
      <c r="AH41" s="145">
        <f t="shared" si="101"/>
        <v>0</v>
      </c>
    </row>
    <row r="42" spans="1:34">
      <c r="A42" s="205"/>
      <c r="B42" s="200" t="s">
        <v>478</v>
      </c>
      <c r="C42" s="140"/>
      <c r="D42" s="140"/>
      <c r="E42" s="146"/>
      <c r="F42" s="146"/>
      <c r="G42" s="146"/>
      <c r="H42" s="203">
        <f>I42</f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3"/>
        <v>#DIV/0!</v>
      </c>
      <c r="U42" s="31">
        <f t="shared" si="6"/>
        <v>0.12</v>
      </c>
      <c r="V42" s="152">
        <f t="shared" si="90"/>
        <v>0</v>
      </c>
      <c r="W42" s="152">
        <f t="shared" si="91"/>
        <v>0</v>
      </c>
      <c r="X42" s="152">
        <f t="shared" si="92"/>
        <v>0</v>
      </c>
      <c r="Y42" s="152">
        <f t="shared" si="93"/>
        <v>0</v>
      </c>
      <c r="Z42" s="152">
        <f t="shared" si="94"/>
        <v>0</v>
      </c>
      <c r="AA42" s="152">
        <f t="shared" si="95"/>
        <v>0</v>
      </c>
      <c r="AB42" s="152">
        <f t="shared" si="96"/>
        <v>0</v>
      </c>
      <c r="AC42" s="152">
        <f t="shared" si="97"/>
        <v>0</v>
      </c>
      <c r="AD42" s="152">
        <f t="shared" si="98"/>
        <v>0</v>
      </c>
      <c r="AE42" s="152">
        <f t="shared" si="99"/>
        <v>0</v>
      </c>
      <c r="AF42" s="137" t="e">
        <f t="shared" si="100"/>
        <v>#DIV/0!</v>
      </c>
      <c r="AG42" s="31">
        <f t="shared" si="16"/>
        <v>0.05</v>
      </c>
      <c r="AH42" s="145">
        <f t="shared" si="101"/>
        <v>0</v>
      </c>
    </row>
    <row r="43" spans="1:34">
      <c r="A43" s="205"/>
      <c r="B43" s="200" t="s">
        <v>477</v>
      </c>
      <c r="C43" s="140"/>
      <c r="D43" s="140"/>
      <c r="E43" s="146"/>
      <c r="F43" s="146"/>
      <c r="G43" s="146"/>
      <c r="H43" s="203">
        <f>I43</f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3"/>
        <v>#DIV/0!</v>
      </c>
      <c r="U43" s="31">
        <f t="shared" si="6"/>
        <v>0.12</v>
      </c>
      <c r="V43" s="152">
        <f t="shared" si="90"/>
        <v>0</v>
      </c>
      <c r="W43" s="152">
        <f t="shared" si="91"/>
        <v>0</v>
      </c>
      <c r="X43" s="152">
        <f t="shared" si="92"/>
        <v>0</v>
      </c>
      <c r="Y43" s="152">
        <f t="shared" si="93"/>
        <v>0</v>
      </c>
      <c r="Z43" s="152">
        <f t="shared" si="94"/>
        <v>0</v>
      </c>
      <c r="AA43" s="152">
        <f t="shared" si="95"/>
        <v>0</v>
      </c>
      <c r="AB43" s="152">
        <f t="shared" si="96"/>
        <v>0</v>
      </c>
      <c r="AC43" s="152">
        <f t="shared" si="97"/>
        <v>0</v>
      </c>
      <c r="AD43" s="152">
        <f t="shared" si="98"/>
        <v>0</v>
      </c>
      <c r="AE43" s="152">
        <f t="shared" si="99"/>
        <v>0</v>
      </c>
      <c r="AF43" s="137" t="e">
        <f t="shared" si="100"/>
        <v>#DIV/0!</v>
      </c>
      <c r="AG43" s="31">
        <f t="shared" si="16"/>
        <v>0.05</v>
      </c>
      <c r="AH43" s="145">
        <f t="shared" si="101"/>
        <v>0</v>
      </c>
    </row>
    <row r="44" spans="1:34">
      <c r="A44" s="205"/>
      <c r="B44" s="200"/>
      <c r="C44" s="140"/>
      <c r="D44" s="140"/>
      <c r="E44" s="146"/>
      <c r="F44" s="146"/>
      <c r="G44" s="146"/>
      <c r="H44" s="149" t="e">
        <f t="shared" ref="H44:R44" si="106">(H43-G43)/G43</f>
        <v>#DIV/0!</v>
      </c>
      <c r="I44" s="149" t="e">
        <f t="shared" si="106"/>
        <v>#DIV/0!</v>
      </c>
      <c r="J44" s="149" t="e">
        <f t="shared" si="106"/>
        <v>#DIV/0!</v>
      </c>
      <c r="K44" s="149" t="e">
        <f t="shared" si="106"/>
        <v>#DIV/0!</v>
      </c>
      <c r="L44" s="149" t="e">
        <f t="shared" si="106"/>
        <v>#DIV/0!</v>
      </c>
      <c r="M44" s="149" t="e">
        <f t="shared" si="106"/>
        <v>#DIV/0!</v>
      </c>
      <c r="N44" s="149" t="e">
        <f t="shared" si="106"/>
        <v>#DIV/0!</v>
      </c>
      <c r="O44" s="149" t="e">
        <f t="shared" si="106"/>
        <v>#DIV/0!</v>
      </c>
      <c r="P44" s="149" t="e">
        <f t="shared" si="106"/>
        <v>#DIV/0!</v>
      </c>
      <c r="Q44" s="149" t="e">
        <f t="shared" si="106"/>
        <v>#DIV/0!</v>
      </c>
      <c r="R44" s="149" t="e">
        <f t="shared" si="106"/>
        <v>#DIV/0!</v>
      </c>
      <c r="S44" s="149" t="e">
        <f t="shared" ref="S44" si="107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5"/>
      <c r="B45" s="200" t="s">
        <v>218</v>
      </c>
      <c r="C45" s="140"/>
      <c r="D45" s="140"/>
      <c r="E45" s="146"/>
      <c r="F45" s="146"/>
      <c r="G45" s="146"/>
      <c r="H45" s="203">
        <f>I45</f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3"/>
        <v>#DIV/0!</v>
      </c>
      <c r="U45" s="31">
        <f t="shared" si="6"/>
        <v>0.12</v>
      </c>
      <c r="V45" s="152">
        <f t="shared" si="90"/>
        <v>0</v>
      </c>
      <c r="W45" s="152">
        <f t="shared" si="91"/>
        <v>0</v>
      </c>
      <c r="X45" s="152">
        <f t="shared" si="92"/>
        <v>0</v>
      </c>
      <c r="Y45" s="152">
        <f t="shared" si="93"/>
        <v>0</v>
      </c>
      <c r="Z45" s="152">
        <f t="shared" si="94"/>
        <v>0</v>
      </c>
      <c r="AA45" s="152">
        <f t="shared" si="95"/>
        <v>0</v>
      </c>
      <c r="AB45" s="152">
        <f t="shared" si="96"/>
        <v>0</v>
      </c>
      <c r="AC45" s="152">
        <f t="shared" si="97"/>
        <v>0</v>
      </c>
      <c r="AD45" s="152">
        <f t="shared" si="98"/>
        <v>0</v>
      </c>
      <c r="AE45" s="152">
        <f t="shared" si="99"/>
        <v>0</v>
      </c>
      <c r="AF45" s="137" t="e">
        <f t="shared" si="100"/>
        <v>#DIV/0!</v>
      </c>
      <c r="AG45" s="31">
        <f t="shared" si="16"/>
        <v>0.05</v>
      </c>
      <c r="AH45" s="145">
        <f t="shared" si="101"/>
        <v>0</v>
      </c>
    </row>
    <row r="46" spans="1:34">
      <c r="A46" s="201"/>
      <c r="B46" s="200"/>
      <c r="C46" s="140"/>
      <c r="D46" s="140"/>
      <c r="E46" s="146"/>
      <c r="F46" s="146"/>
      <c r="G46" s="146"/>
      <c r="H46" s="149" t="e">
        <f t="shared" ref="H46:R46" si="108">(H45-G45)/G45</f>
        <v>#DIV/0!</v>
      </c>
      <c r="I46" s="149" t="e">
        <f t="shared" si="108"/>
        <v>#DIV/0!</v>
      </c>
      <c r="J46" s="149" t="e">
        <f t="shared" si="108"/>
        <v>#DIV/0!</v>
      </c>
      <c r="K46" s="149" t="e">
        <f t="shared" si="108"/>
        <v>#DIV/0!</v>
      </c>
      <c r="L46" s="149" t="e">
        <f t="shared" si="108"/>
        <v>#DIV/0!</v>
      </c>
      <c r="M46" s="149" t="e">
        <f t="shared" si="108"/>
        <v>#DIV/0!</v>
      </c>
      <c r="N46" s="149" t="e">
        <f t="shared" si="108"/>
        <v>#DIV/0!</v>
      </c>
      <c r="O46" s="149" t="e">
        <f t="shared" si="108"/>
        <v>#DIV/0!</v>
      </c>
      <c r="P46" s="149" t="e">
        <f t="shared" si="108"/>
        <v>#DIV/0!</v>
      </c>
      <c r="Q46" s="149" t="e">
        <f t="shared" si="108"/>
        <v>#DIV/0!</v>
      </c>
      <c r="R46" s="149" t="e">
        <f t="shared" si="108"/>
        <v>#DIV/0!</v>
      </c>
      <c r="S46" s="149" t="e">
        <f t="shared" ref="S46" si="109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491</v>
      </c>
      <c r="C47" s="140"/>
      <c r="D47" s="140"/>
      <c r="E47" s="146"/>
      <c r="F47" s="146"/>
      <c r="G47" s="146"/>
      <c r="H47" s="203">
        <f>I47</f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3"/>
        <v>#DIV/0!</v>
      </c>
      <c r="U47" s="31">
        <f t="shared" si="6"/>
        <v>0.12</v>
      </c>
      <c r="V47" s="152">
        <f t="shared" ref="V47" si="110">S47*(1+$U47)</f>
        <v>0</v>
      </c>
      <c r="W47" s="152">
        <f t="shared" ref="W47" si="111">V47*(1+$U47)</f>
        <v>0</v>
      </c>
      <c r="X47" s="152">
        <f t="shared" ref="X47" si="112">W47*(1+$U47)</f>
        <v>0</v>
      </c>
      <c r="Y47" s="152">
        <f t="shared" ref="Y47" si="113">X47*(1+$U47)</f>
        <v>0</v>
      </c>
      <c r="Z47" s="152">
        <f t="shared" ref="Z47" si="114">Y47*(1+$U47)</f>
        <v>0</v>
      </c>
      <c r="AA47" s="152">
        <f t="shared" ref="AA47" si="115">Z47*(1+$U47)</f>
        <v>0</v>
      </c>
      <c r="AB47" s="152">
        <f t="shared" ref="AB47" si="116">AA47*(1+$U47)</f>
        <v>0</v>
      </c>
      <c r="AC47" s="152">
        <f t="shared" ref="AC47" si="117">AB47*(1+$U47)</f>
        <v>0</v>
      </c>
      <c r="AD47" s="152">
        <f t="shared" ref="AD47" si="118">AC47*(1+$U47)</f>
        <v>0</v>
      </c>
      <c r="AE47" s="152">
        <f t="shared" ref="AE47" si="119">AD47*(1+$U47)</f>
        <v>0</v>
      </c>
      <c r="AF47" s="137" t="e">
        <f t="shared" ref="AF47" si="120">((AE47/I47)^(1/($AE$3-$J$1) ))-1</f>
        <v>#DIV/0!</v>
      </c>
      <c r="AG47" s="31">
        <f t="shared" si="16"/>
        <v>0.05</v>
      </c>
      <c r="AH47" s="145">
        <f t="shared" si="101"/>
        <v>0</v>
      </c>
    </row>
    <row r="48" spans="1:34">
      <c r="A48" s="201"/>
      <c r="B48" s="200"/>
      <c r="C48" s="140"/>
      <c r="D48" s="140"/>
      <c r="E48" s="146"/>
      <c r="F48" s="146"/>
      <c r="G48" s="146"/>
      <c r="H48" s="149" t="e">
        <f t="shared" ref="H48:R48" si="121">(H47-G47)/G47</f>
        <v>#DIV/0!</v>
      </c>
      <c r="I48" s="149" t="e">
        <f t="shared" si="121"/>
        <v>#DIV/0!</v>
      </c>
      <c r="J48" s="149" t="e">
        <f t="shared" si="121"/>
        <v>#DIV/0!</v>
      </c>
      <c r="K48" s="149" t="e">
        <f t="shared" si="121"/>
        <v>#DIV/0!</v>
      </c>
      <c r="L48" s="149" t="e">
        <f t="shared" si="121"/>
        <v>#DIV/0!</v>
      </c>
      <c r="M48" s="149" t="e">
        <f t="shared" si="121"/>
        <v>#DIV/0!</v>
      </c>
      <c r="N48" s="149" t="e">
        <f t="shared" si="121"/>
        <v>#DIV/0!</v>
      </c>
      <c r="O48" s="149" t="e">
        <f t="shared" si="121"/>
        <v>#DIV/0!</v>
      </c>
      <c r="P48" s="149" t="e">
        <f t="shared" si="121"/>
        <v>#DIV/0!</v>
      </c>
      <c r="Q48" s="149" t="e">
        <f t="shared" si="121"/>
        <v>#DIV/0!</v>
      </c>
      <c r="R48" s="149" t="e">
        <f t="shared" si="121"/>
        <v>#DIV/0!</v>
      </c>
      <c r="S48" s="149" t="e">
        <f t="shared" ref="S48" si="122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481</v>
      </c>
      <c r="C49" s="140"/>
      <c r="D49" s="140"/>
      <c r="E49" s="146"/>
      <c r="F49" s="146"/>
      <c r="G49" s="146"/>
      <c r="H49" s="203">
        <f>I49</f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3"/>
        <v>#DIV/0!</v>
      </c>
      <c r="U49" s="31">
        <f t="shared" si="6"/>
        <v>0.12</v>
      </c>
      <c r="V49" s="152">
        <f t="shared" si="90"/>
        <v>0</v>
      </c>
      <c r="W49" s="152">
        <f t="shared" si="91"/>
        <v>0</v>
      </c>
      <c r="X49" s="152">
        <f t="shared" si="92"/>
        <v>0</v>
      </c>
      <c r="Y49" s="152">
        <f t="shared" si="93"/>
        <v>0</v>
      </c>
      <c r="Z49" s="152">
        <f t="shared" si="94"/>
        <v>0</v>
      </c>
      <c r="AA49" s="152">
        <f t="shared" si="95"/>
        <v>0</v>
      </c>
      <c r="AB49" s="152">
        <f t="shared" si="96"/>
        <v>0</v>
      </c>
      <c r="AC49" s="152">
        <f t="shared" si="97"/>
        <v>0</v>
      </c>
      <c r="AD49" s="152">
        <f t="shared" si="98"/>
        <v>0</v>
      </c>
      <c r="AE49" s="152">
        <f t="shared" si="99"/>
        <v>0</v>
      </c>
      <c r="AF49" s="137" t="e">
        <f t="shared" si="100"/>
        <v>#DIV/0!</v>
      </c>
      <c r="AG49" s="31">
        <f t="shared" si="16"/>
        <v>0.05</v>
      </c>
      <c r="AH49" s="145">
        <f t="shared" si="101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1</v>
      </c>
      <c r="H51" s="146">
        <v>1</v>
      </c>
      <c r="I51" s="146">
        <v>1</v>
      </c>
      <c r="J51" s="146">
        <v>-18</v>
      </c>
      <c r="K51" s="146">
        <v>196</v>
      </c>
      <c r="L51" s="146">
        <v>393</v>
      </c>
      <c r="M51" s="146">
        <v>724</v>
      </c>
      <c r="N51" s="146">
        <v>8254</v>
      </c>
      <c r="O51" s="146">
        <v>9254</v>
      </c>
      <c r="P51" s="146">
        <v>13033</v>
      </c>
      <c r="Q51" s="146">
        <v>13685</v>
      </c>
      <c r="R51" s="203">
        <v>8522</v>
      </c>
      <c r="S51" s="203">
        <v>2266.13</v>
      </c>
      <c r="T51" s="118">
        <f t="shared" si="23"/>
        <v>0.90373751572916361</v>
      </c>
      <c r="U51" s="31">
        <f t="shared" si="6"/>
        <v>0.12</v>
      </c>
      <c r="V51" s="152">
        <f t="shared" si="2"/>
        <v>2538.0656000000004</v>
      </c>
      <c r="W51" s="152">
        <f t="shared" ref="W51" si="123">V51*(1+$U51)</f>
        <v>2842.6334720000009</v>
      </c>
      <c r="X51" s="152">
        <f t="shared" ref="X51" si="124">W51*(1+$U51)</f>
        <v>3183.7494886400013</v>
      </c>
      <c r="Y51" s="152">
        <f t="shared" ref="Y51" si="125">X51*(1+$U51)</f>
        <v>3565.7994272768019</v>
      </c>
      <c r="Z51" s="152">
        <f t="shared" si="41"/>
        <v>3993.6953585500187</v>
      </c>
      <c r="AA51" s="152">
        <f t="shared" si="42"/>
        <v>4472.9388015760214</v>
      </c>
      <c r="AB51" s="152">
        <f t="shared" si="43"/>
        <v>5009.6914577651442</v>
      </c>
      <c r="AC51" s="152">
        <f t="shared" si="44"/>
        <v>5610.8544326969622</v>
      </c>
      <c r="AD51" s="152">
        <f t="shared" si="45"/>
        <v>6284.156964620598</v>
      </c>
      <c r="AE51" s="152">
        <f t="shared" si="46"/>
        <v>7038.2558003750701</v>
      </c>
      <c r="AF51" s="137">
        <f t="shared" si="18"/>
        <v>0.52479908007778109</v>
      </c>
      <c r="AG51" s="31">
        <f t="shared" si="16"/>
        <v>0.05</v>
      </c>
      <c r="AH51" s="145">
        <f t="shared" si="1"/>
        <v>73901.685903938254</v>
      </c>
    </row>
    <row r="52" spans="1:34" s="123" customFormat="1">
      <c r="B52" s="23"/>
      <c r="C52" s="147"/>
      <c r="D52" s="147"/>
      <c r="E52" s="148"/>
      <c r="F52" s="148"/>
      <c r="G52" s="226">
        <f t="shared" ref="G52:Q52" si="126">(G51-F51)/G51</f>
        <v>1</v>
      </c>
      <c r="H52" s="226">
        <f t="shared" si="126"/>
        <v>0</v>
      </c>
      <c r="I52" s="226">
        <f t="shared" si="126"/>
        <v>0</v>
      </c>
      <c r="J52" s="226">
        <f t="shared" si="126"/>
        <v>1.0555555555555556</v>
      </c>
      <c r="K52" s="226">
        <f t="shared" si="126"/>
        <v>1.0918367346938775</v>
      </c>
      <c r="L52" s="226">
        <f t="shared" si="126"/>
        <v>0.50127226463104324</v>
      </c>
      <c r="M52" s="226">
        <f t="shared" si="126"/>
        <v>0.45718232044198898</v>
      </c>
      <c r="N52" s="226">
        <f t="shared" si="126"/>
        <v>0.91228495275018173</v>
      </c>
      <c r="O52" s="226">
        <f t="shared" si="126"/>
        <v>0.10806137886319429</v>
      </c>
      <c r="P52" s="226">
        <f t="shared" si="126"/>
        <v>0.28995626486610909</v>
      </c>
      <c r="Q52" s="226">
        <f t="shared" si="126"/>
        <v>4.7643405188162222E-2</v>
      </c>
      <c r="R52" s="149">
        <f t="shared" ref="R52" si="127">(R51-Q51)/Q51</f>
        <v>-0.37727438801607599</v>
      </c>
      <c r="S52" s="149">
        <f t="shared" ref="I52:S52" si="128">(S51-R51)/R51</f>
        <v>-0.7340847218962685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396</v>
      </c>
      <c r="C53" s="147"/>
      <c r="D53" s="147"/>
      <c r="E53" s="148"/>
      <c r="F53" s="148"/>
      <c r="G53" s="146">
        <v>1</v>
      </c>
      <c r="H53" s="146"/>
      <c r="I53" s="146"/>
      <c r="J53" s="146">
        <v>-13</v>
      </c>
      <c r="K53" s="146">
        <v>126</v>
      </c>
      <c r="L53" s="146">
        <v>1017</v>
      </c>
      <c r="M53" s="146">
        <v>1009</v>
      </c>
      <c r="N53" s="146">
        <v>6890</v>
      </c>
      <c r="O53" s="146">
        <v>8423</v>
      </c>
      <c r="P53" s="146">
        <v>12154</v>
      </c>
      <c r="Q53" s="146">
        <v>12849</v>
      </c>
      <c r="R53" s="203">
        <v>5109</v>
      </c>
      <c r="S53" s="203">
        <v>-9433</v>
      </c>
      <c r="T53" s="118" t="e">
        <f t="shared" si="23"/>
        <v>#NUM!</v>
      </c>
      <c r="U53" s="31">
        <f t="shared" si="6"/>
        <v>0.12</v>
      </c>
      <c r="V53" s="152">
        <f t="shared" si="2"/>
        <v>-10564.960000000001</v>
      </c>
      <c r="W53" s="152">
        <f t="shared" ref="W53" si="129">V53*(1+$U53)</f>
        <v>-11832.755200000001</v>
      </c>
      <c r="X53" s="152">
        <f t="shared" ref="X53" si="130">W53*(1+$U53)</f>
        <v>-13252.685824000002</v>
      </c>
      <c r="Y53" s="152">
        <f t="shared" ref="Y53" si="131">X53*(1+$U53)</f>
        <v>-14843.008122880003</v>
      </c>
      <c r="Z53" s="152">
        <f t="shared" ref="Z53" si="132">Y53*(1+$U53)</f>
        <v>-16624.169097625603</v>
      </c>
      <c r="AA53" s="152">
        <f t="shared" ref="AA53" si="133">Z53*(1+$U53)</f>
        <v>-18619.069389340679</v>
      </c>
      <c r="AB53" s="152">
        <f t="shared" ref="AB53" si="134">AA53*(1+$U53)</f>
        <v>-20853.35771606156</v>
      </c>
      <c r="AC53" s="152">
        <f t="shared" ref="AC53" si="135">AB53*(1+$U53)</f>
        <v>-23355.760641988949</v>
      </c>
      <c r="AD53" s="152">
        <f t="shared" ref="AD53" si="136">AC53*(1+$U53)</f>
        <v>-26158.451919027626</v>
      </c>
      <c r="AE53" s="152">
        <f t="shared" ref="AE53" si="137">AD53*(1+$U53)</f>
        <v>-29297.466149310945</v>
      </c>
      <c r="AF53" s="137" t="e">
        <f t="shared" ref="AF53" si="138">((AE53/I53)^(1/($AE$3-$J$1) ))-1</f>
        <v>#DIV/0!</v>
      </c>
      <c r="AG53" s="31">
        <f t="shared" si="16"/>
        <v>0.05</v>
      </c>
      <c r="AH53" s="145">
        <f t="shared" ref="AH53" si="139">(AE53*(1+AG53))/($C$1-AG53)</f>
        <v>-307623.394567765</v>
      </c>
    </row>
    <row r="54" spans="1:34" s="123" customFormat="1">
      <c r="B54" s="23"/>
      <c r="C54" s="147"/>
      <c r="D54" s="147"/>
      <c r="E54" s="148"/>
      <c r="F54" s="148"/>
      <c r="G54" s="226">
        <f t="shared" ref="G54:Q54" si="140">(G53-F53)/G53</f>
        <v>1</v>
      </c>
      <c r="H54" s="226" t="e">
        <f t="shared" si="140"/>
        <v>#DIV/0!</v>
      </c>
      <c r="I54" s="226" t="e">
        <f t="shared" si="140"/>
        <v>#DIV/0!</v>
      </c>
      <c r="J54" s="226">
        <f t="shared" si="140"/>
        <v>1</v>
      </c>
      <c r="K54" s="226">
        <f t="shared" si="140"/>
        <v>1.1031746031746033</v>
      </c>
      <c r="L54" s="226">
        <f t="shared" si="140"/>
        <v>0.87610619469026552</v>
      </c>
      <c r="M54" s="226">
        <f t="shared" si="140"/>
        <v>-7.9286422200198214E-3</v>
      </c>
      <c r="N54" s="226">
        <f t="shared" si="140"/>
        <v>0.85355587808417999</v>
      </c>
      <c r="O54" s="226">
        <f t="shared" si="140"/>
        <v>0.18200166211563576</v>
      </c>
      <c r="P54" s="226">
        <f t="shared" si="140"/>
        <v>0.30697712687181172</v>
      </c>
      <c r="Q54" s="226">
        <f t="shared" si="140"/>
        <v>5.4089812436765507E-2</v>
      </c>
      <c r="R54" s="149">
        <f t="shared" ref="R54" si="141">(R53-Q53)/Q53</f>
        <v>-0.60238150828858272</v>
      </c>
      <c r="S54" s="149">
        <f t="shared" ref="I54:S54" si="142">(S53-R53)/R53</f>
        <v>-2.8463495791740065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397</v>
      </c>
      <c r="C55" s="140"/>
      <c r="D55" s="140"/>
      <c r="E55" s="146"/>
      <c r="F55" s="146"/>
      <c r="G55" s="146">
        <v>1</v>
      </c>
      <c r="H55" s="146">
        <v>1</v>
      </c>
      <c r="I55" s="146">
        <v>1</v>
      </c>
      <c r="J55" s="146">
        <v>-19</v>
      </c>
      <c r="K55" s="146">
        <v>-25</v>
      </c>
      <c r="L55" s="146">
        <v>803</v>
      </c>
      <c r="M55" s="146">
        <v>1051</v>
      </c>
      <c r="N55" s="146">
        <v>6334</v>
      </c>
      <c r="O55" s="146">
        <v>7937</v>
      </c>
      <c r="P55" s="146">
        <v>12056</v>
      </c>
      <c r="Q55" s="146">
        <v>12431</v>
      </c>
      <c r="R55" s="203">
        <v>4479</v>
      </c>
      <c r="S55" s="203">
        <v>-9431.8799999999992</v>
      </c>
      <c r="T55" s="118" t="e">
        <f t="shared" si="23"/>
        <v>#NUM!</v>
      </c>
      <c r="U55" s="31">
        <f t="shared" si="6"/>
        <v>0.12</v>
      </c>
      <c r="V55" s="152">
        <f t="shared" si="2"/>
        <v>-10563.705599999999</v>
      </c>
      <c r="W55" s="152">
        <f t="shared" ref="W55:AE55" si="143">V55*(1+$U55)</f>
        <v>-11831.350272</v>
      </c>
      <c r="X55" s="152">
        <f t="shared" si="143"/>
        <v>-13251.112304640001</v>
      </c>
      <c r="Y55" s="152">
        <f t="shared" si="143"/>
        <v>-14841.245781196802</v>
      </c>
      <c r="Z55" s="152">
        <f t="shared" si="143"/>
        <v>-16622.195274940419</v>
      </c>
      <c r="AA55" s="152">
        <f t="shared" si="143"/>
        <v>-18616.858707933272</v>
      </c>
      <c r="AB55" s="152">
        <f t="shared" si="143"/>
        <v>-20850.881752885267</v>
      </c>
      <c r="AC55" s="152">
        <f t="shared" si="143"/>
        <v>-23352.987563231502</v>
      </c>
      <c r="AD55" s="152">
        <f t="shared" si="143"/>
        <v>-26155.346070819283</v>
      </c>
      <c r="AE55" s="152">
        <f t="shared" si="143"/>
        <v>-29293.987599317599</v>
      </c>
      <c r="AF55" s="137">
        <f t="shared" si="18"/>
        <v>-2.6319383104142191</v>
      </c>
      <c r="AG55" s="31">
        <f t="shared" si="16"/>
        <v>0.05</v>
      </c>
      <c r="AH55" s="145">
        <f t="shared" si="1"/>
        <v>-307586.86979283486</v>
      </c>
    </row>
    <row r="56" spans="1:34" s="123" customFormat="1">
      <c r="B56" s="23"/>
      <c r="C56" s="147"/>
      <c r="D56" s="147"/>
      <c r="E56" s="148"/>
      <c r="F56" s="148"/>
      <c r="G56" s="226">
        <f>(G55-F55)/G55</f>
        <v>1</v>
      </c>
      <c r="H56" s="226">
        <f t="shared" ref="H56:Q56" si="144">(H55-G55)/H55</f>
        <v>0</v>
      </c>
      <c r="I56" s="226">
        <f t="shared" si="144"/>
        <v>0</v>
      </c>
      <c r="J56" s="226">
        <f t="shared" si="144"/>
        <v>1.0526315789473684</v>
      </c>
      <c r="K56" s="226">
        <f t="shared" si="144"/>
        <v>0.24</v>
      </c>
      <c r="L56" s="226">
        <f t="shared" si="144"/>
        <v>1.0311332503113324</v>
      </c>
      <c r="M56" s="226">
        <f t="shared" si="144"/>
        <v>0.23596574690770694</v>
      </c>
      <c r="N56" s="226">
        <f t="shared" si="144"/>
        <v>0.8340700978844332</v>
      </c>
      <c r="O56" s="226">
        <f t="shared" si="144"/>
        <v>0.20196547814035529</v>
      </c>
      <c r="P56" s="226">
        <f t="shared" si="144"/>
        <v>0.34165560716655607</v>
      </c>
      <c r="Q56" s="226">
        <f t="shared" si="144"/>
        <v>3.0166519185906203E-2</v>
      </c>
      <c r="R56" s="149">
        <f t="shared" ref="R56" si="145">(R55-Q55)/Q55</f>
        <v>-0.63969109484353637</v>
      </c>
      <c r="S56" s="149">
        <f t="shared" ref="I56:S56" si="146">(S55-R55)/R55</f>
        <v>-3.1058004018754186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227">
        <v>176.53</v>
      </c>
      <c r="H57" s="227">
        <v>176.53</v>
      </c>
      <c r="I57" s="227">
        <v>176.53</v>
      </c>
      <c r="J57" s="227">
        <v>176.53</v>
      </c>
      <c r="K57" s="227">
        <v>177.83</v>
      </c>
      <c r="L57" s="227">
        <v>189.66</v>
      </c>
      <c r="M57" s="227">
        <v>189.66</v>
      </c>
      <c r="N57" s="227">
        <v>190.19</v>
      </c>
      <c r="O57" s="227">
        <v>190.73</v>
      </c>
      <c r="P57" s="227">
        <v>190.73</v>
      </c>
      <c r="Q57" s="144">
        <v>190.76</v>
      </c>
      <c r="R57" s="144">
        <v>187.49</v>
      </c>
      <c r="S57" s="203">
        <v>187.49</v>
      </c>
      <c r="T57" s="118">
        <f t="shared" si="23"/>
        <v>5.0321754996955903E-3</v>
      </c>
      <c r="U57" s="31">
        <v>0.02</v>
      </c>
      <c r="V57" s="152">
        <f t="shared" si="2"/>
        <v>191.2398</v>
      </c>
      <c r="W57" s="152">
        <f>V57*(1+$U57)</f>
        <v>195.06459599999999</v>
      </c>
      <c r="X57" s="152">
        <f t="shared" ref="X57:AE57" si="147">W57*(1+$U57)</f>
        <v>198.96588792</v>
      </c>
      <c r="Y57" s="152">
        <f t="shared" si="147"/>
        <v>202.94520567840001</v>
      </c>
      <c r="Z57" s="152">
        <f t="shared" si="147"/>
        <v>207.00410979196801</v>
      </c>
      <c r="AA57" s="152">
        <f t="shared" si="147"/>
        <v>211.14419198780737</v>
      </c>
      <c r="AB57" s="152">
        <f t="shared" si="147"/>
        <v>215.36707582756353</v>
      </c>
      <c r="AC57" s="152">
        <f t="shared" si="147"/>
        <v>219.6744173441148</v>
      </c>
      <c r="AD57" s="152">
        <f t="shared" si="147"/>
        <v>224.06790569099709</v>
      </c>
      <c r="AE57" s="152">
        <f t="shared" si="147"/>
        <v>228.54926380481703</v>
      </c>
      <c r="AF57" s="137">
        <f t="shared" si="18"/>
        <v>1.2374073565846633E-2</v>
      </c>
      <c r="AG57" s="31">
        <f t="shared" si="16"/>
        <v>0.05</v>
      </c>
      <c r="AH57" s="145">
        <f t="shared" si="1"/>
        <v>2399.7672699505792</v>
      </c>
    </row>
    <row r="58" spans="1:34">
      <c r="B58" s="20"/>
      <c r="C58" s="141"/>
      <c r="D58" s="141"/>
      <c r="E58" s="142"/>
      <c r="F58" s="142"/>
      <c r="G58" s="226">
        <f>(G57-F57)/G57</f>
        <v>1</v>
      </c>
      <c r="H58" s="226">
        <f t="shared" ref="H58:Q58" si="148">(H57-G57)/H57</f>
        <v>0</v>
      </c>
      <c r="I58" s="226">
        <f t="shared" si="148"/>
        <v>0</v>
      </c>
      <c r="J58" s="226">
        <f t="shared" si="148"/>
        <v>0</v>
      </c>
      <c r="K58" s="226">
        <f t="shared" si="148"/>
        <v>7.3103525839285349E-3</v>
      </c>
      <c r="L58" s="226">
        <f t="shared" si="148"/>
        <v>6.2374775914794817E-2</v>
      </c>
      <c r="M58" s="226">
        <f t="shared" si="148"/>
        <v>0</v>
      </c>
      <c r="N58" s="226">
        <f t="shared" si="148"/>
        <v>2.7866869972133189E-3</v>
      </c>
      <c r="O58" s="226">
        <f t="shared" si="148"/>
        <v>2.8312273895034451E-3</v>
      </c>
      <c r="P58" s="226">
        <f t="shared" si="148"/>
        <v>0</v>
      </c>
      <c r="Q58" s="226">
        <f t="shared" si="148"/>
        <v>1.5726567414552913E-4</v>
      </c>
      <c r="R58" s="149">
        <f t="shared" ref="R58" si="149">(R57-Q57)/Q57</f>
        <v>-1.7141958481861931E-2</v>
      </c>
      <c r="S58" s="149">
        <f t="shared" ref="I58:S58" si="150">(S57-R57)/R57</f>
        <v>0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228">
        <v>0.01</v>
      </c>
      <c r="H59" s="228">
        <v>0</v>
      </c>
      <c r="I59" s="228">
        <v>0</v>
      </c>
      <c r="J59" s="228">
        <v>0</v>
      </c>
      <c r="K59" s="228">
        <v>0</v>
      </c>
      <c r="L59" s="228">
        <v>0</v>
      </c>
      <c r="M59" s="228">
        <v>0</v>
      </c>
      <c r="N59" s="228">
        <v>0</v>
      </c>
      <c r="O59" s="228">
        <v>0</v>
      </c>
      <c r="P59" s="228">
        <v>11.5</v>
      </c>
      <c r="Q59" s="228">
        <v>12.5</v>
      </c>
      <c r="R59" s="203">
        <v>9</v>
      </c>
      <c r="S59" s="203">
        <v>3</v>
      </c>
      <c r="T59" s="118">
        <f t="shared" si="23"/>
        <v>0.60852113345533798</v>
      </c>
      <c r="U59" s="31">
        <f>R1</f>
        <v>0.05</v>
      </c>
      <c r="V59" s="152">
        <f t="shared" si="2"/>
        <v>3.1500000000000004</v>
      </c>
      <c r="W59" s="152">
        <f t="shared" ref="W59" si="151">V59*(1+$U59)</f>
        <v>3.3075000000000006</v>
      </c>
      <c r="X59" s="152">
        <f t="shared" ref="X59" si="152">W59*(1+$U59)</f>
        <v>3.4728750000000006</v>
      </c>
      <c r="Y59" s="152">
        <f t="shared" ref="Y59" si="153">X59*(1+$U59)</f>
        <v>3.6465187500000007</v>
      </c>
      <c r="Z59" s="152">
        <f t="shared" ref="Z59" si="154">Y59*(1+$U59)</f>
        <v>3.8288446875000011</v>
      </c>
      <c r="AA59" s="152">
        <f t="shared" ref="AA59" si="155">Z59*(1+$U59)</f>
        <v>4.0202869218750017</v>
      </c>
      <c r="AB59" s="152">
        <f t="shared" ref="AB59" si="156">AA59*(1+$U59)</f>
        <v>4.2213012679687516</v>
      </c>
      <c r="AC59" s="152">
        <f t="shared" ref="AC59" si="157">AB59*(1+$U59)</f>
        <v>4.4323663313671897</v>
      </c>
      <c r="AD59" s="152">
        <f t="shared" ref="AD59" si="158">AC59*(1+$U59)</f>
        <v>4.6539846479355491</v>
      </c>
      <c r="AE59" s="152">
        <f t="shared" ref="AE59" si="159">AD59*(1+$U59)</f>
        <v>4.8866838803323267</v>
      </c>
      <c r="AF59" s="137" t="e">
        <f t="shared" ref="AF59" si="160">((AE59/I59)^(1/($AE$3-$J$1) ))-1</f>
        <v>#DIV/0!</v>
      </c>
      <c r="AG59" s="31">
        <f t="shared" si="16"/>
        <v>0.05</v>
      </c>
      <c r="AH59" s="145">
        <f t="shared" si="1"/>
        <v>51.310180743489433</v>
      </c>
    </row>
    <row r="60" spans="1:34">
      <c r="B60" s="20"/>
      <c r="C60" s="144"/>
      <c r="D60" s="144"/>
      <c r="E60" s="144"/>
      <c r="F60" s="144"/>
      <c r="G60" s="146"/>
      <c r="H60" s="149">
        <f t="shared" ref="H60:R60" si="161">(H59-G59)/G59</f>
        <v>-1</v>
      </c>
      <c r="I60" s="149" t="e">
        <f t="shared" si="161"/>
        <v>#DIV/0!</v>
      </c>
      <c r="J60" s="149" t="e">
        <f t="shared" si="161"/>
        <v>#DIV/0!</v>
      </c>
      <c r="K60" s="149" t="e">
        <f t="shared" si="161"/>
        <v>#DIV/0!</v>
      </c>
      <c r="L60" s="149" t="e">
        <f t="shared" si="161"/>
        <v>#DIV/0!</v>
      </c>
      <c r="M60" s="149" t="e">
        <f t="shared" si="161"/>
        <v>#DIV/0!</v>
      </c>
      <c r="N60" s="149" t="e">
        <f t="shared" si="161"/>
        <v>#DIV/0!</v>
      </c>
      <c r="O60" s="149" t="e">
        <f t="shared" si="161"/>
        <v>#DIV/0!</v>
      </c>
      <c r="P60" s="149" t="e">
        <f t="shared" si="161"/>
        <v>#DIV/0!</v>
      </c>
      <c r="Q60" s="149">
        <f t="shared" si="161"/>
        <v>8.6956521739130432E-2</v>
      </c>
      <c r="R60" s="149">
        <f t="shared" si="161"/>
        <v>-0.28000000000000003</v>
      </c>
      <c r="S60" s="149">
        <f t="shared" ref="I60:S60" si="162">(S59-R59)/R59</f>
        <v>-0.66666666666666663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422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420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421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163">G25/G57</f>
        <v>5.6647595309579106E-3</v>
      </c>
      <c r="H66" s="133">
        <f t="shared" si="163"/>
        <v>5.6647595309579106E-3</v>
      </c>
      <c r="I66" s="133">
        <f t="shared" ref="I66:R66" si="164">I25/I57</f>
        <v>5.6647595309579106E-3</v>
      </c>
      <c r="J66" s="133">
        <f t="shared" si="164"/>
        <v>0.25434770294001019</v>
      </c>
      <c r="K66" s="133">
        <f t="shared" si="164"/>
        <v>5.3365573862677831</v>
      </c>
      <c r="L66" s="133">
        <f t="shared" si="164"/>
        <v>10.566276494780134</v>
      </c>
      <c r="M66" s="133">
        <f t="shared" si="164"/>
        <v>10.819360961720975</v>
      </c>
      <c r="N66" s="133">
        <f t="shared" si="164"/>
        <v>54.855670645144329</v>
      </c>
      <c r="O66" s="133">
        <f t="shared" si="164"/>
        <v>66.701620091228435</v>
      </c>
      <c r="P66" s="133">
        <f t="shared" si="164"/>
        <v>97.451895349446872</v>
      </c>
      <c r="Q66" s="133">
        <f t="shared" si="164"/>
        <v>106.30111134409729</v>
      </c>
      <c r="R66" s="133">
        <f t="shared" si="164"/>
        <v>73.721265134140481</v>
      </c>
      <c r="S66" s="133">
        <f t="shared" ref="S66" si="165">S25/S57</f>
        <v>46.002453464184754</v>
      </c>
      <c r="T66" s="118">
        <f t="shared" ref="T66:T68" si="166">((S66/G66)^(1/($J$2-$J$1) ))-1</f>
        <v>1.1173856217947447</v>
      </c>
      <c r="U66" s="128"/>
      <c r="V66" s="156">
        <f t="shared" ref="V66:AE66" si="167">V25/V57</f>
        <v>46.002453464184754</v>
      </c>
      <c r="W66" s="156">
        <f t="shared" si="167"/>
        <v>46.002453464184761</v>
      </c>
      <c r="X66" s="156">
        <f t="shared" si="167"/>
        <v>46.002453464184768</v>
      </c>
      <c r="Y66" s="156">
        <f t="shared" si="167"/>
        <v>46.002453464184761</v>
      </c>
      <c r="Z66" s="156">
        <f t="shared" si="167"/>
        <v>46.002453464184761</v>
      </c>
      <c r="AA66" s="156">
        <f t="shared" si="167"/>
        <v>46.002453464184761</v>
      </c>
      <c r="AB66" s="156">
        <f t="shared" si="167"/>
        <v>46.002453464184768</v>
      </c>
      <c r="AC66" s="156">
        <f t="shared" si="167"/>
        <v>46.002453464184768</v>
      </c>
      <c r="AD66" s="156">
        <f t="shared" si="167"/>
        <v>46.002453464184768</v>
      </c>
      <c r="AE66" s="156">
        <f t="shared" si="167"/>
        <v>46.002453464184768</v>
      </c>
      <c r="AF66" s="137">
        <f t="shared" ref="AF66" si="168">((AE66/I66)^(1/($AE$3-$J$1) ))-1</f>
        <v>0.53522277850946054</v>
      </c>
      <c r="AG66" s="31">
        <f t="shared" si="16"/>
        <v>0.05</v>
      </c>
      <c r="AH66" s="145">
        <f t="shared" ref="AH66:AH67" si="169">(AE66*(1+AG66))/($C$1-AG66)</f>
        <v>483.0257613739401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170">G27/G57</f>
        <v>5.6647595309579106E-3</v>
      </c>
      <c r="H67" s="133">
        <f t="shared" si="170"/>
        <v>5.6647595309579106E-3</v>
      </c>
      <c r="I67" s="133">
        <f t="shared" ref="I67:R67" si="171">I27/I57</f>
        <v>5.6647595309579106E-3</v>
      </c>
      <c r="J67" s="133">
        <f t="shared" si="171"/>
        <v>0.3058970146717272</v>
      </c>
      <c r="K67" s="133">
        <f t="shared" si="171"/>
        <v>4.5155485576112016</v>
      </c>
      <c r="L67" s="133">
        <f t="shared" si="171"/>
        <v>5.0353263735104923</v>
      </c>
      <c r="M67" s="133">
        <f t="shared" si="171"/>
        <v>4.6293367077928922</v>
      </c>
      <c r="N67" s="133">
        <f t="shared" si="171"/>
        <v>10.773437089226563</v>
      </c>
      <c r="O67" s="133">
        <f t="shared" si="171"/>
        <v>13.799612016987366</v>
      </c>
      <c r="P67" s="133">
        <f t="shared" si="171"/>
        <v>23.687935825512504</v>
      </c>
      <c r="Q67" s="133">
        <f t="shared" si="171"/>
        <v>26.682742713357101</v>
      </c>
      <c r="R67" s="133">
        <f t="shared" si="171"/>
        <v>32.657741746226463</v>
      </c>
      <c r="S67" s="133">
        <f t="shared" ref="S67" si="172">S27/S57</f>
        <v>46.365139474105284</v>
      </c>
      <c r="T67" s="118">
        <f t="shared" si="166"/>
        <v>1.1187717526586143</v>
      </c>
      <c r="U67" s="128"/>
      <c r="V67" s="156">
        <f t="shared" ref="V67:AE67" si="173">V27/V57</f>
        <v>45.910579283182685</v>
      </c>
      <c r="W67" s="156">
        <f t="shared" si="173"/>
        <v>45.460475564720113</v>
      </c>
      <c r="X67" s="156">
        <f t="shared" si="173"/>
        <v>45.014784627811096</v>
      </c>
      <c r="Y67" s="156">
        <f t="shared" si="173"/>
        <v>44.573463209891379</v>
      </c>
      <c r="Z67" s="156">
        <f t="shared" si="173"/>
        <v>44.136468472539505</v>
      </c>
      <c r="AA67" s="156">
        <f t="shared" si="173"/>
        <v>43.703757997318526</v>
      </c>
      <c r="AB67" s="156">
        <f t="shared" si="173"/>
        <v>43.275289781658543</v>
      </c>
      <c r="AC67" s="156">
        <f t="shared" si="173"/>
        <v>42.851022234779535</v>
      </c>
      <c r="AD67" s="156">
        <f t="shared" si="173"/>
        <v>42.430914173654244</v>
      </c>
      <c r="AE67" s="156">
        <f t="shared" si="173"/>
        <v>42.014924819010581</v>
      </c>
      <c r="AF67" s="137">
        <f t="shared" ref="AF67" si="174">((AE67/I67)^(1/($AE$3-$J$1) ))-1</f>
        <v>0.52860857337627531</v>
      </c>
      <c r="AG67" s="31">
        <f t="shared" si="16"/>
        <v>0.05</v>
      </c>
      <c r="AH67" s="145">
        <f t="shared" si="169"/>
        <v>441.15671059961113</v>
      </c>
    </row>
    <row r="68" spans="2:34">
      <c r="B68" s="20" t="s">
        <v>423</v>
      </c>
      <c r="C68" s="133"/>
      <c r="D68" s="133"/>
      <c r="E68" s="133"/>
      <c r="F68" s="133"/>
      <c r="G68" s="133">
        <f t="shared" ref="G68:H68" si="175">G53-G55</f>
        <v>0</v>
      </c>
      <c r="H68" s="133">
        <f t="shared" si="175"/>
        <v>-1</v>
      </c>
      <c r="I68" s="133">
        <f>I53-I55</f>
        <v>-1</v>
      </c>
      <c r="J68" s="133">
        <f t="shared" ref="J68:R68" si="176">J53-J55</f>
        <v>6</v>
      </c>
      <c r="K68" s="133">
        <f t="shared" si="176"/>
        <v>151</v>
      </c>
      <c r="L68" s="133">
        <f t="shared" si="176"/>
        <v>214</v>
      </c>
      <c r="M68" s="133">
        <f t="shared" si="176"/>
        <v>-42</v>
      </c>
      <c r="N68" s="133">
        <f t="shared" si="176"/>
        <v>556</v>
      </c>
      <c r="O68" s="133">
        <f t="shared" si="176"/>
        <v>486</v>
      </c>
      <c r="P68" s="133">
        <f t="shared" si="176"/>
        <v>98</v>
      </c>
      <c r="Q68" s="133">
        <f t="shared" si="176"/>
        <v>418</v>
      </c>
      <c r="R68" s="133">
        <f t="shared" si="176"/>
        <v>630</v>
      </c>
      <c r="S68" s="133">
        <f t="shared" ref="S68" si="177">S53-S55</f>
        <v>-1.1200000000008004</v>
      </c>
      <c r="T68" s="118" t="e">
        <f t="shared" si="166"/>
        <v>#DIV/0!</v>
      </c>
      <c r="U68" s="128"/>
      <c r="V68" s="133">
        <f t="shared" ref="V68:AE68" si="178">V53-V55</f>
        <v>-1.254400000001624</v>
      </c>
      <c r="W68" s="133">
        <f t="shared" si="178"/>
        <v>-1.4049280000017461</v>
      </c>
      <c r="X68" s="133">
        <f t="shared" si="178"/>
        <v>-1.5735193600012281</v>
      </c>
      <c r="Y68" s="133">
        <f t="shared" si="178"/>
        <v>-1.7623416832011571</v>
      </c>
      <c r="Z68" s="133">
        <f t="shared" si="178"/>
        <v>-1.9738226851841318</v>
      </c>
      <c r="AA68" s="133">
        <f t="shared" si="178"/>
        <v>-2.2106814074068097</v>
      </c>
      <c r="AB68" s="133">
        <f t="shared" si="178"/>
        <v>-2.4759631762935896</v>
      </c>
      <c r="AC68" s="133">
        <f t="shared" si="178"/>
        <v>-2.7730787574473652</v>
      </c>
      <c r="AD68" s="133">
        <f t="shared" si="178"/>
        <v>-3.1058482083426497</v>
      </c>
      <c r="AE68" s="133">
        <f t="shared" si="178"/>
        <v>-3.4785499933459505</v>
      </c>
      <c r="AF68" s="137">
        <f t="shared" ref="AF68" si="179">((AE68/I68)^(1/($AE$3-$J$1) ))-1</f>
        <v>6.1159995003124523E-2</v>
      </c>
      <c r="AG68" s="31">
        <f t="shared" si="16"/>
        <v>0.05</v>
      </c>
      <c r="AH68" s="145">
        <f t="shared" ref="AH68" si="180">(AE68*(1+AG68))/($C$1-AG68)</f>
        <v>-36.524774930132487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458</v>
      </c>
      <c r="C70" s="133"/>
      <c r="D70" s="133"/>
      <c r="E70" s="133"/>
      <c r="F70" s="133"/>
      <c r="G70" s="25">
        <f t="shared" ref="G70:H70" si="181">G51/G57</f>
        <v>5.6647595309579106E-3</v>
      </c>
      <c r="H70" s="25">
        <f t="shared" si="181"/>
        <v>5.6647595309579106E-3</v>
      </c>
      <c r="I70" s="25">
        <f t="shared" ref="I70:R70" si="182">I51/I57</f>
        <v>5.6647595309579106E-3</v>
      </c>
      <c r="J70" s="25">
        <f t="shared" si="182"/>
        <v>-0.1019656715572424</v>
      </c>
      <c r="K70" s="25">
        <f t="shared" si="182"/>
        <v>1.1021762357307541</v>
      </c>
      <c r="L70" s="25">
        <f t="shared" si="182"/>
        <v>2.0721290730781399</v>
      </c>
      <c r="M70" s="25">
        <f t="shared" si="182"/>
        <v>3.8173573763576929</v>
      </c>
      <c r="N70" s="25">
        <f t="shared" si="182"/>
        <v>43.398706556601297</v>
      </c>
      <c r="O70" s="25">
        <f t="shared" si="182"/>
        <v>48.518848634194939</v>
      </c>
      <c r="P70" s="25">
        <f t="shared" si="182"/>
        <v>68.332197347035077</v>
      </c>
      <c r="Q70" s="25">
        <f t="shared" si="182"/>
        <v>71.739358356049493</v>
      </c>
      <c r="R70" s="25">
        <f t="shared" si="182"/>
        <v>45.453090831511012</v>
      </c>
      <c r="S70" s="25">
        <f>S51/S57</f>
        <v>12.08667128913542</v>
      </c>
      <c r="T70" s="118">
        <f t="shared" ref="T70:T134" si="183">((S70/G70)^(1/($J$2-$J$1) ))-1</f>
        <v>0.89420554101428396</v>
      </c>
      <c r="U70" s="128"/>
      <c r="V70" s="112">
        <f>V51/V57</f>
        <v>13.271639062580071</v>
      </c>
      <c r="W70" s="112">
        <f t="shared" ref="W70:AE70" si="184">W51/W57</f>
        <v>14.572780147146748</v>
      </c>
      <c r="X70" s="112">
        <f t="shared" si="184"/>
        <v>16.001484083141527</v>
      </c>
      <c r="Y70" s="112">
        <f t="shared" si="184"/>
        <v>17.570257032469129</v>
      </c>
      <c r="Z70" s="112">
        <f t="shared" si="184"/>
        <v>19.292831251338658</v>
      </c>
      <c r="AA70" s="112">
        <f t="shared" si="184"/>
        <v>21.184285295587546</v>
      </c>
      <c r="AB70" s="112">
        <f t="shared" si="184"/>
        <v>23.261176010841226</v>
      </c>
      <c r="AC70" s="112">
        <f t="shared" si="184"/>
        <v>25.541683462884489</v>
      </c>
      <c r="AD70" s="112">
        <f t="shared" si="184"/>
        <v>28.045770076892772</v>
      </c>
      <c r="AE70" s="112">
        <f t="shared" si="184"/>
        <v>30.79535537854893</v>
      </c>
      <c r="AF70" s="137">
        <f t="shared" ref="AF70:AF71" si="185">((AE70/I70)^(1/($AE$3-$J$1) ))-1</f>
        <v>0.5061617241016847</v>
      </c>
      <c r="AG70" s="31">
        <f t="shared" si="16"/>
        <v>0.05</v>
      </c>
      <c r="AH70" s="145">
        <f t="shared" ref="AH70:AH71" si="186">(AE70*(1+AG70))/($C$1-AG70)</f>
        <v>323.35123147476384</v>
      </c>
    </row>
    <row r="71" spans="2:34">
      <c r="B71" s="20" t="s">
        <v>459</v>
      </c>
      <c r="C71" s="133"/>
      <c r="D71" s="133"/>
      <c r="E71" s="133"/>
      <c r="F71" s="133"/>
      <c r="G71" s="25">
        <f t="shared" ref="G71:H71" si="187">G53/G57</f>
        <v>5.6647595309579106E-3</v>
      </c>
      <c r="H71" s="25">
        <f t="shared" si="187"/>
        <v>0</v>
      </c>
      <c r="I71" s="25">
        <f t="shared" ref="I71:R71" si="188">I53/I57</f>
        <v>0</v>
      </c>
      <c r="J71" s="25">
        <f t="shared" si="188"/>
        <v>-7.3641873902452845E-2</v>
      </c>
      <c r="K71" s="25">
        <f t="shared" si="188"/>
        <v>0.70854186582691325</v>
      </c>
      <c r="L71" s="25">
        <f t="shared" si="188"/>
        <v>5.3622271433090791</v>
      </c>
      <c r="M71" s="25">
        <f t="shared" si="188"/>
        <v>5.3200463988189393</v>
      </c>
      <c r="N71" s="25">
        <f t="shared" si="188"/>
        <v>36.226930963773071</v>
      </c>
      <c r="O71" s="25">
        <f t="shared" si="188"/>
        <v>44.161904262570125</v>
      </c>
      <c r="P71" s="25">
        <f t="shared" si="188"/>
        <v>63.723588318565518</v>
      </c>
      <c r="Q71" s="25">
        <f t="shared" si="188"/>
        <v>67.356888236527581</v>
      </c>
      <c r="R71" s="25">
        <f t="shared" si="188"/>
        <v>27.249453304176221</v>
      </c>
      <c r="S71" s="25">
        <f>S53/S57</f>
        <v>-50.312016640887514</v>
      </c>
      <c r="T71" s="118" t="e">
        <f t="shared" si="183"/>
        <v>#NUM!</v>
      </c>
      <c r="U71" s="128"/>
      <c r="V71" s="112">
        <f>V53/V57</f>
        <v>-55.244567291954922</v>
      </c>
      <c r="W71" s="112">
        <f t="shared" ref="W71:AE71" si="189">W53/W57</f>
        <v>-60.660701340185803</v>
      </c>
      <c r="X71" s="112">
        <f t="shared" si="189"/>
        <v>-66.607828922556962</v>
      </c>
      <c r="Y71" s="112">
        <f t="shared" si="189"/>
        <v>-73.138008228689984</v>
      </c>
      <c r="Z71" s="112">
        <f t="shared" si="189"/>
        <v>-80.30840119228705</v>
      </c>
      <c r="AA71" s="112">
        <f t="shared" si="189"/>
        <v>-88.181773858197559</v>
      </c>
      <c r="AB71" s="112">
        <f t="shared" si="189"/>
        <v>-96.827045805079678</v>
      </c>
      <c r="AC71" s="112">
        <f t="shared" si="189"/>
        <v>-106.31989343302867</v>
      </c>
      <c r="AD71" s="112">
        <f t="shared" si="189"/>
        <v>-116.7434123970511</v>
      </c>
      <c r="AE71" s="112">
        <f t="shared" si="189"/>
        <v>-128.1888449849973</v>
      </c>
      <c r="AF71" s="137" t="e">
        <f t="shared" si="185"/>
        <v>#DIV/0!</v>
      </c>
      <c r="AG71" s="31">
        <f t="shared" si="16"/>
        <v>0.05</v>
      </c>
      <c r="AH71" s="145">
        <f t="shared" si="186"/>
        <v>-1345.9828723424719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190">G55/G57</f>
        <v>5.6647595309579106E-3</v>
      </c>
      <c r="H72" s="133">
        <f t="shared" si="190"/>
        <v>5.6647595309579106E-3</v>
      </c>
      <c r="I72" s="133">
        <f t="shared" ref="I72:R72" si="191">I55/I57</f>
        <v>5.6647595309579106E-3</v>
      </c>
      <c r="J72" s="133">
        <f t="shared" si="191"/>
        <v>-0.10763043108820031</v>
      </c>
      <c r="K72" s="133">
        <f t="shared" si="191"/>
        <v>-0.14058370353708596</v>
      </c>
      <c r="L72" s="133">
        <f t="shared" si="191"/>
        <v>4.2338922281978277</v>
      </c>
      <c r="M72" s="133">
        <f t="shared" si="191"/>
        <v>5.541495307392176</v>
      </c>
      <c r="N72" s="133">
        <f t="shared" si="191"/>
        <v>33.30353856669646</v>
      </c>
      <c r="O72" s="133">
        <f t="shared" si="191"/>
        <v>41.61379961201699</v>
      </c>
      <c r="P72" s="133">
        <f t="shared" si="191"/>
        <v>63.209772977507477</v>
      </c>
      <c r="Q72" s="133">
        <f t="shared" si="191"/>
        <v>65.165653176766625</v>
      </c>
      <c r="R72" s="133">
        <f t="shared" si="191"/>
        <v>23.889274094618379</v>
      </c>
      <c r="S72" s="133">
        <f t="shared" ref="S72" si="192">S55/S57</f>
        <v>-50.306042988959405</v>
      </c>
      <c r="T72" s="118" t="e">
        <f t="shared" si="183"/>
        <v>#NUM!</v>
      </c>
      <c r="U72" s="128"/>
      <c r="V72" s="156">
        <f t="shared" ref="V72:AE72" si="193">V55/V57</f>
        <v>-55.238007987876998</v>
      </c>
      <c r="W72" s="156">
        <f t="shared" si="193"/>
        <v>-60.65349896708063</v>
      </c>
      <c r="X72" s="156">
        <f t="shared" si="193"/>
        <v>-66.599920434441472</v>
      </c>
      <c r="Y72" s="156">
        <f t="shared" si="193"/>
        <v>-73.129324398602407</v>
      </c>
      <c r="Z72" s="156">
        <f t="shared" si="193"/>
        <v>-80.298866006308529</v>
      </c>
      <c r="AA72" s="156">
        <f t="shared" si="193"/>
        <v>-88.171303850064277</v>
      </c>
      <c r="AB72" s="156">
        <f t="shared" si="193"/>
        <v>-96.815549325560781</v>
      </c>
      <c r="AC72" s="156">
        <f t="shared" si="193"/>
        <v>-106.3072698476746</v>
      </c>
      <c r="AD72" s="156">
        <f t="shared" si="193"/>
        <v>-116.72955120528977</v>
      </c>
      <c r="AE72" s="156">
        <f t="shared" si="193"/>
        <v>-128.17362485286719</v>
      </c>
      <c r="AF72" s="137">
        <f t="shared" ref="AF72:AF86" si="194">((AE72/I72)^(1/($AE$3-$J$1) ))-1</f>
        <v>-2.6119914101179074</v>
      </c>
      <c r="AG72" s="31">
        <f t="shared" si="16"/>
        <v>0.05</v>
      </c>
      <c r="AH72" s="145">
        <f t="shared" ref="AH72:AH100" si="195">(AE72*(1+AG72))/($C$1-AG72)</f>
        <v>-1345.8230609551056</v>
      </c>
    </row>
    <row r="73" spans="2:34">
      <c r="B73" s="20" t="s">
        <v>384</v>
      </c>
      <c r="C73" s="133"/>
      <c r="D73" s="133"/>
      <c r="E73" s="133"/>
      <c r="F73" s="133"/>
      <c r="G73" s="133">
        <f t="shared" ref="G73:H73" si="196">G20/G57</f>
        <v>5.6647595309579106E-3</v>
      </c>
      <c r="H73" s="133">
        <f t="shared" si="196"/>
        <v>0</v>
      </c>
      <c r="I73" s="133">
        <f>I20/I57</f>
        <v>-7.4774825808644422E-3</v>
      </c>
      <c r="J73" s="133">
        <f t="shared" ref="J73:R73" si="197">J20/J57</f>
        <v>-6.7977114371494923E-2</v>
      </c>
      <c r="K73" s="133">
        <f t="shared" si="197"/>
        <v>-6.7480177697801264E-2</v>
      </c>
      <c r="L73" s="133">
        <f t="shared" si="197"/>
        <v>-0.1845407571443636</v>
      </c>
      <c r="M73" s="133">
        <f t="shared" si="197"/>
        <v>-0.416534851840135</v>
      </c>
      <c r="N73" s="133">
        <f t="shared" si="197"/>
        <v>-0.27866869972133129</v>
      </c>
      <c r="O73" s="133">
        <f t="shared" si="197"/>
        <v>-0.63440465579615168</v>
      </c>
      <c r="P73" s="133">
        <f t="shared" si="197"/>
        <v>71.299743092329479</v>
      </c>
      <c r="Q73" s="133">
        <f t="shared" si="197"/>
        <v>25.74963304676033</v>
      </c>
      <c r="R73" s="133">
        <f t="shared" si="197"/>
        <v>50.77604138887407</v>
      </c>
      <c r="S73" s="133">
        <f t="shared" ref="S73" si="198">S20/S57</f>
        <v>0</v>
      </c>
      <c r="T73" s="118">
        <f t="shared" si="183"/>
        <v>-1</v>
      </c>
      <c r="U73" s="128"/>
      <c r="V73" s="133">
        <f t="shared" ref="V73:AE73" si="199">V20/V57</f>
        <v>0</v>
      </c>
      <c r="W73" s="133">
        <f t="shared" si="199"/>
        <v>0</v>
      </c>
      <c r="X73" s="133">
        <f t="shared" si="199"/>
        <v>0</v>
      </c>
      <c r="Y73" s="133">
        <f t="shared" si="199"/>
        <v>0</v>
      </c>
      <c r="Z73" s="133">
        <f t="shared" si="199"/>
        <v>0</v>
      </c>
      <c r="AA73" s="133">
        <f t="shared" si="199"/>
        <v>0</v>
      </c>
      <c r="AB73" s="133">
        <f t="shared" si="199"/>
        <v>0</v>
      </c>
      <c r="AC73" s="133">
        <f t="shared" si="199"/>
        <v>0</v>
      </c>
      <c r="AD73" s="133">
        <f t="shared" si="199"/>
        <v>0</v>
      </c>
      <c r="AE73" s="133">
        <f t="shared" si="199"/>
        <v>0</v>
      </c>
      <c r="AF73" s="137">
        <f t="shared" ref="AF73" si="200">((AE73/I73)^(1/($AE$3-$J$1) ))-1</f>
        <v>-1</v>
      </c>
      <c r="AG73" s="31">
        <f t="shared" si="16"/>
        <v>0.05</v>
      </c>
      <c r="AH73" s="145">
        <f t="shared" si="195"/>
        <v>0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01">G7/G57</f>
        <v>5.6647595309579106E-3</v>
      </c>
      <c r="H74" s="133">
        <f t="shared" si="201"/>
        <v>5.6647595309579106E-3</v>
      </c>
      <c r="I74" s="133">
        <f t="shared" ref="I74:R74" si="202">I7/I57</f>
        <v>5.6647595309579106E-3</v>
      </c>
      <c r="J74" s="133">
        <f t="shared" si="202"/>
        <v>165.86415906644763</v>
      </c>
      <c r="K74" s="133">
        <f t="shared" si="202"/>
        <v>165.52325254456503</v>
      </c>
      <c r="L74" s="133">
        <f t="shared" si="202"/>
        <v>172.95159759569756</v>
      </c>
      <c r="M74" s="133">
        <f t="shared" si="202"/>
        <v>178.57218179900875</v>
      </c>
      <c r="N74" s="133">
        <f t="shared" si="202"/>
        <v>211.85656448814345</v>
      </c>
      <c r="O74" s="133">
        <f t="shared" si="202"/>
        <v>253.19561684055998</v>
      </c>
      <c r="P74" s="133">
        <f t="shared" si="202"/>
        <v>250.08876422167464</v>
      </c>
      <c r="Q74" s="133">
        <f t="shared" si="202"/>
        <v>301.09561752988049</v>
      </c>
      <c r="R74" s="133">
        <f t="shared" si="202"/>
        <v>313.99007947090507</v>
      </c>
      <c r="S74" s="133">
        <f t="shared" ref="S74" si="203">S7/S57</f>
        <v>260.23787935356552</v>
      </c>
      <c r="T74" s="118">
        <f t="shared" si="183"/>
        <v>1.4463340077436619</v>
      </c>
      <c r="U74" s="128"/>
      <c r="V74" s="156">
        <f t="shared" ref="V74:AE74" si="204">V7/V57</f>
        <v>285.75139693724844</v>
      </c>
      <c r="W74" s="156">
        <f t="shared" si="204"/>
        <v>313.76623977423367</v>
      </c>
      <c r="X74" s="156">
        <f t="shared" si="204"/>
        <v>344.5276358305311</v>
      </c>
      <c r="Y74" s="156">
        <f t="shared" si="204"/>
        <v>378.30485502960278</v>
      </c>
      <c r="Z74" s="156">
        <f t="shared" si="204"/>
        <v>415.39356630701491</v>
      </c>
      <c r="AA74" s="156">
        <f t="shared" si="204"/>
        <v>456.11842574887913</v>
      </c>
      <c r="AB74" s="156">
        <f t="shared" si="204"/>
        <v>500.83591846935758</v>
      </c>
      <c r="AC74" s="156">
        <f t="shared" si="204"/>
        <v>549.93747910360833</v>
      </c>
      <c r="AD74" s="156">
        <f t="shared" si="204"/>
        <v>603.85291823141313</v>
      </c>
      <c r="AE74" s="156">
        <f t="shared" si="204"/>
        <v>663.05418472468898</v>
      </c>
      <c r="AF74" s="137">
        <f t="shared" si="194"/>
        <v>0.74321452252829934</v>
      </c>
      <c r="AG74" s="31">
        <f t="shared" si="16"/>
        <v>0.05</v>
      </c>
      <c r="AH74" s="145">
        <f t="shared" si="195"/>
        <v>6962.0689396092357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05">G6/G57</f>
        <v>5.6647595309579106E-3</v>
      </c>
      <c r="H75" s="143">
        <f t="shared" si="205"/>
        <v>5.6647595309579106E-3</v>
      </c>
      <c r="I75" s="143">
        <f t="shared" ref="I75:R75" si="206">I6/I57</f>
        <v>5.6647595309579106E-3</v>
      </c>
      <c r="J75" s="143">
        <f t="shared" si="206"/>
        <v>155.66759191072339</v>
      </c>
      <c r="K75" s="143">
        <f t="shared" si="206"/>
        <v>154.99072147556654</v>
      </c>
      <c r="L75" s="143">
        <f t="shared" si="206"/>
        <v>162.74385742908362</v>
      </c>
      <c r="M75" s="143">
        <f t="shared" si="206"/>
        <v>168.32226088790466</v>
      </c>
      <c r="N75" s="143">
        <f t="shared" si="206"/>
        <v>204.69530469530469</v>
      </c>
      <c r="O75" s="143">
        <f t="shared" si="206"/>
        <v>243.19194673098099</v>
      </c>
      <c r="P75" s="143">
        <f t="shared" si="206"/>
        <v>240.07235358884287</v>
      </c>
      <c r="Q75" s="143">
        <f t="shared" si="206"/>
        <v>291.09876284336337</v>
      </c>
      <c r="R75" s="143">
        <f t="shared" si="206"/>
        <v>303.9895461091258</v>
      </c>
      <c r="S75" s="143">
        <f t="shared" ref="S75" si="207">S6/S57</f>
        <v>250.23734599178621</v>
      </c>
      <c r="T75" s="118">
        <f t="shared" si="183"/>
        <v>1.4383584758094137</v>
      </c>
      <c r="U75" s="128"/>
      <c r="V75" s="155">
        <f t="shared" ref="V75:AE75" si="208">V6/V57</f>
        <v>274.77041912823591</v>
      </c>
      <c r="W75" s="155">
        <f t="shared" si="208"/>
        <v>301.7086955133571</v>
      </c>
      <c r="X75" s="155">
        <f t="shared" si="208"/>
        <v>331.28797938721567</v>
      </c>
      <c r="Y75" s="155">
        <f t="shared" si="208"/>
        <v>363.76719305262895</v>
      </c>
      <c r="Z75" s="155">
        <f t="shared" si="208"/>
        <v>399.43064335190633</v>
      </c>
      <c r="AA75" s="155">
        <f t="shared" si="208"/>
        <v>438.5905103471913</v>
      </c>
      <c r="AB75" s="155">
        <f t="shared" si="208"/>
        <v>481.58957998907289</v>
      </c>
      <c r="AC75" s="155">
        <f t="shared" si="208"/>
        <v>528.80424469388402</v>
      </c>
      <c r="AD75" s="155">
        <f t="shared" si="208"/>
        <v>580.64779809524521</v>
      </c>
      <c r="AE75" s="155">
        <f t="shared" si="208"/>
        <v>637.57405281046533</v>
      </c>
      <c r="AF75" s="137">
        <f t="shared" si="194"/>
        <v>0.73996469388593589</v>
      </c>
      <c r="AG75" s="31">
        <f t="shared" si="16"/>
        <v>0.05</v>
      </c>
      <c r="AH75" s="145">
        <f t="shared" si="195"/>
        <v>6694.5275545098875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09">G10/G57</f>
        <v>5.6647595309579106E-3</v>
      </c>
      <c r="H76" s="143">
        <f t="shared" si="209"/>
        <v>5.6647595309579106E-3</v>
      </c>
      <c r="I76" s="143">
        <f t="shared" ref="I76:R76" si="210">I10/I57</f>
        <v>5.6647595309579106E-3</v>
      </c>
      <c r="J76" s="143">
        <f t="shared" si="210"/>
        <v>0.11329519061915821</v>
      </c>
      <c r="K76" s="143">
        <f t="shared" si="210"/>
        <v>1.754484620142833</v>
      </c>
      <c r="L76" s="143">
        <f t="shared" si="210"/>
        <v>22.967415374881366</v>
      </c>
      <c r="M76" s="143">
        <f t="shared" si="210"/>
        <v>17.926816408309605</v>
      </c>
      <c r="N76" s="143">
        <f t="shared" si="210"/>
        <v>14.054366685945633</v>
      </c>
      <c r="O76" s="143">
        <f t="shared" si="210"/>
        <v>0</v>
      </c>
      <c r="P76" s="143">
        <f t="shared" si="210"/>
        <v>0</v>
      </c>
      <c r="Q76" s="143">
        <f t="shared" si="210"/>
        <v>0</v>
      </c>
      <c r="R76" s="143">
        <f t="shared" si="210"/>
        <v>0</v>
      </c>
      <c r="S76" s="143">
        <f t="shared" ref="S76" si="211">S10/S57</f>
        <v>0</v>
      </c>
      <c r="T76" s="118">
        <f t="shared" si="183"/>
        <v>-1</v>
      </c>
      <c r="U76" s="128"/>
      <c r="V76" s="155">
        <f t="shared" ref="V76:AE76" si="212">V10/V57</f>
        <v>0</v>
      </c>
      <c r="W76" s="155">
        <f t="shared" si="212"/>
        <v>0</v>
      </c>
      <c r="X76" s="155">
        <f t="shared" si="212"/>
        <v>0</v>
      </c>
      <c r="Y76" s="155">
        <f t="shared" si="212"/>
        <v>0</v>
      </c>
      <c r="Z76" s="155">
        <f t="shared" si="212"/>
        <v>0</v>
      </c>
      <c r="AA76" s="155">
        <f t="shared" si="212"/>
        <v>0</v>
      </c>
      <c r="AB76" s="155">
        <f t="shared" si="212"/>
        <v>0</v>
      </c>
      <c r="AC76" s="155">
        <f t="shared" si="212"/>
        <v>0</v>
      </c>
      <c r="AD76" s="155">
        <f t="shared" si="212"/>
        <v>0</v>
      </c>
      <c r="AE76" s="155">
        <f t="shared" si="212"/>
        <v>0</v>
      </c>
      <c r="AF76" s="137">
        <f t="shared" si="194"/>
        <v>-1</v>
      </c>
      <c r="AG76" s="31">
        <f t="shared" si="16"/>
        <v>0.05</v>
      </c>
      <c r="AH76" s="145">
        <f t="shared" si="195"/>
        <v>0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13">(G7-G10)/G57</f>
        <v>0</v>
      </c>
      <c r="H78" s="143">
        <f t="shared" si="213"/>
        <v>0</v>
      </c>
      <c r="I78" s="143">
        <f t="shared" ref="I78:R78" si="214">(I7-I10)/I57</f>
        <v>0</v>
      </c>
      <c r="J78" s="143">
        <f t="shared" si="214"/>
        <v>165.75086387582846</v>
      </c>
      <c r="K78" s="143">
        <f t="shared" si="214"/>
        <v>163.76876792442218</v>
      </c>
      <c r="L78" s="143">
        <f t="shared" si="214"/>
        <v>149.98418222081619</v>
      </c>
      <c r="M78" s="143">
        <f t="shared" si="214"/>
        <v>160.64536539069914</v>
      </c>
      <c r="N78" s="143">
        <f t="shared" si="214"/>
        <v>197.80219780219781</v>
      </c>
      <c r="O78" s="143">
        <f t="shared" si="214"/>
        <v>253.19561684055998</v>
      </c>
      <c r="P78" s="143">
        <f t="shared" si="214"/>
        <v>250.08876422167464</v>
      </c>
      <c r="Q78" s="143">
        <f t="shared" si="214"/>
        <v>301.09561752988049</v>
      </c>
      <c r="R78" s="143">
        <f t="shared" si="214"/>
        <v>313.99007947090507</v>
      </c>
      <c r="S78" s="143">
        <f t="shared" ref="S78" si="215">(S7-S10)/S57</f>
        <v>260.23787935356552</v>
      </c>
      <c r="T78" s="118" t="e">
        <f t="shared" si="183"/>
        <v>#DIV/0!</v>
      </c>
      <c r="U78" s="128"/>
      <c r="V78" s="155">
        <f t="shared" ref="V78:AE78" si="216">(V7-V10)/V57</f>
        <v>285.75139693724844</v>
      </c>
      <c r="W78" s="155">
        <f t="shared" si="216"/>
        <v>313.76623977423367</v>
      </c>
      <c r="X78" s="155">
        <f t="shared" si="216"/>
        <v>344.5276358305311</v>
      </c>
      <c r="Y78" s="155">
        <f t="shared" si="216"/>
        <v>378.30485502960278</v>
      </c>
      <c r="Z78" s="155">
        <f t="shared" si="216"/>
        <v>415.39356630701491</v>
      </c>
      <c r="AA78" s="155">
        <f t="shared" si="216"/>
        <v>456.11842574887913</v>
      </c>
      <c r="AB78" s="155">
        <f t="shared" si="216"/>
        <v>500.83591846935758</v>
      </c>
      <c r="AC78" s="155">
        <f t="shared" si="216"/>
        <v>549.93747910360833</v>
      </c>
      <c r="AD78" s="155">
        <f t="shared" si="216"/>
        <v>603.85291823141313</v>
      </c>
      <c r="AE78" s="155">
        <f t="shared" si="216"/>
        <v>663.05418472468898</v>
      </c>
      <c r="AF78" s="137" t="e">
        <f t="shared" si="194"/>
        <v>#DIV/0!</v>
      </c>
      <c r="AG78" s="31">
        <f t="shared" si="16"/>
        <v>0.05</v>
      </c>
      <c r="AH78" s="145">
        <f t="shared" si="195"/>
        <v>6962.0689396092357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17">(G7-G10-G9)/G57</f>
        <v>-5.6647595309579106E-3</v>
      </c>
      <c r="H79" s="143">
        <f t="shared" si="217"/>
        <v>-5.6647595309579106E-3</v>
      </c>
      <c r="I79" s="143">
        <f t="shared" ref="I79:R79" si="218">(I7-I10-I9)/I57</f>
        <v>-5.6647595309579106E-3</v>
      </c>
      <c r="J79" s="143">
        <f t="shared" si="218"/>
        <v>146.87588511867671</v>
      </c>
      <c r="K79" s="143">
        <f t="shared" si="218"/>
        <v>158.37035370859809</v>
      </c>
      <c r="L79" s="143">
        <f t="shared" si="218"/>
        <v>140.80459770114942</v>
      </c>
      <c r="M79" s="143">
        <f t="shared" si="218"/>
        <v>153.01065063798376</v>
      </c>
      <c r="N79" s="143">
        <f t="shared" si="218"/>
        <v>188.13817761186183</v>
      </c>
      <c r="O79" s="143">
        <f t="shared" si="218"/>
        <v>236.59623551617472</v>
      </c>
      <c r="P79" s="143">
        <f t="shared" si="218"/>
        <v>238.53316206155299</v>
      </c>
      <c r="Q79" s="143">
        <f t="shared" si="218"/>
        <v>282.99958062486894</v>
      </c>
      <c r="R79" s="143">
        <f t="shared" si="218"/>
        <v>285.78057496399805</v>
      </c>
      <c r="S79" s="143">
        <f t="shared" ref="S79" si="219">(S7-S10-S9)/S57</f>
        <v>234.76985439223424</v>
      </c>
      <c r="T79" s="118" t="e">
        <f t="shared" si="183"/>
        <v>#NUM!</v>
      </c>
      <c r="U79" s="128"/>
      <c r="V79" s="155">
        <f t="shared" ref="V79:AE79" si="220">(V7-V10-V9)/V57</f>
        <v>257.78650678362982</v>
      </c>
      <c r="W79" s="155">
        <f t="shared" si="220"/>
        <v>283.05969372320141</v>
      </c>
      <c r="X79" s="155">
        <f t="shared" si="220"/>
        <v>310.81064408822112</v>
      </c>
      <c r="Y79" s="155">
        <f t="shared" si="220"/>
        <v>341.28227586157618</v>
      </c>
      <c r="Z79" s="155">
        <f t="shared" si="220"/>
        <v>374.74132251467199</v>
      </c>
      <c r="AA79" s="155">
        <f t="shared" si="220"/>
        <v>411.48066785924766</v>
      </c>
      <c r="AB79" s="155">
        <f t="shared" si="220"/>
        <v>451.82190980623284</v>
      </c>
      <c r="AC79" s="155">
        <f t="shared" si="220"/>
        <v>496.11817547351063</v>
      </c>
      <c r="AD79" s="155">
        <f t="shared" si="220"/>
        <v>544.75721228463908</v>
      </c>
      <c r="AE79" s="155">
        <f t="shared" si="220"/>
        <v>598.16478211646654</v>
      </c>
      <c r="AF79" s="137">
        <f t="shared" si="194"/>
        <v>-2.7346861936174882</v>
      </c>
      <c r="AG79" s="31">
        <f t="shared" si="16"/>
        <v>0.05</v>
      </c>
      <c r="AH79" s="145">
        <f t="shared" si="195"/>
        <v>6280.7302122228994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21">(G7+G15-G10-G9)/G57</f>
        <v>0</v>
      </c>
      <c r="H80" s="143">
        <f t="shared" si="221"/>
        <v>0</v>
      </c>
      <c r="I80" s="143">
        <f t="shared" ref="I80:R80" si="222">(I7+I15-I10-I9)/I57</f>
        <v>0</v>
      </c>
      <c r="J80" s="143">
        <f t="shared" si="222"/>
        <v>146.87588511867671</v>
      </c>
      <c r="K80" s="143">
        <f t="shared" si="222"/>
        <v>169.91508744306358</v>
      </c>
      <c r="L80" s="143">
        <f t="shared" si="222"/>
        <v>179.167984814932</v>
      </c>
      <c r="M80" s="143">
        <f t="shared" si="222"/>
        <v>156.44310872086893</v>
      </c>
      <c r="N80" s="143">
        <f t="shared" si="222"/>
        <v>219.68557758031443</v>
      </c>
      <c r="O80" s="143">
        <f t="shared" si="222"/>
        <v>281.92733183033607</v>
      </c>
      <c r="P80" s="143">
        <f t="shared" si="222"/>
        <v>280.67650605568082</v>
      </c>
      <c r="Q80" s="143">
        <f t="shared" si="222"/>
        <v>306.96162717550851</v>
      </c>
      <c r="R80" s="143">
        <f t="shared" si="222"/>
        <v>298.15456824363963</v>
      </c>
      <c r="S80" s="143">
        <f t="shared" ref="S80" si="223">(S7+S15-S10-S9)/S57</f>
        <v>234.76985439223424</v>
      </c>
      <c r="T80" s="118" t="e">
        <f t="shared" si="183"/>
        <v>#DIV/0!</v>
      </c>
      <c r="U80" s="128"/>
      <c r="V80" s="155">
        <f t="shared" ref="V80:AE80" si="224">(V7+V15-V10-V9)/V57</f>
        <v>257.78650678362982</v>
      </c>
      <c r="W80" s="155">
        <f t="shared" si="224"/>
        <v>283.05969372320141</v>
      </c>
      <c r="X80" s="155">
        <f t="shared" si="224"/>
        <v>310.81064408822112</v>
      </c>
      <c r="Y80" s="155">
        <f t="shared" si="224"/>
        <v>341.28227586157618</v>
      </c>
      <c r="Z80" s="155">
        <f t="shared" si="224"/>
        <v>374.74132251467199</v>
      </c>
      <c r="AA80" s="155">
        <f t="shared" si="224"/>
        <v>411.48066785924766</v>
      </c>
      <c r="AB80" s="155">
        <f t="shared" si="224"/>
        <v>451.82190980623284</v>
      </c>
      <c r="AC80" s="155">
        <f t="shared" si="224"/>
        <v>496.11817547351063</v>
      </c>
      <c r="AD80" s="155">
        <f t="shared" si="224"/>
        <v>544.75721228463908</v>
      </c>
      <c r="AE80" s="155">
        <f t="shared" si="224"/>
        <v>598.16478211646654</v>
      </c>
      <c r="AF80" s="137" t="e">
        <f t="shared" si="194"/>
        <v>#DIV/0!</v>
      </c>
      <c r="AG80" s="31">
        <f t="shared" si="16"/>
        <v>0.05</v>
      </c>
      <c r="AH80" s="145">
        <f t="shared" si="195"/>
        <v>6280.7302122228994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25">G12/G57</f>
        <v>5.6647595309579106E-3</v>
      </c>
      <c r="H82" s="143">
        <f t="shared" si="225"/>
        <v>5.6647595309579106E-3</v>
      </c>
      <c r="I82" s="143">
        <f t="shared" ref="I82:R82" si="226">I12/I57</f>
        <v>5.6647595309579106E-3</v>
      </c>
      <c r="J82" s="143">
        <f t="shared" si="226"/>
        <v>29.926924602050644</v>
      </c>
      <c r="K82" s="143">
        <f t="shared" si="226"/>
        <v>0.33740088848900635</v>
      </c>
      <c r="L82" s="143">
        <f t="shared" si="226"/>
        <v>0.12126964040915322</v>
      </c>
      <c r="M82" s="143">
        <f t="shared" si="226"/>
        <v>4.8771485816724667</v>
      </c>
      <c r="N82" s="143">
        <f t="shared" si="226"/>
        <v>23.271465376728536</v>
      </c>
      <c r="O82" s="143">
        <f t="shared" si="226"/>
        <v>36.769254967755465</v>
      </c>
      <c r="P82" s="143">
        <f t="shared" si="226"/>
        <v>29.13018402978032</v>
      </c>
      <c r="Q82" s="143">
        <f t="shared" si="226"/>
        <v>9.2367372614803944</v>
      </c>
      <c r="R82" s="143">
        <f t="shared" si="226"/>
        <v>4.5389087417995624</v>
      </c>
      <c r="S82" s="143">
        <f t="shared" ref="S82" si="227">S12/S57</f>
        <v>12.720678436183263</v>
      </c>
      <c r="T82" s="118">
        <f t="shared" si="183"/>
        <v>0.9022929554101784</v>
      </c>
      <c r="U82" s="128"/>
      <c r="V82" s="155">
        <f t="shared" ref="V82:AE82" si="228">V12/V57</f>
        <v>13.967803773063977</v>
      </c>
      <c r="W82" s="155">
        <f t="shared" si="228"/>
        <v>15.337196299834957</v>
      </c>
      <c r="X82" s="155">
        <f t="shared" si="228"/>
        <v>16.840842995897209</v>
      </c>
      <c r="Y82" s="155">
        <f t="shared" si="228"/>
        <v>18.491906034710659</v>
      </c>
      <c r="Z82" s="155">
        <f t="shared" si="228"/>
        <v>20.304837998897984</v>
      </c>
      <c r="AA82" s="155">
        <f t="shared" si="228"/>
        <v>22.295508390946804</v>
      </c>
      <c r="AB82" s="155">
        <f t="shared" si="228"/>
        <v>24.481342546921983</v>
      </c>
      <c r="AC82" s="155">
        <f t="shared" si="228"/>
        <v>26.881474169169241</v>
      </c>
      <c r="AD82" s="155">
        <f t="shared" si="228"/>
        <v>29.516912813205444</v>
      </c>
      <c r="AE82" s="155">
        <f t="shared" si="228"/>
        <v>32.410727794892253</v>
      </c>
      <c r="AF82" s="137">
        <f t="shared" si="194"/>
        <v>0.50983302041940082</v>
      </c>
      <c r="AG82" s="31">
        <f t="shared" si="16"/>
        <v>0.05</v>
      </c>
      <c r="AH82" s="145">
        <f t="shared" si="195"/>
        <v>340.31264184636871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29">G13/G57</f>
        <v>5.6647595309579106E-3</v>
      </c>
      <c r="H83" s="143">
        <f t="shared" si="229"/>
        <v>5.6647595309579106E-3</v>
      </c>
      <c r="I83" s="143">
        <f t="shared" ref="I83:R83" si="230">I13/I57</f>
        <v>5.6647595309579106E-3</v>
      </c>
      <c r="J83" s="143">
        <f t="shared" si="230"/>
        <v>0</v>
      </c>
      <c r="K83" s="143">
        <f t="shared" si="230"/>
        <v>4.0038238767362087</v>
      </c>
      <c r="L83" s="143">
        <f t="shared" si="230"/>
        <v>0.90161341347674784</v>
      </c>
      <c r="M83" s="143">
        <f t="shared" si="230"/>
        <v>9.0266793208900147</v>
      </c>
      <c r="N83" s="143">
        <f t="shared" si="230"/>
        <v>5.7521425942478572</v>
      </c>
      <c r="O83" s="143">
        <f t="shared" si="230"/>
        <v>9.6209301106275884</v>
      </c>
      <c r="P83" s="143">
        <f t="shared" si="230"/>
        <v>54.432968070046662</v>
      </c>
      <c r="Q83" s="143">
        <f t="shared" si="230"/>
        <v>85.777940868106526</v>
      </c>
      <c r="R83" s="143">
        <f t="shared" si="230"/>
        <v>81.24699983999146</v>
      </c>
      <c r="S83" s="143">
        <f t="shared" ref="S83" si="231">S13/S57</f>
        <v>41.360339218091625</v>
      </c>
      <c r="T83" s="118">
        <f t="shared" si="183"/>
        <v>1.0986993004878114</v>
      </c>
      <c r="U83" s="128"/>
      <c r="V83" s="155">
        <f t="shared" ref="V83:AE83" si="232">V13/V57</f>
        <v>45.415274435551595</v>
      </c>
      <c r="W83" s="155">
        <f t="shared" si="232"/>
        <v>49.86775232139</v>
      </c>
      <c r="X83" s="155">
        <f t="shared" si="232"/>
        <v>54.756747647016475</v>
      </c>
      <c r="Y83" s="155">
        <f t="shared" si="232"/>
        <v>60.125056239861237</v>
      </c>
      <c r="Z83" s="155">
        <f t="shared" si="232"/>
        <v>66.019669596710386</v>
      </c>
      <c r="AA83" s="155">
        <f t="shared" si="232"/>
        <v>72.492186223838857</v>
      </c>
      <c r="AB83" s="155">
        <f t="shared" si="232"/>
        <v>79.599263304607391</v>
      </c>
      <c r="AC83" s="155">
        <f t="shared" si="232"/>
        <v>87.403112648196355</v>
      </c>
      <c r="AD83" s="155">
        <f t="shared" si="232"/>
        <v>95.972045260764631</v>
      </c>
      <c r="AE83" s="155">
        <f t="shared" si="232"/>
        <v>105.38106930593764</v>
      </c>
      <c r="AF83" s="137">
        <f t="shared" si="194"/>
        <v>0.59703114876847807</v>
      </c>
      <c r="AG83" s="31">
        <f t="shared" si="16"/>
        <v>0.05</v>
      </c>
      <c r="AH83" s="145">
        <f t="shared" si="195"/>
        <v>1106.5012277123456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33">(G82+G83)</f>
        <v>1.1329519061915821E-2</v>
      </c>
      <c r="H84" s="143">
        <f t="shared" si="233"/>
        <v>1.1329519061915821E-2</v>
      </c>
      <c r="I84" s="143">
        <f t="shared" ref="I84:R84" si="234">(I82+I83)</f>
        <v>1.1329519061915821E-2</v>
      </c>
      <c r="J84" s="143">
        <f t="shared" si="234"/>
        <v>29.926924602050644</v>
      </c>
      <c r="K84" s="143">
        <f t="shared" si="234"/>
        <v>4.3412247652252152</v>
      </c>
      <c r="L84" s="143">
        <f t="shared" si="234"/>
        <v>1.0228830538859011</v>
      </c>
      <c r="M84" s="143">
        <f t="shared" si="234"/>
        <v>13.903827902562481</v>
      </c>
      <c r="N84" s="143">
        <f t="shared" si="234"/>
        <v>29.023607970976393</v>
      </c>
      <c r="O84" s="143">
        <f t="shared" si="234"/>
        <v>46.390185078383055</v>
      </c>
      <c r="P84" s="143">
        <f t="shared" si="234"/>
        <v>83.563152099826979</v>
      </c>
      <c r="Q84" s="143">
        <f t="shared" ref="Q84" si="235">(Q82+Q83)</f>
        <v>95.014678129586926</v>
      </c>
      <c r="R84" s="143">
        <f t="shared" si="234"/>
        <v>85.78590858179102</v>
      </c>
      <c r="S84" s="143">
        <f t="shared" ref="S84" si="236">(S82+S83)</f>
        <v>54.081017654274888</v>
      </c>
      <c r="T84" s="118">
        <f t="shared" si="183"/>
        <v>1.0256735080887314</v>
      </c>
      <c r="U84" s="128"/>
      <c r="V84" s="155">
        <f t="shared" ref="V84:AE84" si="237">(V82+V83)</f>
        <v>59.383078208615572</v>
      </c>
      <c r="W84" s="155">
        <f t="shared" si="237"/>
        <v>65.204948621224958</v>
      </c>
      <c r="X84" s="155">
        <f t="shared" si="237"/>
        <v>71.597590642913687</v>
      </c>
      <c r="Y84" s="155">
        <f t="shared" si="237"/>
        <v>78.616962274571904</v>
      </c>
      <c r="Z84" s="155">
        <f t="shared" si="237"/>
        <v>86.324507595608367</v>
      </c>
      <c r="AA84" s="155">
        <f t="shared" si="237"/>
        <v>94.787694614785664</v>
      </c>
      <c r="AB84" s="155">
        <f t="shared" si="237"/>
        <v>104.08060585152937</v>
      </c>
      <c r="AC84" s="155">
        <f t="shared" si="237"/>
        <v>114.28458681736559</v>
      </c>
      <c r="AD84" s="155">
        <f t="shared" si="237"/>
        <v>125.48895807397008</v>
      </c>
      <c r="AE84" s="155">
        <f t="shared" si="237"/>
        <v>137.79179710082991</v>
      </c>
      <c r="AF84" s="137">
        <f t="shared" si="194"/>
        <v>0.56503615776365956</v>
      </c>
      <c r="AG84" s="31">
        <f t="shared" si="16"/>
        <v>0.05</v>
      </c>
      <c r="AH84" s="145">
        <f t="shared" si="195"/>
        <v>1446.8138695587143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38">G15/G57</f>
        <v>5.6647595309579106E-3</v>
      </c>
      <c r="H85" s="143">
        <f t="shared" si="238"/>
        <v>5.6647595309579106E-3</v>
      </c>
      <c r="I85" s="143">
        <f t="shared" ref="I85:R85" si="239">I15/I57</f>
        <v>5.6647595309579106E-3</v>
      </c>
      <c r="J85" s="143">
        <f t="shared" si="239"/>
        <v>0</v>
      </c>
      <c r="K85" s="143">
        <f t="shared" si="239"/>
        <v>11.544733734465501</v>
      </c>
      <c r="L85" s="143">
        <f t="shared" si="239"/>
        <v>38.363387113782558</v>
      </c>
      <c r="M85" s="143">
        <f t="shared" si="239"/>
        <v>3.4324580828851632</v>
      </c>
      <c r="N85" s="143">
        <f t="shared" si="239"/>
        <v>31.547399968452602</v>
      </c>
      <c r="O85" s="143">
        <f t="shared" si="239"/>
        <v>45.331096314161385</v>
      </c>
      <c r="P85" s="143">
        <f t="shared" si="239"/>
        <v>42.143343994127825</v>
      </c>
      <c r="Q85" s="143">
        <f t="shared" si="239"/>
        <v>23.962046550639549</v>
      </c>
      <c r="R85" s="143">
        <f t="shared" si="239"/>
        <v>12.37399327964158</v>
      </c>
      <c r="S85" s="143">
        <f t="shared" ref="S85" si="240">S15/S57</f>
        <v>0</v>
      </c>
      <c r="T85" s="118">
        <f t="shared" si="183"/>
        <v>-1</v>
      </c>
      <c r="U85" s="128"/>
      <c r="V85" s="155">
        <f t="shared" ref="V85:AE85" si="241">V15/V57</f>
        <v>0</v>
      </c>
      <c r="W85" s="155">
        <f t="shared" si="241"/>
        <v>0</v>
      </c>
      <c r="X85" s="155">
        <f t="shared" si="241"/>
        <v>0</v>
      </c>
      <c r="Y85" s="155">
        <f t="shared" si="241"/>
        <v>0</v>
      </c>
      <c r="Z85" s="155">
        <f t="shared" si="241"/>
        <v>0</v>
      </c>
      <c r="AA85" s="155">
        <f t="shared" si="241"/>
        <v>0</v>
      </c>
      <c r="AB85" s="155">
        <f t="shared" si="241"/>
        <v>0</v>
      </c>
      <c r="AC85" s="155">
        <f t="shared" si="241"/>
        <v>0</v>
      </c>
      <c r="AD85" s="155">
        <f t="shared" si="241"/>
        <v>0</v>
      </c>
      <c r="AE85" s="155">
        <f t="shared" si="241"/>
        <v>0</v>
      </c>
      <c r="AF85" s="137">
        <f t="shared" si="194"/>
        <v>-1</v>
      </c>
      <c r="AG85" s="31">
        <f t="shared" si="16"/>
        <v>0.05</v>
      </c>
      <c r="AH85" s="145">
        <f t="shared" si="195"/>
        <v>0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242">G16/G57</f>
        <v>5.6647595309579106E-3</v>
      </c>
      <c r="H86" s="143">
        <f t="shared" si="242"/>
        <v>5.6647595309579106E-3</v>
      </c>
      <c r="I86" s="143">
        <f t="shared" ref="I86:R86" si="243">I16/I57</f>
        <v>5.6647595309579106E-3</v>
      </c>
      <c r="J86" s="143">
        <f t="shared" si="243"/>
        <v>0</v>
      </c>
      <c r="K86" s="143">
        <f t="shared" si="243"/>
        <v>4.0713040544340098</v>
      </c>
      <c r="L86" s="143">
        <f t="shared" si="243"/>
        <v>26.890224612464412</v>
      </c>
      <c r="M86" s="143">
        <f t="shared" si="243"/>
        <v>2.3568490983865864</v>
      </c>
      <c r="N86" s="143">
        <f t="shared" si="243"/>
        <v>23.518586676481412</v>
      </c>
      <c r="O86" s="143">
        <f t="shared" si="243"/>
        <v>40.30304619095056</v>
      </c>
      <c r="P86" s="143">
        <f t="shared" si="243"/>
        <v>43.763435222565931</v>
      </c>
      <c r="Q86" s="143">
        <f t="shared" si="243"/>
        <v>53.999790312434477</v>
      </c>
      <c r="R86" s="143">
        <f t="shared" si="243"/>
        <v>75.182676409408501</v>
      </c>
      <c r="S86" s="143">
        <f t="shared" ref="S86" si="244">S16/S57</f>
        <v>0</v>
      </c>
      <c r="T86" s="118">
        <f t="shared" si="183"/>
        <v>-1</v>
      </c>
      <c r="U86" s="128"/>
      <c r="V86" s="155">
        <f t="shared" ref="V86:AE86" si="245">V16/V57</f>
        <v>0</v>
      </c>
      <c r="W86" s="155">
        <f t="shared" si="245"/>
        <v>0</v>
      </c>
      <c r="X86" s="155">
        <f t="shared" si="245"/>
        <v>0</v>
      </c>
      <c r="Y86" s="155">
        <f t="shared" si="245"/>
        <v>0</v>
      </c>
      <c r="Z86" s="155">
        <f t="shared" si="245"/>
        <v>0</v>
      </c>
      <c r="AA86" s="155">
        <f t="shared" si="245"/>
        <v>0</v>
      </c>
      <c r="AB86" s="155">
        <f t="shared" si="245"/>
        <v>0</v>
      </c>
      <c r="AC86" s="155">
        <f t="shared" si="245"/>
        <v>0</v>
      </c>
      <c r="AD86" s="155">
        <f t="shared" si="245"/>
        <v>0</v>
      </c>
      <c r="AE86" s="155">
        <f t="shared" si="245"/>
        <v>0</v>
      </c>
      <c r="AF86" s="137">
        <f t="shared" si="194"/>
        <v>-1</v>
      </c>
      <c r="AG86" s="136"/>
      <c r="AH86" s="145">
        <f t="shared" si="195"/>
        <v>0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195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246">G59</f>
        <v>0.01</v>
      </c>
      <c r="H88" s="157">
        <f t="shared" si="246"/>
        <v>0</v>
      </c>
      <c r="I88" s="157">
        <f t="shared" ref="I88:R88" si="247">I59</f>
        <v>0</v>
      </c>
      <c r="J88" s="157">
        <f t="shared" si="247"/>
        <v>0</v>
      </c>
      <c r="K88" s="157">
        <f t="shared" si="247"/>
        <v>0</v>
      </c>
      <c r="L88" s="157">
        <f t="shared" si="247"/>
        <v>0</v>
      </c>
      <c r="M88" s="157">
        <f t="shared" si="247"/>
        <v>0</v>
      </c>
      <c r="N88" s="157">
        <f t="shared" si="247"/>
        <v>0</v>
      </c>
      <c r="O88" s="157">
        <f t="shared" si="247"/>
        <v>0</v>
      </c>
      <c r="P88" s="157">
        <f t="shared" si="247"/>
        <v>11.5</v>
      </c>
      <c r="Q88" s="157">
        <f t="shared" si="247"/>
        <v>12.5</v>
      </c>
      <c r="R88" s="157">
        <f t="shared" si="247"/>
        <v>9</v>
      </c>
      <c r="S88" s="157">
        <f t="shared" ref="S88" si="248">S59</f>
        <v>3</v>
      </c>
      <c r="T88" s="118">
        <f t="shared" si="183"/>
        <v>0.60852113345533798</v>
      </c>
      <c r="U88" s="128"/>
      <c r="V88" s="157">
        <f t="shared" ref="V88:AE88" si="249">V59</f>
        <v>3.1500000000000004</v>
      </c>
      <c r="W88" s="157">
        <f t="shared" si="249"/>
        <v>3.3075000000000006</v>
      </c>
      <c r="X88" s="157">
        <f t="shared" si="249"/>
        <v>3.4728750000000006</v>
      </c>
      <c r="Y88" s="157">
        <f t="shared" si="249"/>
        <v>3.6465187500000007</v>
      </c>
      <c r="Z88" s="157">
        <f t="shared" si="249"/>
        <v>3.8288446875000011</v>
      </c>
      <c r="AA88" s="157">
        <f t="shared" si="249"/>
        <v>4.0202869218750017</v>
      </c>
      <c r="AB88" s="157">
        <f t="shared" si="249"/>
        <v>4.2213012679687516</v>
      </c>
      <c r="AC88" s="157">
        <f t="shared" si="249"/>
        <v>4.4323663313671897</v>
      </c>
      <c r="AD88" s="157">
        <f t="shared" si="249"/>
        <v>4.6539846479355491</v>
      </c>
      <c r="AE88" s="157">
        <f t="shared" si="249"/>
        <v>4.8866838803323267</v>
      </c>
      <c r="AF88" s="137" t="e">
        <f t="shared" ref="AF88" si="250">((AE88/I88)^(1/($AE$3-$J$1) ))-1</f>
        <v>#DIV/0!</v>
      </c>
      <c r="AG88" s="31">
        <f t="shared" si="16"/>
        <v>0.05</v>
      </c>
      <c r="AH88" s="145">
        <f t="shared" si="195"/>
        <v>51.310180743489433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313</v>
      </c>
      <c r="C90" s="127"/>
      <c r="D90" s="127"/>
      <c r="E90" s="127"/>
      <c r="F90" s="127"/>
      <c r="G90" s="143">
        <f t="shared" ref="G90:H90" si="251">G20+G21</f>
        <v>2</v>
      </c>
      <c r="H90" s="143">
        <f t="shared" si="251"/>
        <v>0</v>
      </c>
      <c r="I90" s="143">
        <f t="shared" ref="I90:R90" si="252">I20+I21</f>
        <v>-9613.32</v>
      </c>
      <c r="J90" s="143">
        <f t="shared" si="252"/>
        <v>-5986</v>
      </c>
      <c r="K90" s="143">
        <f t="shared" si="252"/>
        <v>-5986</v>
      </c>
      <c r="L90" s="143">
        <f t="shared" si="252"/>
        <v>-2525</v>
      </c>
      <c r="M90" s="143">
        <f t="shared" si="252"/>
        <v>-1244</v>
      </c>
      <c r="N90" s="143">
        <f t="shared" si="252"/>
        <v>64</v>
      </c>
      <c r="O90" s="143">
        <f t="shared" si="252"/>
        <v>188</v>
      </c>
      <c r="P90" s="143">
        <f t="shared" si="252"/>
        <v>1662</v>
      </c>
      <c r="Q90" s="143">
        <f t="shared" si="252"/>
        <v>2909</v>
      </c>
      <c r="R90" s="143">
        <f t="shared" si="252"/>
        <v>3579</v>
      </c>
      <c r="S90" s="143">
        <f t="shared" ref="S90" si="253">S20+S21</f>
        <v>0</v>
      </c>
      <c r="T90" s="118">
        <f t="shared" si="183"/>
        <v>-1</v>
      </c>
      <c r="U90" s="128"/>
      <c r="V90" s="143">
        <f t="shared" ref="V90:AE90" si="254">V20+V21</f>
        <v>0</v>
      </c>
      <c r="W90" s="143">
        <f t="shared" si="254"/>
        <v>0</v>
      </c>
      <c r="X90" s="143">
        <f t="shared" si="254"/>
        <v>0</v>
      </c>
      <c r="Y90" s="143">
        <f t="shared" si="254"/>
        <v>0</v>
      </c>
      <c r="Z90" s="143">
        <f t="shared" si="254"/>
        <v>0</v>
      </c>
      <c r="AA90" s="143">
        <f t="shared" si="254"/>
        <v>0</v>
      </c>
      <c r="AB90" s="143">
        <f t="shared" si="254"/>
        <v>0</v>
      </c>
      <c r="AC90" s="143">
        <f t="shared" si="254"/>
        <v>0</v>
      </c>
      <c r="AD90" s="143">
        <f t="shared" si="254"/>
        <v>0</v>
      </c>
      <c r="AE90" s="143">
        <f t="shared" si="254"/>
        <v>0</v>
      </c>
      <c r="AF90" s="137">
        <f t="shared" ref="AF90:AF95" si="255">((AE90/I90)^(1/($AE$3-$J$1) ))-1</f>
        <v>-1</v>
      </c>
      <c r="AG90" s="31">
        <f t="shared" si="16"/>
        <v>0.05</v>
      </c>
      <c r="AH90" s="145">
        <f t="shared" si="195"/>
        <v>0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314</v>
      </c>
      <c r="C92" s="127"/>
      <c r="D92" s="127"/>
      <c r="E92" s="127"/>
      <c r="F92" s="127"/>
      <c r="G92" s="143">
        <f t="shared" ref="G92:H92" si="256">G90/G57</f>
        <v>1.1329519061915821E-2</v>
      </c>
      <c r="H92" s="143">
        <f t="shared" si="256"/>
        <v>0</v>
      </c>
      <c r="I92" s="143">
        <f t="shared" ref="I92:R92" si="257">I90/I57</f>
        <v>-54.4571460941483</v>
      </c>
      <c r="J92" s="143">
        <f t="shared" si="257"/>
        <v>-33.909250552314056</v>
      </c>
      <c r="K92" s="143">
        <f t="shared" si="257"/>
        <v>-33.661361974919863</v>
      </c>
      <c r="L92" s="143">
        <f t="shared" si="257"/>
        <v>-13.313297479700516</v>
      </c>
      <c r="M92" s="143">
        <f t="shared" si="257"/>
        <v>-6.559105768216809</v>
      </c>
      <c r="N92" s="143">
        <f t="shared" si="257"/>
        <v>0.33650559966349441</v>
      </c>
      <c r="O92" s="143">
        <f t="shared" si="257"/>
        <v>0.98568657264195469</v>
      </c>
      <c r="P92" s="143">
        <f t="shared" si="257"/>
        <v>8.7138887432496208</v>
      </c>
      <c r="Q92" s="143">
        <f t="shared" si="257"/>
        <v>15.249528202977563</v>
      </c>
      <c r="R92" s="143">
        <f t="shared" si="257"/>
        <v>19.089018080964316</v>
      </c>
      <c r="S92" s="143">
        <f t="shared" ref="S92" si="258">S90/S57</f>
        <v>0</v>
      </c>
      <c r="T92" s="118">
        <f t="shared" si="183"/>
        <v>-1</v>
      </c>
      <c r="U92" s="128"/>
      <c r="V92" s="145">
        <f t="shared" ref="V92:AE92" si="259">V90/V57</f>
        <v>0</v>
      </c>
      <c r="W92" s="145">
        <f t="shared" si="259"/>
        <v>0</v>
      </c>
      <c r="X92" s="145">
        <f t="shared" si="259"/>
        <v>0</v>
      </c>
      <c r="Y92" s="145">
        <f t="shared" si="259"/>
        <v>0</v>
      </c>
      <c r="Z92" s="145">
        <f t="shared" si="259"/>
        <v>0</v>
      </c>
      <c r="AA92" s="145">
        <f t="shared" si="259"/>
        <v>0</v>
      </c>
      <c r="AB92" s="145">
        <f t="shared" si="259"/>
        <v>0</v>
      </c>
      <c r="AC92" s="145">
        <f t="shared" si="259"/>
        <v>0</v>
      </c>
      <c r="AD92" s="145">
        <f t="shared" si="259"/>
        <v>0</v>
      </c>
      <c r="AE92" s="145">
        <f t="shared" si="259"/>
        <v>0</v>
      </c>
      <c r="AF92" s="137">
        <f t="shared" si="255"/>
        <v>-1</v>
      </c>
      <c r="AG92" s="31">
        <f t="shared" si="16"/>
        <v>0.05</v>
      </c>
      <c r="AH92" s="145">
        <f t="shared" si="195"/>
        <v>0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260">G20/G57</f>
        <v>5.6647595309579106E-3</v>
      </c>
      <c r="H93" s="143">
        <f t="shared" si="260"/>
        <v>0</v>
      </c>
      <c r="I93" s="143">
        <f t="shared" ref="I93:R93" si="261">I20/I57</f>
        <v>-7.4774825808644422E-3</v>
      </c>
      <c r="J93" s="143">
        <f t="shared" si="261"/>
        <v>-6.7977114371494923E-2</v>
      </c>
      <c r="K93" s="143">
        <f t="shared" si="261"/>
        <v>-6.7480177697801264E-2</v>
      </c>
      <c r="L93" s="143">
        <f t="shared" si="261"/>
        <v>-0.1845407571443636</v>
      </c>
      <c r="M93" s="143">
        <f t="shared" si="261"/>
        <v>-0.416534851840135</v>
      </c>
      <c r="N93" s="143">
        <f t="shared" si="261"/>
        <v>-0.27866869972133129</v>
      </c>
      <c r="O93" s="143">
        <f t="shared" si="261"/>
        <v>-0.63440465579615168</v>
      </c>
      <c r="P93" s="143">
        <f t="shared" si="261"/>
        <v>71.299743092329479</v>
      </c>
      <c r="Q93" s="143">
        <f t="shared" si="261"/>
        <v>25.74963304676033</v>
      </c>
      <c r="R93" s="143">
        <f t="shared" si="261"/>
        <v>50.77604138887407</v>
      </c>
      <c r="S93" s="143">
        <f t="shared" ref="S93" si="262">S20/S57</f>
        <v>0</v>
      </c>
      <c r="T93" s="118">
        <f t="shared" si="183"/>
        <v>-1</v>
      </c>
      <c r="U93" s="128"/>
      <c r="V93" s="145">
        <f t="shared" ref="V93:AE93" si="263">V20/V57</f>
        <v>0</v>
      </c>
      <c r="W93" s="145">
        <f t="shared" si="263"/>
        <v>0</v>
      </c>
      <c r="X93" s="145">
        <f t="shared" si="263"/>
        <v>0</v>
      </c>
      <c r="Y93" s="145">
        <f t="shared" si="263"/>
        <v>0</v>
      </c>
      <c r="Z93" s="145">
        <f t="shared" si="263"/>
        <v>0</v>
      </c>
      <c r="AA93" s="145">
        <f t="shared" si="263"/>
        <v>0</v>
      </c>
      <c r="AB93" s="145">
        <f t="shared" si="263"/>
        <v>0</v>
      </c>
      <c r="AC93" s="145">
        <f t="shared" si="263"/>
        <v>0</v>
      </c>
      <c r="AD93" s="145">
        <f t="shared" si="263"/>
        <v>0</v>
      </c>
      <c r="AE93" s="145">
        <f t="shared" si="263"/>
        <v>0</v>
      </c>
      <c r="AF93" s="137">
        <f t="shared" si="255"/>
        <v>-1</v>
      </c>
      <c r="AG93" s="31">
        <f t="shared" si="16"/>
        <v>0.05</v>
      </c>
      <c r="AH93" s="145">
        <f t="shared" si="195"/>
        <v>0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264">G21/G57</f>
        <v>5.6647595309579106E-3</v>
      </c>
      <c r="H94" s="143">
        <f t="shared" si="264"/>
        <v>0</v>
      </c>
      <c r="I94" s="143">
        <f t="shared" ref="I94:R94" si="265">I21/I57</f>
        <v>-54.449668611567439</v>
      </c>
      <c r="J94" s="143">
        <f t="shared" si="265"/>
        <v>-33.841273437942561</v>
      </c>
      <c r="K94" s="143">
        <f t="shared" si="265"/>
        <v>-33.59388179722206</v>
      </c>
      <c r="L94" s="143">
        <f t="shared" si="265"/>
        <v>-13.128756722556153</v>
      </c>
      <c r="M94" s="143">
        <f t="shared" si="265"/>
        <v>-6.1425709163766742</v>
      </c>
      <c r="N94" s="143">
        <f t="shared" si="265"/>
        <v>0.61517429938482571</v>
      </c>
      <c r="O94" s="143">
        <f t="shared" si="265"/>
        <v>1.6200912284381064</v>
      </c>
      <c r="P94" s="143">
        <f t="shared" si="265"/>
        <v>-62.585854349079852</v>
      </c>
      <c r="Q94" s="143">
        <f t="shared" si="265"/>
        <v>-10.500104843782765</v>
      </c>
      <c r="R94" s="143">
        <f t="shared" si="265"/>
        <v>-31.687023307909755</v>
      </c>
      <c r="S94" s="143">
        <f t="shared" ref="S94" si="266">S21/S57</f>
        <v>0</v>
      </c>
      <c r="T94" s="118">
        <f t="shared" si="183"/>
        <v>-1</v>
      </c>
      <c r="U94" s="128"/>
      <c r="V94" s="145">
        <f t="shared" ref="V94:AE94" si="267">V21/V57</f>
        <v>0</v>
      </c>
      <c r="W94" s="145">
        <f t="shared" si="267"/>
        <v>0</v>
      </c>
      <c r="X94" s="145">
        <f t="shared" si="267"/>
        <v>0</v>
      </c>
      <c r="Y94" s="145">
        <f t="shared" si="267"/>
        <v>0</v>
      </c>
      <c r="Z94" s="145">
        <f t="shared" si="267"/>
        <v>0</v>
      </c>
      <c r="AA94" s="145">
        <f t="shared" si="267"/>
        <v>0</v>
      </c>
      <c r="AB94" s="145">
        <f t="shared" si="267"/>
        <v>0</v>
      </c>
      <c r="AC94" s="145">
        <f t="shared" si="267"/>
        <v>0</v>
      </c>
      <c r="AD94" s="145">
        <f t="shared" si="267"/>
        <v>0</v>
      </c>
      <c r="AE94" s="145">
        <f t="shared" si="267"/>
        <v>0</v>
      </c>
      <c r="AF94" s="137">
        <f t="shared" si="255"/>
        <v>-1</v>
      </c>
      <c r="AG94" s="31">
        <f t="shared" si="16"/>
        <v>0.05</v>
      </c>
      <c r="AH94" s="145">
        <f t="shared" si="195"/>
        <v>0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268">G22/G57</f>
        <v>5.6647595309579106E-3</v>
      </c>
      <c r="H95" s="143">
        <f t="shared" si="268"/>
        <v>0</v>
      </c>
      <c r="I95" s="143">
        <f t="shared" ref="I95:R95" si="269">I22/I57</f>
        <v>88.092675465926476</v>
      </c>
      <c r="J95" s="143">
        <f t="shared" si="269"/>
        <v>0.28119866311675068</v>
      </c>
      <c r="K95" s="143">
        <f t="shared" si="269"/>
        <v>0.27914300174323792</v>
      </c>
      <c r="L95" s="143">
        <f t="shared" si="269"/>
        <v>13.344933038068122</v>
      </c>
      <c r="M95" s="143">
        <f t="shared" si="269"/>
        <v>6.5274702098492039</v>
      </c>
      <c r="N95" s="143">
        <f t="shared" si="269"/>
        <v>-6.3094799936905199E-2</v>
      </c>
      <c r="O95" s="143">
        <f t="shared" si="269"/>
        <v>-0.81791013474545171</v>
      </c>
      <c r="P95" s="143">
        <f t="shared" si="269"/>
        <v>-12.808682430661145</v>
      </c>
      <c r="Q95" s="143">
        <f t="shared" si="269"/>
        <v>-15.160410987628435</v>
      </c>
      <c r="R95" s="143">
        <f t="shared" si="269"/>
        <v>-18.310309883193771</v>
      </c>
      <c r="S95" s="143">
        <f t="shared" ref="S95" si="270">S22/S57</f>
        <v>0</v>
      </c>
      <c r="T95" s="118">
        <f t="shared" si="183"/>
        <v>-1</v>
      </c>
      <c r="U95" s="128"/>
      <c r="V95" s="145">
        <f t="shared" ref="V95:AE95" si="271">V22/V57</f>
        <v>0</v>
      </c>
      <c r="W95" s="145">
        <f t="shared" si="271"/>
        <v>0</v>
      </c>
      <c r="X95" s="145">
        <f t="shared" si="271"/>
        <v>0</v>
      </c>
      <c r="Y95" s="145">
        <f t="shared" si="271"/>
        <v>0</v>
      </c>
      <c r="Z95" s="145">
        <f t="shared" si="271"/>
        <v>0</v>
      </c>
      <c r="AA95" s="145">
        <f t="shared" si="271"/>
        <v>0</v>
      </c>
      <c r="AB95" s="145">
        <f t="shared" si="271"/>
        <v>0</v>
      </c>
      <c r="AC95" s="145">
        <f t="shared" si="271"/>
        <v>0</v>
      </c>
      <c r="AD95" s="145">
        <f t="shared" si="271"/>
        <v>0</v>
      </c>
      <c r="AE95" s="145">
        <f t="shared" si="271"/>
        <v>0</v>
      </c>
      <c r="AF95" s="137">
        <f t="shared" si="255"/>
        <v>-1</v>
      </c>
      <c r="AG95" s="31">
        <f t="shared" si="16"/>
        <v>0.05</v>
      </c>
      <c r="AH95" s="145">
        <f t="shared" si="195"/>
        <v>0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272">G23/G57</f>
        <v>5.6647595309579106E-3</v>
      </c>
      <c r="H96" s="143">
        <f t="shared" si="272"/>
        <v>0</v>
      </c>
      <c r="I96" s="143">
        <f t="shared" ref="I96:R96" si="273">I23/I57</f>
        <v>33.633943239109499</v>
      </c>
      <c r="J96" s="143">
        <f t="shared" si="273"/>
        <v>4.4185124341471708E-3</v>
      </c>
      <c r="K96" s="143">
        <f t="shared" si="273"/>
        <v>4.3862115503570821E-3</v>
      </c>
      <c r="L96" s="143">
        <f t="shared" si="273"/>
        <v>3.3744595592112202E-2</v>
      </c>
      <c r="M96" s="143">
        <f t="shared" si="273"/>
        <v>2.2672150163450385E-3</v>
      </c>
      <c r="N96" s="143">
        <f t="shared" si="273"/>
        <v>0.27446237972553766</v>
      </c>
      <c r="O96" s="143">
        <f t="shared" si="273"/>
        <v>0.43517013579405445</v>
      </c>
      <c r="P96" s="143">
        <f t="shared" si="273"/>
        <v>5.2954438211083735E-3</v>
      </c>
      <c r="Q96" s="143">
        <f t="shared" si="273"/>
        <v>9.4359404487313905E-2</v>
      </c>
      <c r="R96" s="143">
        <f t="shared" si="273"/>
        <v>1.2160648567923622</v>
      </c>
      <c r="S96" s="143">
        <f t="shared" ref="S96" si="274">S23/S57</f>
        <v>0</v>
      </c>
      <c r="T96" s="118">
        <f t="shared" si="183"/>
        <v>-1</v>
      </c>
      <c r="U96" s="128"/>
      <c r="V96" s="145">
        <f t="shared" ref="V96:AE96" si="275">V23/V57</f>
        <v>0</v>
      </c>
      <c r="W96" s="145">
        <f t="shared" si="275"/>
        <v>0</v>
      </c>
      <c r="X96" s="145">
        <f t="shared" si="275"/>
        <v>0</v>
      </c>
      <c r="Y96" s="145">
        <f t="shared" si="275"/>
        <v>0</v>
      </c>
      <c r="Z96" s="145">
        <f t="shared" si="275"/>
        <v>0</v>
      </c>
      <c r="AA96" s="145">
        <f t="shared" si="275"/>
        <v>0</v>
      </c>
      <c r="AB96" s="145">
        <f t="shared" si="275"/>
        <v>0</v>
      </c>
      <c r="AC96" s="145">
        <f t="shared" si="275"/>
        <v>0</v>
      </c>
      <c r="AD96" s="145">
        <f t="shared" si="275"/>
        <v>0</v>
      </c>
      <c r="AE96" s="145">
        <f t="shared" si="275"/>
        <v>0</v>
      </c>
      <c r="AF96" s="137">
        <f t="shared" ref="AF96" si="276">((AE96/I96)^(1/($AE$3-$J$1) ))-1</f>
        <v>-1</v>
      </c>
      <c r="AG96" s="31">
        <f t="shared" si="16"/>
        <v>0.05</v>
      </c>
      <c r="AH96" s="145">
        <f t="shared" si="195"/>
        <v>0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494</v>
      </c>
      <c r="C98" s="143"/>
      <c r="D98" s="143"/>
      <c r="E98" s="143"/>
      <c r="F98" s="143"/>
      <c r="G98" s="143">
        <f t="shared" ref="G98:H98" si="277">G51/G57</f>
        <v>5.6647595309579106E-3</v>
      </c>
      <c r="H98" s="143">
        <f t="shared" si="277"/>
        <v>5.6647595309579106E-3</v>
      </c>
      <c r="I98" s="143">
        <f t="shared" ref="I98:R98" si="278">I51/I57</f>
        <v>5.6647595309579106E-3</v>
      </c>
      <c r="J98" s="143">
        <f t="shared" si="278"/>
        <v>-0.1019656715572424</v>
      </c>
      <c r="K98" s="143">
        <f t="shared" si="278"/>
        <v>1.1021762357307541</v>
      </c>
      <c r="L98" s="143">
        <f t="shared" si="278"/>
        <v>2.0721290730781399</v>
      </c>
      <c r="M98" s="143">
        <f t="shared" si="278"/>
        <v>3.8173573763576929</v>
      </c>
      <c r="N98" s="143">
        <f t="shared" si="278"/>
        <v>43.398706556601297</v>
      </c>
      <c r="O98" s="143">
        <f t="shared" si="278"/>
        <v>48.518848634194939</v>
      </c>
      <c r="P98" s="143">
        <f t="shared" si="278"/>
        <v>68.332197347035077</v>
      </c>
      <c r="Q98" s="143">
        <f t="shared" si="278"/>
        <v>71.739358356049493</v>
      </c>
      <c r="R98" s="143">
        <f t="shared" si="278"/>
        <v>45.453090831511012</v>
      </c>
      <c r="S98" s="143">
        <f t="shared" ref="S98" si="279">S51/S57</f>
        <v>12.08667128913542</v>
      </c>
      <c r="T98" s="118">
        <f t="shared" si="183"/>
        <v>0.89420554101428396</v>
      </c>
      <c r="U98" s="128"/>
      <c r="V98" s="143">
        <f t="shared" ref="V98:AE98" si="280">V51/V57</f>
        <v>13.271639062580071</v>
      </c>
      <c r="W98" s="143">
        <f t="shared" si="280"/>
        <v>14.572780147146748</v>
      </c>
      <c r="X98" s="143">
        <f t="shared" si="280"/>
        <v>16.001484083141527</v>
      </c>
      <c r="Y98" s="143">
        <f t="shared" si="280"/>
        <v>17.570257032469129</v>
      </c>
      <c r="Z98" s="143">
        <f t="shared" si="280"/>
        <v>19.292831251338658</v>
      </c>
      <c r="AA98" s="143">
        <f t="shared" si="280"/>
        <v>21.184285295587546</v>
      </c>
      <c r="AB98" s="143">
        <f t="shared" si="280"/>
        <v>23.261176010841226</v>
      </c>
      <c r="AC98" s="143">
        <f t="shared" si="280"/>
        <v>25.541683462884489</v>
      </c>
      <c r="AD98" s="143">
        <f t="shared" si="280"/>
        <v>28.045770076892772</v>
      </c>
      <c r="AE98" s="143">
        <f t="shared" si="280"/>
        <v>30.79535537854893</v>
      </c>
      <c r="AF98" s="137">
        <f t="shared" ref="AF98:AF100" si="281">((AE98/I98)^(1/($AE$3-$J$1) ))-1</f>
        <v>0.5061617241016847</v>
      </c>
      <c r="AG98" s="31">
        <f t="shared" si="16"/>
        <v>0.05</v>
      </c>
      <c r="AH98" s="145">
        <f t="shared" si="195"/>
        <v>323.35123147476384</v>
      </c>
    </row>
    <row r="99" spans="2:34">
      <c r="B99" s="20" t="s">
        <v>495</v>
      </c>
      <c r="C99" s="143"/>
      <c r="D99" s="143"/>
      <c r="E99" s="143"/>
      <c r="F99" s="143"/>
      <c r="G99" s="143">
        <f t="shared" ref="G99:H99" si="282">G55/G57</f>
        <v>5.6647595309579106E-3</v>
      </c>
      <c r="H99" s="143">
        <f t="shared" si="282"/>
        <v>5.6647595309579106E-3</v>
      </c>
      <c r="I99" s="143">
        <f t="shared" ref="I99:R99" si="283">I55/I57</f>
        <v>5.6647595309579106E-3</v>
      </c>
      <c r="J99" s="143">
        <f t="shared" si="283"/>
        <v>-0.10763043108820031</v>
      </c>
      <c r="K99" s="143">
        <f t="shared" si="283"/>
        <v>-0.14058370353708596</v>
      </c>
      <c r="L99" s="143">
        <f t="shared" si="283"/>
        <v>4.2338922281978277</v>
      </c>
      <c r="M99" s="143">
        <f t="shared" si="283"/>
        <v>5.541495307392176</v>
      </c>
      <c r="N99" s="143">
        <f t="shared" si="283"/>
        <v>33.30353856669646</v>
      </c>
      <c r="O99" s="143">
        <f t="shared" si="283"/>
        <v>41.61379961201699</v>
      </c>
      <c r="P99" s="143">
        <f t="shared" si="283"/>
        <v>63.209772977507477</v>
      </c>
      <c r="Q99" s="143">
        <f t="shared" si="283"/>
        <v>65.165653176766625</v>
      </c>
      <c r="R99" s="143">
        <f t="shared" si="283"/>
        <v>23.889274094618379</v>
      </c>
      <c r="S99" s="143">
        <f t="shared" ref="S99" si="284">S55/S57</f>
        <v>-50.306042988959405</v>
      </c>
      <c r="T99" s="118" t="e">
        <f t="shared" si="183"/>
        <v>#NUM!</v>
      </c>
      <c r="U99" s="128"/>
      <c r="V99" s="143">
        <f t="shared" ref="V99:AE99" si="285">V55/V57</f>
        <v>-55.238007987876998</v>
      </c>
      <c r="W99" s="143">
        <f t="shared" si="285"/>
        <v>-60.65349896708063</v>
      </c>
      <c r="X99" s="143">
        <f t="shared" si="285"/>
        <v>-66.599920434441472</v>
      </c>
      <c r="Y99" s="143">
        <f t="shared" si="285"/>
        <v>-73.129324398602407</v>
      </c>
      <c r="Z99" s="143">
        <f t="shared" si="285"/>
        <v>-80.298866006308529</v>
      </c>
      <c r="AA99" s="143">
        <f t="shared" si="285"/>
        <v>-88.171303850064277</v>
      </c>
      <c r="AB99" s="143">
        <f t="shared" si="285"/>
        <v>-96.815549325560781</v>
      </c>
      <c r="AC99" s="143">
        <f t="shared" si="285"/>
        <v>-106.3072698476746</v>
      </c>
      <c r="AD99" s="143">
        <f t="shared" si="285"/>
        <v>-116.72955120528977</v>
      </c>
      <c r="AE99" s="143">
        <f t="shared" si="285"/>
        <v>-128.17362485286719</v>
      </c>
      <c r="AF99" s="137">
        <f t="shared" si="281"/>
        <v>-2.6119914101179074</v>
      </c>
      <c r="AG99" s="31">
        <f t="shared" si="16"/>
        <v>0.05</v>
      </c>
      <c r="AH99" s="145">
        <f t="shared" si="195"/>
        <v>-1345.8230609551056</v>
      </c>
    </row>
    <row r="100" spans="2:34">
      <c r="B100" s="20" t="s">
        <v>310</v>
      </c>
      <c r="C100" s="143"/>
      <c r="D100" s="143"/>
      <c r="E100" s="143"/>
      <c r="F100" s="143"/>
      <c r="G100" s="143">
        <f t="shared" ref="G100:H100" si="286">G6/G57</f>
        <v>5.6647595309579106E-3</v>
      </c>
      <c r="H100" s="143">
        <f t="shared" si="286"/>
        <v>5.6647595309579106E-3</v>
      </c>
      <c r="I100" s="143">
        <f t="shared" ref="I100:R100" si="287">I6/I57</f>
        <v>5.6647595309579106E-3</v>
      </c>
      <c r="J100" s="143">
        <f t="shared" si="287"/>
        <v>155.66759191072339</v>
      </c>
      <c r="K100" s="143">
        <f t="shared" si="287"/>
        <v>154.99072147556654</v>
      </c>
      <c r="L100" s="143">
        <f t="shared" si="287"/>
        <v>162.74385742908362</v>
      </c>
      <c r="M100" s="143">
        <f t="shared" si="287"/>
        <v>168.32226088790466</v>
      </c>
      <c r="N100" s="143">
        <f t="shared" si="287"/>
        <v>204.69530469530469</v>
      </c>
      <c r="O100" s="143">
        <f t="shared" si="287"/>
        <v>243.19194673098099</v>
      </c>
      <c r="P100" s="143">
        <f t="shared" si="287"/>
        <v>240.07235358884287</v>
      </c>
      <c r="Q100" s="143">
        <f t="shared" si="287"/>
        <v>291.09876284336337</v>
      </c>
      <c r="R100" s="143">
        <f t="shared" si="287"/>
        <v>303.9895461091258</v>
      </c>
      <c r="S100" s="143">
        <f t="shared" ref="S100" si="288">S6/S57</f>
        <v>250.23734599178621</v>
      </c>
      <c r="T100" s="118">
        <f t="shared" si="183"/>
        <v>1.4383584758094137</v>
      </c>
      <c r="U100" s="128"/>
      <c r="V100" s="143">
        <f t="shared" ref="V100:AE100" si="289">V6/V57</f>
        <v>274.77041912823591</v>
      </c>
      <c r="W100" s="143">
        <f t="shared" si="289"/>
        <v>301.7086955133571</v>
      </c>
      <c r="X100" s="143">
        <f t="shared" si="289"/>
        <v>331.28797938721567</v>
      </c>
      <c r="Y100" s="143">
        <f t="shared" si="289"/>
        <v>363.76719305262895</v>
      </c>
      <c r="Z100" s="143">
        <f t="shared" si="289"/>
        <v>399.43064335190633</v>
      </c>
      <c r="AA100" s="143">
        <f t="shared" si="289"/>
        <v>438.5905103471913</v>
      </c>
      <c r="AB100" s="143">
        <f t="shared" si="289"/>
        <v>481.58957998907289</v>
      </c>
      <c r="AC100" s="143">
        <f t="shared" si="289"/>
        <v>528.80424469388402</v>
      </c>
      <c r="AD100" s="143">
        <f t="shared" si="289"/>
        <v>580.64779809524521</v>
      </c>
      <c r="AE100" s="143">
        <f t="shared" si="289"/>
        <v>637.57405281046533</v>
      </c>
      <c r="AF100" s="137">
        <f t="shared" si="281"/>
        <v>0.73996469388593589</v>
      </c>
      <c r="AG100" s="31">
        <f t="shared" ref="AG100" si="290">$N$1</f>
        <v>0.05</v>
      </c>
      <c r="AH100" s="145">
        <f t="shared" si="195"/>
        <v>6694.5275545098875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463</v>
      </c>
      <c r="C102" s="127"/>
      <c r="D102" s="127"/>
      <c r="E102" s="127"/>
      <c r="F102" s="127"/>
      <c r="G102" s="143">
        <f t="shared" ref="G102:H102" si="291">G55/$S$57</f>
        <v>5.3336177929489571E-3</v>
      </c>
      <c r="H102" s="143">
        <f t="shared" si="291"/>
        <v>5.3336177929489571E-3</v>
      </c>
      <c r="I102" s="143">
        <f t="shared" ref="I102:S102" si="292">I55/$S$57</f>
        <v>5.3336177929489571E-3</v>
      </c>
      <c r="J102" s="143">
        <f t="shared" si="292"/>
        <v>-0.10133873806603018</v>
      </c>
      <c r="K102" s="143">
        <f t="shared" si="292"/>
        <v>-0.13334044482372392</v>
      </c>
      <c r="L102" s="143">
        <f t="shared" si="292"/>
        <v>4.2828950877380123</v>
      </c>
      <c r="M102" s="143">
        <f t="shared" si="292"/>
        <v>5.6056323003893542</v>
      </c>
      <c r="N102" s="143">
        <f t="shared" si="292"/>
        <v>33.783135100538694</v>
      </c>
      <c r="O102" s="143">
        <f t="shared" si="292"/>
        <v>42.33292442263587</v>
      </c>
      <c r="P102" s="143">
        <f t="shared" si="292"/>
        <v>64.302096111792622</v>
      </c>
      <c r="Q102" s="143">
        <f t="shared" si="292"/>
        <v>66.302202784148491</v>
      </c>
      <c r="R102" s="143">
        <f t="shared" si="292"/>
        <v>23.889274094618379</v>
      </c>
      <c r="S102" s="143">
        <f t="shared" si="292"/>
        <v>-50.306042988959405</v>
      </c>
      <c r="T102" s="118" t="e">
        <f t="shared" si="183"/>
        <v>#NUM!</v>
      </c>
      <c r="U102" s="128"/>
      <c r="V102" s="143">
        <f t="shared" ref="V102:AE102" si="293">V55/V57</f>
        <v>-55.238007987876998</v>
      </c>
      <c r="W102" s="143">
        <f t="shared" si="293"/>
        <v>-60.65349896708063</v>
      </c>
      <c r="X102" s="143">
        <f t="shared" si="293"/>
        <v>-66.599920434441472</v>
      </c>
      <c r="Y102" s="143">
        <f t="shared" si="293"/>
        <v>-73.129324398602407</v>
      </c>
      <c r="Z102" s="143">
        <f t="shared" si="293"/>
        <v>-80.298866006308529</v>
      </c>
      <c r="AA102" s="143">
        <f t="shared" si="293"/>
        <v>-88.171303850064277</v>
      </c>
      <c r="AB102" s="143">
        <f t="shared" si="293"/>
        <v>-96.815549325560781</v>
      </c>
      <c r="AC102" s="143">
        <f t="shared" si="293"/>
        <v>-106.3072698476746</v>
      </c>
      <c r="AD102" s="143">
        <f t="shared" si="293"/>
        <v>-116.72955120528977</v>
      </c>
      <c r="AE102" s="143">
        <f t="shared" si="293"/>
        <v>-128.17362485286719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294">G51/G25</f>
        <v>1</v>
      </c>
      <c r="H105" s="150">
        <f t="shared" si="294"/>
        <v>1</v>
      </c>
      <c r="I105" s="150">
        <f t="shared" ref="I105:R105" si="295">I51/I25</f>
        <v>1</v>
      </c>
      <c r="J105" s="150">
        <f t="shared" si="295"/>
        <v>-0.400890868596882</v>
      </c>
      <c r="K105" s="150">
        <f t="shared" si="295"/>
        <v>0.2065331928345627</v>
      </c>
      <c r="L105" s="150">
        <f t="shared" si="295"/>
        <v>0.19610778443113772</v>
      </c>
      <c r="M105" s="150">
        <f t="shared" si="295"/>
        <v>0.35282651072124754</v>
      </c>
      <c r="N105" s="150">
        <f t="shared" si="295"/>
        <v>0.79114348701236459</v>
      </c>
      <c r="O105" s="150">
        <f t="shared" si="295"/>
        <v>0.72740135198868106</v>
      </c>
      <c r="P105" s="150">
        <f t="shared" si="295"/>
        <v>0.70118900306665954</v>
      </c>
      <c r="Q105" s="150">
        <f t="shared" si="295"/>
        <v>0.67486931650064108</v>
      </c>
      <c r="R105" s="150">
        <f t="shared" si="295"/>
        <v>0.61655332079293879</v>
      </c>
      <c r="S105" s="150">
        <f t="shared" ref="S105" si="296">S51/S25</f>
        <v>0.26273971014492753</v>
      </c>
      <c r="T105" s="118">
        <f t="shared" si="183"/>
        <v>-0.10540360644901703</v>
      </c>
      <c r="U105" s="150"/>
      <c r="V105" s="150">
        <f t="shared" ref="V105:AE105" si="297">V51/V25</f>
        <v>0.28849850525717535</v>
      </c>
      <c r="W105" s="150">
        <f t="shared" si="297"/>
        <v>0.3167826724392514</v>
      </c>
      <c r="X105" s="150">
        <f t="shared" si="297"/>
        <v>0.34783979718819763</v>
      </c>
      <c r="Y105" s="150">
        <f t="shared" si="297"/>
        <v>0.38194173808900134</v>
      </c>
      <c r="Z105" s="150">
        <f t="shared" si="297"/>
        <v>0.4193870065290996</v>
      </c>
      <c r="AA105" s="150">
        <f t="shared" si="297"/>
        <v>0.46050337971822708</v>
      </c>
      <c r="AB105" s="150">
        <f t="shared" si="297"/>
        <v>0.50565076988668067</v>
      </c>
      <c r="AC105" s="150">
        <f t="shared" si="297"/>
        <v>0.55522437477753173</v>
      </c>
      <c r="AD105" s="150">
        <f t="shared" si="297"/>
        <v>0.6096581370106231</v>
      </c>
      <c r="AE105" s="150">
        <f t="shared" si="297"/>
        <v>0.66942854259989992</v>
      </c>
      <c r="AF105" s="137">
        <f t="shared" ref="AF105:AF154" si="298">((AE105/I105)^(1/($AE$3-$J$1) ))-1</f>
        <v>-1.8929535709462986E-2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299">G55/G25</f>
        <v>1</v>
      </c>
      <c r="H106" s="150">
        <f t="shared" si="299"/>
        <v>1</v>
      </c>
      <c r="I106" s="150">
        <f t="shared" ref="I106:R106" si="300">I55/I25</f>
        <v>1</v>
      </c>
      <c r="J106" s="150">
        <f t="shared" si="300"/>
        <v>-0.42316258351893099</v>
      </c>
      <c r="K106" s="150">
        <f t="shared" si="300"/>
        <v>-2.6343519494204427E-2</v>
      </c>
      <c r="L106" s="150">
        <f t="shared" si="300"/>
        <v>0.40069860279441116</v>
      </c>
      <c r="M106" s="150">
        <f t="shared" si="300"/>
        <v>0.51218323586744641</v>
      </c>
      <c r="N106" s="150">
        <f t="shared" si="300"/>
        <v>0.60711204830825261</v>
      </c>
      <c r="O106" s="150">
        <f t="shared" si="300"/>
        <v>0.62387989309856939</v>
      </c>
      <c r="P106" s="150">
        <f t="shared" si="300"/>
        <v>0.64862538333243669</v>
      </c>
      <c r="Q106" s="150">
        <f t="shared" si="300"/>
        <v>0.61302889831344309</v>
      </c>
      <c r="R106" s="150">
        <f t="shared" si="300"/>
        <v>0.32404861814498626</v>
      </c>
      <c r="S106" s="150">
        <f t="shared" ref="S106" si="301">S55/S25</f>
        <v>-1.093551304347826</v>
      </c>
      <c r="T106" s="118" t="e">
        <f t="shared" si="183"/>
        <v>#NUM!</v>
      </c>
      <c r="U106" s="150"/>
      <c r="V106" s="150">
        <f t="shared" ref="V106:AE106" si="302">V55/V25</f>
        <v>-1.2007622165387895</v>
      </c>
      <c r="W106" s="150">
        <f t="shared" si="302"/>
        <v>-1.3184840024739648</v>
      </c>
      <c r="X106" s="150">
        <f t="shared" si="302"/>
        <v>-1.4477471399714121</v>
      </c>
      <c r="Y106" s="150">
        <f t="shared" si="302"/>
        <v>-1.5896831340862565</v>
      </c>
      <c r="Z106" s="150">
        <f t="shared" si="302"/>
        <v>-1.7455344217417721</v>
      </c>
      <c r="AA106" s="150">
        <f t="shared" si="302"/>
        <v>-1.9166652474027304</v>
      </c>
      <c r="AB106" s="150">
        <f t="shared" si="302"/>
        <v>-2.1045736049912334</v>
      </c>
      <c r="AC106" s="150">
        <f t="shared" si="302"/>
        <v>-2.3109043505786095</v>
      </c>
      <c r="AD106" s="150">
        <f t="shared" si="302"/>
        <v>-2.5374636006353359</v>
      </c>
      <c r="AE106" s="150">
        <f t="shared" si="302"/>
        <v>-2.7862345418740948</v>
      </c>
      <c r="AF106" s="137">
        <f t="shared" si="298"/>
        <v>-2.0500048805183706</v>
      </c>
      <c r="AG106" s="145"/>
      <c r="AH106" s="145"/>
    </row>
    <row r="107" spans="2:34">
      <c r="B107" s="20" t="s">
        <v>355</v>
      </c>
      <c r="C107" s="150"/>
      <c r="D107" s="150"/>
      <c r="E107" s="150"/>
      <c r="F107" s="150"/>
      <c r="G107" s="150">
        <f t="shared" ref="G107:H107" si="303">G55/G7</f>
        <v>1</v>
      </c>
      <c r="H107" s="150">
        <f t="shared" si="303"/>
        <v>1</v>
      </c>
      <c r="I107" s="150">
        <f>I55/I7</f>
        <v>1</v>
      </c>
      <c r="J107" s="150">
        <f t="shared" ref="J107:Q107" si="304">J55/J7</f>
        <v>-6.4890710382513664E-4</v>
      </c>
      <c r="K107" s="150">
        <f t="shared" si="304"/>
        <v>-8.4932903006624768E-4</v>
      </c>
      <c r="L107" s="150">
        <f t="shared" si="304"/>
        <v>2.448021462105969E-2</v>
      </c>
      <c r="M107" s="150">
        <f t="shared" si="304"/>
        <v>3.1032242825085626E-2</v>
      </c>
      <c r="N107" s="150">
        <f t="shared" si="304"/>
        <v>0.15719852083488448</v>
      </c>
      <c r="O107" s="150">
        <f t="shared" si="304"/>
        <v>0.16435434440487037</v>
      </c>
      <c r="P107" s="150">
        <f t="shared" si="304"/>
        <v>0.25274935151216693</v>
      </c>
      <c r="Q107" s="150">
        <f t="shared" si="304"/>
        <v>0.21642843463272804</v>
      </c>
      <c r="R107" s="150">
        <f t="shared" ref="R107:S107" si="305">R55/R7</f>
        <v>7.608289451333447E-2</v>
      </c>
      <c r="S107" s="150">
        <f t="shared" si="305"/>
        <v>-0.19330791933103786</v>
      </c>
      <c r="T107" s="118" t="e">
        <f t="shared" si="183"/>
        <v>#NUM!</v>
      </c>
      <c r="U107" s="20"/>
      <c r="V107" s="150">
        <f t="shared" ref="V107" si="306">V55/V7</f>
        <v>-0.19330791933103783</v>
      </c>
      <c r="W107" s="150">
        <f t="shared" ref="W107:AE107" si="307">W55/W7</f>
        <v>-0.1933079193310378</v>
      </c>
      <c r="X107" s="150">
        <f t="shared" si="307"/>
        <v>-0.19330791933103783</v>
      </c>
      <c r="Y107" s="150">
        <f t="shared" si="307"/>
        <v>-0.1933079193310378</v>
      </c>
      <c r="Z107" s="150">
        <f t="shared" si="307"/>
        <v>-0.19330791933103778</v>
      </c>
      <c r="AA107" s="150">
        <f t="shared" si="307"/>
        <v>-0.1933079193310378</v>
      </c>
      <c r="AB107" s="150">
        <f t="shared" si="307"/>
        <v>-0.19330791933103778</v>
      </c>
      <c r="AC107" s="150">
        <f t="shared" si="307"/>
        <v>-0.19330791933103778</v>
      </c>
      <c r="AD107" s="150">
        <f t="shared" si="307"/>
        <v>-0.1933079193310378</v>
      </c>
      <c r="AE107" s="150">
        <f t="shared" si="307"/>
        <v>-0.1933079193310378</v>
      </c>
      <c r="AF107" s="137">
        <f t="shared" si="298"/>
        <v>-1.9247234859998352</v>
      </c>
      <c r="AG107" s="145"/>
      <c r="AH107" s="145"/>
    </row>
    <row r="108" spans="2:34">
      <c r="B108" s="20" t="s">
        <v>356</v>
      </c>
      <c r="C108" s="150"/>
      <c r="D108" s="150"/>
      <c r="E108" s="150"/>
      <c r="F108" s="150"/>
      <c r="G108" s="150">
        <f t="shared" ref="G108:H108" si="308">(G55)/(G7+G10)</f>
        <v>0.5</v>
      </c>
      <c r="H108" s="150">
        <f t="shared" si="308"/>
        <v>0.5</v>
      </c>
      <c r="I108" s="150">
        <f>(I55)/(I7+I10)</f>
        <v>0.5</v>
      </c>
      <c r="J108" s="150">
        <f t="shared" ref="J108:Q108" si="309">(J55)/(J7+J10)</f>
        <v>-6.484641638225256E-4</v>
      </c>
      <c r="K108" s="150">
        <f t="shared" si="309"/>
        <v>-8.4042088277809523E-4</v>
      </c>
      <c r="L108" s="150">
        <f t="shared" si="309"/>
        <v>2.1610420367081114E-2</v>
      </c>
      <c r="M108" s="150">
        <f t="shared" si="309"/>
        <v>2.8201137705269937E-2</v>
      </c>
      <c r="N108" s="150">
        <f t="shared" si="309"/>
        <v>0.14741888935437322</v>
      </c>
      <c r="O108" s="150">
        <f t="shared" si="309"/>
        <v>0.16435434440487037</v>
      </c>
      <c r="P108" s="150">
        <f t="shared" si="309"/>
        <v>0.25274935151216693</v>
      </c>
      <c r="Q108" s="150">
        <f t="shared" si="309"/>
        <v>0.21642843463272804</v>
      </c>
      <c r="R108" s="150">
        <f t="shared" ref="R108:S108" si="310">(R55)/(R7+R10)</f>
        <v>7.608289451333447E-2</v>
      </c>
      <c r="S108" s="150">
        <f t="shared" si="310"/>
        <v>-0.19330791933103786</v>
      </c>
      <c r="T108" s="118" t="e">
        <f t="shared" si="183"/>
        <v>#NUM!</v>
      </c>
      <c r="U108" s="20"/>
      <c r="V108" s="150">
        <f t="shared" ref="V108:AE108" si="311">(V55)/(V7+V10)</f>
        <v>-0.19330791933103783</v>
      </c>
      <c r="W108" s="150">
        <f t="shared" si="311"/>
        <v>-0.1933079193310378</v>
      </c>
      <c r="X108" s="150">
        <f t="shared" si="311"/>
        <v>-0.19330791933103783</v>
      </c>
      <c r="Y108" s="150">
        <f t="shared" si="311"/>
        <v>-0.1933079193310378</v>
      </c>
      <c r="Z108" s="150">
        <f t="shared" si="311"/>
        <v>-0.19330791933103778</v>
      </c>
      <c r="AA108" s="150">
        <f t="shared" si="311"/>
        <v>-0.1933079193310378</v>
      </c>
      <c r="AB108" s="150">
        <f t="shared" si="311"/>
        <v>-0.19330791933103778</v>
      </c>
      <c r="AC108" s="150">
        <f t="shared" si="311"/>
        <v>-0.19330791933103778</v>
      </c>
      <c r="AD108" s="150">
        <f t="shared" si="311"/>
        <v>-0.1933079193310378</v>
      </c>
      <c r="AE108" s="150">
        <f t="shared" si="311"/>
        <v>-0.1933079193310378</v>
      </c>
      <c r="AF108" s="137">
        <f t="shared" si="298"/>
        <v>-1.9557551560845199</v>
      </c>
      <c r="AG108" s="145"/>
      <c r="AH108" s="145"/>
    </row>
    <row r="109" spans="2:34">
      <c r="B109" s="20" t="s">
        <v>372</v>
      </c>
      <c r="C109" s="150"/>
      <c r="D109" s="150"/>
      <c r="E109" s="150"/>
      <c r="F109" s="150"/>
      <c r="G109" s="150">
        <f t="shared" ref="G109:H109" si="312">G20/G25</f>
        <v>1</v>
      </c>
      <c r="H109" s="150">
        <f t="shared" si="312"/>
        <v>0</v>
      </c>
      <c r="I109" s="150">
        <f>I20/I25</f>
        <v>-1.32</v>
      </c>
      <c r="J109" s="150">
        <f t="shared" ref="J109:R109" si="313">J20/J25</f>
        <v>-0.267260579064588</v>
      </c>
      <c r="K109" s="150">
        <f t="shared" si="313"/>
        <v>-1.2644889357218124E-2</v>
      </c>
      <c r="L109" s="150">
        <f t="shared" si="313"/>
        <v>-1.7465069860279441E-2</v>
      </c>
      <c r="M109" s="150">
        <f t="shared" si="313"/>
        <v>-3.8499025341130602E-2</v>
      </c>
      <c r="N109" s="150">
        <f t="shared" si="313"/>
        <v>-5.0800345058947573E-3</v>
      </c>
      <c r="O109" s="150">
        <f t="shared" si="313"/>
        <v>-9.5110831630246823E-3</v>
      </c>
      <c r="P109" s="150">
        <f t="shared" si="313"/>
        <v>0.73164039382364021</v>
      </c>
      <c r="Q109" s="150">
        <f t="shared" si="313"/>
        <v>0.24223296183055529</v>
      </c>
      <c r="R109" s="150">
        <f t="shared" si="313"/>
        <v>0.68875705397192877</v>
      </c>
      <c r="S109" s="150">
        <f t="shared" ref="S109" si="314">S20/S25</f>
        <v>0</v>
      </c>
      <c r="T109" s="118">
        <f t="shared" si="183"/>
        <v>-1</v>
      </c>
      <c r="U109" s="20"/>
      <c r="V109" s="150">
        <f t="shared" ref="V109:AE109" si="315">V20/V25</f>
        <v>0</v>
      </c>
      <c r="W109" s="150">
        <f t="shared" si="315"/>
        <v>0</v>
      </c>
      <c r="X109" s="150">
        <f t="shared" si="315"/>
        <v>0</v>
      </c>
      <c r="Y109" s="150">
        <f t="shared" si="315"/>
        <v>0</v>
      </c>
      <c r="Z109" s="150">
        <f t="shared" si="315"/>
        <v>0</v>
      </c>
      <c r="AA109" s="150">
        <f t="shared" si="315"/>
        <v>0</v>
      </c>
      <c r="AB109" s="150">
        <f t="shared" si="315"/>
        <v>0</v>
      </c>
      <c r="AC109" s="150">
        <f t="shared" si="315"/>
        <v>0</v>
      </c>
      <c r="AD109" s="150">
        <f t="shared" si="315"/>
        <v>0</v>
      </c>
      <c r="AE109" s="150">
        <f t="shared" si="315"/>
        <v>0</v>
      </c>
      <c r="AF109" s="137">
        <f t="shared" si="298"/>
        <v>-1</v>
      </c>
      <c r="AG109" s="145"/>
      <c r="AH109" s="145"/>
    </row>
    <row r="110" spans="2:34">
      <c r="B110" s="20" t="s">
        <v>424</v>
      </c>
      <c r="C110" s="150"/>
      <c r="D110" s="150"/>
      <c r="E110" s="150"/>
      <c r="F110" s="150"/>
      <c r="G110" s="150">
        <f t="shared" ref="G110:H110" si="316">G68/G25</f>
        <v>0</v>
      </c>
      <c r="H110" s="150">
        <f t="shared" si="316"/>
        <v>-1</v>
      </c>
      <c r="I110" s="150">
        <f>I68/I25</f>
        <v>-1</v>
      </c>
      <c r="J110" s="150">
        <f t="shared" ref="J110:R110" si="317">J68/J25</f>
        <v>0.133630289532294</v>
      </c>
      <c r="K110" s="150">
        <f t="shared" si="317"/>
        <v>0.15911485774499473</v>
      </c>
      <c r="L110" s="150">
        <f t="shared" si="317"/>
        <v>0.10678642714570859</v>
      </c>
      <c r="M110" s="150">
        <f t="shared" si="317"/>
        <v>-2.046783625730994E-2</v>
      </c>
      <c r="N110" s="150">
        <f t="shared" si="317"/>
        <v>5.329243745806575E-2</v>
      </c>
      <c r="O110" s="150">
        <f t="shared" si="317"/>
        <v>3.8201540638264427E-2</v>
      </c>
      <c r="P110" s="150">
        <f t="shared" si="317"/>
        <v>5.2725022865443586E-3</v>
      </c>
      <c r="Q110" s="150">
        <f t="shared" si="317"/>
        <v>2.0613472729065982E-2</v>
      </c>
      <c r="R110" s="150">
        <f t="shared" si="317"/>
        <v>4.5579510924612938E-2</v>
      </c>
      <c r="S110" s="150">
        <f t="shared" ref="S110" si="318">S68/S25</f>
        <v>-1.298550724638609E-4</v>
      </c>
      <c r="T110" s="118" t="e">
        <f t="shared" si="183"/>
        <v>#DIV/0!</v>
      </c>
      <c r="U110" s="20"/>
      <c r="V110" s="150">
        <f t="shared" ref="V110:AE110" si="319">V68/V25</f>
        <v>-1.4258596192118488E-4</v>
      </c>
      <c r="W110" s="150">
        <f t="shared" si="319"/>
        <v>-1.5656497779580273E-4</v>
      </c>
      <c r="X110" s="150">
        <f t="shared" si="319"/>
        <v>-1.719144854227627E-4</v>
      </c>
      <c r="Y110" s="150">
        <f t="shared" si="319"/>
        <v>-1.8876884673869643E-4</v>
      </c>
      <c r="Z110" s="150">
        <f t="shared" si="319"/>
        <v>-2.0727559641883856E-4</v>
      </c>
      <c r="AA110" s="150">
        <f t="shared" si="319"/>
        <v>-2.2759673332270618E-4</v>
      </c>
      <c r="AB110" s="150">
        <f t="shared" si="319"/>
        <v>-2.4991013855021682E-4</v>
      </c>
      <c r="AC110" s="150">
        <f t="shared" si="319"/>
        <v>-2.7441113252558427E-4</v>
      </c>
      <c r="AD110" s="150">
        <f t="shared" si="319"/>
        <v>-3.0131418473413018E-4</v>
      </c>
      <c r="AE110" s="150">
        <f t="shared" si="319"/>
        <v>-3.3085479108082113E-4</v>
      </c>
      <c r="AF110" s="137">
        <f t="shared" si="298"/>
        <v>-0.31723940380974425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319</v>
      </c>
      <c r="C112" s="150"/>
      <c r="D112" s="150"/>
      <c r="E112" s="150"/>
      <c r="F112" s="150"/>
      <c r="G112" s="150">
        <f t="shared" ref="G112:H112" si="320">G29/G25</f>
        <v>0.1</v>
      </c>
      <c r="H112" s="150">
        <f t="shared" si="320"/>
        <v>0</v>
      </c>
      <c r="I112" s="150">
        <f>I29/I25</f>
        <v>0</v>
      </c>
      <c r="J112" s="150">
        <f t="shared" ref="J112:R112" si="321">J29/J25</f>
        <v>6.0133630289532303E-3</v>
      </c>
      <c r="K112" s="150">
        <f t="shared" si="321"/>
        <v>2.8451001053740781E-3</v>
      </c>
      <c r="L112" s="150">
        <f t="shared" si="321"/>
        <v>2.9940119760479044E-3</v>
      </c>
      <c r="M112" s="150">
        <f t="shared" si="321"/>
        <v>8.771929824561403E-3</v>
      </c>
      <c r="N112" s="150">
        <f t="shared" si="321"/>
        <v>2.8754912297517494E-2</v>
      </c>
      <c r="O112" s="150">
        <f t="shared" si="321"/>
        <v>1.7764502436723787E-2</v>
      </c>
      <c r="P112" s="150">
        <f t="shared" si="321"/>
        <v>3.7122720180771509E-3</v>
      </c>
      <c r="Q112" s="150">
        <f t="shared" si="321"/>
        <v>2.0712101785185914E-3</v>
      </c>
      <c r="R112" s="150">
        <f t="shared" si="321"/>
        <v>1.4469686007813631E-3</v>
      </c>
      <c r="S112" s="150">
        <f t="shared" ref="S112" si="322">S29/S25</f>
        <v>3.1257971014492757E-3</v>
      </c>
      <c r="T112" s="118">
        <f t="shared" si="183"/>
        <v>-0.25083053938644073</v>
      </c>
      <c r="U112" s="20"/>
      <c r="V112" s="150">
        <f t="shared" ref="V112:AE112" si="323">V29/V25</f>
        <v>3.4322477976697929E-3</v>
      </c>
      <c r="W112" s="150">
        <f t="shared" si="323"/>
        <v>3.7687426797942823E-3</v>
      </c>
      <c r="X112" s="150">
        <f t="shared" si="323"/>
        <v>4.1382272562447029E-3</v>
      </c>
      <c r="Y112" s="150">
        <f t="shared" si="323"/>
        <v>4.5439358107784971E-3</v>
      </c>
      <c r="Z112" s="150">
        <f t="shared" si="323"/>
        <v>4.9894197137959973E-3</v>
      </c>
      <c r="AA112" s="150">
        <f t="shared" si="323"/>
        <v>5.4785785092661939E-3</v>
      </c>
      <c r="AB112" s="150">
        <f t="shared" si="323"/>
        <v>6.0156940493903306E-3</v>
      </c>
      <c r="AC112" s="150">
        <f t="shared" si="323"/>
        <v>6.6054679758011468E-3</v>
      </c>
      <c r="AD112" s="150">
        <f t="shared" si="323"/>
        <v>7.2530628753894955E-3</v>
      </c>
      <c r="AE112" s="150">
        <f t="shared" si="323"/>
        <v>7.9641474710159168E-3</v>
      </c>
      <c r="AF112" s="137" t="e">
        <f t="shared" si="298"/>
        <v>#DIV/0!</v>
      </c>
      <c r="AG112" s="145"/>
      <c r="AH112" s="145"/>
    </row>
    <row r="113" spans="1:34">
      <c r="B113" s="20" t="s">
        <v>365</v>
      </c>
      <c r="C113" s="150"/>
      <c r="D113" s="150"/>
      <c r="E113" s="150"/>
      <c r="F113" s="150"/>
      <c r="G113" s="150">
        <f t="shared" ref="G113:H113" si="324">G29/G51</f>
        <v>0.1</v>
      </c>
      <c r="H113" s="150">
        <f t="shared" si="324"/>
        <v>0</v>
      </c>
      <c r="I113" s="150">
        <f>I29/I51</f>
        <v>0</v>
      </c>
      <c r="J113" s="150">
        <f t="shared" ref="J113:R113" si="325">J29/J51</f>
        <v>-1.5000000000000001E-2</v>
      </c>
      <c r="K113" s="150">
        <f t="shared" si="325"/>
        <v>1.3775510204081633E-2</v>
      </c>
      <c r="L113" s="150">
        <f t="shared" si="325"/>
        <v>1.5267175572519083E-2</v>
      </c>
      <c r="M113" s="150">
        <f t="shared" si="325"/>
        <v>2.4861878453038673E-2</v>
      </c>
      <c r="N113" s="150">
        <f t="shared" si="325"/>
        <v>3.6346014053792099E-2</v>
      </c>
      <c r="O113" s="150">
        <f t="shared" si="325"/>
        <v>2.442187162308191E-2</v>
      </c>
      <c r="P113" s="150">
        <f t="shared" si="325"/>
        <v>5.294253049950127E-3</v>
      </c>
      <c r="Q113" s="150">
        <f t="shared" si="325"/>
        <v>3.0690537084398979E-3</v>
      </c>
      <c r="R113" s="150">
        <f t="shared" si="325"/>
        <v>2.3468669326449192E-3</v>
      </c>
      <c r="S113" s="150">
        <f t="shared" ref="S113" si="326">S29/S51</f>
        <v>1.1896934421237969E-2</v>
      </c>
      <c r="T113" s="118">
        <f t="shared" si="183"/>
        <v>-0.16256150146120152</v>
      </c>
      <c r="U113" s="20"/>
      <c r="V113" s="150">
        <f t="shared" ref="V113:AE113" si="327">V29/V51</f>
        <v>1.1896934421237969E-2</v>
      </c>
      <c r="W113" s="150">
        <f t="shared" si="327"/>
        <v>1.1896934421237968E-2</v>
      </c>
      <c r="X113" s="150">
        <f t="shared" si="327"/>
        <v>1.1896934421237969E-2</v>
      </c>
      <c r="Y113" s="150">
        <f t="shared" si="327"/>
        <v>1.1896934421237969E-2</v>
      </c>
      <c r="Z113" s="150">
        <f t="shared" si="327"/>
        <v>1.1896934421237968E-2</v>
      </c>
      <c r="AA113" s="150">
        <f t="shared" si="327"/>
        <v>1.1896934421237968E-2</v>
      </c>
      <c r="AB113" s="150">
        <f t="shared" si="327"/>
        <v>1.1896934421237968E-2</v>
      </c>
      <c r="AC113" s="150">
        <f t="shared" si="327"/>
        <v>1.1896934421237966E-2</v>
      </c>
      <c r="AD113" s="150">
        <f t="shared" si="327"/>
        <v>1.1896934421237968E-2</v>
      </c>
      <c r="AE113" s="150">
        <f t="shared" si="327"/>
        <v>1.1896934421237968E-2</v>
      </c>
      <c r="AF113" s="137" t="e">
        <f t="shared" ref="AF113" si="328">((AE113/I113)^(1/($AE$3-$J$1) ))-1</f>
        <v>#DIV/0!</v>
      </c>
      <c r="AG113" s="145"/>
      <c r="AH113" s="145"/>
    </row>
    <row r="114" spans="1:34" ht="12" customHeight="1">
      <c r="B114" s="20" t="s">
        <v>364</v>
      </c>
      <c r="C114" s="150"/>
      <c r="D114" s="150"/>
      <c r="E114" s="150"/>
      <c r="F114" s="150"/>
      <c r="G114" s="169">
        <f t="shared" ref="G114:H114" si="329">G29/G55</f>
        <v>0.1</v>
      </c>
      <c r="H114" s="169">
        <f t="shared" si="329"/>
        <v>0</v>
      </c>
      <c r="I114" s="169">
        <f t="shared" ref="I114:R114" si="330">I29/I55</f>
        <v>0</v>
      </c>
      <c r="J114" s="169">
        <f t="shared" si="330"/>
        <v>-1.4210526315789474E-2</v>
      </c>
      <c r="K114" s="169">
        <f t="shared" si="330"/>
        <v>-0.10800000000000001</v>
      </c>
      <c r="L114" s="169">
        <f t="shared" si="330"/>
        <v>7.4719800747198011E-3</v>
      </c>
      <c r="M114" s="169">
        <f t="shared" si="330"/>
        <v>1.7126546146527116E-2</v>
      </c>
      <c r="N114" s="169">
        <f t="shared" si="330"/>
        <v>4.7363435427849702E-2</v>
      </c>
      <c r="O114" s="169">
        <f t="shared" si="330"/>
        <v>2.8474234597454958E-2</v>
      </c>
      <c r="P114" s="169">
        <f t="shared" si="330"/>
        <v>5.7232913072329129E-3</v>
      </c>
      <c r="Q114" s="169">
        <f t="shared" si="330"/>
        <v>3.3786501488214946E-3</v>
      </c>
      <c r="R114" s="169">
        <f t="shared" si="330"/>
        <v>4.4652824291136414E-3</v>
      </c>
      <c r="S114" s="169">
        <f t="shared" ref="S114" si="331">S29/S55</f>
        <v>-2.8583909040403401E-3</v>
      </c>
      <c r="T114" s="118" t="e">
        <f t="shared" si="183"/>
        <v>#NUM!</v>
      </c>
      <c r="U114" s="20"/>
      <c r="V114" s="169">
        <f t="shared" ref="V114:AE114" si="332">V29/V55</f>
        <v>-2.8583909040403401E-3</v>
      </c>
      <c r="W114" s="169">
        <f t="shared" si="332"/>
        <v>-2.8583909040403406E-3</v>
      </c>
      <c r="X114" s="169">
        <f t="shared" si="332"/>
        <v>-2.8583909040403406E-3</v>
      </c>
      <c r="Y114" s="169">
        <f t="shared" si="332"/>
        <v>-2.858390904040341E-3</v>
      </c>
      <c r="Z114" s="169">
        <f t="shared" si="332"/>
        <v>-2.858390904040341E-3</v>
      </c>
      <c r="AA114" s="169">
        <f t="shared" si="332"/>
        <v>-2.8583909040403406E-3</v>
      </c>
      <c r="AB114" s="169">
        <f t="shared" si="332"/>
        <v>-2.8583909040403406E-3</v>
      </c>
      <c r="AC114" s="169">
        <f t="shared" si="332"/>
        <v>-2.8583909040403401E-3</v>
      </c>
      <c r="AD114" s="169">
        <f t="shared" si="332"/>
        <v>-2.8583909040403406E-3</v>
      </c>
      <c r="AE114" s="169">
        <f t="shared" si="332"/>
        <v>-2.8583909040403406E-3</v>
      </c>
      <c r="AF114" s="137" t="e">
        <f t="shared" ref="AF114" si="333">((AE114/I114)^(1/($AE$3-$J$1) ))-1</f>
        <v>#DIV/0!</v>
      </c>
      <c r="AG114" s="145"/>
      <c r="AH114" s="145"/>
    </row>
    <row r="115" spans="1:34" ht="12" customHeight="1">
      <c r="B115" s="20" t="s">
        <v>321</v>
      </c>
      <c r="C115" s="150"/>
      <c r="D115" s="150"/>
      <c r="E115" s="150"/>
      <c r="F115" s="150"/>
      <c r="G115" s="169">
        <f t="shared" ref="G115:H115" si="334">G29/G12</f>
        <v>0.1</v>
      </c>
      <c r="H115" s="169">
        <f t="shared" si="334"/>
        <v>0</v>
      </c>
      <c r="I115" s="169">
        <f t="shared" ref="I115:R115" si="335">I29/I12</f>
        <v>0</v>
      </c>
      <c r="J115" s="169">
        <f t="shared" si="335"/>
        <v>5.1107325383304946E-5</v>
      </c>
      <c r="K115" s="169">
        <f t="shared" si="335"/>
        <v>4.5000000000000005E-2</v>
      </c>
      <c r="L115" s="169">
        <f t="shared" si="335"/>
        <v>0.2608695652173913</v>
      </c>
      <c r="M115" s="169">
        <f t="shared" si="335"/>
        <v>1.9459459459459458E-2</v>
      </c>
      <c r="N115" s="169">
        <f t="shared" si="335"/>
        <v>6.7781292363307724E-2</v>
      </c>
      <c r="O115" s="169">
        <f t="shared" si="335"/>
        <v>3.2225866248395837E-2</v>
      </c>
      <c r="P115" s="169">
        <f t="shared" si="335"/>
        <v>1.2419006479481642E-2</v>
      </c>
      <c r="Q115" s="169">
        <f t="shared" si="335"/>
        <v>2.383654937570942E-2</v>
      </c>
      <c r="R115" s="169">
        <f t="shared" si="335"/>
        <v>2.3501762632197415E-2</v>
      </c>
      <c r="S115" s="169">
        <f t="shared" ref="S115" si="336">S29/S12</f>
        <v>1.1303983228511531E-2</v>
      </c>
      <c r="T115" s="118">
        <f t="shared" si="183"/>
        <v>-0.16612179019038864</v>
      </c>
      <c r="U115" s="20"/>
      <c r="V115" s="150">
        <f t="shared" ref="V115:AE115" si="337">V29/V12</f>
        <v>1.1303983228511531E-2</v>
      </c>
      <c r="W115" s="150">
        <f t="shared" si="337"/>
        <v>1.1303983228511531E-2</v>
      </c>
      <c r="X115" s="150">
        <f t="shared" si="337"/>
        <v>1.1303983228511533E-2</v>
      </c>
      <c r="Y115" s="150">
        <f t="shared" si="337"/>
        <v>1.1303983228511533E-2</v>
      </c>
      <c r="Z115" s="150">
        <f t="shared" si="337"/>
        <v>1.1303983228511531E-2</v>
      </c>
      <c r="AA115" s="150">
        <f t="shared" si="337"/>
        <v>1.1303983228511531E-2</v>
      </c>
      <c r="AB115" s="150">
        <f t="shared" si="337"/>
        <v>1.1303983228511531E-2</v>
      </c>
      <c r="AC115" s="150">
        <f t="shared" si="337"/>
        <v>1.1303983228511529E-2</v>
      </c>
      <c r="AD115" s="150">
        <f t="shared" si="337"/>
        <v>1.1303983228511531E-2</v>
      </c>
      <c r="AE115" s="150">
        <f t="shared" si="337"/>
        <v>1.1303983228511529E-2</v>
      </c>
      <c r="AF115" s="137" t="e">
        <f t="shared" si="298"/>
        <v>#DIV/0!</v>
      </c>
      <c r="AG115" s="145"/>
      <c r="AH115" s="145"/>
    </row>
    <row r="116" spans="1:34" ht="12" customHeight="1">
      <c r="B116" s="20" t="s">
        <v>366</v>
      </c>
      <c r="C116" s="150"/>
      <c r="D116" s="150"/>
      <c r="E116" s="150"/>
      <c r="F116" s="150"/>
      <c r="G116" s="169">
        <f t="shared" ref="G116:H116" si="338">G29/G23</f>
        <v>0.1</v>
      </c>
      <c r="H116" s="169" t="e">
        <f t="shared" si="338"/>
        <v>#DIV/0!</v>
      </c>
      <c r="I116" s="169">
        <f>I29/I23</f>
        <v>0</v>
      </c>
      <c r="J116" s="169">
        <f t="shared" ref="J116:R116" si="339">J29/J23</f>
        <v>0.34615384615384615</v>
      </c>
      <c r="K116" s="169">
        <f t="shared" si="339"/>
        <v>3.4615384615384617</v>
      </c>
      <c r="L116" s="169">
        <f t="shared" si="339"/>
        <v>0.9375</v>
      </c>
      <c r="M116" s="169">
        <f t="shared" si="339"/>
        <v>41.860465116279073</v>
      </c>
      <c r="N116" s="169">
        <f t="shared" si="339"/>
        <v>5.7471264367816088</v>
      </c>
      <c r="O116" s="169">
        <f t="shared" si="339"/>
        <v>2.7228915662650603</v>
      </c>
      <c r="P116" s="169">
        <f t="shared" si="339"/>
        <v>68.316831683168317</v>
      </c>
      <c r="Q116" s="169">
        <f t="shared" si="339"/>
        <v>2.3333333333333335</v>
      </c>
      <c r="R116" s="169">
        <f t="shared" si="339"/>
        <v>8.771929824561403E-2</v>
      </c>
      <c r="S116" s="169" t="e">
        <f t="shared" ref="S116" si="340">S29/S23</f>
        <v>#DIV/0!</v>
      </c>
      <c r="T116" s="118" t="e">
        <f t="shared" si="183"/>
        <v>#DIV/0!</v>
      </c>
      <c r="U116" s="20"/>
      <c r="V116" s="169" t="e">
        <f t="shared" ref="V116:AE116" si="341">V29/V23</f>
        <v>#DIV/0!</v>
      </c>
      <c r="W116" s="169" t="e">
        <f t="shared" si="341"/>
        <v>#DIV/0!</v>
      </c>
      <c r="X116" s="169" t="e">
        <f t="shared" si="341"/>
        <v>#DIV/0!</v>
      </c>
      <c r="Y116" s="169" t="e">
        <f t="shared" si="341"/>
        <v>#DIV/0!</v>
      </c>
      <c r="Z116" s="169" t="e">
        <f t="shared" si="341"/>
        <v>#DIV/0!</v>
      </c>
      <c r="AA116" s="169" t="e">
        <f t="shared" si="341"/>
        <v>#DIV/0!</v>
      </c>
      <c r="AB116" s="169" t="e">
        <f t="shared" si="341"/>
        <v>#DIV/0!</v>
      </c>
      <c r="AC116" s="169" t="e">
        <f t="shared" si="341"/>
        <v>#DIV/0!</v>
      </c>
      <c r="AD116" s="169" t="e">
        <f t="shared" si="341"/>
        <v>#DIV/0!</v>
      </c>
      <c r="AE116" s="169" t="e">
        <f t="shared" si="341"/>
        <v>#DIV/0!</v>
      </c>
      <c r="AF116" s="137" t="e">
        <f t="shared" ref="AF116" si="342">((AE116/I116)^(1/($AE$3-$J$1) ))-1</f>
        <v>#DIV/0!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398</v>
      </c>
      <c r="C118" s="150"/>
      <c r="D118" s="150"/>
      <c r="E118" s="150"/>
      <c r="F118" s="150"/>
      <c r="G118" s="127">
        <f t="shared" ref="G118:H118" si="343">1/G112</f>
        <v>10</v>
      </c>
      <c r="H118" s="127" t="e">
        <f t="shared" si="343"/>
        <v>#DIV/0!</v>
      </c>
      <c r="I118" s="127" t="e">
        <f>1/I112</f>
        <v>#DIV/0!</v>
      </c>
      <c r="J118" s="127">
        <f t="shared" ref="J118:R118" si="344">1/J112</f>
        <v>166.29629629629628</v>
      </c>
      <c r="K118" s="127">
        <f t="shared" si="344"/>
        <v>351.48148148148147</v>
      </c>
      <c r="L118" s="127">
        <f t="shared" si="344"/>
        <v>334</v>
      </c>
      <c r="M118" s="127">
        <f t="shared" si="344"/>
        <v>114</v>
      </c>
      <c r="N118" s="127">
        <f t="shared" si="344"/>
        <v>34.776666666666664</v>
      </c>
      <c r="O118" s="127">
        <f t="shared" si="344"/>
        <v>56.292035398230084</v>
      </c>
      <c r="P118" s="127">
        <f t="shared" si="344"/>
        <v>269.37681159420288</v>
      </c>
      <c r="Q118" s="127">
        <f t="shared" si="344"/>
        <v>482.80952380952385</v>
      </c>
      <c r="R118" s="127">
        <f t="shared" si="344"/>
        <v>691.1</v>
      </c>
      <c r="S118" s="127">
        <f t="shared" ref="S118" si="345">1/S112</f>
        <v>319.91839762611272</v>
      </c>
      <c r="T118" s="118">
        <f t="shared" si="183"/>
        <v>0.3348114846820025</v>
      </c>
      <c r="U118" s="20"/>
      <c r="V118" s="127">
        <f t="shared" ref="V118:AE118" si="346">1/V112</f>
        <v>291.35425498092411</v>
      </c>
      <c r="W118" s="127">
        <f t="shared" si="346"/>
        <v>265.34048221477013</v>
      </c>
      <c r="X118" s="127">
        <f t="shared" si="346"/>
        <v>241.6493677313085</v>
      </c>
      <c r="Y118" s="127">
        <f t="shared" si="346"/>
        <v>220.07353132672739</v>
      </c>
      <c r="Z118" s="127">
        <f t="shared" si="346"/>
        <v>200.424108886841</v>
      </c>
      <c r="AA118" s="127">
        <f t="shared" si="346"/>
        <v>182.52909916480161</v>
      </c>
      <c r="AB118" s="127">
        <f t="shared" si="346"/>
        <v>166.2318581679443</v>
      </c>
      <c r="AC118" s="127">
        <f t="shared" si="346"/>
        <v>151.38972797437788</v>
      </c>
      <c r="AD118" s="127">
        <f t="shared" si="346"/>
        <v>137.87278797666553</v>
      </c>
      <c r="AE118" s="127">
        <f t="shared" si="346"/>
        <v>125.56271762160611</v>
      </c>
      <c r="AF118" s="137" t="e">
        <f t="shared" si="298"/>
        <v>#DIV/0!</v>
      </c>
      <c r="AG118" s="145"/>
      <c r="AH118" s="145"/>
    </row>
    <row r="119" spans="1:34" ht="12" customHeight="1">
      <c r="B119" s="20" t="s">
        <v>399</v>
      </c>
      <c r="C119" s="150"/>
      <c r="D119" s="150"/>
      <c r="E119" s="150"/>
      <c r="F119" s="150"/>
      <c r="G119" s="127">
        <f t="shared" ref="G119:H119" si="347">1/G113</f>
        <v>10</v>
      </c>
      <c r="H119" s="127" t="e">
        <f t="shared" si="347"/>
        <v>#DIV/0!</v>
      </c>
      <c r="I119" s="127" t="e">
        <f t="shared" ref="I119:R122" si="348">1/I113</f>
        <v>#DIV/0!</v>
      </c>
      <c r="J119" s="127">
        <f t="shared" si="348"/>
        <v>-66.666666666666657</v>
      </c>
      <c r="K119" s="127">
        <f t="shared" si="348"/>
        <v>72.592592592592595</v>
      </c>
      <c r="L119" s="127">
        <f t="shared" si="348"/>
        <v>65.5</v>
      </c>
      <c r="M119" s="127">
        <f t="shared" si="348"/>
        <v>40.222222222222221</v>
      </c>
      <c r="N119" s="127">
        <f t="shared" si="348"/>
        <v>27.513333333333335</v>
      </c>
      <c r="O119" s="127">
        <f t="shared" si="348"/>
        <v>40.946902654867259</v>
      </c>
      <c r="P119" s="127">
        <f t="shared" si="348"/>
        <v>188.88405797101447</v>
      </c>
      <c r="Q119" s="127">
        <f t="shared" si="348"/>
        <v>325.83333333333331</v>
      </c>
      <c r="R119" s="127">
        <f t="shared" si="348"/>
        <v>426.09999999999997</v>
      </c>
      <c r="S119" s="127">
        <f t="shared" ref="S119" si="349">1/S113</f>
        <v>84.055267062314542</v>
      </c>
      <c r="T119" s="118">
        <f t="shared" si="183"/>
        <v>0.1941175402669526</v>
      </c>
      <c r="U119" s="20"/>
      <c r="V119" s="127">
        <f t="shared" ref="V119:AE119" si="350">1/V113</f>
        <v>84.055267062314542</v>
      </c>
      <c r="W119" s="127">
        <f t="shared" si="350"/>
        <v>84.055267062314556</v>
      </c>
      <c r="X119" s="127">
        <f t="shared" si="350"/>
        <v>84.055267062314542</v>
      </c>
      <c r="Y119" s="127">
        <f t="shared" si="350"/>
        <v>84.055267062314542</v>
      </c>
      <c r="Z119" s="127">
        <f t="shared" si="350"/>
        <v>84.055267062314556</v>
      </c>
      <c r="AA119" s="127">
        <f t="shared" si="350"/>
        <v>84.055267062314556</v>
      </c>
      <c r="AB119" s="127">
        <f t="shared" si="350"/>
        <v>84.055267062314556</v>
      </c>
      <c r="AC119" s="127">
        <f t="shared" si="350"/>
        <v>84.05526706231457</v>
      </c>
      <c r="AD119" s="127">
        <f t="shared" si="350"/>
        <v>84.055267062314556</v>
      </c>
      <c r="AE119" s="127">
        <f t="shared" si="350"/>
        <v>84.055267062314556</v>
      </c>
      <c r="AF119" s="137" t="e">
        <f t="shared" si="298"/>
        <v>#DIV/0!</v>
      </c>
      <c r="AG119" s="145"/>
      <c r="AH119" s="145"/>
    </row>
    <row r="120" spans="1:34" ht="12" customHeight="1">
      <c r="B120" s="20" t="s">
        <v>400</v>
      </c>
      <c r="C120" s="150"/>
      <c r="D120" s="150"/>
      <c r="E120" s="150"/>
      <c r="F120" s="150"/>
      <c r="G120" s="127">
        <f t="shared" ref="G120:H120" si="351">1/G114</f>
        <v>10</v>
      </c>
      <c r="H120" s="127" t="e">
        <f t="shared" si="351"/>
        <v>#DIV/0!</v>
      </c>
      <c r="I120" s="127" t="e">
        <f t="shared" si="348"/>
        <v>#DIV/0!</v>
      </c>
      <c r="J120" s="127">
        <f t="shared" si="348"/>
        <v>-70.370370370370367</v>
      </c>
      <c r="K120" s="127">
        <f t="shared" si="348"/>
        <v>-9.2592592592592577</v>
      </c>
      <c r="L120" s="127">
        <f t="shared" si="348"/>
        <v>133.83333333333331</v>
      </c>
      <c r="M120" s="127">
        <f t="shared" si="348"/>
        <v>58.388888888888893</v>
      </c>
      <c r="N120" s="127">
        <f t="shared" si="348"/>
        <v>21.113333333333333</v>
      </c>
      <c r="O120" s="127">
        <f t="shared" si="348"/>
        <v>35.119469026548671</v>
      </c>
      <c r="P120" s="127">
        <f t="shared" si="348"/>
        <v>174.72463768115944</v>
      </c>
      <c r="Q120" s="127">
        <f t="shared" si="348"/>
        <v>295.97619047619048</v>
      </c>
      <c r="R120" s="127">
        <f t="shared" si="348"/>
        <v>223.95</v>
      </c>
      <c r="S120" s="127">
        <f t="shared" ref="S120" si="352">1/S114</f>
        <v>-349.84718100890206</v>
      </c>
      <c r="T120" s="118" t="e">
        <f t="shared" si="183"/>
        <v>#NUM!</v>
      </c>
      <c r="U120" s="20"/>
      <c r="V120" s="127">
        <f t="shared" ref="V120:AE120" si="353">1/V114</f>
        <v>-349.84718100890206</v>
      </c>
      <c r="W120" s="127">
        <f t="shared" si="353"/>
        <v>-349.847181008902</v>
      </c>
      <c r="X120" s="127">
        <f t="shared" si="353"/>
        <v>-349.847181008902</v>
      </c>
      <c r="Y120" s="127">
        <f t="shared" si="353"/>
        <v>-349.84718100890194</v>
      </c>
      <c r="Z120" s="127">
        <f t="shared" si="353"/>
        <v>-349.84718100890194</v>
      </c>
      <c r="AA120" s="127">
        <f t="shared" si="353"/>
        <v>-349.847181008902</v>
      </c>
      <c r="AB120" s="127">
        <f t="shared" si="353"/>
        <v>-349.847181008902</v>
      </c>
      <c r="AC120" s="127">
        <f t="shared" si="353"/>
        <v>-349.84718100890206</v>
      </c>
      <c r="AD120" s="127">
        <f t="shared" si="353"/>
        <v>-349.847181008902</v>
      </c>
      <c r="AE120" s="127">
        <f t="shared" si="353"/>
        <v>-349.847181008902</v>
      </c>
      <c r="AF120" s="137" t="e">
        <f t="shared" si="298"/>
        <v>#DIV/0!</v>
      </c>
      <c r="AG120" s="145"/>
      <c r="AH120" s="145"/>
    </row>
    <row r="121" spans="1:34" ht="12" customHeight="1">
      <c r="B121" s="20" t="s">
        <v>401</v>
      </c>
      <c r="C121" s="150"/>
      <c r="D121" s="150"/>
      <c r="E121" s="150"/>
      <c r="F121" s="150"/>
      <c r="G121" s="127">
        <f t="shared" ref="G121:H121" si="354">1/G115</f>
        <v>10</v>
      </c>
      <c r="H121" s="127" t="e">
        <f t="shared" si="354"/>
        <v>#DIV/0!</v>
      </c>
      <c r="I121" s="127" t="e">
        <f t="shared" si="348"/>
        <v>#DIV/0!</v>
      </c>
      <c r="J121" s="127">
        <f t="shared" si="348"/>
        <v>19566.666666666664</v>
      </c>
      <c r="K121" s="127">
        <f t="shared" si="348"/>
        <v>22.222222222222218</v>
      </c>
      <c r="L121" s="127">
        <f t="shared" si="348"/>
        <v>3.8333333333333335</v>
      </c>
      <c r="M121" s="127">
        <f t="shared" si="348"/>
        <v>51.388888888888893</v>
      </c>
      <c r="N121" s="127">
        <f t="shared" si="348"/>
        <v>14.753333333333334</v>
      </c>
      <c r="O121" s="127">
        <f t="shared" si="348"/>
        <v>31.030973451327434</v>
      </c>
      <c r="P121" s="127">
        <f t="shared" si="348"/>
        <v>80.521739130434781</v>
      </c>
      <c r="Q121" s="127">
        <f t="shared" si="348"/>
        <v>41.952380952380956</v>
      </c>
      <c r="R121" s="127">
        <f t="shared" si="348"/>
        <v>42.55</v>
      </c>
      <c r="S121" s="127">
        <f t="shared" ref="S121" si="355">1/S115</f>
        <v>88.464391691394653</v>
      </c>
      <c r="T121" s="118">
        <f t="shared" si="183"/>
        <v>0.19921589056550237</v>
      </c>
      <c r="U121" s="20"/>
      <c r="V121" s="127">
        <f t="shared" ref="V121:AE121" si="356">1/V115</f>
        <v>88.464391691394653</v>
      </c>
      <c r="W121" s="127">
        <f t="shared" si="356"/>
        <v>88.464391691394653</v>
      </c>
      <c r="X121" s="127">
        <f t="shared" si="356"/>
        <v>88.464391691394638</v>
      </c>
      <c r="Y121" s="127">
        <f t="shared" si="356"/>
        <v>88.464391691394638</v>
      </c>
      <c r="Z121" s="127">
        <f t="shared" si="356"/>
        <v>88.464391691394653</v>
      </c>
      <c r="AA121" s="127">
        <f t="shared" si="356"/>
        <v>88.464391691394653</v>
      </c>
      <c r="AB121" s="127">
        <f t="shared" si="356"/>
        <v>88.464391691394653</v>
      </c>
      <c r="AC121" s="127">
        <f t="shared" si="356"/>
        <v>88.464391691394667</v>
      </c>
      <c r="AD121" s="127">
        <f t="shared" si="356"/>
        <v>88.464391691394653</v>
      </c>
      <c r="AE121" s="127">
        <f t="shared" si="356"/>
        <v>88.464391691394667</v>
      </c>
      <c r="AF121" s="137" t="e">
        <f t="shared" si="298"/>
        <v>#DIV/0!</v>
      </c>
      <c r="AG121" s="145"/>
      <c r="AH121" s="145"/>
    </row>
    <row r="122" spans="1:34" ht="12" customHeight="1">
      <c r="B122" s="20" t="s">
        <v>402</v>
      </c>
      <c r="C122" s="150"/>
      <c r="D122" s="150"/>
      <c r="E122" s="150"/>
      <c r="F122" s="150"/>
      <c r="G122" s="127">
        <f t="shared" ref="G122:H122" si="357">1/G116</f>
        <v>10</v>
      </c>
      <c r="H122" s="127" t="e">
        <f t="shared" si="357"/>
        <v>#DIV/0!</v>
      </c>
      <c r="I122" s="127" t="e">
        <f t="shared" si="348"/>
        <v>#DIV/0!</v>
      </c>
      <c r="J122" s="127">
        <f t="shared" si="348"/>
        <v>2.8888888888888888</v>
      </c>
      <c r="K122" s="127">
        <f t="shared" si="348"/>
        <v>0.28888888888888886</v>
      </c>
      <c r="L122" s="127">
        <f t="shared" si="348"/>
        <v>1.0666666666666667</v>
      </c>
      <c r="M122" s="127">
        <f t="shared" si="348"/>
        <v>2.3888888888888887E-2</v>
      </c>
      <c r="N122" s="127">
        <f t="shared" si="348"/>
        <v>0.17400000000000002</v>
      </c>
      <c r="O122" s="127">
        <f t="shared" si="348"/>
        <v>0.36725663716814155</v>
      </c>
      <c r="P122" s="127">
        <f t="shared" si="348"/>
        <v>1.4637681159420289E-2</v>
      </c>
      <c r="Q122" s="127">
        <f t="shared" si="348"/>
        <v>0.42857142857142855</v>
      </c>
      <c r="R122" s="127">
        <f t="shared" si="348"/>
        <v>11.4</v>
      </c>
      <c r="S122" s="127" t="e">
        <f t="shared" ref="S122" si="358">1/S116</f>
        <v>#DIV/0!</v>
      </c>
      <c r="T122" s="118" t="e">
        <f t="shared" si="183"/>
        <v>#DIV/0!</v>
      </c>
      <c r="U122" s="20"/>
      <c r="V122" s="127" t="e">
        <f t="shared" ref="V122:AE122" si="359">1/V116</f>
        <v>#DIV/0!</v>
      </c>
      <c r="W122" s="127" t="e">
        <f t="shared" si="359"/>
        <v>#DIV/0!</v>
      </c>
      <c r="X122" s="127" t="e">
        <f t="shared" si="359"/>
        <v>#DIV/0!</v>
      </c>
      <c r="Y122" s="127" t="e">
        <f t="shared" si="359"/>
        <v>#DIV/0!</v>
      </c>
      <c r="Z122" s="127" t="e">
        <f t="shared" si="359"/>
        <v>#DIV/0!</v>
      </c>
      <c r="AA122" s="127" t="e">
        <f t="shared" si="359"/>
        <v>#DIV/0!</v>
      </c>
      <c r="AB122" s="127" t="e">
        <f t="shared" si="359"/>
        <v>#DIV/0!</v>
      </c>
      <c r="AC122" s="127" t="e">
        <f t="shared" si="359"/>
        <v>#DIV/0!</v>
      </c>
      <c r="AD122" s="127" t="e">
        <f t="shared" si="359"/>
        <v>#DIV/0!</v>
      </c>
      <c r="AE122" s="127" t="e">
        <f t="shared" si="359"/>
        <v>#DIV/0!</v>
      </c>
      <c r="AF122" s="137" t="e">
        <f t="shared" si="298"/>
        <v>#DIV/0!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5" t="s">
        <v>480</v>
      </c>
      <c r="B124" s="200" t="s">
        <v>488</v>
      </c>
      <c r="C124" s="150"/>
      <c r="D124" s="150"/>
      <c r="E124" s="150"/>
      <c r="F124" s="150"/>
      <c r="G124" s="169" t="e">
        <f t="shared" ref="G124:H124" si="360">G25/(G36+G38)</f>
        <v>#DIV/0!</v>
      </c>
      <c r="H124" s="169" t="e">
        <f t="shared" si="360"/>
        <v>#DIV/0!</v>
      </c>
      <c r="I124" s="169" t="e">
        <f t="shared" ref="I124:S124" si="361">I25/(I36+I38)</f>
        <v>#DIV/0!</v>
      </c>
      <c r="J124" s="169" t="e">
        <f t="shared" si="361"/>
        <v>#DIV/0!</v>
      </c>
      <c r="K124" s="169" t="e">
        <f t="shared" si="361"/>
        <v>#DIV/0!</v>
      </c>
      <c r="L124" s="169" t="e">
        <f t="shared" si="361"/>
        <v>#DIV/0!</v>
      </c>
      <c r="M124" s="169" t="e">
        <f t="shared" si="361"/>
        <v>#DIV/0!</v>
      </c>
      <c r="N124" s="169" t="e">
        <f t="shared" si="361"/>
        <v>#DIV/0!</v>
      </c>
      <c r="O124" s="169" t="e">
        <f t="shared" si="361"/>
        <v>#DIV/0!</v>
      </c>
      <c r="P124" s="169" t="e">
        <f t="shared" si="361"/>
        <v>#DIV/0!</v>
      </c>
      <c r="Q124" s="169" t="e">
        <f t="shared" si="361"/>
        <v>#DIV/0!</v>
      </c>
      <c r="R124" s="169" t="e">
        <f t="shared" si="361"/>
        <v>#DIV/0!</v>
      </c>
      <c r="S124" s="169" t="e">
        <f t="shared" si="361"/>
        <v>#DIV/0!</v>
      </c>
      <c r="T124" s="118" t="e">
        <f t="shared" si="183"/>
        <v>#DIV/0!</v>
      </c>
      <c r="U124" s="20"/>
      <c r="V124" s="169" t="e">
        <f t="shared" ref="V124:AE124" si="362">V25/(V36+V38)</f>
        <v>#DIV/0!</v>
      </c>
      <c r="W124" s="169" t="e">
        <f t="shared" si="362"/>
        <v>#DIV/0!</v>
      </c>
      <c r="X124" s="169" t="e">
        <f t="shared" si="362"/>
        <v>#DIV/0!</v>
      </c>
      <c r="Y124" s="169" t="e">
        <f t="shared" si="362"/>
        <v>#DIV/0!</v>
      </c>
      <c r="Z124" s="169" t="e">
        <f t="shared" si="362"/>
        <v>#DIV/0!</v>
      </c>
      <c r="AA124" s="169" t="e">
        <f t="shared" si="362"/>
        <v>#DIV/0!</v>
      </c>
      <c r="AB124" s="169" t="e">
        <f t="shared" si="362"/>
        <v>#DIV/0!</v>
      </c>
      <c r="AC124" s="169" t="e">
        <f t="shared" si="362"/>
        <v>#DIV/0!</v>
      </c>
      <c r="AD124" s="169" t="e">
        <f t="shared" si="362"/>
        <v>#DIV/0!</v>
      </c>
      <c r="AE124" s="169" t="e">
        <f t="shared" si="362"/>
        <v>#DIV/0!</v>
      </c>
      <c r="AF124" s="137" t="e">
        <f t="shared" ref="AF124:AF132" si="363">((AE124/I124)^(1/($AE$3-$J$1) ))-1</f>
        <v>#DIV/0!</v>
      </c>
      <c r="AG124" s="145"/>
      <c r="AH124" s="145"/>
    </row>
    <row r="125" spans="1:34" ht="12" customHeight="1">
      <c r="A125" s="205"/>
      <c r="B125" s="200" t="s">
        <v>482</v>
      </c>
      <c r="C125" s="150"/>
      <c r="D125" s="150"/>
      <c r="E125" s="150"/>
      <c r="F125" s="150"/>
      <c r="G125" s="169" t="e">
        <f t="shared" ref="G125:H125" si="364">G25/G43</f>
        <v>#DIV/0!</v>
      </c>
      <c r="H125" s="169" t="e">
        <f t="shared" si="364"/>
        <v>#DIV/0!</v>
      </c>
      <c r="I125" s="169" t="e">
        <f t="shared" ref="I125:S125" si="365">I25/I43</f>
        <v>#DIV/0!</v>
      </c>
      <c r="J125" s="169" t="e">
        <f t="shared" si="365"/>
        <v>#DIV/0!</v>
      </c>
      <c r="K125" s="169" t="e">
        <f t="shared" si="365"/>
        <v>#DIV/0!</v>
      </c>
      <c r="L125" s="169" t="e">
        <f t="shared" si="365"/>
        <v>#DIV/0!</v>
      </c>
      <c r="M125" s="169" t="e">
        <f t="shared" si="365"/>
        <v>#DIV/0!</v>
      </c>
      <c r="N125" s="169" t="e">
        <f t="shared" si="365"/>
        <v>#DIV/0!</v>
      </c>
      <c r="O125" s="169" t="e">
        <f t="shared" si="365"/>
        <v>#DIV/0!</v>
      </c>
      <c r="P125" s="169" t="e">
        <f t="shared" si="365"/>
        <v>#DIV/0!</v>
      </c>
      <c r="Q125" s="169" t="e">
        <f t="shared" si="365"/>
        <v>#DIV/0!</v>
      </c>
      <c r="R125" s="169" t="e">
        <f t="shared" si="365"/>
        <v>#DIV/0!</v>
      </c>
      <c r="S125" s="169" t="e">
        <f t="shared" si="365"/>
        <v>#DIV/0!</v>
      </c>
      <c r="T125" s="118" t="e">
        <f t="shared" si="183"/>
        <v>#DIV/0!</v>
      </c>
      <c r="U125" s="20"/>
      <c r="V125" s="169" t="e">
        <f t="shared" ref="V125:AE125" si="366">V25/V43</f>
        <v>#DIV/0!</v>
      </c>
      <c r="W125" s="169" t="e">
        <f t="shared" si="366"/>
        <v>#DIV/0!</v>
      </c>
      <c r="X125" s="169" t="e">
        <f t="shared" si="366"/>
        <v>#DIV/0!</v>
      </c>
      <c r="Y125" s="169" t="e">
        <f t="shared" si="366"/>
        <v>#DIV/0!</v>
      </c>
      <c r="Z125" s="169" t="e">
        <f t="shared" si="366"/>
        <v>#DIV/0!</v>
      </c>
      <c r="AA125" s="169" t="e">
        <f t="shared" si="366"/>
        <v>#DIV/0!</v>
      </c>
      <c r="AB125" s="169" t="e">
        <f t="shared" si="366"/>
        <v>#DIV/0!</v>
      </c>
      <c r="AC125" s="169" t="e">
        <f t="shared" si="366"/>
        <v>#DIV/0!</v>
      </c>
      <c r="AD125" s="169" t="e">
        <f t="shared" si="366"/>
        <v>#DIV/0!</v>
      </c>
      <c r="AE125" s="169" t="e">
        <f t="shared" si="366"/>
        <v>#DIV/0!</v>
      </c>
      <c r="AF125" s="137" t="e">
        <f t="shared" si="363"/>
        <v>#DIV/0!</v>
      </c>
      <c r="AG125" s="145"/>
      <c r="AH125" s="145"/>
    </row>
    <row r="126" spans="1:34" ht="12" customHeight="1">
      <c r="A126" s="205"/>
      <c r="B126" s="200" t="s">
        <v>489</v>
      </c>
      <c r="C126" s="150"/>
      <c r="D126" s="150"/>
      <c r="E126" s="150"/>
      <c r="F126" s="150"/>
      <c r="G126" s="169" t="e">
        <f t="shared" ref="G126:H126" si="367">G43/(G36)</f>
        <v>#DIV/0!</v>
      </c>
      <c r="H126" s="169" t="e">
        <f t="shared" si="367"/>
        <v>#DIV/0!</v>
      </c>
      <c r="I126" s="169" t="e">
        <f t="shared" ref="I126:S126" si="368">I43/(I36)</f>
        <v>#DIV/0!</v>
      </c>
      <c r="J126" s="169" t="e">
        <f t="shared" si="368"/>
        <v>#DIV/0!</v>
      </c>
      <c r="K126" s="169" t="e">
        <f t="shared" si="368"/>
        <v>#DIV/0!</v>
      </c>
      <c r="L126" s="169" t="e">
        <f t="shared" si="368"/>
        <v>#DIV/0!</v>
      </c>
      <c r="M126" s="169" t="e">
        <f t="shared" si="368"/>
        <v>#DIV/0!</v>
      </c>
      <c r="N126" s="169" t="e">
        <f t="shared" si="368"/>
        <v>#DIV/0!</v>
      </c>
      <c r="O126" s="169" t="e">
        <f t="shared" si="368"/>
        <v>#DIV/0!</v>
      </c>
      <c r="P126" s="169" t="e">
        <f t="shared" si="368"/>
        <v>#DIV/0!</v>
      </c>
      <c r="Q126" s="169" t="e">
        <f t="shared" si="368"/>
        <v>#DIV/0!</v>
      </c>
      <c r="R126" s="169" t="e">
        <f t="shared" si="368"/>
        <v>#DIV/0!</v>
      </c>
      <c r="S126" s="169" t="e">
        <f t="shared" si="368"/>
        <v>#DIV/0!</v>
      </c>
      <c r="T126" s="118" t="e">
        <f t="shared" si="183"/>
        <v>#DIV/0!</v>
      </c>
      <c r="U126" s="20"/>
      <c r="V126" s="169" t="e">
        <f t="shared" ref="V126:AE126" si="369">V43/(V36+V38)</f>
        <v>#DIV/0!</v>
      </c>
      <c r="W126" s="169" t="e">
        <f t="shared" si="369"/>
        <v>#DIV/0!</v>
      </c>
      <c r="X126" s="169" t="e">
        <f t="shared" si="369"/>
        <v>#DIV/0!</v>
      </c>
      <c r="Y126" s="169" t="e">
        <f t="shared" si="369"/>
        <v>#DIV/0!</v>
      </c>
      <c r="Z126" s="169" t="e">
        <f t="shared" si="369"/>
        <v>#DIV/0!</v>
      </c>
      <c r="AA126" s="169" t="e">
        <f t="shared" si="369"/>
        <v>#DIV/0!</v>
      </c>
      <c r="AB126" s="169" t="e">
        <f t="shared" si="369"/>
        <v>#DIV/0!</v>
      </c>
      <c r="AC126" s="169" t="e">
        <f t="shared" si="369"/>
        <v>#DIV/0!</v>
      </c>
      <c r="AD126" s="169" t="e">
        <f t="shared" si="369"/>
        <v>#DIV/0!</v>
      </c>
      <c r="AE126" s="169" t="e">
        <f t="shared" si="369"/>
        <v>#DIV/0!</v>
      </c>
      <c r="AF126" s="137" t="e">
        <f t="shared" si="363"/>
        <v>#DIV/0!</v>
      </c>
      <c r="AG126" s="145"/>
      <c r="AH126" s="145"/>
    </row>
    <row r="127" spans="1:34" ht="12" customHeight="1">
      <c r="A127" s="205"/>
      <c r="B127" s="200" t="s">
        <v>486</v>
      </c>
      <c r="C127" s="150"/>
      <c r="D127" s="150"/>
      <c r="E127" s="150"/>
      <c r="F127" s="150"/>
      <c r="G127" s="169" t="e">
        <f t="shared" ref="G127:H127" si="370">G43/G38</f>
        <v>#DIV/0!</v>
      </c>
      <c r="H127" s="169" t="e">
        <f t="shared" si="370"/>
        <v>#DIV/0!</v>
      </c>
      <c r="I127" s="169" t="e">
        <f t="shared" ref="I127:S127" si="371">I43/I38</f>
        <v>#DIV/0!</v>
      </c>
      <c r="J127" s="169" t="e">
        <f t="shared" si="371"/>
        <v>#DIV/0!</v>
      </c>
      <c r="K127" s="169" t="e">
        <f t="shared" si="371"/>
        <v>#DIV/0!</v>
      </c>
      <c r="L127" s="169" t="e">
        <f t="shared" si="371"/>
        <v>#DIV/0!</v>
      </c>
      <c r="M127" s="169" t="e">
        <f t="shared" si="371"/>
        <v>#DIV/0!</v>
      </c>
      <c r="N127" s="169" t="e">
        <f t="shared" si="371"/>
        <v>#DIV/0!</v>
      </c>
      <c r="O127" s="169" t="e">
        <f t="shared" si="371"/>
        <v>#DIV/0!</v>
      </c>
      <c r="P127" s="169" t="e">
        <f t="shared" si="371"/>
        <v>#DIV/0!</v>
      </c>
      <c r="Q127" s="169" t="e">
        <f t="shared" si="371"/>
        <v>#DIV/0!</v>
      </c>
      <c r="R127" s="169" t="e">
        <f t="shared" si="371"/>
        <v>#DIV/0!</v>
      </c>
      <c r="S127" s="169" t="e">
        <f t="shared" si="371"/>
        <v>#DIV/0!</v>
      </c>
      <c r="T127" s="118" t="e">
        <f t="shared" si="183"/>
        <v>#DIV/0!</v>
      </c>
      <c r="U127" s="20"/>
      <c r="V127" s="169" t="e">
        <f t="shared" ref="V127:AE127" si="372">V43/V38</f>
        <v>#DIV/0!</v>
      </c>
      <c r="W127" s="169" t="e">
        <f t="shared" si="372"/>
        <v>#DIV/0!</v>
      </c>
      <c r="X127" s="169" t="e">
        <f t="shared" si="372"/>
        <v>#DIV/0!</v>
      </c>
      <c r="Y127" s="169" t="e">
        <f t="shared" si="372"/>
        <v>#DIV/0!</v>
      </c>
      <c r="Z127" s="169" t="e">
        <f t="shared" si="372"/>
        <v>#DIV/0!</v>
      </c>
      <c r="AA127" s="169" t="e">
        <f t="shared" si="372"/>
        <v>#DIV/0!</v>
      </c>
      <c r="AB127" s="169" t="e">
        <f t="shared" si="372"/>
        <v>#DIV/0!</v>
      </c>
      <c r="AC127" s="169" t="e">
        <f t="shared" si="372"/>
        <v>#DIV/0!</v>
      </c>
      <c r="AD127" s="169" t="e">
        <f t="shared" si="372"/>
        <v>#DIV/0!</v>
      </c>
      <c r="AE127" s="169" t="e">
        <f t="shared" si="372"/>
        <v>#DIV/0!</v>
      </c>
      <c r="AF127" s="137" t="e">
        <f t="shared" si="363"/>
        <v>#DIV/0!</v>
      </c>
      <c r="AG127" s="145"/>
      <c r="AH127" s="145"/>
    </row>
    <row r="128" spans="1:34" ht="12" customHeight="1">
      <c r="A128" s="205"/>
      <c r="B128" s="200" t="s">
        <v>485</v>
      </c>
      <c r="C128" s="150"/>
      <c r="D128" s="150"/>
      <c r="E128" s="150"/>
      <c r="F128" s="150"/>
      <c r="G128" s="169" t="e">
        <f t="shared" ref="G128:H128" si="373">G43/(G36+G38)</f>
        <v>#DIV/0!</v>
      </c>
      <c r="H128" s="169" t="e">
        <f t="shared" si="373"/>
        <v>#DIV/0!</v>
      </c>
      <c r="I128" s="169" t="e">
        <f t="shared" ref="I128:S128" si="374">I43/(I36+I38)</f>
        <v>#DIV/0!</v>
      </c>
      <c r="J128" s="169" t="e">
        <f t="shared" si="374"/>
        <v>#DIV/0!</v>
      </c>
      <c r="K128" s="169" t="e">
        <f t="shared" si="374"/>
        <v>#DIV/0!</v>
      </c>
      <c r="L128" s="169" t="e">
        <f t="shared" si="374"/>
        <v>#DIV/0!</v>
      </c>
      <c r="M128" s="169" t="e">
        <f t="shared" si="374"/>
        <v>#DIV/0!</v>
      </c>
      <c r="N128" s="169" t="e">
        <f t="shared" si="374"/>
        <v>#DIV/0!</v>
      </c>
      <c r="O128" s="169" t="e">
        <f t="shared" si="374"/>
        <v>#DIV/0!</v>
      </c>
      <c r="P128" s="169" t="e">
        <f t="shared" si="374"/>
        <v>#DIV/0!</v>
      </c>
      <c r="Q128" s="169" t="e">
        <f t="shared" si="374"/>
        <v>#DIV/0!</v>
      </c>
      <c r="R128" s="169" t="e">
        <f t="shared" si="374"/>
        <v>#DIV/0!</v>
      </c>
      <c r="S128" s="169" t="e">
        <f t="shared" si="374"/>
        <v>#DIV/0!</v>
      </c>
      <c r="T128" s="118" t="e">
        <f t="shared" si="183"/>
        <v>#DIV/0!</v>
      </c>
      <c r="U128" s="20"/>
      <c r="V128" s="169" t="e">
        <f t="shared" ref="V128:AE128" si="375">V43/(V36+V38)</f>
        <v>#DIV/0!</v>
      </c>
      <c r="W128" s="169" t="e">
        <f t="shared" si="375"/>
        <v>#DIV/0!</v>
      </c>
      <c r="X128" s="169" t="e">
        <f t="shared" si="375"/>
        <v>#DIV/0!</v>
      </c>
      <c r="Y128" s="169" t="e">
        <f t="shared" si="375"/>
        <v>#DIV/0!</v>
      </c>
      <c r="Z128" s="169" t="e">
        <f t="shared" si="375"/>
        <v>#DIV/0!</v>
      </c>
      <c r="AA128" s="169" t="e">
        <f t="shared" si="375"/>
        <v>#DIV/0!</v>
      </c>
      <c r="AB128" s="169" t="e">
        <f t="shared" si="375"/>
        <v>#DIV/0!</v>
      </c>
      <c r="AC128" s="169" t="e">
        <f t="shared" si="375"/>
        <v>#DIV/0!</v>
      </c>
      <c r="AD128" s="169" t="e">
        <f t="shared" si="375"/>
        <v>#DIV/0!</v>
      </c>
      <c r="AE128" s="169" t="e">
        <f t="shared" si="375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5"/>
      <c r="B129" s="200" t="s">
        <v>492</v>
      </c>
      <c r="C129" s="150"/>
      <c r="D129" s="150"/>
      <c r="E129" s="150"/>
      <c r="F129" s="150"/>
      <c r="G129" s="169">
        <f t="shared" ref="G129:H129" si="376">G47/G25</f>
        <v>0</v>
      </c>
      <c r="H129" s="169">
        <f t="shared" si="376"/>
        <v>0</v>
      </c>
      <c r="I129" s="169">
        <f t="shared" ref="I129:S129" si="377">I47/I25</f>
        <v>0</v>
      </c>
      <c r="J129" s="169">
        <f t="shared" si="377"/>
        <v>0</v>
      </c>
      <c r="K129" s="169">
        <f t="shared" si="377"/>
        <v>0</v>
      </c>
      <c r="L129" s="169">
        <f t="shared" si="377"/>
        <v>0</v>
      </c>
      <c r="M129" s="169">
        <f t="shared" si="377"/>
        <v>0</v>
      </c>
      <c r="N129" s="169">
        <f t="shared" si="377"/>
        <v>0</v>
      </c>
      <c r="O129" s="169">
        <f t="shared" si="377"/>
        <v>0</v>
      </c>
      <c r="P129" s="169">
        <f t="shared" si="377"/>
        <v>0</v>
      </c>
      <c r="Q129" s="169">
        <f t="shared" si="377"/>
        <v>0</v>
      </c>
      <c r="R129" s="169">
        <f t="shared" si="377"/>
        <v>0</v>
      </c>
      <c r="S129" s="169">
        <f t="shared" si="377"/>
        <v>0</v>
      </c>
      <c r="T129" s="118" t="e">
        <f t="shared" si="183"/>
        <v>#DIV/0!</v>
      </c>
      <c r="U129" s="20"/>
      <c r="V129" s="169">
        <f t="shared" ref="V129:AE129" si="378">V47/V25</f>
        <v>0</v>
      </c>
      <c r="W129" s="169">
        <f t="shared" si="378"/>
        <v>0</v>
      </c>
      <c r="X129" s="169">
        <f t="shared" si="378"/>
        <v>0</v>
      </c>
      <c r="Y129" s="169">
        <f t="shared" si="378"/>
        <v>0</v>
      </c>
      <c r="Z129" s="169">
        <f t="shared" si="378"/>
        <v>0</v>
      </c>
      <c r="AA129" s="169">
        <f t="shared" si="378"/>
        <v>0</v>
      </c>
      <c r="AB129" s="169">
        <f t="shared" si="378"/>
        <v>0</v>
      </c>
      <c r="AC129" s="169">
        <f t="shared" si="378"/>
        <v>0</v>
      </c>
      <c r="AD129" s="169">
        <f t="shared" si="378"/>
        <v>0</v>
      </c>
      <c r="AE129" s="169">
        <f t="shared" si="378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5"/>
      <c r="B130" s="200" t="s">
        <v>490</v>
      </c>
      <c r="C130" s="150"/>
      <c r="D130" s="150"/>
      <c r="E130" s="150"/>
      <c r="F130" s="150"/>
      <c r="G130" s="204" t="e">
        <f t="shared" ref="G130:H130" si="379">G55/G49</f>
        <v>#DIV/0!</v>
      </c>
      <c r="H130" s="204" t="e">
        <f t="shared" si="379"/>
        <v>#DIV/0!</v>
      </c>
      <c r="I130" s="204" t="e">
        <f t="shared" ref="I130:S130" si="380">I55/I49</f>
        <v>#DIV/0!</v>
      </c>
      <c r="J130" s="204" t="e">
        <f t="shared" si="380"/>
        <v>#DIV/0!</v>
      </c>
      <c r="K130" s="204" t="e">
        <f t="shared" si="380"/>
        <v>#DIV/0!</v>
      </c>
      <c r="L130" s="204" t="e">
        <f t="shared" si="380"/>
        <v>#DIV/0!</v>
      </c>
      <c r="M130" s="204" t="e">
        <f t="shared" si="380"/>
        <v>#DIV/0!</v>
      </c>
      <c r="N130" s="204" t="e">
        <f t="shared" si="380"/>
        <v>#DIV/0!</v>
      </c>
      <c r="O130" s="204" t="e">
        <f t="shared" si="380"/>
        <v>#DIV/0!</v>
      </c>
      <c r="P130" s="204" t="e">
        <f t="shared" si="380"/>
        <v>#DIV/0!</v>
      </c>
      <c r="Q130" s="204" t="e">
        <f t="shared" si="380"/>
        <v>#DIV/0!</v>
      </c>
      <c r="R130" s="204" t="e">
        <f t="shared" si="380"/>
        <v>#DIV/0!</v>
      </c>
      <c r="S130" s="204" t="e">
        <f t="shared" si="380"/>
        <v>#DIV/0!</v>
      </c>
      <c r="T130" s="118" t="e">
        <f t="shared" si="183"/>
        <v>#DIV/0!</v>
      </c>
      <c r="U130" s="20"/>
      <c r="V130" s="204" t="e">
        <f t="shared" ref="V130:AE130" si="381">V55/V49</f>
        <v>#DIV/0!</v>
      </c>
      <c r="W130" s="204" t="e">
        <f t="shared" si="381"/>
        <v>#DIV/0!</v>
      </c>
      <c r="X130" s="204" t="e">
        <f t="shared" si="381"/>
        <v>#DIV/0!</v>
      </c>
      <c r="Y130" s="204" t="e">
        <f t="shared" si="381"/>
        <v>#DIV/0!</v>
      </c>
      <c r="Z130" s="204" t="e">
        <f t="shared" si="381"/>
        <v>#DIV/0!</v>
      </c>
      <c r="AA130" s="204" t="e">
        <f t="shared" si="381"/>
        <v>#DIV/0!</v>
      </c>
      <c r="AB130" s="204" t="e">
        <f t="shared" si="381"/>
        <v>#DIV/0!</v>
      </c>
      <c r="AC130" s="204" t="e">
        <f t="shared" si="381"/>
        <v>#DIV/0!</v>
      </c>
      <c r="AD130" s="204" t="e">
        <f t="shared" si="381"/>
        <v>#DIV/0!</v>
      </c>
      <c r="AE130" s="204" t="e">
        <f t="shared" si="381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5"/>
      <c r="B131" s="200" t="s">
        <v>483</v>
      </c>
      <c r="C131" s="150"/>
      <c r="D131" s="150"/>
      <c r="E131" s="150"/>
      <c r="F131" s="150"/>
      <c r="G131" s="169" t="e">
        <f t="shared" ref="G131:H131" si="382">G55/G43</f>
        <v>#DIV/0!</v>
      </c>
      <c r="H131" s="169" t="e">
        <f t="shared" si="382"/>
        <v>#DIV/0!</v>
      </c>
      <c r="I131" s="169" t="e">
        <f t="shared" ref="I131:S131" si="383">I55/I43</f>
        <v>#DIV/0!</v>
      </c>
      <c r="J131" s="169" t="e">
        <f t="shared" si="383"/>
        <v>#DIV/0!</v>
      </c>
      <c r="K131" s="169" t="e">
        <f t="shared" si="383"/>
        <v>#DIV/0!</v>
      </c>
      <c r="L131" s="169" t="e">
        <f t="shared" si="383"/>
        <v>#DIV/0!</v>
      </c>
      <c r="M131" s="169" t="e">
        <f t="shared" si="383"/>
        <v>#DIV/0!</v>
      </c>
      <c r="N131" s="169" t="e">
        <f t="shared" si="383"/>
        <v>#DIV/0!</v>
      </c>
      <c r="O131" s="169" t="e">
        <f t="shared" si="383"/>
        <v>#DIV/0!</v>
      </c>
      <c r="P131" s="169" t="e">
        <f t="shared" si="383"/>
        <v>#DIV/0!</v>
      </c>
      <c r="Q131" s="169" t="e">
        <f t="shared" si="383"/>
        <v>#DIV/0!</v>
      </c>
      <c r="R131" s="169" t="e">
        <f t="shared" si="383"/>
        <v>#DIV/0!</v>
      </c>
      <c r="S131" s="169" t="e">
        <f t="shared" si="383"/>
        <v>#DIV/0!</v>
      </c>
      <c r="T131" s="118" t="e">
        <f t="shared" si="183"/>
        <v>#DIV/0!</v>
      </c>
      <c r="U131" s="20"/>
      <c r="V131" s="169" t="e">
        <f t="shared" ref="V131:AE131" si="384">V55/V43</f>
        <v>#DIV/0!</v>
      </c>
      <c r="W131" s="169" t="e">
        <f t="shared" si="384"/>
        <v>#DIV/0!</v>
      </c>
      <c r="X131" s="169" t="e">
        <f t="shared" si="384"/>
        <v>#DIV/0!</v>
      </c>
      <c r="Y131" s="169" t="e">
        <f t="shared" si="384"/>
        <v>#DIV/0!</v>
      </c>
      <c r="Z131" s="169" t="e">
        <f t="shared" si="384"/>
        <v>#DIV/0!</v>
      </c>
      <c r="AA131" s="169" t="e">
        <f t="shared" si="384"/>
        <v>#DIV/0!</v>
      </c>
      <c r="AB131" s="169" t="e">
        <f t="shared" si="384"/>
        <v>#DIV/0!</v>
      </c>
      <c r="AC131" s="169" t="e">
        <f t="shared" si="384"/>
        <v>#DIV/0!</v>
      </c>
      <c r="AD131" s="169" t="e">
        <f t="shared" si="384"/>
        <v>#DIV/0!</v>
      </c>
      <c r="AE131" s="169" t="e">
        <f t="shared" si="384"/>
        <v>#DIV/0!</v>
      </c>
      <c r="AF131" s="137" t="e">
        <f t="shared" si="363"/>
        <v>#DIV/0!</v>
      </c>
      <c r="AG131" s="145"/>
      <c r="AH131" s="145"/>
    </row>
    <row r="132" spans="1:34" ht="12" customHeight="1">
      <c r="A132" s="205"/>
      <c r="B132" s="200" t="s">
        <v>484</v>
      </c>
      <c r="C132" s="150"/>
      <c r="D132" s="150"/>
      <c r="E132" s="150"/>
      <c r="F132" s="150"/>
      <c r="G132" s="169" t="e">
        <f t="shared" ref="G132:H132" si="385">G55/(G36+G38)</f>
        <v>#DIV/0!</v>
      </c>
      <c r="H132" s="169" t="e">
        <f t="shared" si="385"/>
        <v>#DIV/0!</v>
      </c>
      <c r="I132" s="169" t="e">
        <f t="shared" ref="I132:S132" si="386">I55/(I36+I38)</f>
        <v>#DIV/0!</v>
      </c>
      <c r="J132" s="169" t="e">
        <f t="shared" si="386"/>
        <v>#DIV/0!</v>
      </c>
      <c r="K132" s="169" t="e">
        <f t="shared" si="386"/>
        <v>#DIV/0!</v>
      </c>
      <c r="L132" s="169" t="e">
        <f t="shared" si="386"/>
        <v>#DIV/0!</v>
      </c>
      <c r="M132" s="169" t="e">
        <f t="shared" si="386"/>
        <v>#DIV/0!</v>
      </c>
      <c r="N132" s="169" t="e">
        <f t="shared" si="386"/>
        <v>#DIV/0!</v>
      </c>
      <c r="O132" s="169" t="e">
        <f t="shared" si="386"/>
        <v>#DIV/0!</v>
      </c>
      <c r="P132" s="169" t="e">
        <f t="shared" si="386"/>
        <v>#DIV/0!</v>
      </c>
      <c r="Q132" s="169" t="e">
        <f t="shared" si="386"/>
        <v>#DIV/0!</v>
      </c>
      <c r="R132" s="169" t="e">
        <f t="shared" si="386"/>
        <v>#DIV/0!</v>
      </c>
      <c r="S132" s="169" t="e">
        <f t="shared" si="386"/>
        <v>#DIV/0!</v>
      </c>
      <c r="T132" s="118" t="e">
        <f t="shared" si="183"/>
        <v>#DIV/0!</v>
      </c>
      <c r="U132" s="20"/>
      <c r="V132" s="169" t="e">
        <f t="shared" ref="V132:AE132" si="387">V55/(V36+V38)</f>
        <v>#DIV/0!</v>
      </c>
      <c r="W132" s="169" t="e">
        <f t="shared" si="387"/>
        <v>#DIV/0!</v>
      </c>
      <c r="X132" s="169" t="e">
        <f t="shared" si="387"/>
        <v>#DIV/0!</v>
      </c>
      <c r="Y132" s="169" t="e">
        <f t="shared" si="387"/>
        <v>#DIV/0!</v>
      </c>
      <c r="Z132" s="169" t="e">
        <f t="shared" si="387"/>
        <v>#DIV/0!</v>
      </c>
      <c r="AA132" s="169" t="e">
        <f t="shared" si="387"/>
        <v>#DIV/0!</v>
      </c>
      <c r="AB132" s="169" t="e">
        <f t="shared" si="387"/>
        <v>#DIV/0!</v>
      </c>
      <c r="AC132" s="169" t="e">
        <f t="shared" si="387"/>
        <v>#DIV/0!</v>
      </c>
      <c r="AD132" s="169" t="e">
        <f t="shared" si="387"/>
        <v>#DIV/0!</v>
      </c>
      <c r="AE132" s="169" t="e">
        <f t="shared" si="387"/>
        <v>#DIV/0!</v>
      </c>
      <c r="AF132" s="137" t="e">
        <f t="shared" si="363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322</v>
      </c>
      <c r="C134" s="150"/>
      <c r="D134" s="150"/>
      <c r="E134" s="150"/>
      <c r="F134" s="150"/>
      <c r="G134" s="161">
        <f t="shared" ref="G134:H134" si="388">G10-(G12+G13)</f>
        <v>-1</v>
      </c>
      <c r="H134" s="161">
        <f t="shared" si="388"/>
        <v>-1</v>
      </c>
      <c r="I134" s="161">
        <f t="shared" ref="I134:S134" si="389">I10-(I12+I13)</f>
        <v>-1</v>
      </c>
      <c r="J134" s="161">
        <f t="shared" si="389"/>
        <v>-5263</v>
      </c>
      <c r="K134" s="161">
        <f t="shared" si="389"/>
        <v>-460</v>
      </c>
      <c r="L134" s="161">
        <f t="shared" si="389"/>
        <v>4162</v>
      </c>
      <c r="M134" s="161">
        <f t="shared" si="389"/>
        <v>763</v>
      </c>
      <c r="N134" s="161">
        <f t="shared" si="389"/>
        <v>-2847</v>
      </c>
      <c r="O134" s="161">
        <f t="shared" si="389"/>
        <v>-8848</v>
      </c>
      <c r="P134" s="161">
        <f t="shared" si="389"/>
        <v>-15938</v>
      </c>
      <c r="Q134" s="161">
        <f t="shared" si="389"/>
        <v>-18125</v>
      </c>
      <c r="R134" s="161">
        <f t="shared" si="389"/>
        <v>-16084</v>
      </c>
      <c r="S134" s="161">
        <f t="shared" si="389"/>
        <v>-10139.65</v>
      </c>
      <c r="T134" s="118">
        <f t="shared" si="183"/>
        <v>1.1569260073433965</v>
      </c>
      <c r="U134" s="20"/>
      <c r="V134" s="161">
        <f t="shared" ref="V134:AE134" si="390">V10-(V12+V13)</f>
        <v>-11356.408000000001</v>
      </c>
      <c r="W134" s="161">
        <f t="shared" si="390"/>
        <v>-12719.176960000003</v>
      </c>
      <c r="X134" s="161">
        <f t="shared" si="390"/>
        <v>-14245.478195200005</v>
      </c>
      <c r="Y134" s="161">
        <f t="shared" si="390"/>
        <v>-15954.935578624008</v>
      </c>
      <c r="Z134" s="161">
        <f t="shared" si="390"/>
        <v>-17869.52784805889</v>
      </c>
      <c r="AA134" s="161">
        <f t="shared" si="390"/>
        <v>-20013.871189825961</v>
      </c>
      <c r="AB134" s="161">
        <f t="shared" si="390"/>
        <v>-22415.53573260508</v>
      </c>
      <c r="AC134" s="161">
        <f t="shared" si="390"/>
        <v>-25105.400020517689</v>
      </c>
      <c r="AD134" s="161">
        <f t="shared" si="390"/>
        <v>-28118.048022979812</v>
      </c>
      <c r="AE134" s="161">
        <f t="shared" si="390"/>
        <v>-31492.213785737393</v>
      </c>
      <c r="AF134" s="137">
        <f t="shared" si="298"/>
        <v>0.63757104984217583</v>
      </c>
      <c r="AG134" s="145"/>
      <c r="AH134" s="145"/>
    </row>
    <row r="135" spans="1:34" ht="12" customHeight="1">
      <c r="B135" s="20" t="s">
        <v>317</v>
      </c>
      <c r="C135" s="20"/>
      <c r="D135" s="20"/>
      <c r="E135" s="20"/>
      <c r="F135" s="20"/>
      <c r="G135" s="150">
        <f t="shared" ref="G135:H135" si="391">G55/G18</f>
        <v>1</v>
      </c>
      <c r="H135" s="150">
        <f t="shared" si="391"/>
        <v>1</v>
      </c>
      <c r="I135" s="150">
        <f t="shared" ref="I135:S135" si="392">I55/I18</f>
        <v>1</v>
      </c>
      <c r="J135" s="150" t="e">
        <f t="shared" si="392"/>
        <v>#DIV/0!</v>
      </c>
      <c r="K135" s="150">
        <f t="shared" si="392"/>
        <v>-9.8553238459415785E-4</v>
      </c>
      <c r="L135" s="150">
        <f t="shared" si="392"/>
        <v>3.1636592861082655E-2</v>
      </c>
      <c r="M135" s="150">
        <f t="shared" si="392"/>
        <v>4.1303151772380725E-2</v>
      </c>
      <c r="N135" s="150">
        <f t="shared" si="392"/>
        <v>0.20273990141476217</v>
      </c>
      <c r="O135" s="150">
        <f t="shared" si="392"/>
        <v>0.25400025601638504</v>
      </c>
      <c r="P135" s="150">
        <f t="shared" si="392"/>
        <v>0.56726109255163981</v>
      </c>
      <c r="Q135" s="150">
        <f t="shared" si="392"/>
        <v>0.49575274177467599</v>
      </c>
      <c r="R135" s="150">
        <f t="shared" si="392"/>
        <v>0.18952312444463251</v>
      </c>
      <c r="S135" s="150" t="e">
        <f t="shared" si="392"/>
        <v>#DIV/0!</v>
      </c>
      <c r="T135" s="118" t="e">
        <f t="shared" ref="T135:T167" si="393">((S135/G135)^(1/($J$2-$J$1) ))-1</f>
        <v>#DIV/0!</v>
      </c>
      <c r="U135" s="20"/>
      <c r="V135" s="150" t="e">
        <f t="shared" ref="V135:AE135" si="394">V55/V18</f>
        <v>#DIV/0!</v>
      </c>
      <c r="W135" s="150" t="e">
        <f t="shared" si="394"/>
        <v>#DIV/0!</v>
      </c>
      <c r="X135" s="150" t="e">
        <f t="shared" si="394"/>
        <v>#DIV/0!</v>
      </c>
      <c r="Y135" s="150" t="e">
        <f t="shared" si="394"/>
        <v>#DIV/0!</v>
      </c>
      <c r="Z135" s="150" t="e">
        <f t="shared" si="394"/>
        <v>#DIV/0!</v>
      </c>
      <c r="AA135" s="150" t="e">
        <f t="shared" si="394"/>
        <v>#DIV/0!</v>
      </c>
      <c r="AB135" s="150" t="e">
        <f t="shared" si="394"/>
        <v>#DIV/0!</v>
      </c>
      <c r="AC135" s="150" t="e">
        <f t="shared" si="394"/>
        <v>#DIV/0!</v>
      </c>
      <c r="AD135" s="150" t="e">
        <f t="shared" si="394"/>
        <v>#DIV/0!</v>
      </c>
      <c r="AE135" s="150" t="e">
        <f t="shared" si="394"/>
        <v>#DIV/0!</v>
      </c>
      <c r="AF135" s="137" t="e">
        <f t="shared" si="298"/>
        <v>#DIV/0!</v>
      </c>
      <c r="AG135" s="20"/>
      <c r="AH135" s="20"/>
    </row>
    <row r="136" spans="1:34">
      <c r="B136" s="20" t="s">
        <v>318</v>
      </c>
      <c r="C136" s="20"/>
      <c r="D136" s="20"/>
      <c r="E136" s="20"/>
      <c r="F136" s="20"/>
      <c r="G136" s="150">
        <f t="shared" ref="G136:H136" si="395">G55/G25</f>
        <v>1</v>
      </c>
      <c r="H136" s="150">
        <f t="shared" si="395"/>
        <v>1</v>
      </c>
      <c r="I136" s="150">
        <f t="shared" ref="I136:S136" si="396">I55/I25</f>
        <v>1</v>
      </c>
      <c r="J136" s="150">
        <f t="shared" si="396"/>
        <v>-0.42316258351893099</v>
      </c>
      <c r="K136" s="150">
        <f t="shared" si="396"/>
        <v>-2.6343519494204427E-2</v>
      </c>
      <c r="L136" s="150">
        <f t="shared" si="396"/>
        <v>0.40069860279441116</v>
      </c>
      <c r="M136" s="150">
        <f t="shared" si="396"/>
        <v>0.51218323586744641</v>
      </c>
      <c r="N136" s="150">
        <f t="shared" si="396"/>
        <v>0.60711204830825261</v>
      </c>
      <c r="O136" s="150">
        <f t="shared" si="396"/>
        <v>0.62387989309856939</v>
      </c>
      <c r="P136" s="150">
        <f t="shared" si="396"/>
        <v>0.64862538333243669</v>
      </c>
      <c r="Q136" s="150">
        <f t="shared" si="396"/>
        <v>0.61302889831344309</v>
      </c>
      <c r="R136" s="150">
        <f t="shared" si="396"/>
        <v>0.32404861814498626</v>
      </c>
      <c r="S136" s="150">
        <f t="shared" si="396"/>
        <v>-1.093551304347826</v>
      </c>
      <c r="T136" s="118" t="e">
        <f t="shared" si="393"/>
        <v>#NUM!</v>
      </c>
      <c r="U136" s="20"/>
      <c r="V136" s="150">
        <f t="shared" ref="V136:AE136" si="397">V55/V25</f>
        <v>-1.2007622165387895</v>
      </c>
      <c r="W136" s="150">
        <f t="shared" si="397"/>
        <v>-1.3184840024739648</v>
      </c>
      <c r="X136" s="150">
        <f t="shared" si="397"/>
        <v>-1.4477471399714121</v>
      </c>
      <c r="Y136" s="150">
        <f t="shared" si="397"/>
        <v>-1.5896831340862565</v>
      </c>
      <c r="Z136" s="150">
        <f t="shared" si="397"/>
        <v>-1.7455344217417721</v>
      </c>
      <c r="AA136" s="150">
        <f t="shared" si="397"/>
        <v>-1.9166652474027304</v>
      </c>
      <c r="AB136" s="150">
        <f t="shared" si="397"/>
        <v>-2.1045736049912334</v>
      </c>
      <c r="AC136" s="150">
        <f t="shared" si="397"/>
        <v>-2.3109043505786095</v>
      </c>
      <c r="AD136" s="150">
        <f t="shared" si="397"/>
        <v>-2.5374636006353359</v>
      </c>
      <c r="AE136" s="150">
        <f t="shared" si="397"/>
        <v>-2.7862345418740948</v>
      </c>
      <c r="AF136" s="137">
        <f t="shared" si="298"/>
        <v>-2.0500048805183706</v>
      </c>
      <c r="AG136" s="20"/>
      <c r="AH136" s="20"/>
    </row>
    <row r="137" spans="1:34">
      <c r="B137" s="20" t="s">
        <v>344</v>
      </c>
      <c r="C137" s="20"/>
      <c r="D137" s="20"/>
      <c r="E137" s="150"/>
      <c r="F137" s="150"/>
      <c r="G137" s="150">
        <f t="shared" ref="G137:H137" si="398">G25/G18</f>
        <v>1</v>
      </c>
      <c r="H137" s="150">
        <f t="shared" si="398"/>
        <v>1</v>
      </c>
      <c r="I137" s="150">
        <f t="shared" ref="I137:S137" si="399">I25/I18</f>
        <v>1</v>
      </c>
      <c r="J137" s="150" t="e">
        <f t="shared" si="399"/>
        <v>#DIV/0!</v>
      </c>
      <c r="K137" s="150">
        <f t="shared" si="399"/>
        <v>3.741080931919423E-2</v>
      </c>
      <c r="L137" s="150">
        <f t="shared" si="399"/>
        <v>7.8953589157670784E-2</v>
      </c>
      <c r="M137" s="150">
        <f t="shared" si="399"/>
        <v>8.0641358170242872E-2</v>
      </c>
      <c r="N137" s="150">
        <f t="shared" si="399"/>
        <v>0.33394148902118942</v>
      </c>
      <c r="O137" s="150">
        <f t="shared" si="399"/>
        <v>0.40713005632360472</v>
      </c>
      <c r="P137" s="150">
        <f t="shared" si="399"/>
        <v>0.87455888580435703</v>
      </c>
      <c r="Q137" s="150">
        <f t="shared" si="399"/>
        <v>0.80869391824526415</v>
      </c>
      <c r="R137" s="150">
        <f t="shared" si="399"/>
        <v>0.58486015317564422</v>
      </c>
      <c r="S137" s="150" t="e">
        <f t="shared" si="399"/>
        <v>#DIV/0!</v>
      </c>
      <c r="T137" s="118" t="e">
        <f t="shared" si="393"/>
        <v>#DIV/0!</v>
      </c>
      <c r="U137" s="20"/>
      <c r="V137" s="150" t="e">
        <f t="shared" ref="V137:AE137" si="400">V25/V18</f>
        <v>#DIV/0!</v>
      </c>
      <c r="W137" s="150" t="e">
        <f t="shared" si="400"/>
        <v>#DIV/0!</v>
      </c>
      <c r="X137" s="150" t="e">
        <f t="shared" si="400"/>
        <v>#DIV/0!</v>
      </c>
      <c r="Y137" s="150" t="e">
        <f t="shared" si="400"/>
        <v>#DIV/0!</v>
      </c>
      <c r="Z137" s="150" t="e">
        <f t="shared" si="400"/>
        <v>#DIV/0!</v>
      </c>
      <c r="AA137" s="150" t="e">
        <f t="shared" si="400"/>
        <v>#DIV/0!</v>
      </c>
      <c r="AB137" s="150" t="e">
        <f t="shared" si="400"/>
        <v>#DIV/0!</v>
      </c>
      <c r="AC137" s="150" t="e">
        <f t="shared" si="400"/>
        <v>#DIV/0!</v>
      </c>
      <c r="AD137" s="150" t="e">
        <f t="shared" si="400"/>
        <v>#DIV/0!</v>
      </c>
      <c r="AE137" s="150" t="e">
        <f t="shared" si="400"/>
        <v>#DIV/0!</v>
      </c>
      <c r="AF137" s="137" t="e">
        <f t="shared" si="298"/>
        <v>#DIV/0!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330</v>
      </c>
      <c r="C139" s="20"/>
      <c r="D139" s="20"/>
      <c r="E139" s="163"/>
      <c r="F139" s="163"/>
      <c r="G139" s="163">
        <f t="shared" ref="G139:H139" si="401">G88*G57</f>
        <v>1.7653000000000001</v>
      </c>
      <c r="H139" s="163">
        <f t="shared" si="401"/>
        <v>0</v>
      </c>
      <c r="I139" s="163">
        <f t="shared" ref="I139:S139" si="402">I88*I57</f>
        <v>0</v>
      </c>
      <c r="J139" s="163">
        <f t="shared" si="402"/>
        <v>0</v>
      </c>
      <c r="K139" s="163">
        <f t="shared" si="402"/>
        <v>0</v>
      </c>
      <c r="L139" s="163">
        <f t="shared" si="402"/>
        <v>0</v>
      </c>
      <c r="M139" s="163">
        <f t="shared" si="402"/>
        <v>0</v>
      </c>
      <c r="N139" s="163">
        <f t="shared" si="402"/>
        <v>0</v>
      </c>
      <c r="O139" s="163">
        <f t="shared" si="402"/>
        <v>0</v>
      </c>
      <c r="P139" s="163">
        <f t="shared" si="402"/>
        <v>2193.395</v>
      </c>
      <c r="Q139" s="163">
        <f t="shared" si="402"/>
        <v>2384.5</v>
      </c>
      <c r="R139" s="163">
        <f t="shared" si="402"/>
        <v>1687.41</v>
      </c>
      <c r="S139" s="163">
        <f t="shared" si="402"/>
        <v>562.47</v>
      </c>
      <c r="T139" s="118">
        <f t="shared" si="393"/>
        <v>0.61661549409385441</v>
      </c>
      <c r="U139" s="20"/>
      <c r="V139" s="163">
        <f t="shared" ref="V139:AE139" si="403">V88*V57</f>
        <v>602.40537000000006</v>
      </c>
      <c r="W139" s="163">
        <f t="shared" si="403"/>
        <v>645.1761512700001</v>
      </c>
      <c r="X139" s="163">
        <f t="shared" si="403"/>
        <v>690.98365801017007</v>
      </c>
      <c r="Y139" s="163">
        <f t="shared" si="403"/>
        <v>740.04349772889225</v>
      </c>
      <c r="Z139" s="163">
        <f t="shared" si="403"/>
        <v>792.58658606764368</v>
      </c>
      <c r="AA139" s="163">
        <f t="shared" si="403"/>
        <v>848.86023367844655</v>
      </c>
      <c r="AB139" s="163">
        <f t="shared" si="403"/>
        <v>909.12931026961621</v>
      </c>
      <c r="AC139" s="163">
        <f t="shared" si="403"/>
        <v>973.67749129875904</v>
      </c>
      <c r="AD139" s="163">
        <f t="shared" si="403"/>
        <v>1042.808593180971</v>
      </c>
      <c r="AE139" s="163">
        <f t="shared" si="403"/>
        <v>1116.8480032968198</v>
      </c>
      <c r="AF139" s="137" t="e">
        <f t="shared" si="298"/>
        <v>#DIV/0!</v>
      </c>
      <c r="AG139" s="20"/>
      <c r="AH139" s="20"/>
    </row>
    <row r="140" spans="1:34">
      <c r="B140" s="20" t="s">
        <v>331</v>
      </c>
      <c r="C140" s="20"/>
      <c r="D140" s="20"/>
      <c r="E140" s="163"/>
      <c r="F140" s="163"/>
      <c r="G140" s="163">
        <f t="shared" ref="G140:H140" si="404">(G139*0.17)+G139</f>
        <v>2.065401</v>
      </c>
      <c r="H140" s="163">
        <f t="shared" si="404"/>
        <v>0</v>
      </c>
      <c r="I140" s="163">
        <f t="shared" ref="I140:R140" si="405">(I139*0.17)+I139</f>
        <v>0</v>
      </c>
      <c r="J140" s="163">
        <f t="shared" si="405"/>
        <v>0</v>
      </c>
      <c r="K140" s="163">
        <f t="shared" si="405"/>
        <v>0</v>
      </c>
      <c r="L140" s="163">
        <f t="shared" si="405"/>
        <v>0</v>
      </c>
      <c r="M140" s="163">
        <f t="shared" si="405"/>
        <v>0</v>
      </c>
      <c r="N140" s="163">
        <f t="shared" si="405"/>
        <v>0</v>
      </c>
      <c r="O140" s="163">
        <f t="shared" si="405"/>
        <v>0</v>
      </c>
      <c r="P140" s="163">
        <f t="shared" si="405"/>
        <v>2566.2721499999998</v>
      </c>
      <c r="Q140" s="163">
        <f t="shared" si="405"/>
        <v>2789.8649999999998</v>
      </c>
      <c r="R140" s="163">
        <f t="shared" si="405"/>
        <v>1974.2697000000001</v>
      </c>
      <c r="S140" s="163">
        <f t="shared" ref="S140" si="406">(S139*0.17)+S139</f>
        <v>658.08990000000006</v>
      </c>
      <c r="T140" s="118">
        <f t="shared" si="393"/>
        <v>0.61661549409385441</v>
      </c>
      <c r="U140" s="20"/>
      <c r="V140" s="163">
        <f t="shared" ref="V140:AE140" si="407">(V139*0.17)+V139</f>
        <v>704.81428290000008</v>
      </c>
      <c r="W140" s="163">
        <f t="shared" si="407"/>
        <v>754.85609698590019</v>
      </c>
      <c r="X140" s="163">
        <f t="shared" si="407"/>
        <v>808.45087987189902</v>
      </c>
      <c r="Y140" s="163">
        <f t="shared" si="407"/>
        <v>865.85089234280395</v>
      </c>
      <c r="Z140" s="163">
        <f t="shared" si="407"/>
        <v>927.32630569914318</v>
      </c>
      <c r="AA140" s="163">
        <f t="shared" si="407"/>
        <v>993.16647340378245</v>
      </c>
      <c r="AB140" s="163">
        <f t="shared" si="407"/>
        <v>1063.681293015451</v>
      </c>
      <c r="AC140" s="163">
        <f t="shared" si="407"/>
        <v>1139.2026648195481</v>
      </c>
      <c r="AD140" s="163">
        <f t="shared" si="407"/>
        <v>1220.0860540217361</v>
      </c>
      <c r="AE140" s="163">
        <f t="shared" si="407"/>
        <v>1306.7121638572792</v>
      </c>
      <c r="AF140" s="137" t="e">
        <f t="shared" si="298"/>
        <v>#DIV/0!</v>
      </c>
      <c r="AG140" s="20"/>
      <c r="AH140" s="20"/>
    </row>
    <row r="141" spans="1:34">
      <c r="B141" s="20" t="s">
        <v>332</v>
      </c>
      <c r="C141" s="20"/>
      <c r="D141" s="20"/>
      <c r="E141" s="20"/>
      <c r="F141" s="20"/>
      <c r="G141" s="150">
        <f t="shared" ref="G141:H141" si="408">G140/G55</f>
        <v>2.065401</v>
      </c>
      <c r="H141" s="150">
        <f t="shared" si="408"/>
        <v>0</v>
      </c>
      <c r="I141" s="150">
        <f t="shared" ref="I141:S141" si="409">I140/I55</f>
        <v>0</v>
      </c>
      <c r="J141" s="150">
        <f t="shared" si="409"/>
        <v>0</v>
      </c>
      <c r="K141" s="150">
        <f t="shared" si="409"/>
        <v>0</v>
      </c>
      <c r="L141" s="150">
        <f t="shared" si="409"/>
        <v>0</v>
      </c>
      <c r="M141" s="150">
        <f t="shared" si="409"/>
        <v>0</v>
      </c>
      <c r="N141" s="150">
        <f t="shared" si="409"/>
        <v>0</v>
      </c>
      <c r="O141" s="150">
        <f t="shared" si="409"/>
        <v>0</v>
      </c>
      <c r="P141" s="150">
        <f t="shared" si="409"/>
        <v>0.21286265345056402</v>
      </c>
      <c r="Q141" s="150">
        <f t="shared" si="409"/>
        <v>0.22442804279623521</v>
      </c>
      <c r="R141" s="150">
        <f t="shared" si="409"/>
        <v>0.44078359008707302</v>
      </c>
      <c r="S141" s="150">
        <f t="shared" si="409"/>
        <v>-6.9772929681039209E-2</v>
      </c>
      <c r="T141" s="118" t="e">
        <f t="shared" si="393"/>
        <v>#NUM!</v>
      </c>
      <c r="U141" s="20"/>
      <c r="V141" s="150">
        <f t="shared" ref="V141:AE141" si="410">V140/V55</f>
        <v>-6.6720364007493746E-2</v>
      </c>
      <c r="W141" s="150">
        <f t="shared" si="410"/>
        <v>-6.3801348082165907E-2</v>
      </c>
      <c r="X141" s="150">
        <f t="shared" si="410"/>
        <v>-6.1010039103571133E-2</v>
      </c>
      <c r="Y141" s="150">
        <f t="shared" si="410"/>
        <v>-5.8340849892789898E-2</v>
      </c>
      <c r="Z141" s="150">
        <f t="shared" si="410"/>
        <v>-5.5788437709980342E-2</v>
      </c>
      <c r="AA141" s="150">
        <f t="shared" si="410"/>
        <v>-5.3347693560168705E-2</v>
      </c>
      <c r="AB141" s="150">
        <f t="shared" si="410"/>
        <v>-5.1013731966911322E-2</v>
      </c>
      <c r="AC141" s="150">
        <f t="shared" si="410"/>
        <v>-4.8781881193358946E-2</v>
      </c>
      <c r="AD141" s="150">
        <f t="shared" si="410"/>
        <v>-4.6647673891149488E-2</v>
      </c>
      <c r="AE141" s="150">
        <f t="shared" si="410"/>
        <v>-4.4606838158411689E-2</v>
      </c>
      <c r="AF141" s="137" t="e">
        <f t="shared" si="298"/>
        <v>#DIV/0!</v>
      </c>
      <c r="AG141" s="20"/>
      <c r="AH141" s="20"/>
    </row>
    <row r="142" spans="1:34">
      <c r="B142" s="20" t="s">
        <v>325</v>
      </c>
      <c r="C142" s="20"/>
      <c r="D142" s="20"/>
      <c r="E142" s="20"/>
      <c r="F142" s="20"/>
      <c r="G142" s="150">
        <f t="shared" ref="G142:H142" si="411">1-G141</f>
        <v>-1.065401</v>
      </c>
      <c r="H142" s="150">
        <f t="shared" si="411"/>
        <v>1</v>
      </c>
      <c r="I142" s="150">
        <f>1-I141</f>
        <v>1</v>
      </c>
      <c r="J142" s="150">
        <f t="shared" ref="J142:R142" si="412">1-J141</f>
        <v>1</v>
      </c>
      <c r="K142" s="150">
        <f t="shared" si="412"/>
        <v>1</v>
      </c>
      <c r="L142" s="150">
        <f t="shared" si="412"/>
        <v>1</v>
      </c>
      <c r="M142" s="150">
        <f t="shared" si="412"/>
        <v>1</v>
      </c>
      <c r="N142" s="150">
        <f t="shared" si="412"/>
        <v>1</v>
      </c>
      <c r="O142" s="150">
        <f t="shared" si="412"/>
        <v>1</v>
      </c>
      <c r="P142" s="150">
        <f t="shared" si="412"/>
        <v>0.78713734654943601</v>
      </c>
      <c r="Q142" s="150">
        <f t="shared" si="412"/>
        <v>0.77557195720376482</v>
      </c>
      <c r="R142" s="150">
        <f t="shared" si="412"/>
        <v>0.55921640991292698</v>
      </c>
      <c r="S142" s="150">
        <f t="shared" ref="S142" si="413">1-S141</f>
        <v>1.0697729296810392</v>
      </c>
      <c r="T142" s="118" t="e">
        <f t="shared" si="393"/>
        <v>#NUM!</v>
      </c>
      <c r="U142" s="20"/>
      <c r="V142" s="150">
        <f t="shared" ref="V142:AE142" si="414">1-V141</f>
        <v>1.0667203640074938</v>
      </c>
      <c r="W142" s="150">
        <f t="shared" si="414"/>
        <v>1.063801348082166</v>
      </c>
      <c r="X142" s="150">
        <f t="shared" si="414"/>
        <v>1.0610100391035711</v>
      </c>
      <c r="Y142" s="150">
        <f t="shared" si="414"/>
        <v>1.05834084989279</v>
      </c>
      <c r="Z142" s="150">
        <f t="shared" si="414"/>
        <v>1.0557884377099804</v>
      </c>
      <c r="AA142" s="150">
        <f t="shared" si="414"/>
        <v>1.0533476935601687</v>
      </c>
      <c r="AB142" s="150">
        <f t="shared" si="414"/>
        <v>1.0510137319669113</v>
      </c>
      <c r="AC142" s="150">
        <f t="shared" si="414"/>
        <v>1.0487818811933589</v>
      </c>
      <c r="AD142" s="150">
        <f t="shared" si="414"/>
        <v>1.0466476738911494</v>
      </c>
      <c r="AE142" s="150">
        <f t="shared" si="414"/>
        <v>1.0446068381584117</v>
      </c>
      <c r="AF142" s="137">
        <f t="shared" si="298"/>
        <v>2.0802838035232085E-3</v>
      </c>
      <c r="AG142" s="20"/>
      <c r="AH142" s="20"/>
    </row>
    <row r="143" spans="1:34">
      <c r="B143" s="20" t="s">
        <v>448</v>
      </c>
      <c r="C143" s="20"/>
      <c r="D143" s="20"/>
      <c r="E143" s="20"/>
      <c r="F143" s="20"/>
      <c r="G143" s="150">
        <f t="shared" ref="G143:H143" si="415">G140/G20</f>
        <v>2.065401</v>
      </c>
      <c r="H143" s="150" t="e">
        <f t="shared" si="415"/>
        <v>#DIV/0!</v>
      </c>
      <c r="I143" s="150">
        <f t="shared" ref="I143:S143" si="416">I140/I20</f>
        <v>0</v>
      </c>
      <c r="J143" s="150">
        <f t="shared" si="416"/>
        <v>0</v>
      </c>
      <c r="K143" s="150">
        <f t="shared" si="416"/>
        <v>0</v>
      </c>
      <c r="L143" s="150">
        <f t="shared" si="416"/>
        <v>0</v>
      </c>
      <c r="M143" s="150">
        <f t="shared" si="416"/>
        <v>0</v>
      </c>
      <c r="N143" s="150">
        <f t="shared" si="416"/>
        <v>0</v>
      </c>
      <c r="O143" s="150">
        <f t="shared" si="416"/>
        <v>0</v>
      </c>
      <c r="P143" s="150">
        <f t="shared" si="416"/>
        <v>0.18871035737921904</v>
      </c>
      <c r="Q143" s="150">
        <f t="shared" si="416"/>
        <v>0.56796925895765471</v>
      </c>
      <c r="R143" s="150">
        <f t="shared" si="416"/>
        <v>0.20738127100840337</v>
      </c>
      <c r="S143" s="150" t="e">
        <f t="shared" si="416"/>
        <v>#DIV/0!</v>
      </c>
      <c r="T143" s="118" t="e">
        <f t="shared" si="393"/>
        <v>#DIV/0!</v>
      </c>
      <c r="U143" s="20"/>
      <c r="V143" s="150" t="e">
        <f t="shared" ref="V143:AE143" si="417">V140/V20</f>
        <v>#DIV/0!</v>
      </c>
      <c r="W143" s="150" t="e">
        <f t="shared" si="417"/>
        <v>#DIV/0!</v>
      </c>
      <c r="X143" s="150" t="e">
        <f t="shared" si="417"/>
        <v>#DIV/0!</v>
      </c>
      <c r="Y143" s="150" t="e">
        <f t="shared" si="417"/>
        <v>#DIV/0!</v>
      </c>
      <c r="Z143" s="150" t="e">
        <f t="shared" si="417"/>
        <v>#DIV/0!</v>
      </c>
      <c r="AA143" s="150" t="e">
        <f t="shared" si="417"/>
        <v>#DIV/0!</v>
      </c>
      <c r="AB143" s="150" t="e">
        <f t="shared" si="417"/>
        <v>#DIV/0!</v>
      </c>
      <c r="AC143" s="150" t="e">
        <f t="shared" si="417"/>
        <v>#DIV/0!</v>
      </c>
      <c r="AD143" s="150" t="e">
        <f t="shared" si="417"/>
        <v>#DIV/0!</v>
      </c>
      <c r="AE143" s="150" t="e">
        <f t="shared" si="417"/>
        <v>#DIV/0!</v>
      </c>
      <c r="AF143" s="137" t="s">
        <v>449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329</v>
      </c>
      <c r="C145" s="150"/>
      <c r="D145" s="150"/>
      <c r="E145" s="150"/>
      <c r="F145" s="150"/>
      <c r="G145" s="150">
        <f t="shared" ref="G145:H145" si="418">G31/G25</f>
        <v>0</v>
      </c>
      <c r="H145" s="150">
        <f t="shared" si="418"/>
        <v>0</v>
      </c>
      <c r="I145" s="150">
        <f t="shared" ref="I145:S145" si="419">I31/I25</f>
        <v>0</v>
      </c>
      <c r="J145" s="150">
        <f t="shared" si="419"/>
        <v>0</v>
      </c>
      <c r="K145" s="150">
        <f t="shared" si="419"/>
        <v>0</v>
      </c>
      <c r="L145" s="150">
        <f t="shared" si="419"/>
        <v>0</v>
      </c>
      <c r="M145" s="150">
        <f t="shared" si="419"/>
        <v>0</v>
      </c>
      <c r="N145" s="150">
        <f t="shared" si="419"/>
        <v>0</v>
      </c>
      <c r="O145" s="150">
        <f t="shared" si="419"/>
        <v>0</v>
      </c>
      <c r="P145" s="150">
        <f t="shared" si="419"/>
        <v>0</v>
      </c>
      <c r="Q145" s="150">
        <f t="shared" si="419"/>
        <v>0</v>
      </c>
      <c r="R145" s="150">
        <f t="shared" si="419"/>
        <v>0</v>
      </c>
      <c r="S145" s="150">
        <f t="shared" si="419"/>
        <v>0</v>
      </c>
      <c r="T145" s="118" t="e">
        <f t="shared" si="393"/>
        <v>#DIV/0!</v>
      </c>
      <c r="U145" s="20"/>
      <c r="V145" s="150">
        <f t="shared" ref="V145:AE145" si="420">V31/V25</f>
        <v>0</v>
      </c>
      <c r="W145" s="150">
        <f t="shared" si="420"/>
        <v>0</v>
      </c>
      <c r="X145" s="150">
        <f t="shared" si="420"/>
        <v>0</v>
      </c>
      <c r="Y145" s="150">
        <f t="shared" si="420"/>
        <v>0</v>
      </c>
      <c r="Z145" s="150">
        <f t="shared" si="420"/>
        <v>0</v>
      </c>
      <c r="AA145" s="150">
        <f t="shared" si="420"/>
        <v>0</v>
      </c>
      <c r="AB145" s="150">
        <f t="shared" si="420"/>
        <v>0</v>
      </c>
      <c r="AC145" s="150">
        <f t="shared" si="420"/>
        <v>0</v>
      </c>
      <c r="AD145" s="150">
        <f t="shared" si="420"/>
        <v>0</v>
      </c>
      <c r="AE145" s="150">
        <f t="shared" si="420"/>
        <v>0</v>
      </c>
      <c r="AF145" s="137" t="e">
        <f t="shared" si="298"/>
        <v>#DIV/0!</v>
      </c>
      <c r="AG145" s="20"/>
      <c r="AH145" s="20"/>
    </row>
    <row r="146" spans="2:34">
      <c r="B146" s="20" t="s">
        <v>326</v>
      </c>
      <c r="C146" s="150"/>
      <c r="D146" s="150"/>
      <c r="E146" s="150"/>
      <c r="F146" s="150"/>
      <c r="G146" s="150">
        <f t="shared" ref="G146:H146" si="421">G32/G25</f>
        <v>0</v>
      </c>
      <c r="H146" s="150">
        <f t="shared" si="421"/>
        <v>0</v>
      </c>
      <c r="I146" s="150">
        <f t="shared" ref="I146:S146" si="422">I32/I25</f>
        <v>0</v>
      </c>
      <c r="J146" s="150">
        <f t="shared" si="422"/>
        <v>0</v>
      </c>
      <c r="K146" s="150">
        <f t="shared" si="422"/>
        <v>0</v>
      </c>
      <c r="L146" s="150">
        <f t="shared" si="422"/>
        <v>0</v>
      </c>
      <c r="M146" s="150">
        <f t="shared" si="422"/>
        <v>0</v>
      </c>
      <c r="N146" s="150">
        <f t="shared" si="422"/>
        <v>0</v>
      </c>
      <c r="O146" s="150">
        <f t="shared" si="422"/>
        <v>0</v>
      </c>
      <c r="P146" s="150">
        <f t="shared" si="422"/>
        <v>0</v>
      </c>
      <c r="Q146" s="150">
        <f t="shared" si="422"/>
        <v>0</v>
      </c>
      <c r="R146" s="150">
        <f t="shared" si="422"/>
        <v>0</v>
      </c>
      <c r="S146" s="150">
        <f t="shared" si="422"/>
        <v>0</v>
      </c>
      <c r="T146" s="118" t="e">
        <f t="shared" si="393"/>
        <v>#DIV/0!</v>
      </c>
      <c r="U146" s="20"/>
      <c r="V146" s="150">
        <f t="shared" ref="V146:AE146" si="423">V32/V25</f>
        <v>0</v>
      </c>
      <c r="W146" s="150">
        <f t="shared" si="423"/>
        <v>0</v>
      </c>
      <c r="X146" s="150">
        <f t="shared" si="423"/>
        <v>0</v>
      </c>
      <c r="Y146" s="150">
        <f t="shared" si="423"/>
        <v>0</v>
      </c>
      <c r="Z146" s="150">
        <f t="shared" si="423"/>
        <v>0</v>
      </c>
      <c r="AA146" s="150">
        <f t="shared" si="423"/>
        <v>0</v>
      </c>
      <c r="AB146" s="150">
        <f t="shared" si="423"/>
        <v>0</v>
      </c>
      <c r="AC146" s="150">
        <f t="shared" si="423"/>
        <v>0</v>
      </c>
      <c r="AD146" s="150">
        <f t="shared" si="423"/>
        <v>0</v>
      </c>
      <c r="AE146" s="150">
        <f t="shared" si="423"/>
        <v>0</v>
      </c>
      <c r="AF146" s="137" t="e">
        <f t="shared" si="298"/>
        <v>#DIV/0!</v>
      </c>
      <c r="AG146" s="20"/>
      <c r="AH146" s="20"/>
    </row>
    <row r="147" spans="2:34">
      <c r="B147" s="20" t="s">
        <v>456</v>
      </c>
      <c r="C147" s="150"/>
      <c r="D147" s="150"/>
      <c r="E147" s="150"/>
      <c r="F147" s="150"/>
      <c r="G147" s="150">
        <f t="shared" ref="G147:H147" si="424">(G31+G32)/G25</f>
        <v>0</v>
      </c>
      <c r="H147" s="150">
        <f t="shared" si="424"/>
        <v>0</v>
      </c>
      <c r="I147" s="150">
        <f t="shared" ref="I147:S147" si="425">(I31+I32)/I25</f>
        <v>0</v>
      </c>
      <c r="J147" s="150">
        <f t="shared" si="425"/>
        <v>0</v>
      </c>
      <c r="K147" s="150">
        <f t="shared" si="425"/>
        <v>0</v>
      </c>
      <c r="L147" s="150">
        <f t="shared" si="425"/>
        <v>0</v>
      </c>
      <c r="M147" s="150">
        <f t="shared" si="425"/>
        <v>0</v>
      </c>
      <c r="N147" s="150">
        <f t="shared" si="425"/>
        <v>0</v>
      </c>
      <c r="O147" s="150">
        <f t="shared" si="425"/>
        <v>0</v>
      </c>
      <c r="P147" s="150">
        <f t="shared" si="425"/>
        <v>0</v>
      </c>
      <c r="Q147" s="150">
        <f t="shared" si="425"/>
        <v>0</v>
      </c>
      <c r="R147" s="150">
        <f t="shared" si="425"/>
        <v>0</v>
      </c>
      <c r="S147" s="150">
        <f t="shared" si="425"/>
        <v>0</v>
      </c>
      <c r="T147" s="118" t="e">
        <f t="shared" si="393"/>
        <v>#DIV/0!</v>
      </c>
      <c r="U147" s="20"/>
      <c r="V147" s="150">
        <f t="shared" ref="V147:AE147" si="426">(V31+V32)/V25</f>
        <v>0</v>
      </c>
      <c r="W147" s="150">
        <f t="shared" si="426"/>
        <v>0</v>
      </c>
      <c r="X147" s="150">
        <f t="shared" si="426"/>
        <v>0</v>
      </c>
      <c r="Y147" s="150">
        <f t="shared" si="426"/>
        <v>0</v>
      </c>
      <c r="Z147" s="150">
        <f t="shared" si="426"/>
        <v>0</v>
      </c>
      <c r="AA147" s="150">
        <f t="shared" si="426"/>
        <v>0</v>
      </c>
      <c r="AB147" s="150">
        <f t="shared" si="426"/>
        <v>0</v>
      </c>
      <c r="AC147" s="150">
        <f t="shared" si="426"/>
        <v>0</v>
      </c>
      <c r="AD147" s="150">
        <f t="shared" si="426"/>
        <v>0</v>
      </c>
      <c r="AE147" s="150">
        <f t="shared" si="426"/>
        <v>0</v>
      </c>
      <c r="AF147" s="137" t="e">
        <f t="shared" si="298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350</v>
      </c>
      <c r="C149" s="20"/>
      <c r="D149" s="20"/>
      <c r="E149" s="20"/>
      <c r="F149" s="20"/>
      <c r="G149" s="150">
        <f t="shared" ref="G149:H149" si="427">G27/G25</f>
        <v>1</v>
      </c>
      <c r="H149" s="150">
        <f t="shared" si="427"/>
        <v>1</v>
      </c>
      <c r="I149" s="150">
        <f t="shared" ref="I149:S149" si="428">I27/I25</f>
        <v>1</v>
      </c>
      <c r="J149" s="150">
        <f t="shared" si="428"/>
        <v>1.2026726057906458</v>
      </c>
      <c r="K149" s="150">
        <f t="shared" si="428"/>
        <v>0.84615384615384615</v>
      </c>
      <c r="L149" s="150">
        <f t="shared" si="428"/>
        <v>0.47654690618762474</v>
      </c>
      <c r="M149" s="150">
        <f t="shared" si="428"/>
        <v>0.42787524366471735</v>
      </c>
      <c r="N149" s="150">
        <f t="shared" si="428"/>
        <v>0.19639605099204446</v>
      </c>
      <c r="O149" s="150">
        <f t="shared" si="428"/>
        <v>0.20688570979405754</v>
      </c>
      <c r="P149" s="150">
        <f t="shared" si="428"/>
        <v>0.243073115618443</v>
      </c>
      <c r="Q149" s="150">
        <f t="shared" si="428"/>
        <v>0.25101094782522931</v>
      </c>
      <c r="R149" s="150">
        <f t="shared" si="428"/>
        <v>0.44298943712921429</v>
      </c>
      <c r="S149" s="150">
        <f t="shared" si="428"/>
        <v>1.0078840579710144</v>
      </c>
      <c r="T149" s="118">
        <f t="shared" si="393"/>
        <v>6.5464261663183976E-4</v>
      </c>
      <c r="U149" s="20"/>
      <c r="V149" s="150">
        <f t="shared" ref="V149:AE149" si="429">V27/V25</f>
        <v>0.99800284171639675</v>
      </c>
      <c r="W149" s="150">
        <f t="shared" si="429"/>
        <v>0.98821850013094181</v>
      </c>
      <c r="X149" s="150">
        <f t="shared" si="429"/>
        <v>0.97853008346299142</v>
      </c>
      <c r="Y149" s="150">
        <f t="shared" si="429"/>
        <v>0.96893665127217776</v>
      </c>
      <c r="Z149" s="150">
        <f t="shared" si="429"/>
        <v>0.9594372723381368</v>
      </c>
      <c r="AA149" s="150">
        <f t="shared" si="429"/>
        <v>0.9500310245701159</v>
      </c>
      <c r="AB149" s="150">
        <f t="shared" si="429"/>
        <v>0.94071699491746763</v>
      </c>
      <c r="AC149" s="150">
        <f t="shared" si="429"/>
        <v>0.9314942792810218</v>
      </c>
      <c r="AD149" s="150">
        <f t="shared" si="429"/>
        <v>0.92236198242532552</v>
      </c>
      <c r="AE149" s="150">
        <f t="shared" si="429"/>
        <v>0.91331921789174397</v>
      </c>
      <c r="AF149" s="137">
        <f t="shared" si="298"/>
        <v>-4.3083031503785563E-3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30">G33/G25</f>
        <v>1</v>
      </c>
      <c r="H150" s="150">
        <f t="shared" si="430"/>
        <v>1</v>
      </c>
      <c r="I150" s="150">
        <f t="shared" ref="I150:S150" si="431">I33/I25</f>
        <v>1</v>
      </c>
      <c r="J150" s="150">
        <f t="shared" si="431"/>
        <v>0.33407572383073497</v>
      </c>
      <c r="K150" s="150">
        <f t="shared" si="431"/>
        <v>0.60484720758693367</v>
      </c>
      <c r="L150" s="150">
        <f t="shared" si="431"/>
        <v>0.28642714570858285</v>
      </c>
      <c r="M150" s="150">
        <f t="shared" si="431"/>
        <v>0.24610136452241715</v>
      </c>
      <c r="N150" s="150">
        <f t="shared" si="431"/>
        <v>6.4027604715805611E-2</v>
      </c>
      <c r="O150" s="150">
        <f t="shared" si="431"/>
        <v>0.1505266467536551</v>
      </c>
      <c r="P150" s="150">
        <f t="shared" si="431"/>
        <v>0.19680421800182923</v>
      </c>
      <c r="Q150" s="150">
        <f t="shared" si="431"/>
        <v>0.20080875826018346</v>
      </c>
      <c r="R150" s="150">
        <f t="shared" si="431"/>
        <v>1.4469686007813631E-3</v>
      </c>
      <c r="S150" s="150">
        <f t="shared" si="431"/>
        <v>3.1257971014492757E-3</v>
      </c>
      <c r="T150" s="118">
        <f t="shared" si="393"/>
        <v>-0.3816323917345843</v>
      </c>
      <c r="U150" s="20"/>
      <c r="V150" s="150">
        <f t="shared" ref="V150:AE150" si="432">V33/V25</f>
        <v>3.4322477976697929E-3</v>
      </c>
      <c r="W150" s="150">
        <f t="shared" si="432"/>
        <v>3.7687426797942823E-3</v>
      </c>
      <c r="X150" s="150">
        <f t="shared" si="432"/>
        <v>4.1382272562447029E-3</v>
      </c>
      <c r="Y150" s="150">
        <f t="shared" si="432"/>
        <v>4.5439358107784971E-3</v>
      </c>
      <c r="Z150" s="150">
        <f t="shared" si="432"/>
        <v>4.9894197137959973E-3</v>
      </c>
      <c r="AA150" s="150">
        <f t="shared" si="432"/>
        <v>5.4785785092661939E-3</v>
      </c>
      <c r="AB150" s="150">
        <f t="shared" si="432"/>
        <v>6.0156940493903306E-3</v>
      </c>
      <c r="AC150" s="150">
        <f t="shared" si="432"/>
        <v>6.6054679758011468E-3</v>
      </c>
      <c r="AD150" s="150">
        <f t="shared" si="432"/>
        <v>7.2530628753894955E-3</v>
      </c>
      <c r="AE150" s="150">
        <f t="shared" si="432"/>
        <v>7.9641474710159168E-3</v>
      </c>
      <c r="AF150" s="137">
        <f t="shared" si="298"/>
        <v>-0.20557253161202127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33">G34/G25</f>
        <v>1</v>
      </c>
      <c r="H151" s="150">
        <f t="shared" si="433"/>
        <v>1</v>
      </c>
      <c r="I151" s="150">
        <f t="shared" ref="I151:S151" si="434">I34/I25</f>
        <v>1</v>
      </c>
      <c r="J151" s="150">
        <f t="shared" si="434"/>
        <v>0.22271714922048999</v>
      </c>
      <c r="K151" s="150">
        <f t="shared" si="434"/>
        <v>0.43097997892518441</v>
      </c>
      <c r="L151" s="150">
        <f t="shared" si="434"/>
        <v>0.26546906187624753</v>
      </c>
      <c r="M151" s="150">
        <f t="shared" si="434"/>
        <v>0.23927875243664717</v>
      </c>
      <c r="N151" s="150">
        <f t="shared" si="434"/>
        <v>1.054346784242308E-2</v>
      </c>
      <c r="O151" s="150">
        <f t="shared" si="434"/>
        <v>6.9957553843735263E-3</v>
      </c>
      <c r="P151" s="150">
        <f t="shared" si="434"/>
        <v>5.5415075052456016E-3</v>
      </c>
      <c r="Q151" s="150">
        <f t="shared" si="434"/>
        <v>1.3512180688430811E-2</v>
      </c>
      <c r="R151" s="150">
        <f t="shared" si="434"/>
        <v>0.33027058312834612</v>
      </c>
      <c r="S151" s="150">
        <f t="shared" si="434"/>
        <v>0</v>
      </c>
      <c r="T151" s="118">
        <f t="shared" si="393"/>
        <v>-1</v>
      </c>
      <c r="U151" s="20"/>
      <c r="V151" s="150">
        <f t="shared" ref="V151:AE151" si="435">V34/V25</f>
        <v>0</v>
      </c>
      <c r="W151" s="150">
        <f t="shared" si="435"/>
        <v>0</v>
      </c>
      <c r="X151" s="150">
        <f t="shared" si="435"/>
        <v>0</v>
      </c>
      <c r="Y151" s="150">
        <f t="shared" si="435"/>
        <v>0</v>
      </c>
      <c r="Z151" s="150">
        <f t="shared" si="435"/>
        <v>0</v>
      </c>
      <c r="AA151" s="150">
        <f t="shared" si="435"/>
        <v>0</v>
      </c>
      <c r="AB151" s="150">
        <f t="shared" si="435"/>
        <v>0</v>
      </c>
      <c r="AC151" s="150">
        <f t="shared" si="435"/>
        <v>0</v>
      </c>
      <c r="AD151" s="150">
        <f t="shared" si="435"/>
        <v>0</v>
      </c>
      <c r="AE151" s="150">
        <f t="shared" si="435"/>
        <v>0</v>
      </c>
      <c r="AF151" s="137">
        <f t="shared" si="298"/>
        <v>-1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361</v>
      </c>
      <c r="C154" s="20"/>
      <c r="D154" s="20"/>
      <c r="E154" s="20"/>
      <c r="F154" s="20"/>
      <c r="G154" s="25">
        <f t="shared" ref="G154:H154" si="436">G15/G9</f>
        <v>1</v>
      </c>
      <c r="H154" s="25">
        <f t="shared" si="436"/>
        <v>1</v>
      </c>
      <c r="I154" s="25">
        <f t="shared" ref="I154:S154" si="437">I15/I9</f>
        <v>1</v>
      </c>
      <c r="J154" s="25">
        <f t="shared" si="437"/>
        <v>0</v>
      </c>
      <c r="K154" s="25">
        <f t="shared" si="437"/>
        <v>2.1385416666666668</v>
      </c>
      <c r="L154" s="25">
        <f t="shared" si="437"/>
        <v>4.1792073520964959</v>
      </c>
      <c r="M154" s="25">
        <f t="shared" si="437"/>
        <v>0.449585635359116</v>
      </c>
      <c r="N154" s="25">
        <f t="shared" si="437"/>
        <v>3.2644178454842221</v>
      </c>
      <c r="O154" s="25">
        <f t="shared" si="437"/>
        <v>2.7308907138344916</v>
      </c>
      <c r="P154" s="25">
        <f t="shared" si="437"/>
        <v>3.6470054446460982</v>
      </c>
      <c r="Q154" s="25">
        <f t="shared" si="437"/>
        <v>1.3241599073001158</v>
      </c>
      <c r="R154" s="25">
        <f t="shared" si="437"/>
        <v>0.43864624692758558</v>
      </c>
      <c r="S154" s="25">
        <f t="shared" si="437"/>
        <v>0</v>
      </c>
      <c r="T154" s="118">
        <f t="shared" si="393"/>
        <v>-1</v>
      </c>
      <c r="U154" s="20"/>
      <c r="V154" s="20">
        <f t="shared" ref="V154:AE154" si="438">V15/V9</f>
        <v>0</v>
      </c>
      <c r="W154" s="20">
        <f t="shared" si="438"/>
        <v>0</v>
      </c>
      <c r="X154" s="20">
        <f t="shared" si="438"/>
        <v>0</v>
      </c>
      <c r="Y154" s="20">
        <f t="shared" si="438"/>
        <v>0</v>
      </c>
      <c r="Z154" s="20">
        <f t="shared" si="438"/>
        <v>0</v>
      </c>
      <c r="AA154" s="20">
        <f t="shared" si="438"/>
        <v>0</v>
      </c>
      <c r="AB154" s="20">
        <f t="shared" si="438"/>
        <v>0</v>
      </c>
      <c r="AC154" s="20">
        <f t="shared" si="438"/>
        <v>0</v>
      </c>
      <c r="AD154" s="20">
        <f t="shared" si="438"/>
        <v>0</v>
      </c>
      <c r="AE154" s="20">
        <f t="shared" si="438"/>
        <v>0</v>
      </c>
      <c r="AF154" s="137">
        <f t="shared" si="298"/>
        <v>-1</v>
      </c>
      <c r="AG154" s="20"/>
      <c r="AH154" s="20"/>
    </row>
    <row r="155" spans="2:34">
      <c r="B155" s="20" t="s">
        <v>351</v>
      </c>
      <c r="C155" s="20"/>
      <c r="D155" s="20"/>
      <c r="E155" s="20"/>
      <c r="F155" s="20"/>
      <c r="G155" s="25">
        <f t="shared" ref="G155:H155" si="439">G12/G9</f>
        <v>1</v>
      </c>
      <c r="H155" s="25">
        <f t="shared" si="439"/>
        <v>1</v>
      </c>
      <c r="I155" s="25">
        <f t="shared" ref="I155:S155" si="440">I12/I9</f>
        <v>1</v>
      </c>
      <c r="J155" s="25">
        <f t="shared" si="440"/>
        <v>1.5855342136854742</v>
      </c>
      <c r="K155" s="25">
        <f t="shared" si="440"/>
        <v>6.25E-2</v>
      </c>
      <c r="L155" s="25">
        <f t="shared" si="440"/>
        <v>1.3210798391728892E-2</v>
      </c>
      <c r="M155" s="25">
        <f t="shared" si="440"/>
        <v>0.63881215469613262</v>
      </c>
      <c r="N155" s="25">
        <f t="shared" si="440"/>
        <v>2.4080522306855277</v>
      </c>
      <c r="O155" s="25">
        <f t="shared" si="440"/>
        <v>2.2150979153506003</v>
      </c>
      <c r="P155" s="25">
        <f t="shared" si="440"/>
        <v>2.5208711433756807</v>
      </c>
      <c r="Q155" s="25">
        <f t="shared" si="440"/>
        <v>0.51042873696407876</v>
      </c>
      <c r="R155" s="25">
        <f t="shared" si="440"/>
        <v>0.16089998109283418</v>
      </c>
      <c r="S155" s="25">
        <f t="shared" si="440"/>
        <v>0.49947643979057593</v>
      </c>
      <c r="T155" s="118">
        <f t="shared" si="393"/>
        <v>-5.6208089378493531E-2</v>
      </c>
      <c r="U155" s="128"/>
      <c r="V155" s="20">
        <f t="shared" ref="V155:AE155" si="441">V12/V9</f>
        <v>0.49947643979057588</v>
      </c>
      <c r="W155" s="20">
        <f t="shared" si="441"/>
        <v>0.49947643979057582</v>
      </c>
      <c r="X155" s="20">
        <f t="shared" si="441"/>
        <v>0.49947643979057582</v>
      </c>
      <c r="Y155" s="20">
        <f t="shared" si="441"/>
        <v>0.49947643979057582</v>
      </c>
      <c r="Z155" s="20">
        <f t="shared" si="441"/>
        <v>0.49947643979057588</v>
      </c>
      <c r="AA155" s="20">
        <f t="shared" si="441"/>
        <v>0.49947643979057588</v>
      </c>
      <c r="AB155" s="20">
        <f t="shared" si="441"/>
        <v>0.49947643979057593</v>
      </c>
      <c r="AC155" s="20">
        <f t="shared" si="441"/>
        <v>0.49947643979057593</v>
      </c>
      <c r="AD155" s="20">
        <f t="shared" si="441"/>
        <v>0.49947643979057588</v>
      </c>
      <c r="AE155" s="20">
        <f t="shared" si="441"/>
        <v>0.49947643979057593</v>
      </c>
      <c r="AF155" s="118">
        <f t="shared" ref="AF155" si="442">((AE155/V155)^(1/($J$2-$J$1) ))-1</f>
        <v>0</v>
      </c>
      <c r="AG155" s="20"/>
      <c r="AH155" s="20"/>
    </row>
    <row r="156" spans="2:34">
      <c r="B156" s="20" t="s">
        <v>353</v>
      </c>
      <c r="C156" s="20"/>
      <c r="D156" s="20"/>
      <c r="E156" s="20"/>
      <c r="F156" s="20"/>
      <c r="G156" s="25">
        <f t="shared" ref="G156:H156" si="443">G25/360</f>
        <v>2.7777777777777779E-3</v>
      </c>
      <c r="H156" s="25">
        <f t="shared" si="443"/>
        <v>2.7777777777777779E-3</v>
      </c>
      <c r="I156" s="25">
        <f t="shared" ref="I156:S156" si="444">I25/360</f>
        <v>2.7777777777777779E-3</v>
      </c>
      <c r="J156" s="25">
        <f t="shared" si="444"/>
        <v>0.12472222222222222</v>
      </c>
      <c r="K156" s="25">
        <f t="shared" si="444"/>
        <v>2.6361111111111111</v>
      </c>
      <c r="L156" s="25">
        <f t="shared" si="444"/>
        <v>5.5666666666666664</v>
      </c>
      <c r="M156" s="25">
        <f t="shared" si="444"/>
        <v>5.7</v>
      </c>
      <c r="N156" s="25">
        <f t="shared" si="444"/>
        <v>28.980555555555554</v>
      </c>
      <c r="O156" s="25">
        <f t="shared" si="444"/>
        <v>35.338888888888889</v>
      </c>
      <c r="P156" s="25">
        <f t="shared" si="444"/>
        <v>51.630555555555553</v>
      </c>
      <c r="Q156" s="25">
        <f t="shared" si="444"/>
        <v>56.327777777777776</v>
      </c>
      <c r="R156" s="25">
        <f t="shared" si="444"/>
        <v>38.394444444444446</v>
      </c>
      <c r="S156" s="25">
        <f t="shared" si="444"/>
        <v>23.958333333333332</v>
      </c>
      <c r="T156" s="118">
        <f t="shared" si="393"/>
        <v>1.1280406778441474</v>
      </c>
      <c r="U156" s="128"/>
      <c r="V156" s="25">
        <f t="shared" ref="V156:AE156" si="445">V25/360</f>
        <v>24.4375</v>
      </c>
      <c r="W156" s="25">
        <f t="shared" si="445"/>
        <v>24.926250000000003</v>
      </c>
      <c r="X156" s="25">
        <f t="shared" si="445"/>
        <v>25.424775000000004</v>
      </c>
      <c r="Y156" s="25">
        <f t="shared" si="445"/>
        <v>25.933270500000006</v>
      </c>
      <c r="Z156" s="25">
        <f t="shared" si="445"/>
        <v>26.451935910000007</v>
      </c>
      <c r="AA156" s="25">
        <f t="shared" si="445"/>
        <v>26.980974628200006</v>
      </c>
      <c r="AB156" s="25">
        <f t="shared" si="445"/>
        <v>27.520594120764009</v>
      </c>
      <c r="AC156" s="25">
        <f t="shared" si="445"/>
        <v>28.071006003179289</v>
      </c>
      <c r="AD156" s="25">
        <f t="shared" si="445"/>
        <v>28.632426123242876</v>
      </c>
      <c r="AE156" s="25">
        <f t="shared" si="445"/>
        <v>29.205074645707732</v>
      </c>
      <c r="AF156" s="118">
        <f t="shared" ref="AF156:AF167" si="446">((AE156/V156)^(1/($J$2-$J$1) ))-1</f>
        <v>1.4962809029440249E-2</v>
      </c>
      <c r="AG156" s="20"/>
      <c r="AH156" s="20"/>
    </row>
    <row r="157" spans="2:34">
      <c r="B157" s="20" t="s">
        <v>352</v>
      </c>
      <c r="C157" s="20"/>
      <c r="D157" s="20"/>
      <c r="E157" s="20"/>
      <c r="F157" s="20"/>
      <c r="G157" s="25">
        <f t="shared" ref="G157:H157" si="447">G27/360</f>
        <v>2.7777777777777779E-3</v>
      </c>
      <c r="H157" s="25">
        <f t="shared" si="447"/>
        <v>2.7777777777777779E-3</v>
      </c>
      <c r="I157" s="25">
        <f t="shared" ref="I157:S157" si="448">I27/360</f>
        <v>2.7777777777777779E-3</v>
      </c>
      <c r="J157" s="25">
        <f t="shared" si="448"/>
        <v>0.15</v>
      </c>
      <c r="K157" s="25">
        <f t="shared" si="448"/>
        <v>2.2305555555555556</v>
      </c>
      <c r="L157" s="25">
        <f t="shared" si="448"/>
        <v>2.6527777777777777</v>
      </c>
      <c r="M157" s="25">
        <f t="shared" si="448"/>
        <v>2.4388888888888891</v>
      </c>
      <c r="N157" s="25">
        <f t="shared" si="448"/>
        <v>5.6916666666666664</v>
      </c>
      <c r="O157" s="25">
        <f t="shared" si="448"/>
        <v>7.3111111111111109</v>
      </c>
      <c r="P157" s="25">
        <f t="shared" si="448"/>
        <v>12.55</v>
      </c>
      <c r="Q157" s="25">
        <f t="shared" si="448"/>
        <v>14.138888888888889</v>
      </c>
      <c r="R157" s="25">
        <f t="shared" si="448"/>
        <v>17.008333333333333</v>
      </c>
      <c r="S157" s="25">
        <f t="shared" si="448"/>
        <v>24.147222222222222</v>
      </c>
      <c r="T157" s="118">
        <f t="shared" si="393"/>
        <v>1.1294337839617898</v>
      </c>
      <c r="U157" s="128"/>
      <c r="V157" s="25">
        <f t="shared" ref="V157:AE157" si="449">V27/360</f>
        <v>24.388694444444447</v>
      </c>
      <c r="W157" s="25">
        <f t="shared" si="449"/>
        <v>24.632581388888891</v>
      </c>
      <c r="X157" s="25">
        <f t="shared" si="449"/>
        <v>24.878907202777782</v>
      </c>
      <c r="Y157" s="25">
        <f t="shared" si="449"/>
        <v>25.127696274805562</v>
      </c>
      <c r="Z157" s="25">
        <f t="shared" si="449"/>
        <v>25.378973237553616</v>
      </c>
      <c r="AA157" s="25">
        <f t="shared" si="449"/>
        <v>25.632762969929153</v>
      </c>
      <c r="AB157" s="25">
        <f t="shared" si="449"/>
        <v>25.889090599628446</v>
      </c>
      <c r="AC157" s="25">
        <f t="shared" si="449"/>
        <v>26.147981505624728</v>
      </c>
      <c r="AD157" s="25">
        <f t="shared" si="449"/>
        <v>26.409461320680975</v>
      </c>
      <c r="AE157" s="25">
        <f t="shared" si="449"/>
        <v>26.673555933887787</v>
      </c>
      <c r="AF157" s="118">
        <f t="shared" si="446"/>
        <v>7.490663844191614E-3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362</v>
      </c>
      <c r="C159" s="20"/>
      <c r="D159" s="20"/>
      <c r="E159" s="20"/>
      <c r="F159" s="20"/>
      <c r="G159" s="25">
        <f t="shared" ref="G159:H159" si="450">G10/G7</f>
        <v>1</v>
      </c>
      <c r="H159" s="25">
        <f t="shared" si="450"/>
        <v>1</v>
      </c>
      <c r="I159" s="25">
        <f t="shared" ref="I159:S159" si="451">I10/I7</f>
        <v>1</v>
      </c>
      <c r="J159" s="25">
        <f t="shared" si="451"/>
        <v>6.8306010928961749E-4</v>
      </c>
      <c r="K159" s="25">
        <f t="shared" si="451"/>
        <v>1.0599626295226771E-2</v>
      </c>
      <c r="L159" s="25">
        <f t="shared" si="451"/>
        <v>0.13279678068410464</v>
      </c>
      <c r="M159" s="25">
        <f t="shared" si="451"/>
        <v>0.10038974843510098</v>
      </c>
      <c r="N159" s="25">
        <f t="shared" si="451"/>
        <v>6.6339066339066333E-2</v>
      </c>
      <c r="O159" s="25">
        <f t="shared" si="451"/>
        <v>0</v>
      </c>
      <c r="P159" s="25">
        <f t="shared" si="451"/>
        <v>0</v>
      </c>
      <c r="Q159" s="25">
        <f t="shared" si="451"/>
        <v>0</v>
      </c>
      <c r="R159" s="25">
        <f t="shared" si="451"/>
        <v>0</v>
      </c>
      <c r="S159" s="25">
        <f t="shared" si="451"/>
        <v>0</v>
      </c>
      <c r="T159" s="118">
        <f t="shared" si="393"/>
        <v>-1</v>
      </c>
      <c r="U159" s="128"/>
      <c r="V159" s="25">
        <f t="shared" ref="V159:AE159" si="452">V10/V7</f>
        <v>0</v>
      </c>
      <c r="W159" s="25">
        <f t="shared" si="452"/>
        <v>0</v>
      </c>
      <c r="X159" s="25">
        <f t="shared" si="452"/>
        <v>0</v>
      </c>
      <c r="Y159" s="25">
        <f t="shared" si="452"/>
        <v>0</v>
      </c>
      <c r="Z159" s="25">
        <f t="shared" si="452"/>
        <v>0</v>
      </c>
      <c r="AA159" s="25">
        <f t="shared" si="452"/>
        <v>0</v>
      </c>
      <c r="AB159" s="25">
        <f t="shared" si="452"/>
        <v>0</v>
      </c>
      <c r="AC159" s="25">
        <f t="shared" si="452"/>
        <v>0</v>
      </c>
      <c r="AD159" s="25">
        <f t="shared" si="452"/>
        <v>0</v>
      </c>
      <c r="AE159" s="25">
        <f t="shared" si="452"/>
        <v>0</v>
      </c>
      <c r="AF159" s="118" t="e">
        <f t="shared" si="446"/>
        <v>#DIV/0!</v>
      </c>
      <c r="AG159" s="20"/>
      <c r="AH159" s="20"/>
    </row>
    <row r="160" spans="2:34">
      <c r="B160" s="20" t="s">
        <v>354</v>
      </c>
      <c r="C160" s="20"/>
      <c r="D160" s="20"/>
      <c r="E160" s="20"/>
      <c r="F160" s="20"/>
      <c r="G160" s="25">
        <f t="shared" ref="G160:H160" si="453">G10/(G10+G7)</f>
        <v>0.5</v>
      </c>
      <c r="H160" s="25">
        <f t="shared" si="453"/>
        <v>0.5</v>
      </c>
      <c r="I160" s="25">
        <f t="shared" ref="I160:S160" si="454">I10/(I10+I7)</f>
        <v>0.5</v>
      </c>
      <c r="J160" s="25">
        <f t="shared" si="454"/>
        <v>6.8259385665529011E-4</v>
      </c>
      <c r="K160" s="25">
        <f t="shared" si="454"/>
        <v>1.048845261707063E-2</v>
      </c>
      <c r="L160" s="25">
        <f t="shared" si="454"/>
        <v>0.11722912966252221</v>
      </c>
      <c r="M160" s="25">
        <f t="shared" si="454"/>
        <v>9.123108296662015E-2</v>
      </c>
      <c r="N160" s="25">
        <f t="shared" si="454"/>
        <v>6.2211981566820278E-2</v>
      </c>
      <c r="O160" s="25">
        <f t="shared" si="454"/>
        <v>0</v>
      </c>
      <c r="P160" s="25">
        <f t="shared" si="454"/>
        <v>0</v>
      </c>
      <c r="Q160" s="25">
        <f t="shared" si="454"/>
        <v>0</v>
      </c>
      <c r="R160" s="25">
        <f t="shared" si="454"/>
        <v>0</v>
      </c>
      <c r="S160" s="25">
        <f t="shared" si="454"/>
        <v>0</v>
      </c>
      <c r="T160" s="118">
        <f t="shared" si="393"/>
        <v>-1</v>
      </c>
      <c r="U160" s="128"/>
      <c r="V160" s="25">
        <f t="shared" ref="V160:AE160" si="455">V10/(V10+V7)</f>
        <v>0</v>
      </c>
      <c r="W160" s="25">
        <f t="shared" si="455"/>
        <v>0</v>
      </c>
      <c r="X160" s="25">
        <f t="shared" si="455"/>
        <v>0</v>
      </c>
      <c r="Y160" s="25">
        <f t="shared" si="455"/>
        <v>0</v>
      </c>
      <c r="Z160" s="25">
        <f t="shared" si="455"/>
        <v>0</v>
      </c>
      <c r="AA160" s="25">
        <f t="shared" si="455"/>
        <v>0</v>
      </c>
      <c r="AB160" s="25">
        <f t="shared" si="455"/>
        <v>0</v>
      </c>
      <c r="AC160" s="25">
        <f t="shared" si="455"/>
        <v>0</v>
      </c>
      <c r="AD160" s="25">
        <f t="shared" si="455"/>
        <v>0</v>
      </c>
      <c r="AE160" s="25">
        <f t="shared" si="455"/>
        <v>0</v>
      </c>
      <c r="AF160" s="118" t="e">
        <f t="shared" si="446"/>
        <v>#DIV/0!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359</v>
      </c>
      <c r="C162" s="20"/>
      <c r="D162" s="20"/>
      <c r="E162" s="20"/>
      <c r="F162" s="20"/>
      <c r="G162" s="25">
        <f t="shared" ref="G162:H162" si="456">G16</f>
        <v>1</v>
      </c>
      <c r="H162" s="25">
        <f t="shared" si="456"/>
        <v>1</v>
      </c>
      <c r="I162" s="25">
        <f t="shared" ref="I162:S162" si="457">I16</f>
        <v>1</v>
      </c>
      <c r="J162" s="25">
        <f t="shared" si="457"/>
        <v>0</v>
      </c>
      <c r="K162" s="25">
        <f t="shared" si="457"/>
        <v>724</v>
      </c>
      <c r="L162" s="25">
        <f t="shared" si="457"/>
        <v>5100</v>
      </c>
      <c r="M162" s="25">
        <f t="shared" si="457"/>
        <v>447</v>
      </c>
      <c r="N162" s="25">
        <f t="shared" si="457"/>
        <v>4473</v>
      </c>
      <c r="O162" s="25">
        <f t="shared" si="457"/>
        <v>7687</v>
      </c>
      <c r="P162" s="25">
        <f t="shared" si="457"/>
        <v>8347</v>
      </c>
      <c r="Q162" s="25">
        <f t="shared" si="457"/>
        <v>10301</v>
      </c>
      <c r="R162" s="25">
        <f t="shared" si="457"/>
        <v>14096</v>
      </c>
      <c r="S162" s="25">
        <f t="shared" si="457"/>
        <v>0</v>
      </c>
      <c r="T162" s="118">
        <f t="shared" si="393"/>
        <v>-1</v>
      </c>
      <c r="U162" s="128"/>
      <c r="V162" s="25">
        <f t="shared" ref="V162:AE162" si="458">V16</f>
        <v>0</v>
      </c>
      <c r="W162" s="25">
        <f t="shared" si="458"/>
        <v>0</v>
      </c>
      <c r="X162" s="25">
        <f t="shared" si="458"/>
        <v>0</v>
      </c>
      <c r="Y162" s="25">
        <f t="shared" si="458"/>
        <v>0</v>
      </c>
      <c r="Z162" s="25">
        <f t="shared" si="458"/>
        <v>0</v>
      </c>
      <c r="AA162" s="25">
        <f t="shared" si="458"/>
        <v>0</v>
      </c>
      <c r="AB162" s="25">
        <f t="shared" si="458"/>
        <v>0</v>
      </c>
      <c r="AC162" s="25">
        <f t="shared" si="458"/>
        <v>0</v>
      </c>
      <c r="AD162" s="25">
        <f t="shared" si="458"/>
        <v>0</v>
      </c>
      <c r="AE162" s="25">
        <f t="shared" si="458"/>
        <v>0</v>
      </c>
      <c r="AF162" s="118" t="e">
        <f t="shared" si="446"/>
        <v>#DIV/0!</v>
      </c>
      <c r="AG162" s="20"/>
      <c r="AH162" s="20"/>
    </row>
    <row r="163" spans="2:34">
      <c r="B163" s="20" t="s">
        <v>360</v>
      </c>
      <c r="C163" s="20"/>
      <c r="D163" s="20"/>
      <c r="E163" s="20"/>
      <c r="F163" s="20"/>
      <c r="G163" s="119">
        <f t="shared" ref="G163:H163" si="459">G162*365/G25</f>
        <v>365</v>
      </c>
      <c r="H163" s="119">
        <f t="shared" si="459"/>
        <v>365</v>
      </c>
      <c r="I163" s="119">
        <f t="shared" ref="I163:S163" si="460">I162*365/I25</f>
        <v>365</v>
      </c>
      <c r="J163" s="119">
        <f t="shared" si="460"/>
        <v>0</v>
      </c>
      <c r="K163" s="119">
        <f t="shared" si="460"/>
        <v>278.46153846153845</v>
      </c>
      <c r="L163" s="119">
        <f t="shared" si="460"/>
        <v>928.8922155688623</v>
      </c>
      <c r="M163" s="119">
        <f t="shared" si="460"/>
        <v>79.510233918128648</v>
      </c>
      <c r="N163" s="119">
        <f t="shared" si="460"/>
        <v>156.48854595993481</v>
      </c>
      <c r="O163" s="119">
        <f t="shared" si="460"/>
        <v>220.54354661216789</v>
      </c>
      <c r="P163" s="119">
        <f t="shared" si="460"/>
        <v>163.91321891644697</v>
      </c>
      <c r="Q163" s="119">
        <f t="shared" si="460"/>
        <v>185.41596804418583</v>
      </c>
      <c r="R163" s="119">
        <f t="shared" si="460"/>
        <v>372.23556648820721</v>
      </c>
      <c r="S163" s="119">
        <f t="shared" si="460"/>
        <v>0</v>
      </c>
      <c r="T163" s="118">
        <f t="shared" si="393"/>
        <v>-1</v>
      </c>
      <c r="U163" s="128"/>
      <c r="V163" s="119">
        <f t="shared" ref="V163:AE163" si="461">V162*365/V25</f>
        <v>0</v>
      </c>
      <c r="W163" s="119">
        <f t="shared" si="461"/>
        <v>0</v>
      </c>
      <c r="X163" s="119">
        <f t="shared" si="461"/>
        <v>0</v>
      </c>
      <c r="Y163" s="119">
        <f t="shared" si="461"/>
        <v>0</v>
      </c>
      <c r="Z163" s="119">
        <f t="shared" si="461"/>
        <v>0</v>
      </c>
      <c r="AA163" s="119">
        <f t="shared" si="461"/>
        <v>0</v>
      </c>
      <c r="AB163" s="119">
        <f t="shared" si="461"/>
        <v>0</v>
      </c>
      <c r="AC163" s="119">
        <f t="shared" si="461"/>
        <v>0</v>
      </c>
      <c r="AD163" s="119">
        <f t="shared" si="461"/>
        <v>0</v>
      </c>
      <c r="AE163" s="119">
        <f t="shared" si="461"/>
        <v>0</v>
      </c>
      <c r="AF163" s="118" t="e">
        <f t="shared" si="446"/>
        <v>#DIV/0!</v>
      </c>
      <c r="AG163" s="20"/>
      <c r="AH163" s="20"/>
    </row>
    <row r="164" spans="2:34">
      <c r="B164" s="20" t="s">
        <v>363</v>
      </c>
      <c r="C164" s="20"/>
      <c r="D164" s="20"/>
      <c r="E164" s="20"/>
      <c r="F164" s="20"/>
      <c r="G164" s="133">
        <f t="shared" ref="G164:H164" si="462">G98/G29</f>
        <v>5.66475953095791E-2</v>
      </c>
      <c r="H164" s="133" t="e">
        <f t="shared" si="462"/>
        <v>#DIV/0!</v>
      </c>
      <c r="I164" s="133" t="e">
        <f t="shared" ref="I164:S164" si="463">I98/I29</f>
        <v>#DIV/0!</v>
      </c>
      <c r="J164" s="133">
        <f t="shared" si="463"/>
        <v>-0.37765063539719407</v>
      </c>
      <c r="K164" s="133">
        <f t="shared" si="463"/>
        <v>0.40821342064102001</v>
      </c>
      <c r="L164" s="133">
        <f t="shared" si="463"/>
        <v>0.34535484551302331</v>
      </c>
      <c r="M164" s="133">
        <f t="shared" si="463"/>
        <v>0.21207540979764961</v>
      </c>
      <c r="N164" s="133">
        <f t="shared" si="463"/>
        <v>0.14466235518867099</v>
      </c>
      <c r="O164" s="133">
        <f t="shared" si="463"/>
        <v>0.21468517094776521</v>
      </c>
      <c r="P164" s="133">
        <f t="shared" si="463"/>
        <v>0.9903217006816678</v>
      </c>
      <c r="Q164" s="133">
        <f t="shared" si="463"/>
        <v>1.7080799608583213</v>
      </c>
      <c r="R164" s="133">
        <f t="shared" si="463"/>
        <v>2.2726545415755508</v>
      </c>
      <c r="S164" s="133">
        <f t="shared" si="463"/>
        <v>0.44831866799463727</v>
      </c>
      <c r="T164" s="118">
        <f t="shared" si="393"/>
        <v>0.18813861822209321</v>
      </c>
      <c r="U164" s="128"/>
      <c r="V164" s="133">
        <f t="shared" ref="V164:AE164" si="464">V98/V29</f>
        <v>0.43952810587709534</v>
      </c>
      <c r="W164" s="133">
        <f t="shared" si="464"/>
        <v>0.43090990772264254</v>
      </c>
      <c r="X164" s="133">
        <f t="shared" si="464"/>
        <v>0.42246069384572793</v>
      </c>
      <c r="Y164" s="133">
        <f t="shared" si="464"/>
        <v>0.41417715082914502</v>
      </c>
      <c r="Z164" s="133">
        <f t="shared" si="464"/>
        <v>0.40605603022465209</v>
      </c>
      <c r="AA164" s="133">
        <f t="shared" si="464"/>
        <v>0.39809414727907066</v>
      </c>
      <c r="AB164" s="133">
        <f t="shared" si="464"/>
        <v>0.39028837968536328</v>
      </c>
      <c r="AC164" s="133">
        <f t="shared" si="464"/>
        <v>0.3826356663581994</v>
      </c>
      <c r="AD164" s="133">
        <f t="shared" si="464"/>
        <v>0.3751330062335288</v>
      </c>
      <c r="AE164" s="133">
        <f t="shared" si="464"/>
        <v>0.3677774570916949</v>
      </c>
      <c r="AF164" s="118">
        <f t="shared" si="446"/>
        <v>-1.4742223947839417E-2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370</v>
      </c>
      <c r="C166" s="20"/>
      <c r="D166" s="20"/>
      <c r="E166" s="20"/>
      <c r="F166" s="20"/>
      <c r="G166" s="178">
        <f t="shared" ref="G166:H166" si="465">G25/G14</f>
        <v>1</v>
      </c>
      <c r="H166" s="178" t="e">
        <f t="shared" si="465"/>
        <v>#DIV/0!</v>
      </c>
      <c r="I166" s="178" t="e">
        <f t="shared" ref="I166:S166" si="466">I25/I14</f>
        <v>#DIV/0!</v>
      </c>
      <c r="J166" s="178" t="e">
        <f t="shared" si="466"/>
        <v>#DIV/0!</v>
      </c>
      <c r="K166" s="178" t="e">
        <f t="shared" si="466"/>
        <v>#DIV/0!</v>
      </c>
      <c r="L166" s="178" t="e">
        <f t="shared" si="466"/>
        <v>#DIV/0!</v>
      </c>
      <c r="M166" s="178">
        <f t="shared" si="466"/>
        <v>7.0515463917525771</v>
      </c>
      <c r="N166" s="178">
        <f t="shared" si="466"/>
        <v>115.92222222222222</v>
      </c>
      <c r="O166" s="178">
        <f t="shared" si="466"/>
        <v>93.544117647058826</v>
      </c>
      <c r="P166" s="178">
        <f t="shared" si="466"/>
        <v>94.83163265306122</v>
      </c>
      <c r="Q166" s="178">
        <f t="shared" si="466"/>
        <v>68.27609427609427</v>
      </c>
      <c r="R166" s="178">
        <f t="shared" si="466"/>
        <v>40.29737609329446</v>
      </c>
      <c r="S166" s="178">
        <f t="shared" si="466"/>
        <v>18.429487179487179</v>
      </c>
      <c r="T166" s="118">
        <f t="shared" si="393"/>
        <v>0.2748510252363352</v>
      </c>
      <c r="U166" s="128"/>
      <c r="V166" s="20">
        <f t="shared" ref="V166:AE166" si="467">V25/V14</f>
        <v>16.783997252747252</v>
      </c>
      <c r="W166" s="20">
        <f t="shared" si="467"/>
        <v>15.285426069466245</v>
      </c>
      <c r="X166" s="20">
        <f t="shared" si="467"/>
        <v>13.920655884692474</v>
      </c>
      <c r="Y166" s="20">
        <f t="shared" si="467"/>
        <v>12.677740180702074</v>
      </c>
      <c r="Z166" s="20">
        <f t="shared" si="467"/>
        <v>11.545799093139388</v>
      </c>
      <c r="AA166" s="20">
        <f t="shared" si="467"/>
        <v>10.514924174109083</v>
      </c>
      <c r="AB166" s="20">
        <f t="shared" si="467"/>
        <v>9.5760916585636302</v>
      </c>
      <c r="AC166" s="20">
        <f t="shared" si="467"/>
        <v>8.7210834747633061</v>
      </c>
      <c r="AD166" s="20">
        <f t="shared" si="467"/>
        <v>7.9424153073737234</v>
      </c>
      <c r="AE166" s="20">
        <f t="shared" si="467"/>
        <v>7.2332710835010685</v>
      </c>
      <c r="AF166" s="118">
        <f t="shared" si="446"/>
        <v>-6.7740941828026702E-2</v>
      </c>
      <c r="AG166" s="20"/>
      <c r="AH166" s="20"/>
    </row>
    <row r="167" spans="2:34">
      <c r="B167" s="20" t="s">
        <v>371</v>
      </c>
      <c r="C167" s="20"/>
      <c r="D167" s="20"/>
      <c r="E167" s="20"/>
      <c r="F167" s="20"/>
      <c r="G167" s="178">
        <f t="shared" ref="G167:H167" si="468">G27/G14</f>
        <v>1</v>
      </c>
      <c r="H167" s="178" t="e">
        <f t="shared" si="468"/>
        <v>#DIV/0!</v>
      </c>
      <c r="I167" s="178" t="e">
        <f t="shared" ref="I167:S167" si="469">I27/I14</f>
        <v>#DIV/0!</v>
      </c>
      <c r="J167" s="178" t="e">
        <f t="shared" si="469"/>
        <v>#DIV/0!</v>
      </c>
      <c r="K167" s="178" t="e">
        <f t="shared" si="469"/>
        <v>#DIV/0!</v>
      </c>
      <c r="L167" s="178" t="e">
        <f t="shared" si="469"/>
        <v>#DIV/0!</v>
      </c>
      <c r="M167" s="178">
        <f t="shared" si="469"/>
        <v>3.0171821305841924</v>
      </c>
      <c r="N167" s="178">
        <f t="shared" si="469"/>
        <v>22.766666666666666</v>
      </c>
      <c r="O167" s="178">
        <f t="shared" si="469"/>
        <v>19.352941176470587</v>
      </c>
      <c r="P167" s="178">
        <f t="shared" si="469"/>
        <v>23.051020408163264</v>
      </c>
      <c r="Q167" s="178">
        <f t="shared" si="469"/>
        <v>17.138047138047138</v>
      </c>
      <c r="R167" s="178">
        <f t="shared" si="469"/>
        <v>17.85131195335277</v>
      </c>
      <c r="S167" s="178">
        <f t="shared" si="469"/>
        <v>18.574786324786324</v>
      </c>
      <c r="T167" s="118">
        <f t="shared" si="393"/>
        <v>0.27568559704731177</v>
      </c>
      <c r="U167" s="128"/>
      <c r="V167" s="20">
        <f t="shared" ref="V167:AE167" si="470">V27/V14</f>
        <v>16.75047695360195</v>
      </c>
      <c r="W167" s="20">
        <f t="shared" si="470"/>
        <v>15.10534082423033</v>
      </c>
      <c r="X167" s="20">
        <f t="shared" si="470"/>
        <v>13.621780564707709</v>
      </c>
      <c r="Y167" s="20">
        <f t="shared" si="470"/>
        <v>12.283927116388202</v>
      </c>
      <c r="Z167" s="20">
        <f t="shared" si="470"/>
        <v>11.077469988885788</v>
      </c>
      <c r="AA167" s="20">
        <f t="shared" si="470"/>
        <v>9.9895041864059326</v>
      </c>
      <c r="AB167" s="20">
        <f t="shared" si="470"/>
        <v>9.0083921680982062</v>
      </c>
      <c r="AC167" s="20">
        <f t="shared" si="470"/>
        <v>8.1236393658742738</v>
      </c>
      <c r="AD167" s="20">
        <f t="shared" si="470"/>
        <v>7.3257819281544787</v>
      </c>
      <c r="AE167" s="20">
        <f t="shared" si="470"/>
        <v>6.6062854887821638</v>
      </c>
      <c r="AF167" s="118">
        <f t="shared" si="446"/>
        <v>-7.4604222897000305E-2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469</v>
      </c>
      <c r="T169" s="23"/>
      <c r="U169" s="23" t="s">
        <v>470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29.304090884847188</v>
      </c>
      <c r="T170" s="158">
        <f>AVERAGE(I72:S72)</f>
        <v>16.946257599922017</v>
      </c>
      <c r="U170" s="158">
        <f>AVERAGE(I102:S102)</f>
        <v>17.26934284980047</v>
      </c>
      <c r="V170" s="192" t="s">
        <v>425</v>
      </c>
      <c r="W170" s="193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-419.00185324695519</v>
      </c>
      <c r="V171" s="133">
        <f>PV($C$1, ($AE$3-$V$3), 0, -AE72)</f>
        <v>-36.434943760604796</v>
      </c>
      <c r="W171" s="133">
        <f>PV($C$1, ($AE$3-$V$3), 0, -AH72)</f>
        <v>-382.56690948635037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471">V172+W172</f>
        <v>2167.5358914262533</v>
      </c>
      <c r="V172" s="133">
        <f>PV($C$1, ($AE$3-$V$3), 0, -AE74)</f>
        <v>188.48138186315242</v>
      </c>
      <c r="W172" s="133">
        <f>PV($C$1, ($AE$3-$V$3), 0, -AH74)</f>
        <v>1979.054509563101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471"/>
        <v>2084.2408882203131</v>
      </c>
      <c r="V173" s="133">
        <f>PV($C$1, ($AE$3-$V$3), 0, -AE75)</f>
        <v>181.23833810611413</v>
      </c>
      <c r="W173" s="133">
        <f>PV($C$1, ($AE$3-$V$3), 0, -AH75)</f>
        <v>1903.0025501141988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471"/>
        <v>0</v>
      </c>
      <c r="V174" s="133">
        <f>PV($C$1, ($AE$3-$V$3), 0, -AE76)</f>
        <v>0</v>
      </c>
      <c r="W174" s="133">
        <f>PV($C$1, ($AE$3-$V$3), 0, -AH76)</f>
        <v>0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471"/>
        <v>105.95124407795566</v>
      </c>
      <c r="V175" s="133">
        <f>PV($C$1, ($AE$3-$V$3), 0, -AE82)</f>
        <v>9.2131516589526647</v>
      </c>
      <c r="W175" s="133">
        <f>PV($C$1, ($AE$3-$V$3), 0, -AH82)</f>
        <v>96.738092419002996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471"/>
        <v>2167.5358914262533</v>
      </c>
      <c r="V177" s="133">
        <f>PV($C$1, ($AE$3-$V$3), 0, -AE78)</f>
        <v>188.48138186315242</v>
      </c>
      <c r="W177" s="133">
        <f>PV($C$1, ($AE$3-$V$3), 0, -$AH$78)</f>
        <v>1979.054509563101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471"/>
        <v>1955.4112832617927</v>
      </c>
      <c r="V178" s="133">
        <f>PV($C$1, ($AE$3-$V$3), 0, -AE79)</f>
        <v>170.035763761895</v>
      </c>
      <c r="W178" s="133">
        <f>PV($C$1, ($AE$3-$V$3), 0, -$AH$79)</f>
        <v>1785.3755194998978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471"/>
        <v>1955.4112832617927</v>
      </c>
      <c r="V179" s="133">
        <f>PV($C$1, ($AE$3-$V$3), 0, -AE80)</f>
        <v>170.035763761895</v>
      </c>
      <c r="W179" s="133">
        <f>PV($C$1, ($AE$3-$V$3), 0, -$AH$80)</f>
        <v>1785.3755194998978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471"/>
        <v>0</v>
      </c>
      <c r="V181" s="133">
        <f>PV($C$1, ($AE$3-$V$3), 0, -AE85)</f>
        <v>0</v>
      </c>
      <c r="W181" s="133">
        <f>PV($C$1, ($AE$3-$V$3), 0, -AH85)</f>
        <v>0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471"/>
        <v>0</v>
      </c>
      <c r="V182" s="133">
        <f>PV($C$1, ($AE$3-$V$3), 0, -AE86)</f>
        <v>0</v>
      </c>
      <c r="W182" s="133">
        <f>PV($C$1, ($AE$3-$V$3), 0, -AH86)</f>
        <v>0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472">V184+W184</f>
        <v>24215.078833221247</v>
      </c>
      <c r="V184" s="133">
        <f>PV($C$1, ($AE$3-$V$3), 0, -AE12)</f>
        <v>2105.6590289757605</v>
      </c>
      <c r="W184" s="133">
        <f>PV($C$1, ($AE$3-$V$3), 0, -AH12)</f>
        <v>22109.419804245488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>
        <f>V185+W185</f>
        <v>129.15397532253053</v>
      </c>
      <c r="V185" s="139">
        <f>V184/R57</f>
        <v>11.23078046282874</v>
      </c>
      <c r="W185" s="139">
        <f>W184/R57</f>
        <v>117.92319485970178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473">V188+W188</f>
        <v>42.78946184490156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28.203906104541417</v>
      </c>
      <c r="W188" s="133">
        <f>PV($C$1, ($AE$3-$V$3), 0, -AH88)</f>
        <v>14.585555740360144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471"/>
        <v>0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0</v>
      </c>
      <c r="W190" s="133">
        <f>PV($C$1, ($AE$3-$V$3), 0, -AH90)</f>
        <v>0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457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474">V192+W192</f>
        <v>0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0</v>
      </c>
      <c r="W192" s="133">
        <f>PV($C$1, ($AE$3-$V$3), 0, -AH92)</f>
        <v>0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474"/>
        <v>0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0</v>
      </c>
      <c r="W193" s="133">
        <f>PV($C$1, ($AE$3-$V$3), 0, -AH93)</f>
        <v>0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474"/>
        <v>0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0</v>
      </c>
      <c r="W194" s="133">
        <f>PV($C$1, ($AE$3-$V$3), 0, -AH94)</f>
        <v>0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474"/>
        <v>0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0</v>
      </c>
      <c r="W195" s="133">
        <f>PV($C$1, ($AE$3-$V$3), 0, -AH95)</f>
        <v>0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455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0</v>
      </c>
      <c r="V196" s="110">
        <f t="shared" ref="V196:W196" si="475">V193+V194+V195</f>
        <v>0</v>
      </c>
      <c r="W196" s="110">
        <f t="shared" si="475"/>
        <v>0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0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0</v>
      </c>
      <c r="W198" s="133">
        <f>PV($C$1, ($AE$3-$V$3), 0, -AH96)</f>
        <v>0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 t="s">
        <v>493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468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386</v>
      </c>
      <c r="R200" s="20" t="s">
        <v>493</v>
      </c>
      <c r="S200" s="20"/>
      <c r="T200" s="20" t="s">
        <v>493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130</v>
      </c>
      <c r="K201" s="22">
        <v>260</v>
      </c>
      <c r="L201" s="22">
        <v>200</v>
      </c>
      <c r="M201" s="22">
        <v>300</v>
      </c>
      <c r="N201" s="22">
        <v>340</v>
      </c>
      <c r="O201" s="22">
        <v>400</v>
      </c>
      <c r="P201" s="22">
        <v>300</v>
      </c>
      <c r="Q201" s="22">
        <v>330</v>
      </c>
      <c r="R201" s="22">
        <v>130</v>
      </c>
      <c r="S201" s="22">
        <v>0</v>
      </c>
      <c r="T201" s="118" t="e">
        <f t="shared" ref="T201:T227" si="476">((S201/G201)^(1/($J$2-$J$1) ))-1</f>
        <v>#DIV/0!</v>
      </c>
      <c r="U201" s="31">
        <v>0</v>
      </c>
      <c r="V201" s="195">
        <v>50</v>
      </c>
      <c r="W201" s="119">
        <f t="shared" ref="W201:AE201" si="477">V201*(1+$U201)</f>
        <v>50</v>
      </c>
      <c r="X201" s="119">
        <f t="shared" si="477"/>
        <v>50</v>
      </c>
      <c r="Y201" s="119">
        <f t="shared" si="477"/>
        <v>50</v>
      </c>
      <c r="Z201" s="119">
        <f t="shared" si="477"/>
        <v>50</v>
      </c>
      <c r="AA201" s="119">
        <f t="shared" si="477"/>
        <v>50</v>
      </c>
      <c r="AB201" s="119">
        <f t="shared" si="477"/>
        <v>50</v>
      </c>
      <c r="AC201" s="119">
        <f t="shared" si="477"/>
        <v>50</v>
      </c>
      <c r="AD201" s="119">
        <f t="shared" si="477"/>
        <v>50</v>
      </c>
      <c r="AE201" s="119">
        <f t="shared" si="477"/>
        <v>50</v>
      </c>
      <c r="AF201" s="137" t="e">
        <f t="shared" ref="AF201:AF208" si="478">((AE201/I201)^(1/($AE$3-$J$1) ))-1</f>
        <v>#DIV/0!</v>
      </c>
      <c r="AG201" s="31">
        <f t="shared" ref="AG201:AG208" si="479">$N$1</f>
        <v>0.05</v>
      </c>
      <c r="AH201" s="127" t="e">
        <f t="shared" ref="AH201:AH212" si="480">(AE201*(1+AF201))/($C$1-AG201)</f>
        <v>#DIV/0!</v>
      </c>
    </row>
    <row r="202" spans="2:34">
      <c r="B202" s="20" t="s">
        <v>357</v>
      </c>
      <c r="C202" s="25"/>
      <c r="D202" s="25"/>
      <c r="E202" s="25"/>
      <c r="F202" s="25"/>
      <c r="G202" s="25">
        <f t="shared" ref="G202:H202" si="481">G201/G66</f>
        <v>0</v>
      </c>
      <c r="H202" s="25">
        <f t="shared" si="481"/>
        <v>0</v>
      </c>
      <c r="I202" s="25">
        <f t="shared" ref="I202:S202" si="482">I201/I66</f>
        <v>0</v>
      </c>
      <c r="J202" s="25">
        <f t="shared" si="482"/>
        <v>511.11135857461028</v>
      </c>
      <c r="K202" s="25">
        <f t="shared" si="482"/>
        <v>48.720547945205489</v>
      </c>
      <c r="L202" s="25">
        <f t="shared" si="482"/>
        <v>18.928143712574848</v>
      </c>
      <c r="M202" s="25">
        <f t="shared" si="482"/>
        <v>27.728070175438596</v>
      </c>
      <c r="N202" s="25">
        <f t="shared" si="482"/>
        <v>6.1980830058468319</v>
      </c>
      <c r="O202" s="25">
        <f t="shared" si="482"/>
        <v>5.9968558402766865</v>
      </c>
      <c r="P202" s="25">
        <f t="shared" si="482"/>
        <v>3.0784419217732819</v>
      </c>
      <c r="Q202" s="25">
        <f t="shared" si="482"/>
        <v>3.1043889929973369</v>
      </c>
      <c r="R202" s="25">
        <f t="shared" si="482"/>
        <v>1.7633989292432355</v>
      </c>
      <c r="S202" s="25">
        <f t="shared" si="482"/>
        <v>0</v>
      </c>
      <c r="T202" s="118" t="e">
        <f t="shared" si="476"/>
        <v>#DIV/0!</v>
      </c>
      <c r="U202" s="128"/>
      <c r="V202" s="25">
        <f t="shared" ref="V202:AE202" si="483">V201/V66</f>
        <v>1.0868985507246378</v>
      </c>
      <c r="W202" s="25">
        <f t="shared" si="483"/>
        <v>1.0868985507246376</v>
      </c>
      <c r="X202" s="25">
        <f t="shared" si="483"/>
        <v>1.0868985507246374</v>
      </c>
      <c r="Y202" s="25">
        <f t="shared" si="483"/>
        <v>1.0868985507246376</v>
      </c>
      <c r="Z202" s="25">
        <f t="shared" si="483"/>
        <v>1.0868985507246376</v>
      </c>
      <c r="AA202" s="25">
        <f t="shared" si="483"/>
        <v>1.0868985507246376</v>
      </c>
      <c r="AB202" s="25">
        <f t="shared" si="483"/>
        <v>1.0868985507246374</v>
      </c>
      <c r="AC202" s="25">
        <f t="shared" si="483"/>
        <v>1.0868985507246374</v>
      </c>
      <c r="AD202" s="25">
        <f t="shared" si="483"/>
        <v>1.0868985507246374</v>
      </c>
      <c r="AE202" s="25">
        <f t="shared" si="483"/>
        <v>1.0868985507246374</v>
      </c>
      <c r="AF202" s="137" t="e">
        <f t="shared" ref="AF202" si="484">((AE202/I202)^(1/($AE$3-$J$1) ))-1</f>
        <v>#DIV/0!</v>
      </c>
      <c r="AG202" s="31">
        <f t="shared" si="479"/>
        <v>0.05</v>
      </c>
      <c r="AH202" s="127" t="e">
        <f t="shared" ref="AH202" si="485">(AE202*(1+AF202))/($C$1-AG202)</f>
        <v>#DIV/0!</v>
      </c>
    </row>
    <row r="203" spans="2:34">
      <c r="B203" s="20" t="s">
        <v>385</v>
      </c>
      <c r="C203" s="25"/>
      <c r="D203" s="25"/>
      <c r="E203" s="25"/>
      <c r="F203" s="25"/>
      <c r="G203" s="25">
        <f t="shared" ref="G203:H203" si="486">G201/G72</f>
        <v>0</v>
      </c>
      <c r="H203" s="25">
        <f t="shared" si="486"/>
        <v>0</v>
      </c>
      <c r="I203" s="25">
        <f t="shared" ref="I203:S203" si="487">I201/I72</f>
        <v>0</v>
      </c>
      <c r="J203" s="25">
        <f t="shared" si="487"/>
        <v>-1207.8368421052633</v>
      </c>
      <c r="K203" s="25">
        <f t="shared" si="487"/>
        <v>-1849.4320000000002</v>
      </c>
      <c r="L203" s="25">
        <f t="shared" si="487"/>
        <v>47.237858032378583</v>
      </c>
      <c r="M203" s="25">
        <f t="shared" si="487"/>
        <v>54.137012369172211</v>
      </c>
      <c r="N203" s="25">
        <f t="shared" si="487"/>
        <v>10.209125355225765</v>
      </c>
      <c r="O203" s="25">
        <f t="shared" si="487"/>
        <v>9.6121960438452803</v>
      </c>
      <c r="P203" s="25">
        <f t="shared" si="487"/>
        <v>4.7461015262110147</v>
      </c>
      <c r="Q203" s="25">
        <f t="shared" si="487"/>
        <v>5.0640173759150509</v>
      </c>
      <c r="R203" s="25">
        <f t="shared" si="487"/>
        <v>5.4417727171243584</v>
      </c>
      <c r="S203" s="25">
        <f t="shared" si="487"/>
        <v>0</v>
      </c>
      <c r="T203" s="118" t="e">
        <f t="shared" si="476"/>
        <v>#DIV/0!</v>
      </c>
      <c r="U203" s="128"/>
      <c r="V203" s="119">
        <f t="shared" ref="V203:AE203" si="488">V201/V72</f>
        <v>-0.90517384354217523</v>
      </c>
      <c r="W203" s="119">
        <f t="shared" si="488"/>
        <v>-0.82435475036876671</v>
      </c>
      <c r="X203" s="119">
        <f t="shared" si="488"/>
        <v>-0.75075164765726965</v>
      </c>
      <c r="Y203" s="119">
        <f t="shared" si="488"/>
        <v>-0.6837202505450134</v>
      </c>
      <c r="Z203" s="119">
        <f t="shared" si="488"/>
        <v>-0.62267379960349434</v>
      </c>
      <c r="AA203" s="119">
        <f t="shared" si="488"/>
        <v>-0.56707792463889661</v>
      </c>
      <c r="AB203" s="119">
        <f t="shared" si="488"/>
        <v>-0.5164459670818522</v>
      </c>
      <c r="AC203" s="119">
        <f t="shared" si="488"/>
        <v>-0.47033472002097243</v>
      </c>
      <c r="AD203" s="119">
        <f t="shared" si="488"/>
        <v>-0.42834054859052845</v>
      </c>
      <c r="AE203" s="119">
        <f t="shared" si="488"/>
        <v>-0.39009585675208841</v>
      </c>
      <c r="AF203" s="137" t="e">
        <f t="shared" si="478"/>
        <v>#DIV/0!</v>
      </c>
      <c r="AG203" s="31">
        <f t="shared" si="479"/>
        <v>0.05</v>
      </c>
      <c r="AH203" s="127" t="e">
        <f t="shared" si="480"/>
        <v>#DIV/0!</v>
      </c>
    </row>
    <row r="204" spans="2:34">
      <c r="B204" s="20" t="s">
        <v>460</v>
      </c>
      <c r="C204" s="25"/>
      <c r="D204" s="25"/>
      <c r="E204" s="25"/>
      <c r="F204" s="25"/>
      <c r="G204" s="25">
        <f t="shared" ref="G204:H204" si="489">G201/G70</f>
        <v>0</v>
      </c>
      <c r="H204" s="25">
        <f t="shared" si="489"/>
        <v>0</v>
      </c>
      <c r="I204" s="25">
        <f t="shared" ref="I204:S204" si="490">I201/I70</f>
        <v>0</v>
      </c>
      <c r="J204" s="25">
        <f t="shared" si="490"/>
        <v>-1274.9388888888889</v>
      </c>
      <c r="K204" s="25">
        <f t="shared" si="490"/>
        <v>235.89693877551022</v>
      </c>
      <c r="L204" s="25">
        <f t="shared" si="490"/>
        <v>96.51908396946564</v>
      </c>
      <c r="M204" s="25">
        <f t="shared" si="490"/>
        <v>78.58839779005524</v>
      </c>
      <c r="N204" s="25">
        <f t="shared" si="490"/>
        <v>7.8343348679428146</v>
      </c>
      <c r="O204" s="25">
        <f t="shared" si="490"/>
        <v>8.2442187162308187</v>
      </c>
      <c r="P204" s="25">
        <f t="shared" si="490"/>
        <v>4.3903168878999459</v>
      </c>
      <c r="Q204" s="25">
        <f t="shared" si="490"/>
        <v>4.5999853854585311</v>
      </c>
      <c r="R204" s="25">
        <f t="shared" si="490"/>
        <v>2.8600915278103733</v>
      </c>
      <c r="S204" s="25">
        <f t="shared" si="490"/>
        <v>0</v>
      </c>
      <c r="T204" s="118" t="e">
        <f t="shared" si="476"/>
        <v>#DIV/0!</v>
      </c>
      <c r="U204" s="128"/>
      <c r="V204" s="25">
        <f t="shared" ref="V204:AE204" si="491">V201/V70</f>
        <v>3.7674321735419283</v>
      </c>
      <c r="W204" s="25">
        <f t="shared" si="491"/>
        <v>3.4310543009042558</v>
      </c>
      <c r="X204" s="25">
        <f t="shared" si="491"/>
        <v>3.1247101668949471</v>
      </c>
      <c r="Y204" s="25">
        <f t="shared" si="491"/>
        <v>2.8457181877078979</v>
      </c>
      <c r="Z204" s="25">
        <f t="shared" si="491"/>
        <v>2.5916362066625491</v>
      </c>
      <c r="AA204" s="25">
        <f t="shared" si="491"/>
        <v>2.3602401167819642</v>
      </c>
      <c r="AB204" s="25">
        <f t="shared" si="491"/>
        <v>2.1495043920692889</v>
      </c>
      <c r="AC204" s="25">
        <f t="shared" si="491"/>
        <v>1.9575843570631022</v>
      </c>
      <c r="AD204" s="25">
        <f t="shared" si="491"/>
        <v>1.7828000394681822</v>
      </c>
      <c r="AE204" s="25">
        <f t="shared" si="491"/>
        <v>1.6236214645156659</v>
      </c>
      <c r="AF204" s="137" t="e">
        <f t="shared" ref="AF204:AF205" si="492">((AE204/I204)^(1/($AE$3-$J$1) ))-1</f>
        <v>#DIV/0!</v>
      </c>
      <c r="AG204" s="31">
        <f t="shared" si="479"/>
        <v>0.05</v>
      </c>
      <c r="AH204" s="127" t="e">
        <f t="shared" ref="AH204:AH205" si="493">(AE204*(1+AF204))/($C$1-AG204)</f>
        <v>#DIV/0!</v>
      </c>
    </row>
    <row r="205" spans="2:34">
      <c r="B205" s="20" t="s">
        <v>461</v>
      </c>
      <c r="C205" s="25"/>
      <c r="D205" s="25"/>
      <c r="E205" s="25"/>
      <c r="F205" s="25"/>
      <c r="G205" s="25">
        <f t="shared" ref="G205:H205" si="494">G201/G71</f>
        <v>0</v>
      </c>
      <c r="H205" s="25" t="e">
        <f t="shared" si="494"/>
        <v>#DIV/0!</v>
      </c>
      <c r="I205" s="25" t="e">
        <f t="shared" ref="I205:S205" si="495">I201/I71</f>
        <v>#DIV/0!</v>
      </c>
      <c r="J205" s="25">
        <f t="shared" si="495"/>
        <v>-1765.3</v>
      </c>
      <c r="K205" s="25">
        <f t="shared" si="495"/>
        <v>366.95079365079368</v>
      </c>
      <c r="L205" s="25">
        <f t="shared" si="495"/>
        <v>37.297935103244839</v>
      </c>
      <c r="M205" s="25">
        <f t="shared" si="495"/>
        <v>56.390485629335977</v>
      </c>
      <c r="N205" s="25">
        <f t="shared" si="495"/>
        <v>9.3852830188679235</v>
      </c>
      <c r="O205" s="25">
        <f t="shared" si="495"/>
        <v>9.0575804345245157</v>
      </c>
      <c r="P205" s="25">
        <f t="shared" si="495"/>
        <v>4.7078328122428825</v>
      </c>
      <c r="Q205" s="25">
        <f t="shared" si="495"/>
        <v>4.8992762082652339</v>
      </c>
      <c r="R205" s="25">
        <f t="shared" si="495"/>
        <v>4.7707379134860055</v>
      </c>
      <c r="S205" s="25">
        <f t="shared" si="495"/>
        <v>0</v>
      </c>
      <c r="T205" s="118" t="e">
        <f t="shared" si="476"/>
        <v>#DIV/0!</v>
      </c>
      <c r="U205" s="128"/>
      <c r="V205" s="25">
        <f t="shared" ref="V205:AE205" si="496">V201/V71</f>
        <v>-0.9050663703412033</v>
      </c>
      <c r="W205" s="25">
        <f t="shared" si="496"/>
        <v>-0.82425687298931005</v>
      </c>
      <c r="X205" s="25">
        <f t="shared" si="496"/>
        <v>-0.75066250932955025</v>
      </c>
      <c r="Y205" s="25">
        <f t="shared" si="496"/>
        <v>-0.68363907099655474</v>
      </c>
      <c r="Z205" s="25">
        <f t="shared" si="496"/>
        <v>-0.62259986822900515</v>
      </c>
      <c r="AA205" s="25">
        <f t="shared" si="496"/>
        <v>-0.56701059427998679</v>
      </c>
      <c r="AB205" s="25">
        <f t="shared" si="496"/>
        <v>-0.51638464836213083</v>
      </c>
      <c r="AC205" s="25">
        <f t="shared" si="496"/>
        <v>-0.47027887618694053</v>
      </c>
      <c r="AD205" s="25">
        <f t="shared" si="496"/>
        <v>-0.42828969081310647</v>
      </c>
      <c r="AE205" s="25">
        <f t="shared" si="496"/>
        <v>-0.39004953984765051</v>
      </c>
      <c r="AF205" s="137" t="e">
        <f t="shared" si="492"/>
        <v>#DIV/0!</v>
      </c>
      <c r="AG205" s="31">
        <f t="shared" si="479"/>
        <v>0.05</v>
      </c>
      <c r="AH205" s="127" t="e">
        <f t="shared" si="493"/>
        <v>#DIV/0!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497">G201/G75</f>
        <v>0</v>
      </c>
      <c r="H206" s="25">
        <f t="shared" si="497"/>
        <v>0</v>
      </c>
      <c r="I206" s="25">
        <f t="shared" ref="I206:S206" si="498">I201/I75</f>
        <v>0</v>
      </c>
      <c r="J206" s="25">
        <f t="shared" si="498"/>
        <v>0.83511280931586607</v>
      </c>
      <c r="K206" s="25">
        <f t="shared" si="498"/>
        <v>1.6775197736013352</v>
      </c>
      <c r="L206" s="25">
        <f t="shared" si="498"/>
        <v>1.2289250307782027</v>
      </c>
      <c r="M206" s="25">
        <f t="shared" si="498"/>
        <v>1.7822954516977823</v>
      </c>
      <c r="N206" s="25">
        <f t="shared" si="498"/>
        <v>1.6610053684724257</v>
      </c>
      <c r="O206" s="25">
        <f t="shared" si="498"/>
        <v>1.644791307347361</v>
      </c>
      <c r="P206" s="25">
        <f t="shared" si="498"/>
        <v>1.2496232719648823</v>
      </c>
      <c r="Q206" s="25">
        <f t="shared" si="498"/>
        <v>1.1336358725013507</v>
      </c>
      <c r="R206" s="25">
        <f t="shared" si="498"/>
        <v>0.42764628476182126</v>
      </c>
      <c r="S206" s="25">
        <f t="shared" si="498"/>
        <v>0</v>
      </c>
      <c r="T206" s="118" t="e">
        <f t="shared" si="476"/>
        <v>#DIV/0!</v>
      </c>
      <c r="U206" s="128"/>
      <c r="V206" s="119">
        <f t="shared" ref="V206:AE206" si="499">V201/V75</f>
        <v>0.18197009764964872</v>
      </c>
      <c r="W206" s="119">
        <f t="shared" si="499"/>
        <v>0.16572276750235865</v>
      </c>
      <c r="X206" s="119">
        <f t="shared" si="499"/>
        <v>0.15092609183250519</v>
      </c>
      <c r="Y206" s="119">
        <f t="shared" si="499"/>
        <v>0.13745054791888867</v>
      </c>
      <c r="Z206" s="119">
        <f t="shared" si="499"/>
        <v>0.12517817756898789</v>
      </c>
      <c r="AA206" s="119">
        <f t="shared" si="499"/>
        <v>0.11400155457175681</v>
      </c>
      <c r="AB206" s="119">
        <f t="shared" si="499"/>
        <v>0.10382284434213565</v>
      </c>
      <c r="AC206" s="119">
        <f t="shared" si="499"/>
        <v>9.4552947525873524E-2</v>
      </c>
      <c r="AD206" s="119">
        <f t="shared" si="499"/>
        <v>8.6110720068206248E-2</v>
      </c>
      <c r="AE206" s="119">
        <f t="shared" si="499"/>
        <v>7.8422262919259259E-2</v>
      </c>
      <c r="AF206" s="137" t="e">
        <f t="shared" si="478"/>
        <v>#DIV/0!</v>
      </c>
      <c r="AG206" s="31">
        <f t="shared" si="479"/>
        <v>0.05</v>
      </c>
      <c r="AH206" s="127" t="e">
        <f t="shared" si="480"/>
        <v>#DIV/0!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00">G201/G84</f>
        <v>0</v>
      </c>
      <c r="H207" s="25">
        <f t="shared" si="500"/>
        <v>0</v>
      </c>
      <c r="I207" s="25">
        <f t="shared" ref="I207:S207" si="501">I201/I84</f>
        <v>0</v>
      </c>
      <c r="J207" s="25">
        <f t="shared" si="501"/>
        <v>4.3439144425515801</v>
      </c>
      <c r="K207" s="25">
        <f t="shared" si="501"/>
        <v>59.890932642487044</v>
      </c>
      <c r="L207" s="25">
        <f t="shared" si="501"/>
        <v>195.5257731958763</v>
      </c>
      <c r="M207" s="25">
        <f t="shared" si="501"/>
        <v>21.576791808873718</v>
      </c>
      <c r="N207" s="25">
        <f t="shared" si="501"/>
        <v>11.714601449275362</v>
      </c>
      <c r="O207" s="25">
        <f t="shared" si="501"/>
        <v>8.6225135623869793</v>
      </c>
      <c r="P207" s="25">
        <f t="shared" si="501"/>
        <v>3.5900991341448112</v>
      </c>
      <c r="Q207" s="25">
        <f t="shared" si="501"/>
        <v>3.4731475862068963</v>
      </c>
      <c r="R207" s="25">
        <f t="shared" si="501"/>
        <v>1.5154003979109676</v>
      </c>
      <c r="S207" s="25">
        <f t="shared" si="501"/>
        <v>0</v>
      </c>
      <c r="T207" s="118" t="e">
        <f t="shared" si="476"/>
        <v>#DIV/0!</v>
      </c>
      <c r="U207" s="128"/>
      <c r="V207" s="119">
        <f t="shared" ref="V207:AE207" si="502">V201/V84</f>
        <v>0.84199070692070943</v>
      </c>
      <c r="W207" s="119">
        <f t="shared" si="502"/>
        <v>0.76681296523136022</v>
      </c>
      <c r="X207" s="119">
        <f t="shared" si="502"/>
        <v>0.69834752190713156</v>
      </c>
      <c r="Y207" s="119">
        <f t="shared" si="502"/>
        <v>0.63599506459399469</v>
      </c>
      <c r="Z207" s="119">
        <f t="shared" si="502"/>
        <v>0.57920979096953085</v>
      </c>
      <c r="AA207" s="119">
        <f t="shared" si="502"/>
        <v>0.52749463106153693</v>
      </c>
      <c r="AB207" s="119">
        <f t="shared" si="502"/>
        <v>0.48039689614532827</v>
      </c>
      <c r="AC207" s="119">
        <f t="shared" si="502"/>
        <v>0.43750431613235247</v>
      </c>
      <c r="AD207" s="119">
        <f t="shared" si="502"/>
        <v>0.39844143076339239</v>
      </c>
      <c r="AE207" s="119">
        <f t="shared" si="502"/>
        <v>0.3628663030166609</v>
      </c>
      <c r="AF207" s="137" t="e">
        <f t="shared" si="478"/>
        <v>#DIV/0!</v>
      </c>
      <c r="AG207" s="31">
        <f t="shared" si="479"/>
        <v>0.05</v>
      </c>
      <c r="AH207" s="127" t="e">
        <f t="shared" si="480"/>
        <v>#DIV/0!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03">G201/G86</f>
        <v>0</v>
      </c>
      <c r="H208" s="25">
        <f t="shared" si="503"/>
        <v>0</v>
      </c>
      <c r="I208" s="25">
        <f t="shared" ref="I208:S208" si="504">I201/I86</f>
        <v>0</v>
      </c>
      <c r="J208" s="25" t="e">
        <f t="shared" si="504"/>
        <v>#DIV/0!</v>
      </c>
      <c r="K208" s="25">
        <f t="shared" si="504"/>
        <v>63.861602209944756</v>
      </c>
      <c r="L208" s="25">
        <f t="shared" si="504"/>
        <v>7.4376470588235293</v>
      </c>
      <c r="M208" s="25">
        <f t="shared" si="504"/>
        <v>127.28859060402685</v>
      </c>
      <c r="N208" s="25">
        <f t="shared" si="504"/>
        <v>14.456651017214398</v>
      </c>
      <c r="O208" s="25">
        <f t="shared" si="504"/>
        <v>9.9248081176011436</v>
      </c>
      <c r="P208" s="25">
        <f t="shared" si="504"/>
        <v>6.8550377381095</v>
      </c>
      <c r="Q208" s="25">
        <f t="shared" si="504"/>
        <v>6.1111348412775452</v>
      </c>
      <c r="R208" s="25">
        <f t="shared" si="504"/>
        <v>1.729121736662883</v>
      </c>
      <c r="S208" s="25" t="e">
        <f t="shared" si="504"/>
        <v>#DIV/0!</v>
      </c>
      <c r="T208" s="118" t="e">
        <f t="shared" si="476"/>
        <v>#DIV/0!</v>
      </c>
      <c r="U208" s="128"/>
      <c r="V208" s="119" t="e">
        <f t="shared" ref="V208:AE208" si="505">V201/V86</f>
        <v>#DIV/0!</v>
      </c>
      <c r="W208" s="119" t="e">
        <f t="shared" si="505"/>
        <v>#DIV/0!</v>
      </c>
      <c r="X208" s="119" t="e">
        <f t="shared" si="505"/>
        <v>#DIV/0!</v>
      </c>
      <c r="Y208" s="119" t="e">
        <f t="shared" si="505"/>
        <v>#DIV/0!</v>
      </c>
      <c r="Z208" s="119" t="e">
        <f t="shared" si="505"/>
        <v>#DIV/0!</v>
      </c>
      <c r="AA208" s="119" t="e">
        <f t="shared" si="505"/>
        <v>#DIV/0!</v>
      </c>
      <c r="AB208" s="119" t="e">
        <f t="shared" si="505"/>
        <v>#DIV/0!</v>
      </c>
      <c r="AC208" s="119" t="e">
        <f t="shared" si="505"/>
        <v>#DIV/0!</v>
      </c>
      <c r="AD208" s="119" t="e">
        <f t="shared" si="505"/>
        <v>#DIV/0!</v>
      </c>
      <c r="AE208" s="119" t="e">
        <f t="shared" si="505"/>
        <v>#DIV/0!</v>
      </c>
      <c r="AF208" s="137" t="e">
        <f t="shared" si="478"/>
        <v>#DIV/0!</v>
      </c>
      <c r="AG208" s="31">
        <f t="shared" si="479"/>
        <v>0.05</v>
      </c>
      <c r="AH208" s="127" t="e">
        <f t="shared" si="480"/>
        <v>#DIV/0!</v>
      </c>
    </row>
    <row r="209" spans="2:34">
      <c r="B209" s="20" t="s">
        <v>281</v>
      </c>
      <c r="C209" s="25"/>
      <c r="D209" s="25"/>
      <c r="E209" s="25"/>
      <c r="F209" s="25"/>
      <c r="G209" s="180" t="e">
        <f t="shared" ref="G209:H209" si="506">G201/G80</f>
        <v>#DIV/0!</v>
      </c>
      <c r="H209" s="180" t="e">
        <f t="shared" si="506"/>
        <v>#DIV/0!</v>
      </c>
      <c r="I209" s="180" t="e">
        <f t="shared" ref="I209:S209" si="507">I201/I80</f>
        <v>#DIV/0!</v>
      </c>
      <c r="J209" s="180">
        <f t="shared" si="507"/>
        <v>0.8851010490589325</v>
      </c>
      <c r="K209" s="180">
        <f t="shared" si="507"/>
        <v>1.5301760656605774</v>
      </c>
      <c r="L209" s="180">
        <f t="shared" si="507"/>
        <v>1.1162708572437539</v>
      </c>
      <c r="M209" s="180">
        <f t="shared" si="507"/>
        <v>1.9176300090997942</v>
      </c>
      <c r="N209" s="180">
        <f t="shared" si="507"/>
        <v>1.5476664592408214</v>
      </c>
      <c r="O209" s="180">
        <f t="shared" si="507"/>
        <v>1.4188053261920703</v>
      </c>
      <c r="P209" s="180">
        <f t="shared" si="507"/>
        <v>1.0688461396925248</v>
      </c>
      <c r="Q209" s="180">
        <f t="shared" si="507"/>
        <v>1.075052940774643</v>
      </c>
      <c r="R209" s="180">
        <f t="shared" si="507"/>
        <v>0.43601545589524343</v>
      </c>
      <c r="S209" s="180">
        <f t="shared" si="507"/>
        <v>0</v>
      </c>
      <c r="T209" s="118" t="e">
        <f t="shared" si="476"/>
        <v>#DIV/0!</v>
      </c>
      <c r="U209" s="128"/>
      <c r="V209" s="134">
        <f t="shared" ref="V209:AE209" si="508">V201/V80</f>
        <v>0.19395894930205534</v>
      </c>
      <c r="W209" s="134">
        <f t="shared" si="508"/>
        <v>0.17664118597151465</v>
      </c>
      <c r="X209" s="134">
        <f t="shared" si="508"/>
        <v>0.16086965150977228</v>
      </c>
      <c r="Y209" s="134">
        <f t="shared" si="508"/>
        <v>0.14650628976782831</v>
      </c>
      <c r="Z209" s="134">
        <f t="shared" si="508"/>
        <v>0.13342537103855789</v>
      </c>
      <c r="AA209" s="134">
        <f t="shared" si="508"/>
        <v>0.1215123914815438</v>
      </c>
      <c r="AB209" s="134">
        <f t="shared" si="508"/>
        <v>0.11066307081354879</v>
      </c>
      <c r="AC209" s="134">
        <f t="shared" si="508"/>
        <v>0.10078243949091049</v>
      </c>
      <c r="AD209" s="134">
        <f t="shared" si="508"/>
        <v>9.1784007393507783E-2</v>
      </c>
      <c r="AE209" s="134">
        <f t="shared" si="508"/>
        <v>8.3589006733373147E-2</v>
      </c>
      <c r="AF209" s="137" t="e">
        <f t="shared" ref="AF209" si="509">((AE209/I209)^(1/($AE$3-$J$1) ))-1</f>
        <v>#DIV/0!</v>
      </c>
      <c r="AG209" s="31">
        <f t="shared" ref="AG209:AG212" si="510">$N$1</f>
        <v>0.05</v>
      </c>
      <c r="AH209" s="127" t="e">
        <f t="shared" si="480"/>
        <v>#DIV/0!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10"/>
        <v>0.05</v>
      </c>
      <c r="AH210" s="127"/>
    </row>
    <row r="211" spans="2:34">
      <c r="B211" s="20" t="s">
        <v>316</v>
      </c>
      <c r="C211" s="150"/>
      <c r="D211" s="150"/>
      <c r="E211" s="150"/>
      <c r="F211" s="150"/>
      <c r="G211" s="150" t="e">
        <f t="shared" ref="G211:H211" si="511">G59/G201</f>
        <v>#DIV/0!</v>
      </c>
      <c r="H211" s="150" t="e">
        <f t="shared" si="511"/>
        <v>#DIV/0!</v>
      </c>
      <c r="I211" s="150" t="e">
        <f t="shared" ref="I211:S211" si="512">I59/I201</f>
        <v>#DIV/0!</v>
      </c>
      <c r="J211" s="150">
        <f t="shared" si="512"/>
        <v>0</v>
      </c>
      <c r="K211" s="150">
        <f t="shared" si="512"/>
        <v>0</v>
      </c>
      <c r="L211" s="150">
        <f t="shared" si="512"/>
        <v>0</v>
      </c>
      <c r="M211" s="150">
        <f t="shared" si="512"/>
        <v>0</v>
      </c>
      <c r="N211" s="150">
        <f t="shared" si="512"/>
        <v>0</v>
      </c>
      <c r="O211" s="150">
        <f t="shared" si="512"/>
        <v>0</v>
      </c>
      <c r="P211" s="150">
        <f t="shared" si="512"/>
        <v>3.833333333333333E-2</v>
      </c>
      <c r="Q211" s="150">
        <f t="shared" si="512"/>
        <v>3.787878787878788E-2</v>
      </c>
      <c r="R211" s="150">
        <f t="shared" si="512"/>
        <v>6.9230769230769235E-2</v>
      </c>
      <c r="S211" s="150" t="e">
        <f t="shared" si="512"/>
        <v>#DIV/0!</v>
      </c>
      <c r="T211" s="118" t="e">
        <f t="shared" si="476"/>
        <v>#DIV/0!</v>
      </c>
      <c r="U211" s="128"/>
      <c r="V211" s="150">
        <f t="shared" ref="V211:AE211" si="513">V59/V201</f>
        <v>6.3E-2</v>
      </c>
      <c r="W211" s="150">
        <f t="shared" si="513"/>
        <v>6.6150000000000014E-2</v>
      </c>
      <c r="X211" s="150">
        <f t="shared" si="513"/>
        <v>6.9457500000000005E-2</v>
      </c>
      <c r="Y211" s="150">
        <f t="shared" si="513"/>
        <v>7.2930375000000019E-2</v>
      </c>
      <c r="Z211" s="150">
        <f t="shared" si="513"/>
        <v>7.6576893750000027E-2</v>
      </c>
      <c r="AA211" s="150">
        <f t="shared" si="513"/>
        <v>8.0405738437500041E-2</v>
      </c>
      <c r="AB211" s="150">
        <f t="shared" si="513"/>
        <v>8.4426025359375031E-2</v>
      </c>
      <c r="AC211" s="150">
        <f t="shared" si="513"/>
        <v>8.86473266273438E-2</v>
      </c>
      <c r="AD211" s="150">
        <f t="shared" si="513"/>
        <v>9.3079692958710977E-2</v>
      </c>
      <c r="AE211" s="150">
        <f t="shared" si="513"/>
        <v>9.773367760664653E-2</v>
      </c>
      <c r="AF211" s="137" t="e">
        <f t="shared" ref="AF211:AF216" si="514">((AE211/I211)^(1/($AE$3-$J$1) ))-1</f>
        <v>#DIV/0!</v>
      </c>
      <c r="AG211" s="31">
        <f t="shared" si="510"/>
        <v>0.05</v>
      </c>
      <c r="AH211" s="127" t="e">
        <f t="shared" si="480"/>
        <v>#DIV/0!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15">G201*G57</f>
        <v>0</v>
      </c>
      <c r="H212" s="163">
        <f t="shared" si="515"/>
        <v>0</v>
      </c>
      <c r="I212" s="163">
        <f t="shared" ref="I212:S212" si="516">I201*I57</f>
        <v>0</v>
      </c>
      <c r="J212" s="163">
        <f t="shared" si="516"/>
        <v>22948.9</v>
      </c>
      <c r="K212" s="163">
        <f t="shared" si="516"/>
        <v>46235.8</v>
      </c>
      <c r="L212" s="163">
        <f t="shared" si="516"/>
        <v>37932</v>
      </c>
      <c r="M212" s="163">
        <f t="shared" si="516"/>
        <v>56898</v>
      </c>
      <c r="N212" s="163">
        <f t="shared" si="516"/>
        <v>64664.6</v>
      </c>
      <c r="O212" s="163">
        <f t="shared" si="516"/>
        <v>76292</v>
      </c>
      <c r="P212" s="163">
        <f t="shared" si="516"/>
        <v>57219</v>
      </c>
      <c r="Q212" s="163">
        <f t="shared" si="516"/>
        <v>62950.799999999996</v>
      </c>
      <c r="R212" s="163">
        <f t="shared" si="516"/>
        <v>24373.7</v>
      </c>
      <c r="S212" s="163">
        <f t="shared" si="516"/>
        <v>0</v>
      </c>
      <c r="T212" s="118" t="e">
        <f t="shared" si="476"/>
        <v>#DIV/0!</v>
      </c>
      <c r="U212" s="128"/>
      <c r="V212" s="163">
        <f t="shared" ref="V212:AE212" si="517">V201*V57</f>
        <v>9561.99</v>
      </c>
      <c r="W212" s="163">
        <f t="shared" si="517"/>
        <v>9753.2297999999992</v>
      </c>
      <c r="X212" s="163">
        <f t="shared" si="517"/>
        <v>9948.2943959999993</v>
      </c>
      <c r="Y212" s="163">
        <f t="shared" si="517"/>
        <v>10147.260283920001</v>
      </c>
      <c r="Z212" s="163">
        <f t="shared" si="517"/>
        <v>10350.2054895984</v>
      </c>
      <c r="AA212" s="163">
        <f t="shared" si="517"/>
        <v>10557.209599390369</v>
      </c>
      <c r="AB212" s="163">
        <f t="shared" si="517"/>
        <v>10768.353791378177</v>
      </c>
      <c r="AC212" s="163">
        <f t="shared" si="517"/>
        <v>10983.72086720574</v>
      </c>
      <c r="AD212" s="163">
        <f t="shared" si="517"/>
        <v>11203.395284549855</v>
      </c>
      <c r="AE212" s="163">
        <f t="shared" si="517"/>
        <v>11427.463190240851</v>
      </c>
      <c r="AF212" s="137" t="e">
        <f t="shared" si="514"/>
        <v>#DIV/0!</v>
      </c>
      <c r="AG212" s="31">
        <f t="shared" si="510"/>
        <v>0.05</v>
      </c>
      <c r="AH212" s="127" t="e">
        <f t="shared" si="480"/>
        <v>#DIV/0!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367</v>
      </c>
      <c r="C214" s="159"/>
      <c r="D214" s="159"/>
      <c r="E214" s="159"/>
      <c r="F214" s="159"/>
      <c r="G214" s="159" t="e">
        <f t="shared" ref="G214:H214" si="518">G72/G201</f>
        <v>#DIV/0!</v>
      </c>
      <c r="H214" s="159" t="e">
        <f t="shared" si="518"/>
        <v>#DIV/0!</v>
      </c>
      <c r="I214" s="159" t="e">
        <f t="shared" ref="I214:S214" si="519">I72/I201</f>
        <v>#DIV/0!</v>
      </c>
      <c r="J214" s="159">
        <f t="shared" si="519"/>
        <v>-8.2792639298615619E-4</v>
      </c>
      <c r="K214" s="159">
        <f t="shared" si="519"/>
        <v>-5.4070655206571526E-4</v>
      </c>
      <c r="L214" s="159">
        <f t="shared" si="519"/>
        <v>2.1169461140989138E-2</v>
      </c>
      <c r="M214" s="159">
        <f t="shared" si="519"/>
        <v>1.8471651024640587E-2</v>
      </c>
      <c r="N214" s="159">
        <f t="shared" si="519"/>
        <v>9.7951584019695476E-2</v>
      </c>
      <c r="O214" s="159">
        <f t="shared" si="519"/>
        <v>0.10403449903004247</v>
      </c>
      <c r="P214" s="159">
        <f t="shared" si="519"/>
        <v>0.21069924325835826</v>
      </c>
      <c r="Q214" s="159">
        <f t="shared" si="519"/>
        <v>0.1974716762932322</v>
      </c>
      <c r="R214" s="159">
        <f t="shared" si="519"/>
        <v>0.18376364688167984</v>
      </c>
      <c r="S214" s="159" t="e">
        <f t="shared" si="519"/>
        <v>#DIV/0!</v>
      </c>
      <c r="T214" s="118" t="e">
        <f t="shared" si="476"/>
        <v>#DIV/0!</v>
      </c>
      <c r="U214" s="128"/>
      <c r="V214" s="159">
        <f t="shared" ref="V214:AE214" si="520">V72/V201</f>
        <v>-1.1047601597575401</v>
      </c>
      <c r="W214" s="159">
        <f t="shared" si="520"/>
        <v>-1.2130699793416126</v>
      </c>
      <c r="X214" s="159">
        <f t="shared" si="520"/>
        <v>-1.3319984086888295</v>
      </c>
      <c r="Y214" s="159">
        <f t="shared" si="520"/>
        <v>-1.462586487972048</v>
      </c>
      <c r="Z214" s="159">
        <f t="shared" si="520"/>
        <v>-1.6059773201261707</v>
      </c>
      <c r="AA214" s="159">
        <f t="shared" si="520"/>
        <v>-1.7634260770012855</v>
      </c>
      <c r="AB214" s="159">
        <f t="shared" si="520"/>
        <v>-1.9363109865112156</v>
      </c>
      <c r="AC214" s="159">
        <f t="shared" si="520"/>
        <v>-2.126145396953492</v>
      </c>
      <c r="AD214" s="159">
        <f t="shared" si="520"/>
        <v>-2.3345910241057952</v>
      </c>
      <c r="AE214" s="159">
        <f t="shared" si="520"/>
        <v>-2.5634724970573437</v>
      </c>
      <c r="AF214" s="137" t="e">
        <f t="shared" ref="AF214" si="521">((AE214/I214)^(1/($AE$3-$J$1) ))-1</f>
        <v>#DIV/0!</v>
      </c>
      <c r="AG214" s="31">
        <f t="shared" ref="AG214" si="522">$N$1</f>
        <v>0.05</v>
      </c>
      <c r="AH214" s="127" t="e">
        <f t="shared" ref="AH214" si="523">(AE214*(1+AF214))/($C$1-AG214)</f>
        <v>#DIV/0!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24">G203</f>
        <v>0</v>
      </c>
      <c r="H215" s="179">
        <f t="shared" si="524"/>
        <v>0</v>
      </c>
      <c r="I215" s="179">
        <f t="shared" ref="I215:S215" si="525">I203</f>
        <v>0</v>
      </c>
      <c r="J215" s="179">
        <f t="shared" si="525"/>
        <v>-1207.8368421052633</v>
      </c>
      <c r="K215" s="179">
        <f t="shared" si="525"/>
        <v>-1849.4320000000002</v>
      </c>
      <c r="L215" s="179">
        <f t="shared" si="525"/>
        <v>47.237858032378583</v>
      </c>
      <c r="M215" s="179">
        <f t="shared" si="525"/>
        <v>54.137012369172211</v>
      </c>
      <c r="N215" s="179">
        <f t="shared" si="525"/>
        <v>10.209125355225765</v>
      </c>
      <c r="O215" s="179">
        <f t="shared" si="525"/>
        <v>9.6121960438452803</v>
      </c>
      <c r="P215" s="179">
        <f t="shared" si="525"/>
        <v>4.7461015262110147</v>
      </c>
      <c r="Q215" s="179">
        <f t="shared" si="525"/>
        <v>5.0640173759150509</v>
      </c>
      <c r="R215" s="179">
        <f t="shared" si="525"/>
        <v>5.4417727171243584</v>
      </c>
      <c r="S215" s="179">
        <f t="shared" si="525"/>
        <v>0</v>
      </c>
      <c r="T215" s="118" t="e">
        <f t="shared" si="476"/>
        <v>#DIV/0!</v>
      </c>
      <c r="U215" s="128"/>
      <c r="V215" s="150">
        <f t="shared" ref="V215:AE215" si="526">V203</f>
        <v>-0.90517384354217523</v>
      </c>
      <c r="W215" s="150">
        <f t="shared" si="526"/>
        <v>-0.82435475036876671</v>
      </c>
      <c r="X215" s="150">
        <f t="shared" si="526"/>
        <v>-0.75075164765726965</v>
      </c>
      <c r="Y215" s="150">
        <f t="shared" si="526"/>
        <v>-0.6837202505450134</v>
      </c>
      <c r="Z215" s="150">
        <f t="shared" si="526"/>
        <v>-0.62267379960349434</v>
      </c>
      <c r="AA215" s="150">
        <f t="shared" si="526"/>
        <v>-0.56707792463889661</v>
      </c>
      <c r="AB215" s="150">
        <f t="shared" si="526"/>
        <v>-0.5164459670818522</v>
      </c>
      <c r="AC215" s="150">
        <f t="shared" si="526"/>
        <v>-0.47033472002097243</v>
      </c>
      <c r="AD215" s="150">
        <f t="shared" si="526"/>
        <v>-0.42834054859052845</v>
      </c>
      <c r="AE215" s="150">
        <f t="shared" si="526"/>
        <v>-0.39009585675208841</v>
      </c>
      <c r="AF215" s="137" t="e">
        <f t="shared" ref="AF215" si="527">((AE215/I215)^(1/($AE$3-$J$1) ))-1</f>
        <v>#DIV/0!</v>
      </c>
      <c r="AG215" s="31">
        <f t="shared" ref="AG215:AG217" si="528">$N$1</f>
        <v>0.05</v>
      </c>
      <c r="AH215" s="179" t="e">
        <f>(AH202)/($N$2*100)</f>
        <v>#DIV/0!</v>
      </c>
    </row>
    <row r="216" spans="2:34">
      <c r="B216" s="20" t="s">
        <v>442</v>
      </c>
      <c r="C216" s="179"/>
      <c r="D216" s="179"/>
      <c r="E216" s="179"/>
      <c r="F216" s="179"/>
      <c r="G216" s="179">
        <f t="shared" ref="G216:H216" si="529">(G203)/($N$2*100)</f>
        <v>0</v>
      </c>
      <c r="H216" s="179">
        <f t="shared" si="529"/>
        <v>0</v>
      </c>
      <c r="I216" s="179">
        <f t="shared" ref="I216:S216" si="530">(I203)/($N$2*100)</f>
        <v>0</v>
      </c>
      <c r="J216" s="179">
        <f t="shared" si="530"/>
        <v>-100.6530701754386</v>
      </c>
      <c r="K216" s="179">
        <f t="shared" si="530"/>
        <v>-154.11933333333334</v>
      </c>
      <c r="L216" s="179">
        <f t="shared" si="530"/>
        <v>3.9364881693648819</v>
      </c>
      <c r="M216" s="179">
        <f t="shared" si="530"/>
        <v>4.5114176974310176</v>
      </c>
      <c r="N216" s="179">
        <f t="shared" si="530"/>
        <v>0.85076044626881375</v>
      </c>
      <c r="O216" s="179">
        <f t="shared" si="530"/>
        <v>0.80101633698710673</v>
      </c>
      <c r="P216" s="179">
        <f t="shared" si="530"/>
        <v>0.39550846051758454</v>
      </c>
      <c r="Q216" s="179">
        <f t="shared" si="530"/>
        <v>0.42200144799292089</v>
      </c>
      <c r="R216" s="179">
        <f t="shared" si="530"/>
        <v>0.45348105976036318</v>
      </c>
      <c r="S216" s="179">
        <f t="shared" si="530"/>
        <v>0</v>
      </c>
      <c r="T216" s="118" t="e">
        <f t="shared" si="476"/>
        <v>#DIV/0!</v>
      </c>
      <c r="U216" s="128"/>
      <c r="V216" s="179">
        <f t="shared" ref="V216:AE216" si="531">(V203)/($N$2*100)</f>
        <v>-7.5431153628514602E-2</v>
      </c>
      <c r="W216" s="179">
        <f t="shared" si="531"/>
        <v>-6.8696229197397221E-2</v>
      </c>
      <c r="X216" s="179">
        <f t="shared" si="531"/>
        <v>-6.2562637304772475E-2</v>
      </c>
      <c r="Y216" s="179">
        <f t="shared" si="531"/>
        <v>-5.6976687545417785E-2</v>
      </c>
      <c r="Z216" s="179">
        <f t="shared" si="531"/>
        <v>-5.1889483300291195E-2</v>
      </c>
      <c r="AA216" s="179">
        <f t="shared" si="531"/>
        <v>-4.7256493719908053E-2</v>
      </c>
      <c r="AB216" s="179">
        <f t="shared" si="531"/>
        <v>-4.3037163923487685E-2</v>
      </c>
      <c r="AC216" s="179">
        <f t="shared" si="531"/>
        <v>-3.9194560001747702E-2</v>
      </c>
      <c r="AD216" s="179">
        <f t="shared" si="531"/>
        <v>-3.5695045715877373E-2</v>
      </c>
      <c r="AE216" s="179">
        <f t="shared" si="531"/>
        <v>-3.2507988062674034E-2</v>
      </c>
      <c r="AF216" s="137" t="e">
        <f t="shared" si="514"/>
        <v>#DIV/0!</v>
      </c>
      <c r="AG216" s="31">
        <f t="shared" si="528"/>
        <v>0.05</v>
      </c>
      <c r="AH216" s="179" t="e">
        <f>(AH203)/($N$2*100)</f>
        <v>#DIV/0!</v>
      </c>
    </row>
    <row r="217" spans="2:34">
      <c r="B217" s="20" t="s">
        <v>443</v>
      </c>
      <c r="C217" s="150"/>
      <c r="D217" s="150"/>
      <c r="E217" s="150"/>
      <c r="F217" s="150"/>
      <c r="G217" s="150">
        <f t="shared" ref="G217:H217" si="532">G216-1</f>
        <v>-1</v>
      </c>
      <c r="H217" s="150">
        <f t="shared" si="532"/>
        <v>-1</v>
      </c>
      <c r="I217" s="150">
        <f t="shared" ref="I217:R217" si="533">I216-1</f>
        <v>-1</v>
      </c>
      <c r="J217" s="150">
        <f t="shared" si="533"/>
        <v>-101.6530701754386</v>
      </c>
      <c r="K217" s="150">
        <f t="shared" si="533"/>
        <v>-155.11933333333334</v>
      </c>
      <c r="L217" s="150">
        <f t="shared" si="533"/>
        <v>2.9364881693648819</v>
      </c>
      <c r="M217" s="150">
        <f t="shared" si="533"/>
        <v>3.5114176974310176</v>
      </c>
      <c r="N217" s="150">
        <f t="shared" si="533"/>
        <v>-0.14923955373118625</v>
      </c>
      <c r="O217" s="150">
        <f t="shared" si="533"/>
        <v>-0.19898366301289327</v>
      </c>
      <c r="P217" s="150">
        <f t="shared" si="533"/>
        <v>-0.60449153948241552</v>
      </c>
      <c r="Q217" s="150">
        <f t="shared" si="533"/>
        <v>-0.57799855200707917</v>
      </c>
      <c r="R217" s="150">
        <f t="shared" si="533"/>
        <v>-0.54651894023963687</v>
      </c>
      <c r="S217" s="150">
        <f>S216-1</f>
        <v>-1</v>
      </c>
      <c r="T217" s="118">
        <f t="shared" si="476"/>
        <v>0</v>
      </c>
      <c r="U217" s="128"/>
      <c r="V217" s="150">
        <f t="shared" ref="V217:AE217" si="534">V216-1</f>
        <v>-1.0754311536285146</v>
      </c>
      <c r="W217" s="150">
        <f t="shared" si="534"/>
        <v>-1.0686962291973972</v>
      </c>
      <c r="X217" s="150">
        <f t="shared" si="534"/>
        <v>-1.0625626373047725</v>
      </c>
      <c r="Y217" s="150">
        <f t="shared" si="534"/>
        <v>-1.0569766875454178</v>
      </c>
      <c r="Z217" s="150">
        <f t="shared" si="534"/>
        <v>-1.0518894833002912</v>
      </c>
      <c r="AA217" s="150">
        <f t="shared" si="534"/>
        <v>-1.047256493719908</v>
      </c>
      <c r="AB217" s="150">
        <f t="shared" si="534"/>
        <v>-1.0430371639234877</v>
      </c>
      <c r="AC217" s="150">
        <f t="shared" si="534"/>
        <v>-1.0391945600017478</v>
      </c>
      <c r="AD217" s="150">
        <f t="shared" si="534"/>
        <v>-1.0356950457158773</v>
      </c>
      <c r="AE217" s="150">
        <f t="shared" si="534"/>
        <v>-1.032507988062674</v>
      </c>
      <c r="AF217" s="137">
        <f t="shared" ref="AF217" si="535">((AE217/I217)^(1/($AE$3-$J$1) ))-1</f>
        <v>1.5245315110554714E-3</v>
      </c>
      <c r="AG217" s="31">
        <f t="shared" si="528"/>
        <v>0.05</v>
      </c>
      <c r="AH217" s="179" t="e">
        <f>(AH204)/($N$2*100)</f>
        <v>#DIV/0!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471</v>
      </c>
      <c r="C219" s="150"/>
      <c r="D219" s="150"/>
      <c r="E219" s="150"/>
      <c r="F219" s="150"/>
      <c r="G219" s="150" t="e">
        <f t="shared" ref="G219:S219" si="536">1/G220</f>
        <v>#DIV/0!</v>
      </c>
      <c r="H219" s="150" t="e">
        <f t="shared" si="536"/>
        <v>#DIV/0!</v>
      </c>
      <c r="I219" s="150" t="e">
        <f t="shared" si="536"/>
        <v>#DIV/0!</v>
      </c>
      <c r="J219" s="150">
        <f t="shared" si="536"/>
        <v>0.132841098844619</v>
      </c>
      <c r="K219" s="150">
        <f t="shared" si="536"/>
        <v>6.6420549422309502E-2</v>
      </c>
      <c r="L219" s="150">
        <f t="shared" si="536"/>
        <v>8.6346714249002351E-2</v>
      </c>
      <c r="M219" s="150">
        <f t="shared" si="536"/>
        <v>5.756447616600157E-2</v>
      </c>
      <c r="N219" s="150">
        <f t="shared" si="536"/>
        <v>5.0792184852354323E-2</v>
      </c>
      <c r="O219" s="150">
        <f t="shared" si="536"/>
        <v>4.3173357124501176E-2</v>
      </c>
      <c r="P219" s="150">
        <f t="shared" si="536"/>
        <v>5.756447616600157E-2</v>
      </c>
      <c r="Q219" s="150">
        <f t="shared" si="536"/>
        <v>5.2331341969092338E-2</v>
      </c>
      <c r="R219" s="150">
        <f t="shared" si="536"/>
        <v>0.132841098844619</v>
      </c>
      <c r="S219" s="150" t="e">
        <f t="shared" si="536"/>
        <v>#DIV/0!</v>
      </c>
      <c r="T219" s="118" t="e">
        <f t="shared" si="476"/>
        <v>#DIV/0!</v>
      </c>
      <c r="U219" s="128"/>
      <c r="V219" s="150">
        <f t="shared" ref="V219:AE219" si="537">1/V220</f>
        <v>0.34538685699600941</v>
      </c>
      <c r="W219" s="150">
        <f t="shared" si="537"/>
        <v>0.34538685699600941</v>
      </c>
      <c r="X219" s="150">
        <f t="shared" si="537"/>
        <v>0.34538685699600941</v>
      </c>
      <c r="Y219" s="150">
        <f t="shared" si="537"/>
        <v>0.34538685699600941</v>
      </c>
      <c r="Z219" s="150">
        <f t="shared" si="537"/>
        <v>0.34538685699600941</v>
      </c>
      <c r="AA219" s="150">
        <f t="shared" si="537"/>
        <v>0.34538685699600941</v>
      </c>
      <c r="AB219" s="150">
        <f t="shared" si="537"/>
        <v>0.34538685699600941</v>
      </c>
      <c r="AC219" s="150">
        <f t="shared" si="537"/>
        <v>0.34538685699600941</v>
      </c>
      <c r="AD219" s="150">
        <f t="shared" si="537"/>
        <v>0.34538685699600941</v>
      </c>
      <c r="AE219" s="150">
        <f t="shared" si="537"/>
        <v>0.34538685699600941</v>
      </c>
      <c r="AF219" s="137" t="e">
        <f t="shared" ref="AF219" si="538">((AE219/I219)^(1/($AE$3-$J$1) ))-1</f>
        <v>#DIV/0!</v>
      </c>
      <c r="AG219" s="31">
        <f t="shared" ref="AG219:AG222" si="539">$N$1</f>
        <v>0.05</v>
      </c>
      <c r="AH219" s="179" t="e">
        <f>(AH206)/($N$2*100)</f>
        <v>#DIV/0!</v>
      </c>
    </row>
    <row r="220" spans="2:34">
      <c r="B220" s="20" t="s">
        <v>472</v>
      </c>
      <c r="C220" s="129"/>
      <c r="D220" s="129"/>
      <c r="E220" s="129"/>
      <c r="F220" s="129"/>
      <c r="G220" s="134">
        <f t="shared" ref="G220:H220" si="540">G201/$U$170</f>
        <v>0</v>
      </c>
      <c r="H220" s="134">
        <f t="shared" si="540"/>
        <v>0</v>
      </c>
      <c r="I220" s="134">
        <f t="shared" ref="I220:S220" si="541">I201/$U$170</f>
        <v>0</v>
      </c>
      <c r="J220" s="134">
        <f t="shared" si="541"/>
        <v>7.5277907868684197</v>
      </c>
      <c r="K220" s="134">
        <f t="shared" si="541"/>
        <v>15.055581573736839</v>
      </c>
      <c r="L220" s="134">
        <f t="shared" si="541"/>
        <v>11.581216595182184</v>
      </c>
      <c r="M220" s="134">
        <f t="shared" si="541"/>
        <v>17.371824892773276</v>
      </c>
      <c r="N220" s="134">
        <f t="shared" si="541"/>
        <v>19.688068211809714</v>
      </c>
      <c r="O220" s="134">
        <f t="shared" si="541"/>
        <v>23.162433190364368</v>
      </c>
      <c r="P220" s="134">
        <f t="shared" si="541"/>
        <v>17.371824892773276</v>
      </c>
      <c r="Q220" s="134">
        <f t="shared" si="541"/>
        <v>19.109007382050603</v>
      </c>
      <c r="R220" s="134">
        <f t="shared" si="541"/>
        <v>7.5277907868684197</v>
      </c>
      <c r="S220" s="134">
        <f t="shared" si="541"/>
        <v>0</v>
      </c>
      <c r="T220" s="118" t="e">
        <f t="shared" si="476"/>
        <v>#DIV/0!</v>
      </c>
      <c r="U220" s="128"/>
      <c r="V220" s="134">
        <f t="shared" ref="V220:AE220" si="542">V201/$U$170</f>
        <v>2.895304148795546</v>
      </c>
      <c r="W220" s="134">
        <f t="shared" si="542"/>
        <v>2.895304148795546</v>
      </c>
      <c r="X220" s="134">
        <f t="shared" si="542"/>
        <v>2.895304148795546</v>
      </c>
      <c r="Y220" s="134">
        <f t="shared" si="542"/>
        <v>2.895304148795546</v>
      </c>
      <c r="Z220" s="134">
        <f t="shared" si="542"/>
        <v>2.895304148795546</v>
      </c>
      <c r="AA220" s="134">
        <f t="shared" si="542"/>
        <v>2.895304148795546</v>
      </c>
      <c r="AB220" s="134">
        <f t="shared" si="542"/>
        <v>2.895304148795546</v>
      </c>
      <c r="AC220" s="134">
        <f t="shared" si="542"/>
        <v>2.895304148795546</v>
      </c>
      <c r="AD220" s="134">
        <f t="shared" si="542"/>
        <v>2.895304148795546</v>
      </c>
      <c r="AE220" s="134">
        <f t="shared" si="542"/>
        <v>2.895304148795546</v>
      </c>
      <c r="AF220" s="137" t="e">
        <f t="shared" ref="AF220:AF222" si="543">((AE220/I220)^(1/($AE$3-$J$1) ))-1</f>
        <v>#DIV/0!</v>
      </c>
      <c r="AG220" s="31">
        <f t="shared" si="539"/>
        <v>0.05</v>
      </c>
      <c r="AH220" s="179" t="e">
        <f>(AH206)/($N$2*100)</f>
        <v>#DIV/0!</v>
      </c>
    </row>
    <row r="221" spans="2:34">
      <c r="B221" s="20" t="s">
        <v>466</v>
      </c>
      <c r="C221" s="129"/>
      <c r="D221" s="129"/>
      <c r="E221" s="129"/>
      <c r="F221" s="129"/>
      <c r="G221" s="179">
        <f t="shared" ref="G221:H221" si="544">(G220)/($N$2*100)</f>
        <v>0</v>
      </c>
      <c r="H221" s="179">
        <f t="shared" si="544"/>
        <v>0</v>
      </c>
      <c r="I221" s="179">
        <f t="shared" ref="I221:S221" si="545">(I220)/($N$2*100)</f>
        <v>0</v>
      </c>
      <c r="J221" s="179">
        <f t="shared" si="545"/>
        <v>0.62731589890570161</v>
      </c>
      <c r="K221" s="179">
        <f t="shared" si="545"/>
        <v>1.2546317978114032</v>
      </c>
      <c r="L221" s="179">
        <f t="shared" si="545"/>
        <v>0.96510138293184866</v>
      </c>
      <c r="M221" s="179">
        <f t="shared" si="545"/>
        <v>1.447652074397773</v>
      </c>
      <c r="N221" s="179">
        <f t="shared" si="545"/>
        <v>1.6406723509841428</v>
      </c>
      <c r="O221" s="179">
        <f t="shared" si="545"/>
        <v>1.9302027658636973</v>
      </c>
      <c r="P221" s="179">
        <f t="shared" si="545"/>
        <v>1.447652074397773</v>
      </c>
      <c r="Q221" s="179">
        <f t="shared" si="545"/>
        <v>1.5924172818375502</v>
      </c>
      <c r="R221" s="179">
        <f t="shared" si="545"/>
        <v>0.62731589890570161</v>
      </c>
      <c r="S221" s="179">
        <f t="shared" si="545"/>
        <v>0</v>
      </c>
      <c r="T221" s="118" t="e">
        <f t="shared" si="476"/>
        <v>#DIV/0!</v>
      </c>
      <c r="U221" s="128"/>
      <c r="V221" s="179">
        <f t="shared" ref="V221:AE221" si="546">(V220)/($N$2*100)</f>
        <v>0.24127534573296217</v>
      </c>
      <c r="W221" s="179">
        <f t="shared" si="546"/>
        <v>0.24127534573296217</v>
      </c>
      <c r="X221" s="179">
        <f t="shared" si="546"/>
        <v>0.24127534573296217</v>
      </c>
      <c r="Y221" s="179">
        <f t="shared" si="546"/>
        <v>0.24127534573296217</v>
      </c>
      <c r="Z221" s="179">
        <f t="shared" si="546"/>
        <v>0.24127534573296217</v>
      </c>
      <c r="AA221" s="179">
        <f t="shared" si="546"/>
        <v>0.24127534573296217</v>
      </c>
      <c r="AB221" s="179">
        <f t="shared" si="546"/>
        <v>0.24127534573296217</v>
      </c>
      <c r="AC221" s="179">
        <f t="shared" si="546"/>
        <v>0.24127534573296217</v>
      </c>
      <c r="AD221" s="179">
        <f t="shared" si="546"/>
        <v>0.24127534573296217</v>
      </c>
      <c r="AE221" s="179">
        <f t="shared" si="546"/>
        <v>0.24127534573296217</v>
      </c>
      <c r="AF221" s="137" t="e">
        <f t="shared" si="543"/>
        <v>#DIV/0!</v>
      </c>
      <c r="AG221" s="31">
        <f t="shared" si="539"/>
        <v>0.05</v>
      </c>
      <c r="AH221" s="179" t="e">
        <f>(AH207)/($N$2*100)</f>
        <v>#DIV/0!</v>
      </c>
    </row>
    <row r="222" spans="2:34">
      <c r="B222" s="20" t="s">
        <v>467</v>
      </c>
      <c r="C222" s="129"/>
      <c r="D222" s="129"/>
      <c r="E222" s="129"/>
      <c r="F222" s="129"/>
      <c r="G222" s="150">
        <f t="shared" ref="G222:H222" si="547">G221-1</f>
        <v>-1</v>
      </c>
      <c r="H222" s="150">
        <f t="shared" si="547"/>
        <v>-1</v>
      </c>
      <c r="I222" s="150">
        <f t="shared" ref="I222:S222" si="548">I221-1</f>
        <v>-1</v>
      </c>
      <c r="J222" s="150">
        <f t="shared" si="548"/>
        <v>-0.37268410109429839</v>
      </c>
      <c r="K222" s="150">
        <f t="shared" si="548"/>
        <v>0.25463179781140322</v>
      </c>
      <c r="L222" s="150">
        <f t="shared" si="548"/>
        <v>-3.4898617068151339E-2</v>
      </c>
      <c r="M222" s="150">
        <f t="shared" si="548"/>
        <v>0.44765207439777299</v>
      </c>
      <c r="N222" s="150">
        <f t="shared" si="548"/>
        <v>0.64067235098414277</v>
      </c>
      <c r="O222" s="150">
        <f t="shared" si="548"/>
        <v>0.93020276586369732</v>
      </c>
      <c r="P222" s="150">
        <f t="shared" si="548"/>
        <v>0.44765207439777299</v>
      </c>
      <c r="Q222" s="150">
        <f t="shared" si="548"/>
        <v>0.59241728183755016</v>
      </c>
      <c r="R222" s="150">
        <f t="shared" si="548"/>
        <v>-0.37268410109429839</v>
      </c>
      <c r="S222" s="150">
        <f t="shared" si="548"/>
        <v>-1</v>
      </c>
      <c r="T222" s="118">
        <f t="shared" si="476"/>
        <v>0</v>
      </c>
      <c r="U222" s="128"/>
      <c r="V222" s="150">
        <f t="shared" ref="V222:AE222" si="549">V221-1</f>
        <v>-0.75872465426703783</v>
      </c>
      <c r="W222" s="150">
        <f t="shared" si="549"/>
        <v>-0.75872465426703783</v>
      </c>
      <c r="X222" s="150">
        <f t="shared" si="549"/>
        <v>-0.75872465426703783</v>
      </c>
      <c r="Y222" s="150">
        <f t="shared" si="549"/>
        <v>-0.75872465426703783</v>
      </c>
      <c r="Z222" s="150">
        <f t="shared" si="549"/>
        <v>-0.75872465426703783</v>
      </c>
      <c r="AA222" s="150">
        <f t="shared" si="549"/>
        <v>-0.75872465426703783</v>
      </c>
      <c r="AB222" s="150">
        <f t="shared" si="549"/>
        <v>-0.75872465426703783</v>
      </c>
      <c r="AC222" s="150">
        <f t="shared" si="549"/>
        <v>-0.75872465426703783</v>
      </c>
      <c r="AD222" s="150">
        <f t="shared" si="549"/>
        <v>-0.75872465426703783</v>
      </c>
      <c r="AE222" s="150">
        <f t="shared" si="549"/>
        <v>-0.75872465426703783</v>
      </c>
      <c r="AF222" s="137">
        <f t="shared" si="543"/>
        <v>-1.3062334659568298E-2</v>
      </c>
      <c r="AG222" s="31">
        <f t="shared" si="539"/>
        <v>0.05</v>
      </c>
      <c r="AH222" s="179" t="e">
        <f>(AH208)/($N$2*100)</f>
        <v>#DIV/0!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471</v>
      </c>
      <c r="C224" s="129"/>
      <c r="D224" s="129"/>
      <c r="E224" s="129"/>
      <c r="F224" s="129"/>
      <c r="G224" s="150" t="e">
        <f t="shared" ref="G224:S224" si="550">1/G225</f>
        <v>#DIV/0!</v>
      </c>
      <c r="H224" s="150" t="e">
        <f t="shared" si="550"/>
        <v>#DIV/0!</v>
      </c>
      <c r="I224" s="150" t="e">
        <f t="shared" si="550"/>
        <v>#DIV/0!</v>
      </c>
      <c r="J224" s="150">
        <f t="shared" si="550"/>
        <v>0.22541608372959376</v>
      </c>
      <c r="K224" s="150">
        <f t="shared" si="550"/>
        <v>0.11270804186479688</v>
      </c>
      <c r="L224" s="150">
        <f t="shared" si="550"/>
        <v>0.14652045442423595</v>
      </c>
      <c r="M224" s="150">
        <f t="shared" si="550"/>
        <v>9.7680302949490636E-2</v>
      </c>
      <c r="N224" s="150">
        <f t="shared" si="550"/>
        <v>8.6188502602491737E-2</v>
      </c>
      <c r="O224" s="150">
        <f t="shared" si="550"/>
        <v>7.3260227212117973E-2</v>
      </c>
      <c r="P224" s="150">
        <f t="shared" si="550"/>
        <v>9.7680302949490636E-2</v>
      </c>
      <c r="Q224" s="150">
        <f t="shared" si="550"/>
        <v>8.8800275408627838E-2</v>
      </c>
      <c r="R224" s="150">
        <f t="shared" si="550"/>
        <v>0.22541608372959376</v>
      </c>
      <c r="S224" s="150" t="e">
        <f t="shared" si="550"/>
        <v>#DIV/0!</v>
      </c>
      <c r="T224" s="118" t="e">
        <f t="shared" si="476"/>
        <v>#DIV/0!</v>
      </c>
      <c r="U224" s="128"/>
      <c r="V224" s="150">
        <f t="shared" ref="V224:AE224" si="551">1/V225</f>
        <v>0.58608181769694379</v>
      </c>
      <c r="W224" s="150">
        <f t="shared" si="551"/>
        <v>0.58608181769694379</v>
      </c>
      <c r="X224" s="150">
        <f t="shared" si="551"/>
        <v>0.58608181769694379</v>
      </c>
      <c r="Y224" s="150">
        <f t="shared" si="551"/>
        <v>0.58608181769694379</v>
      </c>
      <c r="Z224" s="150">
        <f t="shared" si="551"/>
        <v>0.58608181769694379</v>
      </c>
      <c r="AA224" s="150">
        <f t="shared" si="551"/>
        <v>0.58608181769694379</v>
      </c>
      <c r="AB224" s="150">
        <f t="shared" si="551"/>
        <v>0.58608181769694379</v>
      </c>
      <c r="AC224" s="150">
        <f t="shared" si="551"/>
        <v>0.58608181769694379</v>
      </c>
      <c r="AD224" s="150">
        <f t="shared" si="551"/>
        <v>0.58608181769694379</v>
      </c>
      <c r="AE224" s="150">
        <f t="shared" si="551"/>
        <v>0.58608181769694379</v>
      </c>
      <c r="AF224" s="137" t="e">
        <f t="shared" ref="AF224" si="552">((AE224/I224)^(1/($AE$3-$J$1) ))-1</f>
        <v>#DIV/0!</v>
      </c>
      <c r="AG224" s="31">
        <f t="shared" ref="AG224" si="553">$N$1</f>
        <v>0.05</v>
      </c>
      <c r="AH224" s="179">
        <f>(AH210)/($N$2*100)</f>
        <v>0</v>
      </c>
    </row>
    <row r="225" spans="2:48">
      <c r="B225" s="20" t="s">
        <v>473</v>
      </c>
      <c r="C225" s="129"/>
      <c r="D225" s="129"/>
      <c r="E225" s="129"/>
      <c r="F225" s="129"/>
      <c r="G225" s="134">
        <f t="shared" ref="G225:H225" si="554">G201/$S$170</f>
        <v>0</v>
      </c>
      <c r="H225" s="134">
        <f t="shared" si="554"/>
        <v>0</v>
      </c>
      <c r="I225" s="134">
        <f t="shared" ref="I225:S225" si="555">I201/$S$170</f>
        <v>0</v>
      </c>
      <c r="J225" s="134">
        <f t="shared" si="555"/>
        <v>4.436240677482389</v>
      </c>
      <c r="K225" s="134">
        <f t="shared" si="555"/>
        <v>8.8724813549647781</v>
      </c>
      <c r="L225" s="134">
        <f t="shared" si="555"/>
        <v>6.8249856576652146</v>
      </c>
      <c r="M225" s="134">
        <f t="shared" si="555"/>
        <v>10.237478486497821</v>
      </c>
      <c r="N225" s="134">
        <f t="shared" si="555"/>
        <v>11.602475618030864</v>
      </c>
      <c r="O225" s="134">
        <f t="shared" si="555"/>
        <v>13.649971315330429</v>
      </c>
      <c r="P225" s="134">
        <f t="shared" si="555"/>
        <v>10.237478486497821</v>
      </c>
      <c r="Q225" s="134">
        <f t="shared" si="555"/>
        <v>11.261226335147605</v>
      </c>
      <c r="R225" s="134">
        <f t="shared" si="555"/>
        <v>4.436240677482389</v>
      </c>
      <c r="S225" s="134">
        <f t="shared" si="555"/>
        <v>0</v>
      </c>
      <c r="T225" s="118" t="e">
        <f t="shared" si="476"/>
        <v>#DIV/0!</v>
      </c>
      <c r="U225" s="128"/>
      <c r="V225" s="134">
        <f t="shared" ref="V225:AE225" si="556">V201/$S$170</f>
        <v>1.7062464144163036</v>
      </c>
      <c r="W225" s="134">
        <f t="shared" si="556"/>
        <v>1.7062464144163036</v>
      </c>
      <c r="X225" s="134">
        <f t="shared" si="556"/>
        <v>1.7062464144163036</v>
      </c>
      <c r="Y225" s="134">
        <f t="shared" si="556"/>
        <v>1.7062464144163036</v>
      </c>
      <c r="Z225" s="134">
        <f t="shared" si="556"/>
        <v>1.7062464144163036</v>
      </c>
      <c r="AA225" s="134">
        <f t="shared" si="556"/>
        <v>1.7062464144163036</v>
      </c>
      <c r="AB225" s="134">
        <f t="shared" si="556"/>
        <v>1.7062464144163036</v>
      </c>
      <c r="AC225" s="134">
        <f t="shared" si="556"/>
        <v>1.7062464144163036</v>
      </c>
      <c r="AD225" s="134">
        <f t="shared" si="556"/>
        <v>1.7062464144163036</v>
      </c>
      <c r="AE225" s="134">
        <f t="shared" si="556"/>
        <v>1.7062464144163036</v>
      </c>
      <c r="AF225" s="137" t="e">
        <f t="shared" ref="AF225:AF227" si="557">((AE225/I225)^(1/($AE$3-$J$1) ))-1</f>
        <v>#DIV/0!</v>
      </c>
      <c r="AG225" s="31">
        <f t="shared" ref="AG225:AG227" si="558">$N$1</f>
        <v>0.05</v>
      </c>
      <c r="AH225" s="179">
        <f>(AH210)/($N$2*100)</f>
        <v>0</v>
      </c>
    </row>
    <row r="226" spans="2:48">
      <c r="B226" s="20" t="s">
        <v>466</v>
      </c>
      <c r="C226" s="129"/>
      <c r="D226" s="129"/>
      <c r="E226" s="129"/>
      <c r="F226" s="129"/>
      <c r="G226" s="179">
        <f t="shared" ref="G226:H226" si="559">(G225)/($N$2*100)</f>
        <v>0</v>
      </c>
      <c r="H226" s="179">
        <f t="shared" si="559"/>
        <v>0</v>
      </c>
      <c r="I226" s="179">
        <f t="shared" ref="I226:S226" si="560">(I225)/($N$2*100)</f>
        <v>0</v>
      </c>
      <c r="J226" s="179">
        <f t="shared" si="560"/>
        <v>0.3696867231235324</v>
      </c>
      <c r="K226" s="179">
        <f t="shared" si="560"/>
        <v>0.7393734462470648</v>
      </c>
      <c r="L226" s="179">
        <f t="shared" si="560"/>
        <v>0.56874880480543455</v>
      </c>
      <c r="M226" s="179">
        <f t="shared" si="560"/>
        <v>0.85312320720815171</v>
      </c>
      <c r="N226" s="179">
        <f t="shared" si="560"/>
        <v>0.96687296816923862</v>
      </c>
      <c r="O226" s="179">
        <f t="shared" si="560"/>
        <v>1.1374976096108691</v>
      </c>
      <c r="P226" s="179">
        <f t="shared" si="560"/>
        <v>0.85312320720815171</v>
      </c>
      <c r="Q226" s="179">
        <f t="shared" si="560"/>
        <v>0.93843552792896701</v>
      </c>
      <c r="R226" s="179">
        <f t="shared" si="560"/>
        <v>0.3696867231235324</v>
      </c>
      <c r="S226" s="179">
        <f t="shared" si="560"/>
        <v>0</v>
      </c>
      <c r="T226" s="118" t="e">
        <f t="shared" si="476"/>
        <v>#DIV/0!</v>
      </c>
      <c r="U226" s="128"/>
      <c r="V226" s="179">
        <f t="shared" ref="V226:AE226" si="561">(V225)/($N$2*100)</f>
        <v>0.14218720120135864</v>
      </c>
      <c r="W226" s="179">
        <f t="shared" si="561"/>
        <v>0.14218720120135864</v>
      </c>
      <c r="X226" s="179">
        <f t="shared" si="561"/>
        <v>0.14218720120135864</v>
      </c>
      <c r="Y226" s="179">
        <f t="shared" si="561"/>
        <v>0.14218720120135864</v>
      </c>
      <c r="Z226" s="179">
        <f t="shared" si="561"/>
        <v>0.14218720120135864</v>
      </c>
      <c r="AA226" s="179">
        <f t="shared" si="561"/>
        <v>0.14218720120135864</v>
      </c>
      <c r="AB226" s="179">
        <f t="shared" si="561"/>
        <v>0.14218720120135864</v>
      </c>
      <c r="AC226" s="179">
        <f t="shared" si="561"/>
        <v>0.14218720120135864</v>
      </c>
      <c r="AD226" s="179">
        <f t="shared" si="561"/>
        <v>0.14218720120135864</v>
      </c>
      <c r="AE226" s="179">
        <f t="shared" si="561"/>
        <v>0.14218720120135864</v>
      </c>
      <c r="AF226" s="137" t="e">
        <f t="shared" si="557"/>
        <v>#DIV/0!</v>
      </c>
      <c r="AG226" s="31">
        <f t="shared" si="558"/>
        <v>0.05</v>
      </c>
      <c r="AH226" s="179" t="e">
        <f>(#REF!)/($N$2*100)</f>
        <v>#REF!</v>
      </c>
    </row>
    <row r="227" spans="2:48">
      <c r="B227" s="20" t="s">
        <v>467</v>
      </c>
      <c r="C227" s="129"/>
      <c r="D227" s="129"/>
      <c r="E227" s="129"/>
      <c r="F227" s="129"/>
      <c r="G227" s="150">
        <f t="shared" ref="G227:H227" si="562">G226-1</f>
        <v>-1</v>
      </c>
      <c r="H227" s="150">
        <f t="shared" si="562"/>
        <v>-1</v>
      </c>
      <c r="I227" s="150">
        <f t="shared" ref="I227:S227" si="563">I226-1</f>
        <v>-1</v>
      </c>
      <c r="J227" s="150">
        <f t="shared" si="563"/>
        <v>-0.63031327687646765</v>
      </c>
      <c r="K227" s="150">
        <f t="shared" si="563"/>
        <v>-0.2606265537529352</v>
      </c>
      <c r="L227" s="150">
        <f t="shared" si="563"/>
        <v>-0.43125119519456545</v>
      </c>
      <c r="M227" s="150">
        <f t="shared" si="563"/>
        <v>-0.14687679279184829</v>
      </c>
      <c r="N227" s="150">
        <f t="shared" si="563"/>
        <v>-3.3127031830761378E-2</v>
      </c>
      <c r="O227" s="150">
        <f t="shared" si="563"/>
        <v>0.1374976096108691</v>
      </c>
      <c r="P227" s="150">
        <f t="shared" si="563"/>
        <v>-0.14687679279184829</v>
      </c>
      <c r="Q227" s="150">
        <f t="shared" si="563"/>
        <v>-6.1564472071032994E-2</v>
      </c>
      <c r="R227" s="150">
        <f t="shared" si="563"/>
        <v>-0.63031327687646765</v>
      </c>
      <c r="S227" s="150">
        <f t="shared" si="563"/>
        <v>-1</v>
      </c>
      <c r="T227" s="118">
        <f t="shared" si="476"/>
        <v>0</v>
      </c>
      <c r="U227" s="128"/>
      <c r="V227" s="150">
        <f t="shared" ref="V227:AE227" si="564">V226-1</f>
        <v>-0.85781279879864136</v>
      </c>
      <c r="W227" s="150">
        <f t="shared" si="564"/>
        <v>-0.85781279879864136</v>
      </c>
      <c r="X227" s="150">
        <f t="shared" si="564"/>
        <v>-0.85781279879864136</v>
      </c>
      <c r="Y227" s="150">
        <f t="shared" si="564"/>
        <v>-0.85781279879864136</v>
      </c>
      <c r="Z227" s="150">
        <f t="shared" si="564"/>
        <v>-0.85781279879864136</v>
      </c>
      <c r="AA227" s="150">
        <f t="shared" si="564"/>
        <v>-0.85781279879864136</v>
      </c>
      <c r="AB227" s="150">
        <f t="shared" si="564"/>
        <v>-0.85781279879864136</v>
      </c>
      <c r="AC227" s="150">
        <f t="shared" si="564"/>
        <v>-0.85781279879864136</v>
      </c>
      <c r="AD227" s="150">
        <f t="shared" si="564"/>
        <v>-0.85781279879864136</v>
      </c>
      <c r="AE227" s="150">
        <f t="shared" si="564"/>
        <v>-0.85781279879864136</v>
      </c>
      <c r="AF227" s="137">
        <f t="shared" si="557"/>
        <v>-7.2766998002464778E-3</v>
      </c>
      <c r="AG227" s="31">
        <f t="shared" si="558"/>
        <v>0.05</v>
      </c>
      <c r="AH227" s="179" t="e">
        <f>(AH211)/($N$2*100)</f>
        <v>#DIV/0!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6" t="s">
        <v>347</v>
      </c>
      <c r="N229" s="217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 t="e">
        <f>(S201-U188)/S201</f>
        <v>#DIV/0!</v>
      </c>
      <c r="S230" s="128" t="e">
        <f>(S201-V188)/S201</f>
        <v>#DIV/0!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-14.041625255859945</v>
      </c>
      <c r="P231" s="20"/>
      <c r="Q231" s="20"/>
      <c r="R231" s="128" t="e">
        <f>(S201-U179)/S201</f>
        <v>#DIV/0!</v>
      </c>
      <c r="S231" s="128" t="e">
        <f>(S201-V179)/S201</f>
        <v>#DIV/0!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-15.67335301097118</v>
      </c>
      <c r="P232" s="20"/>
      <c r="Q232" s="20"/>
      <c r="R232" s="128" t="e">
        <f>(S201-U172)/S201</f>
        <v>#DIV/0!</v>
      </c>
      <c r="S232" s="128" t="e">
        <f>(S201-V172)/S201</f>
        <v>#DIV/0!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>
        <f>(R201-(M233*U185))/R201</f>
        <v>6.5078821343805566E-3</v>
      </c>
      <c r="P233" s="20"/>
      <c r="Q233" s="20"/>
      <c r="R233" s="128" t="e">
        <f>(S201-U185)/S201</f>
        <v>#DIV/0!</v>
      </c>
      <c r="S233" s="128" t="e">
        <f>(S201-V185)/S201</f>
        <v>#DIV/0!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1</v>
      </c>
      <c r="P234" s="20"/>
      <c r="Q234" s="20"/>
      <c r="R234" s="128" t="e">
        <f>(S201-U198)/S201</f>
        <v>#DIV/0!</v>
      </c>
      <c r="S234" s="128" t="e">
        <f>(S201-V198)/S201</f>
        <v>#DIV/0!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0</v>
      </c>
      <c r="S235" s="25">
        <f>S201/V171</f>
        <v>0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>
      <c r="B236" s="20" t="s">
        <v>367</v>
      </c>
      <c r="C236" s="20"/>
      <c r="D236" s="20"/>
      <c r="E236" s="20"/>
      <c r="F236" s="20"/>
      <c r="G236" s="20"/>
      <c r="H236" s="20"/>
      <c r="I236" s="187" t="s">
        <v>444</v>
      </c>
      <c r="J236" s="188"/>
      <c r="K236" s="187" t="s">
        <v>445</v>
      </c>
      <c r="L236" s="188"/>
      <c r="M236" s="20"/>
      <c r="N236" s="187" t="s">
        <v>446</v>
      </c>
      <c r="O236" s="188"/>
      <c r="P236" s="187" t="s">
        <v>447</v>
      </c>
      <c r="Q236" s="188"/>
      <c r="R236" s="150" t="e">
        <f>1/R235</f>
        <v>#DIV/0!</v>
      </c>
      <c r="S236" s="150" t="e">
        <f>1/S235</f>
        <v>#DIV/0!</v>
      </c>
      <c r="T236" s="20"/>
      <c r="U236" s="20"/>
      <c r="V236" s="129">
        <f>S201-V237</f>
        <v>-17.79357047991812</v>
      </c>
      <c r="W236" s="183">
        <f>V236-W237</f>
        <v>-36.476819483832145</v>
      </c>
      <c r="X236" s="183">
        <f t="shared" ref="X236:Z236" si="565">W236-X237</f>
        <v>-56.094230937941873</v>
      </c>
      <c r="Y236" s="183">
        <f t="shared" si="565"/>
        <v>-76.6925129647571</v>
      </c>
      <c r="Z236" s="183">
        <f t="shared" si="565"/>
        <v>-98.320709092913077</v>
      </c>
      <c r="AA236" s="183">
        <f>Z236-AA237</f>
        <v>-121.03031502747686</v>
      </c>
      <c r="AB236" s="183">
        <f t="shared" ref="AB236:AE236" si="566">AA236-AB237</f>
        <v>-144.87540125876882</v>
      </c>
      <c r="AC236" s="183">
        <f t="shared" si="566"/>
        <v>-169.9127418016254</v>
      </c>
      <c r="AD236" s="183">
        <f t="shared" si="566"/>
        <v>-196.20194937162481</v>
      </c>
      <c r="AE236" s="183">
        <f t="shared" si="566"/>
        <v>-223.80561732012418</v>
      </c>
      <c r="AF236" s="183">
        <f t="shared" ref="AF236" si="567">AE236-AF237</f>
        <v>-252.78946866604852</v>
      </c>
      <c r="AG236" s="183">
        <f t="shared" ref="AG236" si="568">AF236-AG237</f>
        <v>-283.22251257926905</v>
      </c>
      <c r="AH236" s="183">
        <f t="shared" ref="AH236" si="569">AG236-AH237</f>
        <v>-315.17720868815064</v>
      </c>
      <c r="AI236" s="183">
        <f t="shared" ref="AI236" si="570">AH236-AI237</f>
        <v>-348.72963960247631</v>
      </c>
      <c r="AJ236" s="183">
        <f t="shared" ref="AJ236" si="571">AI236-AJ237</f>
        <v>-383.95969206251829</v>
      </c>
      <c r="AK236" s="183">
        <f t="shared" ref="AK236" si="572">AJ236-AK237</f>
        <v>-420.95124714556232</v>
      </c>
      <c r="AL236" s="183">
        <f t="shared" ref="AL236" si="573">AK236-AL237</f>
        <v>-459.79237998275858</v>
      </c>
      <c r="AM236" s="183">
        <f t="shared" ref="AM236" si="574">AL236-AM237</f>
        <v>-500.57556946181467</v>
      </c>
      <c r="AN236" s="183">
        <f t="shared" ref="AN236" si="575">AM236-AN237</f>
        <v>-543.39791841482361</v>
      </c>
      <c r="AO236" s="183">
        <f t="shared" ref="AO236" si="576">AN236-AO237</f>
        <v>-588.36138481548289</v>
      </c>
      <c r="AP236" s="183">
        <f t="shared" ref="AP236" si="577">AO236-AP237</f>
        <v>-635.57302453617524</v>
      </c>
      <c r="AQ236" s="183">
        <f t="shared" ref="AQ236" si="578">AP236-AQ237</f>
        <v>-685.1452462429022</v>
      </c>
      <c r="AR236" s="183">
        <f t="shared" ref="AR236" si="579">AQ236-AR237</f>
        <v>-737.19607903496546</v>
      </c>
      <c r="AS236" s="183">
        <f t="shared" ref="AS236" si="580">AR236-AS237</f>
        <v>-791.84945346663187</v>
      </c>
      <c r="AT236" s="183">
        <f t="shared" ref="AT236" si="581">AS236-AT237</f>
        <v>-849.23549661988159</v>
      </c>
      <c r="AU236" s="183">
        <f t="shared" ref="AU236" si="582">AT236-AU237</f>
        <v>-909.49084193079386</v>
      </c>
      <c r="AV236" s="183">
        <f t="shared" ref="AV236" si="583">AU236-AV237</f>
        <v>-972.7589545072517</v>
      </c>
    </row>
    <row r="237" spans="2:48">
      <c r="B237" s="20" t="s">
        <v>392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0</v>
      </c>
      <c r="S237" s="179" t="s">
        <v>465</v>
      </c>
      <c r="T237" s="20"/>
      <c r="U237" s="20"/>
      <c r="V237" s="184">
        <f>T170*(1+$M$237)</f>
        <v>17.79357047991812</v>
      </c>
      <c r="W237" s="184">
        <f>V237*(1+$M$237)</f>
        <v>18.683249003914028</v>
      </c>
      <c r="X237" s="184">
        <f t="shared" ref="X237:AE237" si="584">W237*(1+$M$237)</f>
        <v>19.617411454109732</v>
      </c>
      <c r="Y237" s="184">
        <f t="shared" si="584"/>
        <v>20.59828202681522</v>
      </c>
      <c r="Z237" s="184">
        <f t="shared" si="584"/>
        <v>21.628196128155981</v>
      </c>
      <c r="AA237" s="184">
        <f t="shared" si="584"/>
        <v>22.709605934563783</v>
      </c>
      <c r="AB237" s="184">
        <f t="shared" si="584"/>
        <v>23.845086231291972</v>
      </c>
      <c r="AC237" s="184">
        <f t="shared" si="584"/>
        <v>25.037340542856573</v>
      </c>
      <c r="AD237" s="184">
        <f t="shared" si="584"/>
        <v>26.289207569999402</v>
      </c>
      <c r="AE237" s="184">
        <f t="shared" si="584"/>
        <v>27.603667948499371</v>
      </c>
      <c r="AF237" s="184">
        <f t="shared" ref="AF237" si="585">AE237*(1+$M$237)</f>
        <v>28.983851345924339</v>
      </c>
      <c r="AG237" s="184">
        <f t="shared" ref="AG237" si="586">AF237*(1+$M$237)</f>
        <v>30.433043913220558</v>
      </c>
      <c r="AH237" s="184">
        <f t="shared" ref="AH237" si="587">AG237*(1+$M$237)</f>
        <v>31.954696108881588</v>
      </c>
      <c r="AI237" s="184">
        <f t="shared" ref="AI237" si="588">AH237*(1+$M$237)</f>
        <v>33.552430914325669</v>
      </c>
      <c r="AJ237" s="184">
        <f t="shared" ref="AJ237" si="589">AI237*(1+$M$237)</f>
        <v>35.230052460041954</v>
      </c>
      <c r="AK237" s="184">
        <f t="shared" ref="AK237" si="590">AJ237*(1+$M$237)</f>
        <v>36.991555083044055</v>
      </c>
      <c r="AL237" s="184">
        <f t="shared" ref="AL237" si="591">AK237*(1+$M$237)</f>
        <v>38.841132837196263</v>
      </c>
      <c r="AM237" s="184">
        <f t="shared" ref="AM237" si="592">AL237*(1+$M$237)</f>
        <v>40.783189479056077</v>
      </c>
      <c r="AN237" s="184">
        <f t="shared" ref="AN237" si="593">AM237*(1+$M$237)</f>
        <v>42.822348953008884</v>
      </c>
      <c r="AO237" s="184">
        <f t="shared" ref="AO237" si="594">AN237*(1+$M$237)</f>
        <v>44.963466400659328</v>
      </c>
      <c r="AP237" s="184">
        <f t="shared" ref="AP237" si="595">AO237*(1+$M$237)</f>
        <v>47.211639720692297</v>
      </c>
      <c r="AQ237" s="184">
        <f t="shared" ref="AQ237" si="596">AP237*(1+$M$237)</f>
        <v>49.572221706726914</v>
      </c>
      <c r="AR237" s="184">
        <f t="shared" ref="AR237" si="597">AQ237*(1+$M$237)</f>
        <v>52.050832792063261</v>
      </c>
      <c r="AS237" s="184">
        <f t="shared" ref="AS237" si="598">AR237*(1+$M$237)</f>
        <v>54.653374431666428</v>
      </c>
      <c r="AT237" s="184">
        <f t="shared" ref="AT237" si="599">AS237*(1+$M$237)</f>
        <v>57.386043153249751</v>
      </c>
      <c r="AU237" s="184">
        <f t="shared" ref="AU237" si="600">AT237*(1+$M$237)</f>
        <v>60.25534531091224</v>
      </c>
      <c r="AV237" s="184">
        <f t="shared" ref="AV237" si="601">AU237*(1+$M$237)</f>
        <v>63.268112576457852</v>
      </c>
    </row>
    <row r="238" spans="2:48">
      <c r="B238" s="20" t="s">
        <v>391</v>
      </c>
      <c r="C238" s="20"/>
      <c r="D238" s="20"/>
      <c r="E238" s="23" t="s">
        <v>387</v>
      </c>
      <c r="F238" s="23"/>
      <c r="G238" s="23"/>
      <c r="H238" s="22"/>
      <c r="I238" s="189">
        <v>0</v>
      </c>
      <c r="J238" s="190">
        <f>S203</f>
        <v>0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464</v>
      </c>
      <c r="R238" s="179">
        <f>S201/S72</f>
        <v>0</v>
      </c>
      <c r="S238" s="179" t="s">
        <v>465</v>
      </c>
      <c r="T238" s="20"/>
      <c r="U238" s="20"/>
      <c r="V238" s="184">
        <f>S72*(1+$M$238)</f>
        <v>-52.821345138407381</v>
      </c>
      <c r="W238" s="184">
        <f>V238*(1+$M$238)</f>
        <v>-55.462412395327753</v>
      </c>
      <c r="X238" s="184">
        <f t="shared" ref="X238:AE238" si="602">W238*(1+$M$238)</f>
        <v>-58.235533015094141</v>
      </c>
      <c r="Y238" s="184">
        <f t="shared" si="602"/>
        <v>-61.147309665848852</v>
      </c>
      <c r="Z238" s="184">
        <f t="shared" si="602"/>
        <v>-64.204675149141295</v>
      </c>
      <c r="AA238" s="184">
        <f t="shared" si="602"/>
        <v>-67.414908906598356</v>
      </c>
      <c r="AB238" s="184">
        <f t="shared" si="602"/>
        <v>-70.785654351928272</v>
      </c>
      <c r="AC238" s="184">
        <f t="shared" si="602"/>
        <v>-74.324937069524694</v>
      </c>
      <c r="AD238" s="184">
        <f t="shared" si="602"/>
        <v>-78.041183923000929</v>
      </c>
      <c r="AE238" s="184">
        <f t="shared" si="602"/>
        <v>-81.943243119150978</v>
      </c>
      <c r="AF238" s="184">
        <f t="shared" ref="AF238" si="603">AE238*(1+$M$238)</f>
        <v>-86.040405275108526</v>
      </c>
      <c r="AG238" s="184">
        <f t="shared" ref="AG238" si="604">AF238*(1+$M$238)</f>
        <v>-90.342425538863949</v>
      </c>
      <c r="AH238" s="184">
        <f t="shared" ref="AH238" si="605">AG238*(1+$M$238)</f>
        <v>-94.85954681580715</v>
      </c>
      <c r="AI238" s="184">
        <f t="shared" ref="AI238" si="606">AH238*(1+$M$238)</f>
        <v>-99.602524156597511</v>
      </c>
      <c r="AJ238" s="184">
        <f t="shared" ref="AJ238" si="607">AI238*(1+$M$238)</f>
        <v>-104.58265036442739</v>
      </c>
      <c r="AK238" s="184">
        <f t="shared" ref="AK238" si="608">AJ238*(1+$M$238)</f>
        <v>-109.81178288264877</v>
      </c>
      <c r="AL238" s="184">
        <f t="shared" ref="AL238" si="609">AK238*(1+$M$238)</f>
        <v>-115.30237202678121</v>
      </c>
      <c r="AM238" s="184">
        <f t="shared" ref="AM238" si="610">AL238*(1+$M$238)</f>
        <v>-121.06749062812028</v>
      </c>
      <c r="AN238" s="184">
        <f t="shared" ref="AN238" si="611">AM238*(1+$M$238)</f>
        <v>-127.1208651595263</v>
      </c>
      <c r="AO238" s="184">
        <f t="shared" ref="AO238" si="612">AN238*(1+$M$238)</f>
        <v>-133.47690841750261</v>
      </c>
      <c r="AP238" s="184">
        <f t="shared" ref="AP238" si="613">AO238*(1+$M$238)</f>
        <v>-140.15075383837774</v>
      </c>
      <c r="AQ238" s="184">
        <f t="shared" ref="AQ238" si="614">AP238*(1+$M$238)</f>
        <v>-147.15829153029662</v>
      </c>
      <c r="AR238" s="184">
        <f t="shared" ref="AR238" si="615">AQ238*(1+$M$238)</f>
        <v>-154.51620610681147</v>
      </c>
      <c r="AS238" s="184">
        <f t="shared" ref="AS238" si="616">AR238*(1+$M$238)</f>
        <v>-162.24201641215205</v>
      </c>
      <c r="AT238" s="184">
        <f t="shared" ref="AT238" si="617">AS238*(1+$M$238)</f>
        <v>-170.35411723275968</v>
      </c>
      <c r="AU238" s="184">
        <f t="shared" ref="AU238" si="618">AT238*(1+$M$238)</f>
        <v>-178.87182309439766</v>
      </c>
      <c r="AV238" s="184">
        <f t="shared" ref="AV238" si="619">AU238*(1+$M$238)</f>
        <v>-187.81541424911754</v>
      </c>
    </row>
    <row r="239" spans="2:48">
      <c r="B239" s="20"/>
      <c r="C239" s="20"/>
      <c r="D239" s="20"/>
      <c r="E239" s="23" t="s">
        <v>450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52.821345138407381</v>
      </c>
      <c r="W239" s="183">
        <f>V239-W238</f>
        <v>108.28375753373513</v>
      </c>
      <c r="X239" s="183">
        <f t="shared" ref="X239:AC239" si="620">W239-X238</f>
        <v>166.51929054882928</v>
      </c>
      <c r="Y239" s="183">
        <f t="shared" si="620"/>
        <v>227.66660021467811</v>
      </c>
      <c r="Z239" s="183">
        <f t="shared" si="620"/>
        <v>291.87127536381939</v>
      </c>
      <c r="AA239" s="183">
        <f t="shared" si="620"/>
        <v>359.28618427041772</v>
      </c>
      <c r="AB239" s="183">
        <f t="shared" si="620"/>
        <v>430.07183862234598</v>
      </c>
      <c r="AC239" s="183">
        <f t="shared" si="620"/>
        <v>504.39677569187069</v>
      </c>
      <c r="AD239" s="183">
        <f>AC239-AD238</f>
        <v>582.4379596148716</v>
      </c>
      <c r="AE239" s="183">
        <f t="shared" ref="AE239" si="621">AD239-AE238</f>
        <v>664.38120273402262</v>
      </c>
      <c r="AF239" s="183">
        <f t="shared" ref="AF239" si="622">AE239-AF238</f>
        <v>750.42160800913121</v>
      </c>
      <c r="AG239" s="183">
        <f t="shared" ref="AG239" si="623">AF239-AG238</f>
        <v>840.76403354799515</v>
      </c>
      <c r="AH239" s="183">
        <f t="shared" ref="AH239" si="624">AG239-AH238</f>
        <v>935.62358036380226</v>
      </c>
      <c r="AI239" s="183">
        <f t="shared" ref="AI239" si="625">AH239-AI238</f>
        <v>1035.2261045203998</v>
      </c>
      <c r="AJ239" s="183">
        <f t="shared" ref="AJ239" si="626">AI239-AJ238</f>
        <v>1139.8087548848271</v>
      </c>
      <c r="AK239" s="183">
        <f t="shared" ref="AK239" si="627">AJ239-AK238</f>
        <v>1249.6205377674758</v>
      </c>
      <c r="AL239" s="183">
        <f t="shared" ref="AL239" si="628">AK239-AL238</f>
        <v>1364.9229097942571</v>
      </c>
      <c r="AM239" s="183">
        <f t="shared" ref="AM239" si="629">AL239-AM238</f>
        <v>1485.9904004223774</v>
      </c>
      <c r="AN239" s="183">
        <f t="shared" ref="AN239" si="630">AM239-AN238</f>
        <v>1613.1112655819038</v>
      </c>
      <c r="AO239" s="183">
        <f t="shared" ref="AO239" si="631">AN239-AO238</f>
        <v>1746.5881739994065</v>
      </c>
      <c r="AP239" s="183">
        <f t="shared" ref="AP239" si="632">AO239-AP238</f>
        <v>1886.7389278377843</v>
      </c>
      <c r="AQ239" s="183">
        <f t="shared" ref="AQ239" si="633">AP239-AQ238</f>
        <v>2033.8972193680809</v>
      </c>
      <c r="AR239" s="183">
        <f t="shared" ref="AR239" si="634">AQ239-AR238</f>
        <v>2188.4134254748924</v>
      </c>
      <c r="AS239" s="183">
        <f t="shared" ref="AS239" si="635">AR239-AS238</f>
        <v>2350.6554418870446</v>
      </c>
      <c r="AT239" s="183">
        <f t="shared" ref="AT239" si="636">AS239-AT238</f>
        <v>2521.0095591198042</v>
      </c>
      <c r="AU239" s="183">
        <f t="shared" ref="AU239" si="637">AT239-AU238</f>
        <v>2699.8813822142019</v>
      </c>
      <c r="AV239" s="183">
        <f t="shared" ref="AV239" si="638">AU239-AV238</f>
        <v>2887.6967964633195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39">G10/G7</f>
        <v>1</v>
      </c>
      <c r="H241" s="25">
        <f t="shared" si="639"/>
        <v>1</v>
      </c>
      <c r="I241" s="25">
        <f t="shared" ref="I241:S241" si="640">I10/I7</f>
        <v>1</v>
      </c>
      <c r="J241" s="25">
        <f t="shared" si="640"/>
        <v>6.8306010928961749E-4</v>
      </c>
      <c r="K241" s="25">
        <f t="shared" si="640"/>
        <v>1.0599626295226771E-2</v>
      </c>
      <c r="L241" s="25">
        <f t="shared" si="640"/>
        <v>0.13279678068410464</v>
      </c>
      <c r="M241" s="25">
        <f t="shared" si="640"/>
        <v>0.10038974843510098</v>
      </c>
      <c r="N241" s="25">
        <f t="shared" si="640"/>
        <v>6.6339066339066333E-2</v>
      </c>
      <c r="O241" s="25">
        <f t="shared" si="640"/>
        <v>0</v>
      </c>
      <c r="P241" s="25">
        <f t="shared" si="640"/>
        <v>0</v>
      </c>
      <c r="Q241" s="25">
        <f t="shared" si="640"/>
        <v>0</v>
      </c>
      <c r="R241" s="25">
        <f t="shared" si="640"/>
        <v>0</v>
      </c>
      <c r="S241" s="25">
        <f t="shared" si="640"/>
        <v>0</v>
      </c>
      <c r="T241" s="118">
        <f t="shared" ref="T241:T243" si="641">((R241/I241)^(1/($J$2-$J$1) ))-1</f>
        <v>-1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642">G10/G12</f>
        <v>1</v>
      </c>
      <c r="H242" s="112">
        <f t="shared" si="642"/>
        <v>1</v>
      </c>
      <c r="I242" s="112">
        <f t="shared" ref="I242:S242" si="643">I10/I12</f>
        <v>1</v>
      </c>
      <c r="J242" s="112">
        <f t="shared" si="643"/>
        <v>3.7857278061707365E-3</v>
      </c>
      <c r="K242" s="112">
        <f t="shared" si="643"/>
        <v>5.2</v>
      </c>
      <c r="L242" s="112">
        <f t="shared" si="643"/>
        <v>189.39130434782609</v>
      </c>
      <c r="M242" s="112">
        <f t="shared" si="643"/>
        <v>3.6756756756756759</v>
      </c>
      <c r="N242" s="112">
        <f t="shared" si="643"/>
        <v>0.60393131495707186</v>
      </c>
      <c r="O242" s="112">
        <f t="shared" si="643"/>
        <v>0</v>
      </c>
      <c r="P242" s="112">
        <f t="shared" si="643"/>
        <v>0</v>
      </c>
      <c r="Q242" s="112">
        <f t="shared" si="643"/>
        <v>0</v>
      </c>
      <c r="R242" s="112">
        <f t="shared" si="643"/>
        <v>0</v>
      </c>
      <c r="S242" s="112">
        <f t="shared" si="643"/>
        <v>0</v>
      </c>
      <c r="T242" s="118">
        <f t="shared" si="641"/>
        <v>-1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644">G10/(G12+G13)</f>
        <v>0.5</v>
      </c>
      <c r="H243" s="25">
        <f t="shared" si="644"/>
        <v>0.5</v>
      </c>
      <c r="I243" s="25">
        <f t="shared" ref="I243:S243" si="645">I10/(I12+I13)</f>
        <v>0.5</v>
      </c>
      <c r="J243" s="25">
        <f t="shared" si="645"/>
        <v>3.7857278061707365E-3</v>
      </c>
      <c r="K243" s="25">
        <f t="shared" si="645"/>
        <v>0.40414507772020725</v>
      </c>
      <c r="L243" s="25">
        <f t="shared" si="645"/>
        <v>22.453608247422679</v>
      </c>
      <c r="M243" s="25">
        <f t="shared" si="645"/>
        <v>1.2893439514599925</v>
      </c>
      <c r="N243" s="25">
        <f t="shared" si="645"/>
        <v>0.48423913043478262</v>
      </c>
      <c r="O243" s="25">
        <f t="shared" si="645"/>
        <v>0</v>
      </c>
      <c r="P243" s="25">
        <f t="shared" si="645"/>
        <v>0</v>
      </c>
      <c r="Q243" s="25">
        <f t="shared" si="645"/>
        <v>0</v>
      </c>
      <c r="R243" s="25">
        <f t="shared" si="645"/>
        <v>0</v>
      </c>
      <c r="S243" s="25">
        <f t="shared" si="645"/>
        <v>0</v>
      </c>
      <c r="T243" s="118">
        <f t="shared" si="641"/>
        <v>-1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373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3" t="s">
        <v>333</v>
      </c>
      <c r="O246" s="214"/>
      <c r="P246" s="215"/>
      <c r="Q246" s="23" t="s">
        <v>336</v>
      </c>
      <c r="R246" s="20"/>
      <c r="S246" s="136"/>
      <c r="T246" s="213" t="s">
        <v>334</v>
      </c>
      <c r="U246" s="214"/>
      <c r="V246" s="215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335</v>
      </c>
      <c r="D247" s="164" t="s">
        <v>0</v>
      </c>
      <c r="E247" s="164" t="s">
        <v>374</v>
      </c>
      <c r="F247" s="164"/>
      <c r="G247" s="164"/>
      <c r="H247" s="164" t="s">
        <v>375</v>
      </c>
      <c r="I247" s="164" t="s">
        <v>376</v>
      </c>
      <c r="J247" s="164" t="s">
        <v>377</v>
      </c>
      <c r="K247" s="164" t="s">
        <v>378</v>
      </c>
      <c r="L247" s="164" t="s">
        <v>379</v>
      </c>
      <c r="M247" s="20"/>
      <c r="N247" s="164" t="s">
        <v>335</v>
      </c>
      <c r="O247" s="164"/>
      <c r="P247" s="164" t="s">
        <v>0</v>
      </c>
      <c r="Q247" s="164" t="s">
        <v>368</v>
      </c>
      <c r="R247" s="20"/>
      <c r="S247" s="20"/>
      <c r="T247" s="164" t="s">
        <v>335</v>
      </c>
      <c r="U247" s="164"/>
      <c r="V247" s="164" t="s">
        <v>0</v>
      </c>
      <c r="W247" s="164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337</v>
      </c>
      <c r="D248" s="21">
        <v>1</v>
      </c>
      <c r="E248" s="174" t="s">
        <v>380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337</v>
      </c>
      <c r="O248" s="165"/>
      <c r="P248" s="21">
        <v>135</v>
      </c>
      <c r="Q248" s="171">
        <f>P248</f>
        <v>135</v>
      </c>
      <c r="R248" s="20"/>
      <c r="S248" s="20"/>
      <c r="T248" s="165" t="s">
        <v>337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338</v>
      </c>
      <c r="D249" s="21">
        <v>1</v>
      </c>
      <c r="E249" s="174" t="s">
        <v>381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338</v>
      </c>
      <c r="O249" s="165"/>
      <c r="P249" s="21">
        <v>1</v>
      </c>
      <c r="Q249" s="171">
        <f>P249</f>
        <v>1</v>
      </c>
      <c r="R249" s="20"/>
      <c r="S249" s="20"/>
      <c r="T249" s="165" t="s">
        <v>338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340</v>
      </c>
      <c r="D250" s="166">
        <f>D248*D249</f>
        <v>1</v>
      </c>
      <c r="E250" s="174" t="s">
        <v>393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339</v>
      </c>
      <c r="O250" s="165"/>
      <c r="P250" s="166">
        <f>P248*P249</f>
        <v>135</v>
      </c>
      <c r="Q250" s="171">
        <f>P250</f>
        <v>135</v>
      </c>
      <c r="R250" s="20"/>
      <c r="S250" s="20"/>
      <c r="T250" s="165" t="s">
        <v>340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451</v>
      </c>
      <c r="F251" s="174"/>
      <c r="G251" s="174"/>
      <c r="H251" s="22">
        <v>0</v>
      </c>
      <c r="I251" s="22">
        <v>1</v>
      </c>
      <c r="J251" s="165">
        <f t="shared" ref="J251:J254" si="646">H251/I251</f>
        <v>0</v>
      </c>
      <c r="K251" s="165">
        <f t="shared" ref="K251:K253" si="647">J251*L250</f>
        <v>0</v>
      </c>
      <c r="L251" s="165">
        <f t="shared" ref="L251:L253" si="648">K251+L250</f>
        <v>2</v>
      </c>
      <c r="M251" s="20"/>
      <c r="N251" s="165" t="s">
        <v>341</v>
      </c>
      <c r="O251" s="165"/>
      <c r="P251" s="21">
        <v>130</v>
      </c>
      <c r="Q251" s="21">
        <v>300</v>
      </c>
      <c r="R251" s="20"/>
      <c r="S251" s="20"/>
      <c r="T251" s="165" t="s">
        <v>341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452</v>
      </c>
      <c r="F252" s="174"/>
      <c r="G252" s="174"/>
      <c r="H252" s="22">
        <v>0</v>
      </c>
      <c r="I252" s="22">
        <v>1</v>
      </c>
      <c r="J252" s="165">
        <f t="shared" si="646"/>
        <v>0</v>
      </c>
      <c r="K252" s="165">
        <f t="shared" si="647"/>
        <v>0</v>
      </c>
      <c r="L252" s="165">
        <f t="shared" si="648"/>
        <v>2</v>
      </c>
      <c r="M252" s="20"/>
      <c r="N252" s="165" t="s">
        <v>342</v>
      </c>
      <c r="O252" s="165"/>
      <c r="P252" s="166">
        <f>P251*P249</f>
        <v>130</v>
      </c>
      <c r="Q252" s="166">
        <f>Q251*Q249</f>
        <v>300</v>
      </c>
      <c r="R252" s="20"/>
      <c r="S252" s="20"/>
      <c r="T252" s="165" t="s">
        <v>338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453</v>
      </c>
      <c r="F253" s="174"/>
      <c r="G253" s="174"/>
      <c r="H253" s="22">
        <v>0</v>
      </c>
      <c r="I253" s="22">
        <v>1</v>
      </c>
      <c r="J253" s="165">
        <f t="shared" si="646"/>
        <v>0</v>
      </c>
      <c r="K253" s="165">
        <f t="shared" si="647"/>
        <v>0</v>
      </c>
      <c r="L253" s="165">
        <f t="shared" si="648"/>
        <v>2</v>
      </c>
      <c r="M253" s="20"/>
      <c r="N253" s="165"/>
      <c r="O253" s="165"/>
      <c r="P253" s="166"/>
      <c r="Q253" s="166"/>
      <c r="R253" s="20"/>
      <c r="S253" s="20"/>
      <c r="T253" s="165" t="s">
        <v>340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382</v>
      </c>
      <c r="F254" s="174"/>
      <c r="G254" s="174"/>
      <c r="H254" s="22">
        <v>10</v>
      </c>
      <c r="I254" s="22">
        <v>2</v>
      </c>
      <c r="J254" s="165">
        <f t="shared" si="646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454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343</v>
      </c>
      <c r="O255" s="167"/>
      <c r="P255" s="168">
        <f>P252/P250</f>
        <v>0.96296296296296291</v>
      </c>
      <c r="Q255" s="168">
        <f>Q252/Q250</f>
        <v>2.2222222222222223</v>
      </c>
      <c r="R255" s="20"/>
      <c r="S255" s="20"/>
      <c r="T255" s="167" t="s">
        <v>343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341</v>
      </c>
      <c r="D256" s="21">
        <v>1</v>
      </c>
      <c r="E256" s="174"/>
      <c r="F256" s="174"/>
      <c r="G256" s="174"/>
      <c r="H256" s="165"/>
      <c r="I256" s="165"/>
      <c r="J256" s="167" t="s">
        <v>383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338</v>
      </c>
      <c r="D257" s="21">
        <v>1</v>
      </c>
      <c r="E257" s="174" t="s">
        <v>382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340</v>
      </c>
      <c r="D258" s="166">
        <f>D257*D256</f>
        <v>1</v>
      </c>
      <c r="E258" s="165"/>
      <c r="F258" s="165"/>
      <c r="G258" s="165"/>
      <c r="H258" s="165"/>
      <c r="I258" s="165"/>
      <c r="J258" s="167" t="s">
        <v>383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382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343</v>
      </c>
      <c r="D260" s="168">
        <f>D258/D250</f>
        <v>1</v>
      </c>
      <c r="E260" s="174"/>
      <c r="F260" s="174"/>
      <c r="G260" s="174"/>
      <c r="H260" s="165"/>
      <c r="I260" s="165"/>
      <c r="J260" s="167" t="s">
        <v>383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6" t="s">
        <v>27</v>
      </c>
      <c r="E263" s="207"/>
      <c r="F263" s="207"/>
      <c r="G263" s="207"/>
      <c r="H263" s="207"/>
      <c r="I263" s="208"/>
      <c r="J263" s="20"/>
      <c r="K263" s="206" t="s">
        <v>388</v>
      </c>
      <c r="L263" s="207"/>
      <c r="M263" s="208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1</v>
      </c>
      <c r="I264" s="21">
        <f>D250</f>
        <v>1</v>
      </c>
      <c r="J264" s="20"/>
      <c r="K264" s="20" t="s">
        <v>28</v>
      </c>
      <c r="L264" s="127"/>
      <c r="M264" s="21">
        <f>I264</f>
        <v>1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1</v>
      </c>
      <c r="J265" s="20"/>
      <c r="K265" s="20" t="s">
        <v>29</v>
      </c>
      <c r="L265" s="20"/>
      <c r="M265" s="21">
        <f>I265</f>
        <v>1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0</v>
      </c>
      <c r="I267" s="3">
        <f>((I265/I264)^(1/I266))-1</f>
        <v>0</v>
      </c>
      <c r="J267" s="20"/>
      <c r="K267" s="23" t="s">
        <v>389</v>
      </c>
      <c r="L267" s="23"/>
      <c r="M267" s="191">
        <f>(M265-M264)/M264</f>
        <v>0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1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0</v>
      </c>
      <c r="I270" s="3">
        <f>((I265/I264)^(1/I269))-1</f>
        <v>0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427</v>
      </c>
      <c r="C3" s="225"/>
      <c r="F3" s="224" t="s">
        <v>428</v>
      </c>
      <c r="G3" s="225"/>
    </row>
    <row r="4" spans="2:7">
      <c r="B4" s="186" t="s">
        <v>429</v>
      </c>
      <c r="C4" s="186"/>
      <c r="F4" s="186" t="s">
        <v>430</v>
      </c>
      <c r="G4" s="186"/>
    </row>
    <row r="5" spans="2:7">
      <c r="B5" s="186" t="s">
        <v>431</v>
      </c>
      <c r="C5" s="186"/>
      <c r="F5" s="186" t="s">
        <v>291</v>
      </c>
      <c r="G5" s="186"/>
    </row>
    <row r="6" spans="2:7">
      <c r="B6" s="186" t="s">
        <v>432</v>
      </c>
      <c r="C6" s="186"/>
      <c r="F6" s="186" t="s">
        <v>433</v>
      </c>
      <c r="G6" s="186"/>
    </row>
    <row r="7" spans="2:7">
      <c r="B7" s="186" t="s">
        <v>434</v>
      </c>
      <c r="C7" s="186"/>
      <c r="F7" s="186" t="s">
        <v>435</v>
      </c>
      <c r="G7" s="186"/>
    </row>
    <row r="8" spans="2:7">
      <c r="B8" s="186" t="s">
        <v>436</v>
      </c>
      <c r="C8" s="186"/>
      <c r="F8" s="186" t="s">
        <v>437</v>
      </c>
      <c r="G8" s="186"/>
    </row>
    <row r="9" spans="2:7">
      <c r="B9" s="186" t="s">
        <v>438</v>
      </c>
      <c r="C9" s="186"/>
      <c r="F9" s="186" t="s">
        <v>439</v>
      </c>
      <c r="G9" s="186"/>
    </row>
    <row r="10" spans="2:7">
      <c r="B10" s="186" t="s">
        <v>437</v>
      </c>
      <c r="C10" s="186"/>
      <c r="F10" s="186"/>
      <c r="G10" s="186"/>
    </row>
    <row r="11" spans="2:7">
      <c r="B11" s="186" t="s">
        <v>440</v>
      </c>
      <c r="C11" s="186"/>
      <c r="F11" s="186"/>
      <c r="G11" s="186"/>
    </row>
    <row r="12" spans="2:7">
      <c r="B12" s="186" t="s">
        <v>441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2016-05-12T02:47:18Z</dcterms:modified>
</cp:coreProperties>
</file>
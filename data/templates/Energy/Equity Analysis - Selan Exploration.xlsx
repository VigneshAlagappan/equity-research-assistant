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M142" i="18"/>
  <c r="S39" l="1"/>
  <c r="AD31"/>
  <c r="R31"/>
  <c r="S31" s="1"/>
  <c r="T31" s="1"/>
  <c r="U31" s="1"/>
  <c r="V31" s="1"/>
  <c r="W31" s="1"/>
  <c r="X31" s="1"/>
  <c r="Y31" s="1"/>
  <c r="Z31" s="1"/>
  <c r="AA31" s="1"/>
  <c r="AB31" s="1"/>
  <c r="Q31"/>
  <c r="G86"/>
  <c r="H86"/>
  <c r="I86"/>
  <c r="J86"/>
  <c r="K86"/>
  <c r="L86"/>
  <c r="M86"/>
  <c r="N86"/>
  <c r="O86"/>
  <c r="P86"/>
  <c r="Q158"/>
  <c r="K157"/>
  <c r="Q155"/>
  <c r="K155"/>
  <c r="F94"/>
  <c r="H94"/>
  <c r="I94"/>
  <c r="J94"/>
  <c r="K94"/>
  <c r="L94"/>
  <c r="M94"/>
  <c r="N94"/>
  <c r="O94"/>
  <c r="P94"/>
  <c r="G94"/>
  <c r="F93"/>
  <c r="H93"/>
  <c r="I93"/>
  <c r="J93"/>
  <c r="K93"/>
  <c r="L93"/>
  <c r="M93"/>
  <c r="N93"/>
  <c r="O93"/>
  <c r="P93"/>
  <c r="G93"/>
  <c r="Q86" l="1"/>
  <c r="AC31"/>
  <c r="AE31"/>
  <c r="K160"/>
  <c r="Q160"/>
  <c r="Q94"/>
  <c r="Q93"/>
  <c r="R9"/>
  <c r="R10"/>
  <c r="R12"/>
  <c r="R13"/>
  <c r="R14"/>
  <c r="R15"/>
  <c r="R17"/>
  <c r="R19"/>
  <c r="R20"/>
  <c r="R21"/>
  <c r="R22"/>
  <c r="R24"/>
  <c r="R26"/>
  <c r="R28"/>
  <c r="R30"/>
  <c r="S30" s="1"/>
  <c r="T30" s="1"/>
  <c r="U30" s="1"/>
  <c r="V30" s="1"/>
  <c r="W30" s="1"/>
  <c r="X30" s="1"/>
  <c r="Y30" s="1"/>
  <c r="Z30" s="1"/>
  <c r="AA30" s="1"/>
  <c r="AB30" s="1"/>
  <c r="R32"/>
  <c r="R33"/>
  <c r="R35"/>
  <c r="R37"/>
  <c r="R7"/>
  <c r="R6"/>
  <c r="AD9"/>
  <c r="AD10"/>
  <c r="AD11"/>
  <c r="AD12"/>
  <c r="AD13"/>
  <c r="AD14"/>
  <c r="AD15"/>
  <c r="AD17"/>
  <c r="AD19"/>
  <c r="AD20"/>
  <c r="AD21"/>
  <c r="AD22"/>
  <c r="AD24"/>
  <c r="AD26"/>
  <c r="AD28"/>
  <c r="AD30"/>
  <c r="AD32"/>
  <c r="AD33"/>
  <c r="AD35"/>
  <c r="AD37"/>
  <c r="AD39"/>
  <c r="AD40"/>
  <c r="AD43"/>
  <c r="AD44"/>
  <c r="AD46"/>
  <c r="AD47"/>
  <c r="AD48"/>
  <c r="AD49"/>
  <c r="AD51"/>
  <c r="AD52"/>
  <c r="AD53"/>
  <c r="AD55"/>
  <c r="AD56"/>
  <c r="AD57"/>
  <c r="AD58"/>
  <c r="AD60"/>
  <c r="AD61"/>
  <c r="AD63"/>
  <c r="AD65"/>
  <c r="AD66"/>
  <c r="AD67"/>
  <c r="AD68"/>
  <c r="AD69"/>
  <c r="AD71"/>
  <c r="AD72"/>
  <c r="AD73"/>
  <c r="AD7"/>
  <c r="AD6"/>
  <c r="G83" l="1"/>
  <c r="F83"/>
  <c r="H83"/>
  <c r="I83"/>
  <c r="J83"/>
  <c r="K83"/>
  <c r="L83"/>
  <c r="M83"/>
  <c r="N83"/>
  <c r="O83"/>
  <c r="P83"/>
  <c r="Q83" l="1"/>
  <c r="H81"/>
  <c r="I81"/>
  <c r="J81"/>
  <c r="K81"/>
  <c r="L81"/>
  <c r="M81"/>
  <c r="N81"/>
  <c r="O81"/>
  <c r="P81"/>
  <c r="H82"/>
  <c r="I82"/>
  <c r="J82"/>
  <c r="K82"/>
  <c r="L82"/>
  <c r="M82"/>
  <c r="N82"/>
  <c r="O82"/>
  <c r="P82"/>
  <c r="G82"/>
  <c r="G81"/>
  <c r="S28"/>
  <c r="T28" s="1"/>
  <c r="U28" s="1"/>
  <c r="V28" s="1"/>
  <c r="W28" s="1"/>
  <c r="X28" s="1"/>
  <c r="Y28" s="1"/>
  <c r="Z28" s="1"/>
  <c r="AA28" s="1"/>
  <c r="AB28" s="1"/>
  <c r="Q28"/>
  <c r="P29"/>
  <c r="O29"/>
  <c r="N29"/>
  <c r="M29"/>
  <c r="L29"/>
  <c r="K29"/>
  <c r="J29"/>
  <c r="I29"/>
  <c r="H29"/>
  <c r="G29"/>
  <c r="Q80"/>
  <c r="Q82" l="1"/>
  <c r="Q81"/>
  <c r="AE28"/>
  <c r="AC28"/>
  <c r="H85"/>
  <c r="I85"/>
  <c r="J85"/>
  <c r="K85"/>
  <c r="L85"/>
  <c r="M85"/>
  <c r="N85"/>
  <c r="O85"/>
  <c r="P85"/>
  <c r="G85"/>
  <c r="H84"/>
  <c r="I84"/>
  <c r="J84"/>
  <c r="K84"/>
  <c r="L84"/>
  <c r="M84"/>
  <c r="N84"/>
  <c r="O84"/>
  <c r="P84"/>
  <c r="G84"/>
  <c r="Q84" l="1"/>
  <c r="Q85"/>
  <c r="AE60"/>
  <c r="C136" l="1"/>
  <c r="D136"/>
  <c r="E136"/>
  <c r="F136"/>
  <c r="G136"/>
  <c r="H136"/>
  <c r="I136"/>
  <c r="J136"/>
  <c r="K136"/>
  <c r="L136"/>
  <c r="M136"/>
  <c r="N136"/>
  <c r="O136"/>
  <c r="P136"/>
  <c r="C9" i="15"/>
  <c r="D61" i="18"/>
  <c r="E61"/>
  <c r="E88" s="1"/>
  <c r="E89" s="1"/>
  <c r="F61"/>
  <c r="F88" s="1"/>
  <c r="F89" s="1"/>
  <c r="G61"/>
  <c r="G88" s="1"/>
  <c r="G89" s="1"/>
  <c r="H61"/>
  <c r="H88" s="1"/>
  <c r="H89" s="1"/>
  <c r="I61"/>
  <c r="I88" s="1"/>
  <c r="I89" s="1"/>
  <c r="J61"/>
  <c r="J88" s="1"/>
  <c r="J89" s="1"/>
  <c r="K61"/>
  <c r="K88" s="1"/>
  <c r="K89" s="1"/>
  <c r="L61"/>
  <c r="L88" s="1"/>
  <c r="L89" s="1"/>
  <c r="M61"/>
  <c r="M88" s="1"/>
  <c r="M89" s="1"/>
  <c r="N61"/>
  <c r="N88" s="1"/>
  <c r="N89" s="1"/>
  <c r="O61"/>
  <c r="O88" s="1"/>
  <c r="O89" s="1"/>
  <c r="P61"/>
  <c r="P88" s="1"/>
  <c r="C61"/>
  <c r="S40"/>
  <c r="S61" s="1"/>
  <c r="S88" s="1"/>
  <c r="S89" s="1"/>
  <c r="Q40"/>
  <c r="N90" l="1"/>
  <c r="N91" s="1"/>
  <c r="J90"/>
  <c r="J91" s="1"/>
  <c r="L90"/>
  <c r="L91" s="1"/>
  <c r="H90"/>
  <c r="H91" s="1"/>
  <c r="M90"/>
  <c r="M91" s="1"/>
  <c r="I90"/>
  <c r="I91" s="1"/>
  <c r="F90"/>
  <c r="F91" s="1"/>
  <c r="O90"/>
  <c r="O91" s="1"/>
  <c r="K90"/>
  <c r="K91" s="1"/>
  <c r="G90"/>
  <c r="G91" s="1"/>
  <c r="P89"/>
  <c r="Q88"/>
  <c r="T40"/>
  <c r="U40" s="1"/>
  <c r="V40" s="1"/>
  <c r="W40" s="1"/>
  <c r="P90" l="1"/>
  <c r="Q89"/>
  <c r="U61"/>
  <c r="X40"/>
  <c r="W61"/>
  <c r="V61"/>
  <c r="T61"/>
  <c r="C71"/>
  <c r="D71"/>
  <c r="E71"/>
  <c r="F71"/>
  <c r="G71"/>
  <c r="H71"/>
  <c r="I71"/>
  <c r="J71"/>
  <c r="K71"/>
  <c r="L71"/>
  <c r="M71"/>
  <c r="N71"/>
  <c r="O71"/>
  <c r="C72"/>
  <c r="D72"/>
  <c r="E72"/>
  <c r="F72"/>
  <c r="G72"/>
  <c r="H72"/>
  <c r="I72"/>
  <c r="J72"/>
  <c r="K72"/>
  <c r="L72"/>
  <c r="M72"/>
  <c r="N72"/>
  <c r="O72"/>
  <c r="C73"/>
  <c r="D73"/>
  <c r="E73"/>
  <c r="F73"/>
  <c r="G73"/>
  <c r="H73"/>
  <c r="I73"/>
  <c r="J73"/>
  <c r="K73"/>
  <c r="L73"/>
  <c r="M73"/>
  <c r="N73"/>
  <c r="O73"/>
  <c r="P73"/>
  <c r="P72"/>
  <c r="P71"/>
  <c r="C79"/>
  <c r="D79"/>
  <c r="E79"/>
  <c r="F79"/>
  <c r="G79"/>
  <c r="H79"/>
  <c r="I79"/>
  <c r="J79"/>
  <c r="K79"/>
  <c r="L79"/>
  <c r="M79"/>
  <c r="N79"/>
  <c r="O79"/>
  <c r="P79"/>
  <c r="C77"/>
  <c r="D77"/>
  <c r="E77"/>
  <c r="C78"/>
  <c r="D78"/>
  <c r="E78"/>
  <c r="F78"/>
  <c r="G78"/>
  <c r="H78"/>
  <c r="I78"/>
  <c r="J78"/>
  <c r="K78"/>
  <c r="L78"/>
  <c r="M78"/>
  <c r="N78"/>
  <c r="O78"/>
  <c r="F77"/>
  <c r="G77"/>
  <c r="H77"/>
  <c r="I77"/>
  <c r="J77"/>
  <c r="K77"/>
  <c r="L77"/>
  <c r="M77"/>
  <c r="N77"/>
  <c r="O77"/>
  <c r="P78"/>
  <c r="G38"/>
  <c r="G36"/>
  <c r="G27"/>
  <c r="G11"/>
  <c r="G8"/>
  <c r="G25"/>
  <c r="Q73" l="1"/>
  <c r="Y40"/>
  <c r="X61"/>
  <c r="Q71"/>
  <c r="Q72"/>
  <c r="Q78"/>
  <c r="Q79"/>
  <c r="P77"/>
  <c r="Q77" s="1"/>
  <c r="C146"/>
  <c r="D146"/>
  <c r="E146"/>
  <c r="F146"/>
  <c r="C147"/>
  <c r="D147"/>
  <c r="E147"/>
  <c r="F147"/>
  <c r="C148"/>
  <c r="D148"/>
  <c r="E148"/>
  <c r="F148"/>
  <c r="H148"/>
  <c r="I148"/>
  <c r="J148"/>
  <c r="K148"/>
  <c r="L148"/>
  <c r="M148"/>
  <c r="N148"/>
  <c r="O148"/>
  <c r="P148"/>
  <c r="G148"/>
  <c r="H147"/>
  <c r="I147"/>
  <c r="J147"/>
  <c r="K147"/>
  <c r="L147"/>
  <c r="M147"/>
  <c r="N147"/>
  <c r="O147"/>
  <c r="P147"/>
  <c r="G147"/>
  <c r="H146"/>
  <c r="I146"/>
  <c r="J146"/>
  <c r="K146"/>
  <c r="L146"/>
  <c r="M146"/>
  <c r="N146"/>
  <c r="O146"/>
  <c r="P146"/>
  <c r="G146"/>
  <c r="H44"/>
  <c r="I44"/>
  <c r="J44"/>
  <c r="K44"/>
  <c r="L44"/>
  <c r="M44"/>
  <c r="N44"/>
  <c r="O44"/>
  <c r="P44"/>
  <c r="C44"/>
  <c r="D44"/>
  <c r="E44"/>
  <c r="F44"/>
  <c r="G44"/>
  <c r="G46"/>
  <c r="G135" s="1"/>
  <c r="H43"/>
  <c r="I43"/>
  <c r="J43"/>
  <c r="K43"/>
  <c r="L43"/>
  <c r="M43"/>
  <c r="N43"/>
  <c r="O43"/>
  <c r="P43"/>
  <c r="C43"/>
  <c r="D43"/>
  <c r="E43"/>
  <c r="F43"/>
  <c r="G43"/>
  <c r="P38"/>
  <c r="O38"/>
  <c r="N38"/>
  <c r="M38"/>
  <c r="L38"/>
  <c r="K38"/>
  <c r="J38"/>
  <c r="I38"/>
  <c r="H38"/>
  <c r="P36"/>
  <c r="O36"/>
  <c r="N36"/>
  <c r="M36"/>
  <c r="L36"/>
  <c r="K36"/>
  <c r="J36"/>
  <c r="I36"/>
  <c r="H36"/>
  <c r="P27"/>
  <c r="O27"/>
  <c r="N27"/>
  <c r="M27"/>
  <c r="L27"/>
  <c r="K27"/>
  <c r="J27"/>
  <c r="I27"/>
  <c r="H27"/>
  <c r="P25"/>
  <c r="O25"/>
  <c r="N25"/>
  <c r="M25"/>
  <c r="L25"/>
  <c r="K25"/>
  <c r="J25"/>
  <c r="I25"/>
  <c r="H25"/>
  <c r="P11"/>
  <c r="O11"/>
  <c r="N11"/>
  <c r="M11"/>
  <c r="L11"/>
  <c r="K11"/>
  <c r="J11"/>
  <c r="I11"/>
  <c r="H11"/>
  <c r="I8"/>
  <c r="J8"/>
  <c r="K8"/>
  <c r="L8"/>
  <c r="M8"/>
  <c r="N8"/>
  <c r="O8"/>
  <c r="P8"/>
  <c r="H8"/>
  <c r="Q39"/>
  <c r="S35"/>
  <c r="Q35"/>
  <c r="Z40" l="1"/>
  <c r="Y61"/>
  <c r="T35"/>
  <c r="Q148"/>
  <c r="Q44"/>
  <c r="Q43"/>
  <c r="Q147"/>
  <c r="Q146"/>
  <c r="Q30"/>
  <c r="Q33"/>
  <c r="AA40" l="1"/>
  <c r="Z61"/>
  <c r="U35"/>
  <c r="I68"/>
  <c r="J68"/>
  <c r="K68"/>
  <c r="L68"/>
  <c r="M68"/>
  <c r="N68"/>
  <c r="O68"/>
  <c r="P68"/>
  <c r="I69"/>
  <c r="J69"/>
  <c r="K69"/>
  <c r="L69"/>
  <c r="M69"/>
  <c r="N69"/>
  <c r="O69"/>
  <c r="P69"/>
  <c r="I63"/>
  <c r="I65" s="1"/>
  <c r="J63"/>
  <c r="J65" s="1"/>
  <c r="K63"/>
  <c r="K65" s="1"/>
  <c r="L63"/>
  <c r="L65" s="1"/>
  <c r="M63"/>
  <c r="M65" s="1"/>
  <c r="N63"/>
  <c r="N65" s="1"/>
  <c r="O63"/>
  <c r="O65" s="1"/>
  <c r="P63"/>
  <c r="P65" s="1"/>
  <c r="I66"/>
  <c r="J66"/>
  <c r="K66"/>
  <c r="L66"/>
  <c r="M66"/>
  <c r="N66"/>
  <c r="O66"/>
  <c r="P66"/>
  <c r="I67"/>
  <c r="J67"/>
  <c r="K67"/>
  <c r="L67"/>
  <c r="M67"/>
  <c r="N67"/>
  <c r="O67"/>
  <c r="P67"/>
  <c r="C66"/>
  <c r="D66"/>
  <c r="E66"/>
  <c r="F66"/>
  <c r="G66"/>
  <c r="C67"/>
  <c r="D67"/>
  <c r="E67"/>
  <c r="F67"/>
  <c r="G67"/>
  <c r="C68"/>
  <c r="D68"/>
  <c r="E68"/>
  <c r="F68"/>
  <c r="G68"/>
  <c r="C69"/>
  <c r="D69"/>
  <c r="E69"/>
  <c r="F69"/>
  <c r="G69"/>
  <c r="H69"/>
  <c r="H68"/>
  <c r="S22"/>
  <c r="T22" s="1"/>
  <c r="U22" s="1"/>
  <c r="V22" s="1"/>
  <c r="W22" s="1"/>
  <c r="X22" s="1"/>
  <c r="Y22" s="1"/>
  <c r="Z22" s="1"/>
  <c r="AA22" s="1"/>
  <c r="AB22" s="1"/>
  <c r="AE22" s="1"/>
  <c r="Q22"/>
  <c r="S21"/>
  <c r="T21" s="1"/>
  <c r="U21" s="1"/>
  <c r="V21" s="1"/>
  <c r="W21" s="1"/>
  <c r="X21" s="1"/>
  <c r="Y21" s="1"/>
  <c r="Z21" s="1"/>
  <c r="AA21" s="1"/>
  <c r="AB21" s="1"/>
  <c r="S20"/>
  <c r="Q19"/>
  <c r="C63"/>
  <c r="C65" s="1"/>
  <c r="D63"/>
  <c r="D65" s="1"/>
  <c r="E63"/>
  <c r="E65" s="1"/>
  <c r="F63"/>
  <c r="F65" s="1"/>
  <c r="G63"/>
  <c r="G65" s="1"/>
  <c r="H63"/>
  <c r="H65" s="1"/>
  <c r="H67"/>
  <c r="H66"/>
  <c r="AE30" l="1"/>
  <c r="AC30"/>
  <c r="AC21"/>
  <c r="AE21"/>
  <c r="AB40"/>
  <c r="AE40" s="1"/>
  <c r="AA61"/>
  <c r="V35"/>
  <c r="Q68"/>
  <c r="Q69"/>
  <c r="Q67"/>
  <c r="Q65"/>
  <c r="Q66"/>
  <c r="AC22"/>
  <c r="Q21"/>
  <c r="Q20"/>
  <c r="Q63"/>
  <c r="S19"/>
  <c r="T20"/>
  <c r="Q61"/>
  <c r="Q129"/>
  <c r="T19" l="1"/>
  <c r="T63" s="1"/>
  <c r="S63"/>
  <c r="AB61"/>
  <c r="AC40"/>
  <c r="U20"/>
  <c r="C19" i="15"/>
  <c r="S9" i="18"/>
  <c r="T9" s="1"/>
  <c r="U9" s="1"/>
  <c r="V9" s="1"/>
  <c r="W9" s="1"/>
  <c r="X9" s="1"/>
  <c r="Y9" s="1"/>
  <c r="Z9" s="1"/>
  <c r="AA9" s="1"/>
  <c r="AB9" s="1"/>
  <c r="AE9" s="1"/>
  <c r="Q37"/>
  <c r="Q32"/>
  <c r="Q26"/>
  <c r="Q24"/>
  <c r="Q17"/>
  <c r="Q15"/>
  <c r="Q14"/>
  <c r="Q13"/>
  <c r="Q12"/>
  <c r="Q10"/>
  <c r="Q9"/>
  <c r="Q7"/>
  <c r="Q6"/>
  <c r="S17"/>
  <c r="S24"/>
  <c r="S26"/>
  <c r="S32"/>
  <c r="T32" s="1"/>
  <c r="U32" s="1"/>
  <c r="V32" s="1"/>
  <c r="W32" s="1"/>
  <c r="X32" s="1"/>
  <c r="Y32" s="1"/>
  <c r="Z32" s="1"/>
  <c r="AA32" s="1"/>
  <c r="AB32" s="1"/>
  <c r="AE32" s="1"/>
  <c r="S33"/>
  <c r="T33" s="1"/>
  <c r="U33" s="1"/>
  <c r="V33" s="1"/>
  <c r="W33" s="1"/>
  <c r="X33" s="1"/>
  <c r="Y33" s="1"/>
  <c r="Z33" s="1"/>
  <c r="AA33" s="1"/>
  <c r="AB33" s="1"/>
  <c r="AE33" s="1"/>
  <c r="W35"/>
  <c r="O59"/>
  <c r="O133" s="1"/>
  <c r="O58"/>
  <c r="O56"/>
  <c r="O55"/>
  <c r="O53"/>
  <c r="O134" s="1"/>
  <c r="O52"/>
  <c r="O51"/>
  <c r="O49"/>
  <c r="O48"/>
  <c r="O131" s="1"/>
  <c r="O47"/>
  <c r="O46"/>
  <c r="S86" l="1"/>
  <c r="P91"/>
  <c r="Q91" s="1"/>
  <c r="Q90"/>
  <c r="S81"/>
  <c r="S94"/>
  <c r="S93"/>
  <c r="T17"/>
  <c r="S117"/>
  <c r="AE61"/>
  <c r="O130"/>
  <c r="O135"/>
  <c r="U19"/>
  <c r="AC61"/>
  <c r="T117" s="1"/>
  <c r="T26"/>
  <c r="X35"/>
  <c r="T24"/>
  <c r="S77"/>
  <c r="V20"/>
  <c r="AC32"/>
  <c r="AC33"/>
  <c r="AC9"/>
  <c r="O57"/>
  <c r="O132" s="1"/>
  <c r="D53"/>
  <c r="E53"/>
  <c r="F53"/>
  <c r="G53"/>
  <c r="G134" s="1"/>
  <c r="H53"/>
  <c r="H134" s="1"/>
  <c r="I53"/>
  <c r="I134" s="1"/>
  <c r="J53"/>
  <c r="J134" s="1"/>
  <c r="K53"/>
  <c r="K134" s="1"/>
  <c r="L53"/>
  <c r="L134" s="1"/>
  <c r="M53"/>
  <c r="M134" s="1"/>
  <c r="N53"/>
  <c r="N134" s="1"/>
  <c r="P53"/>
  <c r="C53"/>
  <c r="C52"/>
  <c r="T86" l="1"/>
  <c r="T81"/>
  <c r="T94"/>
  <c r="T93"/>
  <c r="U17"/>
  <c r="R117"/>
  <c r="P140" s="1"/>
  <c r="V19"/>
  <c r="U63"/>
  <c r="U26"/>
  <c r="U24"/>
  <c r="T77"/>
  <c r="Y35"/>
  <c r="W20"/>
  <c r="P134"/>
  <c r="Q134" s="1"/>
  <c r="Q53"/>
  <c r="D52"/>
  <c r="E52"/>
  <c r="F52"/>
  <c r="G52"/>
  <c r="H52"/>
  <c r="I52"/>
  <c r="J52"/>
  <c r="K52"/>
  <c r="L52"/>
  <c r="M52"/>
  <c r="N52"/>
  <c r="P52"/>
  <c r="D51"/>
  <c r="E51"/>
  <c r="F51"/>
  <c r="G51"/>
  <c r="H51"/>
  <c r="I51"/>
  <c r="J51"/>
  <c r="K51"/>
  <c r="L51"/>
  <c r="M51"/>
  <c r="N51"/>
  <c r="P51"/>
  <c r="C51"/>
  <c r="U86" l="1"/>
  <c r="U81"/>
  <c r="U94"/>
  <c r="U93"/>
  <c r="V17"/>
  <c r="W19"/>
  <c r="V63"/>
  <c r="V26"/>
  <c r="V24"/>
  <c r="V86" s="1"/>
  <c r="U77"/>
  <c r="Z35"/>
  <c r="X20"/>
  <c r="Q51"/>
  <c r="Q52"/>
  <c r="C46" i="15"/>
  <c r="V81" i="18" l="1"/>
  <c r="V94"/>
  <c r="V93"/>
  <c r="W17"/>
  <c r="X19"/>
  <c r="W63"/>
  <c r="W26"/>
  <c r="W24"/>
  <c r="W86" s="1"/>
  <c r="V77"/>
  <c r="AA35"/>
  <c r="Y20"/>
  <c r="S129"/>
  <c r="C46"/>
  <c r="D46"/>
  <c r="E46"/>
  <c r="F46"/>
  <c r="H46"/>
  <c r="H135" s="1"/>
  <c r="I46"/>
  <c r="J46"/>
  <c r="K46"/>
  <c r="L46"/>
  <c r="L135" s="1"/>
  <c r="M46"/>
  <c r="N46"/>
  <c r="N135" s="1"/>
  <c r="P46"/>
  <c r="D59"/>
  <c r="D133" s="1"/>
  <c r="E59"/>
  <c r="E133" s="1"/>
  <c r="F59"/>
  <c r="F133" s="1"/>
  <c r="G59"/>
  <c r="H59"/>
  <c r="H133" s="1"/>
  <c r="I59"/>
  <c r="I133" s="1"/>
  <c r="J59"/>
  <c r="J133" s="1"/>
  <c r="K59"/>
  <c r="K133" s="1"/>
  <c r="L59"/>
  <c r="L133" s="1"/>
  <c r="M59"/>
  <c r="M133" s="1"/>
  <c r="N59"/>
  <c r="P59"/>
  <c r="D58"/>
  <c r="E58"/>
  <c r="F58"/>
  <c r="G58"/>
  <c r="H58"/>
  <c r="I58"/>
  <c r="J58"/>
  <c r="K58"/>
  <c r="L58"/>
  <c r="M58"/>
  <c r="N58"/>
  <c r="P58"/>
  <c r="D56"/>
  <c r="E56"/>
  <c r="F56"/>
  <c r="G56"/>
  <c r="H56"/>
  <c r="I56"/>
  <c r="J56"/>
  <c r="K56"/>
  <c r="L56"/>
  <c r="M56"/>
  <c r="N56"/>
  <c r="P56"/>
  <c r="D55"/>
  <c r="D57" s="1"/>
  <c r="D132" s="1"/>
  <c r="E55"/>
  <c r="E57" s="1"/>
  <c r="E132" s="1"/>
  <c r="F55"/>
  <c r="G55"/>
  <c r="H55"/>
  <c r="I55"/>
  <c r="J55"/>
  <c r="K55"/>
  <c r="L55"/>
  <c r="M55"/>
  <c r="N55"/>
  <c r="P55"/>
  <c r="D49"/>
  <c r="E49"/>
  <c r="F49"/>
  <c r="G49"/>
  <c r="H49"/>
  <c r="I49"/>
  <c r="J49"/>
  <c r="K49"/>
  <c r="L49"/>
  <c r="M49"/>
  <c r="N49"/>
  <c r="P49"/>
  <c r="D48"/>
  <c r="D131" s="1"/>
  <c r="E48"/>
  <c r="E131" s="1"/>
  <c r="F48"/>
  <c r="F131" s="1"/>
  <c r="G48"/>
  <c r="H48"/>
  <c r="H131" s="1"/>
  <c r="I48"/>
  <c r="I131" s="1"/>
  <c r="J48"/>
  <c r="J131" s="1"/>
  <c r="K48"/>
  <c r="K131" s="1"/>
  <c r="L48"/>
  <c r="L131" s="1"/>
  <c r="M48"/>
  <c r="M131" s="1"/>
  <c r="N48"/>
  <c r="P48"/>
  <c r="C59"/>
  <c r="C133" s="1"/>
  <c r="C58"/>
  <c r="C56"/>
  <c r="C55"/>
  <c r="C49"/>
  <c r="C48"/>
  <c r="C131" s="1"/>
  <c r="D47"/>
  <c r="E47"/>
  <c r="F47"/>
  <c r="G47"/>
  <c r="H47"/>
  <c r="I47"/>
  <c r="J47"/>
  <c r="K47"/>
  <c r="L47"/>
  <c r="M47"/>
  <c r="N47"/>
  <c r="P47"/>
  <c r="C47"/>
  <c r="S14"/>
  <c r="S15"/>
  <c r="S37"/>
  <c r="S10"/>
  <c r="S12"/>
  <c r="S82" s="1"/>
  <c r="S13"/>
  <c r="S7"/>
  <c r="S6"/>
  <c r="S85" l="1"/>
  <c r="S90"/>
  <c r="S91" s="1"/>
  <c r="W81"/>
  <c r="W94"/>
  <c r="W93"/>
  <c r="S83"/>
  <c r="S84"/>
  <c r="X17"/>
  <c r="D130"/>
  <c r="D134" s="1"/>
  <c r="D135"/>
  <c r="E130"/>
  <c r="E134" s="1"/>
  <c r="E135"/>
  <c r="C130"/>
  <c r="C134" s="1"/>
  <c r="C135"/>
  <c r="P130"/>
  <c r="P135"/>
  <c r="K130"/>
  <c r="K135"/>
  <c r="F130"/>
  <c r="F134" s="1"/>
  <c r="F135"/>
  <c r="J130"/>
  <c r="J135"/>
  <c r="M130"/>
  <c r="M135"/>
  <c r="I130"/>
  <c r="I135"/>
  <c r="H130"/>
  <c r="Q99"/>
  <c r="Y19"/>
  <c r="X63"/>
  <c r="H57"/>
  <c r="H132" s="1"/>
  <c r="X26"/>
  <c r="T12"/>
  <c r="T82" s="1"/>
  <c r="T14"/>
  <c r="T13"/>
  <c r="T10"/>
  <c r="T15"/>
  <c r="T6"/>
  <c r="T7"/>
  <c r="X24"/>
  <c r="W77"/>
  <c r="T37"/>
  <c r="S79"/>
  <c r="S78"/>
  <c r="AB35"/>
  <c r="AE35" s="1"/>
  <c r="F57"/>
  <c r="F132" s="1"/>
  <c r="L57"/>
  <c r="L132" s="1"/>
  <c r="K57"/>
  <c r="K132" s="1"/>
  <c r="J57"/>
  <c r="J132" s="1"/>
  <c r="Z20"/>
  <c r="C57"/>
  <c r="C132" s="1"/>
  <c r="T129"/>
  <c r="I57"/>
  <c r="I132" s="1"/>
  <c r="Q47"/>
  <c r="G131"/>
  <c r="Q48"/>
  <c r="Q49"/>
  <c r="Q56"/>
  <c r="Q58"/>
  <c r="G130"/>
  <c r="Q46"/>
  <c r="G133"/>
  <c r="Q59"/>
  <c r="G57"/>
  <c r="Q55"/>
  <c r="N131"/>
  <c r="N130"/>
  <c r="N133"/>
  <c r="P131"/>
  <c r="L130"/>
  <c r="N57"/>
  <c r="M57"/>
  <c r="M132" s="1"/>
  <c r="P133"/>
  <c r="P57"/>
  <c r="S56"/>
  <c r="C6" i="12"/>
  <c r="C26" i="15"/>
  <c r="C58"/>
  <c r="C57"/>
  <c r="C54"/>
  <c r="C53"/>
  <c r="C50"/>
  <c r="C49"/>
  <c r="C45"/>
  <c r="X86" i="18" l="1"/>
  <c r="X81"/>
  <c r="X94"/>
  <c r="X93"/>
  <c r="T83"/>
  <c r="T84"/>
  <c r="T85"/>
  <c r="Y17"/>
  <c r="Z19"/>
  <c r="Y63"/>
  <c r="S55"/>
  <c r="S72"/>
  <c r="S51"/>
  <c r="S53"/>
  <c r="S134" s="1"/>
  <c r="S59"/>
  <c r="S133" s="1"/>
  <c r="S69"/>
  <c r="S71"/>
  <c r="S44"/>
  <c r="S43"/>
  <c r="S52"/>
  <c r="S48"/>
  <c r="S49"/>
  <c r="S58"/>
  <c r="S47"/>
  <c r="S73"/>
  <c r="S46"/>
  <c r="Y26"/>
  <c r="U14"/>
  <c r="U13"/>
  <c r="U12"/>
  <c r="U82" s="1"/>
  <c r="S57"/>
  <c r="U15"/>
  <c r="U10"/>
  <c r="U7"/>
  <c r="U6"/>
  <c r="AC35"/>
  <c r="Y24"/>
  <c r="X77"/>
  <c r="U37"/>
  <c r="T79"/>
  <c r="T78"/>
  <c r="T39"/>
  <c r="T88" s="1"/>
  <c r="T89" s="1"/>
  <c r="T90" s="1"/>
  <c r="T91" s="1"/>
  <c r="S66"/>
  <c r="S67"/>
  <c r="S68"/>
  <c r="S65"/>
  <c r="AA20"/>
  <c r="U129"/>
  <c r="Q131"/>
  <c r="Q130"/>
  <c r="Q133"/>
  <c r="G132"/>
  <c r="Q57"/>
  <c r="N132"/>
  <c r="P132"/>
  <c r="C16" i="15"/>
  <c r="C21"/>
  <c r="C10"/>
  <c r="Y86" i="18" l="1"/>
  <c r="T55"/>
  <c r="Y81"/>
  <c r="Y94"/>
  <c r="Y93"/>
  <c r="U83"/>
  <c r="U84"/>
  <c r="U85"/>
  <c r="T51"/>
  <c r="Z17"/>
  <c r="AA19"/>
  <c r="Z63"/>
  <c r="T53"/>
  <c r="T134" s="1"/>
  <c r="T59"/>
  <c r="T133" s="1"/>
  <c r="T69"/>
  <c r="T71"/>
  <c r="T43"/>
  <c r="T44"/>
  <c r="T48"/>
  <c r="T47"/>
  <c r="T58"/>
  <c r="T73"/>
  <c r="T52"/>
  <c r="T49"/>
  <c r="T46"/>
  <c r="T56"/>
  <c r="T72"/>
  <c r="Z26"/>
  <c r="V13"/>
  <c r="V12"/>
  <c r="V82" s="1"/>
  <c r="V14"/>
  <c r="V10"/>
  <c r="V15"/>
  <c r="V6"/>
  <c r="V7"/>
  <c r="V37"/>
  <c r="U79"/>
  <c r="U78"/>
  <c r="Z24"/>
  <c r="Y77"/>
  <c r="U39"/>
  <c r="U88" s="1"/>
  <c r="U89" s="1"/>
  <c r="U90" s="1"/>
  <c r="U91" s="1"/>
  <c r="T68"/>
  <c r="T67"/>
  <c r="T66"/>
  <c r="T65"/>
  <c r="AB20"/>
  <c r="AE20" s="1"/>
  <c r="S132"/>
  <c r="V129"/>
  <c r="S130"/>
  <c r="S131"/>
  <c r="Q132"/>
  <c r="D31" i="8"/>
  <c r="D29"/>
  <c r="D28"/>
  <c r="D13"/>
  <c r="D30" s="1"/>
  <c r="E14"/>
  <c r="F14" s="1"/>
  <c r="G14" s="1"/>
  <c r="H14" s="1"/>
  <c r="I14" s="1"/>
  <c r="Z86" i="18" l="1"/>
  <c r="U55"/>
  <c r="T57"/>
  <c r="T132" s="1"/>
  <c r="Z81"/>
  <c r="Z94"/>
  <c r="Z93"/>
  <c r="V83"/>
  <c r="V85"/>
  <c r="V84"/>
  <c r="AA17"/>
  <c r="AB19"/>
  <c r="AE19" s="1"/>
  <c r="AA63"/>
  <c r="U73"/>
  <c r="U72"/>
  <c r="U51"/>
  <c r="U59"/>
  <c r="U133" s="1"/>
  <c r="U58"/>
  <c r="U53"/>
  <c r="U134" s="1"/>
  <c r="U56"/>
  <c r="U47"/>
  <c r="U69"/>
  <c r="U71"/>
  <c r="U44"/>
  <c r="U43"/>
  <c r="U52"/>
  <c r="U48"/>
  <c r="U49"/>
  <c r="U46"/>
  <c r="AA26"/>
  <c r="W12"/>
  <c r="W82" s="1"/>
  <c r="W14"/>
  <c r="W13"/>
  <c r="W15"/>
  <c r="W10"/>
  <c r="W7"/>
  <c r="W6"/>
  <c r="AA24"/>
  <c r="Z77"/>
  <c r="W37"/>
  <c r="V78"/>
  <c r="V79"/>
  <c r="V39"/>
  <c r="V88" s="1"/>
  <c r="V89" s="1"/>
  <c r="V90" s="1"/>
  <c r="V91" s="1"/>
  <c r="U68"/>
  <c r="U66"/>
  <c r="U67"/>
  <c r="U65"/>
  <c r="AC20"/>
  <c r="W129"/>
  <c r="T130"/>
  <c r="T13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A86" i="18" l="1"/>
  <c r="U57"/>
  <c r="U132" s="1"/>
  <c r="AA81"/>
  <c r="AA94"/>
  <c r="AA93"/>
  <c r="V58"/>
  <c r="W83"/>
  <c r="W85"/>
  <c r="W84"/>
  <c r="AB17"/>
  <c r="V73"/>
  <c r="V49"/>
  <c r="V56"/>
  <c r="AC19"/>
  <c r="AB63"/>
  <c r="V47"/>
  <c r="V55"/>
  <c r="V52"/>
  <c r="V72"/>
  <c r="V48"/>
  <c r="V53"/>
  <c r="V134" s="1"/>
  <c r="V69"/>
  <c r="V71"/>
  <c r="V43"/>
  <c r="V44"/>
  <c r="V51"/>
  <c r="V59"/>
  <c r="V133" s="1"/>
  <c r="V46"/>
  <c r="AB26"/>
  <c r="AE26" s="1"/>
  <c r="X14"/>
  <c r="X13"/>
  <c r="X12"/>
  <c r="X82" s="1"/>
  <c r="X10"/>
  <c r="X15"/>
  <c r="X6"/>
  <c r="X7"/>
  <c r="X37"/>
  <c r="W79"/>
  <c r="W78"/>
  <c r="AB24"/>
  <c r="AA77"/>
  <c r="W39"/>
  <c r="W88" s="1"/>
  <c r="W89" s="1"/>
  <c r="W90" s="1"/>
  <c r="W91" s="1"/>
  <c r="V68"/>
  <c r="V66"/>
  <c r="V67"/>
  <c r="V65"/>
  <c r="X129"/>
  <c r="U130"/>
  <c r="U13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N32" l="1"/>
  <c r="N33" s="1"/>
  <c r="N34" s="1"/>
  <c r="N35" s="1"/>
  <c r="N36" s="1"/>
  <c r="N37" s="1"/>
  <c r="N38" s="1"/>
  <c r="N39" s="1"/>
  <c r="N40" s="1"/>
  <c r="N41" s="1"/>
  <c r="N42" s="1"/>
  <c r="M45"/>
  <c r="AB86" i="18"/>
  <c r="AC86" s="1"/>
  <c r="V57"/>
  <c r="V132" s="1"/>
  <c r="W56"/>
  <c r="AB81"/>
  <c r="AC81" s="1"/>
  <c r="AB94"/>
  <c r="AC94" s="1"/>
  <c r="AB93"/>
  <c r="AC93" s="1"/>
  <c r="X83"/>
  <c r="X85"/>
  <c r="X84"/>
  <c r="AE24"/>
  <c r="AE17"/>
  <c r="AC17"/>
  <c r="S119"/>
  <c r="AE63"/>
  <c r="AC63"/>
  <c r="M32" i="9"/>
  <c r="M33" s="1"/>
  <c r="M34" s="1"/>
  <c r="M35" s="1"/>
  <c r="M36" s="1"/>
  <c r="M37" s="1"/>
  <c r="M38" s="1"/>
  <c r="M39" s="1"/>
  <c r="M40" s="1"/>
  <c r="M41" s="1"/>
  <c r="P32"/>
  <c r="W59" i="18"/>
  <c r="W133" s="1"/>
  <c r="W58"/>
  <c r="W53"/>
  <c r="W134" s="1"/>
  <c r="W55"/>
  <c r="W52"/>
  <c r="W72"/>
  <c r="W51"/>
  <c r="W73"/>
  <c r="W69"/>
  <c r="W71"/>
  <c r="W44"/>
  <c r="W43"/>
  <c r="W47"/>
  <c r="W48"/>
  <c r="W49"/>
  <c r="W46"/>
  <c r="AC26"/>
  <c r="Y12"/>
  <c r="Y82" s="1"/>
  <c r="Y14"/>
  <c r="Y13"/>
  <c r="Y10"/>
  <c r="Y15"/>
  <c r="Y7"/>
  <c r="Y6"/>
  <c r="AC24"/>
  <c r="AB77"/>
  <c r="AC77" s="1"/>
  <c r="Y37"/>
  <c r="X79"/>
  <c r="X78"/>
  <c r="O31" i="9"/>
  <c r="O32" s="1"/>
  <c r="X39" i="18"/>
  <c r="X88" s="1"/>
  <c r="X89" s="1"/>
  <c r="X90" s="1"/>
  <c r="X91" s="1"/>
  <c r="W68"/>
  <c r="W66"/>
  <c r="W67"/>
  <c r="W65"/>
  <c r="Y129"/>
  <c r="V130"/>
  <c r="V131"/>
  <c r="P31" i="11"/>
  <c r="N32"/>
  <c r="T19" i="9"/>
  <c r="D22"/>
  <c r="W57" i="18" l="1"/>
  <c r="W132" s="1"/>
  <c r="X49"/>
  <c r="Y83"/>
  <c r="Y84"/>
  <c r="Y85"/>
  <c r="T119"/>
  <c r="R119" s="1"/>
  <c r="X51"/>
  <c r="X58"/>
  <c r="X46"/>
  <c r="X53"/>
  <c r="X134" s="1"/>
  <c r="X48"/>
  <c r="X47"/>
  <c r="X69"/>
  <c r="X71"/>
  <c r="X44"/>
  <c r="X43"/>
  <c r="X73"/>
  <c r="X52"/>
  <c r="X59"/>
  <c r="X133" s="1"/>
  <c r="X56"/>
  <c r="X55"/>
  <c r="X72"/>
  <c r="Z13"/>
  <c r="Z12"/>
  <c r="Z82" s="1"/>
  <c r="Z14"/>
  <c r="Z10"/>
  <c r="Z15"/>
  <c r="Z6"/>
  <c r="Z7"/>
  <c r="Z37"/>
  <c r="Y79"/>
  <c r="Y78"/>
  <c r="Y39"/>
  <c r="Y88" s="1"/>
  <c r="Y89" s="1"/>
  <c r="Y90" s="1"/>
  <c r="Y91" s="1"/>
  <c r="X68"/>
  <c r="X66"/>
  <c r="X67"/>
  <c r="X65"/>
  <c r="Z129"/>
  <c r="W130"/>
  <c r="W13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83" i="18" l="1"/>
  <c r="Z84"/>
  <c r="Z85"/>
  <c r="X57"/>
  <c r="X132" s="1"/>
  <c r="Y69"/>
  <c r="Y71"/>
  <c r="Y43"/>
  <c r="Y44"/>
  <c r="Y53"/>
  <c r="Y134" s="1"/>
  <c r="Y59"/>
  <c r="Y133" s="1"/>
  <c r="Y58"/>
  <c r="Y56"/>
  <c r="Y47"/>
  <c r="Y46"/>
  <c r="Y52"/>
  <c r="Y48"/>
  <c r="Y49"/>
  <c r="Y55"/>
  <c r="Y72"/>
  <c r="Y51"/>
  <c r="Y73"/>
  <c r="AA12"/>
  <c r="AA82" s="1"/>
  <c r="AA14"/>
  <c r="AA13"/>
  <c r="AA10"/>
  <c r="AA15"/>
  <c r="AA7"/>
  <c r="AA6"/>
  <c r="AA37"/>
  <c r="Z78"/>
  <c r="Z79"/>
  <c r="Z39"/>
  <c r="Z88" s="1"/>
  <c r="Z89" s="1"/>
  <c r="Z90" s="1"/>
  <c r="Z91" s="1"/>
  <c r="Y68"/>
  <c r="Y66"/>
  <c r="Y67"/>
  <c r="Y65"/>
  <c r="AA129"/>
  <c r="X130"/>
  <c r="X131"/>
  <c r="N34" i="11"/>
  <c r="O33"/>
  <c r="D25" i="8"/>
  <c r="D23"/>
  <c r="AA83" i="18" l="1"/>
  <c r="AA84"/>
  <c r="AA85"/>
  <c r="Y57"/>
  <c r="Y132" s="1"/>
  <c r="Z69"/>
  <c r="Z71"/>
  <c r="Z44"/>
  <c r="Z43"/>
  <c r="Z47"/>
  <c r="Z58"/>
  <c r="Z48"/>
  <c r="Z53"/>
  <c r="Z134" s="1"/>
  <c r="Z56"/>
  <c r="Z55"/>
  <c r="Z73"/>
  <c r="Z59"/>
  <c r="Z133" s="1"/>
  <c r="Z46"/>
  <c r="Z52"/>
  <c r="Z72"/>
  <c r="Z51"/>
  <c r="Z49"/>
  <c r="AB14"/>
  <c r="AE14" s="1"/>
  <c r="AB13"/>
  <c r="AE13" s="1"/>
  <c r="AB12"/>
  <c r="AB10"/>
  <c r="AB15"/>
  <c r="AE15" s="1"/>
  <c r="AB6"/>
  <c r="AE6" s="1"/>
  <c r="AB7"/>
  <c r="AE7" s="1"/>
  <c r="AB37"/>
  <c r="AA79"/>
  <c r="AA78"/>
  <c r="AA39"/>
  <c r="AA88" s="1"/>
  <c r="AA89" s="1"/>
  <c r="AA90" s="1"/>
  <c r="AA91" s="1"/>
  <c r="Z68"/>
  <c r="Z66"/>
  <c r="Z67"/>
  <c r="Z65"/>
  <c r="AB129"/>
  <c r="Y130"/>
  <c r="Y131"/>
  <c r="N35" i="11"/>
  <c r="O34"/>
  <c r="D35" i="8"/>
  <c r="E5"/>
  <c r="E18" s="1"/>
  <c r="D18"/>
  <c r="D19"/>
  <c r="D21"/>
  <c r="D20"/>
  <c r="AE10" i="18" l="1"/>
  <c r="AB83"/>
  <c r="AC83" s="1"/>
  <c r="AE12"/>
  <c r="AB82"/>
  <c r="AC82" s="1"/>
  <c r="AE37"/>
  <c r="AB84"/>
  <c r="AC84" s="1"/>
  <c r="AB85"/>
  <c r="AC85" s="1"/>
  <c r="Z57"/>
  <c r="Z132" s="1"/>
  <c r="AA69"/>
  <c r="AA71"/>
  <c r="AA43"/>
  <c r="AA44"/>
  <c r="AA51"/>
  <c r="AA59"/>
  <c r="AA133" s="1"/>
  <c r="AA46"/>
  <c r="AA53"/>
  <c r="AA134" s="1"/>
  <c r="AA56"/>
  <c r="AA72"/>
  <c r="AA47"/>
  <c r="AA48"/>
  <c r="AA49"/>
  <c r="AA52"/>
  <c r="AA73"/>
  <c r="AA55"/>
  <c r="AA58"/>
  <c r="AC14"/>
  <c r="AC13"/>
  <c r="S113"/>
  <c r="AC12"/>
  <c r="AC10"/>
  <c r="AC15"/>
  <c r="AC7"/>
  <c r="AC6"/>
  <c r="AB79"/>
  <c r="AC79" s="1"/>
  <c r="AB78"/>
  <c r="AC78" s="1"/>
  <c r="AC37"/>
  <c r="AB39"/>
  <c r="AB88" s="1"/>
  <c r="AB89" s="1"/>
  <c r="AB90" s="1"/>
  <c r="AB91" s="1"/>
  <c r="AA68"/>
  <c r="AA66"/>
  <c r="AA67"/>
  <c r="AA65"/>
  <c r="AC129"/>
  <c r="AE129" s="1"/>
  <c r="Z130"/>
  <c r="Z131"/>
  <c r="N36" i="11"/>
  <c r="O35"/>
  <c r="F5" i="8"/>
  <c r="G5" s="1"/>
  <c r="H5" s="1"/>
  <c r="I5" s="1"/>
  <c r="AE39" i="18" l="1"/>
  <c r="T113"/>
  <c r="T114" s="1"/>
  <c r="AA57"/>
  <c r="AA132" s="1"/>
  <c r="AB69"/>
  <c r="AB71"/>
  <c r="AE71" s="1"/>
  <c r="AB43"/>
  <c r="AB44"/>
  <c r="AB51"/>
  <c r="AB56"/>
  <c r="AB46"/>
  <c r="AE46" s="1"/>
  <c r="AB53"/>
  <c r="AB49"/>
  <c r="AB72"/>
  <c r="AB48"/>
  <c r="AE48" s="1"/>
  <c r="AB47"/>
  <c r="AB58"/>
  <c r="AB73"/>
  <c r="AB52"/>
  <c r="AB59"/>
  <c r="AB55"/>
  <c r="S114"/>
  <c r="AB68"/>
  <c r="AB66"/>
  <c r="AC39"/>
  <c r="AB67"/>
  <c r="AB65"/>
  <c r="AA130"/>
  <c r="AA131"/>
  <c r="N37" i="11"/>
  <c r="O36"/>
  <c r="F18" i="8"/>
  <c r="G18"/>
  <c r="AC88" i="18" l="1"/>
  <c r="R113"/>
  <c r="R114"/>
  <c r="AC72"/>
  <c r="AE72"/>
  <c r="AC44"/>
  <c r="AE44"/>
  <c r="S110"/>
  <c r="AE58"/>
  <c r="AB133"/>
  <c r="AC133" s="1"/>
  <c r="AE133" s="1"/>
  <c r="AE59"/>
  <c r="AC43"/>
  <c r="AE43"/>
  <c r="AC56"/>
  <c r="AE56"/>
  <c r="S104"/>
  <c r="AE55"/>
  <c r="S103"/>
  <c r="AE49"/>
  <c r="AB134"/>
  <c r="AC134" s="1"/>
  <c r="AE134" s="1"/>
  <c r="AE53"/>
  <c r="AC52"/>
  <c r="AE52"/>
  <c r="S101"/>
  <c r="AE47"/>
  <c r="S106"/>
  <c r="AE51"/>
  <c r="AC73"/>
  <c r="AE73"/>
  <c r="S126"/>
  <c r="AE69"/>
  <c r="S124"/>
  <c r="AE68"/>
  <c r="S123"/>
  <c r="AE67"/>
  <c r="S121"/>
  <c r="AE65"/>
  <c r="S122"/>
  <c r="AE66"/>
  <c r="AC58"/>
  <c r="S107"/>
  <c r="AC47"/>
  <c r="AC49"/>
  <c r="T103" s="1"/>
  <c r="AC51"/>
  <c r="S108"/>
  <c r="AC69"/>
  <c r="AC55"/>
  <c r="S111"/>
  <c r="AB57"/>
  <c r="AC53"/>
  <c r="AC59"/>
  <c r="AC71"/>
  <c r="AC67"/>
  <c r="AC66"/>
  <c r="AC65"/>
  <c r="AC68"/>
  <c r="S100"/>
  <c r="AC46"/>
  <c r="T100" s="1"/>
  <c r="AB130"/>
  <c r="AC48"/>
  <c r="T102" s="1"/>
  <c r="AB131"/>
  <c r="S102"/>
  <c r="N38" i="11"/>
  <c r="O37"/>
  <c r="H18" i="8"/>
  <c r="AC89" i="18" l="1"/>
  <c r="T111"/>
  <c r="R111" s="1"/>
  <c r="T101"/>
  <c r="R101" s="1"/>
  <c r="T110"/>
  <c r="R110" s="1"/>
  <c r="T106"/>
  <c r="R106" s="1"/>
  <c r="T108"/>
  <c r="R108" s="1"/>
  <c r="T126"/>
  <c r="R126" s="1"/>
  <c r="T123"/>
  <c r="R123" s="1"/>
  <c r="AC57"/>
  <c r="AE57"/>
  <c r="T104"/>
  <c r="R104" s="1"/>
  <c r="R103"/>
  <c r="T107"/>
  <c r="R107" s="1"/>
  <c r="T121"/>
  <c r="R121" s="1"/>
  <c r="AB132"/>
  <c r="AC132" s="1"/>
  <c r="AE132" s="1"/>
  <c r="T124"/>
  <c r="R124" s="1"/>
  <c r="T122"/>
  <c r="R122" s="1"/>
  <c r="R100"/>
  <c r="P143" s="1"/>
  <c r="AC131"/>
  <c r="AE131" s="1"/>
  <c r="AC130"/>
  <c r="AE130" s="1"/>
  <c r="R102"/>
  <c r="N39" i="11"/>
  <c r="O38"/>
  <c r="I18" i="8"/>
  <c r="P141" i="18" l="1"/>
  <c r="M141"/>
  <c r="P142"/>
  <c r="AC91"/>
  <c r="AC90"/>
  <c r="N40" i="11"/>
  <c r="O39"/>
  <c r="N41" l="1"/>
  <c r="O40"/>
  <c r="N42" l="1"/>
  <c r="O41"/>
</calcChain>
</file>

<file path=xl/sharedStrings.xml><?xml version="1.0" encoding="utf-8"?>
<sst xmlns="http://schemas.openxmlformats.org/spreadsheetml/2006/main" count="509" uniqueCount="357">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</sst>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6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50285952"/>
        <c:axId val="62210432"/>
      </c:lineChart>
      <c:catAx>
        <c:axId val="50285952"/>
        <c:scaling>
          <c:orientation val="minMax"/>
        </c:scaling>
        <c:axPos val="b"/>
        <c:tickLblPos val="nextTo"/>
        <c:crossAx val="62210432"/>
        <c:crosses val="autoZero"/>
        <c:auto val="1"/>
        <c:lblAlgn val="ctr"/>
        <c:lblOffset val="100"/>
      </c:catAx>
      <c:valAx>
        <c:axId val="62210432"/>
        <c:scaling>
          <c:orientation val="minMax"/>
        </c:scaling>
        <c:axPos val="l"/>
        <c:majorGridlines/>
        <c:numFmt formatCode="General" sourceLinked="1"/>
        <c:tickLblPos val="nextTo"/>
        <c:crossAx val="5028595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321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61"/>
  <sheetViews>
    <sheetView tabSelected="1" zoomScale="80" zoomScaleNormal="80" workbookViewId="0">
      <pane xSplit="2" ySplit="3" topLeftCell="C118" activePane="bottomRight" state="frozen"/>
      <selection pane="topRight" activeCell="C1" sqref="C1"/>
      <selection pane="bottomLeft" activeCell="A5" sqref="A5"/>
      <selection pane="bottomRight" activeCell="P129" sqref="P129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331</v>
      </c>
      <c r="L1" s="165">
        <v>0.08</v>
      </c>
    </row>
    <row r="2" spans="2:31">
      <c r="B2" s="154" t="s">
        <v>317</v>
      </c>
      <c r="C2" s="120"/>
      <c r="F2" s="104" t="s">
        <v>253</v>
      </c>
      <c r="H2" s="126">
        <v>2013</v>
      </c>
      <c r="J2" s="104" t="s">
        <v>332</v>
      </c>
      <c r="L2" s="165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5" t="s">
        <v>292</v>
      </c>
      <c r="AE2" s="176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7" t="s">
        <v>293</v>
      </c>
      <c r="AE3" s="178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47">
        <v>9</v>
      </c>
      <c r="H6" s="147">
        <v>10</v>
      </c>
      <c r="I6" s="147">
        <v>19.45</v>
      </c>
      <c r="J6" s="147">
        <v>30</v>
      </c>
      <c r="K6" s="147">
        <v>40</v>
      </c>
      <c r="L6" s="147">
        <v>84</v>
      </c>
      <c r="M6" s="147">
        <v>128</v>
      </c>
      <c r="N6" s="147">
        <v>152</v>
      </c>
      <c r="O6" s="147">
        <v>191</v>
      </c>
      <c r="P6" s="147">
        <v>221</v>
      </c>
      <c r="Q6" s="118">
        <f>((P6/G6)^(1/($H$2-$H$1) ))-1</f>
        <v>0.42712194675691384</v>
      </c>
      <c r="R6" s="31">
        <f>$L$2</f>
        <v>0.15</v>
      </c>
      <c r="S6" s="155">
        <f>P6*(1+$R6)</f>
        <v>254.14999999999998</v>
      </c>
      <c r="T6" s="155">
        <f>S6*(1+$R6)</f>
        <v>292.27249999999998</v>
      </c>
      <c r="U6" s="155">
        <f t="shared" ref="U6:AB6" si="0">T6*(1+$R6)</f>
        <v>336.11337499999996</v>
      </c>
      <c r="V6" s="155">
        <f t="shared" si="0"/>
        <v>386.53038124999995</v>
      </c>
      <c r="W6" s="155">
        <f t="shared" si="0"/>
        <v>444.5099384374999</v>
      </c>
      <c r="X6" s="155">
        <f t="shared" si="0"/>
        <v>511.18642920312482</v>
      </c>
      <c r="Y6" s="155">
        <f t="shared" si="0"/>
        <v>587.86439358359348</v>
      </c>
      <c r="Z6" s="155">
        <f t="shared" si="0"/>
        <v>676.04405262113244</v>
      </c>
      <c r="AA6" s="155">
        <f t="shared" si="0"/>
        <v>777.45066051430229</v>
      </c>
      <c r="AB6" s="155">
        <f t="shared" si="0"/>
        <v>894.0682595914476</v>
      </c>
      <c r="AC6" s="138">
        <f>((AB6/G6)^(1/($AB$3-$H$1) ))-1</f>
        <v>0.27383157238144862</v>
      </c>
      <c r="AD6" s="31">
        <f>$L$1</f>
        <v>0.08</v>
      </c>
      <c r="AE6" s="146">
        <f t="shared" ref="AE6:AE40" si="1">(AB6*(1+AD6))/($C$1-AD6)</f>
        <v>6897.098002562595</v>
      </c>
    </row>
    <row r="7" spans="2:31">
      <c r="B7" s="20" t="s">
        <v>240</v>
      </c>
      <c r="C7" s="141"/>
      <c r="D7" s="141"/>
      <c r="E7" s="147"/>
      <c r="F7" s="147"/>
      <c r="G7" s="147">
        <v>23</v>
      </c>
      <c r="H7" s="147">
        <v>24</v>
      </c>
      <c r="I7" s="147">
        <v>34</v>
      </c>
      <c r="J7" s="147">
        <v>45</v>
      </c>
      <c r="K7" s="147">
        <v>55</v>
      </c>
      <c r="L7" s="147">
        <v>101</v>
      </c>
      <c r="M7" s="147">
        <v>144</v>
      </c>
      <c r="N7" s="147">
        <v>170</v>
      </c>
      <c r="O7" s="147">
        <v>208</v>
      </c>
      <c r="P7" s="147">
        <v>238</v>
      </c>
      <c r="Q7" s="118">
        <f>((P7/G7)^(1/($H$2-$H$1) ))-1</f>
        <v>0.29646564662978392</v>
      </c>
      <c r="R7" s="31">
        <f>$L$2</f>
        <v>0.15</v>
      </c>
      <c r="S7" s="155">
        <f t="shared" ref="S7:S15" si="2">P7*(1+$R7)</f>
        <v>273.7</v>
      </c>
      <c r="T7" s="155">
        <f t="shared" ref="T7:AB7" si="3">S7*(1+$R7)</f>
        <v>314.75499999999994</v>
      </c>
      <c r="U7" s="155">
        <f t="shared" si="3"/>
        <v>361.9682499999999</v>
      </c>
      <c r="V7" s="155">
        <f t="shared" si="3"/>
        <v>416.26348749999983</v>
      </c>
      <c r="W7" s="155">
        <f t="shared" si="3"/>
        <v>478.70301062499976</v>
      </c>
      <c r="X7" s="155">
        <f t="shared" si="3"/>
        <v>550.50846221874974</v>
      </c>
      <c r="Y7" s="155">
        <f t="shared" si="3"/>
        <v>633.08473155156219</v>
      </c>
      <c r="Z7" s="155">
        <f t="shared" si="3"/>
        <v>728.0474412842965</v>
      </c>
      <c r="AA7" s="155">
        <f t="shared" si="3"/>
        <v>837.25455747694093</v>
      </c>
      <c r="AB7" s="155">
        <f t="shared" si="3"/>
        <v>962.84274109848195</v>
      </c>
      <c r="AC7" s="138">
        <f>((AB7/G7)^(1/($AB$3-$H$1) ))-1</f>
        <v>0.21719271217910241</v>
      </c>
      <c r="AD7" s="31">
        <f>$L$1</f>
        <v>0.08</v>
      </c>
      <c r="AE7" s="146">
        <f t="shared" si="1"/>
        <v>7427.6440027597173</v>
      </c>
    </row>
    <row r="8" spans="2:31">
      <c r="B8" s="20"/>
      <c r="C8" s="141"/>
      <c r="D8" s="141"/>
      <c r="E8" s="147"/>
      <c r="F8" s="147"/>
      <c r="G8" s="149">
        <f>(G7-F7)/G7</f>
        <v>1</v>
      </c>
      <c r="H8" s="152">
        <f>(H7-G7)/H7</f>
        <v>4.1666666666666664E-2</v>
      </c>
      <c r="I8" s="152">
        <f t="shared" ref="I8:P8" si="4">(I7-H7)/I7</f>
        <v>0.29411764705882354</v>
      </c>
      <c r="J8" s="152">
        <f t="shared" si="4"/>
        <v>0.24444444444444444</v>
      </c>
      <c r="K8" s="152">
        <f t="shared" si="4"/>
        <v>0.18181818181818182</v>
      </c>
      <c r="L8" s="152">
        <f t="shared" si="4"/>
        <v>0.45544554455445546</v>
      </c>
      <c r="M8" s="152">
        <f t="shared" si="4"/>
        <v>0.2986111111111111</v>
      </c>
      <c r="N8" s="152">
        <f t="shared" si="4"/>
        <v>0.15294117647058825</v>
      </c>
      <c r="O8" s="152">
        <f t="shared" si="4"/>
        <v>0.18269230769230768</v>
      </c>
      <c r="P8" s="152">
        <f t="shared" si="4"/>
        <v>0.12605042016806722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>
        <v>6</v>
      </c>
      <c r="H9" s="147">
        <v>5</v>
      </c>
      <c r="I9" s="147">
        <v>15</v>
      </c>
      <c r="J9" s="147">
        <v>18</v>
      </c>
      <c r="K9" s="147">
        <v>30</v>
      </c>
      <c r="L9" s="147">
        <v>42</v>
      </c>
      <c r="M9" s="147">
        <v>42</v>
      </c>
      <c r="N9" s="147">
        <v>51</v>
      </c>
      <c r="O9" s="147">
        <v>65</v>
      </c>
      <c r="P9" s="147">
        <v>49</v>
      </c>
      <c r="Q9" s="118">
        <f t="shared" ref="Q9:Q15" si="5">((P9/G9)^(1/($H$2-$H$1) ))-1</f>
        <v>0.26281087830658345</v>
      </c>
      <c r="R9" s="31">
        <f t="shared" ref="R9:R37" si="6">$L$2</f>
        <v>0.15</v>
      </c>
      <c r="S9" s="155">
        <f t="shared" ref="S9" si="7">P9*(1+$R9)</f>
        <v>56.349999999999994</v>
      </c>
      <c r="T9" s="155">
        <f t="shared" ref="T9" si="8">S9*(1+$R9)</f>
        <v>64.802499999999995</v>
      </c>
      <c r="U9" s="155">
        <f t="shared" ref="U9" si="9">T9*(1+$R9)</f>
        <v>74.522874999999985</v>
      </c>
      <c r="V9" s="155">
        <f t="shared" ref="V9" si="10">U9*(1+$R9)</f>
        <v>85.701306249999973</v>
      </c>
      <c r="W9" s="155">
        <f t="shared" ref="W9" si="11">V9*(1+$R9)</f>
        <v>98.556502187499959</v>
      </c>
      <c r="X9" s="155">
        <f t="shared" ref="X9" si="12">W9*(1+$R9)</f>
        <v>113.33997751562494</v>
      </c>
      <c r="Y9" s="155">
        <f t="shared" ref="Y9" si="13">X9*(1+$R9)</f>
        <v>130.34097414296866</v>
      </c>
      <c r="Z9" s="155">
        <f t="shared" ref="Z9" si="14">Y9*(1+$R9)</f>
        <v>149.89212026441396</v>
      </c>
      <c r="AA9" s="155">
        <f t="shared" ref="AA9" si="15">Z9*(1+$R9)</f>
        <v>172.37593830407604</v>
      </c>
      <c r="AB9" s="155">
        <f t="shared" ref="AB9" si="16">AA9*(1+$R9)</f>
        <v>198.23232904968742</v>
      </c>
      <c r="AC9" s="138">
        <f>((AB9/G9)^(1/($AB$3-$H$1) ))-1</f>
        <v>0.20212212728370593</v>
      </c>
      <c r="AD9" s="31">
        <f t="shared" ref="AD9:AD72" si="17">$L$1</f>
        <v>0.08</v>
      </c>
      <c r="AE9" s="146">
        <f t="shared" si="1"/>
        <v>1529.2208240975885</v>
      </c>
    </row>
    <row r="10" spans="2:31">
      <c r="B10" s="20" t="s">
        <v>4</v>
      </c>
      <c r="C10" s="141"/>
      <c r="D10" s="141"/>
      <c r="E10" s="147"/>
      <c r="F10" s="147"/>
      <c r="G10" s="147">
        <v>0.01</v>
      </c>
      <c r="H10" s="147">
        <v>0</v>
      </c>
      <c r="I10" s="147">
        <v>8</v>
      </c>
      <c r="J10" s="147">
        <v>11</v>
      </c>
      <c r="K10" s="147">
        <v>17</v>
      </c>
      <c r="L10" s="147">
        <v>25</v>
      </c>
      <c r="M10" s="147">
        <v>15</v>
      </c>
      <c r="N10" s="147">
        <v>38</v>
      </c>
      <c r="O10" s="147">
        <v>1</v>
      </c>
      <c r="P10" s="147">
        <v>0.01</v>
      </c>
      <c r="Q10" s="118">
        <f t="shared" si="5"/>
        <v>0</v>
      </c>
      <c r="R10" s="31">
        <f t="shared" si="6"/>
        <v>0.15</v>
      </c>
      <c r="S10" s="155">
        <f t="shared" si="2"/>
        <v>1.15E-2</v>
      </c>
      <c r="T10" s="155">
        <f t="shared" ref="T10:AB10" si="18">S10*(1+$R10)</f>
        <v>1.3224999999999999E-2</v>
      </c>
      <c r="U10" s="155">
        <f t="shared" si="18"/>
        <v>1.5208749999999998E-2</v>
      </c>
      <c r="V10" s="155">
        <f t="shared" si="18"/>
        <v>1.7490062499999997E-2</v>
      </c>
      <c r="W10" s="155">
        <f t="shared" si="18"/>
        <v>2.0113571874999996E-2</v>
      </c>
      <c r="X10" s="155">
        <f t="shared" si="18"/>
        <v>2.3130607656249993E-2</v>
      </c>
      <c r="Y10" s="155">
        <f t="shared" si="18"/>
        <v>2.6600198804687489E-2</v>
      </c>
      <c r="Z10" s="155">
        <f t="shared" si="18"/>
        <v>3.0590228625390611E-2</v>
      </c>
      <c r="AA10" s="155">
        <f t="shared" si="18"/>
        <v>3.5178762919199198E-2</v>
      </c>
      <c r="AB10" s="155">
        <f t="shared" si="18"/>
        <v>4.0455577357079074E-2</v>
      </c>
      <c r="AC10" s="138">
        <f t="shared" ref="AC10:AC39" si="19">((AB10/G10)^(1/($AB$3-$H$1) ))-1</f>
        <v>7.6331949095858942E-2</v>
      </c>
      <c r="AD10" s="31">
        <f t="shared" si="17"/>
        <v>0.08</v>
      </c>
      <c r="AE10" s="146">
        <f t="shared" si="1"/>
        <v>0.31208588246889568</v>
      </c>
    </row>
    <row r="11" spans="2:31">
      <c r="B11" s="20"/>
      <c r="C11" s="141"/>
      <c r="D11" s="141"/>
      <c r="E11" s="147"/>
      <c r="F11" s="147"/>
      <c r="G11" s="149">
        <f>(G10-F10)/G10</f>
        <v>1</v>
      </c>
      <c r="H11" s="148" t="e">
        <f>(H10-G10)/H10</f>
        <v>#DIV/0!</v>
      </c>
      <c r="I11" s="148">
        <f t="shared" ref="I11" si="20">(I10-H10)/I10</f>
        <v>1</v>
      </c>
      <c r="J11" s="148">
        <f t="shared" ref="J11" si="21">(J10-I10)/J10</f>
        <v>0.27272727272727271</v>
      </c>
      <c r="K11" s="148">
        <f t="shared" ref="K11" si="22">(K10-J10)/K10</f>
        <v>0.35294117647058826</v>
      </c>
      <c r="L11" s="148">
        <f t="shared" ref="L11" si="23">(L10-K10)/L10</f>
        <v>0.32</v>
      </c>
      <c r="M11" s="148">
        <f t="shared" ref="M11" si="24">(M10-L10)/M10</f>
        <v>-0.66666666666666663</v>
      </c>
      <c r="N11" s="148">
        <f t="shared" ref="N11" si="25">(N10-M10)/N10</f>
        <v>0.60526315789473684</v>
      </c>
      <c r="O11" s="148">
        <f t="shared" ref="O11" si="26">(O10-N10)/O10</f>
        <v>-37</v>
      </c>
      <c r="P11" s="148">
        <f t="shared" ref="P11" si="27">(P10-O10)/P10</f>
        <v>-99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>
      <c r="B12" s="20" t="s">
        <v>2</v>
      </c>
      <c r="C12" s="141"/>
      <c r="D12" s="141"/>
      <c r="E12" s="147"/>
      <c r="F12" s="147"/>
      <c r="G12" s="147">
        <v>3.2</v>
      </c>
      <c r="H12" s="147">
        <v>7</v>
      </c>
      <c r="I12" s="147">
        <v>13.5</v>
      </c>
      <c r="J12" s="147">
        <v>10.5</v>
      </c>
      <c r="K12" s="147">
        <v>23.5</v>
      </c>
      <c r="L12" s="147">
        <v>47</v>
      </c>
      <c r="M12" s="147">
        <v>78.5</v>
      </c>
      <c r="N12" s="147">
        <v>118</v>
      </c>
      <c r="O12" s="147">
        <v>111</v>
      </c>
      <c r="P12" s="147">
        <v>130</v>
      </c>
      <c r="Q12" s="118">
        <f t="shared" si="5"/>
        <v>0.50922787999045305</v>
      </c>
      <c r="R12" s="31">
        <f t="shared" si="6"/>
        <v>0.15</v>
      </c>
      <c r="S12" s="155">
        <f t="shared" si="2"/>
        <v>149.5</v>
      </c>
      <c r="T12" s="155">
        <f t="shared" ref="T12:AB12" si="28">S12*(1+$R12)</f>
        <v>171.92499999999998</v>
      </c>
      <c r="U12" s="155">
        <f t="shared" si="28"/>
        <v>197.71374999999998</v>
      </c>
      <c r="V12" s="155">
        <f t="shared" si="28"/>
        <v>227.37081249999994</v>
      </c>
      <c r="W12" s="155">
        <f t="shared" si="28"/>
        <v>261.47643437499994</v>
      </c>
      <c r="X12" s="155">
        <f t="shared" si="28"/>
        <v>300.6978995312499</v>
      </c>
      <c r="Y12" s="155">
        <f t="shared" si="28"/>
        <v>345.80258446093734</v>
      </c>
      <c r="Z12" s="155">
        <f t="shared" si="28"/>
        <v>397.67297213007794</v>
      </c>
      <c r="AA12" s="155">
        <f t="shared" si="28"/>
        <v>457.3239179495896</v>
      </c>
      <c r="AB12" s="155">
        <f t="shared" si="28"/>
        <v>525.922505642028</v>
      </c>
      <c r="AC12" s="138">
        <f t="shared" si="19"/>
        <v>0.30803560952740749</v>
      </c>
      <c r="AD12" s="31">
        <f t="shared" si="17"/>
        <v>0.08</v>
      </c>
      <c r="AE12" s="146">
        <f t="shared" si="1"/>
        <v>4057.1164720956449</v>
      </c>
    </row>
    <row r="13" spans="2:31">
      <c r="B13" s="20" t="s">
        <v>218</v>
      </c>
      <c r="C13" s="141"/>
      <c r="D13" s="141"/>
      <c r="E13" s="147"/>
      <c r="F13" s="147"/>
      <c r="G13" s="147">
        <v>5</v>
      </c>
      <c r="H13" s="147">
        <v>1</v>
      </c>
      <c r="I13" s="147">
        <v>0.35</v>
      </c>
      <c r="J13" s="147">
        <v>0</v>
      </c>
      <c r="K13" s="147">
        <v>0</v>
      </c>
      <c r="L13" s="147">
        <v>0</v>
      </c>
      <c r="M13" s="147">
        <v>0</v>
      </c>
      <c r="N13" s="147">
        <v>0</v>
      </c>
      <c r="O13" s="147">
        <v>0</v>
      </c>
      <c r="P13" s="147">
        <v>0</v>
      </c>
      <c r="Q13" s="118">
        <f t="shared" si="5"/>
        <v>-1</v>
      </c>
      <c r="R13" s="31">
        <f t="shared" si="6"/>
        <v>0.15</v>
      </c>
      <c r="S13" s="155">
        <f t="shared" si="2"/>
        <v>0</v>
      </c>
      <c r="T13" s="155">
        <f t="shared" ref="T13:AB13" si="29">S13*(1+$R13)</f>
        <v>0</v>
      </c>
      <c r="U13" s="155">
        <f t="shared" si="29"/>
        <v>0</v>
      </c>
      <c r="V13" s="155">
        <f t="shared" si="29"/>
        <v>0</v>
      </c>
      <c r="W13" s="155">
        <f t="shared" si="29"/>
        <v>0</v>
      </c>
      <c r="X13" s="155">
        <f t="shared" si="29"/>
        <v>0</v>
      </c>
      <c r="Y13" s="155">
        <f t="shared" si="29"/>
        <v>0</v>
      </c>
      <c r="Z13" s="155">
        <f t="shared" si="29"/>
        <v>0</v>
      </c>
      <c r="AA13" s="155">
        <f t="shared" si="29"/>
        <v>0</v>
      </c>
      <c r="AB13" s="155">
        <f t="shared" si="29"/>
        <v>0</v>
      </c>
      <c r="AC13" s="138">
        <f t="shared" si="19"/>
        <v>-1</v>
      </c>
      <c r="AD13" s="31">
        <f t="shared" si="17"/>
        <v>0.08</v>
      </c>
      <c r="AE13" s="146">
        <f t="shared" si="1"/>
        <v>0</v>
      </c>
    </row>
    <row r="14" spans="2:31">
      <c r="B14" s="20" t="s">
        <v>19</v>
      </c>
      <c r="C14" s="141"/>
      <c r="D14" s="141"/>
      <c r="E14" s="147"/>
      <c r="F14" s="147"/>
      <c r="G14" s="147">
        <v>5</v>
      </c>
      <c r="H14" s="147">
        <v>6</v>
      </c>
      <c r="I14" s="147">
        <v>9</v>
      </c>
      <c r="J14" s="147">
        <v>9</v>
      </c>
      <c r="K14" s="147">
        <v>14</v>
      </c>
      <c r="L14" s="147">
        <v>22</v>
      </c>
      <c r="M14" s="147">
        <v>22</v>
      </c>
      <c r="N14" s="147">
        <v>28</v>
      </c>
      <c r="O14" s="147">
        <v>142</v>
      </c>
      <c r="P14" s="147">
        <v>157</v>
      </c>
      <c r="Q14" s="118">
        <f t="shared" si="5"/>
        <v>0.46664672382005778</v>
      </c>
      <c r="R14" s="31">
        <f t="shared" si="6"/>
        <v>0.15</v>
      </c>
      <c r="S14" s="155">
        <f t="shared" si="2"/>
        <v>180.54999999999998</v>
      </c>
      <c r="T14" s="155">
        <f t="shared" ref="T14:AB14" si="30">S14*(1+$R14)</f>
        <v>207.63249999999996</v>
      </c>
      <c r="U14" s="155">
        <f t="shared" si="30"/>
        <v>238.77737499999995</v>
      </c>
      <c r="V14" s="155">
        <f t="shared" si="30"/>
        <v>274.5939812499999</v>
      </c>
      <c r="W14" s="155">
        <f t="shared" si="30"/>
        <v>315.78307843749985</v>
      </c>
      <c r="X14" s="155">
        <f t="shared" si="30"/>
        <v>363.15054020312482</v>
      </c>
      <c r="Y14" s="155">
        <f t="shared" si="30"/>
        <v>417.62312123359351</v>
      </c>
      <c r="Z14" s="155">
        <f t="shared" si="30"/>
        <v>480.26658941863252</v>
      </c>
      <c r="AA14" s="155">
        <f t="shared" si="30"/>
        <v>552.30657783142738</v>
      </c>
      <c r="AB14" s="155">
        <f t="shared" si="30"/>
        <v>635.1525645061414</v>
      </c>
      <c r="AC14" s="138">
        <f t="shared" si="19"/>
        <v>0.29042272536098235</v>
      </c>
      <c r="AD14" s="31">
        <f t="shared" si="17"/>
        <v>0.08</v>
      </c>
      <c r="AE14" s="146">
        <f t="shared" si="1"/>
        <v>4899.7483547616621</v>
      </c>
    </row>
    <row r="15" spans="2:31">
      <c r="B15" s="20" t="s">
        <v>23</v>
      </c>
      <c r="C15" s="141"/>
      <c r="D15" s="141"/>
      <c r="E15" s="147"/>
      <c r="F15" s="147"/>
      <c r="G15" s="147">
        <v>2.4</v>
      </c>
      <c r="H15" s="147">
        <v>7</v>
      </c>
      <c r="I15" s="147">
        <v>11</v>
      </c>
      <c r="J15" s="147">
        <v>5</v>
      </c>
      <c r="K15" s="147">
        <v>6</v>
      </c>
      <c r="L15" s="147">
        <v>28</v>
      </c>
      <c r="M15" s="147">
        <v>57</v>
      </c>
      <c r="N15" s="147">
        <v>93</v>
      </c>
      <c r="O15" s="147">
        <v>82</v>
      </c>
      <c r="P15" s="147">
        <v>118</v>
      </c>
      <c r="Q15" s="118">
        <f t="shared" si="5"/>
        <v>0.54157059752337866</v>
      </c>
      <c r="R15" s="31">
        <f t="shared" si="6"/>
        <v>0.15</v>
      </c>
      <c r="S15" s="155">
        <f t="shared" si="2"/>
        <v>135.69999999999999</v>
      </c>
      <c r="T15" s="155">
        <f t="shared" ref="T15:AB15" si="31">S15*(1+$R15)</f>
        <v>156.05499999999998</v>
      </c>
      <c r="U15" s="155">
        <f t="shared" si="31"/>
        <v>179.46324999999996</v>
      </c>
      <c r="V15" s="155">
        <f t="shared" si="31"/>
        <v>206.38273749999993</v>
      </c>
      <c r="W15" s="155">
        <f t="shared" si="31"/>
        <v>237.3401481249999</v>
      </c>
      <c r="X15" s="155">
        <f t="shared" si="31"/>
        <v>272.94117034374989</v>
      </c>
      <c r="Y15" s="155">
        <f t="shared" si="31"/>
        <v>313.88234589531237</v>
      </c>
      <c r="Z15" s="155">
        <f t="shared" si="31"/>
        <v>360.9646977796092</v>
      </c>
      <c r="AA15" s="155">
        <f t="shared" si="31"/>
        <v>415.10940244655052</v>
      </c>
      <c r="AB15" s="155">
        <f t="shared" si="31"/>
        <v>477.37581281353306</v>
      </c>
      <c r="AC15" s="138">
        <f t="shared" si="19"/>
        <v>0.32123945820689448</v>
      </c>
      <c r="AD15" s="31">
        <f t="shared" si="17"/>
        <v>0.08</v>
      </c>
      <c r="AE15" s="146">
        <f t="shared" si="1"/>
        <v>3682.6134131329691</v>
      </c>
    </row>
    <row r="16" spans="2:31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>
      <c r="B17" s="20" t="s">
        <v>278</v>
      </c>
      <c r="C17" s="141"/>
      <c r="D17" s="141"/>
      <c r="E17" s="147"/>
      <c r="F17" s="147"/>
      <c r="G17" s="147">
        <v>5</v>
      </c>
      <c r="H17" s="147">
        <v>4.3</v>
      </c>
      <c r="I17" s="147">
        <v>3.8</v>
      </c>
      <c r="J17" s="147">
        <v>4.3</v>
      </c>
      <c r="K17" s="147">
        <v>4.8899999999999997</v>
      </c>
      <c r="L17" s="147">
        <v>7</v>
      </c>
      <c r="M17" s="147">
        <v>6.6</v>
      </c>
      <c r="N17" s="147">
        <v>6.17</v>
      </c>
      <c r="O17" s="147">
        <v>6.3</v>
      </c>
      <c r="P17" s="147">
        <v>117</v>
      </c>
      <c r="Q17" s="118">
        <f>((P17/G17)^(1/($H$2-$H$1) ))-1</f>
        <v>0.419499014234191</v>
      </c>
      <c r="R17" s="31">
        <f t="shared" si="6"/>
        <v>0.15</v>
      </c>
      <c r="S17" s="155">
        <f t="shared" ref="S17:S33" si="32">P17*(1+$R17)</f>
        <v>134.54999999999998</v>
      </c>
      <c r="T17" s="155">
        <f t="shared" ref="T17:T33" si="33">S17*(1+$R17)</f>
        <v>154.73249999999996</v>
      </c>
      <c r="U17" s="155">
        <f t="shared" ref="U17:U33" si="34">T17*(1+$R17)</f>
        <v>177.94237499999994</v>
      </c>
      <c r="V17" s="155">
        <f t="shared" ref="V17:V33" si="35">U17*(1+$R17)</f>
        <v>204.63373124999993</v>
      </c>
      <c r="W17" s="155">
        <f t="shared" ref="W17:W35" si="36">V17*(1+$R17)</f>
        <v>235.32879093749989</v>
      </c>
      <c r="X17" s="155">
        <f t="shared" ref="X17:X35" si="37">W17*(1+$R17)</f>
        <v>270.62810957812485</v>
      </c>
      <c r="Y17" s="155">
        <f t="shared" ref="Y17:Y35" si="38">X17*(1+$R17)</f>
        <v>311.22232601484353</v>
      </c>
      <c r="Z17" s="155">
        <f t="shared" ref="Z17:Z35" si="39">Y17*(1+$R17)</f>
        <v>357.90567491707003</v>
      </c>
      <c r="AA17" s="155">
        <f t="shared" ref="AA17:AA35" si="40">Z17*(1+$R17)</f>
        <v>411.59152615463051</v>
      </c>
      <c r="AB17" s="155">
        <f t="shared" ref="AB17:AB35" si="41">AA17*(1+$R17)</f>
        <v>473.33025507782503</v>
      </c>
      <c r="AC17" s="138">
        <f t="shared" si="19"/>
        <v>0.27060401770772535</v>
      </c>
      <c r="AD17" s="31">
        <f t="shared" si="17"/>
        <v>0.08</v>
      </c>
      <c r="AE17" s="146">
        <f t="shared" si="1"/>
        <v>3651.4048248860786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f t="shared" si="6"/>
        <v>0.15</v>
      </c>
      <c r="S19" s="155">
        <f t="shared" ref="S19:S21" si="42">P19*(1+$R19)</f>
        <v>0</v>
      </c>
      <c r="T19" s="155">
        <f t="shared" ref="T19:T21" si="43">S19*(1+$R19)</f>
        <v>0</v>
      </c>
      <c r="U19" s="155">
        <f t="shared" ref="U19:U21" si="44">T19*(1+$R19)</f>
        <v>0</v>
      </c>
      <c r="V19" s="155">
        <f t="shared" ref="V19:V21" si="45">U19*(1+$R19)</f>
        <v>0</v>
      </c>
      <c r="W19" s="155">
        <f t="shared" ref="W19:W21" si="46">V19*(1+$R19)</f>
        <v>0</v>
      </c>
      <c r="X19" s="155">
        <f t="shared" ref="X19:X21" si="47">W19*(1+$R19)</f>
        <v>0</v>
      </c>
      <c r="Y19" s="155">
        <f t="shared" ref="Y19:Y21" si="48">X19*(1+$R19)</f>
        <v>0</v>
      </c>
      <c r="Z19" s="155">
        <f t="shared" ref="Z19:Z21" si="49">Y19*(1+$R19)</f>
        <v>0</v>
      </c>
      <c r="AA19" s="155">
        <f t="shared" ref="AA19:AA21" si="50">Z19*(1+$R19)</f>
        <v>0</v>
      </c>
      <c r="AB19" s="155">
        <f t="shared" ref="AB19:AB21" si="51">AA19*(1+$R19)</f>
        <v>0</v>
      </c>
      <c r="AC19" s="138" t="e">
        <f t="shared" ref="AC19:AC21" si="52">((AB19/G19)^(1/($AB$3-$H$1) ))-1</f>
        <v>#DIV/0!</v>
      </c>
      <c r="AD19" s="31">
        <f t="shared" si="17"/>
        <v>0.08</v>
      </c>
      <c r="AE19" s="146">
        <f t="shared" si="1"/>
        <v>0</v>
      </c>
    </row>
    <row r="20" spans="2:31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0.15</v>
      </c>
      <c r="S20" s="155">
        <f t="shared" si="42"/>
        <v>0</v>
      </c>
      <c r="T20" s="155">
        <f t="shared" si="43"/>
        <v>0</v>
      </c>
      <c r="U20" s="155">
        <f t="shared" si="44"/>
        <v>0</v>
      </c>
      <c r="V20" s="155">
        <f t="shared" si="45"/>
        <v>0</v>
      </c>
      <c r="W20" s="155">
        <f t="shared" si="46"/>
        <v>0</v>
      </c>
      <c r="X20" s="155">
        <f t="shared" si="47"/>
        <v>0</v>
      </c>
      <c r="Y20" s="155">
        <f t="shared" si="48"/>
        <v>0</v>
      </c>
      <c r="Z20" s="155">
        <f t="shared" si="49"/>
        <v>0</v>
      </c>
      <c r="AA20" s="155">
        <f t="shared" si="50"/>
        <v>0</v>
      </c>
      <c r="AB20" s="155">
        <f t="shared" si="51"/>
        <v>0</v>
      </c>
      <c r="AC20" s="138" t="e">
        <f t="shared" si="52"/>
        <v>#DIV/0!</v>
      </c>
      <c r="AD20" s="31">
        <f t="shared" si="17"/>
        <v>0.08</v>
      </c>
      <c r="AE20" s="146">
        <f t="shared" si="1"/>
        <v>0</v>
      </c>
    </row>
    <row r="21" spans="2:31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0.15</v>
      </c>
      <c r="S21" s="155">
        <f t="shared" si="42"/>
        <v>0</v>
      </c>
      <c r="T21" s="155">
        <f t="shared" si="43"/>
        <v>0</v>
      </c>
      <c r="U21" s="155">
        <f t="shared" si="44"/>
        <v>0</v>
      </c>
      <c r="V21" s="155">
        <f t="shared" si="45"/>
        <v>0</v>
      </c>
      <c r="W21" s="155">
        <f t="shared" si="46"/>
        <v>0</v>
      </c>
      <c r="X21" s="155">
        <f t="shared" si="47"/>
        <v>0</v>
      </c>
      <c r="Y21" s="155">
        <f t="shared" si="48"/>
        <v>0</v>
      </c>
      <c r="Z21" s="155">
        <f t="shared" si="49"/>
        <v>0</v>
      </c>
      <c r="AA21" s="155">
        <f t="shared" si="50"/>
        <v>0</v>
      </c>
      <c r="AB21" s="155">
        <f t="shared" si="51"/>
        <v>0</v>
      </c>
      <c r="AC21" s="138" t="e">
        <f t="shared" si="52"/>
        <v>#DIV/0!</v>
      </c>
      <c r="AD21" s="31">
        <f t="shared" si="17"/>
        <v>0.08</v>
      </c>
      <c r="AE21" s="146">
        <f t="shared" si="1"/>
        <v>0</v>
      </c>
    </row>
    <row r="22" spans="2:31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0.15</v>
      </c>
      <c r="S22" s="155">
        <f t="shared" ref="S22" si="53">P22*(1+$R22)</f>
        <v>0</v>
      </c>
      <c r="T22" s="155">
        <f t="shared" ref="T22" si="54">S22*(1+$R22)</f>
        <v>0</v>
      </c>
      <c r="U22" s="155">
        <f t="shared" ref="U22" si="55">T22*(1+$R22)</f>
        <v>0</v>
      </c>
      <c r="V22" s="155">
        <f t="shared" ref="V22" si="56">U22*(1+$R22)</f>
        <v>0</v>
      </c>
      <c r="W22" s="155">
        <f t="shared" ref="W22" si="57">V22*(1+$R22)</f>
        <v>0</v>
      </c>
      <c r="X22" s="155">
        <f t="shared" ref="X22" si="58">W22*(1+$R22)</f>
        <v>0</v>
      </c>
      <c r="Y22" s="155">
        <f t="shared" ref="Y22" si="59">X22*(1+$R22)</f>
        <v>0</v>
      </c>
      <c r="Z22" s="155">
        <f t="shared" ref="Z22" si="60">Y22*(1+$R22)</f>
        <v>0</v>
      </c>
      <c r="AA22" s="155">
        <f t="shared" ref="AA22" si="61">Z22*(1+$R22)</f>
        <v>0</v>
      </c>
      <c r="AB22" s="155">
        <f t="shared" ref="AB22" si="62">AA22*(1+$R22)</f>
        <v>0</v>
      </c>
      <c r="AC22" s="138" t="e">
        <f t="shared" ref="AC22" si="63">((AB22/G22)^(1/($AB$3-$H$1) ))-1</f>
        <v>#DIV/0!</v>
      </c>
      <c r="AD22" s="31">
        <f t="shared" si="17"/>
        <v>0.08</v>
      </c>
      <c r="AE22" s="146">
        <f t="shared" si="1"/>
        <v>0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>
      <c r="B24" s="20" t="s">
        <v>89</v>
      </c>
      <c r="C24" s="141"/>
      <c r="D24" s="141"/>
      <c r="E24" s="147"/>
      <c r="F24" s="147"/>
      <c r="G24" s="147">
        <v>7.6</v>
      </c>
      <c r="H24" s="147">
        <v>11</v>
      </c>
      <c r="I24" s="147">
        <v>21</v>
      </c>
      <c r="J24" s="147">
        <v>27</v>
      </c>
      <c r="K24" s="147">
        <v>36</v>
      </c>
      <c r="L24" s="147">
        <v>102</v>
      </c>
      <c r="M24" s="147">
        <v>74</v>
      </c>
      <c r="N24" s="147">
        <v>77</v>
      </c>
      <c r="O24" s="147">
        <v>103</v>
      </c>
      <c r="P24" s="147">
        <v>110</v>
      </c>
      <c r="Q24" s="118">
        <f>((P24/G24)^(1/($H$2-$H$1) ))-1</f>
        <v>0.34571543147139283</v>
      </c>
      <c r="R24" s="31">
        <f t="shared" si="6"/>
        <v>0.15</v>
      </c>
      <c r="S24" s="155">
        <f t="shared" si="32"/>
        <v>126.49999999999999</v>
      </c>
      <c r="T24" s="155">
        <f t="shared" si="33"/>
        <v>145.47499999999997</v>
      </c>
      <c r="U24" s="155">
        <f t="shared" si="34"/>
        <v>167.29624999999996</v>
      </c>
      <c r="V24" s="155">
        <f t="shared" si="35"/>
        <v>192.39068749999993</v>
      </c>
      <c r="W24" s="155">
        <f t="shared" si="36"/>
        <v>221.2492906249999</v>
      </c>
      <c r="X24" s="155">
        <f t="shared" si="37"/>
        <v>254.43668421874986</v>
      </c>
      <c r="Y24" s="155">
        <f t="shared" si="38"/>
        <v>292.60218685156229</v>
      </c>
      <c r="Z24" s="155">
        <f t="shared" si="39"/>
        <v>336.49251487929661</v>
      </c>
      <c r="AA24" s="155">
        <f t="shared" si="40"/>
        <v>386.96639211119106</v>
      </c>
      <c r="AB24" s="155">
        <f t="shared" si="41"/>
        <v>445.01135092786967</v>
      </c>
      <c r="AC24" s="138">
        <f t="shared" si="19"/>
        <v>0.23888028525426974</v>
      </c>
      <c r="AD24" s="31">
        <f t="shared" si="17"/>
        <v>0.08</v>
      </c>
      <c r="AE24" s="146">
        <f t="shared" si="1"/>
        <v>3432.9447071578516</v>
      </c>
    </row>
    <row r="25" spans="2:31" s="123" customFormat="1">
      <c r="B25" s="23"/>
      <c r="C25" s="150"/>
      <c r="D25" s="150"/>
      <c r="E25" s="151"/>
      <c r="F25" s="151"/>
      <c r="G25" s="149">
        <f>(G24-F24)/G24</f>
        <v>1</v>
      </c>
      <c r="H25" s="149">
        <f>(H24-G24)/H24</f>
        <v>0.30909090909090914</v>
      </c>
      <c r="I25" s="149">
        <f t="shared" ref="I25" si="64">(I24-H24)/I24</f>
        <v>0.47619047619047616</v>
      </c>
      <c r="J25" s="149">
        <f t="shared" ref="J25" si="65">(J24-I24)/J24</f>
        <v>0.22222222222222221</v>
      </c>
      <c r="K25" s="149">
        <f t="shared" ref="K25" si="66">(K24-J24)/K24</f>
        <v>0.25</v>
      </c>
      <c r="L25" s="149">
        <f t="shared" ref="L25" si="67">(L24-K24)/L24</f>
        <v>0.6470588235294118</v>
      </c>
      <c r="M25" s="149">
        <f t="shared" ref="M25" si="68">(M24-L24)/M24</f>
        <v>-0.3783783783783784</v>
      </c>
      <c r="N25" s="149">
        <f t="shared" ref="N25" si="69">(N24-M24)/N24</f>
        <v>3.896103896103896E-2</v>
      </c>
      <c r="O25" s="149">
        <f t="shared" ref="O25" si="70">(O24-N24)/O24</f>
        <v>0.25242718446601942</v>
      </c>
      <c r="P25" s="149">
        <f t="shared" ref="P25" si="71">(P24-O24)/P24</f>
        <v>6.363636363636363E-2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>
      <c r="B26" s="20" t="s">
        <v>262</v>
      </c>
      <c r="C26" s="141"/>
      <c r="D26" s="141"/>
      <c r="E26" s="147"/>
      <c r="F26" s="147"/>
      <c r="G26" s="147">
        <v>4.5999999999999996</v>
      </c>
      <c r="H26" s="147">
        <v>6.2</v>
      </c>
      <c r="I26" s="147">
        <v>5.3</v>
      </c>
      <c r="J26" s="147">
        <v>6.5</v>
      </c>
      <c r="K26" s="147">
        <v>9</v>
      </c>
      <c r="L26" s="147">
        <v>19</v>
      </c>
      <c r="M26" s="147">
        <v>14</v>
      </c>
      <c r="N26" s="147">
        <v>14</v>
      </c>
      <c r="O26" s="147">
        <v>33</v>
      </c>
      <c r="P26" s="147">
        <v>21</v>
      </c>
      <c r="Q26" s="118">
        <f>((P26/G26)^(1/($H$2-$H$1) ))-1</f>
        <v>0.18378680790600632</v>
      </c>
      <c r="R26" s="31">
        <f t="shared" si="6"/>
        <v>0.15</v>
      </c>
      <c r="S26" s="155">
        <f t="shared" si="32"/>
        <v>24.15</v>
      </c>
      <c r="T26" s="155">
        <f t="shared" si="33"/>
        <v>27.772499999999997</v>
      </c>
      <c r="U26" s="155">
        <f t="shared" si="34"/>
        <v>31.938374999999994</v>
      </c>
      <c r="V26" s="155">
        <f t="shared" si="35"/>
        <v>36.729131249999988</v>
      </c>
      <c r="W26" s="155">
        <f t="shared" si="36"/>
        <v>42.238500937499985</v>
      </c>
      <c r="X26" s="155">
        <f t="shared" si="37"/>
        <v>48.574276078124981</v>
      </c>
      <c r="Y26" s="155">
        <f t="shared" si="38"/>
        <v>55.860417489843726</v>
      </c>
      <c r="Z26" s="155">
        <f t="shared" si="39"/>
        <v>64.239480113320283</v>
      </c>
      <c r="AA26" s="155">
        <f t="shared" si="40"/>
        <v>73.875402130318321</v>
      </c>
      <c r="AB26" s="155">
        <f t="shared" si="41"/>
        <v>84.95671244986606</v>
      </c>
      <c r="AC26" s="138">
        <f t="shared" si="19"/>
        <v>0.16588235575850474</v>
      </c>
      <c r="AD26" s="31">
        <f t="shared" si="17"/>
        <v>0.08</v>
      </c>
      <c r="AE26" s="146">
        <f t="shared" si="1"/>
        <v>655.38035318468098</v>
      </c>
    </row>
    <row r="27" spans="2:31" s="123" customFormat="1">
      <c r="B27" s="23"/>
      <c r="C27" s="150"/>
      <c r="D27" s="150"/>
      <c r="E27" s="151"/>
      <c r="F27" s="151"/>
      <c r="G27" s="149">
        <f t="shared" ref="G27:P27" si="72">(G26-F26)/G26</f>
        <v>1</v>
      </c>
      <c r="H27" s="149">
        <f t="shared" si="72"/>
        <v>0.25806451612903236</v>
      </c>
      <c r="I27" s="149">
        <f t="shared" si="72"/>
        <v>-0.16981132075471705</v>
      </c>
      <c r="J27" s="149">
        <f t="shared" si="72"/>
        <v>0.18461538461538465</v>
      </c>
      <c r="K27" s="149">
        <f t="shared" si="72"/>
        <v>0.27777777777777779</v>
      </c>
      <c r="L27" s="149">
        <f t="shared" si="72"/>
        <v>0.52631578947368418</v>
      </c>
      <c r="M27" s="149">
        <f t="shared" si="72"/>
        <v>-0.35714285714285715</v>
      </c>
      <c r="N27" s="149">
        <f t="shared" si="72"/>
        <v>0</v>
      </c>
      <c r="O27" s="149">
        <f t="shared" si="72"/>
        <v>0.5757575757575758</v>
      </c>
      <c r="P27" s="149">
        <f t="shared" si="72"/>
        <v>-0.5714285714285714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>
      <c r="B28" s="20" t="s">
        <v>328</v>
      </c>
      <c r="C28" s="150"/>
      <c r="D28" s="150"/>
      <c r="E28" s="151"/>
      <c r="F28" s="147"/>
      <c r="G28" s="147">
        <v>0.01</v>
      </c>
      <c r="H28" s="147">
        <v>0</v>
      </c>
      <c r="I28" s="147">
        <v>0.26</v>
      </c>
      <c r="J28" s="147">
        <v>0.88</v>
      </c>
      <c r="K28" s="147">
        <v>1.73</v>
      </c>
      <c r="L28" s="147">
        <v>3.3</v>
      </c>
      <c r="M28" s="147">
        <v>3</v>
      </c>
      <c r="N28" s="147">
        <v>3</v>
      </c>
      <c r="O28" s="147">
        <v>4</v>
      </c>
      <c r="P28" s="147">
        <v>0.6</v>
      </c>
      <c r="Q28" s="118">
        <f>((P28/G28)^(1/($H$2-$H$1) ))-1</f>
        <v>0.57605860014923738</v>
      </c>
      <c r="R28" s="31">
        <f t="shared" si="6"/>
        <v>0.15</v>
      </c>
      <c r="S28" s="155">
        <f t="shared" ref="S28" si="73">P28*(1+$R28)</f>
        <v>0.69</v>
      </c>
      <c r="T28" s="155">
        <f t="shared" ref="T28" si="74">S28*(1+$R28)</f>
        <v>0.79349999999999987</v>
      </c>
      <c r="U28" s="155">
        <f t="shared" ref="U28" si="75">T28*(1+$R28)</f>
        <v>0.91252499999999981</v>
      </c>
      <c r="V28" s="155">
        <f t="shared" ref="V28" si="76">U28*(1+$R28)</f>
        <v>1.0494037499999997</v>
      </c>
      <c r="W28" s="155">
        <f t="shared" ref="W28" si="77">V28*(1+$R28)</f>
        <v>1.2068143124999997</v>
      </c>
      <c r="X28" s="155">
        <f t="shared" ref="X28" si="78">W28*(1+$R28)</f>
        <v>1.3878364593749997</v>
      </c>
      <c r="Y28" s="155">
        <f t="shared" ref="Y28" si="79">X28*(1+$R28)</f>
        <v>1.5960119282812495</v>
      </c>
      <c r="Z28" s="155">
        <f t="shared" ref="Z28" si="80">Y28*(1+$R28)</f>
        <v>1.8354137175234368</v>
      </c>
      <c r="AA28" s="155">
        <f t="shared" ref="AA28" si="81">Z28*(1+$R28)</f>
        <v>2.1107257751519524</v>
      </c>
      <c r="AB28" s="155">
        <f t="shared" ref="AB28" si="82">AA28*(1+$R28)</f>
        <v>2.427334641424745</v>
      </c>
      <c r="AC28" s="138">
        <f t="shared" ref="AC28" si="83">((AB28/G28)^(1/($AB$3-$H$1) ))-1</f>
        <v>0.33515946759952775</v>
      </c>
      <c r="AD28" s="31">
        <f t="shared" si="17"/>
        <v>0.08</v>
      </c>
      <c r="AE28" s="146">
        <f t="shared" ref="AE28" si="84">(AB28*(1+AD28))/($C$1-AD28)</f>
        <v>18.725152948133747</v>
      </c>
    </row>
    <row r="29" spans="2:31" s="123" customFormat="1">
      <c r="B29" s="23"/>
      <c r="C29" s="150"/>
      <c r="D29" s="150"/>
      <c r="E29" s="151"/>
      <c r="F29" s="151"/>
      <c r="G29" s="149">
        <f t="shared" ref="G29:P29" si="85">(G28-F28)/G28</f>
        <v>1</v>
      </c>
      <c r="H29" s="149" t="e">
        <f t="shared" si="85"/>
        <v>#DIV/0!</v>
      </c>
      <c r="I29" s="149">
        <f t="shared" si="85"/>
        <v>1</v>
      </c>
      <c r="J29" s="149">
        <f t="shared" si="85"/>
        <v>0.70454545454545459</v>
      </c>
      <c r="K29" s="149">
        <f t="shared" si="85"/>
        <v>0.4913294797687861</v>
      </c>
      <c r="L29" s="149">
        <f t="shared" si="85"/>
        <v>0.47575757575757571</v>
      </c>
      <c r="M29" s="149">
        <f t="shared" si="85"/>
        <v>-9.9999999999999936E-2</v>
      </c>
      <c r="N29" s="149">
        <f t="shared" si="85"/>
        <v>0</v>
      </c>
      <c r="O29" s="149">
        <f t="shared" si="85"/>
        <v>0.25</v>
      </c>
      <c r="P29" s="149">
        <f t="shared" si="85"/>
        <v>-5.666666666666667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3"/>
      <c r="AD29" s="137"/>
      <c r="AE29" s="155"/>
    </row>
    <row r="30" spans="2:31">
      <c r="B30" s="20" t="s">
        <v>336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0.15</v>
      </c>
      <c r="S30" s="155">
        <f>P30*(1+$R30)</f>
        <v>0</v>
      </c>
      <c r="T30" s="155">
        <f>S30*(1+$R30)</f>
        <v>0</v>
      </c>
      <c r="U30" s="155">
        <f t="shared" ref="U30:AB31" si="86">T30*(1+$R30)</f>
        <v>0</v>
      </c>
      <c r="V30" s="155">
        <f t="shared" si="86"/>
        <v>0</v>
      </c>
      <c r="W30" s="155">
        <f t="shared" si="86"/>
        <v>0</v>
      </c>
      <c r="X30" s="155">
        <f t="shared" si="86"/>
        <v>0</v>
      </c>
      <c r="Y30" s="155">
        <f t="shared" si="86"/>
        <v>0</v>
      </c>
      <c r="Z30" s="155">
        <f t="shared" si="86"/>
        <v>0</v>
      </c>
      <c r="AA30" s="155">
        <f t="shared" si="86"/>
        <v>0</v>
      </c>
      <c r="AB30" s="155">
        <f t="shared" si="86"/>
        <v>0</v>
      </c>
      <c r="AC30" s="138" t="e">
        <f t="shared" ref="AC30" si="87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>
      <c r="B31" s="20" t="s">
        <v>335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0.15</v>
      </c>
      <c r="S31" s="155">
        <f>P31*(1+$R31)</f>
        <v>0</v>
      </c>
      <c r="T31" s="155">
        <f>S31*(1+$R31)</f>
        <v>0</v>
      </c>
      <c r="U31" s="155">
        <f t="shared" si="86"/>
        <v>0</v>
      </c>
      <c r="V31" s="155">
        <f t="shared" si="86"/>
        <v>0</v>
      </c>
      <c r="W31" s="155">
        <f t="shared" si="86"/>
        <v>0</v>
      </c>
      <c r="X31" s="155">
        <f t="shared" si="86"/>
        <v>0</v>
      </c>
      <c r="Y31" s="155">
        <f t="shared" si="86"/>
        <v>0</v>
      </c>
      <c r="Z31" s="155">
        <f t="shared" si="86"/>
        <v>0</v>
      </c>
      <c r="AA31" s="155">
        <f t="shared" si="86"/>
        <v>0</v>
      </c>
      <c r="AB31" s="155">
        <f t="shared" si="86"/>
        <v>0</v>
      </c>
      <c r="AC31" s="138" t="e">
        <f t="shared" ref="AC31" si="88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318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0.15</v>
      </c>
      <c r="S32" s="155">
        <f t="shared" si="32"/>
        <v>0</v>
      </c>
      <c r="T32" s="155">
        <f t="shared" si="33"/>
        <v>0</v>
      </c>
      <c r="U32" s="155">
        <f t="shared" si="34"/>
        <v>0</v>
      </c>
      <c r="V32" s="155">
        <f t="shared" si="35"/>
        <v>0</v>
      </c>
      <c r="W32" s="155">
        <f t="shared" si="36"/>
        <v>0</v>
      </c>
      <c r="X32" s="155">
        <f t="shared" si="37"/>
        <v>0</v>
      </c>
      <c r="Y32" s="155">
        <f t="shared" si="38"/>
        <v>0</v>
      </c>
      <c r="Z32" s="155">
        <f t="shared" si="39"/>
        <v>0</v>
      </c>
      <c r="AA32" s="155">
        <f t="shared" si="40"/>
        <v>0</v>
      </c>
      <c r="AB32" s="155">
        <f t="shared" si="41"/>
        <v>0</v>
      </c>
      <c r="AC32" s="138" t="e">
        <f t="shared" si="19"/>
        <v>#DIV/0!</v>
      </c>
      <c r="AD32" s="31">
        <f t="shared" si="17"/>
        <v>0.08</v>
      </c>
      <c r="AE32" s="146">
        <f t="shared" si="1"/>
        <v>0</v>
      </c>
    </row>
    <row r="33" spans="2:31">
      <c r="B33" s="20" t="s">
        <v>309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f t="shared" si="6"/>
        <v>0.15</v>
      </c>
      <c r="S33" s="155">
        <f t="shared" si="32"/>
        <v>0</v>
      </c>
      <c r="T33" s="155">
        <f t="shared" si="33"/>
        <v>0</v>
      </c>
      <c r="U33" s="155">
        <f t="shared" si="34"/>
        <v>0</v>
      </c>
      <c r="V33" s="155">
        <f t="shared" si="35"/>
        <v>0</v>
      </c>
      <c r="W33" s="155">
        <f t="shared" si="36"/>
        <v>0</v>
      </c>
      <c r="X33" s="155">
        <f t="shared" si="37"/>
        <v>0</v>
      </c>
      <c r="Y33" s="155">
        <f t="shared" si="38"/>
        <v>0</v>
      </c>
      <c r="Z33" s="155">
        <f t="shared" si="39"/>
        <v>0</v>
      </c>
      <c r="AA33" s="155">
        <f t="shared" si="40"/>
        <v>0</v>
      </c>
      <c r="AB33" s="155">
        <f t="shared" si="41"/>
        <v>0</v>
      </c>
      <c r="AC33" s="138" t="e">
        <f t="shared" si="19"/>
        <v>#DIV/0!</v>
      </c>
      <c r="AD33" s="31">
        <f t="shared" si="17"/>
        <v>0.08</v>
      </c>
      <c r="AE33" s="146">
        <f t="shared" si="1"/>
        <v>0</v>
      </c>
    </row>
    <row r="34" spans="2:31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39"/>
      <c r="AD34" s="137"/>
      <c r="AE34" s="155"/>
    </row>
    <row r="35" spans="2:31">
      <c r="B35" s="20" t="s">
        <v>279</v>
      </c>
      <c r="C35" s="141"/>
      <c r="D35" s="141"/>
      <c r="E35" s="147"/>
      <c r="F35" s="147"/>
      <c r="G35" s="147">
        <v>2.75</v>
      </c>
      <c r="H35" s="147">
        <v>5</v>
      </c>
      <c r="I35" s="147">
        <v>13</v>
      </c>
      <c r="J35" s="147">
        <v>20</v>
      </c>
      <c r="K35" s="147">
        <v>26</v>
      </c>
      <c r="L35" s="147">
        <v>81</v>
      </c>
      <c r="M35" s="147">
        <v>57</v>
      </c>
      <c r="N35" s="147">
        <v>57</v>
      </c>
      <c r="O35" s="147">
        <v>60</v>
      </c>
      <c r="P35" s="147">
        <v>75</v>
      </c>
      <c r="Q35" s="118">
        <f>((P35/G35)^(1/($H$2-$H$1) ))-1</f>
        <v>0.4438610357455679</v>
      </c>
      <c r="R35" s="31">
        <f t="shared" si="6"/>
        <v>0.15</v>
      </c>
      <c r="S35" s="155">
        <f t="shared" ref="S35" si="89">P35*(1+$R35)</f>
        <v>86.25</v>
      </c>
      <c r="T35" s="155">
        <f t="shared" ref="T35" si="90">S35*(1+$R35)</f>
        <v>99.187499999999986</v>
      </c>
      <c r="U35" s="155">
        <f t="shared" ref="U35" si="91">T35*(1+$R35)</f>
        <v>114.06562499999997</v>
      </c>
      <c r="V35" s="155">
        <f t="shared" ref="V35" si="92">U35*(1+$R35)</f>
        <v>131.17546874999996</v>
      </c>
      <c r="W35" s="155">
        <f t="shared" si="36"/>
        <v>150.85178906249996</v>
      </c>
      <c r="X35" s="155">
        <f t="shared" si="37"/>
        <v>173.47955742187494</v>
      </c>
      <c r="Y35" s="155">
        <f t="shared" si="38"/>
        <v>199.50149103515616</v>
      </c>
      <c r="Z35" s="155">
        <f t="shared" si="39"/>
        <v>229.42671469042958</v>
      </c>
      <c r="AA35" s="155">
        <f t="shared" si="40"/>
        <v>263.84072189399399</v>
      </c>
      <c r="AB35" s="155">
        <f t="shared" si="41"/>
        <v>303.41683017809305</v>
      </c>
      <c r="AC35" s="138">
        <f t="shared" si="19"/>
        <v>0.28088722236928554</v>
      </c>
      <c r="AD35" s="31">
        <f t="shared" si="17"/>
        <v>0.08</v>
      </c>
      <c r="AE35" s="146">
        <f t="shared" si="1"/>
        <v>2340.6441185167178</v>
      </c>
    </row>
    <row r="36" spans="2:31" s="123" customFormat="1">
      <c r="B36" s="23"/>
      <c r="C36" s="150"/>
      <c r="D36" s="150"/>
      <c r="E36" s="151"/>
      <c r="F36" s="151"/>
      <c r="G36" s="149">
        <f>(G35-F35)/G35</f>
        <v>1</v>
      </c>
      <c r="H36" s="149">
        <f>(H35-G35)/H35</f>
        <v>0.45</v>
      </c>
      <c r="I36" s="149">
        <f t="shared" ref="I36" si="93">(I35-H35)/I35</f>
        <v>0.61538461538461542</v>
      </c>
      <c r="J36" s="149">
        <f t="shared" ref="J36" si="94">(J35-I35)/J35</f>
        <v>0.35</v>
      </c>
      <c r="K36" s="149">
        <f t="shared" ref="K36" si="95">(K35-J35)/K35</f>
        <v>0.23076923076923078</v>
      </c>
      <c r="L36" s="149">
        <f t="shared" ref="L36" si="96">(L35-K35)/L35</f>
        <v>0.67901234567901236</v>
      </c>
      <c r="M36" s="149">
        <f t="shared" ref="M36" si="97">(M35-L35)/M35</f>
        <v>-0.42105263157894735</v>
      </c>
      <c r="N36" s="149">
        <f t="shared" ref="N36" si="98">(N35-M35)/N35</f>
        <v>0</v>
      </c>
      <c r="O36" s="149">
        <f t="shared" ref="O36" si="99">(O35-N35)/O35</f>
        <v>0.05</v>
      </c>
      <c r="P36" s="149">
        <f t="shared" ref="P36" si="100">(P35-O35)/P35</f>
        <v>0.2</v>
      </c>
      <c r="Q36" s="128"/>
      <c r="R36" s="20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39"/>
      <c r="AD36" s="137"/>
      <c r="AE36" s="157"/>
    </row>
    <row r="37" spans="2:31">
      <c r="B37" s="20" t="s">
        <v>257</v>
      </c>
      <c r="C37" s="141"/>
      <c r="D37" s="141"/>
      <c r="E37" s="147"/>
      <c r="F37" s="147"/>
      <c r="G37" s="147">
        <v>0.84</v>
      </c>
      <c r="H37" s="147">
        <v>1.19</v>
      </c>
      <c r="I37" s="147">
        <v>8.6999999999999993</v>
      </c>
      <c r="J37" s="147">
        <v>10.5</v>
      </c>
      <c r="K37" s="147">
        <v>13</v>
      </c>
      <c r="L37" s="147">
        <v>47</v>
      </c>
      <c r="M37" s="147">
        <v>29</v>
      </c>
      <c r="N37" s="147">
        <v>32</v>
      </c>
      <c r="O37" s="147">
        <v>44</v>
      </c>
      <c r="P37" s="147">
        <v>45</v>
      </c>
      <c r="Q37" s="118">
        <f>((P37/G37)^(1/($H$2-$H$1) ))-1</f>
        <v>0.55633717765933555</v>
      </c>
      <c r="R37" s="31">
        <f t="shared" si="6"/>
        <v>0.15</v>
      </c>
      <c r="S37" s="155">
        <f>P37*(1+$R37)</f>
        <v>51.749999999999993</v>
      </c>
      <c r="T37" s="155">
        <f t="shared" ref="T37:AB37" si="101">S37*(1+$R37)</f>
        <v>59.512499999999989</v>
      </c>
      <c r="U37" s="155">
        <f t="shared" si="101"/>
        <v>68.439374999999984</v>
      </c>
      <c r="V37" s="155">
        <f t="shared" si="101"/>
        <v>78.70528124999997</v>
      </c>
      <c r="W37" s="155">
        <f t="shared" si="101"/>
        <v>90.511073437499959</v>
      </c>
      <c r="X37" s="155">
        <f t="shared" si="101"/>
        <v>104.08773445312495</v>
      </c>
      <c r="Y37" s="155">
        <f t="shared" si="101"/>
        <v>119.70089462109368</v>
      </c>
      <c r="Z37" s="155">
        <f t="shared" si="101"/>
        <v>137.65602881425772</v>
      </c>
      <c r="AA37" s="155">
        <f t="shared" si="101"/>
        <v>158.30443313639637</v>
      </c>
      <c r="AB37" s="155">
        <f t="shared" si="101"/>
        <v>182.05009810685581</v>
      </c>
      <c r="AC37" s="138">
        <f t="shared" si="19"/>
        <v>0.32721938862516375</v>
      </c>
      <c r="AD37" s="31">
        <f t="shared" si="17"/>
        <v>0.08</v>
      </c>
      <c r="AE37" s="146">
        <f t="shared" si="1"/>
        <v>1404.3864711100305</v>
      </c>
    </row>
    <row r="38" spans="2:31" s="123" customFormat="1">
      <c r="B38" s="23"/>
      <c r="C38" s="150"/>
      <c r="D38" s="150"/>
      <c r="E38" s="151"/>
      <c r="F38" s="151"/>
      <c r="G38" s="149">
        <f>(G37-F37)/G37</f>
        <v>1</v>
      </c>
      <c r="H38" s="149">
        <f>(H37-G37)/H37</f>
        <v>0.29411764705882354</v>
      </c>
      <c r="I38" s="149">
        <f t="shared" ref="I38" si="102">(I37-H37)/I37</f>
        <v>0.86321839080459772</v>
      </c>
      <c r="J38" s="149">
        <f t="shared" ref="J38" si="103">(J37-I37)/J37</f>
        <v>0.17142857142857149</v>
      </c>
      <c r="K38" s="149">
        <f t="shared" ref="K38" si="104">(K37-J37)/K37</f>
        <v>0.19230769230769232</v>
      </c>
      <c r="L38" s="149">
        <f t="shared" ref="L38" si="105">(L37-K37)/L37</f>
        <v>0.72340425531914898</v>
      </c>
      <c r="M38" s="149">
        <f t="shared" ref="M38" si="106">(M37-L37)/M37</f>
        <v>-0.62068965517241381</v>
      </c>
      <c r="N38" s="149">
        <f t="shared" ref="N38" si="107">(N37-M37)/N37</f>
        <v>9.375E-2</v>
      </c>
      <c r="O38" s="149">
        <f t="shared" ref="O38" si="108">(O37-N37)/O37</f>
        <v>0.27272727272727271</v>
      </c>
      <c r="P38" s="149">
        <f t="shared" ref="P38" si="109">(P37-O37)/P37</f>
        <v>2.2222222222222223E-2</v>
      </c>
      <c r="Q38" s="128"/>
      <c r="R38" s="20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39"/>
      <c r="AD38" s="137"/>
      <c r="AE38" s="157"/>
    </row>
    <row r="39" spans="2:31">
      <c r="B39" s="20" t="s">
        <v>239</v>
      </c>
      <c r="C39" s="142">
        <v>1</v>
      </c>
      <c r="D39" s="142">
        <v>1</v>
      </c>
      <c r="E39" s="143">
        <v>1</v>
      </c>
      <c r="F39" s="174">
        <v>0.73</v>
      </c>
      <c r="G39" s="147">
        <v>1.47</v>
      </c>
      <c r="H39" s="147">
        <v>1.47</v>
      </c>
      <c r="I39" s="147">
        <v>1.47</v>
      </c>
      <c r="J39" s="147">
        <v>1.4</v>
      </c>
      <c r="K39" s="147">
        <v>1.4</v>
      </c>
      <c r="L39" s="147">
        <v>1.43</v>
      </c>
      <c r="M39" s="147">
        <v>1.54</v>
      </c>
      <c r="N39" s="147">
        <v>1.69</v>
      </c>
      <c r="O39" s="147">
        <v>1.69</v>
      </c>
      <c r="P39" s="147">
        <v>1.68</v>
      </c>
      <c r="Q39" s="118">
        <f>((P39/G39)^(1/($H$2-$H$1) ))-1</f>
        <v>1.4947433403861066E-2</v>
      </c>
      <c r="R39" s="31">
        <v>0.15</v>
      </c>
      <c r="S39" s="155">
        <f>P39*(1+$R39)</f>
        <v>1.9319999999999997</v>
      </c>
      <c r="T39" s="155">
        <f t="shared" ref="T39:AB39" si="110">S39*(1+$R39)</f>
        <v>2.2217999999999996</v>
      </c>
      <c r="U39" s="155">
        <f t="shared" si="110"/>
        <v>2.5550699999999993</v>
      </c>
      <c r="V39" s="155">
        <f t="shared" si="110"/>
        <v>2.9383304999999988</v>
      </c>
      <c r="W39" s="155">
        <f t="shared" si="110"/>
        <v>3.3790800749999983</v>
      </c>
      <c r="X39" s="155">
        <f t="shared" si="110"/>
        <v>3.8859420862499978</v>
      </c>
      <c r="Y39" s="155">
        <f t="shared" si="110"/>
        <v>4.4688333991874973</v>
      </c>
      <c r="Z39" s="155">
        <f t="shared" si="110"/>
        <v>5.1391584090656215</v>
      </c>
      <c r="AA39" s="155">
        <f t="shared" si="110"/>
        <v>5.9100321704254641</v>
      </c>
      <c r="AB39" s="155">
        <f t="shared" si="110"/>
        <v>6.7965369959892836</v>
      </c>
      <c r="AC39" s="138">
        <f t="shared" si="19"/>
        <v>8.3923019281128663E-2</v>
      </c>
      <c r="AD39" s="31">
        <f t="shared" si="17"/>
        <v>0.08</v>
      </c>
      <c r="AE39" s="146">
        <f t="shared" si="1"/>
        <v>52.430428254774469</v>
      </c>
    </row>
    <row r="40" spans="2:31">
      <c r="B40" s="20" t="s">
        <v>283</v>
      </c>
      <c r="C40" s="145">
        <v>1</v>
      </c>
      <c r="D40" s="145">
        <v>1</v>
      </c>
      <c r="E40" s="145">
        <v>1</v>
      </c>
      <c r="F40" s="174">
        <v>0</v>
      </c>
      <c r="G40" s="147">
        <v>0</v>
      </c>
      <c r="H40" s="147">
        <v>0</v>
      </c>
      <c r="I40" s="147">
        <v>0</v>
      </c>
      <c r="J40" s="147">
        <v>0</v>
      </c>
      <c r="K40" s="147">
        <v>1.5</v>
      </c>
      <c r="L40" s="147">
        <v>1.5</v>
      </c>
      <c r="M40" s="147">
        <v>1.5</v>
      </c>
      <c r="N40" s="147">
        <v>3</v>
      </c>
      <c r="O40" s="147">
        <v>3</v>
      </c>
      <c r="P40" s="147">
        <v>5</v>
      </c>
      <c r="Q40" s="118" t="e">
        <f>((P40/G40)^(1/($H$2-$H$1) ))-1</f>
        <v>#DIV/0!</v>
      </c>
      <c r="R40" s="31">
        <v>0.05</v>
      </c>
      <c r="S40" s="155">
        <f t="shared" ref="S40" si="111">P40*(1+$R40)</f>
        <v>5.25</v>
      </c>
      <c r="T40" s="155">
        <f t="shared" ref="T40" si="112">S40*(1+$R40)</f>
        <v>5.5125000000000002</v>
      </c>
      <c r="U40" s="155">
        <f t="shared" ref="U40" si="113">T40*(1+$R40)</f>
        <v>5.7881250000000009</v>
      </c>
      <c r="V40" s="155">
        <f t="shared" ref="V40" si="114">U40*(1+$R40)</f>
        <v>6.0775312500000007</v>
      </c>
      <c r="W40" s="155">
        <f t="shared" ref="W40" si="115">V40*(1+$R40)</f>
        <v>6.3814078125000009</v>
      </c>
      <c r="X40" s="155">
        <f t="shared" ref="X40" si="116">W40*(1+$R40)</f>
        <v>6.7004782031250016</v>
      </c>
      <c r="Y40" s="155">
        <f t="shared" ref="Y40" si="117">X40*(1+$R40)</f>
        <v>7.0355021132812521</v>
      </c>
      <c r="Z40" s="155">
        <f t="shared" ref="Z40" si="118">Y40*(1+$R40)</f>
        <v>7.3872772189453153</v>
      </c>
      <c r="AA40" s="155">
        <f t="shared" ref="AA40" si="119">Z40*(1+$R40)</f>
        <v>7.7566410798925816</v>
      </c>
      <c r="AB40" s="155">
        <f t="shared" ref="AB40" si="120">AA40*(1+$R40)</f>
        <v>8.1444731338872103</v>
      </c>
      <c r="AC40" s="138" t="e">
        <f t="shared" ref="AC40" si="121">((AB40/G40)^(1/($AB$3-$H$1) ))-1</f>
        <v>#DIV/0!</v>
      </c>
      <c r="AD40" s="31">
        <f t="shared" si="17"/>
        <v>0.08</v>
      </c>
      <c r="AE40" s="146">
        <f t="shared" si="1"/>
        <v>62.82879274712991</v>
      </c>
    </row>
    <row r="41" spans="2:31">
      <c r="B41" s="20"/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>
      <c r="B42" s="108" t="s">
        <v>243</v>
      </c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9"/>
      <c r="AD42" s="137"/>
      <c r="AE42" s="155"/>
    </row>
    <row r="43" spans="2:31">
      <c r="B43" s="20" t="s">
        <v>304</v>
      </c>
      <c r="C43" s="133">
        <f t="shared" ref="C43:P43" si="122">C24/C39</f>
        <v>0</v>
      </c>
      <c r="D43" s="133">
        <f t="shared" si="122"/>
        <v>0</v>
      </c>
      <c r="E43" s="133">
        <f t="shared" si="122"/>
        <v>0</v>
      </c>
      <c r="F43" s="133">
        <f t="shared" si="122"/>
        <v>0</v>
      </c>
      <c r="G43" s="133">
        <f t="shared" si="122"/>
        <v>5.1700680272108839</v>
      </c>
      <c r="H43" s="133">
        <f t="shared" si="122"/>
        <v>7.4829931972789119</v>
      </c>
      <c r="I43" s="133">
        <f t="shared" si="122"/>
        <v>14.285714285714286</v>
      </c>
      <c r="J43" s="133">
        <f t="shared" si="122"/>
        <v>19.285714285714288</v>
      </c>
      <c r="K43" s="133">
        <f t="shared" si="122"/>
        <v>25.714285714285715</v>
      </c>
      <c r="L43" s="133">
        <f t="shared" si="122"/>
        <v>71.328671328671334</v>
      </c>
      <c r="M43" s="133">
        <f t="shared" si="122"/>
        <v>48.051948051948052</v>
      </c>
      <c r="N43" s="133">
        <f t="shared" si="122"/>
        <v>45.562130177514796</v>
      </c>
      <c r="O43" s="133">
        <f t="shared" si="122"/>
        <v>60.946745562130182</v>
      </c>
      <c r="P43" s="133">
        <f t="shared" si="122"/>
        <v>65.476190476190482</v>
      </c>
      <c r="Q43" s="118">
        <f>((P43/G43)^(1/($H$2-$H$1) ))-1</f>
        <v>0.32589667915925924</v>
      </c>
      <c r="R43" s="128"/>
      <c r="S43" s="159">
        <f t="shared" ref="S43:AB43" si="123">S24/S39</f>
        <v>65.476190476190482</v>
      </c>
      <c r="T43" s="159">
        <f t="shared" si="123"/>
        <v>65.476190476190467</v>
      </c>
      <c r="U43" s="159">
        <f t="shared" si="123"/>
        <v>65.476190476190482</v>
      </c>
      <c r="V43" s="159">
        <f t="shared" si="123"/>
        <v>65.476190476190482</v>
      </c>
      <c r="W43" s="159">
        <f t="shared" si="123"/>
        <v>65.476190476190482</v>
      </c>
      <c r="X43" s="159">
        <f t="shared" si="123"/>
        <v>65.476190476190482</v>
      </c>
      <c r="Y43" s="159">
        <f t="shared" si="123"/>
        <v>65.476190476190467</v>
      </c>
      <c r="Z43" s="159">
        <f t="shared" si="123"/>
        <v>65.476190476190467</v>
      </c>
      <c r="AA43" s="159">
        <f t="shared" si="123"/>
        <v>65.476190476190467</v>
      </c>
      <c r="AB43" s="159">
        <f t="shared" si="123"/>
        <v>65.476190476190467</v>
      </c>
      <c r="AC43" s="138">
        <f t="shared" ref="AC43" si="124">((AB43/G43)^(1/($AB$3-$H$1) ))-1</f>
        <v>0.14295965969604629</v>
      </c>
      <c r="AD43" s="31">
        <f t="shared" si="17"/>
        <v>0.08</v>
      </c>
      <c r="AE43" s="146">
        <f t="shared" ref="AE43:AE44" si="125">(AB43*(1+AD43))/($C$1-AD43)</f>
        <v>505.10204081632645</v>
      </c>
    </row>
    <row r="44" spans="2:31">
      <c r="B44" s="20" t="s">
        <v>305</v>
      </c>
      <c r="C44" s="133">
        <f t="shared" ref="C44:P44" si="126">C26/C39</f>
        <v>0</v>
      </c>
      <c r="D44" s="133">
        <f t="shared" si="126"/>
        <v>0</v>
      </c>
      <c r="E44" s="133">
        <f t="shared" si="126"/>
        <v>0</v>
      </c>
      <c r="F44" s="133">
        <f t="shared" si="126"/>
        <v>0</v>
      </c>
      <c r="G44" s="133">
        <f t="shared" si="126"/>
        <v>3.129251700680272</v>
      </c>
      <c r="H44" s="133">
        <f t="shared" si="126"/>
        <v>4.2176870748299322</v>
      </c>
      <c r="I44" s="133">
        <f t="shared" si="126"/>
        <v>3.6054421768707483</v>
      </c>
      <c r="J44" s="133">
        <f t="shared" si="126"/>
        <v>4.6428571428571432</v>
      </c>
      <c r="K44" s="133">
        <f t="shared" si="126"/>
        <v>6.4285714285714288</v>
      </c>
      <c r="L44" s="133">
        <f t="shared" si="126"/>
        <v>13.286713286713287</v>
      </c>
      <c r="M44" s="133">
        <f t="shared" si="126"/>
        <v>9.0909090909090899</v>
      </c>
      <c r="N44" s="133">
        <f t="shared" si="126"/>
        <v>8.2840236686390529</v>
      </c>
      <c r="O44" s="133">
        <f t="shared" si="126"/>
        <v>19.526627218934912</v>
      </c>
      <c r="P44" s="133">
        <f t="shared" si="126"/>
        <v>12.5</v>
      </c>
      <c r="Q44" s="118">
        <f>((P44/G44)^(1/($H$2-$H$1) ))-1</f>
        <v>0.16635282670345131</v>
      </c>
      <c r="R44" s="128"/>
      <c r="S44" s="159">
        <f t="shared" ref="S44:AB44" si="127">S26/S39</f>
        <v>12.500000000000002</v>
      </c>
      <c r="T44" s="159">
        <f t="shared" si="127"/>
        <v>12.500000000000002</v>
      </c>
      <c r="U44" s="159">
        <f t="shared" si="127"/>
        <v>12.500000000000002</v>
      </c>
      <c r="V44" s="159">
        <f t="shared" si="127"/>
        <v>12.5</v>
      </c>
      <c r="W44" s="159">
        <f t="shared" si="127"/>
        <v>12.500000000000002</v>
      </c>
      <c r="X44" s="159">
        <f t="shared" si="127"/>
        <v>12.500000000000002</v>
      </c>
      <c r="Y44" s="159">
        <f t="shared" si="127"/>
        <v>12.500000000000002</v>
      </c>
      <c r="Z44" s="159">
        <f t="shared" si="127"/>
        <v>12.500000000000004</v>
      </c>
      <c r="AA44" s="159">
        <f t="shared" si="127"/>
        <v>12.500000000000004</v>
      </c>
      <c r="AB44" s="159">
        <f t="shared" si="127"/>
        <v>12.500000000000002</v>
      </c>
      <c r="AC44" s="138">
        <f t="shared" ref="AC44" si="128">((AB44/G44)^(1/($AB$3-$H$1) ))-1</f>
        <v>7.5613613715605599E-2</v>
      </c>
      <c r="AD44" s="31">
        <f t="shared" si="17"/>
        <v>0.08</v>
      </c>
      <c r="AE44" s="146">
        <f t="shared" si="125"/>
        <v>96.428571428571445</v>
      </c>
    </row>
    <row r="45" spans="2:31">
      <c r="B45" s="20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28"/>
      <c r="R45" s="128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19"/>
      <c r="AD45" s="137"/>
      <c r="AE45" s="146"/>
    </row>
    <row r="46" spans="2:31">
      <c r="B46" s="20" t="s">
        <v>258</v>
      </c>
      <c r="C46" s="25">
        <f t="shared" ref="C46:P46" si="129">C37/C39</f>
        <v>0</v>
      </c>
      <c r="D46" s="25">
        <f t="shared" si="129"/>
        <v>0</v>
      </c>
      <c r="E46" s="25">
        <f t="shared" si="129"/>
        <v>0</v>
      </c>
      <c r="F46" s="133">
        <f t="shared" si="129"/>
        <v>0</v>
      </c>
      <c r="G46" s="133">
        <f t="shared" si="129"/>
        <v>0.5714285714285714</v>
      </c>
      <c r="H46" s="133">
        <f t="shared" si="129"/>
        <v>0.80952380952380953</v>
      </c>
      <c r="I46" s="133">
        <f t="shared" si="129"/>
        <v>5.9183673469387754</v>
      </c>
      <c r="J46" s="133">
        <f t="shared" si="129"/>
        <v>7.5000000000000009</v>
      </c>
      <c r="K46" s="133">
        <f t="shared" si="129"/>
        <v>9.2857142857142865</v>
      </c>
      <c r="L46" s="133">
        <f t="shared" si="129"/>
        <v>32.867132867132867</v>
      </c>
      <c r="M46" s="133">
        <f t="shared" si="129"/>
        <v>18.831168831168831</v>
      </c>
      <c r="N46" s="133">
        <f t="shared" si="129"/>
        <v>18.934911242603551</v>
      </c>
      <c r="O46" s="133">
        <f t="shared" si="129"/>
        <v>26.035502958579883</v>
      </c>
      <c r="P46" s="133">
        <f t="shared" si="129"/>
        <v>26.785714285714288</v>
      </c>
      <c r="Q46" s="118">
        <f>((P46/G46)^(1/($H$2-$H$1) ))-1</f>
        <v>0.53341653610551876</v>
      </c>
      <c r="R46" s="128"/>
      <c r="S46" s="159">
        <f t="shared" ref="S46:AB46" si="130">S37/S39</f>
        <v>26.785714285714285</v>
      </c>
      <c r="T46" s="159">
        <f t="shared" si="130"/>
        <v>26.785714285714285</v>
      </c>
      <c r="U46" s="159">
        <f t="shared" si="130"/>
        <v>26.785714285714288</v>
      </c>
      <c r="V46" s="159">
        <f t="shared" si="130"/>
        <v>26.785714285714285</v>
      </c>
      <c r="W46" s="159">
        <f t="shared" si="130"/>
        <v>26.785714285714288</v>
      </c>
      <c r="X46" s="159">
        <f t="shared" si="130"/>
        <v>26.785714285714288</v>
      </c>
      <c r="Y46" s="159">
        <f t="shared" si="130"/>
        <v>26.785714285714285</v>
      </c>
      <c r="Z46" s="159">
        <f t="shared" si="130"/>
        <v>26.785714285714288</v>
      </c>
      <c r="AA46" s="159">
        <f t="shared" si="130"/>
        <v>26.785714285714288</v>
      </c>
      <c r="AB46" s="159">
        <f t="shared" si="130"/>
        <v>26.785714285714285</v>
      </c>
      <c r="AC46" s="138">
        <f t="shared" ref="AC46:AC59" si="131">((AB46/G46)^(1/($AB$3-$H$1) ))-1</f>
        <v>0.22445908520827662</v>
      </c>
      <c r="AD46" s="31">
        <f t="shared" si="17"/>
        <v>0.08</v>
      </c>
      <c r="AE46" s="146">
        <f t="shared" ref="AE46:AE73" si="132">(AB46*(1+AD46))/($C$1-AD46)</f>
        <v>206.63265306122449</v>
      </c>
    </row>
    <row r="47" spans="2:31">
      <c r="B47" s="20" t="s">
        <v>245</v>
      </c>
      <c r="C47" s="25">
        <f t="shared" ref="C47:P47" si="133">C7/C39</f>
        <v>0</v>
      </c>
      <c r="D47" s="25">
        <f t="shared" si="133"/>
        <v>0</v>
      </c>
      <c r="E47" s="25">
        <f t="shared" si="133"/>
        <v>0</v>
      </c>
      <c r="F47" s="133">
        <f t="shared" si="133"/>
        <v>0</v>
      </c>
      <c r="G47" s="133">
        <f t="shared" si="133"/>
        <v>15.646258503401361</v>
      </c>
      <c r="H47" s="133">
        <f t="shared" si="133"/>
        <v>16.326530612244898</v>
      </c>
      <c r="I47" s="133">
        <f t="shared" si="133"/>
        <v>23.129251700680271</v>
      </c>
      <c r="J47" s="133">
        <f t="shared" si="133"/>
        <v>32.142857142857146</v>
      </c>
      <c r="K47" s="133">
        <f t="shared" si="133"/>
        <v>39.285714285714285</v>
      </c>
      <c r="L47" s="133">
        <f t="shared" si="133"/>
        <v>70.629370629370626</v>
      </c>
      <c r="M47" s="133">
        <f t="shared" si="133"/>
        <v>93.506493506493499</v>
      </c>
      <c r="N47" s="133">
        <f t="shared" si="133"/>
        <v>100.59171597633136</v>
      </c>
      <c r="O47" s="133">
        <f t="shared" si="133"/>
        <v>123.07692307692308</v>
      </c>
      <c r="P47" s="133">
        <f t="shared" si="133"/>
        <v>141.66666666666669</v>
      </c>
      <c r="Q47" s="118">
        <f>((P47/G47)^(1/($H$2-$H$1) ))-1</f>
        <v>0.27737221058019368</v>
      </c>
      <c r="R47" s="128"/>
      <c r="S47" s="159">
        <f t="shared" ref="S47:AB47" si="134">S7/S39</f>
        <v>141.66666666666669</v>
      </c>
      <c r="T47" s="159">
        <f t="shared" si="134"/>
        <v>141.66666666666666</v>
      </c>
      <c r="U47" s="159">
        <f t="shared" si="134"/>
        <v>141.66666666666666</v>
      </c>
      <c r="V47" s="159">
        <f t="shared" si="134"/>
        <v>141.66666666666666</v>
      </c>
      <c r="W47" s="159">
        <f t="shared" si="134"/>
        <v>141.66666666666666</v>
      </c>
      <c r="X47" s="159">
        <f t="shared" si="134"/>
        <v>141.66666666666669</v>
      </c>
      <c r="Y47" s="159">
        <f t="shared" si="134"/>
        <v>141.66666666666669</v>
      </c>
      <c r="Z47" s="159">
        <f t="shared" si="134"/>
        <v>141.66666666666669</v>
      </c>
      <c r="AA47" s="159">
        <f t="shared" si="134"/>
        <v>141.66666666666669</v>
      </c>
      <c r="AB47" s="159">
        <f t="shared" si="134"/>
        <v>141.66666666666669</v>
      </c>
      <c r="AC47" s="138">
        <f t="shared" si="131"/>
        <v>0.12295125255883943</v>
      </c>
      <c r="AD47" s="31">
        <f t="shared" si="17"/>
        <v>0.08</v>
      </c>
      <c r="AE47" s="146">
        <f t="shared" si="132"/>
        <v>1092.8571428571429</v>
      </c>
    </row>
    <row r="48" spans="2:31">
      <c r="B48" s="20" t="s">
        <v>246</v>
      </c>
      <c r="C48" s="127">
        <f t="shared" ref="C48:P48" si="135">C6/C39</f>
        <v>0</v>
      </c>
      <c r="D48" s="127">
        <f t="shared" si="135"/>
        <v>0</v>
      </c>
      <c r="E48" s="127">
        <f t="shared" si="135"/>
        <v>0</v>
      </c>
      <c r="F48" s="144">
        <f t="shared" si="135"/>
        <v>0</v>
      </c>
      <c r="G48" s="144">
        <f t="shared" si="135"/>
        <v>6.1224489795918364</v>
      </c>
      <c r="H48" s="144">
        <f t="shared" si="135"/>
        <v>6.8027210884353746</v>
      </c>
      <c r="I48" s="144">
        <f t="shared" si="135"/>
        <v>13.231292517006802</v>
      </c>
      <c r="J48" s="144">
        <f t="shared" si="135"/>
        <v>21.428571428571431</v>
      </c>
      <c r="K48" s="144">
        <f t="shared" si="135"/>
        <v>28.571428571428573</v>
      </c>
      <c r="L48" s="144">
        <f t="shared" si="135"/>
        <v>58.741258741258747</v>
      </c>
      <c r="M48" s="144">
        <f t="shared" si="135"/>
        <v>83.116883116883116</v>
      </c>
      <c r="N48" s="144">
        <f t="shared" si="135"/>
        <v>89.940828402366861</v>
      </c>
      <c r="O48" s="144">
        <f t="shared" si="135"/>
        <v>113.01775147928994</v>
      </c>
      <c r="P48" s="144">
        <f t="shared" si="135"/>
        <v>131.54761904761907</v>
      </c>
      <c r="Q48" s="118">
        <f>((P48/G48)^(1/($H$2-$H$1) ))-1</f>
        <v>0.40610429642718548</v>
      </c>
      <c r="R48" s="128"/>
      <c r="S48" s="158">
        <f t="shared" ref="S48:AB48" si="136">S6/S39</f>
        <v>131.54761904761907</v>
      </c>
      <c r="T48" s="158">
        <f t="shared" si="136"/>
        <v>131.54761904761907</v>
      </c>
      <c r="U48" s="158">
        <f t="shared" si="136"/>
        <v>131.54761904761907</v>
      </c>
      <c r="V48" s="158">
        <f t="shared" si="136"/>
        <v>131.54761904761909</v>
      </c>
      <c r="W48" s="158">
        <f t="shared" si="136"/>
        <v>131.54761904761909</v>
      </c>
      <c r="X48" s="158">
        <f t="shared" si="136"/>
        <v>131.54761904761907</v>
      </c>
      <c r="Y48" s="158">
        <f t="shared" si="136"/>
        <v>131.54761904761907</v>
      </c>
      <c r="Z48" s="158">
        <f t="shared" si="136"/>
        <v>131.54761904761907</v>
      </c>
      <c r="AA48" s="158">
        <f t="shared" si="136"/>
        <v>131.54761904761907</v>
      </c>
      <c r="AB48" s="158">
        <f t="shared" si="136"/>
        <v>131.54761904761907</v>
      </c>
      <c r="AC48" s="138">
        <f t="shared" si="131"/>
        <v>0.17520483440444856</v>
      </c>
      <c r="AD48" s="31">
        <f t="shared" si="17"/>
        <v>0.08</v>
      </c>
      <c r="AE48" s="146">
        <f t="shared" si="132"/>
        <v>1014.7959183673471</v>
      </c>
    </row>
    <row r="49" spans="2:31">
      <c r="B49" s="20" t="s">
        <v>247</v>
      </c>
      <c r="C49" s="127">
        <f t="shared" ref="C49:P49" si="137">C10/C39</f>
        <v>0</v>
      </c>
      <c r="D49" s="127">
        <f t="shared" si="137"/>
        <v>0</v>
      </c>
      <c r="E49" s="127">
        <f t="shared" si="137"/>
        <v>0</v>
      </c>
      <c r="F49" s="144">
        <f t="shared" si="137"/>
        <v>0</v>
      </c>
      <c r="G49" s="144">
        <f t="shared" si="137"/>
        <v>6.8027210884353748E-3</v>
      </c>
      <c r="H49" s="144">
        <f t="shared" si="137"/>
        <v>0</v>
      </c>
      <c r="I49" s="144">
        <f t="shared" si="137"/>
        <v>5.4421768707482991</v>
      </c>
      <c r="J49" s="144">
        <f t="shared" si="137"/>
        <v>7.8571428571428577</v>
      </c>
      <c r="K49" s="144">
        <f t="shared" si="137"/>
        <v>12.142857142857144</v>
      </c>
      <c r="L49" s="144">
        <f t="shared" si="137"/>
        <v>17.482517482517483</v>
      </c>
      <c r="M49" s="144">
        <f t="shared" si="137"/>
        <v>9.7402597402597397</v>
      </c>
      <c r="N49" s="144">
        <f t="shared" si="137"/>
        <v>22.485207100591715</v>
      </c>
      <c r="O49" s="144">
        <f t="shared" si="137"/>
        <v>0.59171597633136097</v>
      </c>
      <c r="P49" s="144">
        <f t="shared" si="137"/>
        <v>5.9523809523809529E-3</v>
      </c>
      <c r="Q49" s="118">
        <f>((P49/G49)^(1/($H$2-$H$1) ))-1</f>
        <v>-1.4727298096347208E-2</v>
      </c>
      <c r="R49" s="128"/>
      <c r="S49" s="158">
        <f t="shared" ref="S49:AB49" si="138">S10/S39</f>
        <v>5.9523809523809529E-3</v>
      </c>
      <c r="T49" s="158">
        <f t="shared" si="138"/>
        <v>5.9523809523809529E-3</v>
      </c>
      <c r="U49" s="158">
        <f t="shared" si="138"/>
        <v>5.9523809523809538E-3</v>
      </c>
      <c r="V49" s="158">
        <f t="shared" si="138"/>
        <v>5.9523809523809538E-3</v>
      </c>
      <c r="W49" s="158">
        <f t="shared" si="138"/>
        <v>5.9523809523809547E-3</v>
      </c>
      <c r="X49" s="158">
        <f t="shared" si="138"/>
        <v>5.9523809523809538E-3</v>
      </c>
      <c r="Y49" s="158">
        <f t="shared" si="138"/>
        <v>5.9523809523809538E-3</v>
      </c>
      <c r="Z49" s="158">
        <f t="shared" si="138"/>
        <v>5.9523809523809538E-3</v>
      </c>
      <c r="AA49" s="158">
        <f t="shared" si="138"/>
        <v>5.9523809523809538E-3</v>
      </c>
      <c r="AB49" s="158">
        <f t="shared" si="138"/>
        <v>5.9523809523809529E-3</v>
      </c>
      <c r="AC49" s="138">
        <f t="shared" si="131"/>
        <v>-7.003329618651577E-3</v>
      </c>
      <c r="AD49" s="31">
        <f t="shared" si="17"/>
        <v>0.08</v>
      </c>
      <c r="AE49" s="146">
        <f t="shared" si="132"/>
        <v>4.5918367346938778E-2</v>
      </c>
    </row>
    <row r="50" spans="2:31">
      <c r="B50" s="20"/>
      <c r="C50" s="127"/>
      <c r="D50" s="127"/>
      <c r="E50" s="127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28"/>
      <c r="R50" s="12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39"/>
      <c r="AD50" s="137"/>
      <c r="AE50" s="146"/>
    </row>
    <row r="51" spans="2:31">
      <c r="B51" s="20" t="s">
        <v>271</v>
      </c>
      <c r="C51" s="127">
        <f t="shared" ref="C51:P51" si="139">(C7-C10)/C39</f>
        <v>0</v>
      </c>
      <c r="D51" s="127">
        <f t="shared" si="139"/>
        <v>0</v>
      </c>
      <c r="E51" s="127">
        <f t="shared" si="139"/>
        <v>0</v>
      </c>
      <c r="F51" s="144">
        <f t="shared" si="139"/>
        <v>0</v>
      </c>
      <c r="G51" s="144">
        <f t="shared" si="139"/>
        <v>15.639455782312924</v>
      </c>
      <c r="H51" s="144">
        <f t="shared" si="139"/>
        <v>16.326530612244898</v>
      </c>
      <c r="I51" s="144">
        <f t="shared" si="139"/>
        <v>17.687074829931973</v>
      </c>
      <c r="J51" s="144">
        <f t="shared" si="139"/>
        <v>24.285714285714288</v>
      </c>
      <c r="K51" s="144">
        <f t="shared" si="139"/>
        <v>27.142857142857146</v>
      </c>
      <c r="L51" s="144">
        <f t="shared" si="139"/>
        <v>53.146853146853147</v>
      </c>
      <c r="M51" s="144">
        <f t="shared" si="139"/>
        <v>83.766233766233768</v>
      </c>
      <c r="N51" s="144">
        <f t="shared" si="139"/>
        <v>78.10650887573965</v>
      </c>
      <c r="O51" s="144">
        <f t="shared" si="139"/>
        <v>122.48520710059172</v>
      </c>
      <c r="P51" s="144">
        <f t="shared" si="139"/>
        <v>141.66071428571431</v>
      </c>
      <c r="Q51" s="118">
        <f>((P51/G51)^(1/($H$2-$H$1) ))-1</f>
        <v>0.27742797043747869</v>
      </c>
      <c r="R51" s="128"/>
      <c r="S51" s="158">
        <f t="shared" ref="S51:AB51" si="140">(S7-S10)/S39</f>
        <v>141.66071428571431</v>
      </c>
      <c r="T51" s="158">
        <f t="shared" si="140"/>
        <v>141.66071428571431</v>
      </c>
      <c r="U51" s="158">
        <f t="shared" si="140"/>
        <v>141.66071428571428</v>
      </c>
      <c r="V51" s="158">
        <f t="shared" si="140"/>
        <v>141.66071428571428</v>
      </c>
      <c r="W51" s="158">
        <f t="shared" si="140"/>
        <v>141.66071428571428</v>
      </c>
      <c r="X51" s="158">
        <f t="shared" si="140"/>
        <v>141.66071428571428</v>
      </c>
      <c r="Y51" s="158">
        <f t="shared" si="140"/>
        <v>141.66071428571431</v>
      </c>
      <c r="Z51" s="158">
        <f t="shared" si="140"/>
        <v>141.66071428571431</v>
      </c>
      <c r="AA51" s="158">
        <f t="shared" si="140"/>
        <v>141.66071428571433</v>
      </c>
      <c r="AB51" s="158">
        <f t="shared" si="140"/>
        <v>141.66071428571431</v>
      </c>
      <c r="AC51" s="138">
        <f t="shared" si="131"/>
        <v>0.12297447185298704</v>
      </c>
      <c r="AD51" s="31">
        <f t="shared" si="17"/>
        <v>0.08</v>
      </c>
      <c r="AE51" s="146">
        <f t="shared" si="132"/>
        <v>1092.8112244897961</v>
      </c>
    </row>
    <row r="52" spans="2:31">
      <c r="B52" s="20" t="s">
        <v>272</v>
      </c>
      <c r="C52" s="127">
        <f t="shared" ref="C52:P52" si="141">(C7-C10-C9)/C39</f>
        <v>0</v>
      </c>
      <c r="D52" s="127">
        <f t="shared" si="141"/>
        <v>0</v>
      </c>
      <c r="E52" s="127">
        <f t="shared" si="141"/>
        <v>0</v>
      </c>
      <c r="F52" s="144">
        <f t="shared" si="141"/>
        <v>0</v>
      </c>
      <c r="G52" s="144">
        <f t="shared" si="141"/>
        <v>11.5578231292517</v>
      </c>
      <c r="H52" s="144">
        <f t="shared" si="141"/>
        <v>12.925170068027212</v>
      </c>
      <c r="I52" s="144">
        <f t="shared" si="141"/>
        <v>7.4829931972789119</v>
      </c>
      <c r="J52" s="144">
        <f t="shared" si="141"/>
        <v>11.428571428571429</v>
      </c>
      <c r="K52" s="144">
        <f t="shared" si="141"/>
        <v>5.7142857142857144</v>
      </c>
      <c r="L52" s="144">
        <f t="shared" si="141"/>
        <v>23.776223776223777</v>
      </c>
      <c r="M52" s="144">
        <f t="shared" si="141"/>
        <v>56.493506493506494</v>
      </c>
      <c r="N52" s="144">
        <f t="shared" si="141"/>
        <v>47.928994082840241</v>
      </c>
      <c r="O52" s="144">
        <f t="shared" si="141"/>
        <v>84.023668639053255</v>
      </c>
      <c r="P52" s="144">
        <f t="shared" si="141"/>
        <v>112.49404761904763</v>
      </c>
      <c r="Q52" s="118">
        <f>((P52/G52)^(1/($H$2-$H$1) ))-1</f>
        <v>0.28767405219362274</v>
      </c>
      <c r="R52" s="128"/>
      <c r="S52" s="158">
        <f t="shared" ref="S52:AB52" si="142">(S7-S10-S9)/S39</f>
        <v>112.49404761904762</v>
      </c>
      <c r="T52" s="158">
        <f t="shared" si="142"/>
        <v>112.49404761904762</v>
      </c>
      <c r="U52" s="158">
        <f t="shared" si="142"/>
        <v>112.49404761904761</v>
      </c>
      <c r="V52" s="158">
        <f t="shared" si="142"/>
        <v>112.49404761904762</v>
      </c>
      <c r="W52" s="158">
        <f t="shared" si="142"/>
        <v>112.49404761904761</v>
      </c>
      <c r="X52" s="158">
        <f t="shared" si="142"/>
        <v>112.49404761904762</v>
      </c>
      <c r="Y52" s="158">
        <f t="shared" si="142"/>
        <v>112.49404761904765</v>
      </c>
      <c r="Z52" s="158">
        <f t="shared" si="142"/>
        <v>112.49404761904763</v>
      </c>
      <c r="AA52" s="158">
        <f t="shared" si="142"/>
        <v>112.49404761904766</v>
      </c>
      <c r="AB52" s="158">
        <f t="shared" si="142"/>
        <v>112.49404761904763</v>
      </c>
      <c r="AC52" s="138">
        <f t="shared" si="131"/>
        <v>0.12723208560273758</v>
      </c>
      <c r="AD52" s="31">
        <f t="shared" si="17"/>
        <v>0.08</v>
      </c>
      <c r="AE52" s="146">
        <f t="shared" si="132"/>
        <v>867.81122448979602</v>
      </c>
    </row>
    <row r="53" spans="2:31">
      <c r="B53" s="20" t="s">
        <v>277</v>
      </c>
      <c r="C53" s="127">
        <f t="shared" ref="C53:P53" si="143">(C7+C14-C10-C9)/C39</f>
        <v>0</v>
      </c>
      <c r="D53" s="127">
        <f t="shared" si="143"/>
        <v>0</v>
      </c>
      <c r="E53" s="127">
        <f t="shared" si="143"/>
        <v>0</v>
      </c>
      <c r="F53" s="144">
        <f t="shared" si="143"/>
        <v>0</v>
      </c>
      <c r="G53" s="144">
        <f t="shared" si="143"/>
        <v>14.959183673469386</v>
      </c>
      <c r="H53" s="144">
        <f t="shared" si="143"/>
        <v>17.006802721088437</v>
      </c>
      <c r="I53" s="144">
        <f t="shared" si="143"/>
        <v>13.605442176870749</v>
      </c>
      <c r="J53" s="144">
        <f t="shared" si="143"/>
        <v>17.857142857142858</v>
      </c>
      <c r="K53" s="144">
        <f t="shared" si="143"/>
        <v>15.714285714285715</v>
      </c>
      <c r="L53" s="144">
        <f t="shared" si="143"/>
        <v>39.16083916083916</v>
      </c>
      <c r="M53" s="144">
        <f t="shared" si="143"/>
        <v>70.779220779220779</v>
      </c>
      <c r="N53" s="144">
        <f t="shared" si="143"/>
        <v>64.49704142011835</v>
      </c>
      <c r="O53" s="144">
        <f t="shared" si="143"/>
        <v>168.04733727810651</v>
      </c>
      <c r="P53" s="144">
        <f t="shared" si="143"/>
        <v>205.94642857142858</v>
      </c>
      <c r="Q53" s="118">
        <f>((P53/G53)^(1/($H$2-$H$1) ))-1</f>
        <v>0.33825380109524805</v>
      </c>
      <c r="R53" s="128"/>
      <c r="S53" s="158">
        <f t="shared" ref="S53:AB53" si="144">(S7+S14-S10-S9)/S39</f>
        <v>205.94642857142861</v>
      </c>
      <c r="T53" s="158">
        <f t="shared" si="144"/>
        <v>205.94642857142856</v>
      </c>
      <c r="U53" s="158">
        <f t="shared" si="144"/>
        <v>205.94642857142853</v>
      </c>
      <c r="V53" s="158">
        <f t="shared" si="144"/>
        <v>205.94642857142856</v>
      </c>
      <c r="W53" s="158">
        <f t="shared" si="144"/>
        <v>205.94642857142856</v>
      </c>
      <c r="X53" s="158">
        <f t="shared" si="144"/>
        <v>205.94642857142858</v>
      </c>
      <c r="Y53" s="158">
        <f t="shared" si="144"/>
        <v>205.94642857142856</v>
      </c>
      <c r="Z53" s="158">
        <f t="shared" si="144"/>
        <v>205.94642857142856</v>
      </c>
      <c r="AA53" s="158">
        <f t="shared" si="144"/>
        <v>205.94642857142858</v>
      </c>
      <c r="AB53" s="158">
        <f t="shared" si="144"/>
        <v>205.94642857142858</v>
      </c>
      <c r="AC53" s="138">
        <f t="shared" si="131"/>
        <v>0.14799311296713258</v>
      </c>
      <c r="AD53" s="31">
        <f t="shared" si="17"/>
        <v>0.08</v>
      </c>
      <c r="AE53" s="146">
        <f t="shared" si="132"/>
        <v>1588.7295918367347</v>
      </c>
    </row>
    <row r="54" spans="2:31">
      <c r="B54" s="20"/>
      <c r="C54" s="127"/>
      <c r="D54" s="127"/>
      <c r="E54" s="12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28"/>
      <c r="R54" s="128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39"/>
      <c r="AD54" s="137"/>
      <c r="AE54" s="155"/>
    </row>
    <row r="55" spans="2:31">
      <c r="B55" s="20" t="s">
        <v>248</v>
      </c>
      <c r="C55" s="127">
        <f t="shared" ref="C55:P55" si="145">C12/C39</f>
        <v>0</v>
      </c>
      <c r="D55" s="127">
        <f t="shared" si="145"/>
        <v>0</v>
      </c>
      <c r="E55" s="127">
        <f t="shared" si="145"/>
        <v>0</v>
      </c>
      <c r="F55" s="144">
        <f t="shared" si="145"/>
        <v>0</v>
      </c>
      <c r="G55" s="144">
        <f t="shared" si="145"/>
        <v>2.1768707482993199</v>
      </c>
      <c r="H55" s="144">
        <f t="shared" si="145"/>
        <v>4.7619047619047619</v>
      </c>
      <c r="I55" s="144">
        <f t="shared" si="145"/>
        <v>9.183673469387756</v>
      </c>
      <c r="J55" s="144">
        <f t="shared" si="145"/>
        <v>7.5000000000000009</v>
      </c>
      <c r="K55" s="144">
        <f t="shared" si="145"/>
        <v>16.785714285714288</v>
      </c>
      <c r="L55" s="144">
        <f t="shared" si="145"/>
        <v>32.867132867132867</v>
      </c>
      <c r="M55" s="144">
        <f t="shared" si="145"/>
        <v>50.97402597402597</v>
      </c>
      <c r="N55" s="144">
        <f t="shared" si="145"/>
        <v>69.822485207100598</v>
      </c>
      <c r="O55" s="144">
        <f t="shared" si="145"/>
        <v>65.680473372781066</v>
      </c>
      <c r="P55" s="144">
        <f t="shared" si="145"/>
        <v>77.38095238095238</v>
      </c>
      <c r="Q55" s="118">
        <f>((P55/G55)^(1/($H$2-$H$1) ))-1</f>
        <v>0.4870010311065156</v>
      </c>
      <c r="R55" s="128"/>
      <c r="S55" s="158">
        <f t="shared" ref="S55:AB55" si="146">S12/S39</f>
        <v>77.380952380952394</v>
      </c>
      <c r="T55" s="158">
        <f t="shared" si="146"/>
        <v>77.380952380952394</v>
      </c>
      <c r="U55" s="158">
        <f t="shared" si="146"/>
        <v>77.380952380952394</v>
      </c>
      <c r="V55" s="158">
        <f t="shared" si="146"/>
        <v>77.380952380952394</v>
      </c>
      <c r="W55" s="158">
        <f t="shared" si="146"/>
        <v>77.380952380952408</v>
      </c>
      <c r="X55" s="158">
        <f t="shared" si="146"/>
        <v>77.380952380952394</v>
      </c>
      <c r="Y55" s="158">
        <f t="shared" si="146"/>
        <v>77.380952380952394</v>
      </c>
      <c r="Z55" s="158">
        <f t="shared" si="146"/>
        <v>77.380952380952394</v>
      </c>
      <c r="AA55" s="158">
        <f t="shared" si="146"/>
        <v>77.380952380952394</v>
      </c>
      <c r="AB55" s="158">
        <f t="shared" si="146"/>
        <v>77.380952380952394</v>
      </c>
      <c r="AC55" s="138">
        <f t="shared" si="131"/>
        <v>0.2067606151541217</v>
      </c>
      <c r="AD55" s="31">
        <f t="shared" si="17"/>
        <v>0.08</v>
      </c>
      <c r="AE55" s="146">
        <f t="shared" si="132"/>
        <v>596.93877551020421</v>
      </c>
    </row>
    <row r="56" spans="2:31">
      <c r="B56" s="20" t="s">
        <v>255</v>
      </c>
      <c r="C56" s="127">
        <f t="shared" ref="C56:P56" si="147">C13/C39</f>
        <v>0</v>
      </c>
      <c r="D56" s="127">
        <f t="shared" si="147"/>
        <v>0</v>
      </c>
      <c r="E56" s="127">
        <f t="shared" si="147"/>
        <v>0</v>
      </c>
      <c r="F56" s="144">
        <f t="shared" si="147"/>
        <v>0</v>
      </c>
      <c r="G56" s="144">
        <f t="shared" si="147"/>
        <v>3.4013605442176873</v>
      </c>
      <c r="H56" s="144">
        <f t="shared" si="147"/>
        <v>0.68027210884353739</v>
      </c>
      <c r="I56" s="144">
        <f t="shared" si="147"/>
        <v>0.23809523809523808</v>
      </c>
      <c r="J56" s="144">
        <f t="shared" si="147"/>
        <v>0</v>
      </c>
      <c r="K56" s="144">
        <f t="shared" si="147"/>
        <v>0</v>
      </c>
      <c r="L56" s="144">
        <f t="shared" si="147"/>
        <v>0</v>
      </c>
      <c r="M56" s="144">
        <f t="shared" si="147"/>
        <v>0</v>
      </c>
      <c r="N56" s="144">
        <f t="shared" si="147"/>
        <v>0</v>
      </c>
      <c r="O56" s="144">
        <f t="shared" si="147"/>
        <v>0</v>
      </c>
      <c r="P56" s="144">
        <f t="shared" si="147"/>
        <v>0</v>
      </c>
      <c r="Q56" s="118">
        <f>((P56/G56)^(1/($H$2-$H$1) ))-1</f>
        <v>-1</v>
      </c>
      <c r="R56" s="128"/>
      <c r="S56" s="158">
        <f t="shared" ref="S56:AB56" si="148">S13/S39</f>
        <v>0</v>
      </c>
      <c r="T56" s="158">
        <f t="shared" si="148"/>
        <v>0</v>
      </c>
      <c r="U56" s="158">
        <f t="shared" si="148"/>
        <v>0</v>
      </c>
      <c r="V56" s="158">
        <f t="shared" si="148"/>
        <v>0</v>
      </c>
      <c r="W56" s="158">
        <f t="shared" si="148"/>
        <v>0</v>
      </c>
      <c r="X56" s="158">
        <f t="shared" si="148"/>
        <v>0</v>
      </c>
      <c r="Y56" s="158">
        <f t="shared" si="148"/>
        <v>0</v>
      </c>
      <c r="Z56" s="158">
        <f t="shared" si="148"/>
        <v>0</v>
      </c>
      <c r="AA56" s="158">
        <f t="shared" si="148"/>
        <v>0</v>
      </c>
      <c r="AB56" s="158">
        <f t="shared" si="148"/>
        <v>0</v>
      </c>
      <c r="AC56" s="138">
        <f t="shared" si="131"/>
        <v>-1</v>
      </c>
      <c r="AD56" s="31">
        <f t="shared" si="17"/>
        <v>0.08</v>
      </c>
      <c r="AE56" s="146">
        <f t="shared" si="132"/>
        <v>0</v>
      </c>
    </row>
    <row r="57" spans="2:31">
      <c r="B57" s="20" t="s">
        <v>256</v>
      </c>
      <c r="C57" s="127">
        <f>(C55+C56)</f>
        <v>0</v>
      </c>
      <c r="D57" s="127">
        <f t="shared" ref="D57:P57" si="149">(D55+D56)</f>
        <v>0</v>
      </c>
      <c r="E57" s="127">
        <f t="shared" si="149"/>
        <v>0</v>
      </c>
      <c r="F57" s="144">
        <f t="shared" si="149"/>
        <v>0</v>
      </c>
      <c r="G57" s="144">
        <f t="shared" si="149"/>
        <v>5.5782312925170068</v>
      </c>
      <c r="H57" s="144">
        <f t="shared" si="149"/>
        <v>5.4421768707482991</v>
      </c>
      <c r="I57" s="144">
        <f t="shared" si="149"/>
        <v>9.4217687074829932</v>
      </c>
      <c r="J57" s="144">
        <f t="shared" si="149"/>
        <v>7.5000000000000009</v>
      </c>
      <c r="K57" s="144">
        <f t="shared" si="149"/>
        <v>16.785714285714288</v>
      </c>
      <c r="L57" s="144">
        <f t="shared" si="149"/>
        <v>32.867132867132867</v>
      </c>
      <c r="M57" s="144">
        <f t="shared" si="149"/>
        <v>50.97402597402597</v>
      </c>
      <c r="N57" s="144">
        <f t="shared" si="149"/>
        <v>69.822485207100598</v>
      </c>
      <c r="O57" s="144">
        <f t="shared" ref="O57" si="150">(O55+O56)</f>
        <v>65.680473372781066</v>
      </c>
      <c r="P57" s="144">
        <f t="shared" si="149"/>
        <v>77.38095238095238</v>
      </c>
      <c r="Q57" s="118">
        <f>((P57/G57)^(1/($H$2-$H$1) ))-1</f>
        <v>0.33938111922390934</v>
      </c>
      <c r="R57" s="128"/>
      <c r="S57" s="158">
        <f t="shared" ref="S57:AB57" si="151">(S55+S56)</f>
        <v>77.380952380952394</v>
      </c>
      <c r="T57" s="158">
        <f t="shared" si="151"/>
        <v>77.380952380952394</v>
      </c>
      <c r="U57" s="158">
        <f t="shared" si="151"/>
        <v>77.380952380952394</v>
      </c>
      <c r="V57" s="158">
        <f t="shared" si="151"/>
        <v>77.380952380952394</v>
      </c>
      <c r="W57" s="158">
        <f t="shared" si="151"/>
        <v>77.380952380952408</v>
      </c>
      <c r="X57" s="158">
        <f t="shared" si="151"/>
        <v>77.380952380952394</v>
      </c>
      <c r="Y57" s="158">
        <f t="shared" si="151"/>
        <v>77.380952380952394</v>
      </c>
      <c r="Z57" s="158">
        <f t="shared" si="151"/>
        <v>77.380952380952394</v>
      </c>
      <c r="AA57" s="158">
        <f t="shared" si="151"/>
        <v>77.380952380952394</v>
      </c>
      <c r="AB57" s="158">
        <f t="shared" si="151"/>
        <v>77.380952380952394</v>
      </c>
      <c r="AC57" s="138">
        <f t="shared" si="131"/>
        <v>0.14845108604990287</v>
      </c>
      <c r="AD57" s="31">
        <f t="shared" si="17"/>
        <v>0.08</v>
      </c>
      <c r="AE57" s="146">
        <f t="shared" si="132"/>
        <v>596.93877551020421</v>
      </c>
    </row>
    <row r="58" spans="2:31">
      <c r="B58" s="20" t="s">
        <v>249</v>
      </c>
      <c r="C58" s="127">
        <f t="shared" ref="C58:P58" si="152">C14/C39</f>
        <v>0</v>
      </c>
      <c r="D58" s="127">
        <f t="shared" si="152"/>
        <v>0</v>
      </c>
      <c r="E58" s="127">
        <f t="shared" si="152"/>
        <v>0</v>
      </c>
      <c r="F58" s="144">
        <f t="shared" si="152"/>
        <v>0</v>
      </c>
      <c r="G58" s="144">
        <f t="shared" si="152"/>
        <v>3.4013605442176873</v>
      </c>
      <c r="H58" s="144">
        <f t="shared" si="152"/>
        <v>4.0816326530612246</v>
      </c>
      <c r="I58" s="144">
        <f t="shared" si="152"/>
        <v>6.1224489795918364</v>
      </c>
      <c r="J58" s="144">
        <f t="shared" si="152"/>
        <v>6.4285714285714288</v>
      </c>
      <c r="K58" s="144">
        <f t="shared" si="152"/>
        <v>10</v>
      </c>
      <c r="L58" s="144">
        <f t="shared" si="152"/>
        <v>15.384615384615385</v>
      </c>
      <c r="M58" s="144">
        <f t="shared" si="152"/>
        <v>14.285714285714285</v>
      </c>
      <c r="N58" s="144">
        <f t="shared" si="152"/>
        <v>16.568047337278106</v>
      </c>
      <c r="O58" s="144">
        <f t="shared" si="152"/>
        <v>84.023668639053255</v>
      </c>
      <c r="P58" s="144">
        <f t="shared" si="152"/>
        <v>93.452380952380949</v>
      </c>
      <c r="Q58" s="118">
        <f>((P58/G58)^(1/($H$2-$H$1) ))-1</f>
        <v>0.44504698031632883</v>
      </c>
      <c r="R58" s="128"/>
      <c r="S58" s="158">
        <f t="shared" ref="S58:AB58" si="153">S14/S39</f>
        <v>93.452380952380963</v>
      </c>
      <c r="T58" s="158">
        <f t="shared" si="153"/>
        <v>93.452380952380949</v>
      </c>
      <c r="U58" s="158">
        <f t="shared" si="153"/>
        <v>93.452380952380963</v>
      </c>
      <c r="V58" s="158">
        <f t="shared" si="153"/>
        <v>93.452380952380949</v>
      </c>
      <c r="W58" s="158">
        <f t="shared" si="153"/>
        <v>93.452380952380949</v>
      </c>
      <c r="X58" s="158">
        <f t="shared" si="153"/>
        <v>93.452380952380963</v>
      </c>
      <c r="Y58" s="158">
        <f t="shared" si="153"/>
        <v>93.452380952380949</v>
      </c>
      <c r="Z58" s="158">
        <f t="shared" si="153"/>
        <v>93.452380952380963</v>
      </c>
      <c r="AA58" s="158">
        <f t="shared" si="153"/>
        <v>93.452380952380963</v>
      </c>
      <c r="AB58" s="158">
        <f t="shared" si="153"/>
        <v>93.452380952380949</v>
      </c>
      <c r="AC58" s="138">
        <f t="shared" si="131"/>
        <v>0.19051141308614983</v>
      </c>
      <c r="AD58" s="31">
        <f t="shared" si="17"/>
        <v>0.08</v>
      </c>
      <c r="AE58" s="146">
        <f t="shared" si="132"/>
        <v>720.91836734693868</v>
      </c>
    </row>
    <row r="59" spans="2:31">
      <c r="B59" s="20" t="s">
        <v>250</v>
      </c>
      <c r="C59" s="127">
        <f t="shared" ref="C59:P59" si="154">C15/C39</f>
        <v>0</v>
      </c>
      <c r="D59" s="127">
        <f t="shared" si="154"/>
        <v>0</v>
      </c>
      <c r="E59" s="127">
        <f t="shared" si="154"/>
        <v>0</v>
      </c>
      <c r="F59" s="144">
        <f t="shared" si="154"/>
        <v>0</v>
      </c>
      <c r="G59" s="144">
        <f t="shared" si="154"/>
        <v>1.6326530612244898</v>
      </c>
      <c r="H59" s="144">
        <f t="shared" si="154"/>
        <v>4.7619047619047619</v>
      </c>
      <c r="I59" s="144">
        <f t="shared" si="154"/>
        <v>7.4829931972789119</v>
      </c>
      <c r="J59" s="144">
        <f t="shared" si="154"/>
        <v>3.5714285714285716</v>
      </c>
      <c r="K59" s="144">
        <f t="shared" si="154"/>
        <v>4.2857142857142856</v>
      </c>
      <c r="L59" s="144">
        <f t="shared" si="154"/>
        <v>19.58041958041958</v>
      </c>
      <c r="M59" s="144">
        <f t="shared" si="154"/>
        <v>37.012987012987011</v>
      </c>
      <c r="N59" s="144">
        <f t="shared" si="154"/>
        <v>55.029585798816569</v>
      </c>
      <c r="O59" s="144">
        <f t="shared" si="154"/>
        <v>48.520710059171599</v>
      </c>
      <c r="P59" s="144">
        <f t="shared" si="154"/>
        <v>70.238095238095241</v>
      </c>
      <c r="Q59" s="118">
        <f>((P59/G59)^(1/($H$2-$H$1) ))-1</f>
        <v>0.51886742779708794</v>
      </c>
      <c r="R59" s="128"/>
      <c r="S59" s="158">
        <f t="shared" ref="S59:AB59" si="155">S15/S39</f>
        <v>70.238095238095241</v>
      </c>
      <c r="T59" s="158">
        <f t="shared" si="155"/>
        <v>70.238095238095241</v>
      </c>
      <c r="U59" s="158">
        <f t="shared" si="155"/>
        <v>70.238095238095241</v>
      </c>
      <c r="V59" s="158">
        <f t="shared" si="155"/>
        <v>70.238095238095241</v>
      </c>
      <c r="W59" s="158">
        <f t="shared" si="155"/>
        <v>70.238095238095241</v>
      </c>
      <c r="X59" s="158">
        <f t="shared" si="155"/>
        <v>70.238095238095255</v>
      </c>
      <c r="Y59" s="158">
        <f t="shared" si="155"/>
        <v>70.238095238095255</v>
      </c>
      <c r="Z59" s="158">
        <f t="shared" si="155"/>
        <v>70.238095238095255</v>
      </c>
      <c r="AA59" s="158">
        <f t="shared" si="155"/>
        <v>70.238095238095255</v>
      </c>
      <c r="AB59" s="158">
        <f t="shared" si="155"/>
        <v>70.238095238095241</v>
      </c>
      <c r="AC59" s="138">
        <f t="shared" si="131"/>
        <v>0.21894215244469772</v>
      </c>
      <c r="AD59" s="137"/>
      <c r="AE59" s="146">
        <f t="shared" si="132"/>
        <v>319.26406926406929</v>
      </c>
    </row>
    <row r="60" spans="2:31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31">
        <f t="shared" si="17"/>
        <v>0.08</v>
      </c>
      <c r="AE60" s="146">
        <f t="shared" si="132"/>
        <v>0</v>
      </c>
    </row>
    <row r="61" spans="2:31">
      <c r="B61" s="20" t="s">
        <v>283</v>
      </c>
      <c r="C61" s="160">
        <f>C40</f>
        <v>1</v>
      </c>
      <c r="D61" s="160">
        <f t="shared" ref="D61:P61" si="156">D40</f>
        <v>1</v>
      </c>
      <c r="E61" s="160">
        <f t="shared" si="156"/>
        <v>1</v>
      </c>
      <c r="F61" s="160">
        <f t="shared" si="156"/>
        <v>0</v>
      </c>
      <c r="G61" s="160">
        <f t="shared" si="156"/>
        <v>0</v>
      </c>
      <c r="H61" s="160">
        <f t="shared" si="156"/>
        <v>0</v>
      </c>
      <c r="I61" s="160">
        <f t="shared" si="156"/>
        <v>0</v>
      </c>
      <c r="J61" s="160">
        <f t="shared" si="156"/>
        <v>0</v>
      </c>
      <c r="K61" s="160">
        <f t="shared" si="156"/>
        <v>1.5</v>
      </c>
      <c r="L61" s="160">
        <f t="shared" si="156"/>
        <v>1.5</v>
      </c>
      <c r="M61" s="160">
        <f t="shared" si="156"/>
        <v>1.5</v>
      </c>
      <c r="N61" s="160">
        <f t="shared" si="156"/>
        <v>3</v>
      </c>
      <c r="O61" s="160">
        <f t="shared" si="156"/>
        <v>3</v>
      </c>
      <c r="P61" s="160">
        <f t="shared" si="156"/>
        <v>5</v>
      </c>
      <c r="Q61" s="118" t="e">
        <f>((P61/G61)^(1/($H$2-$H$1) ))-1</f>
        <v>#DIV/0!</v>
      </c>
      <c r="R61" s="128"/>
      <c r="S61" s="160">
        <f t="shared" ref="S61:AB61" si="157">S40</f>
        <v>5.25</v>
      </c>
      <c r="T61" s="160">
        <f t="shared" si="157"/>
        <v>5.5125000000000002</v>
      </c>
      <c r="U61" s="160">
        <f t="shared" si="157"/>
        <v>5.7881250000000009</v>
      </c>
      <c r="V61" s="160">
        <f t="shared" si="157"/>
        <v>6.0775312500000007</v>
      </c>
      <c r="W61" s="160">
        <f t="shared" si="157"/>
        <v>6.3814078125000009</v>
      </c>
      <c r="X61" s="160">
        <f t="shared" si="157"/>
        <v>6.7004782031250016</v>
      </c>
      <c r="Y61" s="160">
        <f t="shared" si="157"/>
        <v>7.0355021132812521</v>
      </c>
      <c r="Z61" s="160">
        <f t="shared" si="157"/>
        <v>7.3872772189453153</v>
      </c>
      <c r="AA61" s="160">
        <f t="shared" si="157"/>
        <v>7.7566410798925816</v>
      </c>
      <c r="AB61" s="160">
        <f t="shared" si="157"/>
        <v>8.1444731338872103</v>
      </c>
      <c r="AC61" s="138" t="e">
        <f t="shared" ref="AC61" si="158">((AB61/G61)^(1/($AB$3-$H$1) ))-1</f>
        <v>#DIV/0!</v>
      </c>
      <c r="AD61" s="31">
        <f t="shared" si="17"/>
        <v>0.08</v>
      </c>
      <c r="AE61" s="146">
        <f t="shared" si="132"/>
        <v>62.82879274712991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39"/>
      <c r="AD62" s="137"/>
      <c r="AE62" s="155"/>
    </row>
    <row r="63" spans="2:31">
      <c r="B63" s="20" t="s">
        <v>319</v>
      </c>
      <c r="C63" s="127">
        <f t="shared" ref="C63:P63" si="159">C19+C20</f>
        <v>0</v>
      </c>
      <c r="D63" s="127">
        <f t="shared" si="159"/>
        <v>0</v>
      </c>
      <c r="E63" s="127">
        <f t="shared" si="159"/>
        <v>0</v>
      </c>
      <c r="F63" s="144">
        <f t="shared" si="159"/>
        <v>0</v>
      </c>
      <c r="G63" s="144">
        <f t="shared" si="159"/>
        <v>0</v>
      </c>
      <c r="H63" s="144">
        <f t="shared" si="159"/>
        <v>0</v>
      </c>
      <c r="I63" s="144">
        <f t="shared" si="159"/>
        <v>0</v>
      </c>
      <c r="J63" s="144">
        <f t="shared" si="159"/>
        <v>0</v>
      </c>
      <c r="K63" s="144">
        <f t="shared" si="159"/>
        <v>0</v>
      </c>
      <c r="L63" s="144">
        <f t="shared" si="159"/>
        <v>0</v>
      </c>
      <c r="M63" s="144">
        <f t="shared" si="159"/>
        <v>0</v>
      </c>
      <c r="N63" s="144">
        <f t="shared" si="159"/>
        <v>0</v>
      </c>
      <c r="O63" s="144">
        <f t="shared" si="159"/>
        <v>0</v>
      </c>
      <c r="P63" s="144">
        <f t="shared" si="159"/>
        <v>0</v>
      </c>
      <c r="Q63" s="118" t="e">
        <f>((P63/G63)^(1/($H$2-$H$1) ))-1</f>
        <v>#DIV/0!</v>
      </c>
      <c r="R63" s="128"/>
      <c r="S63" s="144">
        <f t="shared" ref="S63:AB63" si="160">S19+S20</f>
        <v>0</v>
      </c>
      <c r="T63" s="144">
        <f t="shared" si="160"/>
        <v>0</v>
      </c>
      <c r="U63" s="144">
        <f t="shared" si="160"/>
        <v>0</v>
      </c>
      <c r="V63" s="144">
        <f t="shared" si="160"/>
        <v>0</v>
      </c>
      <c r="W63" s="144">
        <f t="shared" si="160"/>
        <v>0</v>
      </c>
      <c r="X63" s="144">
        <f t="shared" si="160"/>
        <v>0</v>
      </c>
      <c r="Y63" s="144">
        <f t="shared" si="160"/>
        <v>0</v>
      </c>
      <c r="Z63" s="144">
        <f t="shared" si="160"/>
        <v>0</v>
      </c>
      <c r="AA63" s="144">
        <f t="shared" si="160"/>
        <v>0</v>
      </c>
      <c r="AB63" s="144">
        <f t="shared" si="160"/>
        <v>0</v>
      </c>
      <c r="AC63" s="138" t="e">
        <f t="shared" ref="AC63:AC68" si="161">((AB63/G63)^(1/($AB$3-$H$1) ))-1</f>
        <v>#DIV/0!</v>
      </c>
      <c r="AD63" s="31">
        <f t="shared" si="17"/>
        <v>0.08</v>
      </c>
      <c r="AE63" s="146">
        <f t="shared" si="132"/>
        <v>0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39"/>
      <c r="AD64" s="137"/>
      <c r="AE64" s="146"/>
    </row>
    <row r="65" spans="2:31">
      <c r="B65" s="20" t="s">
        <v>320</v>
      </c>
      <c r="C65" s="127">
        <f t="shared" ref="C65:P65" si="162">C63/C39</f>
        <v>0</v>
      </c>
      <c r="D65" s="127">
        <f t="shared" si="162"/>
        <v>0</v>
      </c>
      <c r="E65" s="127">
        <f t="shared" si="162"/>
        <v>0</v>
      </c>
      <c r="F65" s="144">
        <f t="shared" si="162"/>
        <v>0</v>
      </c>
      <c r="G65" s="144">
        <f t="shared" si="162"/>
        <v>0</v>
      </c>
      <c r="H65" s="144">
        <f t="shared" si="162"/>
        <v>0</v>
      </c>
      <c r="I65" s="144">
        <f t="shared" si="162"/>
        <v>0</v>
      </c>
      <c r="J65" s="144">
        <f t="shared" si="162"/>
        <v>0</v>
      </c>
      <c r="K65" s="144">
        <f t="shared" si="162"/>
        <v>0</v>
      </c>
      <c r="L65" s="144">
        <f t="shared" si="162"/>
        <v>0</v>
      </c>
      <c r="M65" s="144">
        <f t="shared" si="162"/>
        <v>0</v>
      </c>
      <c r="N65" s="144">
        <f t="shared" si="162"/>
        <v>0</v>
      </c>
      <c r="O65" s="144">
        <f t="shared" si="162"/>
        <v>0</v>
      </c>
      <c r="P65" s="144">
        <f t="shared" si="162"/>
        <v>0</v>
      </c>
      <c r="Q65" s="118" t="e">
        <f>((P65/G65)^(1/($H$2-$H$1) ))-1</f>
        <v>#DIV/0!</v>
      </c>
      <c r="R65" s="128"/>
      <c r="S65" s="146">
        <f t="shared" ref="S65:AB65" si="163">S63/S39</f>
        <v>0</v>
      </c>
      <c r="T65" s="146">
        <f t="shared" si="163"/>
        <v>0</v>
      </c>
      <c r="U65" s="146">
        <f t="shared" si="163"/>
        <v>0</v>
      </c>
      <c r="V65" s="146">
        <f t="shared" si="163"/>
        <v>0</v>
      </c>
      <c r="W65" s="146">
        <f t="shared" si="163"/>
        <v>0</v>
      </c>
      <c r="X65" s="146">
        <f t="shared" si="163"/>
        <v>0</v>
      </c>
      <c r="Y65" s="146">
        <f t="shared" si="163"/>
        <v>0</v>
      </c>
      <c r="Z65" s="146">
        <f t="shared" si="163"/>
        <v>0</v>
      </c>
      <c r="AA65" s="146">
        <f t="shared" si="163"/>
        <v>0</v>
      </c>
      <c r="AB65" s="146">
        <f t="shared" si="163"/>
        <v>0</v>
      </c>
      <c r="AC65" s="138" t="e">
        <f t="shared" si="161"/>
        <v>#DIV/0!</v>
      </c>
      <c r="AD65" s="31">
        <f t="shared" si="17"/>
        <v>0.08</v>
      </c>
      <c r="AE65" s="146">
        <f t="shared" si="132"/>
        <v>0</v>
      </c>
    </row>
    <row r="66" spans="2:31">
      <c r="B66" s="20" t="s">
        <v>288</v>
      </c>
      <c r="C66" s="127">
        <f t="shared" ref="C66:P66" si="164">C19/C39</f>
        <v>0</v>
      </c>
      <c r="D66" s="127">
        <f t="shared" si="164"/>
        <v>0</v>
      </c>
      <c r="E66" s="127">
        <f t="shared" si="164"/>
        <v>0</v>
      </c>
      <c r="F66" s="144">
        <f t="shared" si="164"/>
        <v>0</v>
      </c>
      <c r="G66" s="144">
        <f t="shared" si="164"/>
        <v>0</v>
      </c>
      <c r="H66" s="144">
        <f t="shared" si="164"/>
        <v>0</v>
      </c>
      <c r="I66" s="144">
        <f t="shared" si="164"/>
        <v>0</v>
      </c>
      <c r="J66" s="144">
        <f t="shared" si="164"/>
        <v>0</v>
      </c>
      <c r="K66" s="144">
        <f t="shared" si="164"/>
        <v>0</v>
      </c>
      <c r="L66" s="144">
        <f t="shared" si="164"/>
        <v>0</v>
      </c>
      <c r="M66" s="144">
        <f t="shared" si="164"/>
        <v>0</v>
      </c>
      <c r="N66" s="144">
        <f t="shared" si="164"/>
        <v>0</v>
      </c>
      <c r="O66" s="144">
        <f t="shared" si="164"/>
        <v>0</v>
      </c>
      <c r="P66" s="144">
        <f t="shared" si="164"/>
        <v>0</v>
      </c>
      <c r="Q66" s="118" t="e">
        <f>((P66/G66)^(1/($H$2-$H$1) ))-1</f>
        <v>#DIV/0!</v>
      </c>
      <c r="R66" s="128"/>
      <c r="S66" s="146">
        <f t="shared" ref="S66:AB66" si="165">S19/S39</f>
        <v>0</v>
      </c>
      <c r="T66" s="146">
        <f t="shared" si="165"/>
        <v>0</v>
      </c>
      <c r="U66" s="146">
        <f t="shared" si="165"/>
        <v>0</v>
      </c>
      <c r="V66" s="146">
        <f t="shared" si="165"/>
        <v>0</v>
      </c>
      <c r="W66" s="146">
        <f t="shared" si="165"/>
        <v>0</v>
      </c>
      <c r="X66" s="146">
        <f t="shared" si="165"/>
        <v>0</v>
      </c>
      <c r="Y66" s="146">
        <f t="shared" si="165"/>
        <v>0</v>
      </c>
      <c r="Z66" s="146">
        <f t="shared" si="165"/>
        <v>0</v>
      </c>
      <c r="AA66" s="146">
        <f t="shared" si="165"/>
        <v>0</v>
      </c>
      <c r="AB66" s="146">
        <f t="shared" si="165"/>
        <v>0</v>
      </c>
      <c r="AC66" s="138" t="e">
        <f t="shared" si="161"/>
        <v>#DIV/0!</v>
      </c>
      <c r="AD66" s="31">
        <f t="shared" si="17"/>
        <v>0.08</v>
      </c>
      <c r="AE66" s="146">
        <f t="shared" si="132"/>
        <v>0</v>
      </c>
    </row>
    <row r="67" spans="2:31">
      <c r="B67" s="20" t="s">
        <v>289</v>
      </c>
      <c r="C67" s="127">
        <f t="shared" ref="C67:P67" si="166">C20/C39</f>
        <v>0</v>
      </c>
      <c r="D67" s="127">
        <f t="shared" si="166"/>
        <v>0</v>
      </c>
      <c r="E67" s="127">
        <f t="shared" si="166"/>
        <v>0</v>
      </c>
      <c r="F67" s="144">
        <f t="shared" si="166"/>
        <v>0</v>
      </c>
      <c r="G67" s="144">
        <f t="shared" si="166"/>
        <v>0</v>
      </c>
      <c r="H67" s="144">
        <f t="shared" si="166"/>
        <v>0</v>
      </c>
      <c r="I67" s="144">
        <f t="shared" si="166"/>
        <v>0</v>
      </c>
      <c r="J67" s="144">
        <f t="shared" si="166"/>
        <v>0</v>
      </c>
      <c r="K67" s="144">
        <f t="shared" si="166"/>
        <v>0</v>
      </c>
      <c r="L67" s="144">
        <f t="shared" si="166"/>
        <v>0</v>
      </c>
      <c r="M67" s="144">
        <f t="shared" si="166"/>
        <v>0</v>
      </c>
      <c r="N67" s="144">
        <f t="shared" si="166"/>
        <v>0</v>
      </c>
      <c r="O67" s="144">
        <f t="shared" si="166"/>
        <v>0</v>
      </c>
      <c r="P67" s="144">
        <f t="shared" si="166"/>
        <v>0</v>
      </c>
      <c r="Q67" s="118" t="e">
        <f>((P67/G67)^(1/($H$2-$H$1) ))-1</f>
        <v>#DIV/0!</v>
      </c>
      <c r="R67" s="128"/>
      <c r="S67" s="146">
        <f t="shared" ref="S67:AB67" si="167">S20/S39</f>
        <v>0</v>
      </c>
      <c r="T67" s="146">
        <f t="shared" si="167"/>
        <v>0</v>
      </c>
      <c r="U67" s="146">
        <f t="shared" si="167"/>
        <v>0</v>
      </c>
      <c r="V67" s="146">
        <f t="shared" si="167"/>
        <v>0</v>
      </c>
      <c r="W67" s="146">
        <f t="shared" si="167"/>
        <v>0</v>
      </c>
      <c r="X67" s="146">
        <f t="shared" si="167"/>
        <v>0</v>
      </c>
      <c r="Y67" s="146">
        <f t="shared" si="167"/>
        <v>0</v>
      </c>
      <c r="Z67" s="146">
        <f t="shared" si="167"/>
        <v>0</v>
      </c>
      <c r="AA67" s="146">
        <f t="shared" si="167"/>
        <v>0</v>
      </c>
      <c r="AB67" s="146">
        <f t="shared" si="167"/>
        <v>0</v>
      </c>
      <c r="AC67" s="138" t="e">
        <f t="shared" si="161"/>
        <v>#DIV/0!</v>
      </c>
      <c r="AD67" s="31">
        <f t="shared" si="17"/>
        <v>0.08</v>
      </c>
      <c r="AE67" s="146">
        <f t="shared" si="132"/>
        <v>0</v>
      </c>
    </row>
    <row r="68" spans="2:31">
      <c r="B68" s="20" t="s">
        <v>290</v>
      </c>
      <c r="C68" s="127">
        <f t="shared" ref="C68:P68" si="168">C21/C39</f>
        <v>0</v>
      </c>
      <c r="D68" s="127">
        <f t="shared" si="168"/>
        <v>0</v>
      </c>
      <c r="E68" s="127">
        <f t="shared" si="168"/>
        <v>0</v>
      </c>
      <c r="F68" s="144">
        <f t="shared" si="168"/>
        <v>0</v>
      </c>
      <c r="G68" s="144">
        <f t="shared" si="168"/>
        <v>0</v>
      </c>
      <c r="H68" s="144">
        <f t="shared" si="168"/>
        <v>0</v>
      </c>
      <c r="I68" s="144">
        <f t="shared" si="168"/>
        <v>0</v>
      </c>
      <c r="J68" s="144">
        <f t="shared" si="168"/>
        <v>0</v>
      </c>
      <c r="K68" s="144">
        <f t="shared" si="168"/>
        <v>0</v>
      </c>
      <c r="L68" s="144">
        <f t="shared" si="168"/>
        <v>0</v>
      </c>
      <c r="M68" s="144">
        <f t="shared" si="168"/>
        <v>0</v>
      </c>
      <c r="N68" s="144">
        <f t="shared" si="168"/>
        <v>0</v>
      </c>
      <c r="O68" s="144">
        <f t="shared" si="168"/>
        <v>0</v>
      </c>
      <c r="P68" s="144">
        <f t="shared" si="168"/>
        <v>0</v>
      </c>
      <c r="Q68" s="118" t="e">
        <f>((P68/G68)^(1/($H$2-$H$1) ))-1</f>
        <v>#DIV/0!</v>
      </c>
      <c r="R68" s="128"/>
      <c r="S68" s="146">
        <f t="shared" ref="S68:AB68" si="169">S21/S39</f>
        <v>0</v>
      </c>
      <c r="T68" s="146">
        <f t="shared" si="169"/>
        <v>0</v>
      </c>
      <c r="U68" s="146">
        <f t="shared" si="169"/>
        <v>0</v>
      </c>
      <c r="V68" s="146">
        <f t="shared" si="169"/>
        <v>0</v>
      </c>
      <c r="W68" s="146">
        <f t="shared" si="169"/>
        <v>0</v>
      </c>
      <c r="X68" s="146">
        <f t="shared" si="169"/>
        <v>0</v>
      </c>
      <c r="Y68" s="146">
        <f t="shared" si="169"/>
        <v>0</v>
      </c>
      <c r="Z68" s="146">
        <f t="shared" si="169"/>
        <v>0</v>
      </c>
      <c r="AA68" s="146">
        <f t="shared" si="169"/>
        <v>0</v>
      </c>
      <c r="AB68" s="146">
        <f t="shared" si="169"/>
        <v>0</v>
      </c>
      <c r="AC68" s="138" t="e">
        <f t="shared" si="161"/>
        <v>#DIV/0!</v>
      </c>
      <c r="AD68" s="31">
        <f t="shared" si="17"/>
        <v>0.08</v>
      </c>
      <c r="AE68" s="146">
        <f t="shared" si="132"/>
        <v>0</v>
      </c>
    </row>
    <row r="69" spans="2:31">
      <c r="B69" s="20" t="s">
        <v>297</v>
      </c>
      <c r="C69" s="127">
        <f t="shared" ref="C69:P69" si="170">C22/C39</f>
        <v>0</v>
      </c>
      <c r="D69" s="127">
        <f t="shared" si="170"/>
        <v>0</v>
      </c>
      <c r="E69" s="127">
        <f t="shared" si="170"/>
        <v>0</v>
      </c>
      <c r="F69" s="144">
        <f t="shared" si="170"/>
        <v>0</v>
      </c>
      <c r="G69" s="144">
        <f t="shared" si="170"/>
        <v>0</v>
      </c>
      <c r="H69" s="144">
        <f t="shared" si="170"/>
        <v>0</v>
      </c>
      <c r="I69" s="144">
        <f t="shared" si="170"/>
        <v>0</v>
      </c>
      <c r="J69" s="144">
        <f t="shared" si="170"/>
        <v>0</v>
      </c>
      <c r="K69" s="144">
        <f t="shared" si="170"/>
        <v>0</v>
      </c>
      <c r="L69" s="144">
        <f t="shared" si="170"/>
        <v>0</v>
      </c>
      <c r="M69" s="144">
        <f t="shared" si="170"/>
        <v>0</v>
      </c>
      <c r="N69" s="144">
        <f t="shared" si="170"/>
        <v>0</v>
      </c>
      <c r="O69" s="144">
        <f t="shared" si="170"/>
        <v>0</v>
      </c>
      <c r="P69" s="144">
        <f t="shared" si="170"/>
        <v>0</v>
      </c>
      <c r="Q69" s="118" t="e">
        <f>((P69/G69)^(1/($H$2-$H$1) ))-1</f>
        <v>#DIV/0!</v>
      </c>
      <c r="R69" s="128"/>
      <c r="S69" s="146">
        <f t="shared" ref="S69:AB69" si="171">S22/S39</f>
        <v>0</v>
      </c>
      <c r="T69" s="146">
        <f t="shared" si="171"/>
        <v>0</v>
      </c>
      <c r="U69" s="146">
        <f t="shared" si="171"/>
        <v>0</v>
      </c>
      <c r="V69" s="146">
        <f t="shared" si="171"/>
        <v>0</v>
      </c>
      <c r="W69" s="146">
        <f t="shared" si="171"/>
        <v>0</v>
      </c>
      <c r="X69" s="146">
        <f t="shared" si="171"/>
        <v>0</v>
      </c>
      <c r="Y69" s="146">
        <f t="shared" si="171"/>
        <v>0</v>
      </c>
      <c r="Z69" s="146">
        <f t="shared" si="171"/>
        <v>0</v>
      </c>
      <c r="AA69" s="146">
        <f t="shared" si="171"/>
        <v>0</v>
      </c>
      <c r="AB69" s="146">
        <f t="shared" si="171"/>
        <v>0</v>
      </c>
      <c r="AC69" s="138" t="e">
        <f t="shared" ref="AC69" si="172">((AB69/G69)^(1/($AB$3-$H$1) ))-1</f>
        <v>#DIV/0!</v>
      </c>
      <c r="AD69" s="31">
        <f t="shared" si="17"/>
        <v>0.08</v>
      </c>
      <c r="AE69" s="146">
        <f t="shared" si="132"/>
        <v>0</v>
      </c>
    </row>
    <row r="70" spans="2:31">
      <c r="B70" s="20"/>
      <c r="C70" s="127"/>
      <c r="D70" s="127"/>
      <c r="E70" s="12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28"/>
      <c r="R70" s="128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39"/>
      <c r="AD70" s="137"/>
      <c r="AE70" s="155"/>
    </row>
    <row r="71" spans="2:31">
      <c r="B71" s="20" t="s">
        <v>313</v>
      </c>
      <c r="C71" s="144">
        <f t="shared" ref="C71:P71" si="173">C35/C39</f>
        <v>0</v>
      </c>
      <c r="D71" s="144">
        <f t="shared" si="173"/>
        <v>0</v>
      </c>
      <c r="E71" s="144">
        <f t="shared" si="173"/>
        <v>0</v>
      </c>
      <c r="F71" s="144">
        <f t="shared" si="173"/>
        <v>0</v>
      </c>
      <c r="G71" s="144">
        <f t="shared" si="173"/>
        <v>1.870748299319728</v>
      </c>
      <c r="H71" s="144">
        <f t="shared" si="173"/>
        <v>3.4013605442176873</v>
      </c>
      <c r="I71" s="144">
        <f t="shared" si="173"/>
        <v>8.8435374149659864</v>
      </c>
      <c r="J71" s="144">
        <f t="shared" si="173"/>
        <v>14.285714285714286</v>
      </c>
      <c r="K71" s="144">
        <f t="shared" si="173"/>
        <v>18.571428571428573</v>
      </c>
      <c r="L71" s="144">
        <f t="shared" si="173"/>
        <v>56.643356643356647</v>
      </c>
      <c r="M71" s="144">
        <f t="shared" si="173"/>
        <v>37.012987012987011</v>
      </c>
      <c r="N71" s="144">
        <f t="shared" si="173"/>
        <v>33.727810650887577</v>
      </c>
      <c r="O71" s="144">
        <f t="shared" si="173"/>
        <v>35.502958579881657</v>
      </c>
      <c r="P71" s="144">
        <f t="shared" si="173"/>
        <v>44.642857142857146</v>
      </c>
      <c r="Q71" s="118">
        <f>((P71/G71)^(1/($H$2-$H$1) ))-1</f>
        <v>0.42259686386244244</v>
      </c>
      <c r="R71" s="128"/>
      <c r="S71" s="144">
        <f t="shared" ref="S71:AB71" si="174">S35/S39</f>
        <v>44.642857142857146</v>
      </c>
      <c r="T71" s="144">
        <f t="shared" si="174"/>
        <v>44.642857142857146</v>
      </c>
      <c r="U71" s="144">
        <f t="shared" si="174"/>
        <v>44.642857142857146</v>
      </c>
      <c r="V71" s="144">
        <f t="shared" si="174"/>
        <v>44.642857142857146</v>
      </c>
      <c r="W71" s="144">
        <f t="shared" si="174"/>
        <v>44.642857142857153</v>
      </c>
      <c r="X71" s="144">
        <f t="shared" si="174"/>
        <v>44.642857142857153</v>
      </c>
      <c r="Y71" s="144">
        <f t="shared" si="174"/>
        <v>44.642857142857153</v>
      </c>
      <c r="Z71" s="144">
        <f t="shared" si="174"/>
        <v>44.642857142857153</v>
      </c>
      <c r="AA71" s="144">
        <f t="shared" si="174"/>
        <v>44.642857142857153</v>
      </c>
      <c r="AB71" s="144">
        <f t="shared" si="174"/>
        <v>44.642857142857146</v>
      </c>
      <c r="AC71" s="138">
        <f t="shared" ref="AC71:AC73" si="175">((AB71/G71)^(1/($AB$3-$H$1) ))-1</f>
        <v>0.18171419887252349</v>
      </c>
      <c r="AD71" s="31">
        <f t="shared" si="17"/>
        <v>0.08</v>
      </c>
      <c r="AE71" s="146">
        <f t="shared" si="132"/>
        <v>344.38775510204084</v>
      </c>
    </row>
    <row r="72" spans="2:31">
      <c r="B72" s="20" t="s">
        <v>314</v>
      </c>
      <c r="C72" s="144">
        <f t="shared" ref="C72:P72" si="176">C37/C39</f>
        <v>0</v>
      </c>
      <c r="D72" s="144">
        <f t="shared" si="176"/>
        <v>0</v>
      </c>
      <c r="E72" s="144">
        <f t="shared" si="176"/>
        <v>0</v>
      </c>
      <c r="F72" s="144">
        <f t="shared" si="176"/>
        <v>0</v>
      </c>
      <c r="G72" s="144">
        <f t="shared" si="176"/>
        <v>0.5714285714285714</v>
      </c>
      <c r="H72" s="144">
        <f t="shared" si="176"/>
        <v>0.80952380952380953</v>
      </c>
      <c r="I72" s="144">
        <f t="shared" si="176"/>
        <v>5.9183673469387754</v>
      </c>
      <c r="J72" s="144">
        <f t="shared" si="176"/>
        <v>7.5000000000000009</v>
      </c>
      <c r="K72" s="144">
        <f t="shared" si="176"/>
        <v>9.2857142857142865</v>
      </c>
      <c r="L72" s="144">
        <f t="shared" si="176"/>
        <v>32.867132867132867</v>
      </c>
      <c r="M72" s="144">
        <f t="shared" si="176"/>
        <v>18.831168831168831</v>
      </c>
      <c r="N72" s="144">
        <f t="shared" si="176"/>
        <v>18.934911242603551</v>
      </c>
      <c r="O72" s="144">
        <f t="shared" si="176"/>
        <v>26.035502958579883</v>
      </c>
      <c r="P72" s="144">
        <f t="shared" si="176"/>
        <v>26.785714285714288</v>
      </c>
      <c r="Q72" s="118">
        <f>((P72/G72)^(1/($H$2-$H$1) ))-1</f>
        <v>0.53341653610551876</v>
      </c>
      <c r="R72" s="128"/>
      <c r="S72" s="144">
        <f t="shared" ref="S72:AB72" si="177">S37/S39</f>
        <v>26.785714285714285</v>
      </c>
      <c r="T72" s="144">
        <f t="shared" si="177"/>
        <v>26.785714285714285</v>
      </c>
      <c r="U72" s="144">
        <f t="shared" si="177"/>
        <v>26.785714285714288</v>
      </c>
      <c r="V72" s="144">
        <f t="shared" si="177"/>
        <v>26.785714285714285</v>
      </c>
      <c r="W72" s="144">
        <f t="shared" si="177"/>
        <v>26.785714285714288</v>
      </c>
      <c r="X72" s="144">
        <f t="shared" si="177"/>
        <v>26.785714285714288</v>
      </c>
      <c r="Y72" s="144">
        <f t="shared" si="177"/>
        <v>26.785714285714285</v>
      </c>
      <c r="Z72" s="144">
        <f t="shared" si="177"/>
        <v>26.785714285714288</v>
      </c>
      <c r="AA72" s="144">
        <f t="shared" si="177"/>
        <v>26.785714285714288</v>
      </c>
      <c r="AB72" s="144">
        <f t="shared" si="177"/>
        <v>26.785714285714285</v>
      </c>
      <c r="AC72" s="138">
        <f t="shared" si="175"/>
        <v>0.22445908520827662</v>
      </c>
      <c r="AD72" s="31">
        <f t="shared" si="17"/>
        <v>0.08</v>
      </c>
      <c r="AE72" s="146">
        <f t="shared" si="132"/>
        <v>206.63265306122449</v>
      </c>
    </row>
    <row r="73" spans="2:31">
      <c r="B73" s="20" t="s">
        <v>315</v>
      </c>
      <c r="C73" s="144">
        <f t="shared" ref="C73:P73" si="178">C6/C39</f>
        <v>0</v>
      </c>
      <c r="D73" s="144">
        <f t="shared" si="178"/>
        <v>0</v>
      </c>
      <c r="E73" s="144">
        <f t="shared" si="178"/>
        <v>0</v>
      </c>
      <c r="F73" s="144">
        <f t="shared" si="178"/>
        <v>0</v>
      </c>
      <c r="G73" s="144">
        <f t="shared" si="178"/>
        <v>6.1224489795918364</v>
      </c>
      <c r="H73" s="144">
        <f t="shared" si="178"/>
        <v>6.8027210884353746</v>
      </c>
      <c r="I73" s="144">
        <f t="shared" si="178"/>
        <v>13.231292517006802</v>
      </c>
      <c r="J73" s="144">
        <f t="shared" si="178"/>
        <v>21.428571428571431</v>
      </c>
      <c r="K73" s="144">
        <f t="shared" si="178"/>
        <v>28.571428571428573</v>
      </c>
      <c r="L73" s="144">
        <f t="shared" si="178"/>
        <v>58.741258741258747</v>
      </c>
      <c r="M73" s="144">
        <f t="shared" si="178"/>
        <v>83.116883116883116</v>
      </c>
      <c r="N73" s="144">
        <f t="shared" si="178"/>
        <v>89.940828402366861</v>
      </c>
      <c r="O73" s="144">
        <f t="shared" si="178"/>
        <v>113.01775147928994</v>
      </c>
      <c r="P73" s="144">
        <f t="shared" si="178"/>
        <v>131.54761904761907</v>
      </c>
      <c r="Q73" s="118">
        <f>((P73/G73)^(1/($H$2-$H$1) ))-1</f>
        <v>0.40610429642718548</v>
      </c>
      <c r="R73" s="128"/>
      <c r="S73" s="144">
        <f t="shared" ref="S73:AB73" si="179">S6/S39</f>
        <v>131.54761904761907</v>
      </c>
      <c r="T73" s="144">
        <f t="shared" si="179"/>
        <v>131.54761904761907</v>
      </c>
      <c r="U73" s="144">
        <f t="shared" si="179"/>
        <v>131.54761904761907</v>
      </c>
      <c r="V73" s="144">
        <f t="shared" si="179"/>
        <v>131.54761904761909</v>
      </c>
      <c r="W73" s="144">
        <f t="shared" si="179"/>
        <v>131.54761904761909</v>
      </c>
      <c r="X73" s="144">
        <f t="shared" si="179"/>
        <v>131.54761904761907</v>
      </c>
      <c r="Y73" s="144">
        <f t="shared" si="179"/>
        <v>131.54761904761907</v>
      </c>
      <c r="Z73" s="144">
        <f t="shared" si="179"/>
        <v>131.54761904761907</v>
      </c>
      <c r="AA73" s="144">
        <f t="shared" si="179"/>
        <v>131.54761904761907</v>
      </c>
      <c r="AB73" s="144">
        <f t="shared" si="179"/>
        <v>131.54761904761907</v>
      </c>
      <c r="AC73" s="138">
        <f t="shared" si="175"/>
        <v>0.17520483440444856</v>
      </c>
      <c r="AD73" s="31">
        <f t="shared" ref="AD73" si="180">$L$1</f>
        <v>0.08</v>
      </c>
      <c r="AE73" s="146">
        <f t="shared" si="132"/>
        <v>1014.7959183673471</v>
      </c>
    </row>
    <row r="74" spans="2:31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5"/>
    </row>
    <row r="76" spans="2:31">
      <c r="B76" s="108" t="s">
        <v>312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pans="2:31">
      <c r="B77" s="20" t="s">
        <v>310</v>
      </c>
      <c r="C77" s="153" t="e">
        <f t="shared" ref="C77:P77" si="181">C35/C24</f>
        <v>#DIV/0!</v>
      </c>
      <c r="D77" s="153" t="e">
        <f t="shared" si="181"/>
        <v>#DIV/0!</v>
      </c>
      <c r="E77" s="153" t="e">
        <f t="shared" si="181"/>
        <v>#DIV/0!</v>
      </c>
      <c r="F77" s="153" t="e">
        <f t="shared" si="181"/>
        <v>#DIV/0!</v>
      </c>
      <c r="G77" s="153">
        <f t="shared" si="181"/>
        <v>0.36184210526315791</v>
      </c>
      <c r="H77" s="153">
        <f t="shared" si="181"/>
        <v>0.45454545454545453</v>
      </c>
      <c r="I77" s="153">
        <f t="shared" si="181"/>
        <v>0.61904761904761907</v>
      </c>
      <c r="J77" s="153">
        <f t="shared" si="181"/>
        <v>0.7407407407407407</v>
      </c>
      <c r="K77" s="153">
        <f t="shared" si="181"/>
        <v>0.72222222222222221</v>
      </c>
      <c r="L77" s="153">
        <f t="shared" si="181"/>
        <v>0.79411764705882348</v>
      </c>
      <c r="M77" s="153">
        <f t="shared" si="181"/>
        <v>0.77027027027027029</v>
      </c>
      <c r="N77" s="153">
        <f t="shared" si="181"/>
        <v>0.74025974025974028</v>
      </c>
      <c r="O77" s="153">
        <f t="shared" si="181"/>
        <v>0.58252427184466016</v>
      </c>
      <c r="P77" s="153">
        <f t="shared" si="181"/>
        <v>0.68181818181818177</v>
      </c>
      <c r="Q77" s="118">
        <f t="shared" ref="Q77:Q94" si="182">((P77/G77)^(1/($H$2-$H$1) ))-1</f>
        <v>7.2931915603333453E-2</v>
      </c>
      <c r="R77" s="153"/>
      <c r="S77" s="153">
        <f t="shared" ref="S77:AB77" si="183">S35/S24</f>
        <v>0.68181818181818188</v>
      </c>
      <c r="T77" s="153">
        <f t="shared" si="183"/>
        <v>0.68181818181818188</v>
      </c>
      <c r="U77" s="153">
        <f t="shared" si="183"/>
        <v>0.68181818181818177</v>
      </c>
      <c r="V77" s="153">
        <f t="shared" si="183"/>
        <v>0.68181818181818188</v>
      </c>
      <c r="W77" s="153">
        <f t="shared" si="183"/>
        <v>0.68181818181818199</v>
      </c>
      <c r="X77" s="153">
        <f t="shared" si="183"/>
        <v>0.68181818181818199</v>
      </c>
      <c r="Y77" s="153">
        <f t="shared" si="183"/>
        <v>0.68181818181818199</v>
      </c>
      <c r="Z77" s="153">
        <f t="shared" si="183"/>
        <v>0.68181818181818199</v>
      </c>
      <c r="AA77" s="153">
        <f t="shared" si="183"/>
        <v>0.68181818181818199</v>
      </c>
      <c r="AB77" s="153">
        <f t="shared" si="183"/>
        <v>0.68181818181818199</v>
      </c>
      <c r="AC77" s="138">
        <f t="shared" ref="AC77:AC94" si="184">((AB77/G77)^(1/($AB$3-$H$1) ))-1</f>
        <v>3.3907180229600931E-2</v>
      </c>
      <c r="AD77" s="146"/>
      <c r="AE77" s="146"/>
    </row>
    <row r="78" spans="2:31">
      <c r="B78" s="20" t="s">
        <v>267</v>
      </c>
      <c r="C78" s="153" t="e">
        <f t="shared" ref="C78:P78" si="185">C37/C24</f>
        <v>#DIV/0!</v>
      </c>
      <c r="D78" s="153" t="e">
        <f t="shared" si="185"/>
        <v>#DIV/0!</v>
      </c>
      <c r="E78" s="153" t="e">
        <f t="shared" si="185"/>
        <v>#DIV/0!</v>
      </c>
      <c r="F78" s="153" t="e">
        <f t="shared" si="185"/>
        <v>#DIV/0!</v>
      </c>
      <c r="G78" s="153">
        <f t="shared" si="185"/>
        <v>0.11052631578947368</v>
      </c>
      <c r="H78" s="153">
        <f t="shared" si="185"/>
        <v>0.10818181818181817</v>
      </c>
      <c r="I78" s="153">
        <f t="shared" si="185"/>
        <v>0.41428571428571426</v>
      </c>
      <c r="J78" s="153">
        <f t="shared" si="185"/>
        <v>0.3888888888888889</v>
      </c>
      <c r="K78" s="153">
        <f t="shared" si="185"/>
        <v>0.3611111111111111</v>
      </c>
      <c r="L78" s="153">
        <f t="shared" si="185"/>
        <v>0.46078431372549017</v>
      </c>
      <c r="M78" s="153">
        <f t="shared" si="185"/>
        <v>0.39189189189189189</v>
      </c>
      <c r="N78" s="153">
        <f t="shared" si="185"/>
        <v>0.41558441558441561</v>
      </c>
      <c r="O78" s="153">
        <f t="shared" si="185"/>
        <v>0.42718446601941745</v>
      </c>
      <c r="P78" s="153">
        <f t="shared" si="185"/>
        <v>0.40909090909090912</v>
      </c>
      <c r="Q78" s="118">
        <f t="shared" si="182"/>
        <v>0.15651284161737733</v>
      </c>
      <c r="R78" s="153"/>
      <c r="S78" s="153">
        <f t="shared" ref="S78:AB78" si="186">S37/S24</f>
        <v>0.40909090909090906</v>
      </c>
      <c r="T78" s="153">
        <f t="shared" si="186"/>
        <v>0.40909090909090912</v>
      </c>
      <c r="U78" s="153">
        <f t="shared" si="186"/>
        <v>0.40909090909090912</v>
      </c>
      <c r="V78" s="153">
        <f t="shared" si="186"/>
        <v>0.40909090909090912</v>
      </c>
      <c r="W78" s="153">
        <f t="shared" si="186"/>
        <v>0.40909090909090912</v>
      </c>
      <c r="X78" s="153">
        <f t="shared" si="186"/>
        <v>0.40909090909090912</v>
      </c>
      <c r="Y78" s="153">
        <f t="shared" si="186"/>
        <v>0.40909090909090917</v>
      </c>
      <c r="Z78" s="153">
        <f t="shared" si="186"/>
        <v>0.40909090909090917</v>
      </c>
      <c r="AA78" s="153">
        <f t="shared" si="186"/>
        <v>0.40909090909090917</v>
      </c>
      <c r="AB78" s="153">
        <f t="shared" si="186"/>
        <v>0.40909090909090917</v>
      </c>
      <c r="AC78" s="138">
        <f t="shared" si="184"/>
        <v>7.1305601051487644E-2</v>
      </c>
      <c r="AD78" s="146"/>
      <c r="AE78" s="146"/>
    </row>
    <row r="79" spans="2:31">
      <c r="B79" s="20" t="s">
        <v>311</v>
      </c>
      <c r="C79" s="153" t="e">
        <f t="shared" ref="C79:P79" si="187">C37/C7</f>
        <v>#DIV/0!</v>
      </c>
      <c r="D79" s="153" t="e">
        <f t="shared" si="187"/>
        <v>#DIV/0!</v>
      </c>
      <c r="E79" s="153" t="e">
        <f t="shared" si="187"/>
        <v>#DIV/0!</v>
      </c>
      <c r="F79" s="153" t="e">
        <f t="shared" si="187"/>
        <v>#DIV/0!</v>
      </c>
      <c r="G79" s="153">
        <f t="shared" si="187"/>
        <v>3.6521739130434779E-2</v>
      </c>
      <c r="H79" s="153">
        <f t="shared" si="187"/>
        <v>4.9583333333333333E-2</v>
      </c>
      <c r="I79" s="153">
        <f t="shared" si="187"/>
        <v>0.25588235294117645</v>
      </c>
      <c r="J79" s="153">
        <f t="shared" si="187"/>
        <v>0.23333333333333334</v>
      </c>
      <c r="K79" s="153">
        <f t="shared" si="187"/>
        <v>0.23636363636363636</v>
      </c>
      <c r="L79" s="153">
        <f t="shared" si="187"/>
        <v>0.46534653465346537</v>
      </c>
      <c r="M79" s="153">
        <f t="shared" si="187"/>
        <v>0.2013888888888889</v>
      </c>
      <c r="N79" s="153">
        <f t="shared" si="187"/>
        <v>0.18823529411764706</v>
      </c>
      <c r="O79" s="153">
        <f t="shared" si="187"/>
        <v>0.21153846153846154</v>
      </c>
      <c r="P79" s="153">
        <f t="shared" si="187"/>
        <v>0.18907563025210083</v>
      </c>
      <c r="Q79" s="118">
        <f t="shared" si="182"/>
        <v>0.20044613731578487</v>
      </c>
      <c r="R79" s="20"/>
      <c r="S79" s="153">
        <f t="shared" ref="S79:AB79" si="188">S37/S7</f>
        <v>0.18907563025210083</v>
      </c>
      <c r="T79" s="153">
        <f t="shared" si="188"/>
        <v>0.18907563025210083</v>
      </c>
      <c r="U79" s="153">
        <f t="shared" si="188"/>
        <v>0.18907563025210086</v>
      </c>
      <c r="V79" s="153">
        <f t="shared" si="188"/>
        <v>0.18907563025210083</v>
      </c>
      <c r="W79" s="153">
        <f t="shared" si="188"/>
        <v>0.18907563025210086</v>
      </c>
      <c r="X79" s="153">
        <f t="shared" si="188"/>
        <v>0.18907563025210083</v>
      </c>
      <c r="Y79" s="153">
        <f t="shared" si="188"/>
        <v>0.18907563025210083</v>
      </c>
      <c r="Z79" s="153">
        <f t="shared" si="188"/>
        <v>0.18907563025210081</v>
      </c>
      <c r="AA79" s="153">
        <f t="shared" si="188"/>
        <v>0.18907563025210081</v>
      </c>
      <c r="AB79" s="153">
        <f t="shared" si="188"/>
        <v>0.18907563025210083</v>
      </c>
      <c r="AC79" s="138">
        <f t="shared" si="184"/>
        <v>9.0393801528012796E-2</v>
      </c>
      <c r="AD79" s="146"/>
      <c r="AE79" s="146"/>
    </row>
    <row r="80" spans="2:31">
      <c r="B80" s="20" t="s">
        <v>322</v>
      </c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18" t="e">
        <f t="shared" si="182"/>
        <v>#DIV/0!</v>
      </c>
      <c r="R80" s="20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3"/>
      <c r="AD80" s="146"/>
      <c r="AE80" s="146"/>
    </row>
    <row r="81" spans="2:31">
      <c r="B81" s="20" t="s">
        <v>327</v>
      </c>
      <c r="C81" s="153"/>
      <c r="D81" s="153"/>
      <c r="E81" s="153"/>
      <c r="F81" s="153"/>
      <c r="G81" s="153">
        <f>G28/G24</f>
        <v>1.3157894736842107E-3</v>
      </c>
      <c r="H81" s="153">
        <f t="shared" ref="H81:P81" si="189">H28/H24</f>
        <v>0</v>
      </c>
      <c r="I81" s="153">
        <f t="shared" si="189"/>
        <v>1.2380952380952381E-2</v>
      </c>
      <c r="J81" s="153">
        <f t="shared" si="189"/>
        <v>3.259259259259259E-2</v>
      </c>
      <c r="K81" s="153">
        <f t="shared" si="189"/>
        <v>4.8055555555555553E-2</v>
      </c>
      <c r="L81" s="153">
        <f t="shared" si="189"/>
        <v>3.2352941176470584E-2</v>
      </c>
      <c r="M81" s="153">
        <f t="shared" si="189"/>
        <v>4.0540540540540543E-2</v>
      </c>
      <c r="N81" s="153">
        <f t="shared" si="189"/>
        <v>3.896103896103896E-2</v>
      </c>
      <c r="O81" s="153">
        <f t="shared" si="189"/>
        <v>3.8834951456310676E-2</v>
      </c>
      <c r="P81" s="153">
        <f t="shared" si="189"/>
        <v>5.4545454545454541E-3</v>
      </c>
      <c r="Q81" s="118">
        <f t="shared" si="182"/>
        <v>0.17116781400506742</v>
      </c>
      <c r="R81" s="20"/>
      <c r="S81" s="153">
        <f t="shared" ref="S81:AB81" si="190">S28/S24</f>
        <v>5.454545454545455E-3</v>
      </c>
      <c r="T81" s="153">
        <f t="shared" si="190"/>
        <v>5.454545454545455E-3</v>
      </c>
      <c r="U81" s="153">
        <f t="shared" si="190"/>
        <v>5.454545454545455E-3</v>
      </c>
      <c r="V81" s="153">
        <f t="shared" si="190"/>
        <v>5.454545454545455E-3</v>
      </c>
      <c r="W81" s="153">
        <f t="shared" si="190"/>
        <v>5.4545454545454558E-3</v>
      </c>
      <c r="X81" s="153">
        <f t="shared" si="190"/>
        <v>5.4545454545454558E-3</v>
      </c>
      <c r="Y81" s="153">
        <f t="shared" si="190"/>
        <v>5.4545454545454567E-3</v>
      </c>
      <c r="Z81" s="153">
        <f t="shared" si="190"/>
        <v>5.4545454545454567E-3</v>
      </c>
      <c r="AA81" s="153">
        <f t="shared" si="190"/>
        <v>5.4545454545454576E-3</v>
      </c>
      <c r="AB81" s="153">
        <f t="shared" si="190"/>
        <v>5.4545454545454576E-3</v>
      </c>
      <c r="AC81" s="138">
        <f t="shared" si="184"/>
        <v>7.7714677916193908E-2</v>
      </c>
      <c r="AD81" s="146"/>
      <c r="AE81" s="146"/>
    </row>
    <row r="82" spans="2:31">
      <c r="B82" s="20" t="s">
        <v>329</v>
      </c>
      <c r="C82" s="153"/>
      <c r="D82" s="153"/>
      <c r="E82" s="153"/>
      <c r="F82" s="153"/>
      <c r="G82" s="172">
        <f>G28/G12</f>
        <v>3.1249999999999997E-3</v>
      </c>
      <c r="H82" s="172">
        <f t="shared" ref="H82:P82" si="191">H28/H12</f>
        <v>0</v>
      </c>
      <c r="I82" s="172">
        <f t="shared" si="191"/>
        <v>1.9259259259259261E-2</v>
      </c>
      <c r="J82" s="172">
        <f t="shared" si="191"/>
        <v>8.3809523809523806E-2</v>
      </c>
      <c r="K82" s="172">
        <f t="shared" si="191"/>
        <v>7.3617021276595737E-2</v>
      </c>
      <c r="L82" s="172">
        <f t="shared" si="191"/>
        <v>7.0212765957446799E-2</v>
      </c>
      <c r="M82" s="172">
        <f t="shared" si="191"/>
        <v>3.8216560509554139E-2</v>
      </c>
      <c r="N82" s="172">
        <f t="shared" si="191"/>
        <v>2.5423728813559324E-2</v>
      </c>
      <c r="O82" s="172">
        <f t="shared" si="191"/>
        <v>3.6036036036036036E-2</v>
      </c>
      <c r="P82" s="172">
        <f t="shared" si="191"/>
        <v>4.6153846153846149E-3</v>
      </c>
      <c r="Q82" s="118">
        <f t="shared" si="182"/>
        <v>4.4281397822578672E-2</v>
      </c>
      <c r="R82" s="20"/>
      <c r="S82" s="153">
        <f t="shared" ref="S82:AB82" si="192">S28/S12</f>
        <v>4.6153846153846149E-3</v>
      </c>
      <c r="T82" s="153">
        <f t="shared" si="192"/>
        <v>4.6153846153846149E-3</v>
      </c>
      <c r="U82" s="153">
        <f t="shared" si="192"/>
        <v>4.6153846153846149E-3</v>
      </c>
      <c r="V82" s="153">
        <f t="shared" si="192"/>
        <v>4.6153846153846158E-3</v>
      </c>
      <c r="W82" s="153">
        <f t="shared" si="192"/>
        <v>4.6153846153846149E-3</v>
      </c>
      <c r="X82" s="153">
        <f t="shared" si="192"/>
        <v>4.6153846153846158E-3</v>
      </c>
      <c r="Y82" s="153">
        <f t="shared" si="192"/>
        <v>4.6153846153846158E-3</v>
      </c>
      <c r="Z82" s="153">
        <f t="shared" si="192"/>
        <v>4.6153846153846158E-3</v>
      </c>
      <c r="AA82" s="153">
        <f t="shared" si="192"/>
        <v>4.6153846153846158E-3</v>
      </c>
      <c r="AB82" s="153">
        <f t="shared" si="192"/>
        <v>4.6153846153846158E-3</v>
      </c>
      <c r="AC82" s="138">
        <f t="shared" si="184"/>
        <v>2.0736330016214222E-2</v>
      </c>
      <c r="AD82" s="146"/>
      <c r="AE82" s="146"/>
    </row>
    <row r="83" spans="2:31">
      <c r="B83" s="20" t="s">
        <v>330</v>
      </c>
      <c r="C83" s="153"/>
      <c r="D83" s="153"/>
      <c r="E83" s="153"/>
      <c r="F83" s="164">
        <f>F12+F13-F10</f>
        <v>0</v>
      </c>
      <c r="G83" s="164">
        <f>G12+G13-G10</f>
        <v>8.19</v>
      </c>
      <c r="H83" s="164">
        <f t="shared" ref="H83:P83" si="193">H12+H13-H10</f>
        <v>8</v>
      </c>
      <c r="I83" s="164">
        <f t="shared" si="193"/>
        <v>5.85</v>
      </c>
      <c r="J83" s="164">
        <f t="shared" si="193"/>
        <v>-0.5</v>
      </c>
      <c r="K83" s="164">
        <f t="shared" si="193"/>
        <v>6.5</v>
      </c>
      <c r="L83" s="164">
        <f t="shared" si="193"/>
        <v>22</v>
      </c>
      <c r="M83" s="164">
        <f t="shared" si="193"/>
        <v>63.5</v>
      </c>
      <c r="N83" s="164">
        <f t="shared" si="193"/>
        <v>80</v>
      </c>
      <c r="O83" s="164">
        <f t="shared" si="193"/>
        <v>110</v>
      </c>
      <c r="P83" s="164">
        <f t="shared" si="193"/>
        <v>129.99</v>
      </c>
      <c r="Q83" s="118">
        <f t="shared" si="182"/>
        <v>0.3595741341576566</v>
      </c>
      <c r="R83" s="20"/>
      <c r="S83" s="164">
        <f t="shared" ref="S83:AB83" si="194">S12+S13-S10</f>
        <v>149.48849999999999</v>
      </c>
      <c r="T83" s="164">
        <f t="shared" si="194"/>
        <v>171.91177499999998</v>
      </c>
      <c r="U83" s="164">
        <f t="shared" si="194"/>
        <v>197.69854124999998</v>
      </c>
      <c r="V83" s="164">
        <f t="shared" si="194"/>
        <v>227.35332243749994</v>
      </c>
      <c r="W83" s="164">
        <f t="shared" si="194"/>
        <v>261.45632080312492</v>
      </c>
      <c r="X83" s="164">
        <f t="shared" si="194"/>
        <v>300.67476892359366</v>
      </c>
      <c r="Y83" s="164">
        <f t="shared" si="194"/>
        <v>345.77598426213262</v>
      </c>
      <c r="Z83" s="164">
        <f t="shared" si="194"/>
        <v>397.64238190145255</v>
      </c>
      <c r="AA83" s="164">
        <f t="shared" si="194"/>
        <v>457.2887391866704</v>
      </c>
      <c r="AB83" s="164">
        <f t="shared" si="194"/>
        <v>525.88205006467092</v>
      </c>
      <c r="AC83" s="138">
        <f t="shared" si="184"/>
        <v>0.24490747909337851</v>
      </c>
      <c r="AD83" s="146"/>
      <c r="AE83" s="146"/>
    </row>
    <row r="84" spans="2:31" ht="12" customHeight="1">
      <c r="B84" s="20" t="s">
        <v>325</v>
      </c>
      <c r="C84" s="20"/>
      <c r="D84" s="20"/>
      <c r="E84" s="20"/>
      <c r="F84" s="20"/>
      <c r="G84" s="153">
        <f t="shared" ref="G84:P84" si="195">G37/G17</f>
        <v>0.16799999999999998</v>
      </c>
      <c r="H84" s="153">
        <f t="shared" si="195"/>
        <v>0.27674418604651163</v>
      </c>
      <c r="I84" s="153">
        <f t="shared" si="195"/>
        <v>2.2894736842105261</v>
      </c>
      <c r="J84" s="153">
        <f t="shared" si="195"/>
        <v>2.441860465116279</v>
      </c>
      <c r="K84" s="153">
        <f t="shared" si="195"/>
        <v>2.6584867075664622</v>
      </c>
      <c r="L84" s="153">
        <f t="shared" si="195"/>
        <v>6.7142857142857144</v>
      </c>
      <c r="M84" s="153">
        <f t="shared" si="195"/>
        <v>4.3939393939393945</v>
      </c>
      <c r="N84" s="153">
        <f t="shared" si="195"/>
        <v>5.1863857374392222</v>
      </c>
      <c r="O84" s="153">
        <f t="shared" si="195"/>
        <v>6.9841269841269842</v>
      </c>
      <c r="P84" s="153">
        <f t="shared" si="195"/>
        <v>0.38461538461538464</v>
      </c>
      <c r="Q84" s="118">
        <f t="shared" si="182"/>
        <v>9.6398914020357829E-2</v>
      </c>
      <c r="R84" s="20"/>
      <c r="S84" s="153">
        <f t="shared" ref="S84:AB84" si="196">S37/S17</f>
        <v>0.38461538461538464</v>
      </c>
      <c r="T84" s="153">
        <f t="shared" si="196"/>
        <v>0.38461538461538464</v>
      </c>
      <c r="U84" s="153">
        <f t="shared" si="196"/>
        <v>0.38461538461538464</v>
      </c>
      <c r="V84" s="153">
        <f t="shared" si="196"/>
        <v>0.38461538461538464</v>
      </c>
      <c r="W84" s="153">
        <f t="shared" si="196"/>
        <v>0.38461538461538464</v>
      </c>
      <c r="X84" s="153">
        <f t="shared" si="196"/>
        <v>0.38461538461538464</v>
      </c>
      <c r="Y84" s="153">
        <f t="shared" si="196"/>
        <v>0.38461538461538469</v>
      </c>
      <c r="Z84" s="153">
        <f t="shared" si="196"/>
        <v>0.38461538461538469</v>
      </c>
      <c r="AA84" s="153">
        <f t="shared" si="196"/>
        <v>0.38461538461538464</v>
      </c>
      <c r="AB84" s="153">
        <f t="shared" si="196"/>
        <v>0.38461538461538469</v>
      </c>
      <c r="AC84" s="138">
        <f t="shared" si="184"/>
        <v>4.4557840309349173E-2</v>
      </c>
      <c r="AD84" s="20"/>
      <c r="AE84" s="20"/>
    </row>
    <row r="85" spans="2:31">
      <c r="B85" s="20" t="s">
        <v>326</v>
      </c>
      <c r="C85" s="20"/>
      <c r="D85" s="20"/>
      <c r="E85" s="20"/>
      <c r="F85" s="20"/>
      <c r="G85" s="153">
        <f t="shared" ref="G85:P85" si="197">G37/G24</f>
        <v>0.11052631578947368</v>
      </c>
      <c r="H85" s="153">
        <f t="shared" si="197"/>
        <v>0.10818181818181817</v>
      </c>
      <c r="I85" s="153">
        <f t="shared" si="197"/>
        <v>0.41428571428571426</v>
      </c>
      <c r="J85" s="153">
        <f t="shared" si="197"/>
        <v>0.3888888888888889</v>
      </c>
      <c r="K85" s="153">
        <f t="shared" si="197"/>
        <v>0.3611111111111111</v>
      </c>
      <c r="L85" s="153">
        <f t="shared" si="197"/>
        <v>0.46078431372549017</v>
      </c>
      <c r="M85" s="153">
        <f t="shared" si="197"/>
        <v>0.39189189189189189</v>
      </c>
      <c r="N85" s="153">
        <f t="shared" si="197"/>
        <v>0.41558441558441561</v>
      </c>
      <c r="O85" s="153">
        <f t="shared" si="197"/>
        <v>0.42718446601941745</v>
      </c>
      <c r="P85" s="153">
        <f t="shared" si="197"/>
        <v>0.40909090909090912</v>
      </c>
      <c r="Q85" s="118">
        <f t="shared" si="182"/>
        <v>0.15651284161737733</v>
      </c>
      <c r="R85" s="20"/>
      <c r="S85" s="153">
        <f t="shared" ref="S85:AB85" si="198">S37/S24</f>
        <v>0.40909090909090906</v>
      </c>
      <c r="T85" s="153">
        <f t="shared" si="198"/>
        <v>0.40909090909090912</v>
      </c>
      <c r="U85" s="153">
        <f t="shared" si="198"/>
        <v>0.40909090909090912</v>
      </c>
      <c r="V85" s="153">
        <f t="shared" si="198"/>
        <v>0.40909090909090912</v>
      </c>
      <c r="W85" s="153">
        <f t="shared" si="198"/>
        <v>0.40909090909090912</v>
      </c>
      <c r="X85" s="153">
        <f t="shared" si="198"/>
        <v>0.40909090909090912</v>
      </c>
      <c r="Y85" s="153">
        <f t="shared" si="198"/>
        <v>0.40909090909090917</v>
      </c>
      <c r="Z85" s="153">
        <f t="shared" si="198"/>
        <v>0.40909090909090917</v>
      </c>
      <c r="AA85" s="153">
        <f t="shared" si="198"/>
        <v>0.40909090909090917</v>
      </c>
      <c r="AB85" s="153">
        <f t="shared" si="198"/>
        <v>0.40909090909090917</v>
      </c>
      <c r="AC85" s="138">
        <f t="shared" si="184"/>
        <v>7.1305601051487644E-2</v>
      </c>
      <c r="AD85" s="20"/>
      <c r="AE85" s="20"/>
    </row>
    <row r="86" spans="2:31">
      <c r="B86" s="20" t="s">
        <v>352</v>
      </c>
      <c r="C86" s="20"/>
      <c r="D86" s="20"/>
      <c r="E86" s="153"/>
      <c r="F86" s="153"/>
      <c r="G86" s="153">
        <f t="shared" ref="G86:O86" si="199">G24/G17</f>
        <v>1.52</v>
      </c>
      <c r="H86" s="153">
        <f t="shared" si="199"/>
        <v>2.558139534883721</v>
      </c>
      <c r="I86" s="153">
        <f t="shared" si="199"/>
        <v>5.5263157894736841</v>
      </c>
      <c r="J86" s="153">
        <f t="shared" si="199"/>
        <v>6.279069767441861</v>
      </c>
      <c r="K86" s="153">
        <f t="shared" si="199"/>
        <v>7.3619631901840492</v>
      </c>
      <c r="L86" s="153">
        <f t="shared" si="199"/>
        <v>14.571428571428571</v>
      </c>
      <c r="M86" s="153">
        <f t="shared" si="199"/>
        <v>11.212121212121213</v>
      </c>
      <c r="N86" s="153">
        <f t="shared" si="199"/>
        <v>12.479740680713128</v>
      </c>
      <c r="O86" s="153">
        <f t="shared" si="199"/>
        <v>16.349206349206348</v>
      </c>
      <c r="P86" s="153">
        <f>P24/P17</f>
        <v>0.94017094017094016</v>
      </c>
      <c r="Q86" s="118">
        <f t="shared" si="182"/>
        <v>-5.1978607961629231E-2</v>
      </c>
      <c r="R86" s="20"/>
      <c r="S86" s="153">
        <f>S24/S17</f>
        <v>0.94017094017094016</v>
      </c>
      <c r="T86" s="153">
        <f t="shared" ref="T86:AB86" si="200">T24/T17</f>
        <v>0.94017094017094016</v>
      </c>
      <c r="U86" s="153">
        <f t="shared" si="200"/>
        <v>0.94017094017094027</v>
      </c>
      <c r="V86" s="153">
        <f t="shared" si="200"/>
        <v>0.94017094017094016</v>
      </c>
      <c r="W86" s="153">
        <f t="shared" si="200"/>
        <v>0.94017094017094016</v>
      </c>
      <c r="X86" s="153">
        <f t="shared" si="200"/>
        <v>0.94017094017094016</v>
      </c>
      <c r="Y86" s="153">
        <f t="shared" si="200"/>
        <v>0.94017094017094016</v>
      </c>
      <c r="Z86" s="153">
        <f t="shared" si="200"/>
        <v>0.94017094017094016</v>
      </c>
      <c r="AA86" s="153">
        <f t="shared" si="200"/>
        <v>0.94017094017094016</v>
      </c>
      <c r="AB86" s="153">
        <f t="shared" si="200"/>
        <v>0.94017094017094016</v>
      </c>
      <c r="AC86" s="138">
        <f t="shared" si="184"/>
        <v>-2.4967442264733242E-2</v>
      </c>
      <c r="AD86" s="20"/>
      <c r="AE86" s="20"/>
    </row>
    <row r="87" spans="2:31">
      <c r="B87" s="20"/>
      <c r="C87" s="20"/>
      <c r="D87" s="20"/>
      <c r="E87" s="20"/>
      <c r="F87" s="20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28"/>
      <c r="R87" s="20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28"/>
      <c r="AD87" s="20"/>
      <c r="AE87" s="20"/>
    </row>
    <row r="88" spans="2:31">
      <c r="B88" s="20" t="s">
        <v>338</v>
      </c>
      <c r="C88" s="20"/>
      <c r="D88" s="20"/>
      <c r="E88" s="166">
        <f t="shared" ref="E88:F88" si="201">E61*E39</f>
        <v>1</v>
      </c>
      <c r="F88" s="166">
        <f t="shared" si="201"/>
        <v>0</v>
      </c>
      <c r="G88" s="166">
        <f>G61*G39</f>
        <v>0</v>
      </c>
      <c r="H88" s="166">
        <f t="shared" ref="H88:P88" si="202">H61*H39</f>
        <v>0</v>
      </c>
      <c r="I88" s="166">
        <f t="shared" si="202"/>
        <v>0</v>
      </c>
      <c r="J88" s="166">
        <f t="shared" si="202"/>
        <v>0</v>
      </c>
      <c r="K88" s="166">
        <f t="shared" si="202"/>
        <v>2.0999999999999996</v>
      </c>
      <c r="L88" s="166">
        <f t="shared" si="202"/>
        <v>2.145</v>
      </c>
      <c r="M88" s="166">
        <f t="shared" si="202"/>
        <v>2.31</v>
      </c>
      <c r="N88" s="166">
        <f t="shared" si="202"/>
        <v>5.07</v>
      </c>
      <c r="O88" s="166">
        <f t="shared" si="202"/>
        <v>5.07</v>
      </c>
      <c r="P88" s="166">
        <f t="shared" si="202"/>
        <v>8.4</v>
      </c>
      <c r="Q88" s="118" t="e">
        <f t="shared" si="182"/>
        <v>#DIV/0!</v>
      </c>
      <c r="R88" s="20"/>
      <c r="S88" s="166">
        <f t="shared" ref="S88:AB88" si="203">S61*S39</f>
        <v>10.142999999999999</v>
      </c>
      <c r="T88" s="166">
        <f t="shared" si="203"/>
        <v>12.247672499999998</v>
      </c>
      <c r="U88" s="166">
        <f t="shared" si="203"/>
        <v>14.789064543749998</v>
      </c>
      <c r="V88" s="166">
        <f t="shared" si="203"/>
        <v>17.857795436578119</v>
      </c>
      <c r="W88" s="166">
        <f t="shared" si="203"/>
        <v>21.56328798966808</v>
      </c>
      <c r="X88" s="166">
        <f t="shared" si="203"/>
        <v>26.037670247524204</v>
      </c>
      <c r="Y88" s="166">
        <f t="shared" si="203"/>
        <v>31.440486823885479</v>
      </c>
      <c r="Z88" s="166">
        <f t="shared" si="203"/>
        <v>37.964387839841713</v>
      </c>
      <c r="AA88" s="166">
        <f t="shared" si="203"/>
        <v>45.841998316608873</v>
      </c>
      <c r="AB88" s="166">
        <f t="shared" si="203"/>
        <v>55.354212967305209</v>
      </c>
      <c r="AC88" s="138" t="e">
        <f t="shared" si="184"/>
        <v>#DIV/0!</v>
      </c>
      <c r="AD88" s="20"/>
      <c r="AE88" s="20"/>
    </row>
    <row r="89" spans="2:31">
      <c r="B89" s="20" t="s">
        <v>339</v>
      </c>
      <c r="C89" s="20"/>
      <c r="D89" s="20"/>
      <c r="E89" s="166">
        <f>(E88*0.17)+E88</f>
        <v>1.17</v>
      </c>
      <c r="F89" s="166">
        <f>(F88*0.17)+F88</f>
        <v>0</v>
      </c>
      <c r="G89" s="166">
        <f t="shared" ref="G89:P89" si="204">(G88*0.17)+G88</f>
        <v>0</v>
      </c>
      <c r="H89" s="166">
        <f t="shared" si="204"/>
        <v>0</v>
      </c>
      <c r="I89" s="166">
        <f t="shared" si="204"/>
        <v>0</v>
      </c>
      <c r="J89" s="166">
        <f t="shared" si="204"/>
        <v>0</v>
      </c>
      <c r="K89" s="166">
        <f t="shared" si="204"/>
        <v>2.4569999999999999</v>
      </c>
      <c r="L89" s="166">
        <f t="shared" si="204"/>
        <v>2.5096500000000002</v>
      </c>
      <c r="M89" s="166">
        <f t="shared" si="204"/>
        <v>2.7027000000000001</v>
      </c>
      <c r="N89" s="166">
        <f t="shared" si="204"/>
        <v>5.9319000000000006</v>
      </c>
      <c r="O89" s="166">
        <f t="shared" si="204"/>
        <v>5.9319000000000006</v>
      </c>
      <c r="P89" s="166">
        <f t="shared" si="204"/>
        <v>9.8280000000000012</v>
      </c>
      <c r="Q89" s="118" t="e">
        <f t="shared" si="182"/>
        <v>#DIV/0!</v>
      </c>
      <c r="R89" s="20"/>
      <c r="S89" s="166">
        <f t="shared" ref="S89:AB89" si="205">(S88*0.17)+S88</f>
        <v>11.86731</v>
      </c>
      <c r="T89" s="166">
        <f t="shared" si="205"/>
        <v>14.329776824999998</v>
      </c>
      <c r="U89" s="166">
        <f t="shared" si="205"/>
        <v>17.303205516187496</v>
      </c>
      <c r="V89" s="166">
        <f t="shared" si="205"/>
        <v>20.893620660796401</v>
      </c>
      <c r="W89" s="166">
        <f t="shared" si="205"/>
        <v>25.229046947911655</v>
      </c>
      <c r="X89" s="166">
        <f t="shared" si="205"/>
        <v>30.46407418960332</v>
      </c>
      <c r="Y89" s="166">
        <f t="shared" si="205"/>
        <v>36.785369583946007</v>
      </c>
      <c r="Z89" s="166">
        <f t="shared" si="205"/>
        <v>44.418333772614801</v>
      </c>
      <c r="AA89" s="166">
        <f t="shared" si="205"/>
        <v>53.63513803043238</v>
      </c>
      <c r="AB89" s="166">
        <f t="shared" si="205"/>
        <v>64.764429171747096</v>
      </c>
      <c r="AC89" s="138" t="e">
        <f t="shared" si="184"/>
        <v>#DIV/0!</v>
      </c>
      <c r="AD89" s="20"/>
      <c r="AE89" s="20"/>
    </row>
    <row r="90" spans="2:31">
      <c r="B90" s="20" t="s">
        <v>340</v>
      </c>
      <c r="C90" s="20"/>
      <c r="D90" s="20"/>
      <c r="E90" s="20"/>
      <c r="F90" s="153" t="e">
        <f t="shared" ref="F90:M90" si="206">F89/F37</f>
        <v>#DIV/0!</v>
      </c>
      <c r="G90" s="153">
        <f t="shared" si="206"/>
        <v>0</v>
      </c>
      <c r="H90" s="153">
        <f t="shared" si="206"/>
        <v>0</v>
      </c>
      <c r="I90" s="153">
        <f t="shared" si="206"/>
        <v>0</v>
      </c>
      <c r="J90" s="153">
        <f t="shared" si="206"/>
        <v>0</v>
      </c>
      <c r="K90" s="153">
        <f t="shared" si="206"/>
        <v>0.189</v>
      </c>
      <c r="L90" s="153">
        <f t="shared" si="206"/>
        <v>5.3396808510638299E-2</v>
      </c>
      <c r="M90" s="153">
        <f t="shared" si="206"/>
        <v>9.3196551724137933E-2</v>
      </c>
      <c r="N90" s="153">
        <f t="shared" ref="N90" si="207">N89/N37</f>
        <v>0.18537187500000002</v>
      </c>
      <c r="O90" s="153">
        <f t="shared" ref="O90" si="208">O89/O37</f>
        <v>0.1348159090909091</v>
      </c>
      <c r="P90" s="153">
        <f t="shared" ref="P90" si="209">P89/P37</f>
        <v>0.21840000000000004</v>
      </c>
      <c r="Q90" s="118" t="e">
        <f t="shared" si="182"/>
        <v>#DIV/0!</v>
      </c>
      <c r="R90" s="20"/>
      <c r="S90" s="153">
        <f t="shared" ref="S90:AB90" si="210">S89/S37</f>
        <v>0.22932000000000002</v>
      </c>
      <c r="T90" s="153">
        <f t="shared" si="210"/>
        <v>0.240786</v>
      </c>
      <c r="U90" s="153">
        <f t="shared" si="210"/>
        <v>0.25282530000000003</v>
      </c>
      <c r="V90" s="153">
        <f t="shared" si="210"/>
        <v>0.26546656500000004</v>
      </c>
      <c r="W90" s="153">
        <f t="shared" si="210"/>
        <v>0.27873989325000009</v>
      </c>
      <c r="X90" s="153">
        <f t="shared" si="210"/>
        <v>0.29267688791250002</v>
      </c>
      <c r="Y90" s="153">
        <f t="shared" si="210"/>
        <v>0.30731073230812506</v>
      </c>
      <c r="Z90" s="153">
        <f t="shared" si="210"/>
        <v>0.3226762689235313</v>
      </c>
      <c r="AA90" s="153">
        <f t="shared" si="210"/>
        <v>0.33881008236970794</v>
      </c>
      <c r="AB90" s="153">
        <f t="shared" si="210"/>
        <v>0.35575058648819335</v>
      </c>
      <c r="AC90" s="138" t="e">
        <f t="shared" si="184"/>
        <v>#DIV/0!</v>
      </c>
      <c r="AD90" s="20"/>
      <c r="AE90" s="20"/>
    </row>
    <row r="91" spans="2:31">
      <c r="B91" s="20" t="s">
        <v>333</v>
      </c>
      <c r="C91" s="20"/>
      <c r="D91" s="20"/>
      <c r="E91" s="20"/>
      <c r="F91" s="153" t="e">
        <f>1-F90</f>
        <v>#DIV/0!</v>
      </c>
      <c r="G91" s="153">
        <f>1-G90</f>
        <v>1</v>
      </c>
      <c r="H91" s="153">
        <f t="shared" ref="H91:P91" si="211">1-H90</f>
        <v>1</v>
      </c>
      <c r="I91" s="153">
        <f t="shared" si="211"/>
        <v>1</v>
      </c>
      <c r="J91" s="153">
        <f t="shared" si="211"/>
        <v>1</v>
      </c>
      <c r="K91" s="153">
        <f t="shared" si="211"/>
        <v>0.81099999999999994</v>
      </c>
      <c r="L91" s="153">
        <f t="shared" si="211"/>
        <v>0.94660319148936167</v>
      </c>
      <c r="M91" s="153">
        <f t="shared" si="211"/>
        <v>0.90680344827586201</v>
      </c>
      <c r="N91" s="153">
        <f t="shared" si="211"/>
        <v>0.81462812500000004</v>
      </c>
      <c r="O91" s="153">
        <f t="shared" si="211"/>
        <v>0.86518409090909087</v>
      </c>
      <c r="P91" s="153">
        <f t="shared" si="211"/>
        <v>0.78159999999999996</v>
      </c>
      <c r="Q91" s="118">
        <f t="shared" si="182"/>
        <v>-2.7007719869040381E-2</v>
      </c>
      <c r="R91" s="20"/>
      <c r="S91" s="153">
        <f t="shared" ref="S91:AB91" si="212">1-S90</f>
        <v>0.77068000000000003</v>
      </c>
      <c r="T91" s="153">
        <f t="shared" si="212"/>
        <v>0.75921400000000006</v>
      </c>
      <c r="U91" s="153">
        <f t="shared" si="212"/>
        <v>0.74717469999999997</v>
      </c>
      <c r="V91" s="153">
        <f t="shared" si="212"/>
        <v>0.7345334349999999</v>
      </c>
      <c r="W91" s="153">
        <f t="shared" si="212"/>
        <v>0.72126010674999996</v>
      </c>
      <c r="X91" s="153">
        <f t="shared" si="212"/>
        <v>0.70732311208749998</v>
      </c>
      <c r="Y91" s="153">
        <f t="shared" si="212"/>
        <v>0.692689267691875</v>
      </c>
      <c r="Z91" s="153">
        <f t="shared" si="212"/>
        <v>0.6773237310764687</v>
      </c>
      <c r="AA91" s="153">
        <f t="shared" si="212"/>
        <v>0.661189917630292</v>
      </c>
      <c r="AB91" s="153">
        <f t="shared" si="212"/>
        <v>0.64424941351180665</v>
      </c>
      <c r="AC91" s="138">
        <f t="shared" si="184"/>
        <v>-2.2874803721354975E-2</v>
      </c>
      <c r="AD91" s="20"/>
      <c r="AE91" s="20"/>
    </row>
    <row r="92" spans="2:31">
      <c r="B92" s="20"/>
      <c r="C92" s="20"/>
      <c r="D92" s="20"/>
      <c r="E92" s="20"/>
      <c r="F92" s="20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28"/>
      <c r="R92" s="20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28"/>
      <c r="AD92" s="20"/>
      <c r="AE92" s="20"/>
    </row>
    <row r="93" spans="2:31">
      <c r="B93" s="20" t="s">
        <v>337</v>
      </c>
      <c r="C93" s="153"/>
      <c r="D93" s="153"/>
      <c r="E93" s="153"/>
      <c r="F93" s="153" t="e">
        <f>F30/F24</f>
        <v>#DIV/0!</v>
      </c>
      <c r="G93" s="153">
        <f>G30/G24</f>
        <v>0</v>
      </c>
      <c r="H93" s="153">
        <f t="shared" ref="H93:P93" si="213">H30/H24</f>
        <v>0</v>
      </c>
      <c r="I93" s="153">
        <f t="shared" si="213"/>
        <v>0</v>
      </c>
      <c r="J93" s="153">
        <f t="shared" si="213"/>
        <v>0</v>
      </c>
      <c r="K93" s="153">
        <f t="shared" si="213"/>
        <v>0</v>
      </c>
      <c r="L93" s="153">
        <f t="shared" si="213"/>
        <v>0</v>
      </c>
      <c r="M93" s="153">
        <f t="shared" si="213"/>
        <v>0</v>
      </c>
      <c r="N93" s="153">
        <f t="shared" si="213"/>
        <v>0</v>
      </c>
      <c r="O93" s="153">
        <f t="shared" si="213"/>
        <v>0</v>
      </c>
      <c r="P93" s="153">
        <f t="shared" si="213"/>
        <v>0</v>
      </c>
      <c r="Q93" s="118" t="e">
        <f t="shared" si="182"/>
        <v>#DIV/0!</v>
      </c>
      <c r="R93" s="20"/>
      <c r="S93" s="153">
        <f t="shared" ref="S93:AB93" si="214">S30/S24</f>
        <v>0</v>
      </c>
      <c r="T93" s="153">
        <f t="shared" si="214"/>
        <v>0</v>
      </c>
      <c r="U93" s="153">
        <f t="shared" si="214"/>
        <v>0</v>
      </c>
      <c r="V93" s="153">
        <f t="shared" si="214"/>
        <v>0</v>
      </c>
      <c r="W93" s="153">
        <f t="shared" si="214"/>
        <v>0</v>
      </c>
      <c r="X93" s="153">
        <f t="shared" si="214"/>
        <v>0</v>
      </c>
      <c r="Y93" s="153">
        <f t="shared" si="214"/>
        <v>0</v>
      </c>
      <c r="Z93" s="153">
        <f t="shared" si="214"/>
        <v>0</v>
      </c>
      <c r="AA93" s="153">
        <f t="shared" si="214"/>
        <v>0</v>
      </c>
      <c r="AB93" s="153">
        <f t="shared" si="214"/>
        <v>0</v>
      </c>
      <c r="AC93" s="138" t="e">
        <f t="shared" si="184"/>
        <v>#DIV/0!</v>
      </c>
      <c r="AD93" s="20"/>
      <c r="AE93" s="20"/>
    </row>
    <row r="94" spans="2:31">
      <c r="B94" s="20" t="s">
        <v>334</v>
      </c>
      <c r="C94" s="153"/>
      <c r="D94" s="153"/>
      <c r="E94" s="153"/>
      <c r="F94" s="153" t="e">
        <f>F31/F24</f>
        <v>#DIV/0!</v>
      </c>
      <c r="G94" s="153">
        <f>G31/G24</f>
        <v>0</v>
      </c>
      <c r="H94" s="153">
        <f t="shared" ref="H94:P94" si="215">H31/H24</f>
        <v>0</v>
      </c>
      <c r="I94" s="153">
        <f t="shared" si="215"/>
        <v>0</v>
      </c>
      <c r="J94" s="153">
        <f t="shared" si="215"/>
        <v>0</v>
      </c>
      <c r="K94" s="153">
        <f t="shared" si="215"/>
        <v>0</v>
      </c>
      <c r="L94" s="153">
        <f t="shared" si="215"/>
        <v>0</v>
      </c>
      <c r="M94" s="153">
        <f t="shared" si="215"/>
        <v>0</v>
      </c>
      <c r="N94" s="153">
        <f t="shared" si="215"/>
        <v>0</v>
      </c>
      <c r="O94" s="153">
        <f t="shared" si="215"/>
        <v>0</v>
      </c>
      <c r="P94" s="153">
        <f t="shared" si="215"/>
        <v>0</v>
      </c>
      <c r="Q94" s="118" t="e">
        <f t="shared" si="182"/>
        <v>#DIV/0!</v>
      </c>
      <c r="R94" s="20"/>
      <c r="S94" s="153">
        <f t="shared" ref="S94:AB94" si="216">S31/S24</f>
        <v>0</v>
      </c>
      <c r="T94" s="153">
        <f t="shared" si="216"/>
        <v>0</v>
      </c>
      <c r="U94" s="153">
        <f t="shared" si="216"/>
        <v>0</v>
      </c>
      <c r="V94" s="153">
        <f t="shared" si="216"/>
        <v>0</v>
      </c>
      <c r="W94" s="153">
        <f t="shared" si="216"/>
        <v>0</v>
      </c>
      <c r="X94" s="153">
        <f t="shared" si="216"/>
        <v>0</v>
      </c>
      <c r="Y94" s="153">
        <f t="shared" si="216"/>
        <v>0</v>
      </c>
      <c r="Z94" s="153">
        <f t="shared" si="216"/>
        <v>0</v>
      </c>
      <c r="AA94" s="153">
        <f t="shared" si="216"/>
        <v>0</v>
      </c>
      <c r="AB94" s="153">
        <f t="shared" si="216"/>
        <v>0</v>
      </c>
      <c r="AC94" s="138" t="e">
        <f t="shared" si="184"/>
        <v>#DIV/0!</v>
      </c>
      <c r="AD94" s="20"/>
      <c r="AE94" s="20"/>
    </row>
    <row r="95" spans="2:31">
      <c r="B95" s="20"/>
      <c r="C95" s="20"/>
      <c r="D95" s="20"/>
      <c r="E95" s="20"/>
      <c r="F95" s="20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28"/>
      <c r="R95" s="20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28"/>
      <c r="AD95" s="20"/>
      <c r="AE95" s="20"/>
    </row>
    <row r="96" spans="2:31">
      <c r="B96" s="20"/>
      <c r="C96" s="20"/>
      <c r="D96" s="20"/>
      <c r="E96" s="20"/>
      <c r="F96" s="20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28"/>
      <c r="R96" s="20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28"/>
      <c r="AD96" s="20"/>
      <c r="AE96" s="20"/>
    </row>
    <row r="97" spans="2:3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28"/>
      <c r="R97" s="128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39"/>
      <c r="AD97" s="20"/>
      <c r="AE97" s="20"/>
    </row>
    <row r="98" spans="2:31">
      <c r="B98" s="108" t="s">
        <v>244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3"/>
      <c r="R98" s="23"/>
      <c r="S98" s="122" t="s">
        <v>66</v>
      </c>
      <c r="T98" s="20"/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23" t="s">
        <v>281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5"/>
      <c r="Q99" s="161">
        <f>AVERAGE(G46:P46)</f>
        <v>14.753946419880487</v>
      </c>
      <c r="R99" s="23"/>
      <c r="S99" s="134"/>
      <c r="T99" s="20"/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 t="s">
        <v>25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>
        <f>S100+T100</f>
        <v>38.984911348409639</v>
      </c>
      <c r="S100" s="133">
        <f>PV($C$1, ($AB$3-$S$3), 0, -AB46)</f>
        <v>4.4736783514568437</v>
      </c>
      <c r="T100" s="133">
        <f>PV($C$1, ($AB$3-$S$3), 0, -AE46)</f>
        <v>34.511232996952799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0" t="s">
        <v>273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ref="R101:R119" si="217">S101+T101</f>
        <v>206.18686446492211</v>
      </c>
      <c r="S101" s="133">
        <f>PV($C$1, ($AB$3-$S$3), 0, -AB47)</f>
        <v>23.660787725482866</v>
      </c>
      <c r="T101" s="133">
        <f>PV($C$1, ($AB$3-$S$3), 0, -AE47)</f>
        <v>182.52607673943925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274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 t="shared" si="217"/>
        <v>191.45923128885624</v>
      </c>
      <c r="S102" s="133">
        <f>PV($C$1, ($AB$3-$S$3), 0, -AB48)</f>
        <v>21.970731459376946</v>
      </c>
      <c r="T102" s="133">
        <f>PV($C$1, ($AB$3-$S$3), 0, -AE48)</f>
        <v>169.48849982947931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 t="s">
        <v>275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si="217"/>
        <v>8.6633136329799208E-3</v>
      </c>
      <c r="S103" s="133">
        <f>PV($C$1, ($AB$3-$S$3), 0, -AB49)</f>
        <v>9.9415074476818773E-4</v>
      </c>
      <c r="T103" s="133">
        <f>PV($C$1, ($AB$3-$S$3), 0, -AE49)</f>
        <v>7.6691628882117327E-3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20" t="s">
        <v>276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>
        <f t="shared" si="217"/>
        <v>112.62307722873899</v>
      </c>
      <c r="S104" s="133">
        <f>PV($C$1, ($AB$3-$S$3), 0, -AB55)</f>
        <v>12.923959681986441</v>
      </c>
      <c r="T104" s="133">
        <f>PV($C$1, ($AB$3-$S$3), 0, -AE55)</f>
        <v>99.699117546752547</v>
      </c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/>
      <c r="S105" s="133"/>
      <c r="T105" s="20"/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>
      <c r="B106" s="20" t="s">
        <v>271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 t="shared" si="217"/>
        <v>206.17820115128916</v>
      </c>
      <c r="S106" s="133">
        <f>PV($C$1, ($AB$3-$S$3), 0, -AB51)</f>
        <v>23.659793574738099</v>
      </c>
      <c r="T106" s="133">
        <f>PV($C$1, ($AB$3-$S$3), 0, -$AE$51)</f>
        <v>182.51840757655106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>
      <c r="B107" s="20" t="s">
        <v>272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>
        <f t="shared" si="217"/>
        <v>163.72796434968751</v>
      </c>
      <c r="S107" s="133">
        <f>PV($C$1, ($AB$3-$S$3), 0, -AB52)</f>
        <v>18.78845492537398</v>
      </c>
      <c r="T107" s="133">
        <f>PV($C$1, ($AB$3-$S$3), 0, -$AE$52)</f>
        <v>144.93950942431354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20" t="s">
        <v>277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>
        <f t="shared" si="217"/>
        <v>299.74198838747225</v>
      </c>
      <c r="S108" s="133">
        <f>PV($C$1, ($AB$3-$S$3), 0, -AB53)</f>
        <v>34.396621618234519</v>
      </c>
      <c r="T108" s="133">
        <f>PV($C$1, ($AB$3-$S$3), 0, -$AE$53)</f>
        <v>265.34536676923773</v>
      </c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/>
      <c r="S109" s="133"/>
      <c r="T109" s="20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0" t="s">
        <v>249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17"/>
        <v>136.01402403778474</v>
      </c>
      <c r="S110" s="133">
        <f>PV($C$1, ($AB$3-$S$3), 0, -AB58)</f>
        <v>15.608166692860543</v>
      </c>
      <c r="T110" s="133">
        <f>PV($C$1, ($AB$3-$S$3), 0, -AE58)</f>
        <v>120.40585734492419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250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217"/>
        <v>65.053609644012852</v>
      </c>
      <c r="S111" s="133">
        <f>PV($C$1, ($AB$3-$S$3), 0, -AB59)</f>
        <v>11.730978788264613</v>
      </c>
      <c r="T111" s="133">
        <f>PV($C$1, ($AB$3-$S$3), 0, -AE59)</f>
        <v>53.322630855748244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/>
      <c r="S112" s="133"/>
      <c r="T112" s="133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 t="s">
        <v>294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>
        <f t="shared" ref="R113" si="218">S113+T113</f>
        <v>765.44691098728276</v>
      </c>
      <c r="S113" s="133">
        <f>PV($C$1, ($AB$3-$S$3), 0, -AB12)</f>
        <v>87.838170113294737</v>
      </c>
      <c r="T113" s="133">
        <f>PV($C$1, ($AB$3-$S$3), 0, -AE12)</f>
        <v>677.60874087398804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 t="s">
        <v>295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>S114+T114</f>
        <v>455.62316130195404</v>
      </c>
      <c r="S114" s="140">
        <f>S113/P39</f>
        <v>52.284625067437347</v>
      </c>
      <c r="T114" s="140">
        <f>T113/P39</f>
        <v>403.33853623451671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/>
      <c r="S115" s="140"/>
      <c r="T115" s="14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108" t="s">
        <v>298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/>
      <c r="S116" s="133"/>
      <c r="T116" s="133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20" t="s">
        <v>283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>
        <f t="shared" ref="R117" si="219">S117+T117</f>
        <v>49.475265568848336</v>
      </c>
      <c r="S117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38.981768663637524</v>
      </c>
      <c r="T117" s="133">
        <f>PV($C$1, ($AB$3-$S$3), 0, -AE61)</f>
        <v>10.49349690521081</v>
      </c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>
      <c r="B118" s="23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/>
      <c r="S118" s="133"/>
      <c r="T118" s="133"/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>
      <c r="B119" s="20" t="s">
        <v>291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40">
        <f t="shared" si="217"/>
        <v>0</v>
      </c>
      <c r="S119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0</v>
      </c>
      <c r="T119" s="133">
        <f>PV($C$1, ($AB$3-$S$3), 0, -AE63)</f>
        <v>0</v>
      </c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40"/>
      <c r="S120" s="133"/>
      <c r="T120" s="133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287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40">
        <f t="shared" ref="R121:R124" si="220">S121+T121</f>
        <v>0</v>
      </c>
      <c r="S121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21" s="133">
        <f>PV($C$1, ($AB$3-$S$3), 0, -AE65)</f>
        <v>0</v>
      </c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>
      <c r="B122" s="20" t="s">
        <v>288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40">
        <f t="shared" si="220"/>
        <v>0</v>
      </c>
      <c r="S122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22" s="133">
        <f>PV($C$1, ($AB$3-$S$3), 0, -AE66)</f>
        <v>0</v>
      </c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>
      <c r="B123" s="20" t="s">
        <v>289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40">
        <f t="shared" si="220"/>
        <v>0</v>
      </c>
      <c r="S123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23" s="133">
        <f>PV($C$1, ($AB$3-$S$3), 0, -AE67)</f>
        <v>0</v>
      </c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0" t="s">
        <v>290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0">
        <f t="shared" si="220"/>
        <v>0</v>
      </c>
      <c r="S124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24" s="133">
        <f>PV($C$1, ($AB$3-$S$3), 0, -AE68)</f>
        <v>0</v>
      </c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/>
      <c r="S125" s="133"/>
      <c r="T125" s="133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299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0</v>
      </c>
      <c r="S126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26" s="133">
        <f>PV($C$1, ($AB$3-$S$3), 0, -AE69)</f>
        <v>0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121"/>
      <c r="T127" s="20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108" t="s">
        <v>251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204</v>
      </c>
      <c r="C129" s="22">
        <v>0</v>
      </c>
      <c r="D129" s="22">
        <v>0</v>
      </c>
      <c r="E129" s="22">
        <v>0</v>
      </c>
      <c r="F129" s="22">
        <v>0</v>
      </c>
      <c r="G129" s="22">
        <v>10</v>
      </c>
      <c r="H129" s="22">
        <v>1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350</v>
      </c>
      <c r="Q129" s="118">
        <f t="shared" ref="Q129:Q133" si="221">((P129/G129)^(1/($H$2-$H$1) ))-1</f>
        <v>0.48444159836124179</v>
      </c>
      <c r="R129" s="31">
        <v>0.1</v>
      </c>
      <c r="S129" s="119">
        <f t="shared" ref="S129" si="222">P129*(1+$R129)</f>
        <v>385.00000000000006</v>
      </c>
      <c r="T129" s="119">
        <f t="shared" ref="T129:AB129" si="223">S129*(1+$R129)</f>
        <v>423.50000000000011</v>
      </c>
      <c r="U129" s="119">
        <f t="shared" si="223"/>
        <v>465.85000000000014</v>
      </c>
      <c r="V129" s="119">
        <f t="shared" si="223"/>
        <v>512.43500000000017</v>
      </c>
      <c r="W129" s="119">
        <f t="shared" si="223"/>
        <v>563.67850000000021</v>
      </c>
      <c r="X129" s="119">
        <f t="shared" si="223"/>
        <v>620.0463500000003</v>
      </c>
      <c r="Y129" s="119">
        <f t="shared" si="223"/>
        <v>682.05098500000042</v>
      </c>
      <c r="Z129" s="119">
        <f t="shared" si="223"/>
        <v>750.2560835000005</v>
      </c>
      <c r="AA129" s="119">
        <f t="shared" si="223"/>
        <v>825.28169185000058</v>
      </c>
      <c r="AB129" s="119">
        <f t="shared" si="223"/>
        <v>907.80986103500072</v>
      </c>
      <c r="AC129" s="138">
        <f t="shared" ref="AC129:AC133" si="224">((AB129/G129)^(1/($AB$3-$H$1) ))-1</f>
        <v>0.26780471602739575</v>
      </c>
      <c r="AD129" s="31">
        <v>0.08</v>
      </c>
      <c r="AE129" s="127">
        <f t="shared" ref="AE129:AE134" si="225">(AB129*(1+AC129))/($C$1-AD129)</f>
        <v>8220.8973076882048</v>
      </c>
    </row>
    <row r="130" spans="2:31">
      <c r="B130" s="20" t="s">
        <v>42</v>
      </c>
      <c r="C130" s="25" t="e">
        <f t="shared" ref="C130:P130" si="226">C129/C46</f>
        <v>#DIV/0!</v>
      </c>
      <c r="D130" s="25" t="e">
        <f t="shared" si="226"/>
        <v>#DIV/0!</v>
      </c>
      <c r="E130" s="25" t="e">
        <f t="shared" si="226"/>
        <v>#DIV/0!</v>
      </c>
      <c r="F130" s="25" t="e">
        <f t="shared" si="226"/>
        <v>#DIV/0!</v>
      </c>
      <c r="G130" s="25">
        <f t="shared" si="226"/>
        <v>17.5</v>
      </c>
      <c r="H130" s="25">
        <f t="shared" si="226"/>
        <v>1.2352941176470589</v>
      </c>
      <c r="I130" s="25">
        <f t="shared" si="226"/>
        <v>0</v>
      </c>
      <c r="J130" s="25">
        <f t="shared" si="226"/>
        <v>0</v>
      </c>
      <c r="K130" s="25">
        <f t="shared" si="226"/>
        <v>0</v>
      </c>
      <c r="L130" s="25">
        <f t="shared" si="226"/>
        <v>0</v>
      </c>
      <c r="M130" s="25">
        <f t="shared" si="226"/>
        <v>0</v>
      </c>
      <c r="N130" s="25">
        <f t="shared" si="226"/>
        <v>0</v>
      </c>
      <c r="O130" s="25">
        <f t="shared" si="226"/>
        <v>0</v>
      </c>
      <c r="P130" s="25">
        <f t="shared" si="226"/>
        <v>13.066666666666665</v>
      </c>
      <c r="Q130" s="118">
        <f t="shared" si="221"/>
        <v>-3.1938443724273902E-2</v>
      </c>
      <c r="R130" s="128"/>
      <c r="S130" s="119">
        <f t="shared" ref="S130:AB130" si="227">S129/S46</f>
        <v>14.373333333333337</v>
      </c>
      <c r="T130" s="119">
        <f t="shared" si="227"/>
        <v>15.810666666666672</v>
      </c>
      <c r="U130" s="119">
        <f t="shared" si="227"/>
        <v>17.391733333333338</v>
      </c>
      <c r="V130" s="119">
        <f t="shared" si="227"/>
        <v>19.130906666666675</v>
      </c>
      <c r="W130" s="119">
        <f t="shared" si="227"/>
        <v>21.043997333333341</v>
      </c>
      <c r="X130" s="119">
        <f t="shared" si="227"/>
        <v>23.148397066666675</v>
      </c>
      <c r="Y130" s="119">
        <f t="shared" si="227"/>
        <v>25.46323677333335</v>
      </c>
      <c r="Z130" s="119">
        <f t="shared" si="227"/>
        <v>28.009560450666683</v>
      </c>
      <c r="AA130" s="119">
        <f t="shared" si="227"/>
        <v>30.810516495733353</v>
      </c>
      <c r="AB130" s="119">
        <f t="shared" si="227"/>
        <v>33.891568145306692</v>
      </c>
      <c r="AC130" s="138">
        <f t="shared" si="224"/>
        <v>3.5399819677720323E-2</v>
      </c>
      <c r="AD130" s="31">
        <v>0.08</v>
      </c>
      <c r="AE130" s="127">
        <f t="shared" si="225"/>
        <v>250.65231104461225</v>
      </c>
    </row>
    <row r="131" spans="2:31">
      <c r="B131" s="20" t="s">
        <v>259</v>
      </c>
      <c r="C131" s="25" t="e">
        <f t="shared" ref="C131:P131" si="228">C129/C48</f>
        <v>#DIV/0!</v>
      </c>
      <c r="D131" s="25" t="e">
        <f t="shared" si="228"/>
        <v>#DIV/0!</v>
      </c>
      <c r="E131" s="25" t="e">
        <f t="shared" si="228"/>
        <v>#DIV/0!</v>
      </c>
      <c r="F131" s="25" t="e">
        <f t="shared" si="228"/>
        <v>#DIV/0!</v>
      </c>
      <c r="G131" s="25">
        <f t="shared" si="228"/>
        <v>1.6333333333333335</v>
      </c>
      <c r="H131" s="25">
        <f t="shared" si="228"/>
        <v>0.14699999999999999</v>
      </c>
      <c r="I131" s="25">
        <f t="shared" si="228"/>
        <v>0</v>
      </c>
      <c r="J131" s="25">
        <f t="shared" si="228"/>
        <v>0</v>
      </c>
      <c r="K131" s="25">
        <f t="shared" si="228"/>
        <v>0</v>
      </c>
      <c r="L131" s="25">
        <f t="shared" si="228"/>
        <v>0</v>
      </c>
      <c r="M131" s="25">
        <f t="shared" si="228"/>
        <v>0</v>
      </c>
      <c r="N131" s="25">
        <f t="shared" si="228"/>
        <v>0</v>
      </c>
      <c r="O131" s="25">
        <f t="shared" si="228"/>
        <v>0</v>
      </c>
      <c r="P131" s="25">
        <f t="shared" si="228"/>
        <v>2.6606334841628954</v>
      </c>
      <c r="Q131" s="118">
        <f t="shared" si="221"/>
        <v>5.5712298250639058E-2</v>
      </c>
      <c r="R131" s="128"/>
      <c r="S131" s="119">
        <f t="shared" ref="S131:AB131" si="229">S129/S48</f>
        <v>2.9266968325791858</v>
      </c>
      <c r="T131" s="119">
        <f t="shared" si="229"/>
        <v>3.2193665158371045</v>
      </c>
      <c r="U131" s="119">
        <f t="shared" si="229"/>
        <v>3.5413031674208151</v>
      </c>
      <c r="V131" s="119">
        <f t="shared" si="229"/>
        <v>3.8954334841628957</v>
      </c>
      <c r="W131" s="119">
        <f t="shared" si="229"/>
        <v>4.2849768325791855</v>
      </c>
      <c r="X131" s="119">
        <f t="shared" si="229"/>
        <v>4.7134745158371061</v>
      </c>
      <c r="Y131" s="119">
        <f t="shared" si="229"/>
        <v>5.1848219674208167</v>
      </c>
      <c r="Z131" s="119">
        <f t="shared" si="229"/>
        <v>5.7033041641628985</v>
      </c>
      <c r="AA131" s="119">
        <f t="shared" si="229"/>
        <v>6.2736345805791895</v>
      </c>
      <c r="AB131" s="119">
        <f t="shared" si="229"/>
        <v>6.900998038637109</v>
      </c>
      <c r="AC131" s="138">
        <f t="shared" si="224"/>
        <v>7.879467384072969E-2</v>
      </c>
      <c r="AD131" s="31">
        <v>0.08</v>
      </c>
      <c r="AE131" s="127">
        <f t="shared" si="225"/>
        <v>53.176856630478817</v>
      </c>
    </row>
    <row r="132" spans="2:31">
      <c r="B132" s="20" t="s">
        <v>260</v>
      </c>
      <c r="C132" s="25" t="e">
        <f t="shared" ref="C132:P132" si="230">C129/C57</f>
        <v>#DIV/0!</v>
      </c>
      <c r="D132" s="25" t="e">
        <f t="shared" si="230"/>
        <v>#DIV/0!</v>
      </c>
      <c r="E132" s="25" t="e">
        <f t="shared" si="230"/>
        <v>#DIV/0!</v>
      </c>
      <c r="F132" s="25" t="e">
        <f t="shared" si="230"/>
        <v>#DIV/0!</v>
      </c>
      <c r="G132" s="25">
        <f t="shared" si="230"/>
        <v>1.7926829268292683</v>
      </c>
      <c r="H132" s="25">
        <f t="shared" si="230"/>
        <v>0.18375</v>
      </c>
      <c r="I132" s="25">
        <f t="shared" si="230"/>
        <v>0</v>
      </c>
      <c r="J132" s="25">
        <f t="shared" si="230"/>
        <v>0</v>
      </c>
      <c r="K132" s="25">
        <f t="shared" si="230"/>
        <v>0</v>
      </c>
      <c r="L132" s="25">
        <f t="shared" si="230"/>
        <v>0</v>
      </c>
      <c r="M132" s="25">
        <f t="shared" si="230"/>
        <v>0</v>
      </c>
      <c r="N132" s="25">
        <f t="shared" si="230"/>
        <v>0</v>
      </c>
      <c r="O132" s="25">
        <f t="shared" si="230"/>
        <v>0</v>
      </c>
      <c r="P132" s="25">
        <f t="shared" si="230"/>
        <v>4.523076923076923</v>
      </c>
      <c r="Q132" s="118">
        <f t="shared" si="221"/>
        <v>0.10830410930489021</v>
      </c>
      <c r="R132" s="128"/>
      <c r="S132" s="119">
        <f t="shared" ref="S132:AB132" si="231">S129/S57</f>
        <v>4.9753846153846153</v>
      </c>
      <c r="T132" s="119">
        <f t="shared" si="231"/>
        <v>5.4729230769230774</v>
      </c>
      <c r="U132" s="119">
        <f t="shared" si="231"/>
        <v>6.0202153846153852</v>
      </c>
      <c r="V132" s="119">
        <f t="shared" si="231"/>
        <v>6.6222369230769242</v>
      </c>
      <c r="W132" s="119">
        <f t="shared" si="231"/>
        <v>7.2844606153846154</v>
      </c>
      <c r="X132" s="119">
        <f t="shared" si="231"/>
        <v>8.0129066769230803</v>
      </c>
      <c r="Y132" s="119">
        <f t="shared" si="231"/>
        <v>8.8141973446153887</v>
      </c>
      <c r="Z132" s="119">
        <f t="shared" si="231"/>
        <v>9.6956170790769285</v>
      </c>
      <c r="AA132" s="119">
        <f t="shared" si="231"/>
        <v>10.665178786984621</v>
      </c>
      <c r="AB132" s="119">
        <f t="shared" si="231"/>
        <v>11.731696665683085</v>
      </c>
      <c r="AC132" s="138">
        <f t="shared" si="224"/>
        <v>0.10392574087592177</v>
      </c>
      <c r="AD132" s="31">
        <v>0.08</v>
      </c>
      <c r="AE132" s="127">
        <f t="shared" si="225"/>
        <v>92.506585238541291</v>
      </c>
    </row>
    <row r="133" spans="2:31">
      <c r="B133" s="20" t="s">
        <v>261</v>
      </c>
      <c r="C133" s="25" t="e">
        <f t="shared" ref="C133:P133" si="232">C129/C59</f>
        <v>#DIV/0!</v>
      </c>
      <c r="D133" s="25" t="e">
        <f t="shared" si="232"/>
        <v>#DIV/0!</v>
      </c>
      <c r="E133" s="25" t="e">
        <f t="shared" si="232"/>
        <v>#DIV/0!</v>
      </c>
      <c r="F133" s="25" t="e">
        <f t="shared" si="232"/>
        <v>#DIV/0!</v>
      </c>
      <c r="G133" s="25">
        <f t="shared" si="232"/>
        <v>6.125</v>
      </c>
      <c r="H133" s="25">
        <f t="shared" si="232"/>
        <v>0.21</v>
      </c>
      <c r="I133" s="25">
        <f t="shared" si="232"/>
        <v>0</v>
      </c>
      <c r="J133" s="25">
        <f t="shared" si="232"/>
        <v>0</v>
      </c>
      <c r="K133" s="25">
        <f t="shared" si="232"/>
        <v>0</v>
      </c>
      <c r="L133" s="25">
        <f t="shared" si="232"/>
        <v>0</v>
      </c>
      <c r="M133" s="25">
        <f t="shared" si="232"/>
        <v>0</v>
      </c>
      <c r="N133" s="25">
        <f t="shared" si="232"/>
        <v>0</v>
      </c>
      <c r="O133" s="25">
        <f t="shared" si="232"/>
        <v>0</v>
      </c>
      <c r="P133" s="25">
        <f t="shared" si="232"/>
        <v>4.9830508474576272</v>
      </c>
      <c r="Q133" s="118">
        <f t="shared" si="221"/>
        <v>-2.2665460333016751E-2</v>
      </c>
      <c r="R133" s="128"/>
      <c r="S133" s="119">
        <f t="shared" ref="S133:AB133" si="233">S129/S59</f>
        <v>5.4813559322033907</v>
      </c>
      <c r="T133" s="119">
        <f t="shared" si="233"/>
        <v>6.0294915254237305</v>
      </c>
      <c r="U133" s="119">
        <f t="shared" si="233"/>
        <v>6.6324406779661036</v>
      </c>
      <c r="V133" s="119">
        <f t="shared" si="233"/>
        <v>7.2956847457627143</v>
      </c>
      <c r="W133" s="119">
        <f t="shared" si="233"/>
        <v>8.0252532203389855</v>
      </c>
      <c r="X133" s="119">
        <f t="shared" si="233"/>
        <v>8.827778542372883</v>
      </c>
      <c r="Y133" s="119">
        <f t="shared" si="233"/>
        <v>9.7105563966101727</v>
      </c>
      <c r="Z133" s="119">
        <f t="shared" si="233"/>
        <v>10.681612036271192</v>
      </c>
      <c r="AA133" s="119">
        <f t="shared" si="233"/>
        <v>11.74977323989831</v>
      </c>
      <c r="AB133" s="119">
        <f t="shared" si="233"/>
        <v>12.924750563888145</v>
      </c>
      <c r="AC133" s="138">
        <f t="shared" si="224"/>
        <v>4.0086039755619085E-2</v>
      </c>
      <c r="AD133" s="31">
        <v>0.08</v>
      </c>
      <c r="AE133" s="127">
        <f t="shared" si="225"/>
        <v>96.020375920168732</v>
      </c>
    </row>
    <row r="134" spans="2:31">
      <c r="B134" s="20" t="s">
        <v>282</v>
      </c>
      <c r="C134" s="25" t="e">
        <f>C130/C97</f>
        <v>#DIV/0!</v>
      </c>
      <c r="D134" s="25" t="e">
        <f>D130/D97</f>
        <v>#DIV/0!</v>
      </c>
      <c r="E134" s="25" t="e">
        <f>E130/E97</f>
        <v>#DIV/0!</v>
      </c>
      <c r="F134" s="25" t="e">
        <f>F130/F97</f>
        <v>#DIV/0!</v>
      </c>
      <c r="G134" s="25">
        <f t="shared" ref="G134:P134" si="234">G129/G53</f>
        <v>0.66848567530695779</v>
      </c>
      <c r="H134" s="25">
        <f t="shared" si="234"/>
        <v>5.8799999999999991E-2</v>
      </c>
      <c r="I134" s="25">
        <f t="shared" si="234"/>
        <v>0</v>
      </c>
      <c r="J134" s="25">
        <f t="shared" si="234"/>
        <v>0</v>
      </c>
      <c r="K134" s="25">
        <f t="shared" si="234"/>
        <v>0</v>
      </c>
      <c r="L134" s="25">
        <f t="shared" si="234"/>
        <v>0</v>
      </c>
      <c r="M134" s="25">
        <f t="shared" si="234"/>
        <v>0</v>
      </c>
      <c r="N134" s="25">
        <f t="shared" si="234"/>
        <v>0</v>
      </c>
      <c r="O134" s="25">
        <f t="shared" si="234"/>
        <v>0</v>
      </c>
      <c r="P134" s="25">
        <f t="shared" si="234"/>
        <v>1.6994710829792767</v>
      </c>
      <c r="Q134" s="118">
        <f t="shared" ref="Q134" si="235">((P134/G134)^(1/($H$2-$H$1) ))-1</f>
        <v>0.109237722430791</v>
      </c>
      <c r="R134" s="128"/>
      <c r="S134" s="135">
        <f t="shared" ref="S134:AB134" si="236">S129/S53</f>
        <v>1.8694181912772045</v>
      </c>
      <c r="T134" s="135">
        <f t="shared" si="236"/>
        <v>2.0563600104049256</v>
      </c>
      <c r="U134" s="135">
        <f t="shared" si="236"/>
        <v>2.2619960114454187</v>
      </c>
      <c r="V134" s="135">
        <f t="shared" si="236"/>
        <v>2.4881956125899602</v>
      </c>
      <c r="W134" s="135">
        <f t="shared" si="236"/>
        <v>2.7370151738489565</v>
      </c>
      <c r="X134" s="135">
        <f t="shared" si="236"/>
        <v>3.0107166912338519</v>
      </c>
      <c r="Y134" s="135">
        <f t="shared" si="236"/>
        <v>3.3117883603572382</v>
      </c>
      <c r="Z134" s="135">
        <f t="shared" si="236"/>
        <v>3.642967196392962</v>
      </c>
      <c r="AA134" s="135">
        <f t="shared" si="236"/>
        <v>4.0072639160322581</v>
      </c>
      <c r="AB134" s="135">
        <f t="shared" si="236"/>
        <v>4.4079903076354841</v>
      </c>
      <c r="AC134" s="138">
        <f t="shared" ref="AC134" si="237">((AB134/G134)^(1/($AB$3-$H$1) ))-1</f>
        <v>0.10436613400109596</v>
      </c>
      <c r="AD134" s="31">
        <v>0.08</v>
      </c>
      <c r="AE134" s="127">
        <f t="shared" si="225"/>
        <v>34.771680105412152</v>
      </c>
    </row>
    <row r="135" spans="2:31">
      <c r="B135" s="20" t="s">
        <v>323</v>
      </c>
      <c r="C135" s="162" t="e">
        <f t="shared" ref="C135:P135" si="238">C46/C129</f>
        <v>#DIV/0!</v>
      </c>
      <c r="D135" s="162" t="e">
        <f t="shared" si="238"/>
        <v>#DIV/0!</v>
      </c>
      <c r="E135" s="162" t="e">
        <f t="shared" si="238"/>
        <v>#DIV/0!</v>
      </c>
      <c r="F135" s="162" t="e">
        <f t="shared" si="238"/>
        <v>#DIV/0!</v>
      </c>
      <c r="G135" s="162">
        <f t="shared" si="238"/>
        <v>5.7142857142857141E-2</v>
      </c>
      <c r="H135" s="162">
        <f t="shared" si="238"/>
        <v>0.80952380952380953</v>
      </c>
      <c r="I135" s="162" t="e">
        <f t="shared" si="238"/>
        <v>#DIV/0!</v>
      </c>
      <c r="J135" s="162" t="e">
        <f t="shared" si="238"/>
        <v>#DIV/0!</v>
      </c>
      <c r="K135" s="162" t="e">
        <f t="shared" si="238"/>
        <v>#DIV/0!</v>
      </c>
      <c r="L135" s="162" t="e">
        <f t="shared" si="238"/>
        <v>#DIV/0!</v>
      </c>
      <c r="M135" s="162" t="e">
        <f t="shared" si="238"/>
        <v>#DIV/0!</v>
      </c>
      <c r="N135" s="162" t="e">
        <f t="shared" si="238"/>
        <v>#DIV/0!</v>
      </c>
      <c r="O135" s="162" t="e">
        <f t="shared" si="238"/>
        <v>#DIV/0!</v>
      </c>
      <c r="P135" s="162">
        <f t="shared" si="238"/>
        <v>7.6530612244897961E-2</v>
      </c>
      <c r="Q135" s="128"/>
      <c r="R135" s="128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8"/>
      <c r="AD135" s="31"/>
      <c r="AE135" s="127"/>
    </row>
    <row r="136" spans="2:31">
      <c r="B136" s="20" t="s">
        <v>324</v>
      </c>
      <c r="C136" s="153" t="e">
        <f t="shared" ref="C136:P136" si="239">C40/C129</f>
        <v>#DIV/0!</v>
      </c>
      <c r="D136" s="153" t="e">
        <f t="shared" si="239"/>
        <v>#DIV/0!</v>
      </c>
      <c r="E136" s="153" t="e">
        <f t="shared" si="239"/>
        <v>#DIV/0!</v>
      </c>
      <c r="F136" s="153" t="e">
        <f t="shared" si="239"/>
        <v>#DIV/0!</v>
      </c>
      <c r="G136" s="153">
        <f t="shared" si="239"/>
        <v>0</v>
      </c>
      <c r="H136" s="153">
        <f t="shared" si="239"/>
        <v>0</v>
      </c>
      <c r="I136" s="153" t="e">
        <f t="shared" si="239"/>
        <v>#DIV/0!</v>
      </c>
      <c r="J136" s="153" t="e">
        <f t="shared" si="239"/>
        <v>#DIV/0!</v>
      </c>
      <c r="K136" s="153" t="e">
        <f t="shared" si="239"/>
        <v>#DIV/0!</v>
      </c>
      <c r="L136" s="153" t="e">
        <f t="shared" si="239"/>
        <v>#DIV/0!</v>
      </c>
      <c r="M136" s="153" t="e">
        <f t="shared" si="239"/>
        <v>#DIV/0!</v>
      </c>
      <c r="N136" s="153" t="e">
        <f t="shared" si="239"/>
        <v>#DIV/0!</v>
      </c>
      <c r="O136" s="153" t="e">
        <f t="shared" si="239"/>
        <v>#DIV/0!</v>
      </c>
      <c r="P136" s="153">
        <f t="shared" si="239"/>
        <v>1.4285714285714285E-2</v>
      </c>
      <c r="Q136" s="128"/>
      <c r="R136" s="128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8"/>
      <c r="AD136" s="31"/>
      <c r="AE136" s="127"/>
    </row>
    <row r="137" spans="2:31">
      <c r="B137" s="20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28"/>
      <c r="R137" s="128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8"/>
      <c r="AD137" s="31"/>
      <c r="AE137" s="127"/>
    </row>
    <row r="138" spans="2:31">
      <c r="B138" s="20"/>
      <c r="C138" s="129"/>
      <c r="D138" s="129"/>
      <c r="E138" s="129"/>
      <c r="F138" s="129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28"/>
      <c r="R138" s="128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7"/>
      <c r="AD138" s="20"/>
      <c r="AE138" s="127"/>
    </row>
    <row r="139" spans="2:31">
      <c r="B139" s="108" t="s">
        <v>302</v>
      </c>
      <c r="C139" s="20"/>
      <c r="D139" s="20"/>
      <c r="E139" s="20"/>
      <c r="F139" s="20"/>
      <c r="G139" s="20"/>
      <c r="H139" s="20"/>
      <c r="I139" s="20"/>
      <c r="J139" s="20"/>
      <c r="K139" s="182" t="s">
        <v>355</v>
      </c>
      <c r="L139" s="183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300</v>
      </c>
      <c r="C140" s="20" t="s">
        <v>316</v>
      </c>
      <c r="D140" s="20"/>
      <c r="E140" s="20"/>
      <c r="F140" s="20"/>
      <c r="G140" s="20"/>
      <c r="H140" s="20"/>
      <c r="I140" s="20"/>
      <c r="J140" s="20"/>
      <c r="K140" s="20" t="s">
        <v>356</v>
      </c>
      <c r="L140" s="20"/>
      <c r="M140" s="20"/>
      <c r="N140" s="20"/>
      <c r="O140" s="20"/>
      <c r="P140" s="128">
        <f>(P129-R117)/P129</f>
        <v>0.85864209837471905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 t="s">
        <v>353</v>
      </c>
      <c r="C141" s="20" t="s">
        <v>316</v>
      </c>
      <c r="D141" s="20"/>
      <c r="E141" s="20"/>
      <c r="F141" s="20"/>
      <c r="G141" s="20"/>
      <c r="H141" s="20"/>
      <c r="I141" s="20"/>
      <c r="J141" s="20"/>
      <c r="K141" s="173">
        <v>1</v>
      </c>
      <c r="L141" s="20"/>
      <c r="M141" s="128">
        <f>(P129-(K141*R108))/P129</f>
        <v>0.14359431889293645</v>
      </c>
      <c r="N141" s="20"/>
      <c r="O141" s="20"/>
      <c r="P141" s="128">
        <f>(P129-R108)/P129</f>
        <v>0.14359431889293645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354</v>
      </c>
      <c r="C142" s="20" t="s">
        <v>316</v>
      </c>
      <c r="D142" s="20"/>
      <c r="E142" s="20"/>
      <c r="F142" s="20"/>
      <c r="G142" s="20"/>
      <c r="H142" s="20"/>
      <c r="I142" s="20"/>
      <c r="J142" s="20"/>
      <c r="K142" s="173">
        <v>1</v>
      </c>
      <c r="L142" s="20"/>
      <c r="M142" s="128">
        <f>(P129-(K142*R101))/P129</f>
        <v>0.41089467295736543</v>
      </c>
      <c r="N142" s="20"/>
      <c r="O142" s="20"/>
      <c r="P142" s="128">
        <f>(P129-R101)/P129</f>
        <v>0.41089467295736543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301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5">
        <f>P129/R100</f>
        <v>8.9778323944881304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spans="2:31">
      <c r="B145" s="108" t="s">
        <v>303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2:31">
      <c r="B146" s="20" t="s">
        <v>306</v>
      </c>
      <c r="C146" s="25" t="e">
        <f t="shared" ref="C146:P146" si="240">C10/C7</f>
        <v>#DIV/0!</v>
      </c>
      <c r="D146" s="25" t="e">
        <f t="shared" si="240"/>
        <v>#DIV/0!</v>
      </c>
      <c r="E146" s="25" t="e">
        <f t="shared" si="240"/>
        <v>#DIV/0!</v>
      </c>
      <c r="F146" s="25" t="e">
        <f t="shared" si="240"/>
        <v>#DIV/0!</v>
      </c>
      <c r="G146" s="25">
        <f t="shared" si="240"/>
        <v>4.3478260869565219E-4</v>
      </c>
      <c r="H146" s="25">
        <f t="shared" si="240"/>
        <v>0</v>
      </c>
      <c r="I146" s="25">
        <f t="shared" si="240"/>
        <v>0.23529411764705882</v>
      </c>
      <c r="J146" s="25">
        <f t="shared" si="240"/>
        <v>0.24444444444444444</v>
      </c>
      <c r="K146" s="25">
        <f t="shared" si="240"/>
        <v>0.30909090909090908</v>
      </c>
      <c r="L146" s="25">
        <f t="shared" si="240"/>
        <v>0.24752475247524752</v>
      </c>
      <c r="M146" s="25">
        <f t="shared" si="240"/>
        <v>0.10416666666666667</v>
      </c>
      <c r="N146" s="25">
        <f t="shared" si="240"/>
        <v>0.22352941176470589</v>
      </c>
      <c r="O146" s="25">
        <f t="shared" si="240"/>
        <v>4.807692307692308E-3</v>
      </c>
      <c r="P146" s="25">
        <f t="shared" si="240"/>
        <v>4.2016806722689077E-5</v>
      </c>
      <c r="Q146" s="118">
        <f t="shared" ref="Q146:Q148" si="241">((P146/G146)^(1/($H$2-$H$1) ))-1</f>
        <v>-0.22867219613605549</v>
      </c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2:31">
      <c r="B147" s="20" t="s">
        <v>307</v>
      </c>
      <c r="C147" s="112" t="e">
        <f>C10/C12</f>
        <v>#DIV/0!</v>
      </c>
      <c r="D147" s="112" t="e">
        <f>D10/D12</f>
        <v>#DIV/0!</v>
      </c>
      <c r="E147" s="112" t="e">
        <f>E10/E12</f>
        <v>#DIV/0!</v>
      </c>
      <c r="F147" s="112" t="e">
        <f>F10/F12</f>
        <v>#DIV/0!</v>
      </c>
      <c r="G147" s="112">
        <f>G10/G12</f>
        <v>3.1249999999999997E-3</v>
      </c>
      <c r="H147" s="112">
        <f t="shared" ref="H147:P147" si="242">H10/H12</f>
        <v>0</v>
      </c>
      <c r="I147" s="112">
        <f t="shared" si="242"/>
        <v>0.59259259259259256</v>
      </c>
      <c r="J147" s="112">
        <f t="shared" si="242"/>
        <v>1.0476190476190477</v>
      </c>
      <c r="K147" s="112">
        <f t="shared" si="242"/>
        <v>0.72340425531914898</v>
      </c>
      <c r="L147" s="112">
        <f t="shared" si="242"/>
        <v>0.53191489361702127</v>
      </c>
      <c r="M147" s="112">
        <f t="shared" si="242"/>
        <v>0.19108280254777071</v>
      </c>
      <c r="N147" s="112">
        <f t="shared" si="242"/>
        <v>0.32203389830508472</v>
      </c>
      <c r="O147" s="112">
        <f t="shared" si="242"/>
        <v>9.0090090090090089E-3</v>
      </c>
      <c r="P147" s="112">
        <f t="shared" si="242"/>
        <v>7.6923076923076926E-5</v>
      </c>
      <c r="Q147" s="118">
        <f t="shared" si="241"/>
        <v>-0.3374095368511707</v>
      </c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spans="2:31">
      <c r="B148" s="20" t="s">
        <v>308</v>
      </c>
      <c r="C148" s="25" t="e">
        <f>C10/(C12+C13)</f>
        <v>#DIV/0!</v>
      </c>
      <c r="D148" s="25" t="e">
        <f>D10/(D12+D13)</f>
        <v>#DIV/0!</v>
      </c>
      <c r="E148" s="25" t="e">
        <f>E10/(E12+E13)</f>
        <v>#DIV/0!</v>
      </c>
      <c r="F148" s="25" t="e">
        <f>F10/(F12+F13)</f>
        <v>#DIV/0!</v>
      </c>
      <c r="G148" s="25">
        <f>G10/(G12+G13)</f>
        <v>1.2195121951219514E-3</v>
      </c>
      <c r="H148" s="25">
        <f t="shared" ref="H148:P148" si="243">H10/(H12+H13)</f>
        <v>0</v>
      </c>
      <c r="I148" s="25">
        <f t="shared" si="243"/>
        <v>0.57761732851985559</v>
      </c>
      <c r="J148" s="25">
        <f t="shared" si="243"/>
        <v>1.0476190476190477</v>
      </c>
      <c r="K148" s="25">
        <f t="shared" si="243"/>
        <v>0.72340425531914898</v>
      </c>
      <c r="L148" s="25">
        <f t="shared" si="243"/>
        <v>0.53191489361702127</v>
      </c>
      <c r="M148" s="25">
        <f t="shared" si="243"/>
        <v>0.19108280254777071</v>
      </c>
      <c r="N148" s="25">
        <f t="shared" si="243"/>
        <v>0.32203389830508472</v>
      </c>
      <c r="O148" s="25">
        <f t="shared" si="243"/>
        <v>9.0090090090090089E-3</v>
      </c>
      <c r="P148" s="25">
        <f t="shared" si="243"/>
        <v>7.6923076923076926E-5</v>
      </c>
      <c r="Q148" s="118">
        <f t="shared" si="241"/>
        <v>-0.26438211815725832</v>
      </c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spans="2:3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spans="2:3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179" t="s">
        <v>341</v>
      </c>
      <c r="J151" s="180"/>
      <c r="K151" s="181"/>
      <c r="L151" s="20"/>
      <c r="M151" s="20"/>
      <c r="N151" s="20"/>
      <c r="O151" s="179" t="s">
        <v>342</v>
      </c>
      <c r="P151" s="180"/>
      <c r="Q151" s="181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167" t="s">
        <v>343</v>
      </c>
      <c r="J152" s="167"/>
      <c r="K152" s="167" t="s">
        <v>0</v>
      </c>
      <c r="L152" s="23" t="s">
        <v>344</v>
      </c>
      <c r="M152" s="20"/>
      <c r="N152" s="20"/>
      <c r="O152" s="167" t="s">
        <v>343</v>
      </c>
      <c r="P152" s="167"/>
      <c r="Q152" s="167" t="s">
        <v>0</v>
      </c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168" t="s">
        <v>345</v>
      </c>
      <c r="J153" s="168"/>
      <c r="K153" s="21">
        <v>13</v>
      </c>
      <c r="L153" s="20"/>
      <c r="M153" s="20"/>
      <c r="N153" s="20"/>
      <c r="O153" s="168" t="s">
        <v>345</v>
      </c>
      <c r="P153" s="168"/>
      <c r="Q153" s="21">
        <v>0</v>
      </c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2:31">
      <c r="B154" s="20"/>
      <c r="C154" s="20"/>
      <c r="D154" s="20"/>
      <c r="E154" s="20"/>
      <c r="F154" s="20"/>
      <c r="G154" s="20"/>
      <c r="H154" s="20"/>
      <c r="I154" s="168" t="s">
        <v>346</v>
      </c>
      <c r="J154" s="168"/>
      <c r="K154" s="21">
        <v>1</v>
      </c>
      <c r="L154" s="20"/>
      <c r="M154" s="20"/>
      <c r="N154" s="20"/>
      <c r="O154" s="168" t="s">
        <v>346</v>
      </c>
      <c r="P154" s="168"/>
      <c r="Q154" s="21">
        <v>0</v>
      </c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spans="2:31">
      <c r="B155" s="20"/>
      <c r="C155" s="20"/>
      <c r="D155" s="20"/>
      <c r="E155" s="20"/>
      <c r="F155" s="20"/>
      <c r="G155" s="20"/>
      <c r="H155" s="20"/>
      <c r="I155" s="168" t="s">
        <v>347</v>
      </c>
      <c r="J155" s="168"/>
      <c r="K155" s="169">
        <f>K153*K154</f>
        <v>13</v>
      </c>
      <c r="L155" s="20"/>
      <c r="M155" s="20"/>
      <c r="N155" s="20"/>
      <c r="O155" s="168" t="s">
        <v>348</v>
      </c>
      <c r="P155" s="168"/>
      <c r="Q155" s="169">
        <f>Q153*Q154</f>
        <v>0</v>
      </c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2:31">
      <c r="B156" s="20"/>
      <c r="C156" s="20"/>
      <c r="D156" s="20"/>
      <c r="E156" s="20"/>
      <c r="F156" s="20"/>
      <c r="G156" s="20"/>
      <c r="H156" s="20"/>
      <c r="I156" s="168" t="s">
        <v>349</v>
      </c>
      <c r="J156" s="168"/>
      <c r="K156" s="21">
        <v>300</v>
      </c>
      <c r="L156" s="20"/>
      <c r="M156" s="20"/>
      <c r="N156" s="20"/>
      <c r="O156" s="168" t="s">
        <v>349</v>
      </c>
      <c r="P156" s="168"/>
      <c r="Q156" s="21">
        <v>0</v>
      </c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2:31">
      <c r="B157" s="20"/>
      <c r="C157" s="20"/>
      <c r="D157" s="20"/>
      <c r="E157" s="20"/>
      <c r="F157" s="20"/>
      <c r="G157" s="20"/>
      <c r="H157" s="20"/>
      <c r="I157" s="168" t="s">
        <v>350</v>
      </c>
      <c r="J157" s="168"/>
      <c r="K157" s="169">
        <f>K156*K154</f>
        <v>300</v>
      </c>
      <c r="L157" s="20"/>
      <c r="M157" s="20"/>
      <c r="N157" s="20"/>
      <c r="O157" s="168" t="s">
        <v>346</v>
      </c>
      <c r="P157" s="168"/>
      <c r="Q157" s="21">
        <v>1</v>
      </c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2:31">
      <c r="B158" s="20"/>
      <c r="C158" s="20"/>
      <c r="D158" s="20"/>
      <c r="E158" s="20"/>
      <c r="F158" s="20"/>
      <c r="G158" s="20"/>
      <c r="H158" s="20"/>
      <c r="I158" s="168"/>
      <c r="J158" s="168"/>
      <c r="K158" s="169"/>
      <c r="L158" s="20"/>
      <c r="M158" s="20"/>
      <c r="N158" s="20"/>
      <c r="O158" s="168" t="s">
        <v>348</v>
      </c>
      <c r="P158" s="168"/>
      <c r="Q158" s="169">
        <f>Q157*Q156</f>
        <v>0</v>
      </c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spans="2:31">
      <c r="B159" s="20"/>
      <c r="C159" s="20"/>
      <c r="D159" s="20"/>
      <c r="E159" s="20"/>
      <c r="F159" s="20"/>
      <c r="G159" s="20"/>
      <c r="H159" s="20"/>
      <c r="I159" s="168"/>
      <c r="J159" s="168"/>
      <c r="K159" s="169"/>
      <c r="L159" s="20"/>
      <c r="M159" s="20"/>
      <c r="N159" s="20"/>
      <c r="O159" s="168"/>
      <c r="P159" s="168"/>
      <c r="Q159" s="169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pans="2:31">
      <c r="B160" s="20"/>
      <c r="C160" s="20"/>
      <c r="D160" s="20"/>
      <c r="E160" s="20"/>
      <c r="F160" s="20"/>
      <c r="G160" s="20"/>
      <c r="H160" s="20"/>
      <c r="I160" s="170" t="s">
        <v>351</v>
      </c>
      <c r="J160" s="170"/>
      <c r="K160" s="171">
        <f>K157/K155</f>
        <v>23.076923076923077</v>
      </c>
      <c r="L160" s="20"/>
      <c r="M160" s="20"/>
      <c r="N160" s="20"/>
      <c r="O160" s="170" t="s">
        <v>351</v>
      </c>
      <c r="P160" s="170"/>
      <c r="Q160" s="171" t="e">
        <f>Q158/Q155</f>
        <v>#DIV/0!</v>
      </c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spans="2:31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</sheetData>
  <mergeCells count="5">
    <mergeCell ref="AD2:AE2"/>
    <mergeCell ref="AD3:AE3"/>
    <mergeCell ref="I151:K151"/>
    <mergeCell ref="O151:Q151"/>
    <mergeCell ref="K139:L139"/>
  </mergeCells>
  <pageMargins left="0.7" right="0.7" top="0.75" bottom="0.75" header="0.3" footer="0.3"/>
  <pageSetup orientation="portrait" r:id="rId1"/>
  <ignoredErrors>
    <ignoredError sqref="C130" evalError="1"/>
    <ignoredError sqref="T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4" t="s">
        <v>27</v>
      </c>
      <c r="K5" s="184"/>
      <c r="M5" s="184" t="s">
        <v>65</v>
      </c>
      <c r="N5" s="184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4" t="s">
        <v>36</v>
      </c>
      <c r="K14" s="184"/>
      <c r="L14" s="184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4" t="s">
        <v>27</v>
      </c>
      <c r="S5" s="184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4" t="s">
        <v>36</v>
      </c>
      <c r="S14" s="184"/>
      <c r="T14" s="184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4" t="s">
        <v>27</v>
      </c>
      <c r="C2" s="184"/>
      <c r="E2" s="184" t="s">
        <v>65</v>
      </c>
      <c r="F2" s="184"/>
      <c r="H2" s="188" t="s">
        <v>36</v>
      </c>
      <c r="I2" s="189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5" t="s">
        <v>68</v>
      </c>
      <c r="E10" s="186"/>
      <c r="F10" s="186"/>
      <c r="G10" s="186"/>
      <c r="H10" s="187"/>
      <c r="I10" s="185" t="s">
        <v>72</v>
      </c>
      <c r="J10" s="186"/>
      <c r="K10" s="186"/>
      <c r="L10" s="187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2013-11-30T16:51:33Z</dcterms:modified>
</cp:coreProperties>
</file>
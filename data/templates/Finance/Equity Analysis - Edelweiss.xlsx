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X245" i="18"/>
  <c r="S245"/>
  <c r="X59"/>
  <c r="X57"/>
  <c r="G59" l="1"/>
  <c r="T170"/>
  <c r="U170"/>
  <c r="S244"/>
  <c r="G57"/>
  <c r="G55"/>
  <c r="G53"/>
  <c r="G51"/>
  <c r="G34"/>
  <c r="G33"/>
  <c r="G29"/>
  <c r="H30" s="1"/>
  <c r="G27"/>
  <c r="G28" s="1"/>
  <c r="G25"/>
  <c r="G11"/>
  <c r="G8"/>
  <c r="G7"/>
  <c r="G9"/>
  <c r="G10"/>
  <c r="G12"/>
  <c r="G13"/>
  <c r="G14"/>
  <c r="G15"/>
  <c r="G16"/>
  <c r="G17"/>
  <c r="G18"/>
  <c r="G6"/>
  <c r="U66"/>
  <c r="U202" s="1"/>
  <c r="U67"/>
  <c r="U68"/>
  <c r="U70"/>
  <c r="U71"/>
  <c r="U205" s="1"/>
  <c r="U72"/>
  <c r="U73"/>
  <c r="U74"/>
  <c r="U75"/>
  <c r="U76"/>
  <c r="U78"/>
  <c r="U79"/>
  <c r="U80"/>
  <c r="U209" s="1"/>
  <c r="U82"/>
  <c r="U83"/>
  <c r="U84" s="1"/>
  <c r="U207" s="1"/>
  <c r="U85"/>
  <c r="U86"/>
  <c r="U208" s="1"/>
  <c r="U88"/>
  <c r="U90"/>
  <c r="U92" s="1"/>
  <c r="U93"/>
  <c r="U94"/>
  <c r="U95"/>
  <c r="U96"/>
  <c r="U98"/>
  <c r="U99"/>
  <c r="U100"/>
  <c r="U102"/>
  <c r="U105"/>
  <c r="U106"/>
  <c r="U107"/>
  <c r="U108"/>
  <c r="U109"/>
  <c r="U110"/>
  <c r="U112"/>
  <c r="U118" s="1"/>
  <c r="U113"/>
  <c r="U119" s="1"/>
  <c r="U114"/>
  <c r="U115"/>
  <c r="U121" s="1"/>
  <c r="U116"/>
  <c r="U122" s="1"/>
  <c r="U120"/>
  <c r="U124"/>
  <c r="U125"/>
  <c r="U126"/>
  <c r="U127"/>
  <c r="U128"/>
  <c r="U129"/>
  <c r="U130"/>
  <c r="U131"/>
  <c r="U132"/>
  <c r="U134"/>
  <c r="U135"/>
  <c r="U136"/>
  <c r="U137"/>
  <c r="U139"/>
  <c r="U140" s="1"/>
  <c r="U141" s="1"/>
  <c r="U142" s="1"/>
  <c r="U145"/>
  <c r="U146"/>
  <c r="U147"/>
  <c r="U149"/>
  <c r="U150"/>
  <c r="U151"/>
  <c r="U154"/>
  <c r="U155"/>
  <c r="U156"/>
  <c r="U157"/>
  <c r="U159"/>
  <c r="U160"/>
  <c r="U162"/>
  <c r="U163" s="1"/>
  <c r="U164"/>
  <c r="U166"/>
  <c r="U167"/>
  <c r="U203"/>
  <c r="U216" s="1"/>
  <c r="U217" s="1"/>
  <c r="U204"/>
  <c r="U206"/>
  <c r="U211"/>
  <c r="U212"/>
  <c r="U214"/>
  <c r="U215"/>
  <c r="U8"/>
  <c r="U11"/>
  <c r="U26"/>
  <c r="U28"/>
  <c r="U30"/>
  <c r="U37"/>
  <c r="U39"/>
  <c r="U44"/>
  <c r="U46"/>
  <c r="U48"/>
  <c r="U52"/>
  <c r="U54"/>
  <c r="U56"/>
  <c r="U58"/>
  <c r="U60"/>
  <c r="V126"/>
  <c r="V127"/>
  <c r="V128"/>
  <c r="V153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36"/>
  <c r="V38"/>
  <c r="V40"/>
  <c r="V41"/>
  <c r="V42"/>
  <c r="V43"/>
  <c r="V45"/>
  <c r="V47"/>
  <c r="V49"/>
  <c r="V51"/>
  <c r="V53"/>
  <c r="V55"/>
  <c r="V57"/>
  <c r="V59"/>
  <c r="V6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52"/>
  <c r="O52"/>
  <c r="N52"/>
  <c r="M52"/>
  <c r="L52"/>
  <c r="K52"/>
  <c r="J52"/>
  <c r="I52"/>
  <c r="H52"/>
  <c r="G52"/>
  <c r="P30"/>
  <c r="O30"/>
  <c r="N30"/>
  <c r="M30"/>
  <c r="L30"/>
  <c r="K30"/>
  <c r="J30"/>
  <c r="I30"/>
  <c r="G30"/>
  <c r="P28"/>
  <c r="O28"/>
  <c r="N28"/>
  <c r="M28"/>
  <c r="L28"/>
  <c r="K28"/>
  <c r="J28"/>
  <c r="I28"/>
  <c r="H28"/>
  <c r="P26"/>
  <c r="O26"/>
  <c r="N26"/>
  <c r="M26"/>
  <c r="L26"/>
  <c r="K26"/>
  <c r="J26"/>
  <c r="I26"/>
  <c r="H26"/>
  <c r="G26"/>
  <c r="P11"/>
  <c r="O11"/>
  <c r="N11"/>
  <c r="M11"/>
  <c r="L11"/>
  <c r="K11"/>
  <c r="J11"/>
  <c r="I11"/>
  <c r="H11"/>
  <c r="P8"/>
  <c r="O8"/>
  <c r="N8"/>
  <c r="M8"/>
  <c r="L8"/>
  <c r="K8"/>
  <c r="J8"/>
  <c r="I8"/>
  <c r="H8"/>
  <c r="U143" l="1"/>
  <c r="G211"/>
  <c r="G212"/>
  <c r="G58"/>
  <c r="G60"/>
  <c r="G66"/>
  <c r="G202" s="1"/>
  <c r="G67"/>
  <c r="G68"/>
  <c r="G70"/>
  <c r="G204" s="1"/>
  <c r="G71"/>
  <c r="G205" s="1"/>
  <c r="G72"/>
  <c r="G73"/>
  <c r="G74"/>
  <c r="G75"/>
  <c r="G206" s="1"/>
  <c r="G76"/>
  <c r="G78"/>
  <c r="G79"/>
  <c r="G80"/>
  <c r="G209" s="1"/>
  <c r="G82"/>
  <c r="G83"/>
  <c r="G85"/>
  <c r="G86"/>
  <c r="G208" s="1"/>
  <c r="G88"/>
  <c r="G139" s="1"/>
  <c r="G140" s="1"/>
  <c r="G141" s="1"/>
  <c r="G142" s="1"/>
  <c r="G90"/>
  <c r="G92" s="1"/>
  <c r="G93"/>
  <c r="G94"/>
  <c r="G95"/>
  <c r="G96"/>
  <c r="G98"/>
  <c r="G164" s="1"/>
  <c r="G99"/>
  <c r="G100"/>
  <c r="G102"/>
  <c r="G105"/>
  <c r="G106"/>
  <c r="G107"/>
  <c r="G108"/>
  <c r="G109"/>
  <c r="G110"/>
  <c r="G112"/>
  <c r="G118" s="1"/>
  <c r="G113"/>
  <c r="G119" s="1"/>
  <c r="G114"/>
  <c r="G120" s="1"/>
  <c r="G115"/>
  <c r="G121" s="1"/>
  <c r="G116"/>
  <c r="G122" s="1"/>
  <c r="G134"/>
  <c r="G135"/>
  <c r="G136"/>
  <c r="G137"/>
  <c r="G145"/>
  <c r="G146"/>
  <c r="G147"/>
  <c r="G149"/>
  <c r="G150"/>
  <c r="G151"/>
  <c r="G154"/>
  <c r="G155"/>
  <c r="G156"/>
  <c r="G157"/>
  <c r="G159"/>
  <c r="G160"/>
  <c r="G162"/>
  <c r="G163" s="1"/>
  <c r="G166"/>
  <c r="G167"/>
  <c r="AI232"/>
  <c r="AJ231"/>
  <c r="AI231"/>
  <c r="AI230"/>
  <c r="AI229"/>
  <c r="R58"/>
  <c r="Q58"/>
  <c r="P58"/>
  <c r="O58"/>
  <c r="N58"/>
  <c r="M58"/>
  <c r="L58"/>
  <c r="K58"/>
  <c r="J58"/>
  <c r="I58"/>
  <c r="H58"/>
  <c r="R56"/>
  <c r="Q56"/>
  <c r="R54"/>
  <c r="Q54"/>
  <c r="R52"/>
  <c r="Q52"/>
  <c r="R30"/>
  <c r="Q30"/>
  <c r="R28"/>
  <c r="Q28"/>
  <c r="R26"/>
  <c r="Q26"/>
  <c r="R11"/>
  <c r="Q11"/>
  <c r="R8"/>
  <c r="Q8"/>
  <c r="G203" l="1"/>
  <c r="G216" s="1"/>
  <c r="G217" s="1"/>
  <c r="G84"/>
  <c r="G207" s="1"/>
  <c r="G143"/>
  <c r="G214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L41" l="1"/>
  <c r="G215" i="18"/>
  <c r="H69" i="20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V201"/>
  <c r="H248"/>
  <c r="I248"/>
  <c r="H249"/>
  <c r="I249"/>
  <c r="H250"/>
  <c r="I250"/>
  <c r="H211"/>
  <c r="I211"/>
  <c r="H212"/>
  <c r="I212"/>
  <c r="I60"/>
  <c r="H60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2"/>
  <c r="I102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I163" s="1"/>
  <c r="H163"/>
  <c r="H164"/>
  <c r="H166"/>
  <c r="I166"/>
  <c r="H167"/>
  <c r="I167"/>
  <c r="J47"/>
  <c r="I47" s="1"/>
  <c r="J45"/>
  <c r="I45" s="1"/>
  <c r="H45" s="1"/>
  <c r="G45" s="1"/>
  <c r="G46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G39" s="1"/>
  <c r="J36"/>
  <c r="I36" s="1"/>
  <c r="I143" l="1"/>
  <c r="H141"/>
  <c r="H142" s="1"/>
  <c r="H143"/>
  <c r="G40"/>
  <c r="G42"/>
  <c r="G41"/>
  <c r="H43"/>
  <c r="G43" s="1"/>
  <c r="I125"/>
  <c r="I126"/>
  <c r="I127"/>
  <c r="I128"/>
  <c r="I131"/>
  <c r="H47"/>
  <c r="G47" s="1"/>
  <c r="I129"/>
  <c r="I39"/>
  <c r="H39"/>
  <c r="H36"/>
  <c r="G36" s="1"/>
  <c r="I124"/>
  <c r="I132"/>
  <c r="I46"/>
  <c r="H46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T48"/>
  <c r="S48"/>
  <c r="R48"/>
  <c r="Q48"/>
  <c r="P48"/>
  <c r="O48"/>
  <c r="N48"/>
  <c r="M48"/>
  <c r="L48"/>
  <c r="K48"/>
  <c r="J48"/>
  <c r="T130"/>
  <c r="S130"/>
  <c r="R130"/>
  <c r="Q130"/>
  <c r="P130"/>
  <c r="O130"/>
  <c r="N130"/>
  <c r="M130"/>
  <c r="L130"/>
  <c r="K130"/>
  <c r="X47" l="1"/>
  <c r="Y47" s="1"/>
  <c r="Z47" s="1"/>
  <c r="AA47" s="1"/>
  <c r="AB47" s="1"/>
  <c r="AC47" s="1"/>
  <c r="AD47" s="1"/>
  <c r="AE47" s="1"/>
  <c r="AF47" s="1"/>
  <c r="AG47" s="1"/>
  <c r="AH47" s="1"/>
  <c r="G129"/>
  <c r="V129" s="1"/>
  <c r="G48"/>
  <c r="G125"/>
  <c r="G127"/>
  <c r="G131"/>
  <c r="G44"/>
  <c r="G126"/>
  <c r="G128"/>
  <c r="G37"/>
  <c r="G124"/>
  <c r="G132"/>
  <c r="I48"/>
  <c r="H129"/>
  <c r="H48"/>
  <c r="I44"/>
  <c r="H125"/>
  <c r="H126"/>
  <c r="H127"/>
  <c r="H128"/>
  <c r="H131"/>
  <c r="H44"/>
  <c r="I37"/>
  <c r="H124"/>
  <c r="H132"/>
  <c r="H37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T126" i="18"/>
  <c r="S126"/>
  <c r="R126"/>
  <c r="Q126"/>
  <c r="P126"/>
  <c r="O126"/>
  <c r="N126"/>
  <c r="M126"/>
  <c r="L126"/>
  <c r="K126"/>
  <c r="K46"/>
  <c r="W49"/>
  <c r="X49" s="1"/>
  <c r="J49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26"/>
  <c r="I49" l="1"/>
  <c r="J130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2"/>
  <c r="V132" s="1"/>
  <c r="T131"/>
  <c r="V131" s="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V125" s="1"/>
  <c r="S125"/>
  <c r="R125"/>
  <c r="Q125"/>
  <c r="P125"/>
  <c r="O125"/>
  <c r="N125"/>
  <c r="M125"/>
  <c r="L125"/>
  <c r="K125"/>
  <c r="J125"/>
  <c r="T124"/>
  <c r="V124" s="1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Y49"/>
  <c r="Z49" s="1"/>
  <c r="AA49" s="1"/>
  <c r="AB49" s="1"/>
  <c r="AC49" s="1"/>
  <c r="AD49" s="1"/>
  <c r="AE49" s="1"/>
  <c r="AF49" s="1"/>
  <c r="AG49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H49"/>
  <c r="G49" s="1"/>
  <c r="G130" s="1"/>
  <c r="V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W43"/>
  <c r="W42"/>
  <c r="W41"/>
  <c r="W38"/>
  <c r="X38" s="1"/>
  <c r="W36"/>
  <c r="X36" s="1"/>
  <c r="X41" l="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X42"/>
  <c r="Y42" s="1"/>
  <c r="Z42" s="1"/>
  <c r="AA42" s="1"/>
  <c r="AB42" s="1"/>
  <c r="AC42" s="1"/>
  <c r="AD42" s="1"/>
  <c r="AE42" s="1"/>
  <c r="AF42" s="1"/>
  <c r="AG42" s="1"/>
  <c r="AH42" s="1"/>
  <c r="H130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Y36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X126" l="1"/>
  <c r="X127"/>
  <c r="X128"/>
  <c r="B105" i="20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V212" s="1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T60"/>
  <c r="S60"/>
  <c r="R60"/>
  <c r="Q60"/>
  <c r="P60"/>
  <c r="O60"/>
  <c r="N60"/>
  <c r="M60"/>
  <c r="L60"/>
  <c r="K60"/>
  <c r="J60"/>
  <c r="T58"/>
  <c r="S58"/>
  <c r="T56"/>
  <c r="S56"/>
  <c r="T54"/>
  <c r="S54"/>
  <c r="T52"/>
  <c r="S52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T102"/>
  <c r="V102" s="1"/>
  <c r="S102"/>
  <c r="R102"/>
  <c r="Q102"/>
  <c r="P102"/>
  <c r="O102"/>
  <c r="N102"/>
  <c r="M102"/>
  <c r="L102"/>
  <c r="K102"/>
  <c r="J102"/>
  <c r="W170" l="1"/>
  <c r="U220" s="1"/>
  <c r="U219" s="1"/>
  <c r="H82" i="20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U225"/>
  <c r="C1"/>
  <c r="AJ47" s="1"/>
  <c r="G220" l="1"/>
  <c r="G221" s="1"/>
  <c r="G222" s="1"/>
  <c r="U221"/>
  <c r="U222" s="1"/>
  <c r="U224"/>
  <c r="U226"/>
  <c r="U227" s="1"/>
  <c r="T225"/>
  <c r="G225"/>
  <c r="G219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V71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V70" s="1"/>
  <c r="X224" l="1"/>
  <c r="G224"/>
  <c r="G226"/>
  <c r="G227" s="1"/>
  <c r="V220"/>
  <c r="T219"/>
  <c r="X219"/>
  <c r="T205"/>
  <c r="V205" s="1"/>
  <c r="T204"/>
  <c r="V204" s="1"/>
  <c r="H219"/>
  <c r="H221"/>
  <c r="I224"/>
  <c r="I226"/>
  <c r="I227" s="1"/>
  <c r="V225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V224" l="1"/>
  <c r="V221"/>
  <c r="H222"/>
  <c r="V222" s="1"/>
  <c r="V226"/>
  <c r="H227"/>
  <c r="V227" s="1"/>
  <c r="V219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V147" s="1"/>
  <c r="T146"/>
  <c r="V146" s="1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V211" s="1"/>
  <c r="T66"/>
  <c r="V66" s="1"/>
  <c r="T67"/>
  <c r="V67" s="1"/>
  <c r="T68"/>
  <c r="V68" s="1"/>
  <c r="T72"/>
  <c r="V72" s="1"/>
  <c r="T73"/>
  <c r="T74"/>
  <c r="V74" s="1"/>
  <c r="T75"/>
  <c r="V75" s="1"/>
  <c r="T76"/>
  <c r="V76" s="1"/>
  <c r="T78"/>
  <c r="V78" s="1"/>
  <c r="T79"/>
  <c r="V79" s="1"/>
  <c r="T80"/>
  <c r="V80" s="1"/>
  <c r="T82"/>
  <c r="V82" s="1"/>
  <c r="T83"/>
  <c r="V83" s="1"/>
  <c r="T85"/>
  <c r="V85" s="1"/>
  <c r="T86"/>
  <c r="V86" s="1"/>
  <c r="T88"/>
  <c r="V88" s="1"/>
  <c r="T90"/>
  <c r="V90" s="1"/>
  <c r="T93"/>
  <c r="V93" s="1"/>
  <c r="T94"/>
  <c r="V94" s="1"/>
  <c r="T95"/>
  <c r="V95" s="1"/>
  <c r="T96"/>
  <c r="V96" s="1"/>
  <c r="T98"/>
  <c r="V98" s="1"/>
  <c r="T99"/>
  <c r="V99" s="1"/>
  <c r="T100"/>
  <c r="V100" s="1"/>
  <c r="T105"/>
  <c r="V105" s="1"/>
  <c r="T106"/>
  <c r="V106" s="1"/>
  <c r="T107"/>
  <c r="V107" s="1"/>
  <c r="T108"/>
  <c r="V108" s="1"/>
  <c r="T109"/>
  <c r="V109" s="1"/>
  <c r="T112"/>
  <c r="V112" s="1"/>
  <c r="T113"/>
  <c r="V113" s="1"/>
  <c r="T114"/>
  <c r="V114" s="1"/>
  <c r="T115"/>
  <c r="V115" s="1"/>
  <c r="T116"/>
  <c r="V116" s="1"/>
  <c r="T134"/>
  <c r="V134" s="1"/>
  <c r="T135"/>
  <c r="V135" s="1"/>
  <c r="T136"/>
  <c r="V136" s="1"/>
  <c r="T137"/>
  <c r="V137" s="1"/>
  <c r="T145"/>
  <c r="V145" s="1"/>
  <c r="T149"/>
  <c r="V149" s="1"/>
  <c r="T150"/>
  <c r="V150" s="1"/>
  <c r="T151"/>
  <c r="V151" s="1"/>
  <c r="T154"/>
  <c r="V154" s="1"/>
  <c r="T155"/>
  <c r="V155" s="1"/>
  <c r="T156"/>
  <c r="V156" s="1"/>
  <c r="T157"/>
  <c r="V157" s="1"/>
  <c r="T159"/>
  <c r="V159" s="1"/>
  <c r="T160"/>
  <c r="V160" s="1"/>
  <c r="T162"/>
  <c r="V162" s="1"/>
  <c r="T166"/>
  <c r="V166" s="1"/>
  <c r="T167"/>
  <c r="V167" s="1"/>
  <c r="T92" l="1"/>
  <c r="V92" s="1"/>
  <c r="T139"/>
  <c r="V139" s="1"/>
  <c r="T214"/>
  <c r="V214" s="1"/>
  <c r="T110"/>
  <c r="V110" s="1"/>
  <c r="T164"/>
  <c r="V164" s="1"/>
  <c r="T122"/>
  <c r="V122" s="1"/>
  <c r="T120"/>
  <c r="V120" s="1"/>
  <c r="T119"/>
  <c r="V119" s="1"/>
  <c r="T202"/>
  <c r="V202" s="1"/>
  <c r="T118"/>
  <c r="V118" s="1"/>
  <c r="T163"/>
  <c r="V163" s="1"/>
  <c r="T208"/>
  <c r="V208" s="1"/>
  <c r="T121"/>
  <c r="V121" s="1"/>
  <c r="T209"/>
  <c r="V209" s="1"/>
  <c r="T206"/>
  <c r="V206" s="1"/>
  <c r="J60" i="20"/>
  <c r="P59"/>
  <c r="H87"/>
  <c r="F68"/>
  <c r="G68" s="1"/>
  <c r="C69" s="1"/>
  <c r="I114"/>
  <c r="M113"/>
  <c r="N113" s="1"/>
  <c r="J114" s="1"/>
  <c r="B114"/>
  <c r="F113"/>
  <c r="G113" s="1"/>
  <c r="C114" s="1"/>
  <c r="T203" i="18"/>
  <c r="V203" s="1"/>
  <c r="T84"/>
  <c r="V84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V207" s="1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V215" s="1"/>
  <c r="K245"/>
  <c r="V140" l="1"/>
  <c r="T143"/>
  <c r="V143" s="1"/>
  <c r="T141"/>
  <c r="T142" s="1"/>
  <c r="V142" s="1"/>
  <c r="T217"/>
  <c r="V217" s="1"/>
  <c r="V216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V141" l="1"/>
  <c r="F71" i="20"/>
  <c r="G71"/>
  <c r="C72" s="1"/>
  <c r="B117"/>
  <c r="F116"/>
  <c r="G116" s="1"/>
  <c r="C117" s="1"/>
  <c r="I117"/>
  <c r="M116"/>
  <c r="N116" s="1"/>
  <c r="J117" s="1"/>
  <c r="M61"/>
  <c r="N61"/>
  <c r="AI53" i="18"/>
  <c r="W53"/>
  <c r="X53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3" i="18"/>
  <c r="X246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W259"/>
  <c r="W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X14" s="1"/>
  <c r="W256"/>
  <c r="W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Y14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X32" s="1"/>
  <c r="J137"/>
  <c r="K137"/>
  <c r="L137"/>
  <c r="M137"/>
  <c r="N137"/>
  <c r="O137"/>
  <c r="P137"/>
  <c r="Q137"/>
  <c r="R137"/>
  <c r="S137"/>
  <c r="V260"/>
  <c r="O259"/>
  <c r="V257"/>
  <c r="W257" s="1"/>
  <c r="W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Y32"/>
  <c r="Z32" s="1"/>
  <c r="AA32" s="1"/>
  <c r="AB32" s="1"/>
  <c r="AC32" s="1"/>
  <c r="AD32" s="1"/>
  <c r="AE32" s="1"/>
  <c r="AF32" s="1"/>
  <c r="AG32" s="1"/>
  <c r="AH32" s="1"/>
  <c r="O262"/>
  <c r="V262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1"/>
  <c r="X51" s="1"/>
  <c r="W55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X55" l="1"/>
  <c r="X130" s="1"/>
  <c r="X25"/>
  <c r="X129" s="1"/>
  <c r="J65" i="20"/>
  <c r="P64"/>
  <c r="F78"/>
  <c r="G78" s="1"/>
  <c r="X132" i="18"/>
  <c r="X68"/>
  <c r="AD53"/>
  <c r="AJ32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X110" l="1"/>
  <c r="X124"/>
  <c r="X125"/>
  <c r="X131"/>
  <c r="G81" i="20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V250"/>
  <c r="V249"/>
  <c r="V248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T237" s="1"/>
  <c r="AJ88"/>
  <c r="Y188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L214" s="1"/>
  <c r="M72"/>
  <c r="M214" s="1"/>
  <c r="N72"/>
  <c r="N214" s="1"/>
  <c r="O72"/>
  <c r="O214" s="1"/>
  <c r="P72"/>
  <c r="P214" s="1"/>
  <c r="Q72"/>
  <c r="Q214" s="1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K214" l="1"/>
  <c r="V170"/>
  <c r="X244" s="1"/>
  <c r="X243" s="1"/>
  <c r="N81" i="20"/>
  <c r="N82" s="1"/>
  <c r="J79"/>
  <c r="AB125" i="18"/>
  <c r="AB129"/>
  <c r="AB147"/>
  <c r="AB124"/>
  <c r="X211"/>
  <c r="AF113"/>
  <c r="AF119" s="1"/>
  <c r="X134"/>
  <c r="W188"/>
  <c r="S237" s="1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X185"/>
  <c r="T240" s="1"/>
  <c r="N37" i="11"/>
  <c r="O36"/>
  <c r="AH221" i="18" l="1"/>
  <c r="AG222"/>
  <c r="AH222" s="1"/>
  <c r="AG227"/>
  <c r="AH227" s="1"/>
  <c r="AH226"/>
  <c r="W184"/>
  <c r="W185"/>
  <c r="S240" s="1"/>
  <c r="N38" i="11"/>
  <c r="O37"/>
  <c r="P240" i="18" l="1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X206" s="1"/>
  <c r="X230" s="1"/>
  <c r="Y57"/>
  <c r="X231" l="1"/>
  <c r="X232" s="1"/>
  <c r="X229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Y231" l="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AG209"/>
  <c r="AH80"/>
  <c r="X179"/>
  <c r="T238" s="1"/>
  <c r="AH72"/>
  <c r="AJ72"/>
  <c r="Y171" s="1"/>
  <c r="X171"/>
  <c r="T242" s="1"/>
  <c r="AG203"/>
  <c r="AG215" s="1"/>
  <c r="AH215" s="1"/>
  <c r="AJ66"/>
  <c r="AH66"/>
  <c r="AG202"/>
  <c r="AH100"/>
  <c r="AJ100"/>
  <c r="X198"/>
  <c r="T241" s="1"/>
  <c r="AJ96"/>
  <c r="Y198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T239" s="1"/>
  <c r="AJ74"/>
  <c r="Y172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30" l="1"/>
  <c r="G231" s="1"/>
  <c r="G232" s="1"/>
  <c r="U230"/>
  <c r="G229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W198"/>
  <c r="S241" s="1"/>
  <c r="AJ226"/>
  <c r="W194"/>
  <c r="AH205"/>
  <c r="AJ205" s="1"/>
  <c r="W182"/>
  <c r="W172"/>
  <c r="S239" s="1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T243"/>
  <c r="W179"/>
  <c r="S238" s="1"/>
  <c r="AG143"/>
  <c r="AH140"/>
  <c r="AG141"/>
  <c r="S242" l="1"/>
  <c r="S243" s="1"/>
  <c r="U229"/>
  <c r="U231"/>
  <c r="U232" s="1"/>
  <c r="AJ230"/>
  <c r="AJ229"/>
  <c r="T231"/>
  <c r="T229"/>
  <c r="V230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P238"/>
  <c r="P239"/>
  <c r="P241"/>
  <c r="AH207"/>
  <c r="AJ207" s="1"/>
  <c r="AJ221" s="1"/>
  <c r="V229" l="1"/>
  <c r="J232"/>
  <c r="AH232" s="1"/>
  <c r="AH231"/>
  <c r="V231"/>
  <c r="T232"/>
  <c r="V232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W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<sst xmlns="http://schemas.openxmlformats.org/spreadsheetml/2006/main" count="781" uniqueCount="516">
  <si>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</si>
  <si>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</si>
  <si>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</si>
  <si>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</si>
  <si>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</si>
  <si>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</si>
  <si>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</si>
  <si>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</si>
  <si>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</si>
  <si>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</si>
  <si>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</si>
  <si>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</si>
  <si>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</si>
  <si>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</si>
  <si>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</si>
  <si>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</si>
  <si>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</si>
  <si>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</si>
  <si>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</si>
  <si>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</si>
  <si>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</si>
  <si>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</si>
  <si>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</si>
  <si>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</si>
  <si>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</si>
  <si>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</si>
  <si>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</si>
  <si>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</si>
  <si>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</si>
  <si>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</si>
  <si>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</si>
  <si>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</si>
  <si>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</si>
  <si>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</si>
  <si>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</si>
  <si>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</si>
  <si>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</si>
  <si>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</si>
  <si>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</si>
  <si>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</si>
  <si>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</si>
  <si>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</si>
  <si>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</si>
  <si>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</si>
  <si>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</si>
  <si>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</si>
  <si>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</si>
  <si>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</si>
  <si>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</si>
  <si>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</si>
  <si>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</si>
  <si>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</si>
  <si>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</si>
  <si>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</si>
  <si>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</si>
  <si>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</si>
  <si>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</si>
  <si>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</si>
  <si>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</si>
  <si>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</si>
  <si>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</si>
  <si>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</si>
  <si>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</si>
  <si>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</si>
  <si>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</si>
  <si>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</si>
  <si>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</si>
  <si>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</si>
  <si>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</si>
  <si>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</si>
  <si>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</si>
  <si>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</si>
  <si>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</si>
  <si>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</si>
  <si>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</si>
  <si>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</si>
  <si>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</si>
  <si>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</si>
  <si>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</si>
  <si>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</si>
  <si>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</si>
  <si>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</si>
  <si>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</si>
  <si>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</si>
  <si>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</si>
  <si>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</si>
  <si>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</si>
  <si>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</si>
  <si>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</si>
  <si>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</si>
  <si>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</si>
  <si>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</si>
  <si>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</si>
  <si>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</si>
  <si>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</si>
  <si>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</si>
  <si>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</si>
  <si>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</si>
  <si>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</si>
  <si>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</si>
  <si>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</si>
  <si>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</si>
  <si>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</si>
  <si>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</si>
  <si>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</si>
  <si>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</si>
  <si>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</si>
  <si>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</si>
  <si>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</si>
  <si>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</si>
  <si>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</si>
  <si>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</si>
  <si>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</si>
  <si>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</si>
  <si>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</si>
  <si>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</si>
  <si>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</si>
  <si>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</si>
  <si>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</si>
  <si>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</si>
  <si>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</si>
  <si>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</si>
  <si>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</si>
  <si>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</si>
  <si>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</si>
  <si>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</si>
  <si>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</si>
  <si>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</si>
  <si>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</si>
  <si>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</si>
  <si>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</si>
  <si>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</si>
  <si>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</si>
  <si>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</si>
  <si>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</si>
  <si>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</si>
  <si>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</si>
  <si>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</si>
  <si>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</si>
  <si>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</si>
  <si>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</si>
  <si>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</si>
  <si>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</si>
  <si>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</si>
  <si>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</si>
  <si>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</si>
  <si>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</si>
  <si>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</si>
  <si>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</si>
  <si>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</si>
  <si>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</si>
  <si>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</si>
  <si>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</si>
  <si>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</si>
  <si>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</si>
  <si>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</si>
  <si>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</si>
  <si>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</si>
  <si>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</si>
  <si>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</si>
  <si>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</si>
  <si>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</si>
  <si>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</si>
  <si>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</si>
  <si>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</si>
  <si>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</si>
  <si>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</si>
  <si>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</si>
  <si>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</si>
  <si>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</si>
  <si>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</si>
  <si>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</si>
  <si>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</si>
  <si>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</si>
  <si>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</si>
  <si>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</si>
  <si>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</si>
  <si>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</si>
  <si>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</si>
  <si>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</si>
  <si>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</si>
  <si>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</si>
  <si>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</si>
  <si>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</si>
  <si>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</si>
  <si>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</si>
  <si>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</si>
  <si>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</si>
  <si>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</si>
  <si>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</si>
  <si>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</si>
  <si>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</si>
  <si>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</si>
  <si>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</si>
  <si>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</si>
  <si>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</si>
  <si>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</si>
  <si>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</si>
  <si>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</si>
  <si>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</si>
  <si>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</si>
  <si>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</si>
  <si>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</si>
  <si>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</si>
  <si>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</si>
  <si>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</si>
  <si>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</si>
  <si>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</si>
  <si>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</si>
  <si>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</si>
  <si>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</si>
  <si>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</si>
  <si>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</si>
  <si>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</si>
  <si>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</si>
  <si>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</si>
  <si>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</si>
  <si>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</si>
  <si>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</si>
  <si>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</si>
  <si>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</si>
  <si>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</si>
  <si>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</si>
  <si>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</si>
  <si>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</si>
  <si>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</si>
  <si>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</si>
  <si>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</si>
  <si>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</si>
  <si>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</si>
  <si>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</si>
  <si>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</si>
  <si>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</si>
  <si>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</si>
  <si>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</si>
  <si>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</si>
  <si>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</si>
  <si>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</si>
  <si>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</si>
  <si>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</si>
  <si>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</si>
  <si>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</si>
  <si>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</si>
  <si>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</si>
  <si>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</si>
  <si>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</si>
  <si>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</si>
  <si>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</si>
  <si>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</si>
  <si>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</si>
  <si>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</si>
  <si>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</si>
  <si>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</si>
  <si>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</si>
  <si>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</si>
  <si>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</si>
  <si>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</si>
  <si>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</si>
  <si>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</si>
  <si>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</si>
  <si>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</si>
  <si>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</si>
  <si>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</si>
  <si>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</si>
  <si>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</si>
  <si>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</si>
  <si>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</si>
  <si>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</si>
  <si>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</si>
  <si>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</si>
  <si>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</si>
  <si>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</si>
  <si>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</si>
  <si>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</si>
  <si>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</si>
  <si>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</si>
  <si>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</si>
  <si>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</si>
  <si>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</si>
  <si>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</si>
  <si>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</si>
  <si>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</si>
  <si>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</si>
  <si>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</si>
  <si>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</si>
  <si>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</si>
  <si>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</si>
  <si>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</si>
  <si>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</si>
  <si>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</si>
  <si>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</si>
  <si>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</si>
  <si>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</si>
  <si>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</si>
  <si>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</si>
  <si>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</si>
  <si>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</si>
  <si>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</si>
  <si>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</si>
  <si>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</si>
  <si>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</si>
  <si>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</si>
  <si>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</si>
  <si>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</si>
  <si>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</si>
  <si>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</si>
  <si>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</si>
  <si>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</si>
  <si>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</si>
  <si>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</si>
  <si>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</si>
  <si>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</si>
  <si>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</si>
  <si>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</si>
  <si>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</si>
  <si>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</si>
  <si>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</si>
  <si>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</si>
  <si>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</si>
  <si>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</si>
  <si>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</si>
  <si>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</si>
  <si>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</si>
  <si>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</si>
  <si>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</si>
  <si>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</si>
  <si>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</si>
  <si>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</si>
  <si>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</si>
  <si>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</si>
  <si>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</si>
  <si>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</si>
  <si>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</si>
  <si>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</si>
  <si>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</si>
  <si>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</si>
  <si>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</si>
  <si>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</si>
  <si>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</si>
  <si>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</si>
  <si>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</si>
  <si>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</si>
  <si>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</si>
  <si>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</si>
  <si>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</si>
  <si>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</si>
  <si>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</si>
  <si>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</si>
  <si>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</si>
  <si>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</si>
  <si>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</si>
  <si>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</si>
  <si>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</si>
  <si>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</si>
  <si>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</si>
  <si>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</si>
  <si>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</si>
  <si>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</si>
  <si>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</si>
  <si>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</si>
  <si>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</si>
  <si>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</si>
  <si>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</si>
  <si>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</si>
  <si>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</si>
  <si>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</si>
  <si>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</si>
  <si>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</si>
  <si>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</si>
  <si>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</si>
  <si>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</si>
  <si>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</si>
  <si>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</si>
  <si>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</si>
  <si>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</si>
  <si>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</si>
  <si>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</si>
  <si>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</si>
  <si>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</si>
  <si>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</si>
  <si>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</si>
  <si>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</si>
  <si>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</si>
  <si>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</si>
  <si>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</si>
  <si>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</si>
  <si>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</si>
  <si>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</si>
  <si>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</si>
  <si>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</si>
  <si>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</si>
  <si>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</si>
  <si>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</si>
  <si>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</si>
  <si>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</si>
  <si>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</si>
  <si>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</si>
  <si>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</si>
  <si>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</si>
  <si>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</si>
  <si>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</si>
  <si>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</si>
  <si>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</si>
  <si>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</si>
  <si>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</si>
  <si>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</si>
  <si>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</si>
  <si>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</si>
  <si>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</si>
  <si>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</si>
  <si>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</si>
  <si>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</si>
  <si>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</si>
  <si>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</si>
  <si>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</si>
  <si>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</si>
  <si>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</si>
  <si>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</si>
  <si>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</si>
  <si>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</si>
  <si>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</si>
  <si>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</si>
  <si>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</si>
  <si>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</si>
  <si>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</si>
  <si>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</si>
  <si>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</si>
  <si>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</si>
  <si>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</si>
  <si>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</si>
  <si>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</si>
  <si>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</si>
  <si>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</si>
  <si>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</si>
  <si>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</si>
  <si>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</si>
  <si>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</si>
  <si>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</si>
  <si>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</si>
  <si>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</si>
  <si>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</si>
  <si>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</si>
  <si>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</si>
  <si>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</si>
  <si>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</si>
  <si>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</si>
  <si>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</si>
  <si>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</si>
  <si>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</si>
  <si>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</si>
  <si>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</si>
  <si>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</si>
  <si>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</si>
  <si>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</si>
  <si>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</si>
  <si>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</si>
  <si>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</si>
  <si>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</si>
  <si>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</si>
  <si>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</si>
  <si>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</si>
  <si>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</si>
  <si>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</si>
  <si>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</si>
  <si>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</si>
  <si>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</si>
  <si>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</si>
  <si>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</si>
  <si>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</si>
  <si>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</si>
  <si>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</si>
  <si>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</si>
  <si>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</si>
  <si>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</si>
  <si>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</si>
  <si>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</si>
  <si>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</si>
  <si>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</si>
  <si>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</si>
  <si>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</si>
  <si>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</si>
  <si>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</si>
  <si>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</si>
  <si>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</si>
  <si>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</si>
  <si>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</si>
  <si>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</si>
  <si>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</si>
  <si>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</si>
  <si>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</si>
  <si>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</si>
  <si>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</si>
  <si>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</si>
  <si>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</si>
  <si>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</si>
  <si>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</si>
  <si>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</si>
  <si>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</si>
  <si>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</si>
  <si>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</si>
  <si>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</si>
  <si>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</si>
  <si>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</si>
  <si>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</si>
  <si>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</si>
  <si>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</si>
  <si>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</si>
  <si>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</si>
  <si>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</si>
  <si>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</si>
  <si>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13 yrs</t>
  </si>
  <si>
    <t>Top Expenses ( Empl</t>
  </si>
  <si>
    <t>2nd highest Expenses Comp. ( Misc Exp)</t>
  </si>
  <si>
    <t>1x1</t>
  </si>
  <si>
    <t>5x1</t>
  </si>
  <si>
    <t>Avg 10 yrs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</si>
</sst>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35905536"/>
        <c:axId val="35907072"/>
      </c:lineChart>
      <c:catAx>
        <c:axId val="35905536"/>
        <c:scaling>
          <c:orientation val="minMax"/>
        </c:scaling>
        <c:axPos val="b"/>
        <c:tickLblPos val="nextTo"/>
        <c:crossAx val="35907072"/>
        <c:crosses val="autoZero"/>
        <c:auto val="1"/>
        <c:lblAlgn val="ctr"/>
        <c:lblOffset val="100"/>
      </c:catAx>
      <c:valAx>
        <c:axId val="35907072"/>
        <c:scaling>
          <c:orientation val="minMax"/>
        </c:scaling>
        <c:axPos val="l"/>
        <c:majorGridlines/>
        <c:numFmt formatCode="General" sourceLinked="1"/>
        <c:tickLblPos val="nextTo"/>
        <c:crossAx val="3590553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77" l="0.70000000000000062" r="0.70000000000000062" t="0.750000000000007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F20" sqref="F20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H17" sqref="G1:I17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5" t="s">
        <v>440</v>
      </c>
      <c r="C3" s="275"/>
      <c r="D3" s="275"/>
      <c r="G3" s="275" t="s">
        <v>441</v>
      </c>
      <c r="H3" s="275"/>
      <c r="I3" s="275"/>
      <c r="P3" s="276" t="s">
        <v>442</v>
      </c>
      <c r="Q3" s="277"/>
      <c r="R3" s="277"/>
      <c r="S3" s="278"/>
      <c r="T3" s="276" t="s">
        <v>443</v>
      </c>
      <c r="U3" s="277"/>
      <c r="V3" s="277"/>
      <c r="W3" s="278"/>
    </row>
    <row r="4" spans="2:23">
      <c r="B4" s="185" t="s">
        <v>444</v>
      </c>
      <c r="C4" s="279">
        <v>9500000</v>
      </c>
      <c r="D4" s="279"/>
      <c r="G4" s="185" t="s">
        <v>445</v>
      </c>
      <c r="H4" s="280">
        <v>200000</v>
      </c>
      <c r="I4" s="280"/>
      <c r="K4" s="186" t="s">
        <v>446</v>
      </c>
      <c r="L4" s="186" t="s">
        <v>78</v>
      </c>
      <c r="M4" s="186" t="s">
        <v>393</v>
      </c>
      <c r="N4" s="186" t="s">
        <v>447</v>
      </c>
      <c r="O4" s="186" t="s">
        <v>448</v>
      </c>
      <c r="P4" s="187" t="s">
        <v>449</v>
      </c>
      <c r="Q4" s="188" t="s">
        <v>287</v>
      </c>
      <c r="R4" s="188" t="s">
        <v>448</v>
      </c>
      <c r="S4" s="189" t="s">
        <v>450</v>
      </c>
      <c r="T4" s="187" t="s">
        <v>449</v>
      </c>
      <c r="U4" s="188" t="s">
        <v>287</v>
      </c>
      <c r="V4" s="188" t="s">
        <v>448</v>
      </c>
      <c r="W4" s="189" t="s">
        <v>450</v>
      </c>
    </row>
    <row r="5" spans="2:23">
      <c r="B5" s="185" t="s">
        <v>451</v>
      </c>
      <c r="C5" s="281">
        <v>0.08</v>
      </c>
      <c r="D5" s="282"/>
      <c r="G5" s="185" t="s">
        <v>451</v>
      </c>
      <c r="H5" s="283">
        <v>0.12</v>
      </c>
      <c r="I5" s="283"/>
      <c r="K5" s="185" t="s">
        <v>452</v>
      </c>
      <c r="L5" s="185">
        <v>200</v>
      </c>
      <c r="M5" s="185">
        <v>560</v>
      </c>
      <c r="N5" s="190">
        <f t="shared" ref="N5:N12" si="0">(M5-L5)/L5</f>
        <v>1.8</v>
      </c>
      <c r="O5" s="191">
        <v>1</v>
      </c>
      <c r="P5" s="192">
        <v>17500</v>
      </c>
      <c r="Q5" s="193">
        <f>P5/L5</f>
        <v>87.5</v>
      </c>
      <c r="R5" s="194">
        <v>1</v>
      </c>
      <c r="S5" s="195"/>
      <c r="T5" s="192">
        <v>14000</v>
      </c>
      <c r="U5" s="196">
        <v>50</v>
      </c>
      <c r="V5" s="197">
        <v>1</v>
      </c>
      <c r="W5" s="195"/>
    </row>
    <row r="6" spans="2:23">
      <c r="B6" s="185" t="s">
        <v>453</v>
      </c>
      <c r="C6" s="280">
        <v>30</v>
      </c>
      <c r="D6" s="280"/>
      <c r="G6" s="185" t="s">
        <v>453</v>
      </c>
      <c r="H6" s="280">
        <v>10</v>
      </c>
      <c r="I6" s="280"/>
      <c r="K6" s="185" t="s">
        <v>454</v>
      </c>
      <c r="L6" s="185">
        <v>450</v>
      </c>
      <c r="M6" s="185">
        <v>900</v>
      </c>
      <c r="N6" s="190">
        <f t="shared" si="0"/>
        <v>1</v>
      </c>
      <c r="O6" s="191">
        <v>5</v>
      </c>
      <c r="P6" s="192"/>
      <c r="Q6" s="198"/>
      <c r="R6" s="198"/>
      <c r="S6" s="199"/>
      <c r="T6" s="192">
        <v>18000</v>
      </c>
      <c r="U6" s="200">
        <v>400</v>
      </c>
      <c r="V6" s="200">
        <v>2</v>
      </c>
      <c r="W6" s="199" t="s">
        <v>455</v>
      </c>
    </row>
    <row r="7" spans="2:23">
      <c r="B7" s="185"/>
      <c r="C7" s="284"/>
      <c r="D7" s="284"/>
      <c r="G7" s="185"/>
      <c r="H7" s="284"/>
      <c r="I7" s="284"/>
      <c r="K7" s="185" t="s">
        <v>456</v>
      </c>
      <c r="L7" s="185">
        <v>32</v>
      </c>
      <c r="M7" s="185">
        <v>70</v>
      </c>
      <c r="N7" s="190">
        <f t="shared" si="0"/>
        <v>1.1875</v>
      </c>
      <c r="O7" s="191">
        <v>3</v>
      </c>
      <c r="P7" s="201"/>
      <c r="Q7" s="202"/>
      <c r="R7" s="202"/>
      <c r="S7" s="199"/>
      <c r="T7" s="201"/>
      <c r="U7" s="198"/>
      <c r="V7" s="198"/>
      <c r="W7" s="199"/>
    </row>
    <row r="8" spans="2:23">
      <c r="B8" s="185"/>
      <c r="C8" s="284"/>
      <c r="D8" s="284"/>
      <c r="G8" s="185"/>
      <c r="H8" s="284"/>
      <c r="I8" s="284"/>
      <c r="K8" s="185" t="s">
        <v>457</v>
      </c>
      <c r="L8" s="185">
        <v>260</v>
      </c>
      <c r="M8" s="185">
        <v>400</v>
      </c>
      <c r="N8" s="190">
        <f t="shared" si="0"/>
        <v>0.53846153846153844</v>
      </c>
      <c r="O8" s="191">
        <v>6</v>
      </c>
      <c r="P8" s="201"/>
      <c r="Q8" s="198"/>
      <c r="R8" s="198"/>
      <c r="S8" s="199"/>
      <c r="T8" s="201"/>
      <c r="U8" s="198"/>
      <c r="V8" s="198"/>
      <c r="W8" s="199"/>
    </row>
    <row r="9" spans="2:23">
      <c r="B9" s="203" t="s">
        <v>445</v>
      </c>
      <c r="C9" s="285">
        <f>C4*(1/(1+C5)^C6)</f>
        <v>944084.6592231117</v>
      </c>
      <c r="D9" s="285"/>
      <c r="G9" s="203" t="s">
        <v>458</v>
      </c>
      <c r="H9" s="285">
        <f>H4*((1+H5)^H6)</f>
        <v>621169.64166884217</v>
      </c>
      <c r="I9" s="285"/>
      <c r="K9" s="185" t="s">
        <v>459</v>
      </c>
      <c r="L9" s="185">
        <v>300</v>
      </c>
      <c r="M9" s="185">
        <v>500</v>
      </c>
      <c r="N9" s="190">
        <f t="shared" si="0"/>
        <v>0.66666666666666663</v>
      </c>
      <c r="O9" s="191">
        <v>7</v>
      </c>
      <c r="P9" s="201"/>
      <c r="Q9" s="198"/>
      <c r="R9" s="198"/>
      <c r="S9" s="199"/>
      <c r="T9" s="201"/>
      <c r="U9" s="198"/>
      <c r="V9" s="198"/>
      <c r="W9" s="199"/>
    </row>
    <row r="10" spans="2:23">
      <c r="B10" s="203" t="s">
        <v>460</v>
      </c>
      <c r="C10" s="285">
        <f>C4-C9</f>
        <v>8555915.3407768887</v>
      </c>
      <c r="D10" s="285"/>
      <c r="G10" s="203" t="s">
        <v>460</v>
      </c>
      <c r="H10" s="286">
        <f>H9-H4</f>
        <v>421169.64166884217</v>
      </c>
      <c r="I10" s="286"/>
      <c r="K10" s="185" t="s">
        <v>461</v>
      </c>
      <c r="L10" s="185">
        <v>112</v>
      </c>
      <c r="M10" s="185">
        <v>272</v>
      </c>
      <c r="N10" s="190">
        <f t="shared" si="0"/>
        <v>1.4285714285714286</v>
      </c>
      <c r="O10" s="191">
        <v>2</v>
      </c>
      <c r="P10" s="201">
        <v>7000</v>
      </c>
      <c r="Q10" s="204">
        <f>P10/L10</f>
        <v>62.5</v>
      </c>
      <c r="R10" s="204">
        <v>1</v>
      </c>
      <c r="S10" s="199"/>
      <c r="T10" s="201"/>
      <c r="U10" s="198"/>
      <c r="V10" s="198"/>
      <c r="W10" s="199"/>
    </row>
    <row r="11" spans="2:23">
      <c r="K11" s="185" t="s">
        <v>462</v>
      </c>
      <c r="L11" s="185">
        <v>700</v>
      </c>
      <c r="M11" s="185">
        <v>1500</v>
      </c>
      <c r="N11" s="190">
        <f t="shared" si="0"/>
        <v>1.1428571428571428</v>
      </c>
      <c r="O11" s="191">
        <v>4</v>
      </c>
      <c r="P11" s="205">
        <v>7000</v>
      </c>
      <c r="Q11" s="196">
        <v>200</v>
      </c>
      <c r="R11" s="197">
        <v>2</v>
      </c>
      <c r="S11" s="195"/>
      <c r="T11" s="205"/>
      <c r="U11" s="196"/>
      <c r="V11" s="197"/>
      <c r="W11" s="195"/>
    </row>
    <row r="12" spans="2:23" ht="15.75" thickBot="1">
      <c r="K12" s="185" t="s">
        <v>463</v>
      </c>
      <c r="L12" s="185">
        <v>488</v>
      </c>
      <c r="M12" s="185">
        <v>900</v>
      </c>
      <c r="N12" s="190">
        <f t="shared" si="0"/>
        <v>0.84426229508196726</v>
      </c>
      <c r="O12" s="191"/>
      <c r="P12" s="206"/>
      <c r="Q12" s="207"/>
      <c r="R12" s="207"/>
      <c r="S12" s="208"/>
      <c r="T12" s="206"/>
      <c r="U12" s="207"/>
      <c r="V12" s="207"/>
      <c r="W12" s="208"/>
    </row>
    <row r="13" spans="2:23">
      <c r="K13" s="209" t="s">
        <v>322</v>
      </c>
    </row>
    <row r="14" spans="2:23">
      <c r="B14" s="275" t="s">
        <v>464</v>
      </c>
      <c r="C14" s="275"/>
      <c r="D14" s="275"/>
      <c r="G14" s="275" t="s">
        <v>465</v>
      </c>
      <c r="H14" s="275"/>
      <c r="I14" s="275"/>
      <c r="K14" s="184" t="s">
        <v>284</v>
      </c>
      <c r="L14" s="184" t="s">
        <v>0</v>
      </c>
      <c r="M14" s="184" t="s">
        <v>323</v>
      </c>
      <c r="N14" s="184" t="s">
        <v>324</v>
      </c>
      <c r="O14" s="184" t="s">
        <v>325</v>
      </c>
      <c r="P14" s="184" t="s">
        <v>326</v>
      </c>
      <c r="Q14" s="184" t="s">
        <v>327</v>
      </c>
      <c r="R14" s="184" t="s">
        <v>328</v>
      </c>
    </row>
    <row r="15" spans="2:23">
      <c r="B15" s="185" t="s">
        <v>466</v>
      </c>
      <c r="C15" s="280">
        <v>24000</v>
      </c>
      <c r="D15" s="280"/>
      <c r="G15" s="185" t="s">
        <v>466</v>
      </c>
      <c r="H15" s="280">
        <v>200000</v>
      </c>
      <c r="I15" s="280"/>
      <c r="K15" s="185" t="s">
        <v>286</v>
      </c>
      <c r="L15" s="210">
        <v>50</v>
      </c>
      <c r="M15" s="211" t="s">
        <v>329</v>
      </c>
      <c r="N15" s="212">
        <v>4</v>
      </c>
      <c r="O15" s="212">
        <v>1</v>
      </c>
      <c r="P15" s="185">
        <f>N15/O15</f>
        <v>4</v>
      </c>
      <c r="Q15" s="185">
        <f>P15*L16</f>
        <v>4</v>
      </c>
      <c r="R15" s="213">
        <f>Q15+L16</f>
        <v>5</v>
      </c>
    </row>
    <row r="16" spans="2:23">
      <c r="B16" s="185" t="s">
        <v>451</v>
      </c>
      <c r="C16" s="281">
        <v>0.1</v>
      </c>
      <c r="D16" s="282"/>
      <c r="G16" s="185" t="s">
        <v>451</v>
      </c>
      <c r="H16" s="281">
        <v>0.12</v>
      </c>
      <c r="I16" s="282"/>
      <c r="K16" s="185" t="s">
        <v>287</v>
      </c>
      <c r="L16" s="210">
        <v>1</v>
      </c>
      <c r="M16" s="211" t="s">
        <v>330</v>
      </c>
      <c r="N16" s="212">
        <v>1</v>
      </c>
      <c r="O16" s="212">
        <v>1</v>
      </c>
      <c r="P16" s="185">
        <f>N16/O16</f>
        <v>1</v>
      </c>
      <c r="Q16" s="185">
        <f>P16*R15</f>
        <v>5</v>
      </c>
      <c r="R16" s="185">
        <f>Q16+R15</f>
        <v>10</v>
      </c>
    </row>
    <row r="17" spans="2:18">
      <c r="B17" s="185" t="s">
        <v>453</v>
      </c>
      <c r="C17" s="280">
        <v>20</v>
      </c>
      <c r="D17" s="280"/>
      <c r="G17" s="185" t="s">
        <v>453</v>
      </c>
      <c r="H17" s="280">
        <v>10</v>
      </c>
      <c r="I17" s="280"/>
      <c r="K17" s="185" t="s">
        <v>289</v>
      </c>
      <c r="L17" s="214">
        <f>L15*L16</f>
        <v>50</v>
      </c>
      <c r="M17" s="211" t="s">
        <v>331</v>
      </c>
      <c r="N17" s="212">
        <v>0</v>
      </c>
      <c r="O17" s="212">
        <v>2</v>
      </c>
      <c r="P17" s="185">
        <f>N17/O17</f>
        <v>0</v>
      </c>
      <c r="Q17" s="185">
        <f>P17*R16</f>
        <v>0</v>
      </c>
      <c r="R17" s="185">
        <f>Q17</f>
        <v>0</v>
      </c>
    </row>
    <row r="18" spans="2:18">
      <c r="B18" s="185"/>
      <c r="C18" s="284"/>
      <c r="D18" s="284"/>
      <c r="G18" s="185"/>
      <c r="H18" s="284"/>
      <c r="I18" s="284"/>
      <c r="K18" s="185" t="s">
        <v>290</v>
      </c>
      <c r="L18" s="210">
        <v>95</v>
      </c>
      <c r="M18" s="211"/>
      <c r="N18" s="185"/>
      <c r="O18" s="185"/>
      <c r="P18" s="203" t="s">
        <v>332</v>
      </c>
      <c r="Q18" s="185"/>
      <c r="R18" s="185">
        <f>R17</f>
        <v>0</v>
      </c>
    </row>
    <row r="19" spans="2:18">
      <c r="B19" s="203" t="s">
        <v>467</v>
      </c>
      <c r="C19" s="287">
        <f>( ( 1-  (1/ ( (1+C16)^C17) ) ) / C16)</f>
        <v>8.5135637197585652</v>
      </c>
      <c r="D19" s="288"/>
      <c r="G19" s="203" t="s">
        <v>468</v>
      </c>
      <c r="H19" s="287">
        <f>( ((1+H16)^H17) -1 ) / H16</f>
        <v>17.548735069535095</v>
      </c>
      <c r="I19" s="288"/>
      <c r="K19" s="185" t="s">
        <v>287</v>
      </c>
      <c r="L19" s="210">
        <v>10</v>
      </c>
      <c r="M19" s="211" t="s">
        <v>331</v>
      </c>
      <c r="N19" s="212">
        <v>10</v>
      </c>
      <c r="O19" s="212">
        <v>2</v>
      </c>
      <c r="P19" s="185">
        <f>N19/O19</f>
        <v>5</v>
      </c>
      <c r="Q19" s="213">
        <f>P19*L16</f>
        <v>5</v>
      </c>
      <c r="R19" s="213">
        <f>Q19</f>
        <v>5</v>
      </c>
    </row>
    <row r="20" spans="2:18">
      <c r="B20" s="203" t="s">
        <v>469</v>
      </c>
      <c r="C20" s="289">
        <f>C19 * C15</f>
        <v>204325.52927420556</v>
      </c>
      <c r="D20" s="290"/>
      <c r="G20" s="203" t="s">
        <v>470</v>
      </c>
      <c r="H20" s="287">
        <f>H19 * H15</f>
        <v>3509747.013907019</v>
      </c>
      <c r="I20" s="288"/>
      <c r="K20" s="185" t="s">
        <v>289</v>
      </c>
      <c r="L20" s="214">
        <f>L19*L18</f>
        <v>950</v>
      </c>
      <c r="M20" s="185"/>
      <c r="N20" s="185"/>
      <c r="O20" s="185"/>
      <c r="P20" s="203" t="s">
        <v>332</v>
      </c>
      <c r="Q20" s="185"/>
      <c r="R20" s="185">
        <f>R19</f>
        <v>5</v>
      </c>
    </row>
    <row r="21" spans="2:18">
      <c r="B21" s="203"/>
      <c r="C21" s="291"/>
      <c r="D21" s="292"/>
      <c r="G21" s="203"/>
      <c r="H21" s="291"/>
      <c r="I21" s="292"/>
      <c r="K21" s="185"/>
      <c r="L21" s="214"/>
      <c r="M21" s="211" t="s">
        <v>331</v>
      </c>
      <c r="N21" s="212">
        <v>10</v>
      </c>
      <c r="O21" s="212">
        <v>2</v>
      </c>
      <c r="P21" s="185">
        <f>N21/O21</f>
        <v>5</v>
      </c>
      <c r="Q21" s="185">
        <f>P21*R20</f>
        <v>25</v>
      </c>
      <c r="R21" s="185">
        <f>Q21</f>
        <v>25</v>
      </c>
    </row>
    <row r="22" spans="2:18">
      <c r="B22" s="203"/>
      <c r="C22" s="285"/>
      <c r="D22" s="285"/>
      <c r="G22" s="203"/>
      <c r="H22" s="285"/>
      <c r="I22" s="285"/>
      <c r="K22" s="203" t="s">
        <v>292</v>
      </c>
      <c r="L22" s="215">
        <f>L20/L17</f>
        <v>19</v>
      </c>
      <c r="M22" s="211"/>
      <c r="N22" s="185"/>
      <c r="O22" s="185"/>
      <c r="P22" s="203" t="s">
        <v>332</v>
      </c>
      <c r="Q22" s="185"/>
      <c r="R22" s="185">
        <f>R21</f>
        <v>25</v>
      </c>
    </row>
    <row r="26" spans="2:18">
      <c r="B26" s="275" t="s">
        <v>471</v>
      </c>
      <c r="C26" s="275"/>
      <c r="D26" s="275"/>
      <c r="G26" s="275" t="s">
        <v>472</v>
      </c>
      <c r="H26" s="275"/>
      <c r="I26" s="275"/>
      <c r="K26" s="275" t="s">
        <v>15</v>
      </c>
      <c r="L26" s="275"/>
    </row>
    <row r="27" spans="2:18">
      <c r="B27" s="185" t="s">
        <v>466</v>
      </c>
      <c r="C27" s="280">
        <v>100</v>
      </c>
      <c r="D27" s="280"/>
      <c r="G27" s="185" t="s">
        <v>466</v>
      </c>
      <c r="H27" s="280">
        <v>200000</v>
      </c>
      <c r="I27" s="280"/>
      <c r="K27" s="10" t="s">
        <v>16</v>
      </c>
      <c r="L27" s="11">
        <v>2200</v>
      </c>
      <c r="M27" s="216">
        <f>L27*M39</f>
        <v>14569536.423841059</v>
      </c>
      <c r="N27" t="s">
        <v>473</v>
      </c>
    </row>
    <row r="28" spans="2:18">
      <c r="B28" s="185" t="s">
        <v>451</v>
      </c>
      <c r="C28" s="281">
        <v>0.05</v>
      </c>
      <c r="D28" s="282"/>
      <c r="G28" s="185" t="s">
        <v>451</v>
      </c>
      <c r="H28" s="281">
        <v>0.12</v>
      </c>
      <c r="I28" s="282"/>
      <c r="K28" s="10" t="s">
        <v>17</v>
      </c>
      <c r="L28" s="11">
        <v>7550</v>
      </c>
      <c r="M28" s="217"/>
      <c r="R28">
        <v>416</v>
      </c>
    </row>
    <row r="29" spans="2:18">
      <c r="B29" s="185" t="s">
        <v>453</v>
      </c>
      <c r="C29" s="280">
        <v>3</v>
      </c>
      <c r="D29" s="280"/>
      <c r="G29" s="185" t="s">
        <v>453</v>
      </c>
      <c r="H29" s="280">
        <v>11</v>
      </c>
      <c r="I29" s="280"/>
      <c r="K29" s="10" t="s">
        <v>18</v>
      </c>
      <c r="L29" s="12">
        <v>11</v>
      </c>
      <c r="M29" s="218">
        <f>L27/100000</f>
        <v>2.1999999999999999E-2</v>
      </c>
      <c r="N29" t="s">
        <v>474</v>
      </c>
    </row>
    <row r="30" spans="2:18" ht="15.75" thickBot="1">
      <c r="B30" s="185"/>
      <c r="C30" s="284"/>
      <c r="D30" s="284"/>
      <c r="G30" s="185"/>
      <c r="H30" s="284"/>
      <c r="I30" s="284"/>
      <c r="K30" s="13" t="s">
        <v>19</v>
      </c>
      <c r="L30" s="3">
        <f>((L28/L27)^(1/L29))-1</f>
        <v>0.11862372122594467</v>
      </c>
      <c r="M30" s="218">
        <f>L28/100000</f>
        <v>7.5499999999999998E-2</v>
      </c>
      <c r="N30" t="s">
        <v>475</v>
      </c>
    </row>
    <row r="31" spans="2:18">
      <c r="B31" s="203" t="s">
        <v>467</v>
      </c>
      <c r="C31" s="287">
        <f>( ( ( 1-  (1/ ( (1+C28)^C29) ) ) / C28) ) * (1+C28)</f>
        <v>2.859410430839004</v>
      </c>
      <c r="D31" s="288"/>
      <c r="G31" s="203" t="s">
        <v>468</v>
      </c>
      <c r="H31" s="287">
        <f>(( ((1+H28)^H29) -1 ) / H28 ) * ( 1+H28)</f>
        <v>23.133133271224832</v>
      </c>
      <c r="I31" s="288"/>
      <c r="K31" s="13" t="s">
        <v>20</v>
      </c>
      <c r="L31" s="14">
        <f>L29*12</f>
        <v>132</v>
      </c>
      <c r="P31" s="219" t="s">
        <v>476</v>
      </c>
      <c r="Q31" s="220" t="s">
        <v>477</v>
      </c>
    </row>
    <row r="32" spans="2:18">
      <c r="B32" s="203" t="s">
        <v>478</v>
      </c>
      <c r="C32" s="287">
        <f>C31 * C27</f>
        <v>285.94104308390041</v>
      </c>
      <c r="D32" s="288"/>
      <c r="G32" s="203" t="s">
        <v>479</v>
      </c>
      <c r="H32" s="287">
        <f>H31 * H27</f>
        <v>4626626.6542449668</v>
      </c>
      <c r="I32" s="288"/>
      <c r="K32" s="10" t="s">
        <v>18</v>
      </c>
      <c r="L32" s="15">
        <f>L31/12</f>
        <v>11</v>
      </c>
      <c r="M32">
        <v>62.56</v>
      </c>
      <c r="P32" s="221">
        <v>0.05</v>
      </c>
      <c r="Q32" s="222">
        <v>14</v>
      </c>
    </row>
    <row r="33" spans="2:17">
      <c r="B33" s="203"/>
      <c r="C33" s="291"/>
      <c r="D33" s="292"/>
      <c r="G33" s="203"/>
      <c r="H33" s="291"/>
      <c r="I33" s="292"/>
      <c r="K33" s="13" t="s">
        <v>21</v>
      </c>
      <c r="L33" s="3">
        <f>((L28/L27)^(1/L32))-1</f>
        <v>0.11862372122594467</v>
      </c>
      <c r="P33" s="221">
        <v>0.08</v>
      </c>
      <c r="Q33" s="222">
        <v>9</v>
      </c>
    </row>
    <row r="34" spans="2:17">
      <c r="B34" s="203"/>
      <c r="C34" s="285"/>
      <c r="D34" s="285"/>
      <c r="G34" s="203"/>
      <c r="H34" s="285"/>
      <c r="I34" s="285"/>
      <c r="P34" s="221">
        <v>0.1</v>
      </c>
      <c r="Q34" s="222">
        <v>10</v>
      </c>
    </row>
    <row r="35" spans="2:17">
      <c r="P35" s="221">
        <v>0.15</v>
      </c>
      <c r="Q35" s="222">
        <v>5</v>
      </c>
    </row>
    <row r="36" spans="2:17">
      <c r="B36" s="275" t="s">
        <v>24</v>
      </c>
      <c r="C36" s="275"/>
      <c r="D36" s="275"/>
      <c r="E36" s="223"/>
      <c r="G36" s="275" t="s">
        <v>53</v>
      </c>
      <c r="H36" s="275"/>
      <c r="K36" s="275" t="s">
        <v>337</v>
      </c>
      <c r="L36" s="275"/>
      <c r="P36" s="221">
        <v>0.2</v>
      </c>
      <c r="Q36" s="222">
        <v>4</v>
      </c>
    </row>
    <row r="37" spans="2:17">
      <c r="B37" s="19" t="s">
        <v>25</v>
      </c>
      <c r="C37" s="19"/>
      <c r="D37" s="224">
        <v>1000000</v>
      </c>
      <c r="E37" s="223"/>
      <c r="G37" s="19" t="s">
        <v>29</v>
      </c>
      <c r="H37" s="44">
        <v>342</v>
      </c>
      <c r="K37" s="10" t="s">
        <v>16</v>
      </c>
      <c r="L37" s="11">
        <f>L27</f>
        <v>2200</v>
      </c>
      <c r="M37" s="217">
        <v>50000000</v>
      </c>
      <c r="N37" t="s">
        <v>480</v>
      </c>
      <c r="P37" s="221">
        <v>0.25</v>
      </c>
      <c r="Q37" s="222">
        <v>3</v>
      </c>
    </row>
    <row r="38" spans="2:17">
      <c r="B38" s="19" t="s">
        <v>26</v>
      </c>
      <c r="C38" s="19"/>
      <c r="D38" s="21">
        <v>0.66</v>
      </c>
      <c r="E38" s="223"/>
      <c r="G38" s="19" t="s">
        <v>26</v>
      </c>
      <c r="H38" s="21">
        <v>0.12</v>
      </c>
      <c r="K38" s="10" t="s">
        <v>17</v>
      </c>
      <c r="L38" s="11">
        <f>L28</f>
        <v>7550</v>
      </c>
      <c r="M38" s="217">
        <f>L38/L37</f>
        <v>3.4318181818181817</v>
      </c>
      <c r="N38" t="s">
        <v>481</v>
      </c>
      <c r="P38" s="221">
        <v>0.3</v>
      </c>
      <c r="Q38" s="222">
        <v>2.5</v>
      </c>
    </row>
    <row r="39" spans="2:17">
      <c r="B39" s="19" t="s">
        <v>27</v>
      </c>
      <c r="C39" s="19"/>
      <c r="D39" s="225">
        <v>6</v>
      </c>
      <c r="E39" s="223"/>
      <c r="G39" s="19" t="s">
        <v>27</v>
      </c>
      <c r="H39" s="22">
        <v>10</v>
      </c>
      <c r="K39" s="10" t="s">
        <v>482</v>
      </c>
      <c r="L39" s="10"/>
      <c r="M39" s="217">
        <f>M37/L38</f>
        <v>6622.5165562913908</v>
      </c>
      <c r="N39" t="s">
        <v>483</v>
      </c>
      <c r="P39" s="226">
        <v>0.4</v>
      </c>
      <c r="Q39" s="227">
        <v>2</v>
      </c>
    </row>
    <row r="40" spans="2:17">
      <c r="B40" s="19" t="s">
        <v>28</v>
      </c>
      <c r="C40" s="19"/>
      <c r="D40" s="23">
        <v>500000</v>
      </c>
      <c r="E40" s="223"/>
      <c r="G40" s="19" t="s">
        <v>28</v>
      </c>
      <c r="H40" s="20">
        <v>0</v>
      </c>
      <c r="K40" s="10" t="s">
        <v>338</v>
      </c>
      <c r="L40" s="190">
        <f>(L38-L37)/L37</f>
        <v>2.4318181818181817</v>
      </c>
      <c r="P40" s="226">
        <v>0.5</v>
      </c>
      <c r="Q40" s="227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3"/>
      <c r="G41" s="24" t="s">
        <v>54</v>
      </c>
      <c r="H41" s="45">
        <f>PV(H38,H39,H40,-H37)</f>
        <v>110.11484691401803</v>
      </c>
      <c r="K41" s="10" t="s">
        <v>339</v>
      </c>
      <c r="L41" s="228">
        <f>L38/L37</f>
        <v>3.4318181818181817</v>
      </c>
      <c r="P41" s="226">
        <v>0.75</v>
      </c>
      <c r="Q41" s="227">
        <v>1.3</v>
      </c>
    </row>
    <row r="42" spans="2:17" ht="15.75" thickBot="1">
      <c r="B42" s="229" t="s">
        <v>484</v>
      </c>
      <c r="D42" s="230">
        <f>D41/10000000</f>
        <v>3.6018262604416011</v>
      </c>
      <c r="P42" s="231">
        <v>1</v>
      </c>
      <c r="Q42" s="232">
        <v>1</v>
      </c>
    </row>
    <row r="43" spans="2:17" ht="15.75" thickBot="1">
      <c r="C43" s="295" t="s">
        <v>458</v>
      </c>
      <c r="D43" s="295"/>
      <c r="E43" s="295"/>
      <c r="F43" s="295"/>
      <c r="J43" s="295" t="s">
        <v>458</v>
      </c>
      <c r="K43" s="295"/>
      <c r="L43" s="295"/>
      <c r="M43" s="295"/>
    </row>
    <row r="44" spans="2:17" ht="15.75" thickBot="1">
      <c r="B44" s="233"/>
      <c r="C44" s="293" t="s">
        <v>485</v>
      </c>
      <c r="D44" s="294"/>
      <c r="E44" s="234" t="s">
        <v>486</v>
      </c>
      <c r="F44" s="234"/>
      <c r="G44" s="235"/>
      <c r="I44" s="233"/>
      <c r="J44" s="293" t="s">
        <v>487</v>
      </c>
      <c r="K44" s="294"/>
      <c r="L44" s="234" t="s">
        <v>488</v>
      </c>
      <c r="M44" s="234"/>
      <c r="N44" s="235"/>
    </row>
    <row r="45" spans="2:17" ht="15.75" thickBot="1">
      <c r="B45" s="201"/>
      <c r="C45" s="198"/>
      <c r="D45" s="198"/>
      <c r="E45" s="198"/>
      <c r="F45" s="198"/>
      <c r="G45" s="199"/>
      <c r="I45" s="201"/>
      <c r="J45" s="198"/>
      <c r="K45" s="198"/>
      <c r="L45" s="198"/>
      <c r="M45" s="198"/>
      <c r="N45" s="199"/>
    </row>
    <row r="46" spans="2:17" ht="15.75" thickBot="1">
      <c r="B46" s="296" t="s">
        <v>489</v>
      </c>
      <c r="C46" s="297"/>
      <c r="D46" s="297"/>
      <c r="E46" s="297"/>
      <c r="F46" s="297"/>
      <c r="G46" s="298"/>
      <c r="I46" s="296" t="s">
        <v>489</v>
      </c>
      <c r="J46" s="297"/>
      <c r="K46" s="297"/>
      <c r="L46" s="297"/>
      <c r="M46" s="297"/>
      <c r="N46" s="298"/>
    </row>
    <row r="47" spans="2:17">
      <c r="B47" s="201"/>
      <c r="C47" s="198"/>
      <c r="D47" s="236">
        <v>1100000</v>
      </c>
      <c r="E47" s="198"/>
      <c r="F47" s="198"/>
      <c r="G47" s="199"/>
      <c r="I47" s="201"/>
      <c r="J47" s="198"/>
      <c r="K47" s="198"/>
      <c r="L47" s="198"/>
      <c r="M47" s="198"/>
      <c r="N47" s="199"/>
    </row>
    <row r="48" spans="2:17" ht="30">
      <c r="B48" s="237" t="s">
        <v>14</v>
      </c>
      <c r="C48" s="238" t="s">
        <v>490</v>
      </c>
      <c r="D48" s="238" t="s">
        <v>491</v>
      </c>
      <c r="E48" s="238" t="s">
        <v>492</v>
      </c>
      <c r="F48" s="238" t="s">
        <v>493</v>
      </c>
      <c r="G48" s="239" t="s">
        <v>494</v>
      </c>
      <c r="I48" s="237" t="s">
        <v>14</v>
      </c>
      <c r="J48" s="238" t="s">
        <v>490</v>
      </c>
      <c r="K48" s="238" t="s">
        <v>495</v>
      </c>
      <c r="L48" s="238" t="s">
        <v>492</v>
      </c>
      <c r="M48" s="238" t="s">
        <v>493</v>
      </c>
      <c r="N48" s="239" t="s">
        <v>494</v>
      </c>
      <c r="O48" s="240" t="s">
        <v>496</v>
      </c>
      <c r="P48" s="241" t="s">
        <v>4</v>
      </c>
    </row>
    <row r="49" spans="1:16">
      <c r="A49">
        <v>2013</v>
      </c>
      <c r="B49" s="242">
        <v>0</v>
      </c>
      <c r="C49" s="243">
        <v>0</v>
      </c>
      <c r="D49" s="244">
        <v>1000000</v>
      </c>
      <c r="E49" s="245">
        <v>0.5</v>
      </c>
      <c r="F49" s="246">
        <f xml:space="preserve"> (C49) * E49</f>
        <v>0</v>
      </c>
      <c r="G49" s="247">
        <f>C49+D49+F49</f>
        <v>1000000</v>
      </c>
      <c r="H49" s="217"/>
      <c r="I49" s="242">
        <v>0</v>
      </c>
      <c r="J49" s="243">
        <v>1</v>
      </c>
      <c r="K49" s="244">
        <v>0</v>
      </c>
      <c r="L49" s="245">
        <v>3</v>
      </c>
      <c r="M49" s="243">
        <f xml:space="preserve"> (J49+K49) * L49</f>
        <v>3</v>
      </c>
      <c r="N49" s="248">
        <f>J49+K49+M49</f>
        <v>4</v>
      </c>
      <c r="O49">
        <v>2015</v>
      </c>
      <c r="P49" s="249">
        <f t="shared" ref="P49:P64" si="1">N49/10000000</f>
        <v>3.9999999999999998E-7</v>
      </c>
    </row>
    <row r="50" spans="1:16">
      <c r="A50">
        <f>A49+1</f>
        <v>2014</v>
      </c>
      <c r="B50" s="242">
        <f>B49+1</f>
        <v>1</v>
      </c>
      <c r="C50" s="243">
        <f t="shared" ref="C50:C79" si="2">G49</f>
        <v>1000000</v>
      </c>
      <c r="D50" s="244">
        <v>1500000</v>
      </c>
      <c r="E50" s="245">
        <f>E49</f>
        <v>0.5</v>
      </c>
      <c r="F50" s="246">
        <f t="shared" ref="F50:F79" si="3" xml:space="preserve"> (C50) * E50</f>
        <v>500000</v>
      </c>
      <c r="G50" s="247">
        <f t="shared" ref="G50:G80" si="4">C50+D50+F50</f>
        <v>3000000</v>
      </c>
      <c r="H50" s="217"/>
      <c r="I50" s="242">
        <f>I49+1</f>
        <v>1</v>
      </c>
      <c r="J50" s="243">
        <f>N49</f>
        <v>4</v>
      </c>
      <c r="K50" s="244">
        <v>0</v>
      </c>
      <c r="L50" s="245">
        <v>2</v>
      </c>
      <c r="M50" s="243">
        <f t="shared" ref="M50:M80" si="5" xml:space="preserve"> (J50+K50) * L50</f>
        <v>8</v>
      </c>
      <c r="N50" s="248">
        <f t="shared" ref="N50:N80" si="6">J50+K50+M50</f>
        <v>12</v>
      </c>
      <c r="O50">
        <f t="shared" ref="O50:O64" si="7">O49+1</f>
        <v>2016</v>
      </c>
      <c r="P50" s="249">
        <f t="shared" si="1"/>
        <v>1.1999999999999999E-6</v>
      </c>
    </row>
    <row r="51" spans="1:16">
      <c r="A51">
        <f t="shared" ref="A51:B66" si="8">A50+1</f>
        <v>2015</v>
      </c>
      <c r="B51" s="242">
        <f t="shared" si="8"/>
        <v>2</v>
      </c>
      <c r="C51" s="243">
        <f t="shared" si="2"/>
        <v>3000000</v>
      </c>
      <c r="D51" s="244">
        <v>2000000</v>
      </c>
      <c r="E51" s="245">
        <f>E50</f>
        <v>0.5</v>
      </c>
      <c r="F51" s="246">
        <f t="shared" si="3"/>
        <v>1500000</v>
      </c>
      <c r="G51" s="247">
        <f t="shared" si="4"/>
        <v>6500000</v>
      </c>
      <c r="H51" s="217"/>
      <c r="I51" s="242">
        <f t="shared" ref="I51:I79" si="9">I50+1</f>
        <v>2</v>
      </c>
      <c r="J51" s="243">
        <f t="shared" ref="J51:J80" si="10">N50</f>
        <v>12</v>
      </c>
      <c r="K51" s="244">
        <v>0</v>
      </c>
      <c r="L51" s="245">
        <v>0.8</v>
      </c>
      <c r="M51" s="243">
        <f t="shared" si="5"/>
        <v>9.6000000000000014</v>
      </c>
      <c r="N51" s="248">
        <f t="shared" si="6"/>
        <v>21.6</v>
      </c>
      <c r="O51">
        <f t="shared" si="7"/>
        <v>2017</v>
      </c>
      <c r="P51" s="249">
        <f t="shared" si="1"/>
        <v>2.1600000000000001E-6</v>
      </c>
    </row>
    <row r="52" spans="1:16">
      <c r="A52">
        <f t="shared" si="8"/>
        <v>2016</v>
      </c>
      <c r="B52" s="242">
        <f t="shared" si="8"/>
        <v>3</v>
      </c>
      <c r="C52" s="243">
        <f t="shared" si="2"/>
        <v>6500000</v>
      </c>
      <c r="D52" s="244">
        <v>2500000</v>
      </c>
      <c r="E52" s="245">
        <f t="shared" ref="E52:E70" si="11">E51</f>
        <v>0.5</v>
      </c>
      <c r="F52" s="246">
        <f t="shared" si="3"/>
        <v>3250000</v>
      </c>
      <c r="G52" s="247">
        <f t="shared" si="4"/>
        <v>12250000</v>
      </c>
      <c r="H52" s="217"/>
      <c r="I52" s="242">
        <f t="shared" si="9"/>
        <v>3</v>
      </c>
      <c r="J52" s="243">
        <f t="shared" si="10"/>
        <v>21.6</v>
      </c>
      <c r="K52" s="244">
        <v>0</v>
      </c>
      <c r="L52" s="250">
        <v>0.4</v>
      </c>
      <c r="M52" s="243">
        <f t="shared" si="5"/>
        <v>8.64</v>
      </c>
      <c r="N52" s="248">
        <f t="shared" si="6"/>
        <v>30.240000000000002</v>
      </c>
      <c r="O52">
        <f t="shared" si="7"/>
        <v>2018</v>
      </c>
      <c r="P52" s="249">
        <f t="shared" si="1"/>
        <v>3.0240000000000002E-6</v>
      </c>
    </row>
    <row r="53" spans="1:16">
      <c r="A53">
        <f t="shared" si="8"/>
        <v>2017</v>
      </c>
      <c r="B53" s="242">
        <f t="shared" si="8"/>
        <v>4</v>
      </c>
      <c r="C53" s="243">
        <f t="shared" si="2"/>
        <v>12250000</v>
      </c>
      <c r="D53" s="244">
        <v>3000000</v>
      </c>
      <c r="E53" s="245">
        <f t="shared" si="11"/>
        <v>0.5</v>
      </c>
      <c r="F53" s="246">
        <f t="shared" si="3"/>
        <v>6125000</v>
      </c>
      <c r="G53" s="247">
        <f t="shared" si="4"/>
        <v>21375000</v>
      </c>
      <c r="H53" s="217"/>
      <c r="I53" s="242">
        <f t="shared" si="9"/>
        <v>4</v>
      </c>
      <c r="J53" s="243">
        <f t="shared" si="10"/>
        <v>30.240000000000002</v>
      </c>
      <c r="K53" s="244">
        <v>0</v>
      </c>
      <c r="L53" s="250">
        <v>0.3</v>
      </c>
      <c r="M53" s="243">
        <f t="shared" si="5"/>
        <v>9.072000000000001</v>
      </c>
      <c r="N53" s="248">
        <f t="shared" si="6"/>
        <v>39.312000000000005</v>
      </c>
      <c r="O53">
        <f t="shared" si="7"/>
        <v>2019</v>
      </c>
      <c r="P53" s="249">
        <f t="shared" si="1"/>
        <v>3.9312000000000006E-6</v>
      </c>
    </row>
    <row r="54" spans="1:16">
      <c r="A54">
        <f t="shared" si="8"/>
        <v>2018</v>
      </c>
      <c r="B54" s="242">
        <f t="shared" si="8"/>
        <v>5</v>
      </c>
      <c r="C54" s="243">
        <f t="shared" si="2"/>
        <v>21375000</v>
      </c>
      <c r="D54" s="244">
        <v>3500000</v>
      </c>
      <c r="E54" s="245">
        <f t="shared" si="11"/>
        <v>0.5</v>
      </c>
      <c r="F54" s="246">
        <f t="shared" si="3"/>
        <v>10687500</v>
      </c>
      <c r="G54" s="247">
        <f t="shared" si="4"/>
        <v>35562500</v>
      </c>
      <c r="H54" s="217"/>
      <c r="I54" s="242">
        <f t="shared" si="9"/>
        <v>5</v>
      </c>
      <c r="J54" s="243">
        <f t="shared" si="10"/>
        <v>39.312000000000005</v>
      </c>
      <c r="K54" s="244">
        <v>0</v>
      </c>
      <c r="L54" s="245">
        <v>0.2</v>
      </c>
      <c r="M54" s="243">
        <f t="shared" si="5"/>
        <v>7.8624000000000009</v>
      </c>
      <c r="N54" s="248">
        <f t="shared" si="6"/>
        <v>47.174400000000006</v>
      </c>
      <c r="O54">
        <f t="shared" si="7"/>
        <v>2020</v>
      </c>
      <c r="P54" s="249">
        <f t="shared" si="1"/>
        <v>4.7174400000000002E-6</v>
      </c>
    </row>
    <row r="55" spans="1:16">
      <c r="A55">
        <f t="shared" si="8"/>
        <v>2019</v>
      </c>
      <c r="B55" s="242">
        <f t="shared" si="8"/>
        <v>6</v>
      </c>
      <c r="C55" s="243">
        <f t="shared" si="2"/>
        <v>35562500</v>
      </c>
      <c r="D55" s="244">
        <v>4000000</v>
      </c>
      <c r="E55" s="245">
        <f t="shared" si="11"/>
        <v>0.5</v>
      </c>
      <c r="F55" s="246">
        <f t="shared" si="3"/>
        <v>17781250</v>
      </c>
      <c r="G55" s="247">
        <f t="shared" si="4"/>
        <v>57343750</v>
      </c>
      <c r="H55" s="217"/>
      <c r="I55" s="242">
        <f t="shared" si="9"/>
        <v>6</v>
      </c>
      <c r="J55" s="243">
        <f t="shared" si="10"/>
        <v>47.174400000000006</v>
      </c>
      <c r="K55" s="244">
        <v>0</v>
      </c>
      <c r="L55" s="245">
        <f t="shared" ref="L55:L67" si="12">L54</f>
        <v>0.2</v>
      </c>
      <c r="M55" s="243">
        <f t="shared" si="5"/>
        <v>9.4348800000000015</v>
      </c>
      <c r="N55" s="248">
        <f t="shared" si="6"/>
        <v>56.609280000000005</v>
      </c>
      <c r="O55">
        <f t="shared" si="7"/>
        <v>2021</v>
      </c>
      <c r="P55" s="249">
        <f t="shared" si="1"/>
        <v>5.6609280000000002E-6</v>
      </c>
    </row>
    <row r="56" spans="1:16">
      <c r="A56">
        <f t="shared" si="8"/>
        <v>2020</v>
      </c>
      <c r="B56" s="242">
        <f t="shared" si="8"/>
        <v>7</v>
      </c>
      <c r="C56" s="243">
        <f t="shared" si="2"/>
        <v>57343750</v>
      </c>
      <c r="D56" s="244">
        <v>5000000</v>
      </c>
      <c r="E56" s="245">
        <f t="shared" si="11"/>
        <v>0.5</v>
      </c>
      <c r="F56" s="246">
        <f t="shared" si="3"/>
        <v>28671875</v>
      </c>
      <c r="G56" s="247">
        <f t="shared" si="4"/>
        <v>91015625</v>
      </c>
      <c r="H56" s="217">
        <f>G56/10000000</f>
        <v>9.1015625</v>
      </c>
      <c r="I56" s="242">
        <f t="shared" si="9"/>
        <v>7</v>
      </c>
      <c r="J56" s="243">
        <f t="shared" si="10"/>
        <v>56.609280000000005</v>
      </c>
      <c r="K56" s="244">
        <v>0</v>
      </c>
      <c r="L56" s="245">
        <f t="shared" si="12"/>
        <v>0.2</v>
      </c>
      <c r="M56" s="243">
        <f t="shared" si="5"/>
        <v>11.321856000000002</v>
      </c>
      <c r="N56" s="248">
        <f t="shared" si="6"/>
        <v>67.931136000000009</v>
      </c>
      <c r="O56">
        <f t="shared" si="7"/>
        <v>2022</v>
      </c>
      <c r="P56" s="249">
        <f t="shared" si="1"/>
        <v>6.7931136000000013E-6</v>
      </c>
    </row>
    <row r="57" spans="1:16">
      <c r="A57">
        <f t="shared" si="8"/>
        <v>2021</v>
      </c>
      <c r="B57" s="242">
        <f t="shared" si="8"/>
        <v>8</v>
      </c>
      <c r="C57" s="243">
        <f t="shared" si="2"/>
        <v>91015625</v>
      </c>
      <c r="D57" s="244">
        <v>0</v>
      </c>
      <c r="E57" s="245">
        <f t="shared" si="11"/>
        <v>0.5</v>
      </c>
      <c r="F57" s="246">
        <f t="shared" si="3"/>
        <v>45507812.5</v>
      </c>
      <c r="G57" s="247">
        <f t="shared" si="4"/>
        <v>136523437.5</v>
      </c>
      <c r="H57" s="217"/>
      <c r="I57" s="242">
        <f t="shared" si="9"/>
        <v>8</v>
      </c>
      <c r="J57" s="243">
        <f t="shared" si="10"/>
        <v>67.931136000000009</v>
      </c>
      <c r="K57" s="244">
        <v>0</v>
      </c>
      <c r="L57" s="245">
        <f t="shared" si="12"/>
        <v>0.2</v>
      </c>
      <c r="M57" s="243">
        <f t="shared" si="5"/>
        <v>13.586227200000003</v>
      </c>
      <c r="N57" s="248">
        <f t="shared" si="6"/>
        <v>81.517363200000005</v>
      </c>
      <c r="O57">
        <f t="shared" si="7"/>
        <v>2023</v>
      </c>
      <c r="P57" s="249">
        <f t="shared" si="1"/>
        <v>8.1517363199999998E-6</v>
      </c>
    </row>
    <row r="58" spans="1:16">
      <c r="A58">
        <f t="shared" si="8"/>
        <v>2022</v>
      </c>
      <c r="B58" s="242">
        <f t="shared" si="8"/>
        <v>9</v>
      </c>
      <c r="C58" s="243">
        <f t="shared" si="2"/>
        <v>136523437.5</v>
      </c>
      <c r="D58" s="244">
        <v>0</v>
      </c>
      <c r="E58" s="245">
        <f t="shared" si="11"/>
        <v>0.5</v>
      </c>
      <c r="F58" s="246">
        <f t="shared" si="3"/>
        <v>68261718.75</v>
      </c>
      <c r="G58" s="247">
        <f t="shared" si="4"/>
        <v>204785156.25</v>
      </c>
      <c r="H58" s="217"/>
      <c r="I58" s="242">
        <f t="shared" si="9"/>
        <v>9</v>
      </c>
      <c r="J58" s="243">
        <f t="shared" si="10"/>
        <v>81.517363200000005</v>
      </c>
      <c r="K58" s="244">
        <v>0</v>
      </c>
      <c r="L58" s="245">
        <f t="shared" si="12"/>
        <v>0.2</v>
      </c>
      <c r="M58" s="243">
        <f t="shared" si="5"/>
        <v>16.303472640000003</v>
      </c>
      <c r="N58" s="248">
        <f t="shared" si="6"/>
        <v>97.820835840000001</v>
      </c>
      <c r="O58">
        <f t="shared" si="7"/>
        <v>2024</v>
      </c>
      <c r="P58" s="249">
        <f t="shared" si="1"/>
        <v>9.7820835840000005E-6</v>
      </c>
    </row>
    <row r="59" spans="1:16">
      <c r="A59">
        <f t="shared" si="8"/>
        <v>2023</v>
      </c>
      <c r="B59" s="242">
        <f t="shared" si="8"/>
        <v>10</v>
      </c>
      <c r="C59" s="243">
        <f t="shared" si="2"/>
        <v>204785156.25</v>
      </c>
      <c r="D59" s="244">
        <v>0</v>
      </c>
      <c r="E59" s="245">
        <f t="shared" si="11"/>
        <v>0.5</v>
      </c>
      <c r="F59" s="246">
        <f t="shared" si="3"/>
        <v>102392578.125</v>
      </c>
      <c r="G59" s="247">
        <f t="shared" si="4"/>
        <v>307177734.375</v>
      </c>
      <c r="H59" s="217"/>
      <c r="I59" s="242">
        <f t="shared" si="9"/>
        <v>10</v>
      </c>
      <c r="J59" s="243">
        <f t="shared" si="10"/>
        <v>97.820835840000001</v>
      </c>
      <c r="K59" s="244">
        <v>0</v>
      </c>
      <c r="L59" s="245">
        <f t="shared" si="12"/>
        <v>0.2</v>
      </c>
      <c r="M59" s="243">
        <f t="shared" si="5"/>
        <v>19.564167168000001</v>
      </c>
      <c r="N59" s="248">
        <f t="shared" si="6"/>
        <v>117.385003008</v>
      </c>
      <c r="O59">
        <f t="shared" si="7"/>
        <v>2025</v>
      </c>
      <c r="P59" s="249">
        <f t="shared" si="1"/>
        <v>1.17385003008E-5</v>
      </c>
    </row>
    <row r="60" spans="1:16">
      <c r="A60">
        <f t="shared" si="8"/>
        <v>2024</v>
      </c>
      <c r="B60" s="242">
        <f t="shared" si="8"/>
        <v>11</v>
      </c>
      <c r="C60" s="243">
        <f t="shared" si="2"/>
        <v>307177734.375</v>
      </c>
      <c r="D60" s="244">
        <v>0</v>
      </c>
      <c r="E60" s="245">
        <f t="shared" si="11"/>
        <v>0.5</v>
      </c>
      <c r="F60" s="246">
        <f t="shared" si="3"/>
        <v>153588867.1875</v>
      </c>
      <c r="G60" s="247">
        <f t="shared" si="4"/>
        <v>460766601.5625</v>
      </c>
      <c r="H60" s="217"/>
      <c r="I60" s="242">
        <f t="shared" si="9"/>
        <v>11</v>
      </c>
      <c r="J60" s="243">
        <f t="shared" si="10"/>
        <v>117.385003008</v>
      </c>
      <c r="K60" s="244">
        <v>0</v>
      </c>
      <c r="L60" s="245">
        <f t="shared" si="12"/>
        <v>0.2</v>
      </c>
      <c r="M60" s="243">
        <f t="shared" si="5"/>
        <v>23.4770006016</v>
      </c>
      <c r="N60" s="248">
        <f t="shared" si="6"/>
        <v>140.86200360960001</v>
      </c>
      <c r="O60">
        <f t="shared" si="7"/>
        <v>2026</v>
      </c>
      <c r="P60" s="249">
        <f t="shared" si="1"/>
        <v>1.4086200360960001E-5</v>
      </c>
    </row>
    <row r="61" spans="1:16">
      <c r="A61">
        <f t="shared" si="8"/>
        <v>2025</v>
      </c>
      <c r="B61" s="242">
        <f t="shared" si="8"/>
        <v>12</v>
      </c>
      <c r="C61" s="243">
        <f t="shared" si="2"/>
        <v>460766601.5625</v>
      </c>
      <c r="D61" s="244">
        <v>0</v>
      </c>
      <c r="E61" s="245">
        <f t="shared" si="11"/>
        <v>0.5</v>
      </c>
      <c r="F61" s="246">
        <f t="shared" si="3"/>
        <v>230383300.78125</v>
      </c>
      <c r="G61" s="247">
        <f t="shared" si="4"/>
        <v>691149902.34375</v>
      </c>
      <c r="H61" s="217"/>
      <c r="I61" s="242">
        <f t="shared" si="9"/>
        <v>12</v>
      </c>
      <c r="J61" s="243">
        <f t="shared" si="10"/>
        <v>140.86200360960001</v>
      </c>
      <c r="K61" s="244">
        <v>0</v>
      </c>
      <c r="L61" s="245">
        <f t="shared" si="12"/>
        <v>0.2</v>
      </c>
      <c r="M61" s="243">
        <f t="shared" si="5"/>
        <v>28.172400721920003</v>
      </c>
      <c r="N61" s="248">
        <f t="shared" si="6"/>
        <v>169.03440433152002</v>
      </c>
      <c r="O61">
        <f t="shared" si="7"/>
        <v>2027</v>
      </c>
      <c r="P61" s="249">
        <f t="shared" si="1"/>
        <v>1.6903440433152003E-5</v>
      </c>
    </row>
    <row r="62" spans="1:16">
      <c r="A62">
        <f t="shared" si="8"/>
        <v>2026</v>
      </c>
      <c r="B62" s="242">
        <f t="shared" si="8"/>
        <v>13</v>
      </c>
      <c r="C62" s="243">
        <f t="shared" si="2"/>
        <v>691149902.34375</v>
      </c>
      <c r="D62" s="244">
        <v>0</v>
      </c>
      <c r="E62" s="245">
        <f t="shared" si="11"/>
        <v>0.5</v>
      </c>
      <c r="F62" s="246">
        <f t="shared" si="3"/>
        <v>345574951.171875</v>
      </c>
      <c r="G62" s="247">
        <f t="shared" si="4"/>
        <v>1036724853.515625</v>
      </c>
      <c r="H62" s="217"/>
      <c r="I62" s="242">
        <f t="shared" si="9"/>
        <v>13</v>
      </c>
      <c r="J62" s="243">
        <f t="shared" si="10"/>
        <v>169.03440433152002</v>
      </c>
      <c r="K62" s="244">
        <v>0</v>
      </c>
      <c r="L62" s="245">
        <f t="shared" si="12"/>
        <v>0.2</v>
      </c>
      <c r="M62" s="243">
        <f t="shared" si="5"/>
        <v>33.806880866304006</v>
      </c>
      <c r="N62" s="248">
        <f t="shared" si="6"/>
        <v>202.84128519782402</v>
      </c>
      <c r="O62">
        <f t="shared" si="7"/>
        <v>2028</v>
      </c>
      <c r="P62" s="249">
        <f t="shared" si="1"/>
        <v>2.0284128519782403E-5</v>
      </c>
    </row>
    <row r="63" spans="1:16">
      <c r="A63">
        <f t="shared" si="8"/>
        <v>2027</v>
      </c>
      <c r="B63" s="242">
        <f t="shared" si="8"/>
        <v>14</v>
      </c>
      <c r="C63" s="243">
        <f t="shared" si="2"/>
        <v>1036724853.515625</v>
      </c>
      <c r="D63" s="244">
        <v>0</v>
      </c>
      <c r="E63" s="245">
        <f t="shared" si="11"/>
        <v>0.5</v>
      </c>
      <c r="F63" s="246">
        <f t="shared" si="3"/>
        <v>518362426.7578125</v>
      </c>
      <c r="G63" s="247">
        <f t="shared" si="4"/>
        <v>1555087280.2734375</v>
      </c>
      <c r="H63" s="217"/>
      <c r="I63" s="242">
        <f t="shared" si="9"/>
        <v>14</v>
      </c>
      <c r="J63" s="243">
        <f t="shared" si="10"/>
        <v>202.84128519782402</v>
      </c>
      <c r="K63" s="244">
        <v>0</v>
      </c>
      <c r="L63" s="245">
        <f t="shared" si="12"/>
        <v>0.2</v>
      </c>
      <c r="M63" s="243">
        <f t="shared" si="5"/>
        <v>40.568257039564806</v>
      </c>
      <c r="N63" s="248">
        <f t="shared" si="6"/>
        <v>243.40954223738882</v>
      </c>
      <c r="O63">
        <f t="shared" si="7"/>
        <v>2029</v>
      </c>
      <c r="P63" s="249">
        <f t="shared" si="1"/>
        <v>2.4340954223738881E-5</v>
      </c>
    </row>
    <row r="64" spans="1:16">
      <c r="A64">
        <f t="shared" si="8"/>
        <v>2028</v>
      </c>
      <c r="B64" s="242">
        <f t="shared" si="8"/>
        <v>15</v>
      </c>
      <c r="C64" s="243">
        <f t="shared" si="2"/>
        <v>1555087280.2734375</v>
      </c>
      <c r="D64" s="244">
        <v>0</v>
      </c>
      <c r="E64" s="245">
        <f t="shared" si="11"/>
        <v>0.5</v>
      </c>
      <c r="F64" s="246">
        <f t="shared" si="3"/>
        <v>777543640.13671875</v>
      </c>
      <c r="G64" s="247">
        <f t="shared" si="4"/>
        <v>2332630920.4101562</v>
      </c>
      <c r="H64" s="217"/>
      <c r="I64" s="242">
        <f t="shared" si="9"/>
        <v>15</v>
      </c>
      <c r="J64" s="243">
        <f t="shared" si="10"/>
        <v>243.40954223738882</v>
      </c>
      <c r="K64" s="244">
        <v>0</v>
      </c>
      <c r="L64" s="245">
        <f t="shared" si="12"/>
        <v>0.2</v>
      </c>
      <c r="M64" s="243">
        <f t="shared" si="5"/>
        <v>48.681908447477767</v>
      </c>
      <c r="N64" s="248">
        <f t="shared" si="6"/>
        <v>292.09145068486657</v>
      </c>
      <c r="O64">
        <f t="shared" si="7"/>
        <v>2030</v>
      </c>
      <c r="P64" s="249">
        <f t="shared" si="1"/>
        <v>2.9209145068486657E-5</v>
      </c>
    </row>
    <row r="65" spans="1:14">
      <c r="A65">
        <f t="shared" si="8"/>
        <v>2029</v>
      </c>
      <c r="B65" s="242">
        <f t="shared" si="8"/>
        <v>16</v>
      </c>
      <c r="C65" s="243">
        <f t="shared" si="2"/>
        <v>2332630920.4101562</v>
      </c>
      <c r="D65" s="244">
        <v>0</v>
      </c>
      <c r="E65" s="245">
        <f t="shared" si="11"/>
        <v>0.5</v>
      </c>
      <c r="F65" s="246">
        <f t="shared" si="3"/>
        <v>1166315460.2050781</v>
      </c>
      <c r="G65" s="247">
        <f t="shared" si="4"/>
        <v>3498946380.6152344</v>
      </c>
      <c r="H65" s="217"/>
      <c r="I65" s="242">
        <f t="shared" si="9"/>
        <v>16</v>
      </c>
      <c r="J65" s="243">
        <f t="shared" si="10"/>
        <v>292.09145068486657</v>
      </c>
      <c r="K65" s="244">
        <v>0</v>
      </c>
      <c r="L65" s="245">
        <f t="shared" si="12"/>
        <v>0.2</v>
      </c>
      <c r="M65" s="243">
        <f t="shared" si="5"/>
        <v>58.418290136973319</v>
      </c>
      <c r="N65" s="248">
        <f t="shared" si="6"/>
        <v>350.5097408218399</v>
      </c>
    </row>
    <row r="66" spans="1:14">
      <c r="A66" s="251">
        <f t="shared" si="8"/>
        <v>2030</v>
      </c>
      <c r="B66" s="242">
        <f t="shared" si="8"/>
        <v>17</v>
      </c>
      <c r="C66" s="243">
        <f t="shared" si="2"/>
        <v>3498946380.6152344</v>
      </c>
      <c r="D66" s="244">
        <v>0</v>
      </c>
      <c r="E66" s="245">
        <f t="shared" si="11"/>
        <v>0.5</v>
      </c>
      <c r="F66" s="246">
        <f t="shared" si="3"/>
        <v>1749473190.3076172</v>
      </c>
      <c r="G66" s="252">
        <f t="shared" si="4"/>
        <v>5248419570.9228516</v>
      </c>
      <c r="H66" s="217">
        <f>G66/10000000</f>
        <v>524.84195709228516</v>
      </c>
      <c r="I66" s="242">
        <f t="shared" si="9"/>
        <v>17</v>
      </c>
      <c r="J66" s="243">
        <f t="shared" si="10"/>
        <v>350.5097408218399</v>
      </c>
      <c r="K66" s="244">
        <v>0</v>
      </c>
      <c r="L66" s="245">
        <f t="shared" si="12"/>
        <v>0.2</v>
      </c>
      <c r="M66" s="243">
        <f t="shared" si="5"/>
        <v>70.101948164367982</v>
      </c>
      <c r="N66" s="248">
        <f t="shared" si="6"/>
        <v>420.61168898620787</v>
      </c>
    </row>
    <row r="67" spans="1:14">
      <c r="A67">
        <f t="shared" ref="A67:B79" si="13">A66+1</f>
        <v>2031</v>
      </c>
      <c r="B67" s="242">
        <f t="shared" si="13"/>
        <v>18</v>
      </c>
      <c r="C67" s="243">
        <f t="shared" si="2"/>
        <v>5248419570.9228516</v>
      </c>
      <c r="D67" s="244">
        <v>0</v>
      </c>
      <c r="E67" s="245">
        <v>0</v>
      </c>
      <c r="F67" s="246">
        <f t="shared" si="3"/>
        <v>0</v>
      </c>
      <c r="G67" s="247">
        <f t="shared" si="4"/>
        <v>5248419570.9228516</v>
      </c>
      <c r="H67" s="253"/>
      <c r="I67" s="242">
        <f t="shared" si="9"/>
        <v>18</v>
      </c>
      <c r="J67" s="243">
        <f t="shared" si="10"/>
        <v>420.61168898620787</v>
      </c>
      <c r="K67" s="244">
        <v>0</v>
      </c>
      <c r="L67" s="245">
        <f t="shared" si="12"/>
        <v>0.2</v>
      </c>
      <c r="M67" s="243">
        <f t="shared" si="5"/>
        <v>84.122337797241585</v>
      </c>
      <c r="N67" s="248">
        <f t="shared" si="6"/>
        <v>504.73402678344945</v>
      </c>
    </row>
    <row r="68" spans="1:14">
      <c r="B68" s="242">
        <f t="shared" si="13"/>
        <v>19</v>
      </c>
      <c r="C68" s="243">
        <f t="shared" si="2"/>
        <v>5248419570.9228516</v>
      </c>
      <c r="D68" s="244">
        <v>0</v>
      </c>
      <c r="E68" s="245">
        <v>0</v>
      </c>
      <c r="F68" s="246">
        <f t="shared" si="3"/>
        <v>0</v>
      </c>
      <c r="G68" s="247">
        <f t="shared" si="4"/>
        <v>5248419570.9228516</v>
      </c>
      <c r="H68" s="254" t="e">
        <f>H49/C49</f>
        <v>#DIV/0!</v>
      </c>
      <c r="I68" s="242">
        <f t="shared" si="9"/>
        <v>19</v>
      </c>
      <c r="J68" s="243">
        <f t="shared" si="10"/>
        <v>504.73402678344945</v>
      </c>
      <c r="K68" s="244"/>
      <c r="L68" s="245"/>
      <c r="M68" s="243">
        <f t="shared" si="5"/>
        <v>0</v>
      </c>
      <c r="N68" s="248">
        <f t="shared" si="6"/>
        <v>504.73402678344945</v>
      </c>
    </row>
    <row r="69" spans="1:14">
      <c r="B69" s="242">
        <f t="shared" si="13"/>
        <v>20</v>
      </c>
      <c r="C69" s="243">
        <f t="shared" si="2"/>
        <v>5248419570.9228516</v>
      </c>
      <c r="D69" s="244">
        <v>0</v>
      </c>
      <c r="E69" s="245">
        <f t="shared" si="11"/>
        <v>0</v>
      </c>
      <c r="F69" s="246">
        <f t="shared" si="3"/>
        <v>0</v>
      </c>
      <c r="G69" s="247">
        <f t="shared" si="4"/>
        <v>5248419570.9228516</v>
      </c>
      <c r="H69" s="254">
        <f t="shared" ref="H69:H88" si="14">H50/C50</f>
        <v>0</v>
      </c>
      <c r="I69" s="242">
        <f t="shared" si="9"/>
        <v>20</v>
      </c>
      <c r="J69" s="243">
        <f t="shared" si="10"/>
        <v>504.73402678344945</v>
      </c>
      <c r="K69" s="244"/>
      <c r="L69" s="245"/>
      <c r="M69" s="243">
        <f t="shared" si="5"/>
        <v>0</v>
      </c>
      <c r="N69" s="248">
        <f t="shared" si="6"/>
        <v>504.73402678344945</v>
      </c>
    </row>
    <row r="70" spans="1:14">
      <c r="B70" s="242">
        <f t="shared" si="13"/>
        <v>21</v>
      </c>
      <c r="C70" s="243">
        <f t="shared" si="2"/>
        <v>5248419570.9228516</v>
      </c>
      <c r="D70" s="244"/>
      <c r="E70" s="245">
        <f t="shared" si="11"/>
        <v>0</v>
      </c>
      <c r="F70" s="246">
        <f t="shared" si="3"/>
        <v>0</v>
      </c>
      <c r="G70" s="247">
        <f t="shared" si="4"/>
        <v>5248419570.9228516</v>
      </c>
      <c r="H70" s="254">
        <f t="shared" si="14"/>
        <v>0</v>
      </c>
      <c r="I70" s="242">
        <f t="shared" si="9"/>
        <v>21</v>
      </c>
      <c r="J70" s="243">
        <f t="shared" si="10"/>
        <v>504.73402678344945</v>
      </c>
      <c r="K70" s="244"/>
      <c r="L70" s="245"/>
      <c r="M70" s="243">
        <f t="shared" si="5"/>
        <v>0</v>
      </c>
      <c r="N70" s="248">
        <f t="shared" si="6"/>
        <v>504.73402678344945</v>
      </c>
    </row>
    <row r="71" spans="1:14">
      <c r="B71" s="242">
        <f t="shared" si="13"/>
        <v>22</v>
      </c>
      <c r="C71" s="243">
        <f t="shared" si="2"/>
        <v>5248419570.9228516</v>
      </c>
      <c r="D71" s="244"/>
      <c r="E71" s="245"/>
      <c r="F71" s="246">
        <f t="shared" si="3"/>
        <v>0</v>
      </c>
      <c r="G71" s="247">
        <f t="shared" si="4"/>
        <v>5248419570.9228516</v>
      </c>
      <c r="H71" s="254">
        <f t="shared" si="14"/>
        <v>0</v>
      </c>
      <c r="I71" s="242">
        <f t="shared" si="9"/>
        <v>22</v>
      </c>
      <c r="J71" s="243">
        <f t="shared" si="10"/>
        <v>504.73402678344945</v>
      </c>
      <c r="K71" s="244"/>
      <c r="L71" s="245"/>
      <c r="M71" s="243">
        <f t="shared" si="5"/>
        <v>0</v>
      </c>
      <c r="N71" s="248">
        <f t="shared" si="6"/>
        <v>504.73402678344945</v>
      </c>
    </row>
    <row r="72" spans="1:14">
      <c r="B72" s="242">
        <f t="shared" si="13"/>
        <v>23</v>
      </c>
      <c r="C72" s="243">
        <f t="shared" si="2"/>
        <v>5248419570.9228516</v>
      </c>
      <c r="D72" s="244"/>
      <c r="E72" s="245"/>
      <c r="F72" s="246">
        <f t="shared" si="3"/>
        <v>0</v>
      </c>
      <c r="G72" s="247">
        <f t="shared" si="4"/>
        <v>5248419570.9228516</v>
      </c>
      <c r="H72" s="254">
        <f t="shared" si="14"/>
        <v>0</v>
      </c>
      <c r="I72" s="242">
        <f t="shared" si="9"/>
        <v>23</v>
      </c>
      <c r="J72" s="243">
        <f t="shared" si="10"/>
        <v>504.73402678344945</v>
      </c>
      <c r="K72" s="244"/>
      <c r="L72" s="245"/>
      <c r="M72" s="243">
        <f t="shared" si="5"/>
        <v>0</v>
      </c>
      <c r="N72" s="248">
        <f t="shared" si="6"/>
        <v>504.73402678344945</v>
      </c>
    </row>
    <row r="73" spans="1:14">
      <c r="B73" s="242">
        <f t="shared" si="13"/>
        <v>24</v>
      </c>
      <c r="C73" s="243">
        <f t="shared" si="2"/>
        <v>5248419570.9228516</v>
      </c>
      <c r="D73" s="244"/>
      <c r="E73" s="245"/>
      <c r="F73" s="246">
        <f t="shared" si="3"/>
        <v>0</v>
      </c>
      <c r="G73" s="247">
        <f t="shared" si="4"/>
        <v>5248419570.9228516</v>
      </c>
      <c r="H73" s="254">
        <f t="shared" si="14"/>
        <v>0</v>
      </c>
      <c r="I73" s="242">
        <f t="shared" si="9"/>
        <v>24</v>
      </c>
      <c r="J73" s="243">
        <f t="shared" si="10"/>
        <v>504.73402678344945</v>
      </c>
      <c r="K73" s="244"/>
      <c r="L73" s="245"/>
      <c r="M73" s="243">
        <f t="shared" si="5"/>
        <v>0</v>
      </c>
      <c r="N73" s="248">
        <f t="shared" si="6"/>
        <v>504.73402678344945</v>
      </c>
    </row>
    <row r="74" spans="1:14">
      <c r="B74" s="242">
        <f t="shared" si="13"/>
        <v>25</v>
      </c>
      <c r="C74" s="243">
        <f t="shared" si="2"/>
        <v>5248419570.9228516</v>
      </c>
      <c r="D74" s="244"/>
      <c r="E74" s="245"/>
      <c r="F74" s="246">
        <f t="shared" si="3"/>
        <v>0</v>
      </c>
      <c r="G74" s="247">
        <f t="shared" si="4"/>
        <v>5248419570.9228516</v>
      </c>
      <c r="H74" s="254">
        <f t="shared" si="14"/>
        <v>0</v>
      </c>
      <c r="I74" s="242">
        <f t="shared" si="9"/>
        <v>25</v>
      </c>
      <c r="J74" s="243">
        <f t="shared" si="10"/>
        <v>504.73402678344945</v>
      </c>
      <c r="K74" s="244"/>
      <c r="L74" s="245"/>
      <c r="M74" s="243">
        <f t="shared" si="5"/>
        <v>0</v>
      </c>
      <c r="N74" s="248">
        <f t="shared" si="6"/>
        <v>504.73402678344945</v>
      </c>
    </row>
    <row r="75" spans="1:14">
      <c r="B75" s="242">
        <f t="shared" si="13"/>
        <v>26</v>
      </c>
      <c r="C75" s="243">
        <f t="shared" si="2"/>
        <v>5248419570.9228516</v>
      </c>
      <c r="D75" s="244"/>
      <c r="E75" s="245"/>
      <c r="F75" s="246">
        <f t="shared" si="3"/>
        <v>0</v>
      </c>
      <c r="G75" s="247">
        <f t="shared" si="4"/>
        <v>5248419570.9228516</v>
      </c>
      <c r="H75" s="254">
        <f t="shared" si="14"/>
        <v>1.5871934604904632E-7</v>
      </c>
      <c r="I75" s="242">
        <f t="shared" si="9"/>
        <v>26</v>
      </c>
      <c r="J75" s="243">
        <f t="shared" si="10"/>
        <v>504.73402678344945</v>
      </c>
      <c r="K75" s="244"/>
      <c r="L75" s="245"/>
      <c r="M75" s="243">
        <f t="shared" si="5"/>
        <v>0</v>
      </c>
      <c r="N75" s="248">
        <f t="shared" si="6"/>
        <v>504.73402678344945</v>
      </c>
    </row>
    <row r="76" spans="1:14">
      <c r="B76" s="242">
        <f t="shared" si="13"/>
        <v>27</v>
      </c>
      <c r="C76" s="243">
        <f t="shared" si="2"/>
        <v>5248419570.9228516</v>
      </c>
      <c r="D76" s="244"/>
      <c r="E76" s="245"/>
      <c r="F76" s="246">
        <f t="shared" si="3"/>
        <v>0</v>
      </c>
      <c r="G76" s="247">
        <f t="shared" si="4"/>
        <v>5248419570.9228516</v>
      </c>
      <c r="H76" s="254">
        <f t="shared" si="14"/>
        <v>0</v>
      </c>
      <c r="I76" s="242">
        <f t="shared" si="9"/>
        <v>27</v>
      </c>
      <c r="J76" s="243">
        <f t="shared" si="10"/>
        <v>504.73402678344945</v>
      </c>
      <c r="K76" s="244"/>
      <c r="L76" s="245"/>
      <c r="M76" s="243">
        <f t="shared" si="5"/>
        <v>0</v>
      </c>
      <c r="N76" s="248">
        <f t="shared" si="6"/>
        <v>504.73402678344945</v>
      </c>
    </row>
    <row r="77" spans="1:14">
      <c r="B77" s="242">
        <f t="shared" si="13"/>
        <v>28</v>
      </c>
      <c r="C77" s="243">
        <f t="shared" si="2"/>
        <v>5248419570.9228516</v>
      </c>
      <c r="D77" s="244"/>
      <c r="E77" s="245"/>
      <c r="F77" s="246">
        <f t="shared" si="3"/>
        <v>0</v>
      </c>
      <c r="G77" s="247">
        <f t="shared" si="4"/>
        <v>5248419570.9228516</v>
      </c>
      <c r="H77" s="254">
        <f t="shared" si="14"/>
        <v>0</v>
      </c>
      <c r="I77" s="242">
        <f t="shared" si="9"/>
        <v>28</v>
      </c>
      <c r="J77" s="243">
        <f t="shared" si="10"/>
        <v>504.73402678344945</v>
      </c>
      <c r="K77" s="244"/>
      <c r="L77" s="245"/>
      <c r="M77" s="243">
        <f t="shared" si="5"/>
        <v>0</v>
      </c>
      <c r="N77" s="248">
        <f t="shared" si="6"/>
        <v>504.73402678344945</v>
      </c>
    </row>
    <row r="78" spans="1:14">
      <c r="B78" s="242">
        <f t="shared" si="13"/>
        <v>29</v>
      </c>
      <c r="C78" s="243">
        <f t="shared" si="2"/>
        <v>5248419570.9228516</v>
      </c>
      <c r="D78" s="244"/>
      <c r="E78" s="245"/>
      <c r="F78" s="246">
        <f t="shared" si="3"/>
        <v>0</v>
      </c>
      <c r="G78" s="247">
        <f t="shared" si="4"/>
        <v>5248419570.9228516</v>
      </c>
      <c r="H78" s="254">
        <f t="shared" si="14"/>
        <v>0</v>
      </c>
      <c r="I78" s="242">
        <f t="shared" si="9"/>
        <v>29</v>
      </c>
      <c r="J78" s="243">
        <f t="shared" si="10"/>
        <v>504.73402678344945</v>
      </c>
      <c r="K78" s="244"/>
      <c r="L78" s="245"/>
      <c r="M78" s="243">
        <f t="shared" si="5"/>
        <v>0</v>
      </c>
      <c r="N78" s="248">
        <f t="shared" si="6"/>
        <v>504.73402678344945</v>
      </c>
    </row>
    <row r="79" spans="1:14">
      <c r="B79" s="242">
        <f t="shared" si="13"/>
        <v>30</v>
      </c>
      <c r="C79" s="243">
        <f t="shared" si="2"/>
        <v>5248419570.9228516</v>
      </c>
      <c r="D79" s="244"/>
      <c r="E79" s="245"/>
      <c r="F79" s="246">
        <f t="shared" si="3"/>
        <v>0</v>
      </c>
      <c r="G79" s="247">
        <f t="shared" si="4"/>
        <v>5248419570.9228516</v>
      </c>
      <c r="H79" s="254">
        <f t="shared" si="14"/>
        <v>0</v>
      </c>
      <c r="I79" s="242">
        <f t="shared" si="9"/>
        <v>30</v>
      </c>
      <c r="J79" s="243">
        <f t="shared" si="10"/>
        <v>504.73402678344945</v>
      </c>
      <c r="K79" s="244"/>
      <c r="L79" s="245"/>
      <c r="M79" s="243">
        <f t="shared" si="5"/>
        <v>0</v>
      </c>
      <c r="N79" s="248">
        <f t="shared" si="6"/>
        <v>504.73402678344945</v>
      </c>
    </row>
    <row r="80" spans="1:14" ht="15.75" thickBot="1">
      <c r="B80" s="242"/>
      <c r="C80" s="255"/>
      <c r="D80" s="244"/>
      <c r="E80" s="245"/>
      <c r="F80" s="255"/>
      <c r="G80" s="247">
        <f t="shared" si="4"/>
        <v>0</v>
      </c>
      <c r="H80" s="254">
        <f t="shared" si="14"/>
        <v>0</v>
      </c>
      <c r="I80" s="242"/>
      <c r="J80" s="243">
        <f t="shared" si="10"/>
        <v>504.73402678344945</v>
      </c>
      <c r="K80" s="244"/>
      <c r="L80" s="245"/>
      <c r="M80" s="243">
        <f t="shared" si="5"/>
        <v>0</v>
      </c>
      <c r="N80" s="248">
        <f t="shared" si="6"/>
        <v>504.73402678344945</v>
      </c>
    </row>
    <row r="81" spans="2:14" ht="15.75" thickBot="1">
      <c r="B81" s="299" t="s">
        <v>497</v>
      </c>
      <c r="C81" s="300"/>
      <c r="D81" s="256">
        <f>SUM(D48:D80)</f>
        <v>22500000</v>
      </c>
      <c r="E81" s="257"/>
      <c r="F81" s="257"/>
      <c r="G81" s="258">
        <f>G78</f>
        <v>5248419570.9228516</v>
      </c>
      <c r="H81" s="254">
        <f t="shared" si="14"/>
        <v>0</v>
      </c>
      <c r="I81" s="299" t="s">
        <v>497</v>
      </c>
      <c r="J81" s="300"/>
      <c r="K81" s="259">
        <f>SUM(K48:K80)</f>
        <v>0</v>
      </c>
      <c r="L81" s="257"/>
      <c r="M81" s="256"/>
      <c r="N81" s="260">
        <f>N78</f>
        <v>504.73402678344945</v>
      </c>
    </row>
    <row r="82" spans="2:14" ht="15.75" thickBot="1">
      <c r="B82" s="261"/>
      <c r="C82" s="262" t="s">
        <v>498</v>
      </c>
      <c r="D82" s="263">
        <f>D81/10000000</f>
        <v>2.25</v>
      </c>
      <c r="E82" s="262"/>
      <c r="F82" s="262"/>
      <c r="G82" s="264">
        <f>G81/10000000</f>
        <v>524.84195709228516</v>
      </c>
      <c r="H82" s="254">
        <f t="shared" si="14"/>
        <v>0</v>
      </c>
      <c r="I82" s="261"/>
      <c r="J82" s="262" t="s">
        <v>498</v>
      </c>
      <c r="K82" s="263">
        <f>K81/10000000</f>
        <v>0</v>
      </c>
      <c r="L82" s="262"/>
      <c r="M82" s="262"/>
      <c r="N82" s="264">
        <f>N81/10000000</f>
        <v>5.0473402678344942E-5</v>
      </c>
    </row>
    <row r="83" spans="2:14">
      <c r="G83" s="265"/>
      <c r="H83" s="254">
        <f t="shared" si="14"/>
        <v>0</v>
      </c>
    </row>
    <row r="84" spans="2:14" ht="15.75" thickBot="1">
      <c r="C84" s="295" t="s">
        <v>499</v>
      </c>
      <c r="D84" s="295"/>
      <c r="E84" s="295"/>
      <c r="F84" s="295"/>
      <c r="H84" s="254">
        <f t="shared" si="14"/>
        <v>0</v>
      </c>
      <c r="J84" s="295" t="s">
        <v>499</v>
      </c>
      <c r="K84" s="295"/>
      <c r="L84" s="295"/>
      <c r="M84" s="295"/>
    </row>
    <row r="85" spans="2:14" ht="15.75" thickBot="1">
      <c r="H85" s="254">
        <f t="shared" si="14"/>
        <v>1.4999999999999999E-7</v>
      </c>
    </row>
    <row r="86" spans="2:14" ht="15.75" thickBot="1">
      <c r="B86" s="233"/>
      <c r="C86" s="293" t="s">
        <v>485</v>
      </c>
      <c r="D86" s="294"/>
      <c r="E86" s="234" t="s">
        <v>486</v>
      </c>
      <c r="F86" s="234"/>
      <c r="G86" s="235"/>
      <c r="H86" s="254">
        <f t="shared" si="14"/>
        <v>0</v>
      </c>
      <c r="I86" s="233"/>
      <c r="J86" s="293" t="s">
        <v>500</v>
      </c>
      <c r="K86" s="294"/>
      <c r="L86" s="234" t="s">
        <v>501</v>
      </c>
      <c r="M86" s="234"/>
      <c r="N86" s="235"/>
    </row>
    <row r="87" spans="2:14" ht="15.75" thickBot="1">
      <c r="B87" s="201"/>
      <c r="C87" s="198"/>
      <c r="D87" s="198"/>
      <c r="E87" s="198"/>
      <c r="F87" s="198"/>
      <c r="G87" s="199"/>
      <c r="H87" s="254" t="e">
        <f t="shared" si="14"/>
        <v>#DIV/0!</v>
      </c>
      <c r="I87" s="201"/>
      <c r="J87" s="198"/>
      <c r="K87" s="198"/>
      <c r="L87" s="198"/>
      <c r="M87" s="198"/>
      <c r="N87" s="199"/>
    </row>
    <row r="88" spans="2:14" ht="15.75" thickBot="1">
      <c r="B88" s="296" t="s">
        <v>502</v>
      </c>
      <c r="C88" s="297"/>
      <c r="D88" s="297"/>
      <c r="E88" s="297"/>
      <c r="F88" s="297"/>
      <c r="G88" s="298"/>
      <c r="H88" s="254">
        <f t="shared" si="14"/>
        <v>0</v>
      </c>
      <c r="I88" s="296" t="s">
        <v>502</v>
      </c>
      <c r="J88" s="297"/>
      <c r="K88" s="297"/>
      <c r="L88" s="297"/>
      <c r="M88" s="297"/>
      <c r="N88" s="298"/>
    </row>
    <row r="89" spans="2:14">
      <c r="B89" s="266"/>
      <c r="C89" s="267"/>
      <c r="D89" s="267"/>
      <c r="E89" s="267"/>
      <c r="F89" s="267"/>
      <c r="G89" s="268">
        <f>G124</f>
        <v>1413.1902480939689</v>
      </c>
      <c r="I89" s="266"/>
      <c r="J89" s="267"/>
      <c r="K89" s="267"/>
      <c r="L89" s="267"/>
      <c r="M89" s="267"/>
      <c r="N89" s="268">
        <f>N124</f>
        <v>285.94104308390024</v>
      </c>
    </row>
    <row r="90" spans="2:14" ht="30">
      <c r="B90" s="237" t="s">
        <v>14</v>
      </c>
      <c r="C90" s="238" t="s">
        <v>490</v>
      </c>
      <c r="D90" s="238" t="s">
        <v>503</v>
      </c>
      <c r="E90" s="238" t="s">
        <v>492</v>
      </c>
      <c r="F90" s="238" t="s">
        <v>504</v>
      </c>
      <c r="G90" s="239" t="s">
        <v>505</v>
      </c>
      <c r="I90" s="237" t="s">
        <v>14</v>
      </c>
      <c r="J90" s="238" t="s">
        <v>506</v>
      </c>
      <c r="K90" s="238" t="s">
        <v>507</v>
      </c>
      <c r="L90" s="238" t="s">
        <v>492</v>
      </c>
      <c r="M90" s="238" t="s">
        <v>504</v>
      </c>
      <c r="N90" s="239" t="s">
        <v>505</v>
      </c>
    </row>
    <row r="91" spans="2:14">
      <c r="B91" s="242">
        <v>0</v>
      </c>
      <c r="C91" s="255">
        <v>0</v>
      </c>
      <c r="D91" s="255">
        <v>100</v>
      </c>
      <c r="E91" s="269">
        <v>0.06</v>
      </c>
      <c r="F91" s="255">
        <f>((1/(1+E91) ) ^ (B91 + 1) ) * D91</f>
        <v>94.339622641509422</v>
      </c>
      <c r="G91" s="270">
        <f>F91+C91</f>
        <v>94.339622641509422</v>
      </c>
      <c r="I91" s="242">
        <v>0</v>
      </c>
      <c r="J91" s="255">
        <v>0</v>
      </c>
      <c r="K91" s="255">
        <v>100</v>
      </c>
      <c r="L91" s="269">
        <v>0</v>
      </c>
      <c r="M91" s="255">
        <f t="shared" ref="M91:M92" si="15">((1/(1+L91) ) ^ (I91) ) * K91</f>
        <v>100</v>
      </c>
      <c r="N91" s="270">
        <f>M91+J91</f>
        <v>100</v>
      </c>
    </row>
    <row r="92" spans="2:14">
      <c r="B92" s="242">
        <f>B91+1</f>
        <v>1</v>
      </c>
      <c r="C92" s="255">
        <f>G91</f>
        <v>94.339622641509422</v>
      </c>
      <c r="D92" s="255">
        <v>200</v>
      </c>
      <c r="E92" s="269">
        <v>0.06</v>
      </c>
      <c r="F92" s="255">
        <f>((1/(1+E92) ) ^ (B92 + 1) ) * D92</f>
        <v>177.99928800284795</v>
      </c>
      <c r="G92" s="270">
        <f>F92+C92</f>
        <v>272.33891064435738</v>
      </c>
      <c r="I92" s="242">
        <f>I91+1</f>
        <v>1</v>
      </c>
      <c r="J92" s="255">
        <f>N91</f>
        <v>100</v>
      </c>
      <c r="K92" s="255">
        <v>100</v>
      </c>
      <c r="L92" s="269">
        <v>0.05</v>
      </c>
      <c r="M92" s="255">
        <f t="shared" si="15"/>
        <v>95.238095238095227</v>
      </c>
      <c r="N92" s="270">
        <f>M92+J92</f>
        <v>195.23809523809524</v>
      </c>
    </row>
    <row r="93" spans="2:14">
      <c r="B93" s="242">
        <f t="shared" ref="B93:B121" si="16">B92+1</f>
        <v>2</v>
      </c>
      <c r="C93" s="255">
        <f t="shared" ref="C93:C121" si="17">G92</f>
        <v>272.33891064435738</v>
      </c>
      <c r="D93" s="255">
        <v>200</v>
      </c>
      <c r="E93" s="269">
        <v>0.06</v>
      </c>
      <c r="F93" s="255">
        <f t="shared" ref="F93:F121" si="18">((1/(1+E93) ) ^ (B93 + 1) ) * D93</f>
        <v>167.9238566064603</v>
      </c>
      <c r="G93" s="270">
        <f t="shared" ref="G93:G121" si="19">F93+C93</f>
        <v>440.26276725081766</v>
      </c>
      <c r="I93" s="242">
        <f t="shared" ref="I93:I121" si="20">I92+1</f>
        <v>2</v>
      </c>
      <c r="J93" s="255">
        <f t="shared" ref="J93:J121" si="21">N92</f>
        <v>195.23809523809524</v>
      </c>
      <c r="K93" s="255">
        <v>100</v>
      </c>
      <c r="L93" s="269">
        <v>0.05</v>
      </c>
      <c r="M93" s="255">
        <f>((1/(1+L93) ) ^ (I93) ) * K93</f>
        <v>90.702947845804985</v>
      </c>
      <c r="N93" s="270">
        <f t="shared" ref="N93:N121" si="22">M93+J93</f>
        <v>285.94104308390024</v>
      </c>
    </row>
    <row r="94" spans="2:14">
      <c r="B94" s="242">
        <f t="shared" si="16"/>
        <v>3</v>
      </c>
      <c r="C94" s="255">
        <f t="shared" si="17"/>
        <v>440.26276725081766</v>
      </c>
      <c r="D94" s="255">
        <v>200</v>
      </c>
      <c r="E94" s="269">
        <v>0.06</v>
      </c>
      <c r="F94" s="255">
        <f t="shared" si="18"/>
        <v>158.41873264760403</v>
      </c>
      <c r="G94" s="270">
        <f t="shared" si="19"/>
        <v>598.68149989842163</v>
      </c>
      <c r="I94" s="242">
        <f t="shared" si="20"/>
        <v>3</v>
      </c>
      <c r="J94" s="255">
        <f t="shared" si="21"/>
        <v>285.94104308390024</v>
      </c>
      <c r="K94" s="255"/>
      <c r="L94" s="269">
        <v>0.05</v>
      </c>
      <c r="M94" s="255">
        <f t="shared" ref="M94:M121" si="23">((1/(1+L94) ) ^ (I94) ) * K94</f>
        <v>0</v>
      </c>
      <c r="N94" s="270">
        <f t="shared" si="22"/>
        <v>285.94104308390024</v>
      </c>
    </row>
    <row r="95" spans="2:14">
      <c r="B95" s="242">
        <f t="shared" si="16"/>
        <v>4</v>
      </c>
      <c r="C95" s="255">
        <f t="shared" si="17"/>
        <v>598.68149989842163</v>
      </c>
      <c r="D95" s="255">
        <v>200</v>
      </c>
      <c r="E95" s="269">
        <v>0.06</v>
      </c>
      <c r="F95" s="255">
        <f t="shared" si="18"/>
        <v>149.45163457321135</v>
      </c>
      <c r="G95" s="270">
        <f t="shared" si="19"/>
        <v>748.13313447163296</v>
      </c>
      <c r="I95" s="242">
        <f t="shared" si="20"/>
        <v>4</v>
      </c>
      <c r="J95" s="255">
        <f t="shared" si="21"/>
        <v>285.94104308390024</v>
      </c>
      <c r="K95" s="255"/>
      <c r="L95" s="269">
        <v>0.05</v>
      </c>
      <c r="M95" s="255">
        <f t="shared" si="23"/>
        <v>0</v>
      </c>
      <c r="N95" s="270">
        <f t="shared" si="22"/>
        <v>285.94104308390024</v>
      </c>
    </row>
    <row r="96" spans="2:14">
      <c r="B96" s="242">
        <f t="shared" si="16"/>
        <v>5</v>
      </c>
      <c r="C96" s="255">
        <f t="shared" si="17"/>
        <v>748.13313447163296</v>
      </c>
      <c r="D96" s="255">
        <v>0</v>
      </c>
      <c r="E96" s="269">
        <v>0.06</v>
      </c>
      <c r="F96" s="255">
        <f t="shared" si="18"/>
        <v>0</v>
      </c>
      <c r="G96" s="270">
        <f t="shared" si="19"/>
        <v>748.13313447163296</v>
      </c>
      <c r="I96" s="242">
        <f t="shared" si="20"/>
        <v>5</v>
      </c>
      <c r="J96" s="255">
        <f t="shared" si="21"/>
        <v>285.94104308390024</v>
      </c>
      <c r="K96" s="255"/>
      <c r="L96" s="269">
        <v>0.05</v>
      </c>
      <c r="M96" s="255">
        <f t="shared" si="23"/>
        <v>0</v>
      </c>
      <c r="N96" s="270">
        <f t="shared" si="22"/>
        <v>285.94104308390024</v>
      </c>
    </row>
    <row r="97" spans="2:14">
      <c r="B97" s="242">
        <f t="shared" si="16"/>
        <v>6</v>
      </c>
      <c r="C97" s="255">
        <f t="shared" si="17"/>
        <v>748.13313447163296</v>
      </c>
      <c r="D97" s="255">
        <v>1000</v>
      </c>
      <c r="E97" s="269">
        <v>0.06</v>
      </c>
      <c r="F97" s="255">
        <f t="shared" si="18"/>
        <v>665.05711362233581</v>
      </c>
      <c r="G97" s="270">
        <f t="shared" si="19"/>
        <v>1413.1902480939689</v>
      </c>
      <c r="I97" s="242">
        <f t="shared" si="20"/>
        <v>6</v>
      </c>
      <c r="J97" s="255">
        <f t="shared" si="21"/>
        <v>285.94104308390024</v>
      </c>
      <c r="K97" s="255"/>
      <c r="L97" s="269">
        <v>0.05</v>
      </c>
      <c r="M97" s="255">
        <f t="shared" si="23"/>
        <v>0</v>
      </c>
      <c r="N97" s="270">
        <f t="shared" si="22"/>
        <v>285.94104308390024</v>
      </c>
    </row>
    <row r="98" spans="2:14">
      <c r="B98" s="242">
        <f t="shared" si="16"/>
        <v>7</v>
      </c>
      <c r="C98" s="255">
        <f t="shared" si="17"/>
        <v>1413.1902480939689</v>
      </c>
      <c r="D98" s="255"/>
      <c r="E98" s="269">
        <v>0.05</v>
      </c>
      <c r="F98" s="255">
        <f t="shared" si="18"/>
        <v>0</v>
      </c>
      <c r="G98" s="270">
        <f t="shared" si="19"/>
        <v>1413.1902480939689</v>
      </c>
      <c r="I98" s="242">
        <f t="shared" si="20"/>
        <v>7</v>
      </c>
      <c r="J98" s="255">
        <f t="shared" si="21"/>
        <v>285.94104308390024</v>
      </c>
      <c r="K98" s="255"/>
      <c r="L98" s="269">
        <v>0.05</v>
      </c>
      <c r="M98" s="255">
        <f t="shared" si="23"/>
        <v>0</v>
      </c>
      <c r="N98" s="270">
        <f t="shared" si="22"/>
        <v>285.94104308390024</v>
      </c>
    </row>
    <row r="99" spans="2:14">
      <c r="B99" s="242">
        <f t="shared" si="16"/>
        <v>8</v>
      </c>
      <c r="C99" s="255">
        <f t="shared" si="17"/>
        <v>1413.1902480939689</v>
      </c>
      <c r="D99" s="255"/>
      <c r="E99" s="269">
        <v>0.05</v>
      </c>
      <c r="F99" s="255">
        <f t="shared" si="18"/>
        <v>0</v>
      </c>
      <c r="G99" s="270">
        <f t="shared" si="19"/>
        <v>1413.1902480939689</v>
      </c>
      <c r="I99" s="242">
        <f t="shared" si="20"/>
        <v>8</v>
      </c>
      <c r="J99" s="255">
        <f t="shared" si="21"/>
        <v>285.94104308390024</v>
      </c>
      <c r="K99" s="255"/>
      <c r="L99" s="269">
        <v>0.05</v>
      </c>
      <c r="M99" s="255">
        <f t="shared" si="23"/>
        <v>0</v>
      </c>
      <c r="N99" s="270">
        <f t="shared" si="22"/>
        <v>285.94104308390024</v>
      </c>
    </row>
    <row r="100" spans="2:14">
      <c r="B100" s="242">
        <f t="shared" si="16"/>
        <v>9</v>
      </c>
      <c r="C100" s="255">
        <f t="shared" si="17"/>
        <v>1413.1902480939689</v>
      </c>
      <c r="D100" s="255"/>
      <c r="E100" s="269">
        <v>0.05</v>
      </c>
      <c r="F100" s="255">
        <f t="shared" si="18"/>
        <v>0</v>
      </c>
      <c r="G100" s="270">
        <f t="shared" si="19"/>
        <v>1413.1902480939689</v>
      </c>
      <c r="I100" s="242">
        <f t="shared" si="20"/>
        <v>9</v>
      </c>
      <c r="J100" s="255">
        <f t="shared" si="21"/>
        <v>285.94104308390024</v>
      </c>
      <c r="K100" s="255"/>
      <c r="L100" s="269">
        <v>0.05</v>
      </c>
      <c r="M100" s="255">
        <f t="shared" si="23"/>
        <v>0</v>
      </c>
      <c r="N100" s="270">
        <f t="shared" si="22"/>
        <v>285.94104308390024</v>
      </c>
    </row>
    <row r="101" spans="2:14">
      <c r="B101" s="242">
        <f t="shared" si="16"/>
        <v>10</v>
      </c>
      <c r="C101" s="255">
        <f t="shared" si="17"/>
        <v>1413.1902480939689</v>
      </c>
      <c r="D101" s="255"/>
      <c r="E101" s="269">
        <v>0.05</v>
      </c>
      <c r="F101" s="255">
        <f t="shared" si="18"/>
        <v>0</v>
      </c>
      <c r="G101" s="270">
        <f t="shared" si="19"/>
        <v>1413.1902480939689</v>
      </c>
      <c r="I101" s="242">
        <f t="shared" si="20"/>
        <v>10</v>
      </c>
      <c r="J101" s="255">
        <f t="shared" si="21"/>
        <v>285.94104308390024</v>
      </c>
      <c r="K101" s="255"/>
      <c r="L101" s="269">
        <v>0.05</v>
      </c>
      <c r="M101" s="255">
        <f t="shared" si="23"/>
        <v>0</v>
      </c>
      <c r="N101" s="270">
        <f t="shared" si="22"/>
        <v>285.94104308390024</v>
      </c>
    </row>
    <row r="102" spans="2:14">
      <c r="B102" s="242">
        <f t="shared" si="16"/>
        <v>11</v>
      </c>
      <c r="C102" s="255">
        <f t="shared" si="17"/>
        <v>1413.1902480939689</v>
      </c>
      <c r="D102" s="255"/>
      <c r="E102" s="269">
        <v>0.05</v>
      </c>
      <c r="F102" s="255">
        <f t="shared" si="18"/>
        <v>0</v>
      </c>
      <c r="G102" s="270">
        <f t="shared" si="19"/>
        <v>1413.1902480939689</v>
      </c>
      <c r="I102" s="242">
        <f t="shared" si="20"/>
        <v>11</v>
      </c>
      <c r="J102" s="255">
        <f t="shared" si="21"/>
        <v>285.94104308390024</v>
      </c>
      <c r="K102" s="255"/>
      <c r="L102" s="269">
        <v>0.05</v>
      </c>
      <c r="M102" s="255">
        <f t="shared" si="23"/>
        <v>0</v>
      </c>
      <c r="N102" s="270">
        <f t="shared" si="22"/>
        <v>285.94104308390024</v>
      </c>
    </row>
    <row r="103" spans="2:14">
      <c r="B103" s="242">
        <f t="shared" si="16"/>
        <v>12</v>
      </c>
      <c r="C103" s="255">
        <f t="shared" si="17"/>
        <v>1413.1902480939689</v>
      </c>
      <c r="D103" s="255"/>
      <c r="E103" s="269">
        <v>0.05</v>
      </c>
      <c r="F103" s="255">
        <f t="shared" si="18"/>
        <v>0</v>
      </c>
      <c r="G103" s="270">
        <f t="shared" si="19"/>
        <v>1413.1902480939689</v>
      </c>
      <c r="I103" s="242">
        <f t="shared" si="20"/>
        <v>12</v>
      </c>
      <c r="J103" s="255">
        <f t="shared" si="21"/>
        <v>285.94104308390024</v>
      </c>
      <c r="K103" s="255"/>
      <c r="L103" s="269">
        <v>0.05</v>
      </c>
      <c r="M103" s="255">
        <f t="shared" si="23"/>
        <v>0</v>
      </c>
      <c r="N103" s="270">
        <f t="shared" si="22"/>
        <v>285.94104308390024</v>
      </c>
    </row>
    <row r="104" spans="2:14">
      <c r="B104" s="242">
        <f t="shared" si="16"/>
        <v>13</v>
      </c>
      <c r="C104" s="255">
        <f t="shared" si="17"/>
        <v>1413.1902480939689</v>
      </c>
      <c r="D104" s="255"/>
      <c r="E104" s="269">
        <v>0.05</v>
      </c>
      <c r="F104" s="255">
        <f t="shared" si="18"/>
        <v>0</v>
      </c>
      <c r="G104" s="270">
        <f t="shared" si="19"/>
        <v>1413.1902480939689</v>
      </c>
      <c r="I104" s="242">
        <f t="shared" si="20"/>
        <v>13</v>
      </c>
      <c r="J104" s="255">
        <f t="shared" si="21"/>
        <v>285.94104308390024</v>
      </c>
      <c r="K104" s="255"/>
      <c r="L104" s="269">
        <v>0.05</v>
      </c>
      <c r="M104" s="255">
        <f t="shared" si="23"/>
        <v>0</v>
      </c>
      <c r="N104" s="270">
        <f t="shared" si="22"/>
        <v>285.94104308390024</v>
      </c>
    </row>
    <row r="105" spans="2:14">
      <c r="B105" s="242">
        <f t="shared" si="16"/>
        <v>14</v>
      </c>
      <c r="C105" s="255">
        <f t="shared" si="17"/>
        <v>1413.1902480939689</v>
      </c>
      <c r="D105" s="255"/>
      <c r="E105" s="269">
        <v>0.05</v>
      </c>
      <c r="F105" s="255">
        <f t="shared" si="18"/>
        <v>0</v>
      </c>
      <c r="G105" s="270">
        <f t="shared" si="19"/>
        <v>1413.1902480939689</v>
      </c>
      <c r="I105" s="242">
        <f t="shared" si="20"/>
        <v>14</v>
      </c>
      <c r="J105" s="255">
        <f t="shared" si="21"/>
        <v>285.94104308390024</v>
      </c>
      <c r="K105" s="255"/>
      <c r="L105" s="269">
        <v>0.05</v>
      </c>
      <c r="M105" s="255">
        <f t="shared" si="23"/>
        <v>0</v>
      </c>
      <c r="N105" s="270">
        <f t="shared" si="22"/>
        <v>285.94104308390024</v>
      </c>
    </row>
    <row r="106" spans="2:14">
      <c r="B106" s="242">
        <f t="shared" si="16"/>
        <v>15</v>
      </c>
      <c r="C106" s="255">
        <f t="shared" si="17"/>
        <v>1413.1902480939689</v>
      </c>
      <c r="D106" s="255"/>
      <c r="E106" s="269">
        <v>0.05</v>
      </c>
      <c r="F106" s="255">
        <f t="shared" si="18"/>
        <v>0</v>
      </c>
      <c r="G106" s="270">
        <f t="shared" si="19"/>
        <v>1413.1902480939689</v>
      </c>
      <c r="I106" s="242">
        <f t="shared" si="20"/>
        <v>15</v>
      </c>
      <c r="J106" s="255">
        <f t="shared" si="21"/>
        <v>285.94104308390024</v>
      </c>
      <c r="K106" s="255"/>
      <c r="L106" s="269">
        <v>0.05</v>
      </c>
      <c r="M106" s="255">
        <f t="shared" si="23"/>
        <v>0</v>
      </c>
      <c r="N106" s="270">
        <f t="shared" si="22"/>
        <v>285.94104308390024</v>
      </c>
    </row>
    <row r="107" spans="2:14">
      <c r="B107" s="242">
        <f t="shared" si="16"/>
        <v>16</v>
      </c>
      <c r="C107" s="255">
        <f t="shared" si="17"/>
        <v>1413.1902480939689</v>
      </c>
      <c r="D107" s="255"/>
      <c r="E107" s="269">
        <v>0.05</v>
      </c>
      <c r="F107" s="255">
        <f t="shared" si="18"/>
        <v>0</v>
      </c>
      <c r="G107" s="270">
        <f t="shared" si="19"/>
        <v>1413.1902480939689</v>
      </c>
      <c r="I107" s="242">
        <f t="shared" si="20"/>
        <v>16</v>
      </c>
      <c r="J107" s="255">
        <f t="shared" si="21"/>
        <v>285.94104308390024</v>
      </c>
      <c r="K107" s="255"/>
      <c r="L107" s="269">
        <v>0.05</v>
      </c>
      <c r="M107" s="255">
        <f t="shared" si="23"/>
        <v>0</v>
      </c>
      <c r="N107" s="270">
        <f t="shared" si="22"/>
        <v>285.94104308390024</v>
      </c>
    </row>
    <row r="108" spans="2:14">
      <c r="B108" s="242">
        <f t="shared" si="16"/>
        <v>17</v>
      </c>
      <c r="C108" s="255">
        <f t="shared" si="17"/>
        <v>1413.1902480939689</v>
      </c>
      <c r="D108" s="255"/>
      <c r="E108" s="269">
        <v>0.05</v>
      </c>
      <c r="F108" s="255">
        <f t="shared" si="18"/>
        <v>0</v>
      </c>
      <c r="G108" s="270">
        <f t="shared" si="19"/>
        <v>1413.1902480939689</v>
      </c>
      <c r="I108" s="242">
        <f t="shared" si="20"/>
        <v>17</v>
      </c>
      <c r="J108" s="255">
        <f t="shared" si="21"/>
        <v>285.94104308390024</v>
      </c>
      <c r="K108" s="255"/>
      <c r="L108" s="269">
        <v>0.05</v>
      </c>
      <c r="M108" s="255">
        <f t="shared" si="23"/>
        <v>0</v>
      </c>
      <c r="N108" s="270">
        <f t="shared" si="22"/>
        <v>285.94104308390024</v>
      </c>
    </row>
    <row r="109" spans="2:14">
      <c r="B109" s="242">
        <f t="shared" si="16"/>
        <v>18</v>
      </c>
      <c r="C109" s="255">
        <f t="shared" si="17"/>
        <v>1413.1902480939689</v>
      </c>
      <c r="D109" s="255"/>
      <c r="E109" s="269">
        <v>0.05</v>
      </c>
      <c r="F109" s="255">
        <f t="shared" si="18"/>
        <v>0</v>
      </c>
      <c r="G109" s="270">
        <f t="shared" si="19"/>
        <v>1413.1902480939689</v>
      </c>
      <c r="I109" s="242">
        <f t="shared" si="20"/>
        <v>18</v>
      </c>
      <c r="J109" s="255">
        <f t="shared" si="21"/>
        <v>285.94104308390024</v>
      </c>
      <c r="K109" s="255"/>
      <c r="L109" s="269">
        <v>0.05</v>
      </c>
      <c r="M109" s="255">
        <f t="shared" si="23"/>
        <v>0</v>
      </c>
      <c r="N109" s="270">
        <f t="shared" si="22"/>
        <v>285.94104308390024</v>
      </c>
    </row>
    <row r="110" spans="2:14">
      <c r="B110" s="242">
        <f t="shared" si="16"/>
        <v>19</v>
      </c>
      <c r="C110" s="255">
        <f t="shared" si="17"/>
        <v>1413.1902480939689</v>
      </c>
      <c r="D110" s="255"/>
      <c r="E110" s="269">
        <v>0.05</v>
      </c>
      <c r="F110" s="255">
        <f t="shared" si="18"/>
        <v>0</v>
      </c>
      <c r="G110" s="270">
        <f t="shared" si="19"/>
        <v>1413.1902480939689</v>
      </c>
      <c r="I110" s="242">
        <f t="shared" si="20"/>
        <v>19</v>
      </c>
      <c r="J110" s="255">
        <f t="shared" si="21"/>
        <v>285.94104308390024</v>
      </c>
      <c r="K110" s="255"/>
      <c r="L110" s="269">
        <v>0.05</v>
      </c>
      <c r="M110" s="255">
        <f t="shared" si="23"/>
        <v>0</v>
      </c>
      <c r="N110" s="270">
        <f t="shared" si="22"/>
        <v>285.94104308390024</v>
      </c>
    </row>
    <row r="111" spans="2:14">
      <c r="B111" s="242">
        <f t="shared" si="16"/>
        <v>20</v>
      </c>
      <c r="C111" s="255">
        <f t="shared" si="17"/>
        <v>1413.1902480939689</v>
      </c>
      <c r="D111" s="255"/>
      <c r="E111" s="269">
        <v>0.05</v>
      </c>
      <c r="F111" s="255">
        <f t="shared" si="18"/>
        <v>0</v>
      </c>
      <c r="G111" s="270">
        <f t="shared" si="19"/>
        <v>1413.1902480939689</v>
      </c>
      <c r="I111" s="242">
        <f t="shared" si="20"/>
        <v>20</v>
      </c>
      <c r="J111" s="255">
        <f t="shared" si="21"/>
        <v>285.94104308390024</v>
      </c>
      <c r="K111" s="255"/>
      <c r="L111" s="269">
        <v>0.05</v>
      </c>
      <c r="M111" s="255">
        <f t="shared" si="23"/>
        <v>0</v>
      </c>
      <c r="N111" s="270">
        <f t="shared" si="22"/>
        <v>285.94104308390024</v>
      </c>
    </row>
    <row r="112" spans="2:14">
      <c r="B112" s="242">
        <f t="shared" si="16"/>
        <v>21</v>
      </c>
      <c r="C112" s="255">
        <f t="shared" si="17"/>
        <v>1413.1902480939689</v>
      </c>
      <c r="D112" s="255"/>
      <c r="E112" s="269">
        <v>0.05</v>
      </c>
      <c r="F112" s="255">
        <f t="shared" si="18"/>
        <v>0</v>
      </c>
      <c r="G112" s="270">
        <f t="shared" si="19"/>
        <v>1413.1902480939689</v>
      </c>
      <c r="I112" s="242">
        <f t="shared" si="20"/>
        <v>21</v>
      </c>
      <c r="J112" s="255">
        <f t="shared" si="21"/>
        <v>285.94104308390024</v>
      </c>
      <c r="K112" s="255"/>
      <c r="L112" s="269">
        <v>0.05</v>
      </c>
      <c r="M112" s="255">
        <f t="shared" si="23"/>
        <v>0</v>
      </c>
      <c r="N112" s="270">
        <f t="shared" si="22"/>
        <v>285.94104308390024</v>
      </c>
    </row>
    <row r="113" spans="2:14">
      <c r="B113" s="242">
        <f t="shared" si="16"/>
        <v>22</v>
      </c>
      <c r="C113" s="255">
        <f t="shared" si="17"/>
        <v>1413.1902480939689</v>
      </c>
      <c r="D113" s="255"/>
      <c r="E113" s="269">
        <v>0.05</v>
      </c>
      <c r="F113" s="255">
        <f t="shared" si="18"/>
        <v>0</v>
      </c>
      <c r="G113" s="270">
        <f t="shared" si="19"/>
        <v>1413.1902480939689</v>
      </c>
      <c r="I113" s="242">
        <f t="shared" si="20"/>
        <v>22</v>
      </c>
      <c r="J113" s="255">
        <f t="shared" si="21"/>
        <v>285.94104308390024</v>
      </c>
      <c r="K113" s="255"/>
      <c r="L113" s="269">
        <v>0.05</v>
      </c>
      <c r="M113" s="255">
        <f t="shared" si="23"/>
        <v>0</v>
      </c>
      <c r="N113" s="270">
        <f t="shared" si="22"/>
        <v>285.94104308390024</v>
      </c>
    </row>
    <row r="114" spans="2:14">
      <c r="B114" s="242">
        <f t="shared" si="16"/>
        <v>23</v>
      </c>
      <c r="C114" s="255">
        <f t="shared" si="17"/>
        <v>1413.1902480939689</v>
      </c>
      <c r="D114" s="255"/>
      <c r="E114" s="269">
        <v>0.05</v>
      </c>
      <c r="F114" s="255">
        <f t="shared" si="18"/>
        <v>0</v>
      </c>
      <c r="G114" s="270">
        <f t="shared" si="19"/>
        <v>1413.1902480939689</v>
      </c>
      <c r="I114" s="242">
        <f t="shared" si="20"/>
        <v>23</v>
      </c>
      <c r="J114" s="255">
        <f t="shared" si="21"/>
        <v>285.94104308390024</v>
      </c>
      <c r="K114" s="255"/>
      <c r="L114" s="269">
        <v>0.05</v>
      </c>
      <c r="M114" s="255">
        <f t="shared" si="23"/>
        <v>0</v>
      </c>
      <c r="N114" s="270">
        <f t="shared" si="22"/>
        <v>285.94104308390024</v>
      </c>
    </row>
    <row r="115" spans="2:14">
      <c r="B115" s="242">
        <f t="shared" si="16"/>
        <v>24</v>
      </c>
      <c r="C115" s="255">
        <f t="shared" si="17"/>
        <v>1413.1902480939689</v>
      </c>
      <c r="D115" s="255"/>
      <c r="E115" s="269">
        <v>0.05</v>
      </c>
      <c r="F115" s="255">
        <f t="shared" si="18"/>
        <v>0</v>
      </c>
      <c r="G115" s="270">
        <f t="shared" si="19"/>
        <v>1413.1902480939689</v>
      </c>
      <c r="I115" s="242">
        <f t="shared" si="20"/>
        <v>24</v>
      </c>
      <c r="J115" s="255">
        <f t="shared" si="21"/>
        <v>285.94104308390024</v>
      </c>
      <c r="K115" s="255"/>
      <c r="L115" s="269">
        <v>0.05</v>
      </c>
      <c r="M115" s="255">
        <f t="shared" si="23"/>
        <v>0</v>
      </c>
      <c r="N115" s="270">
        <f t="shared" si="22"/>
        <v>285.94104308390024</v>
      </c>
    </row>
    <row r="116" spans="2:14">
      <c r="B116" s="242">
        <f t="shared" si="16"/>
        <v>25</v>
      </c>
      <c r="C116" s="255">
        <f t="shared" si="17"/>
        <v>1413.1902480939689</v>
      </c>
      <c r="D116" s="255"/>
      <c r="E116" s="269">
        <v>0.05</v>
      </c>
      <c r="F116" s="255">
        <f t="shared" si="18"/>
        <v>0</v>
      </c>
      <c r="G116" s="270">
        <f t="shared" si="19"/>
        <v>1413.1902480939689</v>
      </c>
      <c r="I116" s="242">
        <f t="shared" si="20"/>
        <v>25</v>
      </c>
      <c r="J116" s="255">
        <f t="shared" si="21"/>
        <v>285.94104308390024</v>
      </c>
      <c r="K116" s="255"/>
      <c r="L116" s="269">
        <v>0.05</v>
      </c>
      <c r="M116" s="255">
        <f t="shared" si="23"/>
        <v>0</v>
      </c>
      <c r="N116" s="270">
        <f t="shared" si="22"/>
        <v>285.94104308390024</v>
      </c>
    </row>
    <row r="117" spans="2:14">
      <c r="B117" s="242">
        <f t="shared" si="16"/>
        <v>26</v>
      </c>
      <c r="C117" s="255">
        <f t="shared" si="17"/>
        <v>1413.1902480939689</v>
      </c>
      <c r="D117" s="255"/>
      <c r="E117" s="269">
        <v>0.05</v>
      </c>
      <c r="F117" s="255">
        <f t="shared" si="18"/>
        <v>0</v>
      </c>
      <c r="G117" s="270">
        <f t="shared" si="19"/>
        <v>1413.1902480939689</v>
      </c>
      <c r="I117" s="242">
        <f t="shared" si="20"/>
        <v>26</v>
      </c>
      <c r="J117" s="255">
        <f t="shared" si="21"/>
        <v>285.94104308390024</v>
      </c>
      <c r="K117" s="255"/>
      <c r="L117" s="269">
        <v>0.05</v>
      </c>
      <c r="M117" s="255">
        <f t="shared" si="23"/>
        <v>0</v>
      </c>
      <c r="N117" s="270">
        <f t="shared" si="22"/>
        <v>285.94104308390024</v>
      </c>
    </row>
    <row r="118" spans="2:14">
      <c r="B118" s="242">
        <f t="shared" si="16"/>
        <v>27</v>
      </c>
      <c r="C118" s="255">
        <f t="shared" si="17"/>
        <v>1413.1902480939689</v>
      </c>
      <c r="D118" s="255"/>
      <c r="E118" s="269">
        <v>0.05</v>
      </c>
      <c r="F118" s="255">
        <f t="shared" si="18"/>
        <v>0</v>
      </c>
      <c r="G118" s="270">
        <f t="shared" si="19"/>
        <v>1413.1902480939689</v>
      </c>
      <c r="I118" s="242">
        <f t="shared" si="20"/>
        <v>27</v>
      </c>
      <c r="J118" s="255">
        <f t="shared" si="21"/>
        <v>285.94104308390024</v>
      </c>
      <c r="K118" s="255"/>
      <c r="L118" s="269">
        <v>0.05</v>
      </c>
      <c r="M118" s="255">
        <f t="shared" si="23"/>
        <v>0</v>
      </c>
      <c r="N118" s="270">
        <f t="shared" si="22"/>
        <v>285.94104308390024</v>
      </c>
    </row>
    <row r="119" spans="2:14">
      <c r="B119" s="242">
        <f t="shared" si="16"/>
        <v>28</v>
      </c>
      <c r="C119" s="255">
        <f t="shared" si="17"/>
        <v>1413.1902480939689</v>
      </c>
      <c r="D119" s="255"/>
      <c r="E119" s="269">
        <v>0.05</v>
      </c>
      <c r="F119" s="255">
        <f t="shared" si="18"/>
        <v>0</v>
      </c>
      <c r="G119" s="270">
        <f t="shared" si="19"/>
        <v>1413.1902480939689</v>
      </c>
      <c r="I119" s="242">
        <f t="shared" si="20"/>
        <v>28</v>
      </c>
      <c r="J119" s="255">
        <f t="shared" si="21"/>
        <v>285.94104308390024</v>
      </c>
      <c r="K119" s="255"/>
      <c r="L119" s="269">
        <v>0.05</v>
      </c>
      <c r="M119" s="255">
        <f t="shared" si="23"/>
        <v>0</v>
      </c>
      <c r="N119" s="270">
        <f t="shared" si="22"/>
        <v>285.94104308390024</v>
      </c>
    </row>
    <row r="120" spans="2:14">
      <c r="B120" s="242">
        <f t="shared" si="16"/>
        <v>29</v>
      </c>
      <c r="C120" s="255">
        <f t="shared" si="17"/>
        <v>1413.1902480939689</v>
      </c>
      <c r="D120" s="255"/>
      <c r="E120" s="269">
        <v>0.05</v>
      </c>
      <c r="F120" s="255">
        <f t="shared" si="18"/>
        <v>0</v>
      </c>
      <c r="G120" s="270">
        <f t="shared" si="19"/>
        <v>1413.1902480939689</v>
      </c>
      <c r="I120" s="242">
        <f t="shared" si="20"/>
        <v>29</v>
      </c>
      <c r="J120" s="255">
        <f t="shared" si="21"/>
        <v>285.94104308390024</v>
      </c>
      <c r="K120" s="255"/>
      <c r="L120" s="269">
        <v>0.05</v>
      </c>
      <c r="M120" s="255">
        <f t="shared" si="23"/>
        <v>0</v>
      </c>
      <c r="N120" s="270">
        <f t="shared" si="22"/>
        <v>285.94104308390024</v>
      </c>
    </row>
    <row r="121" spans="2:14">
      <c r="B121" s="242">
        <f t="shared" si="16"/>
        <v>30</v>
      </c>
      <c r="C121" s="255">
        <f t="shared" si="17"/>
        <v>1413.1902480939689</v>
      </c>
      <c r="D121" s="255"/>
      <c r="E121" s="269">
        <v>0.05</v>
      </c>
      <c r="F121" s="255">
        <f t="shared" si="18"/>
        <v>0</v>
      </c>
      <c r="G121" s="270">
        <f t="shared" si="19"/>
        <v>1413.1902480939689</v>
      </c>
      <c r="I121" s="242">
        <f t="shared" si="20"/>
        <v>30</v>
      </c>
      <c r="J121" s="255">
        <f t="shared" si="21"/>
        <v>285.94104308390024</v>
      </c>
      <c r="K121" s="255"/>
      <c r="L121" s="269">
        <v>0.05</v>
      </c>
      <c r="M121" s="255">
        <f t="shared" si="23"/>
        <v>0</v>
      </c>
      <c r="N121" s="270">
        <f t="shared" si="22"/>
        <v>285.94104308390024</v>
      </c>
    </row>
    <row r="122" spans="2:14">
      <c r="B122" s="201"/>
      <c r="C122" s="198"/>
      <c r="D122" s="198"/>
      <c r="E122" s="198"/>
      <c r="F122" s="198"/>
      <c r="G122" s="199"/>
      <c r="I122" s="201"/>
      <c r="J122" s="198"/>
      <c r="K122" s="198"/>
      <c r="L122" s="198"/>
      <c r="M122" s="198"/>
      <c r="N122" s="199"/>
    </row>
    <row r="123" spans="2:14" ht="15.75" thickBot="1">
      <c r="B123" s="201"/>
      <c r="C123" s="198"/>
      <c r="D123" s="198"/>
      <c r="E123" s="198"/>
      <c r="F123" s="198"/>
      <c r="G123" s="199"/>
      <c r="I123" s="201"/>
      <c r="J123" s="198"/>
      <c r="K123" s="198"/>
      <c r="L123" s="198"/>
      <c r="M123" s="198"/>
      <c r="N123" s="199"/>
    </row>
    <row r="124" spans="2:14" ht="15.75" thickBot="1">
      <c r="B124" s="299" t="s">
        <v>508</v>
      </c>
      <c r="C124" s="300"/>
      <c r="D124" s="259">
        <f>SUM(D91:D123)</f>
        <v>1900</v>
      </c>
      <c r="E124" s="257"/>
      <c r="F124" s="257"/>
      <c r="G124" s="271">
        <f>G121</f>
        <v>1413.1902480939689</v>
      </c>
      <c r="I124" s="299" t="s">
        <v>508</v>
      </c>
      <c r="J124" s="300"/>
      <c r="K124" s="259">
        <f>SUM(K91:K123)</f>
        <v>300</v>
      </c>
      <c r="L124" s="257"/>
      <c r="M124" s="257"/>
      <c r="N124" s="271">
        <f>N121</f>
        <v>285.94104308390024</v>
      </c>
    </row>
    <row r="125" spans="2:14" ht="15.75" thickBot="1">
      <c r="B125" s="206"/>
      <c r="C125" s="207"/>
      <c r="D125" s="207"/>
      <c r="E125" s="207"/>
      <c r="F125" s="207"/>
      <c r="G125" s="208"/>
      <c r="I125" s="206"/>
      <c r="J125" s="207"/>
      <c r="K125" s="207"/>
      <c r="L125" s="207"/>
      <c r="M125" s="207"/>
      <c r="N125" s="208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C20" sqref="C20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7" width="8.42578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42578125" style="89" bestFit="1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199</v>
      </c>
      <c r="C1" s="107">
        <f>S2</f>
        <v>0.15</v>
      </c>
      <c r="I1" s="89" t="s">
        <v>210</v>
      </c>
      <c r="K1" s="108">
        <v>2004</v>
      </c>
      <c r="M1" s="89" t="s">
        <v>272</v>
      </c>
      <c r="O1" s="141">
        <v>0.02</v>
      </c>
      <c r="Q1" s="89" t="s">
        <v>343</v>
      </c>
      <c r="S1" s="141">
        <v>0.02</v>
      </c>
    </row>
    <row r="2" spans="2:36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1">
        <v>0.2</v>
      </c>
      <c r="Q2" s="89" t="s">
        <v>409</v>
      </c>
      <c r="S2" s="141">
        <v>0.15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5" t="s">
        <v>241</v>
      </c>
      <c r="AJ2" s="306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98">
        <v>2026</v>
      </c>
      <c r="AG3" s="98">
        <v>2027</v>
      </c>
      <c r="AH3" s="114" t="s">
        <v>1</v>
      </c>
      <c r="AI3" s="307" t="s">
        <v>242</v>
      </c>
      <c r="AJ3" s="308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>
      <c r="B6" s="10" t="s">
        <v>10</v>
      </c>
      <c r="C6" s="119"/>
      <c r="D6" s="119"/>
      <c r="E6" s="125"/>
      <c r="F6" s="125"/>
      <c r="G6" s="125">
        <f>I6</f>
        <v>174</v>
      </c>
      <c r="H6" s="125"/>
      <c r="I6" s="125">
        <v>174</v>
      </c>
      <c r="J6" s="125">
        <v>577</v>
      </c>
      <c r="K6" s="125">
        <v>1809</v>
      </c>
      <c r="L6" s="125">
        <v>2076</v>
      </c>
      <c r="M6" s="125">
        <v>2218</v>
      </c>
      <c r="N6" s="125">
        <v>0</v>
      </c>
      <c r="O6" s="125">
        <v>2559</v>
      </c>
      <c r="P6" s="125">
        <v>2683</v>
      </c>
      <c r="Q6" s="125">
        <v>2656</v>
      </c>
      <c r="R6" s="125">
        <v>3077</v>
      </c>
      <c r="S6" s="182">
        <v>3591</v>
      </c>
      <c r="T6" s="182">
        <v>4242</v>
      </c>
      <c r="U6" s="182">
        <v>6579</v>
      </c>
      <c r="V6" s="101">
        <f>((T6/G6)^(1/($K$2-$K$1) ))-1</f>
        <v>0.2562409852143448</v>
      </c>
      <c r="W6" s="21">
        <f>$O$2</f>
        <v>0.2</v>
      </c>
      <c r="X6" s="131">
        <f>U6*(1+$W6)</f>
        <v>7894.7999999999993</v>
      </c>
      <c r="Y6" s="131">
        <f>X6*(1+$W6)</f>
        <v>9473.7599999999984</v>
      </c>
      <c r="Z6" s="131">
        <f t="shared" ref="Z6:AG6" si="0">Y6*(1+$W6)</f>
        <v>11368.511999999997</v>
      </c>
      <c r="AA6" s="131">
        <f t="shared" si="0"/>
        <v>13642.214399999995</v>
      </c>
      <c r="AB6" s="131">
        <f t="shared" si="0"/>
        <v>16370.657279999994</v>
      </c>
      <c r="AC6" s="131">
        <f t="shared" si="0"/>
        <v>19644.788735999991</v>
      </c>
      <c r="AD6" s="131">
        <f t="shared" si="0"/>
        <v>23573.74648319999</v>
      </c>
      <c r="AE6" s="131">
        <f t="shared" si="0"/>
        <v>28288.495779839988</v>
      </c>
      <c r="AF6" s="131">
        <f t="shared" si="0"/>
        <v>33946.194935807987</v>
      </c>
      <c r="AG6" s="131">
        <f t="shared" si="0"/>
        <v>40735.433922969583</v>
      </c>
      <c r="AH6" s="116">
        <f>((AG6/J6)^(1/($AG$3-$K$1) ))-1</f>
        <v>0.20332366558047754</v>
      </c>
      <c r="AI6" s="21">
        <f>$O$1</f>
        <v>0.02</v>
      </c>
      <c r="AJ6" s="124">
        <f t="shared" ref="AJ6:AJ59" si="1">(AG6*(1+AI6))/($C$1-AI6)</f>
        <v>319616.48154945363</v>
      </c>
    </row>
    <row r="7" spans="2:36">
      <c r="B7" s="10" t="s">
        <v>198</v>
      </c>
      <c r="C7" s="119"/>
      <c r="D7" s="119"/>
      <c r="E7" s="125"/>
      <c r="F7" s="125"/>
      <c r="G7" s="125">
        <f t="shared" ref="G7:G18" si="2">I7</f>
        <v>178</v>
      </c>
      <c r="H7" s="125"/>
      <c r="I7" s="125">
        <v>178</v>
      </c>
      <c r="J7" s="125">
        <v>582</v>
      </c>
      <c r="K7" s="125">
        <v>1847</v>
      </c>
      <c r="L7" s="125">
        <v>2115</v>
      </c>
      <c r="M7" s="125">
        <v>2257</v>
      </c>
      <c r="N7" s="125">
        <v>0</v>
      </c>
      <c r="O7" s="125">
        <v>2636</v>
      </c>
      <c r="P7" s="125">
        <v>2761</v>
      </c>
      <c r="Q7" s="125">
        <v>2729</v>
      </c>
      <c r="R7" s="125">
        <v>3160</v>
      </c>
      <c r="S7" s="182">
        <v>3674</v>
      </c>
      <c r="T7" s="182">
        <v>4329</v>
      </c>
      <c r="U7" s="182">
        <v>6673</v>
      </c>
      <c r="V7" s="101">
        <f t="shared" ref="V7:V59" si="3">((T7/G7)^(1/($K$2-$K$1) ))-1</f>
        <v>0.25602326712259815</v>
      </c>
      <c r="W7" s="21">
        <f>$O$2</f>
        <v>0.2</v>
      </c>
      <c r="X7" s="131">
        <f>U7*(1+$W7)</f>
        <v>8007.5999999999995</v>
      </c>
      <c r="Y7" s="131">
        <f t="shared" ref="Y7:AG7" si="4">X7*(1+$W7)</f>
        <v>9609.119999999999</v>
      </c>
      <c r="Z7" s="131">
        <f t="shared" si="4"/>
        <v>11530.943999999998</v>
      </c>
      <c r="AA7" s="131">
        <f t="shared" si="4"/>
        <v>13837.132799999998</v>
      </c>
      <c r="AB7" s="131">
        <f t="shared" si="4"/>
        <v>16604.559359999996</v>
      </c>
      <c r="AC7" s="131">
        <f t="shared" si="4"/>
        <v>19925.471231999993</v>
      </c>
      <c r="AD7" s="131">
        <f t="shared" si="4"/>
        <v>23910.565478399989</v>
      </c>
      <c r="AE7" s="131">
        <f t="shared" si="4"/>
        <v>28692.678574079986</v>
      </c>
      <c r="AF7" s="131">
        <f t="shared" si="4"/>
        <v>34431.214288895979</v>
      </c>
      <c r="AG7" s="131">
        <f t="shared" si="4"/>
        <v>41317.457146675173</v>
      </c>
      <c r="AH7" s="116">
        <f>((AG7/J7)^(1/($AG$3-$K$1) ))-1</f>
        <v>0.20361451761327576</v>
      </c>
      <c r="AI7" s="21">
        <f>$O$1</f>
        <v>0.02</v>
      </c>
      <c r="AJ7" s="124">
        <f t="shared" si="1"/>
        <v>324183.12530468212</v>
      </c>
    </row>
    <row r="8" spans="2:36">
      <c r="B8" s="10"/>
      <c r="C8" s="119"/>
      <c r="D8" s="119"/>
      <c r="E8" s="125"/>
      <c r="F8" s="272"/>
      <c r="G8" s="128">
        <f>(G7-F7)/G7</f>
        <v>1</v>
      </c>
      <c r="H8" s="128" t="e">
        <f>(H7-G7)/H7</f>
        <v>#DIV/0!</v>
      </c>
      <c r="I8" s="128">
        <f t="shared" ref="I8:P8" si="5">(I7-H7)/I7</f>
        <v>1</v>
      </c>
      <c r="J8" s="128">
        <f t="shared" si="5"/>
        <v>0.69415807560137455</v>
      </c>
      <c r="K8" s="128">
        <f t="shared" si="5"/>
        <v>0.68489442338927986</v>
      </c>
      <c r="L8" s="128">
        <f t="shared" si="5"/>
        <v>0.12671394799054372</v>
      </c>
      <c r="M8" s="128">
        <f t="shared" si="5"/>
        <v>6.2915374390784221E-2</v>
      </c>
      <c r="N8" s="128" t="e">
        <f t="shared" si="5"/>
        <v>#DIV/0!</v>
      </c>
      <c r="O8" s="128">
        <f t="shared" si="5"/>
        <v>1</v>
      </c>
      <c r="P8" s="128">
        <f t="shared" si="5"/>
        <v>4.5273451647953641E-2</v>
      </c>
      <c r="Q8" s="128">
        <f t="shared" ref="Q8:R8" si="6">(Q7-P7)/Q7</f>
        <v>-1.1725906925613778E-2</v>
      </c>
      <c r="R8" s="128">
        <f t="shared" si="6"/>
        <v>0.13639240506329114</v>
      </c>
      <c r="S8" s="128">
        <f t="shared" ref="S8:U8" si="7">(S7-R7)/R7</f>
        <v>0.16265822784810127</v>
      </c>
      <c r="T8" s="128">
        <f t="shared" si="7"/>
        <v>0.17827980402830701</v>
      </c>
      <c r="U8" s="128">
        <f t="shared" si="7"/>
        <v>0.54146454146454148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>
      <c r="B9" s="10" t="s">
        <v>221</v>
      </c>
      <c r="C9" s="119"/>
      <c r="D9" s="119"/>
      <c r="E9" s="125"/>
      <c r="F9" s="125"/>
      <c r="G9" s="125">
        <f t="shared" si="2"/>
        <v>117</v>
      </c>
      <c r="H9" s="125"/>
      <c r="I9" s="125">
        <v>117</v>
      </c>
      <c r="J9" s="125">
        <v>142</v>
      </c>
      <c r="K9" s="125">
        <v>1239</v>
      </c>
      <c r="L9" s="125">
        <v>417</v>
      </c>
      <c r="M9" s="125">
        <v>572</v>
      </c>
      <c r="N9" s="125">
        <v>0</v>
      </c>
      <c r="O9" s="125">
        <v>1428</v>
      </c>
      <c r="P9" s="125">
        <v>2455</v>
      </c>
      <c r="Q9" s="125">
        <v>2381</v>
      </c>
      <c r="R9" s="125">
        <v>4667</v>
      </c>
      <c r="S9" s="182">
        <v>7705</v>
      </c>
      <c r="T9" s="182">
        <v>9208</v>
      </c>
      <c r="U9" s="182">
        <v>11365</v>
      </c>
      <c r="V9" s="101">
        <f t="shared" si="3"/>
        <v>0.36592578523820363</v>
      </c>
      <c r="W9" s="21">
        <f t="shared" ref="W9:W55" si="8">$O$2</f>
        <v>0.2</v>
      </c>
      <c r="X9" s="131">
        <f>U9*(1+$W9)</f>
        <v>13638</v>
      </c>
      <c r="Y9" s="131">
        <f t="shared" ref="Y9" si="9">X9*(1+$W9)</f>
        <v>16365.599999999999</v>
      </c>
      <c r="Z9" s="131">
        <f t="shared" ref="Z9" si="10">Y9*(1+$W9)</f>
        <v>19638.719999999998</v>
      </c>
      <c r="AA9" s="131">
        <f t="shared" ref="AA9" si="11">Z9*(1+$W9)</f>
        <v>23566.463999999996</v>
      </c>
      <c r="AB9" s="131">
        <f t="shared" ref="AB9" si="12">AA9*(1+$W9)</f>
        <v>28279.756799999996</v>
      </c>
      <c r="AC9" s="131">
        <f t="shared" ref="AC9" si="13">AB9*(1+$W9)</f>
        <v>33935.708159999995</v>
      </c>
      <c r="AD9" s="131">
        <f t="shared" ref="AD9" si="14">AC9*(1+$W9)</f>
        <v>40722.849791999994</v>
      </c>
      <c r="AE9" s="131">
        <f t="shared" ref="AE9" si="15">AD9*(1+$W9)</f>
        <v>48867.419750399989</v>
      </c>
      <c r="AF9" s="131">
        <f t="shared" ref="AF9" si="16">AE9*(1+$W9)</f>
        <v>58640.903700479983</v>
      </c>
      <c r="AG9" s="131">
        <f t="shared" ref="AG9" si="17">AF9*(1+$W9)</f>
        <v>70369.084440575971</v>
      </c>
      <c r="AH9" s="116">
        <f>((AG9/J9)^(1/($AG$3-$K$1) ))-1</f>
        <v>0.30971855627429279</v>
      </c>
      <c r="AI9" s="21">
        <f t="shared" ref="AI9:AI99" si="18">$O$1</f>
        <v>0.02</v>
      </c>
      <c r="AJ9" s="124">
        <f t="shared" si="1"/>
        <v>552126.66253374994</v>
      </c>
    </row>
    <row r="10" spans="2:36">
      <c r="B10" s="10" t="s">
        <v>3</v>
      </c>
      <c r="C10" s="119"/>
      <c r="D10" s="119"/>
      <c r="E10" s="125"/>
      <c r="F10" s="125"/>
      <c r="G10" s="125">
        <f t="shared" si="2"/>
        <v>51</v>
      </c>
      <c r="H10" s="125"/>
      <c r="I10" s="125">
        <v>51</v>
      </c>
      <c r="J10" s="125">
        <v>387</v>
      </c>
      <c r="K10" s="125">
        <v>1569</v>
      </c>
      <c r="L10" s="125">
        <v>762</v>
      </c>
      <c r="M10" s="125">
        <v>2713</v>
      </c>
      <c r="N10" s="125">
        <v>0</v>
      </c>
      <c r="O10" s="125">
        <v>10125</v>
      </c>
      <c r="P10" s="125">
        <v>10953</v>
      </c>
      <c r="Q10" s="125">
        <v>12276</v>
      </c>
      <c r="R10" s="125">
        <v>21680</v>
      </c>
      <c r="S10" s="182">
        <v>23964</v>
      </c>
      <c r="T10" s="182">
        <v>28826</v>
      </c>
      <c r="U10" s="182">
        <v>42230</v>
      </c>
      <c r="V10" s="101">
        <f t="shared" si="3"/>
        <v>0.57248578799166738</v>
      </c>
      <c r="W10" s="21">
        <f t="shared" si="8"/>
        <v>0.2</v>
      </c>
      <c r="X10" s="131">
        <f>U10*(1+$W10)</f>
        <v>50676</v>
      </c>
      <c r="Y10" s="131">
        <f t="shared" ref="Y10:AG10" si="19">X10*(1+$W10)</f>
        <v>60811.199999999997</v>
      </c>
      <c r="Z10" s="131">
        <f t="shared" si="19"/>
        <v>72973.439999999988</v>
      </c>
      <c r="AA10" s="131">
        <f t="shared" si="19"/>
        <v>87568.127999999982</v>
      </c>
      <c r="AB10" s="131">
        <f t="shared" si="19"/>
        <v>105081.75359999998</v>
      </c>
      <c r="AC10" s="131">
        <f t="shared" si="19"/>
        <v>126098.10431999997</v>
      </c>
      <c r="AD10" s="131">
        <f t="shared" si="19"/>
        <v>151317.72518399995</v>
      </c>
      <c r="AE10" s="131">
        <f t="shared" si="19"/>
        <v>181581.27022079992</v>
      </c>
      <c r="AF10" s="131">
        <f t="shared" si="19"/>
        <v>217897.52426495991</v>
      </c>
      <c r="AG10" s="131">
        <f t="shared" si="19"/>
        <v>261477.02911795187</v>
      </c>
      <c r="AH10" s="116">
        <f t="shared" ref="AH10:AH57" si="20">((AG10/J10)^(1/($AG$3-$K$1) ))-1</f>
        <v>0.32749048346115806</v>
      </c>
      <c r="AI10" s="21">
        <f t="shared" si="18"/>
        <v>0.02</v>
      </c>
      <c r="AJ10" s="124">
        <f t="shared" si="1"/>
        <v>2051588.9976946996</v>
      </c>
    </row>
    <row r="11" spans="2:36">
      <c r="B11" s="10"/>
      <c r="C11" s="119"/>
      <c r="D11" s="119"/>
      <c r="E11" s="125"/>
      <c r="F11" s="272"/>
      <c r="G11" s="128">
        <f>(G10-F10)/G10</f>
        <v>1</v>
      </c>
      <c r="H11" s="272" t="e">
        <f t="shared" ref="H11:P11" si="21">(H10-G10)/H10</f>
        <v>#DIV/0!</v>
      </c>
      <c r="I11" s="272">
        <f t="shared" si="21"/>
        <v>1</v>
      </c>
      <c r="J11" s="272">
        <f t="shared" si="21"/>
        <v>0.86821705426356588</v>
      </c>
      <c r="K11" s="272">
        <f t="shared" si="21"/>
        <v>0.75334608030592731</v>
      </c>
      <c r="L11" s="272">
        <f t="shared" si="21"/>
        <v>-1.0590551181102361</v>
      </c>
      <c r="M11" s="272">
        <f t="shared" si="21"/>
        <v>0.71913011426465168</v>
      </c>
      <c r="N11" s="272" t="e">
        <f t="shared" si="21"/>
        <v>#DIV/0!</v>
      </c>
      <c r="O11" s="272">
        <f t="shared" si="21"/>
        <v>1</v>
      </c>
      <c r="P11" s="272">
        <f t="shared" si="21"/>
        <v>7.5595727198027943E-2</v>
      </c>
      <c r="Q11" s="272">
        <f t="shared" ref="Q11:R11" si="22">(Q10-P10)/Q10</f>
        <v>0.10777126099706745</v>
      </c>
      <c r="R11" s="272">
        <f t="shared" si="22"/>
        <v>0.43376383763837639</v>
      </c>
      <c r="S11" s="128">
        <f t="shared" ref="S11:U11" si="23">(S10-R10)/R10</f>
        <v>0.10535055350553506</v>
      </c>
      <c r="T11" s="128">
        <f t="shared" si="23"/>
        <v>0.20288766483057921</v>
      </c>
      <c r="U11" s="128">
        <f t="shared" si="23"/>
        <v>0.46499687781863597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8"/>
        <v>0.02</v>
      </c>
      <c r="AJ11" s="131"/>
    </row>
    <row r="12" spans="2:36">
      <c r="B12" s="10" t="s">
        <v>2</v>
      </c>
      <c r="C12" s="119"/>
      <c r="D12" s="119"/>
      <c r="E12" s="125"/>
      <c r="F12" s="125"/>
      <c r="G12" s="125">
        <f t="shared" si="2"/>
        <v>27</v>
      </c>
      <c r="H12" s="125"/>
      <c r="I12" s="125">
        <v>27</v>
      </c>
      <c r="J12" s="125">
        <v>23</v>
      </c>
      <c r="K12" s="125">
        <v>343</v>
      </c>
      <c r="L12" s="125">
        <v>360</v>
      </c>
      <c r="M12" s="125">
        <v>131</v>
      </c>
      <c r="N12" s="125">
        <v>0</v>
      </c>
      <c r="O12" s="125">
        <v>3274</v>
      </c>
      <c r="P12" s="125">
        <v>3708</v>
      </c>
      <c r="Q12" s="125">
        <v>1963</v>
      </c>
      <c r="R12" s="125">
        <v>23365</v>
      </c>
      <c r="S12" s="182">
        <v>1934</v>
      </c>
      <c r="T12" s="182">
        <v>2618</v>
      </c>
      <c r="U12" s="182">
        <v>3925</v>
      </c>
      <c r="V12" s="101">
        <f t="shared" si="3"/>
        <v>0.38643789366166303</v>
      </c>
      <c r="W12" s="21">
        <f t="shared" si="8"/>
        <v>0.2</v>
      </c>
      <c r="X12" s="131">
        <f>U12*(1+$W12)</f>
        <v>4710</v>
      </c>
      <c r="Y12" s="131">
        <f t="shared" ref="Y12:AG12" si="24">X12*(1+$W12)</f>
        <v>5652</v>
      </c>
      <c r="Z12" s="131">
        <f t="shared" si="24"/>
        <v>6782.4</v>
      </c>
      <c r="AA12" s="131">
        <f t="shared" si="24"/>
        <v>8138.8799999999992</v>
      </c>
      <c r="AB12" s="131">
        <f t="shared" si="24"/>
        <v>9766.655999999999</v>
      </c>
      <c r="AC12" s="131">
        <f t="shared" si="24"/>
        <v>11719.987199999998</v>
      </c>
      <c r="AD12" s="131">
        <f t="shared" si="24"/>
        <v>14063.984639999997</v>
      </c>
      <c r="AE12" s="131">
        <f t="shared" si="24"/>
        <v>16876.781567999995</v>
      </c>
      <c r="AF12" s="131">
        <f t="shared" si="24"/>
        <v>20252.137881599992</v>
      </c>
      <c r="AG12" s="131">
        <f t="shared" si="24"/>
        <v>24302.565457919991</v>
      </c>
      <c r="AH12" s="116">
        <f t="shared" si="20"/>
        <v>0.35355207488787177</v>
      </c>
      <c r="AI12" s="21">
        <f t="shared" si="18"/>
        <v>0.02</v>
      </c>
      <c r="AJ12" s="124">
        <f t="shared" si="1"/>
        <v>190681.66743906453</v>
      </c>
    </row>
    <row r="13" spans="2:36">
      <c r="B13" s="10" t="s">
        <v>191</v>
      </c>
      <c r="C13" s="119"/>
      <c r="D13" s="119"/>
      <c r="E13" s="125"/>
      <c r="F13" s="125"/>
      <c r="G13" s="125">
        <f t="shared" si="2"/>
        <v>32</v>
      </c>
      <c r="H13" s="125"/>
      <c r="I13" s="125">
        <v>32</v>
      </c>
      <c r="J13" s="125">
        <v>81</v>
      </c>
      <c r="K13" s="125">
        <v>760</v>
      </c>
      <c r="L13" s="125">
        <v>269</v>
      </c>
      <c r="M13" s="125">
        <v>156</v>
      </c>
      <c r="N13" s="125">
        <v>0</v>
      </c>
      <c r="O13" s="125">
        <v>1401</v>
      </c>
      <c r="P13" s="125">
        <v>1211</v>
      </c>
      <c r="Q13" s="125">
        <v>2126</v>
      </c>
      <c r="R13" s="125">
        <v>2792</v>
      </c>
      <c r="S13" s="182">
        <v>2696</v>
      </c>
      <c r="T13" s="182">
        <v>6877</v>
      </c>
      <c r="U13" s="182">
        <v>9075</v>
      </c>
      <c r="V13" s="101">
        <f t="shared" si="3"/>
        <v>0.46753753372523588</v>
      </c>
      <c r="W13" s="21">
        <f t="shared" si="8"/>
        <v>0.2</v>
      </c>
      <c r="X13" s="131">
        <f>U13*(1+$W13)</f>
        <v>10890</v>
      </c>
      <c r="Y13" s="131">
        <f t="shared" ref="Y13:AG13" si="25">X13*(1+$W13)</f>
        <v>13068</v>
      </c>
      <c r="Z13" s="131">
        <f t="shared" si="25"/>
        <v>15681.599999999999</v>
      </c>
      <c r="AA13" s="131">
        <f t="shared" si="25"/>
        <v>18817.919999999998</v>
      </c>
      <c r="AB13" s="131">
        <f t="shared" si="25"/>
        <v>22581.503999999997</v>
      </c>
      <c r="AC13" s="131">
        <f t="shared" si="25"/>
        <v>27097.804799999994</v>
      </c>
      <c r="AD13" s="131">
        <f t="shared" si="25"/>
        <v>32517.365759999993</v>
      </c>
      <c r="AE13" s="131">
        <f t="shared" si="25"/>
        <v>39020.838911999992</v>
      </c>
      <c r="AF13" s="131">
        <f t="shared" si="25"/>
        <v>46825.006694399992</v>
      </c>
      <c r="AG13" s="131">
        <f t="shared" si="25"/>
        <v>56190.008033279992</v>
      </c>
      <c r="AH13" s="116">
        <f t="shared" si="20"/>
        <v>0.32901324029112833</v>
      </c>
      <c r="AI13" s="21">
        <f t="shared" si="18"/>
        <v>0.02</v>
      </c>
      <c r="AJ13" s="124">
        <f t="shared" si="1"/>
        <v>440875.44764573534</v>
      </c>
    </row>
    <row r="14" spans="2:36">
      <c r="B14" s="10" t="s">
        <v>318</v>
      </c>
      <c r="C14" s="119"/>
      <c r="D14" s="119"/>
      <c r="E14" s="125"/>
      <c r="F14" s="125"/>
      <c r="G14" s="125">
        <f t="shared" si="2"/>
        <v>140</v>
      </c>
      <c r="H14" s="125"/>
      <c r="I14" s="125">
        <v>140</v>
      </c>
      <c r="J14" s="125">
        <v>575</v>
      </c>
      <c r="K14" s="125">
        <v>967</v>
      </c>
      <c r="L14" s="125">
        <v>464</v>
      </c>
      <c r="M14" s="125">
        <v>1150</v>
      </c>
      <c r="N14" s="125">
        <v>0</v>
      </c>
      <c r="O14" s="125">
        <v>3383</v>
      </c>
      <c r="P14" s="125">
        <v>3152</v>
      </c>
      <c r="Q14" s="125">
        <v>3790</v>
      </c>
      <c r="R14" s="125">
        <v>8708</v>
      </c>
      <c r="S14" s="182">
        <v>11511</v>
      </c>
      <c r="T14" s="182">
        <v>10652</v>
      </c>
      <c r="U14" s="182">
        <v>16191</v>
      </c>
      <c r="V14" s="101">
        <f t="shared" si="3"/>
        <v>0.3626326612633286</v>
      </c>
      <c r="W14" s="21">
        <f t="shared" si="8"/>
        <v>0.2</v>
      </c>
      <c r="X14" s="131">
        <f>U14*(1+$W14)</f>
        <v>19429.2</v>
      </c>
      <c r="Y14" s="131">
        <f t="shared" ref="Y14" si="26">X14*(1+$W14)</f>
        <v>23315.040000000001</v>
      </c>
      <c r="Z14" s="131">
        <f t="shared" ref="Z14" si="27">Y14*(1+$W14)</f>
        <v>27978.047999999999</v>
      </c>
      <c r="AA14" s="131">
        <f t="shared" ref="AA14" si="28">Z14*(1+$W14)</f>
        <v>33573.657599999999</v>
      </c>
      <c r="AB14" s="131">
        <f t="shared" ref="AB14" si="29">AA14*(1+$W14)</f>
        <v>40288.38912</v>
      </c>
      <c r="AC14" s="131">
        <f t="shared" ref="AC14" si="30">AB14*(1+$W14)</f>
        <v>48346.066943999998</v>
      </c>
      <c r="AD14" s="131">
        <f t="shared" ref="AD14" si="31">AC14*(1+$W14)</f>
        <v>58015.280332799994</v>
      </c>
      <c r="AE14" s="131">
        <f t="shared" ref="AE14" si="32">AD14*(1+$W14)</f>
        <v>69618.336399359992</v>
      </c>
      <c r="AF14" s="131">
        <f t="shared" ref="AF14" si="33">AE14*(1+$W14)</f>
        <v>83542.003679231988</v>
      </c>
      <c r="AG14" s="131">
        <f t="shared" ref="AG14" si="34">AF14*(1+$W14)</f>
        <v>100250.40441507839</v>
      </c>
      <c r="AH14" s="116">
        <f t="shared" ref="AH14" si="35">((AG14/J14)^(1/($AG$3-$K$1) ))-1</f>
        <v>0.25156373044936453</v>
      </c>
      <c r="AI14" s="21">
        <f t="shared" si="18"/>
        <v>0.02</v>
      </c>
      <c r="AJ14" s="124">
        <f t="shared" ref="AJ14" si="36">(AG14*(1+AI14))/($C$1-AI14)</f>
        <v>786580.09617984586</v>
      </c>
    </row>
    <row r="15" spans="2:36">
      <c r="B15" s="10" t="s">
        <v>11</v>
      </c>
      <c r="C15" s="119"/>
      <c r="D15" s="119"/>
      <c r="E15" s="125"/>
      <c r="F15" s="125"/>
      <c r="G15" s="125">
        <f t="shared" si="2"/>
        <v>203</v>
      </c>
      <c r="H15" s="125"/>
      <c r="I15" s="125">
        <v>203</v>
      </c>
      <c r="J15" s="125">
        <v>656</v>
      </c>
      <c r="K15" s="125">
        <v>1489</v>
      </c>
      <c r="L15" s="125">
        <v>868</v>
      </c>
      <c r="M15" s="125">
        <v>1366</v>
      </c>
      <c r="N15" s="125">
        <v>0</v>
      </c>
      <c r="O15" s="125">
        <v>6846</v>
      </c>
      <c r="P15" s="125">
        <v>7019</v>
      </c>
      <c r="Q15" s="125">
        <v>6175</v>
      </c>
      <c r="R15" s="125">
        <v>11508</v>
      </c>
      <c r="S15" s="182">
        <v>13964</v>
      </c>
      <c r="T15" s="182">
        <v>14368</v>
      </c>
      <c r="U15" s="182">
        <v>22743</v>
      </c>
      <c r="V15" s="101">
        <f t="shared" si="3"/>
        <v>0.35561302941100559</v>
      </c>
      <c r="W15" s="21">
        <f t="shared" si="8"/>
        <v>0.2</v>
      </c>
      <c r="X15" s="131">
        <f>U15*(1+$W15)</f>
        <v>27291.599999999999</v>
      </c>
      <c r="Y15" s="131">
        <f t="shared" ref="Y15:AG15" si="37">X15*(1+$W15)</f>
        <v>32749.919999999998</v>
      </c>
      <c r="Z15" s="131">
        <f t="shared" si="37"/>
        <v>39299.903999999995</v>
      </c>
      <c r="AA15" s="131">
        <f t="shared" si="37"/>
        <v>47159.884799999993</v>
      </c>
      <c r="AB15" s="131">
        <f t="shared" si="37"/>
        <v>56591.861759999993</v>
      </c>
      <c r="AC15" s="131">
        <f t="shared" si="37"/>
        <v>67910.234111999991</v>
      </c>
      <c r="AD15" s="131">
        <f t="shared" si="37"/>
        <v>81492.280934399983</v>
      </c>
      <c r="AE15" s="131">
        <f t="shared" si="37"/>
        <v>97790.737121279977</v>
      </c>
      <c r="AF15" s="131">
        <f t="shared" si="37"/>
        <v>117348.88454553597</v>
      </c>
      <c r="AG15" s="131">
        <f t="shared" si="37"/>
        <v>140818.66145464315</v>
      </c>
      <c r="AH15" s="116">
        <f t="shared" si="20"/>
        <v>0.26293416461466768</v>
      </c>
      <c r="AI15" s="21">
        <f t="shared" si="18"/>
        <v>0.02</v>
      </c>
      <c r="AJ15" s="124">
        <f t="shared" si="1"/>
        <v>1104884.8821825846</v>
      </c>
    </row>
    <row r="16" spans="2:36">
      <c r="B16" s="10" t="s">
        <v>12</v>
      </c>
      <c r="C16" s="119"/>
      <c r="D16" s="119"/>
      <c r="E16" s="125"/>
      <c r="F16" s="125"/>
      <c r="G16" s="125">
        <f t="shared" si="2"/>
        <v>190</v>
      </c>
      <c r="H16" s="125"/>
      <c r="I16" s="125">
        <v>190</v>
      </c>
      <c r="J16" s="125">
        <v>1010</v>
      </c>
      <c r="K16" s="125">
        <v>3093</v>
      </c>
      <c r="L16" s="125">
        <v>2953</v>
      </c>
      <c r="M16" s="125">
        <v>4969</v>
      </c>
      <c r="N16" s="125">
        <v>0</v>
      </c>
      <c r="O16" s="125">
        <v>10936</v>
      </c>
      <c r="P16" s="125">
        <v>12098</v>
      </c>
      <c r="Q16" s="125">
        <v>12710</v>
      </c>
      <c r="R16" s="125">
        <v>21754</v>
      </c>
      <c r="S16" s="182">
        <v>24945</v>
      </c>
      <c r="T16" s="182">
        <v>26499</v>
      </c>
      <c r="U16" s="182">
        <v>40164</v>
      </c>
      <c r="V16" s="101">
        <f t="shared" si="3"/>
        <v>0.42290809096573168</v>
      </c>
      <c r="W16" s="21">
        <f t="shared" si="8"/>
        <v>0.2</v>
      </c>
      <c r="X16" s="131">
        <f>U16*(1+$W16)</f>
        <v>48196.799999999996</v>
      </c>
      <c r="Y16" s="131">
        <f t="shared" ref="Y16:AG16" si="38">X16*(1+$W16)</f>
        <v>57836.159999999996</v>
      </c>
      <c r="Z16" s="131">
        <f t="shared" si="38"/>
        <v>69403.391999999993</v>
      </c>
      <c r="AA16" s="131">
        <f t="shared" si="38"/>
        <v>83284.070399999982</v>
      </c>
      <c r="AB16" s="131">
        <f t="shared" si="38"/>
        <v>99940.884479999979</v>
      </c>
      <c r="AC16" s="131">
        <f t="shared" si="38"/>
        <v>119929.06137599997</v>
      </c>
      <c r="AD16" s="131">
        <f t="shared" si="38"/>
        <v>143914.87365119995</v>
      </c>
      <c r="AE16" s="131">
        <f t="shared" si="38"/>
        <v>172697.84838143992</v>
      </c>
      <c r="AF16" s="131">
        <f t="shared" si="38"/>
        <v>207237.41805772789</v>
      </c>
      <c r="AG16" s="131">
        <f t="shared" si="38"/>
        <v>248684.90166927344</v>
      </c>
      <c r="AH16" s="116">
        <f t="shared" si="20"/>
        <v>0.27048863527408451</v>
      </c>
      <c r="AI16" s="21">
        <f t="shared" si="18"/>
        <v>0.02</v>
      </c>
      <c r="AJ16" s="124">
        <f t="shared" si="1"/>
        <v>1951219.9977127609</v>
      </c>
    </row>
    <row r="17" spans="2:36">
      <c r="B17" s="10"/>
      <c r="C17" s="119"/>
      <c r="D17" s="119"/>
      <c r="E17" s="125"/>
      <c r="F17" s="125"/>
      <c r="G17" s="125">
        <f t="shared" si="2"/>
        <v>0</v>
      </c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82"/>
      <c r="T17" s="182"/>
      <c r="U17" s="182"/>
      <c r="V17" s="10"/>
      <c r="W17" s="10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>
      <c r="B18" s="10" t="s">
        <v>229</v>
      </c>
      <c r="C18" s="119"/>
      <c r="D18" s="119"/>
      <c r="E18" s="125"/>
      <c r="F18" s="125"/>
      <c r="G18" s="125">
        <f t="shared" si="2"/>
        <v>6</v>
      </c>
      <c r="H18" s="125"/>
      <c r="I18" s="125">
        <v>6</v>
      </c>
      <c r="J18" s="125">
        <v>14</v>
      </c>
      <c r="K18" s="125">
        <v>35</v>
      </c>
      <c r="L18" s="125">
        <v>38</v>
      </c>
      <c r="M18" s="125">
        <v>35</v>
      </c>
      <c r="N18" s="125">
        <v>0</v>
      </c>
      <c r="O18" s="125">
        <v>560</v>
      </c>
      <c r="P18" s="125">
        <v>636</v>
      </c>
      <c r="Q18" s="125">
        <v>481</v>
      </c>
      <c r="R18" s="125">
        <v>559</v>
      </c>
      <c r="S18" s="182">
        <v>664</v>
      </c>
      <c r="T18" s="182">
        <v>636</v>
      </c>
      <c r="U18" s="182">
        <v>711</v>
      </c>
      <c r="V18" s="101">
        <f t="shared" si="3"/>
        <v>0.39529071643101066</v>
      </c>
      <c r="W18" s="21">
        <f t="shared" si="8"/>
        <v>0.2</v>
      </c>
      <c r="X18" s="131">
        <f>U18*(1+$W18)</f>
        <v>853.19999999999993</v>
      </c>
      <c r="Y18" s="131">
        <f t="shared" ref="Y18:Y34" si="39">X18*(1+$W18)</f>
        <v>1023.8399999999999</v>
      </c>
      <c r="Z18" s="131">
        <f t="shared" ref="Z18:Z34" si="40">Y18*(1+$W18)</f>
        <v>1228.6079999999999</v>
      </c>
      <c r="AA18" s="131">
        <f t="shared" ref="AA18:AA34" si="41">Z18*(1+$W18)</f>
        <v>1474.3295999999998</v>
      </c>
      <c r="AB18" s="131">
        <f t="shared" ref="AB18:AB51" si="42">AA18*(1+$W18)</f>
        <v>1769.1955199999998</v>
      </c>
      <c r="AC18" s="131">
        <f t="shared" ref="AC18:AC51" si="43">AB18*(1+$W18)</f>
        <v>2123.0346239999994</v>
      </c>
      <c r="AD18" s="131">
        <f t="shared" ref="AD18:AD51" si="44">AC18*(1+$W18)</f>
        <v>2547.6415487999993</v>
      </c>
      <c r="AE18" s="131">
        <f t="shared" ref="AE18:AE51" si="45">AD18*(1+$W18)</f>
        <v>3057.1698585599993</v>
      </c>
      <c r="AF18" s="131">
        <f t="shared" ref="AF18:AF51" si="46">AE18*(1+$W18)</f>
        <v>3668.603830271999</v>
      </c>
      <c r="AG18" s="131">
        <f t="shared" ref="AG18:AG51" si="47">AF18*(1+$W18)</f>
        <v>4402.3245963263989</v>
      </c>
      <c r="AH18" s="116">
        <f t="shared" si="20"/>
        <v>0.28407179139423966</v>
      </c>
      <c r="AI18" s="21">
        <f t="shared" si="18"/>
        <v>0.02</v>
      </c>
      <c r="AJ18" s="124">
        <f t="shared" si="1"/>
        <v>34541.316063484053</v>
      </c>
    </row>
    <row r="19" spans="2:36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82"/>
      <c r="T19" s="182"/>
      <c r="U19" s="182"/>
      <c r="V19" s="10"/>
      <c r="W19" s="10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>
      <c r="B20" s="10" t="s">
        <v>234</v>
      </c>
      <c r="C20" s="119"/>
      <c r="D20" s="119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82"/>
      <c r="T20" s="182"/>
      <c r="U20" s="182"/>
      <c r="V20" s="101" t="e">
        <f t="shared" si="3"/>
        <v>#DIV/0!</v>
      </c>
      <c r="W20" s="21">
        <f t="shared" si="8"/>
        <v>0.2</v>
      </c>
      <c r="X20" s="131">
        <f>U20*(1+$W20)</f>
        <v>0</v>
      </c>
      <c r="Y20" s="131">
        <f t="shared" ref="Y20:Y22" si="48">X20*(1+$W20)</f>
        <v>0</v>
      </c>
      <c r="Z20" s="131">
        <f t="shared" ref="Z20:Z22" si="49">Y20*(1+$W20)</f>
        <v>0</v>
      </c>
      <c r="AA20" s="131">
        <f t="shared" ref="AA20:AA22" si="50">Z20*(1+$W20)</f>
        <v>0</v>
      </c>
      <c r="AB20" s="131">
        <f t="shared" ref="AB20:AB22" si="51">AA20*(1+$W20)</f>
        <v>0</v>
      </c>
      <c r="AC20" s="131">
        <f t="shared" ref="AC20:AC22" si="52">AB20*(1+$W20)</f>
        <v>0</v>
      </c>
      <c r="AD20" s="131">
        <f t="shared" ref="AD20:AD22" si="53">AC20*(1+$W20)</f>
        <v>0</v>
      </c>
      <c r="AE20" s="131">
        <f t="shared" ref="AE20:AE22" si="54">AD20*(1+$W20)</f>
        <v>0</v>
      </c>
      <c r="AF20" s="131">
        <f t="shared" ref="AF20:AF22" si="55">AE20*(1+$W20)</f>
        <v>0</v>
      </c>
      <c r="AG20" s="131">
        <f t="shared" ref="AG20:AG22" si="56">AF20*(1+$W20)</f>
        <v>0</v>
      </c>
      <c r="AH20" s="116" t="e">
        <f t="shared" ref="AH20:AH22" si="57">((AG20/J20)^(1/($AG$3-$K$1) ))-1</f>
        <v>#DIV/0!</v>
      </c>
      <c r="AI20" s="21">
        <f t="shared" si="18"/>
        <v>0.02</v>
      </c>
      <c r="AJ20" s="124">
        <f t="shared" si="1"/>
        <v>0</v>
      </c>
    </row>
    <row r="21" spans="2:36">
      <c r="B21" s="10" t="s">
        <v>235</v>
      </c>
      <c r="C21" s="119"/>
      <c r="D21" s="119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82"/>
      <c r="T21" s="182"/>
      <c r="U21" s="182"/>
      <c r="V21" s="101" t="e">
        <f t="shared" si="3"/>
        <v>#DIV/0!</v>
      </c>
      <c r="W21" s="21">
        <f t="shared" si="8"/>
        <v>0.2</v>
      </c>
      <c r="X21" s="131">
        <f>U21*(1+$W21)</f>
        <v>0</v>
      </c>
      <c r="Y21" s="131">
        <f t="shared" si="48"/>
        <v>0</v>
      </c>
      <c r="Z21" s="131">
        <f t="shared" si="49"/>
        <v>0</v>
      </c>
      <c r="AA21" s="131">
        <f t="shared" si="50"/>
        <v>0</v>
      </c>
      <c r="AB21" s="131">
        <f t="shared" si="51"/>
        <v>0</v>
      </c>
      <c r="AC21" s="131">
        <f t="shared" si="52"/>
        <v>0</v>
      </c>
      <c r="AD21" s="131">
        <f t="shared" si="53"/>
        <v>0</v>
      </c>
      <c r="AE21" s="131">
        <f t="shared" si="54"/>
        <v>0</v>
      </c>
      <c r="AF21" s="131">
        <f t="shared" si="55"/>
        <v>0</v>
      </c>
      <c r="AG21" s="131">
        <f t="shared" si="56"/>
        <v>0</v>
      </c>
      <c r="AH21" s="116" t="e">
        <f t="shared" si="57"/>
        <v>#DIV/0!</v>
      </c>
      <c r="AI21" s="21">
        <f t="shared" si="18"/>
        <v>0.02</v>
      </c>
      <c r="AJ21" s="124">
        <f t="shared" si="1"/>
        <v>0</v>
      </c>
    </row>
    <row r="22" spans="2:36">
      <c r="B22" s="10" t="s">
        <v>236</v>
      </c>
      <c r="C22" s="119"/>
      <c r="D22" s="119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82"/>
      <c r="T22" s="182"/>
      <c r="U22" s="182"/>
      <c r="V22" s="101" t="e">
        <f t="shared" si="3"/>
        <v>#DIV/0!</v>
      </c>
      <c r="W22" s="21">
        <f t="shared" si="8"/>
        <v>0.2</v>
      </c>
      <c r="X22" s="131">
        <f>U22*(1+$W22)</f>
        <v>0</v>
      </c>
      <c r="Y22" s="131">
        <f t="shared" si="48"/>
        <v>0</v>
      </c>
      <c r="Z22" s="131">
        <f t="shared" si="49"/>
        <v>0</v>
      </c>
      <c r="AA22" s="131">
        <f t="shared" si="50"/>
        <v>0</v>
      </c>
      <c r="AB22" s="131">
        <f t="shared" si="51"/>
        <v>0</v>
      </c>
      <c r="AC22" s="131">
        <f t="shared" si="52"/>
        <v>0</v>
      </c>
      <c r="AD22" s="131">
        <f t="shared" si="53"/>
        <v>0</v>
      </c>
      <c r="AE22" s="131">
        <f t="shared" si="54"/>
        <v>0</v>
      </c>
      <c r="AF22" s="131">
        <f t="shared" si="55"/>
        <v>0</v>
      </c>
      <c r="AG22" s="131">
        <f t="shared" si="56"/>
        <v>0</v>
      </c>
      <c r="AH22" s="116" t="e">
        <f t="shared" si="57"/>
        <v>#DIV/0!</v>
      </c>
      <c r="AI22" s="21">
        <f t="shared" si="18"/>
        <v>0.02</v>
      </c>
      <c r="AJ22" s="124">
        <f t="shared" si="1"/>
        <v>0</v>
      </c>
    </row>
    <row r="23" spans="2:36">
      <c r="B23" s="10" t="s">
        <v>245</v>
      </c>
      <c r="C23" s="119"/>
      <c r="D23" s="119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82"/>
      <c r="T23" s="182"/>
      <c r="U23" s="182"/>
      <c r="V23" s="101" t="e">
        <f t="shared" si="3"/>
        <v>#DIV/0!</v>
      </c>
      <c r="W23" s="21">
        <f t="shared" si="8"/>
        <v>0.2</v>
      </c>
      <c r="X23" s="131">
        <f>U23*(1+$W23)</f>
        <v>0</v>
      </c>
      <c r="Y23" s="131">
        <f t="shared" ref="Y23" si="58">X23*(1+$W23)</f>
        <v>0</v>
      </c>
      <c r="Z23" s="131">
        <f t="shared" ref="Z23" si="59">Y23*(1+$W23)</f>
        <v>0</v>
      </c>
      <c r="AA23" s="131">
        <f t="shared" ref="AA23" si="60">Z23*(1+$W23)</f>
        <v>0</v>
      </c>
      <c r="AB23" s="131">
        <f t="shared" ref="AB23" si="61">AA23*(1+$W23)</f>
        <v>0</v>
      </c>
      <c r="AC23" s="131">
        <f t="shared" ref="AC23" si="62">AB23*(1+$W23)</f>
        <v>0</v>
      </c>
      <c r="AD23" s="131">
        <f t="shared" ref="AD23" si="63">AC23*(1+$W23)</f>
        <v>0</v>
      </c>
      <c r="AE23" s="131">
        <f t="shared" ref="AE23" si="64">AD23*(1+$W23)</f>
        <v>0</v>
      </c>
      <c r="AF23" s="131">
        <f t="shared" ref="AF23" si="65">AE23*(1+$W23)</f>
        <v>0</v>
      </c>
      <c r="AG23" s="131">
        <f t="shared" ref="AG23" si="66">AF23*(1+$W23)</f>
        <v>0</v>
      </c>
      <c r="AH23" s="116" t="e">
        <f t="shared" ref="AH23" si="67">((AG23/J23)^(1/($AG$3-$K$1) ))-1</f>
        <v>#DIV/0!</v>
      </c>
      <c r="AI23" s="21">
        <f t="shared" si="18"/>
        <v>0.02</v>
      </c>
      <c r="AJ23" s="124">
        <f t="shared" si="1"/>
        <v>0</v>
      </c>
    </row>
    <row r="24" spans="2:36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82"/>
      <c r="T24" s="182"/>
      <c r="U24" s="182"/>
      <c r="V24" s="10"/>
      <c r="W24" s="10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>
      <c r="B25" s="10" t="s">
        <v>68</v>
      </c>
      <c r="C25" s="119"/>
      <c r="D25" s="119"/>
      <c r="E25" s="125"/>
      <c r="F25" s="125"/>
      <c r="G25" s="125">
        <f t="shared" ref="G25" si="68">I25</f>
        <v>151</v>
      </c>
      <c r="H25" s="125"/>
      <c r="I25" s="125">
        <v>151</v>
      </c>
      <c r="J25" s="125">
        <v>370</v>
      </c>
      <c r="K25" s="125">
        <v>1085</v>
      </c>
      <c r="L25" s="125">
        <v>898</v>
      </c>
      <c r="M25" s="125">
        <v>956</v>
      </c>
      <c r="N25" s="125">
        <v>0</v>
      </c>
      <c r="O25" s="125">
        <v>1670</v>
      </c>
      <c r="P25" s="125">
        <v>2184</v>
      </c>
      <c r="Q25" s="125">
        <v>2555</v>
      </c>
      <c r="R25" s="125">
        <v>3893</v>
      </c>
      <c r="S25" s="182">
        <v>5268</v>
      </c>
      <c r="T25" s="182">
        <v>6618</v>
      </c>
      <c r="U25" s="182">
        <v>8618</v>
      </c>
      <c r="V25" s="101">
        <f t="shared" si="3"/>
        <v>0.30998958841250079</v>
      </c>
      <c r="W25" s="21">
        <f t="shared" si="8"/>
        <v>0.2</v>
      </c>
      <c r="X25" s="131">
        <f>U25*(1+$W25)</f>
        <v>10341.6</v>
      </c>
      <c r="Y25" s="131">
        <f t="shared" si="39"/>
        <v>12409.92</v>
      </c>
      <c r="Z25" s="131">
        <f t="shared" si="40"/>
        <v>14891.903999999999</v>
      </c>
      <c r="AA25" s="131">
        <f t="shared" si="41"/>
        <v>17870.284799999998</v>
      </c>
      <c r="AB25" s="131">
        <f t="shared" si="42"/>
        <v>21444.341759999996</v>
      </c>
      <c r="AC25" s="131">
        <f t="shared" si="43"/>
        <v>25733.210111999993</v>
      </c>
      <c r="AD25" s="131">
        <f t="shared" si="44"/>
        <v>30879.852134399989</v>
      </c>
      <c r="AE25" s="131">
        <f t="shared" si="45"/>
        <v>37055.822561279987</v>
      </c>
      <c r="AF25" s="131">
        <f t="shared" si="46"/>
        <v>44466.98707353598</v>
      </c>
      <c r="AG25" s="131">
        <f t="shared" si="47"/>
        <v>53360.384488243173</v>
      </c>
      <c r="AH25" s="116">
        <f t="shared" si="20"/>
        <v>0.24128158987989989</v>
      </c>
      <c r="AI25" s="21">
        <f t="shared" si="18"/>
        <v>0.02</v>
      </c>
      <c r="AJ25" s="124">
        <f t="shared" si="1"/>
        <v>418673.7859846772</v>
      </c>
    </row>
    <row r="26" spans="2:36" s="106" customFormat="1">
      <c r="B26" s="13"/>
      <c r="C26" s="126"/>
      <c r="D26" s="126"/>
      <c r="E26" s="127"/>
      <c r="F26" s="272"/>
      <c r="G26" s="272">
        <f>(G25-F25)/G25</f>
        <v>1</v>
      </c>
      <c r="H26" s="272" t="e">
        <f>(H25-G25)/H25</f>
        <v>#DIV/0!</v>
      </c>
      <c r="I26" s="272">
        <f t="shared" ref="I26:P26" si="69">(I25-H25)/I25</f>
        <v>1</v>
      </c>
      <c r="J26" s="272">
        <f t="shared" si="69"/>
        <v>0.59189189189189184</v>
      </c>
      <c r="K26" s="272">
        <f t="shared" si="69"/>
        <v>0.65898617511520741</v>
      </c>
      <c r="L26" s="272">
        <f t="shared" si="69"/>
        <v>-0.20824053452115812</v>
      </c>
      <c r="M26" s="272">
        <f t="shared" si="69"/>
        <v>6.0669456066945605E-2</v>
      </c>
      <c r="N26" s="272" t="e">
        <f t="shared" si="69"/>
        <v>#DIV/0!</v>
      </c>
      <c r="O26" s="272">
        <f t="shared" si="69"/>
        <v>1</v>
      </c>
      <c r="P26" s="272">
        <f t="shared" si="69"/>
        <v>0.23534798534798534</v>
      </c>
      <c r="Q26" s="272">
        <f t="shared" ref="Q26:R26" si="70">(Q25-P25)/Q25</f>
        <v>0.14520547945205478</v>
      </c>
      <c r="R26" s="272">
        <f t="shared" si="70"/>
        <v>0.34369380940148986</v>
      </c>
      <c r="S26" s="128">
        <f t="shared" ref="S26:U26" si="71">(S25-R25)/R25</f>
        <v>0.35319804777806318</v>
      </c>
      <c r="T26" s="128">
        <f t="shared" si="71"/>
        <v>0.25626423690205014</v>
      </c>
      <c r="U26" s="128">
        <f t="shared" si="71"/>
        <v>0.30220610456331221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>
      <c r="B27" s="10" t="s">
        <v>219</v>
      </c>
      <c r="C27" s="119"/>
      <c r="D27" s="119"/>
      <c r="E27" s="125"/>
      <c r="F27" s="125"/>
      <c r="G27" s="125">
        <f t="shared" ref="G27" si="72">I27</f>
        <v>73</v>
      </c>
      <c r="H27" s="125"/>
      <c r="I27" s="125">
        <v>73</v>
      </c>
      <c r="J27" s="125">
        <v>174</v>
      </c>
      <c r="K27" s="125">
        <v>429</v>
      </c>
      <c r="L27" s="125">
        <v>416</v>
      </c>
      <c r="M27" s="125">
        <v>399</v>
      </c>
      <c r="N27" s="125">
        <v>0</v>
      </c>
      <c r="O27" s="125">
        <v>600</v>
      </c>
      <c r="P27" s="125">
        <v>759</v>
      </c>
      <c r="Q27" s="125">
        <v>940</v>
      </c>
      <c r="R27" s="125">
        <v>1480</v>
      </c>
      <c r="S27" s="182">
        <v>1986</v>
      </c>
      <c r="T27" s="182">
        <v>2759</v>
      </c>
      <c r="U27" s="182">
        <v>3559.17</v>
      </c>
      <c r="V27" s="101">
        <f t="shared" si="3"/>
        <v>0.29620439180229741</v>
      </c>
      <c r="W27" s="21">
        <f t="shared" si="8"/>
        <v>0.2</v>
      </c>
      <c r="X27" s="131">
        <f>U27*(1+$W27)</f>
        <v>4271.0039999999999</v>
      </c>
      <c r="Y27" s="131">
        <f t="shared" si="39"/>
        <v>5125.2047999999995</v>
      </c>
      <c r="Z27" s="131">
        <f t="shared" si="40"/>
        <v>6150.2457599999989</v>
      </c>
      <c r="AA27" s="131">
        <f t="shared" si="41"/>
        <v>7380.2949119999985</v>
      </c>
      <c r="AB27" s="131">
        <f t="shared" si="42"/>
        <v>8856.3538943999974</v>
      </c>
      <c r="AC27" s="131">
        <f t="shared" si="43"/>
        <v>10627.624673279997</v>
      </c>
      <c r="AD27" s="131">
        <f t="shared" si="44"/>
        <v>12753.149607935997</v>
      </c>
      <c r="AE27" s="131">
        <f t="shared" si="45"/>
        <v>15303.779529523195</v>
      </c>
      <c r="AF27" s="131">
        <f t="shared" si="46"/>
        <v>18364.535435427835</v>
      </c>
      <c r="AG27" s="131">
        <f t="shared" si="47"/>
        <v>22037.4425225134</v>
      </c>
      <c r="AH27" s="116">
        <f t="shared" si="20"/>
        <v>0.23429198999120948</v>
      </c>
      <c r="AI27" s="21">
        <f t="shared" si="18"/>
        <v>0.02</v>
      </c>
      <c r="AJ27" s="124">
        <f t="shared" si="1"/>
        <v>172909.16440741284</v>
      </c>
    </row>
    <row r="28" spans="2:36" s="106" customFormat="1">
      <c r="B28" s="13"/>
      <c r="C28" s="126"/>
      <c r="D28" s="126"/>
      <c r="E28" s="127"/>
      <c r="F28" s="272"/>
      <c r="G28" s="272">
        <f t="shared" ref="G28:P28" si="73">(G27-F27)/G27</f>
        <v>1</v>
      </c>
      <c r="H28" s="272" t="e">
        <f t="shared" si="73"/>
        <v>#DIV/0!</v>
      </c>
      <c r="I28" s="272">
        <f t="shared" si="73"/>
        <v>1</v>
      </c>
      <c r="J28" s="272">
        <f t="shared" si="73"/>
        <v>0.58045977011494254</v>
      </c>
      <c r="K28" s="272">
        <f t="shared" si="73"/>
        <v>0.59440559440559437</v>
      </c>
      <c r="L28" s="272">
        <f t="shared" si="73"/>
        <v>-3.125E-2</v>
      </c>
      <c r="M28" s="272">
        <f t="shared" si="73"/>
        <v>-4.2606516290726815E-2</v>
      </c>
      <c r="N28" s="272" t="e">
        <f t="shared" si="73"/>
        <v>#DIV/0!</v>
      </c>
      <c r="O28" s="272">
        <f t="shared" si="73"/>
        <v>1</v>
      </c>
      <c r="P28" s="272">
        <f t="shared" si="73"/>
        <v>0.20948616600790515</v>
      </c>
      <c r="Q28" s="272">
        <f t="shared" ref="Q28:R28" si="74">(Q27-P27)/Q27</f>
        <v>0.1925531914893617</v>
      </c>
      <c r="R28" s="272">
        <f t="shared" si="74"/>
        <v>0.36486486486486486</v>
      </c>
      <c r="S28" s="128">
        <f t="shared" ref="S28:U28" si="75">(S27-R27)/R27</f>
        <v>0.3418918918918919</v>
      </c>
      <c r="T28" s="128">
        <f t="shared" si="75"/>
        <v>0.38922457200402821</v>
      </c>
      <c r="U28" s="128">
        <f t="shared" si="75"/>
        <v>0.29002174700978617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>
      <c r="B29" s="10" t="s">
        <v>269</v>
      </c>
      <c r="C29" s="126"/>
      <c r="D29" s="126"/>
      <c r="E29" s="127"/>
      <c r="F29" s="125"/>
      <c r="G29" s="125">
        <f t="shared" ref="G29" si="76">I29</f>
        <v>5</v>
      </c>
      <c r="H29" s="125"/>
      <c r="I29" s="125">
        <v>5</v>
      </c>
      <c r="J29" s="125">
        <v>18</v>
      </c>
      <c r="K29" s="125">
        <v>201</v>
      </c>
      <c r="L29" s="125">
        <v>135</v>
      </c>
      <c r="M29" s="125">
        <v>194</v>
      </c>
      <c r="N29" s="125">
        <v>0</v>
      </c>
      <c r="O29" s="125">
        <v>829</v>
      </c>
      <c r="P29" s="125">
        <v>1113</v>
      </c>
      <c r="Q29" s="125">
        <v>1210</v>
      </c>
      <c r="R29" s="125">
        <v>1831</v>
      </c>
      <c r="S29" s="182">
        <v>2620</v>
      </c>
      <c r="T29" s="182">
        <v>2809</v>
      </c>
      <c r="U29" s="182">
        <v>3529</v>
      </c>
      <c r="V29" s="101">
        <f t="shared" si="3"/>
        <v>0.57180510637906368</v>
      </c>
      <c r="W29" s="21">
        <f t="shared" si="8"/>
        <v>0.2</v>
      </c>
      <c r="X29" s="131">
        <f>U29*(1+$W29)</f>
        <v>4234.8</v>
      </c>
      <c r="Y29" s="131">
        <f t="shared" ref="Y29" si="77">X29*(1+$W29)</f>
        <v>5081.76</v>
      </c>
      <c r="Z29" s="131">
        <f t="shared" ref="Z29" si="78">Y29*(1+$W29)</f>
        <v>6098.1120000000001</v>
      </c>
      <c r="AA29" s="131">
        <f t="shared" ref="AA29" si="79">Z29*(1+$W29)</f>
        <v>7317.7344000000003</v>
      </c>
      <c r="AB29" s="131">
        <f t="shared" ref="AB29" si="80">AA29*(1+$W29)</f>
        <v>8781.2812799999992</v>
      </c>
      <c r="AC29" s="131">
        <f t="shared" ref="AC29" si="81">AB29*(1+$W29)</f>
        <v>10537.537535999998</v>
      </c>
      <c r="AD29" s="131">
        <f t="shared" ref="AD29" si="82">AC29*(1+$W29)</f>
        <v>12645.045043199998</v>
      </c>
      <c r="AE29" s="131">
        <f t="shared" ref="AE29" si="83">AD29*(1+$W29)</f>
        <v>15174.054051839998</v>
      </c>
      <c r="AF29" s="131">
        <f t="shared" ref="AF29" si="84">AE29*(1+$W29)</f>
        <v>18208.864862207996</v>
      </c>
      <c r="AG29" s="131">
        <f t="shared" ref="AG29" si="85">AF29*(1+$W29)</f>
        <v>21850.637834649595</v>
      </c>
      <c r="AH29" s="116">
        <f t="shared" ref="AH29" si="86">((AG29/J29)^(1/($AG$3-$K$1) ))-1</f>
        <v>0.36174342668525106</v>
      </c>
      <c r="AI29" s="21">
        <f t="shared" si="18"/>
        <v>0.02</v>
      </c>
      <c r="AJ29" s="124">
        <f t="shared" ref="AJ29" si="87">(AG29*(1+AI29))/($C$1-AI29)</f>
        <v>171443.46608725065</v>
      </c>
    </row>
    <row r="30" spans="2:36" s="106" customFormat="1">
      <c r="B30" s="13"/>
      <c r="C30" s="126"/>
      <c r="D30" s="126"/>
      <c r="E30" s="127"/>
      <c r="F30" s="272"/>
      <c r="G30" s="272">
        <f t="shared" ref="G30:P30" si="88">(G29-F29)/G29</f>
        <v>1</v>
      </c>
      <c r="H30" s="272" t="e">
        <f t="shared" si="88"/>
        <v>#DIV/0!</v>
      </c>
      <c r="I30" s="272">
        <f t="shared" si="88"/>
        <v>1</v>
      </c>
      <c r="J30" s="272">
        <f t="shared" si="88"/>
        <v>0.72222222222222221</v>
      </c>
      <c r="K30" s="272">
        <f t="shared" si="88"/>
        <v>0.91044776119402981</v>
      </c>
      <c r="L30" s="272">
        <f t="shared" si="88"/>
        <v>-0.48888888888888887</v>
      </c>
      <c r="M30" s="272">
        <f t="shared" si="88"/>
        <v>0.30412371134020616</v>
      </c>
      <c r="N30" s="272" t="e">
        <f t="shared" si="88"/>
        <v>#DIV/0!</v>
      </c>
      <c r="O30" s="272">
        <f t="shared" si="88"/>
        <v>1</v>
      </c>
      <c r="P30" s="272">
        <f t="shared" si="88"/>
        <v>0.25516621743036838</v>
      </c>
      <c r="Q30" s="272">
        <f t="shared" ref="Q30:R30" si="89">(Q29-P29)/Q29</f>
        <v>8.0165289256198341E-2</v>
      </c>
      <c r="R30" s="272">
        <f t="shared" si="89"/>
        <v>0.3391589295466958</v>
      </c>
      <c r="S30" s="128">
        <f t="shared" ref="S30:U30" si="90">(S29-R29)/R29</f>
        <v>0.43091206990715458</v>
      </c>
      <c r="T30" s="128">
        <f t="shared" si="90"/>
        <v>7.2137404580152678E-2</v>
      </c>
      <c r="U30" s="128">
        <f t="shared" si="90"/>
        <v>0.25631897472410109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9"/>
      <c r="AI30" s="115"/>
      <c r="AJ30" s="131"/>
    </row>
    <row r="31" spans="2:36">
      <c r="B31" s="10" t="s">
        <v>277</v>
      </c>
      <c r="C31" s="119"/>
      <c r="D31" s="119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82">
        <v>0</v>
      </c>
      <c r="T31" s="182">
        <v>0</v>
      </c>
      <c r="U31" s="182">
        <v>0</v>
      </c>
      <c r="V31" s="101" t="e">
        <f t="shared" si="3"/>
        <v>#DIV/0!</v>
      </c>
      <c r="W31" s="21">
        <f t="shared" si="8"/>
        <v>0.2</v>
      </c>
      <c r="X31" s="131">
        <f>U31*(1+$W31)</f>
        <v>0</v>
      </c>
      <c r="Y31" s="131">
        <f>X31*(1+$W31)</f>
        <v>0</v>
      </c>
      <c r="Z31" s="131">
        <f t="shared" ref="Z31:AG32" si="91">Y31*(1+$W31)</f>
        <v>0</v>
      </c>
      <c r="AA31" s="131">
        <f t="shared" si="91"/>
        <v>0</v>
      </c>
      <c r="AB31" s="131">
        <f t="shared" si="91"/>
        <v>0</v>
      </c>
      <c r="AC31" s="131">
        <f t="shared" si="91"/>
        <v>0</v>
      </c>
      <c r="AD31" s="131">
        <f t="shared" si="91"/>
        <v>0</v>
      </c>
      <c r="AE31" s="131">
        <f t="shared" si="91"/>
        <v>0</v>
      </c>
      <c r="AF31" s="131">
        <f t="shared" si="91"/>
        <v>0</v>
      </c>
      <c r="AG31" s="131">
        <f t="shared" si="91"/>
        <v>0</v>
      </c>
      <c r="AH31" s="116" t="e">
        <f t="shared" ref="AH31" si="92">((AG31/J31)^(1/($AG$3-$K$1) ))-1</f>
        <v>#DIV/0!</v>
      </c>
      <c r="AI31" s="21">
        <f t="shared" si="18"/>
        <v>0.02</v>
      </c>
      <c r="AJ31" s="124">
        <f t="shared" si="1"/>
        <v>0</v>
      </c>
    </row>
    <row r="32" spans="2:36">
      <c r="B32" s="10" t="s">
        <v>276</v>
      </c>
      <c r="C32" s="119"/>
      <c r="D32" s="119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82"/>
      <c r="T32" s="182"/>
      <c r="U32" s="182"/>
      <c r="V32" s="101" t="e">
        <f t="shared" si="3"/>
        <v>#DIV/0!</v>
      </c>
      <c r="W32" s="21">
        <f t="shared" si="8"/>
        <v>0.2</v>
      </c>
      <c r="X32" s="131">
        <f>U32*(1+$W32)</f>
        <v>0</v>
      </c>
      <c r="Y32" s="131">
        <f>X32*(1+$W32)</f>
        <v>0</v>
      </c>
      <c r="Z32" s="131">
        <f t="shared" si="91"/>
        <v>0</v>
      </c>
      <c r="AA32" s="131">
        <f t="shared" si="91"/>
        <v>0</v>
      </c>
      <c r="AB32" s="131">
        <f t="shared" si="91"/>
        <v>0</v>
      </c>
      <c r="AC32" s="131">
        <f t="shared" si="91"/>
        <v>0</v>
      </c>
      <c r="AD32" s="131">
        <f t="shared" si="91"/>
        <v>0</v>
      </c>
      <c r="AE32" s="131">
        <f t="shared" si="91"/>
        <v>0</v>
      </c>
      <c r="AF32" s="131">
        <f t="shared" si="91"/>
        <v>0</v>
      </c>
      <c r="AG32" s="131">
        <f t="shared" si="91"/>
        <v>0</v>
      </c>
      <c r="AH32" s="116" t="e">
        <f t="shared" ref="AH32" si="93">((AG32/J32)^(1/($AG$3-$K$1) ))-1</f>
        <v>#DIV/0!</v>
      </c>
      <c r="AI32" s="21">
        <f t="shared" si="18"/>
        <v>0.02</v>
      </c>
      <c r="AJ32" s="124">
        <f t="shared" si="1"/>
        <v>0</v>
      </c>
    </row>
    <row r="33" spans="1:36">
      <c r="B33" s="10" t="s">
        <v>511</v>
      </c>
      <c r="C33" s="119"/>
      <c r="D33" s="119"/>
      <c r="E33" s="125"/>
      <c r="F33" s="125"/>
      <c r="G33" s="125">
        <f t="shared" ref="G33:G34" si="94">I33</f>
        <v>33</v>
      </c>
      <c r="H33" s="125"/>
      <c r="I33" s="125">
        <v>33</v>
      </c>
      <c r="J33" s="125">
        <v>80</v>
      </c>
      <c r="K33" s="125">
        <v>206</v>
      </c>
      <c r="L33" s="125">
        <v>166</v>
      </c>
      <c r="M33" s="125">
        <v>162</v>
      </c>
      <c r="N33" s="125">
        <v>0</v>
      </c>
      <c r="O33" s="125">
        <v>271</v>
      </c>
      <c r="P33" s="125">
        <v>363</v>
      </c>
      <c r="Q33" s="125">
        <v>458</v>
      </c>
      <c r="R33" s="125">
        <v>708</v>
      </c>
      <c r="S33" s="182">
        <v>882</v>
      </c>
      <c r="T33" s="182">
        <v>1102</v>
      </c>
      <c r="U33" s="182">
        <v>1354</v>
      </c>
      <c r="V33" s="101">
        <f t="shared" si="3"/>
        <v>0.28479371636153439</v>
      </c>
      <c r="W33" s="21">
        <f t="shared" si="8"/>
        <v>0.2</v>
      </c>
      <c r="X33" s="131">
        <f>U33*(1+$W33)</f>
        <v>1624.8</v>
      </c>
      <c r="Y33" s="131">
        <f t="shared" si="39"/>
        <v>1949.7599999999998</v>
      </c>
      <c r="Z33" s="131">
        <f t="shared" si="40"/>
        <v>2339.7119999999995</v>
      </c>
      <c r="AA33" s="131">
        <f t="shared" si="41"/>
        <v>2807.6543999999994</v>
      </c>
      <c r="AB33" s="131">
        <f t="shared" si="42"/>
        <v>3369.1852799999992</v>
      </c>
      <c r="AC33" s="131">
        <f t="shared" si="43"/>
        <v>4043.0223359999991</v>
      </c>
      <c r="AD33" s="131">
        <f t="shared" si="44"/>
        <v>4851.6268031999989</v>
      </c>
      <c r="AE33" s="131">
        <f t="shared" si="45"/>
        <v>5821.9521638399983</v>
      </c>
      <c r="AF33" s="131">
        <f t="shared" si="46"/>
        <v>6986.3425966079976</v>
      </c>
      <c r="AG33" s="131">
        <f t="shared" si="47"/>
        <v>8383.6111159295961</v>
      </c>
      <c r="AH33" s="116">
        <f t="shared" si="20"/>
        <v>0.22416770761268778</v>
      </c>
      <c r="AI33" s="21">
        <f t="shared" si="18"/>
        <v>0.02</v>
      </c>
      <c r="AJ33" s="124">
        <f t="shared" si="1"/>
        <v>65779.102601909137</v>
      </c>
    </row>
    <row r="34" spans="1:36">
      <c r="B34" s="10" t="s">
        <v>512</v>
      </c>
      <c r="C34" s="119"/>
      <c r="D34" s="119"/>
      <c r="E34" s="125"/>
      <c r="F34" s="125"/>
      <c r="G34" s="125">
        <f t="shared" si="94"/>
        <v>5.5</v>
      </c>
      <c r="H34" s="125"/>
      <c r="I34" s="125">
        <v>5.5</v>
      </c>
      <c r="J34" s="125">
        <v>26</v>
      </c>
      <c r="K34" s="125">
        <v>51</v>
      </c>
      <c r="L34" s="125">
        <v>42</v>
      </c>
      <c r="M34" s="125">
        <v>64</v>
      </c>
      <c r="N34" s="125">
        <v>0</v>
      </c>
      <c r="O34" s="125">
        <v>329</v>
      </c>
      <c r="P34" s="125">
        <v>396</v>
      </c>
      <c r="Q34" s="125">
        <v>482</v>
      </c>
      <c r="R34" s="125">
        <v>772</v>
      </c>
      <c r="S34" s="182">
        <v>1038</v>
      </c>
      <c r="T34" s="182">
        <v>1570</v>
      </c>
      <c r="U34" s="182">
        <v>2204</v>
      </c>
      <c r="V34" s="101">
        <f t="shared" si="3"/>
        <v>0.49759884810292476</v>
      </c>
      <c r="W34" s="21">
        <f t="shared" si="8"/>
        <v>0.2</v>
      </c>
      <c r="X34" s="131">
        <f>U34*(1+$W34)</f>
        <v>2644.7999999999997</v>
      </c>
      <c r="Y34" s="131">
        <f t="shared" si="39"/>
        <v>3173.7599999999998</v>
      </c>
      <c r="Z34" s="131">
        <f t="shared" si="40"/>
        <v>3808.5119999999997</v>
      </c>
      <c r="AA34" s="131">
        <f t="shared" si="41"/>
        <v>4570.2143999999998</v>
      </c>
      <c r="AB34" s="131">
        <f t="shared" si="42"/>
        <v>5484.2572799999998</v>
      </c>
      <c r="AC34" s="131">
        <f t="shared" si="43"/>
        <v>6581.1087359999992</v>
      </c>
      <c r="AD34" s="131">
        <f t="shared" si="44"/>
        <v>7897.3304831999985</v>
      </c>
      <c r="AE34" s="131">
        <f t="shared" si="45"/>
        <v>9476.7965798399982</v>
      </c>
      <c r="AF34" s="131">
        <f t="shared" si="46"/>
        <v>11372.155895807997</v>
      </c>
      <c r="AG34" s="131">
        <f t="shared" si="47"/>
        <v>13646.587074969595</v>
      </c>
      <c r="AH34" s="116">
        <f t="shared" si="20"/>
        <v>0.31299500534697922</v>
      </c>
      <c r="AI34" s="21">
        <f t="shared" si="18"/>
        <v>0.02</v>
      </c>
      <c r="AJ34" s="124">
        <f t="shared" si="1"/>
        <v>107073.22166514606</v>
      </c>
    </row>
    <row r="35" spans="1:36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>
      <c r="A36" s="301" t="s">
        <v>423</v>
      </c>
      <c r="B36" s="179" t="s">
        <v>417</v>
      </c>
      <c r="C36" s="119"/>
      <c r="D36" s="119"/>
      <c r="E36" s="125"/>
      <c r="F36" s="182"/>
      <c r="G36" s="182">
        <f t="shared" ref="G36" si="95">H36</f>
        <v>0</v>
      </c>
      <c r="H36" s="182">
        <f t="shared" ref="H36:I36" si="96">I36</f>
        <v>0</v>
      </c>
      <c r="I36" s="182">
        <f t="shared" si="96"/>
        <v>0</v>
      </c>
      <c r="J36" s="182">
        <f>K36</f>
        <v>0</v>
      </c>
      <c r="K36" s="182">
        <v>0</v>
      </c>
      <c r="L36" s="182">
        <v>0</v>
      </c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0</v>
      </c>
      <c r="S36" s="182">
        <v>0</v>
      </c>
      <c r="T36" s="182">
        <v>0</v>
      </c>
      <c r="U36" s="182">
        <v>0</v>
      </c>
      <c r="V36" s="101" t="e">
        <f t="shared" si="3"/>
        <v>#DIV/0!</v>
      </c>
      <c r="W36" s="21">
        <f t="shared" si="8"/>
        <v>0.2</v>
      </c>
      <c r="X36" s="131">
        <f>U36*(1+$W36)</f>
        <v>0</v>
      </c>
      <c r="Y36" s="131">
        <f t="shared" ref="Y36:Y49" si="97">X36*(1+$W36)</f>
        <v>0</v>
      </c>
      <c r="Z36" s="131">
        <f t="shared" ref="Z36:Z49" si="98">Y36*(1+$W36)</f>
        <v>0</v>
      </c>
      <c r="AA36" s="131">
        <f t="shared" ref="AA36:AA49" si="99">Z36*(1+$W36)</f>
        <v>0</v>
      </c>
      <c r="AB36" s="131">
        <f t="shared" ref="AB36:AB49" si="100">AA36*(1+$W36)</f>
        <v>0</v>
      </c>
      <c r="AC36" s="131">
        <f t="shared" ref="AC36:AC49" si="101">AB36*(1+$W36)</f>
        <v>0</v>
      </c>
      <c r="AD36" s="131">
        <f t="shared" ref="AD36:AD49" si="102">AC36*(1+$W36)</f>
        <v>0</v>
      </c>
      <c r="AE36" s="131">
        <f t="shared" ref="AE36:AE49" si="103">AD36*(1+$W36)</f>
        <v>0</v>
      </c>
      <c r="AF36" s="131">
        <f t="shared" ref="AF36:AF49" si="104">AE36*(1+$W36)</f>
        <v>0</v>
      </c>
      <c r="AG36" s="131">
        <f t="shared" ref="AG36:AG49" si="105">AF36*(1+$W36)</f>
        <v>0</v>
      </c>
      <c r="AH36" s="116" t="e">
        <f t="shared" ref="AH36:AH49" si="106">((AG36/J36)^(1/($AG$3-$K$1) ))-1</f>
        <v>#DIV/0!</v>
      </c>
      <c r="AI36" s="21">
        <f t="shared" si="18"/>
        <v>0.02</v>
      </c>
      <c r="AJ36" s="124">
        <f t="shared" ref="AJ36:AJ49" si="107">(AG36*(1+AI36))/($C$1-AI36)</f>
        <v>0</v>
      </c>
    </row>
    <row r="37" spans="1:36">
      <c r="A37" s="301"/>
      <c r="B37" s="179"/>
      <c r="C37" s="119"/>
      <c r="D37" s="119"/>
      <c r="E37" s="125"/>
      <c r="F37" s="128"/>
      <c r="G37" s="128" t="e">
        <f t="shared" ref="G37" si="108">(G36-E36)/E36</f>
        <v>#DIV/0!</v>
      </c>
      <c r="H37" s="128" t="e">
        <f t="shared" ref="H37" si="109">(H36-F36)/F36</f>
        <v>#DIV/0!</v>
      </c>
      <c r="I37" s="128" t="e">
        <f t="shared" ref="I37" si="110">(I36-H36)/H36</f>
        <v>#DIV/0!</v>
      </c>
      <c r="J37" s="128" t="e">
        <f t="shared" ref="J37" si="111">(J36-I36)/I36</f>
        <v>#DIV/0!</v>
      </c>
      <c r="K37" s="128" t="e">
        <f t="shared" ref="K37" si="112">(K36-J36)/J36</f>
        <v>#DIV/0!</v>
      </c>
      <c r="L37" s="128" t="e">
        <f t="shared" ref="L37" si="113">(L36-K36)/K36</f>
        <v>#DIV/0!</v>
      </c>
      <c r="M37" s="128" t="e">
        <f t="shared" ref="M37" si="114">(M36-L36)/L36</f>
        <v>#DIV/0!</v>
      </c>
      <c r="N37" s="128" t="e">
        <f t="shared" ref="N37" si="115">(N36-M36)/M36</f>
        <v>#DIV/0!</v>
      </c>
      <c r="O37" s="128" t="e">
        <f t="shared" ref="O37" si="116">(O36-N36)/N36</f>
        <v>#DIV/0!</v>
      </c>
      <c r="P37" s="128" t="e">
        <f t="shared" ref="P37" si="117">(P36-O36)/O36</f>
        <v>#DIV/0!</v>
      </c>
      <c r="Q37" s="128" t="e">
        <f t="shared" ref="Q37" si="118">(Q36-P36)/P36</f>
        <v>#DIV/0!</v>
      </c>
      <c r="R37" s="128" t="e">
        <f t="shared" ref="R37" si="119">(R36-Q36)/Q36</f>
        <v>#DIV/0!</v>
      </c>
      <c r="S37" s="128" t="e">
        <f t="shared" ref="S37" si="120">(S36-R36)/R36</f>
        <v>#DIV/0!</v>
      </c>
      <c r="T37" s="128" t="e">
        <f t="shared" ref="T37:U37" si="121">(T36-S36)/S36</f>
        <v>#DIV/0!</v>
      </c>
      <c r="U37" s="128" t="e">
        <f t="shared" si="121"/>
        <v>#DIV/0!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>
      <c r="A38" s="301"/>
      <c r="B38" s="179" t="s">
        <v>418</v>
      </c>
      <c r="C38" s="119"/>
      <c r="D38" s="119"/>
      <c r="E38" s="125"/>
      <c r="F38" s="182"/>
      <c r="G38" s="182">
        <f t="shared" ref="G38" si="122">H38</f>
        <v>0</v>
      </c>
      <c r="H38" s="182">
        <f t="shared" ref="H38:I38" si="123">I38</f>
        <v>0</v>
      </c>
      <c r="I38" s="182">
        <f t="shared" si="123"/>
        <v>0</v>
      </c>
      <c r="J38" s="182">
        <f>K38</f>
        <v>0</v>
      </c>
      <c r="K38" s="182">
        <v>0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82">
        <v>0</v>
      </c>
      <c r="R38" s="182">
        <v>0</v>
      </c>
      <c r="S38" s="182">
        <v>0</v>
      </c>
      <c r="T38" s="182">
        <v>0</v>
      </c>
      <c r="U38" s="182">
        <v>0</v>
      </c>
      <c r="V38" s="101" t="e">
        <f t="shared" si="3"/>
        <v>#DIV/0!</v>
      </c>
      <c r="W38" s="21">
        <f t="shared" si="8"/>
        <v>0.2</v>
      </c>
      <c r="X38" s="131">
        <f>U38*(1+$W38)</f>
        <v>0</v>
      </c>
      <c r="Y38" s="131">
        <f t="shared" si="97"/>
        <v>0</v>
      </c>
      <c r="Z38" s="131">
        <f t="shared" si="98"/>
        <v>0</v>
      </c>
      <c r="AA38" s="131">
        <f t="shared" si="99"/>
        <v>0</v>
      </c>
      <c r="AB38" s="131">
        <f t="shared" si="100"/>
        <v>0</v>
      </c>
      <c r="AC38" s="131">
        <f t="shared" si="101"/>
        <v>0</v>
      </c>
      <c r="AD38" s="131">
        <f t="shared" si="102"/>
        <v>0</v>
      </c>
      <c r="AE38" s="131">
        <f t="shared" si="103"/>
        <v>0</v>
      </c>
      <c r="AF38" s="131">
        <f t="shared" si="104"/>
        <v>0</v>
      </c>
      <c r="AG38" s="131">
        <f t="shared" si="105"/>
        <v>0</v>
      </c>
      <c r="AH38" s="116" t="e">
        <f t="shared" si="106"/>
        <v>#DIV/0!</v>
      </c>
      <c r="AI38" s="21">
        <f t="shared" si="18"/>
        <v>0.02</v>
      </c>
      <c r="AJ38" s="124">
        <f t="shared" si="107"/>
        <v>0</v>
      </c>
    </row>
    <row r="39" spans="1:36">
      <c r="A39" s="301"/>
      <c r="B39" s="179"/>
      <c r="C39" s="119"/>
      <c r="D39" s="119"/>
      <c r="E39" s="125"/>
      <c r="F39" s="128"/>
      <c r="G39" s="128" t="e">
        <f t="shared" ref="G39" si="124">(G38-E38)/E38</f>
        <v>#DIV/0!</v>
      </c>
      <c r="H39" s="128" t="e">
        <f t="shared" ref="H39" si="125">(H38-F38)/F38</f>
        <v>#DIV/0!</v>
      </c>
      <c r="I39" s="128" t="e">
        <f t="shared" ref="I39" si="126">(I38-H38)/H38</f>
        <v>#DIV/0!</v>
      </c>
      <c r="J39" s="128" t="e">
        <f t="shared" ref="J39" si="127">(J38-I38)/I38</f>
        <v>#DIV/0!</v>
      </c>
      <c r="K39" s="128" t="e">
        <f t="shared" ref="K39" si="128">(K38-J38)/J38</f>
        <v>#DIV/0!</v>
      </c>
      <c r="L39" s="128" t="e">
        <f t="shared" ref="L39" si="129">(L38-K38)/K38</f>
        <v>#DIV/0!</v>
      </c>
      <c r="M39" s="128" t="e">
        <f t="shared" ref="M39" si="130">(M38-L38)/L38</f>
        <v>#DIV/0!</v>
      </c>
      <c r="N39" s="128" t="e">
        <f t="shared" ref="N39" si="131">(N38-M38)/M38</f>
        <v>#DIV/0!</v>
      </c>
      <c r="O39" s="128" t="e">
        <f t="shared" ref="O39" si="132">(O38-N38)/N38</f>
        <v>#DIV/0!</v>
      </c>
      <c r="P39" s="128" t="e">
        <f t="shared" ref="P39" si="133">(P38-O38)/O38</f>
        <v>#DIV/0!</v>
      </c>
      <c r="Q39" s="128" t="e">
        <f t="shared" ref="Q39" si="134">(Q38-P38)/P38</f>
        <v>#DIV/0!</v>
      </c>
      <c r="R39" s="128" t="e">
        <f t="shared" ref="R39" si="135">(R38-Q38)/Q38</f>
        <v>#DIV/0!</v>
      </c>
      <c r="S39" s="128" t="e">
        <f t="shared" ref="S39" si="136">(S38-R38)/R38</f>
        <v>#DIV/0!</v>
      </c>
      <c r="T39" s="128" t="e">
        <f t="shared" ref="T39:U39" si="137">(T38-S38)/S38</f>
        <v>#DIV/0!</v>
      </c>
      <c r="U39" s="128" t="e">
        <f t="shared" si="137"/>
        <v>#DIV/0!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>
      <c r="A40" s="301"/>
      <c r="B40" s="179" t="s">
        <v>422</v>
      </c>
      <c r="C40" s="119"/>
      <c r="D40" s="119"/>
      <c r="E40" s="125"/>
      <c r="F40" s="182"/>
      <c r="G40" s="182">
        <f t="shared" ref="G40:G43" si="138">H40</f>
        <v>0</v>
      </c>
      <c r="H40" s="182">
        <f t="shared" ref="H40:I40" si="139">I40</f>
        <v>0</v>
      </c>
      <c r="I40" s="182">
        <f t="shared" si="139"/>
        <v>0</v>
      </c>
      <c r="J40" s="182">
        <f>K40</f>
        <v>0</v>
      </c>
      <c r="K40" s="182">
        <v>0</v>
      </c>
      <c r="L40" s="182">
        <v>0</v>
      </c>
      <c r="M40" s="182">
        <v>0</v>
      </c>
      <c r="N40" s="182">
        <v>0</v>
      </c>
      <c r="O40" s="182">
        <v>0</v>
      </c>
      <c r="P40" s="182">
        <v>0</v>
      </c>
      <c r="Q40" s="182">
        <v>0</v>
      </c>
      <c r="R40" s="182">
        <v>0</v>
      </c>
      <c r="S40" s="182">
        <v>0</v>
      </c>
      <c r="T40" s="182">
        <v>0</v>
      </c>
      <c r="U40" s="182">
        <v>0</v>
      </c>
      <c r="V40" s="101" t="e">
        <f t="shared" si="3"/>
        <v>#DIV/0!</v>
      </c>
      <c r="W40" s="21">
        <f t="shared" si="8"/>
        <v>0.2</v>
      </c>
      <c r="X40" s="131">
        <f>U40*(1+$W40)</f>
        <v>0</v>
      </c>
      <c r="Y40" s="131">
        <f t="shared" si="97"/>
        <v>0</v>
      </c>
      <c r="Z40" s="131">
        <f t="shared" si="98"/>
        <v>0</v>
      </c>
      <c r="AA40" s="131">
        <f t="shared" si="99"/>
        <v>0</v>
      </c>
      <c r="AB40" s="131">
        <f t="shared" si="100"/>
        <v>0</v>
      </c>
      <c r="AC40" s="131">
        <f t="shared" si="101"/>
        <v>0</v>
      </c>
      <c r="AD40" s="131">
        <f t="shared" si="102"/>
        <v>0</v>
      </c>
      <c r="AE40" s="131">
        <f t="shared" si="103"/>
        <v>0</v>
      </c>
      <c r="AF40" s="131">
        <f t="shared" si="104"/>
        <v>0</v>
      </c>
      <c r="AG40" s="131">
        <f t="shared" si="105"/>
        <v>0</v>
      </c>
      <c r="AH40" s="116" t="e">
        <f t="shared" si="106"/>
        <v>#DIV/0!</v>
      </c>
      <c r="AI40" s="21">
        <f t="shared" si="18"/>
        <v>0.02</v>
      </c>
      <c r="AJ40" s="124">
        <f t="shared" si="107"/>
        <v>0</v>
      </c>
    </row>
    <row r="41" spans="1:36">
      <c r="A41" s="301"/>
      <c r="B41" s="179" t="s">
        <v>419</v>
      </c>
      <c r="C41" s="119"/>
      <c r="D41" s="119"/>
      <c r="E41" s="125"/>
      <c r="F41" s="182"/>
      <c r="G41" s="182">
        <f t="shared" si="138"/>
        <v>0</v>
      </c>
      <c r="H41" s="182">
        <f t="shared" ref="H41:I41" si="140">I41</f>
        <v>0</v>
      </c>
      <c r="I41" s="182">
        <f t="shared" si="140"/>
        <v>0</v>
      </c>
      <c r="J41" s="182">
        <f>K41</f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0</v>
      </c>
      <c r="S41" s="182">
        <v>0</v>
      </c>
      <c r="T41" s="182">
        <v>0</v>
      </c>
      <c r="U41" s="182">
        <v>0</v>
      </c>
      <c r="V41" s="101" t="e">
        <f t="shared" si="3"/>
        <v>#DIV/0!</v>
      </c>
      <c r="W41" s="21">
        <f t="shared" si="8"/>
        <v>0.2</v>
      </c>
      <c r="X41" s="131">
        <f>U41*(1+$W41)</f>
        <v>0</v>
      </c>
      <c r="Y41" s="131">
        <f t="shared" si="97"/>
        <v>0</v>
      </c>
      <c r="Z41" s="131">
        <f t="shared" si="98"/>
        <v>0</v>
      </c>
      <c r="AA41" s="131">
        <f t="shared" si="99"/>
        <v>0</v>
      </c>
      <c r="AB41" s="131">
        <f t="shared" si="100"/>
        <v>0</v>
      </c>
      <c r="AC41" s="131">
        <f t="shared" si="101"/>
        <v>0</v>
      </c>
      <c r="AD41" s="131">
        <f t="shared" si="102"/>
        <v>0</v>
      </c>
      <c r="AE41" s="131">
        <f t="shared" si="103"/>
        <v>0</v>
      </c>
      <c r="AF41" s="131">
        <f t="shared" si="104"/>
        <v>0</v>
      </c>
      <c r="AG41" s="131">
        <f t="shared" si="105"/>
        <v>0</v>
      </c>
      <c r="AH41" s="116" t="e">
        <f t="shared" si="106"/>
        <v>#DIV/0!</v>
      </c>
      <c r="AI41" s="21">
        <f t="shared" si="18"/>
        <v>0.02</v>
      </c>
      <c r="AJ41" s="124">
        <f t="shared" si="107"/>
        <v>0</v>
      </c>
    </row>
    <row r="42" spans="1:36">
      <c r="A42" s="301"/>
      <c r="B42" s="179" t="s">
        <v>421</v>
      </c>
      <c r="C42" s="119"/>
      <c r="D42" s="119"/>
      <c r="E42" s="125"/>
      <c r="F42" s="182"/>
      <c r="G42" s="182">
        <f t="shared" si="138"/>
        <v>0</v>
      </c>
      <c r="H42" s="182">
        <f t="shared" ref="H42:I42" si="141">I42</f>
        <v>0</v>
      </c>
      <c r="I42" s="182">
        <f t="shared" si="141"/>
        <v>0</v>
      </c>
      <c r="J42" s="182">
        <f>K42</f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0</v>
      </c>
      <c r="S42" s="182">
        <v>0</v>
      </c>
      <c r="T42" s="182">
        <v>0</v>
      </c>
      <c r="U42" s="182">
        <v>0</v>
      </c>
      <c r="V42" s="101" t="e">
        <f t="shared" si="3"/>
        <v>#DIV/0!</v>
      </c>
      <c r="W42" s="21">
        <f t="shared" si="8"/>
        <v>0.2</v>
      </c>
      <c r="X42" s="131">
        <f>U42*(1+$W42)</f>
        <v>0</v>
      </c>
      <c r="Y42" s="131">
        <f t="shared" si="97"/>
        <v>0</v>
      </c>
      <c r="Z42" s="131">
        <f t="shared" si="98"/>
        <v>0</v>
      </c>
      <c r="AA42" s="131">
        <f t="shared" si="99"/>
        <v>0</v>
      </c>
      <c r="AB42" s="131">
        <f t="shared" si="100"/>
        <v>0</v>
      </c>
      <c r="AC42" s="131">
        <f t="shared" si="101"/>
        <v>0</v>
      </c>
      <c r="AD42" s="131">
        <f t="shared" si="102"/>
        <v>0</v>
      </c>
      <c r="AE42" s="131">
        <f t="shared" si="103"/>
        <v>0</v>
      </c>
      <c r="AF42" s="131">
        <f t="shared" si="104"/>
        <v>0</v>
      </c>
      <c r="AG42" s="131">
        <f t="shared" si="105"/>
        <v>0</v>
      </c>
      <c r="AH42" s="116" t="e">
        <f t="shared" si="106"/>
        <v>#DIV/0!</v>
      </c>
      <c r="AI42" s="21">
        <f t="shared" si="18"/>
        <v>0.02</v>
      </c>
      <c r="AJ42" s="124">
        <f t="shared" si="107"/>
        <v>0</v>
      </c>
    </row>
    <row r="43" spans="1:36">
      <c r="A43" s="301"/>
      <c r="B43" s="179" t="s">
        <v>420</v>
      </c>
      <c r="C43" s="119"/>
      <c r="D43" s="119"/>
      <c r="E43" s="125"/>
      <c r="F43" s="182"/>
      <c r="G43" s="182">
        <f t="shared" si="138"/>
        <v>0</v>
      </c>
      <c r="H43" s="182">
        <f t="shared" ref="H43:I43" si="142">I43</f>
        <v>0</v>
      </c>
      <c r="I43" s="182">
        <f t="shared" si="142"/>
        <v>0</v>
      </c>
      <c r="J43" s="182">
        <f>K43</f>
        <v>0</v>
      </c>
      <c r="K43" s="182">
        <v>0</v>
      </c>
      <c r="L43" s="182">
        <v>0</v>
      </c>
      <c r="M43" s="182">
        <v>0</v>
      </c>
      <c r="N43" s="182">
        <v>0</v>
      </c>
      <c r="O43" s="182">
        <v>0</v>
      </c>
      <c r="P43" s="182">
        <v>0</v>
      </c>
      <c r="Q43" s="182">
        <v>0</v>
      </c>
      <c r="R43" s="182">
        <v>0</v>
      </c>
      <c r="S43" s="182">
        <v>0</v>
      </c>
      <c r="T43" s="182">
        <v>0</v>
      </c>
      <c r="U43" s="182">
        <v>0</v>
      </c>
      <c r="V43" s="101" t="e">
        <f t="shared" si="3"/>
        <v>#DIV/0!</v>
      </c>
      <c r="W43" s="21">
        <f t="shared" si="8"/>
        <v>0.2</v>
      </c>
      <c r="X43" s="131">
        <f>U43*(1+$W43)</f>
        <v>0</v>
      </c>
      <c r="Y43" s="131">
        <f t="shared" si="97"/>
        <v>0</v>
      </c>
      <c r="Z43" s="131">
        <f t="shared" si="98"/>
        <v>0</v>
      </c>
      <c r="AA43" s="131">
        <f t="shared" si="99"/>
        <v>0</v>
      </c>
      <c r="AB43" s="131">
        <f t="shared" si="100"/>
        <v>0</v>
      </c>
      <c r="AC43" s="131">
        <f t="shared" si="101"/>
        <v>0</v>
      </c>
      <c r="AD43" s="131">
        <f t="shared" si="102"/>
        <v>0</v>
      </c>
      <c r="AE43" s="131">
        <f t="shared" si="103"/>
        <v>0</v>
      </c>
      <c r="AF43" s="131">
        <f t="shared" si="104"/>
        <v>0</v>
      </c>
      <c r="AG43" s="131">
        <f t="shared" si="105"/>
        <v>0</v>
      </c>
      <c r="AH43" s="116" t="e">
        <f t="shared" si="106"/>
        <v>#DIV/0!</v>
      </c>
      <c r="AI43" s="21">
        <f t="shared" si="18"/>
        <v>0.02</v>
      </c>
      <c r="AJ43" s="124">
        <f t="shared" si="107"/>
        <v>0</v>
      </c>
    </row>
    <row r="44" spans="1:36">
      <c r="A44" s="301"/>
      <c r="B44" s="179"/>
      <c r="C44" s="119"/>
      <c r="D44" s="119"/>
      <c r="E44" s="125"/>
      <c r="F44" s="128"/>
      <c r="G44" s="128" t="e">
        <f t="shared" ref="G44" si="143">(G43-E43)/E43</f>
        <v>#DIV/0!</v>
      </c>
      <c r="H44" s="128" t="e">
        <f t="shared" ref="H44" si="144">(H43-F43)/F43</f>
        <v>#DIV/0!</v>
      </c>
      <c r="I44" s="128" t="e">
        <f t="shared" ref="I44" si="145">(I43-H43)/H43</f>
        <v>#DIV/0!</v>
      </c>
      <c r="J44" s="128" t="e">
        <f t="shared" ref="J44" si="146">(J43-I43)/I43</f>
        <v>#DIV/0!</v>
      </c>
      <c r="K44" s="128" t="e">
        <f t="shared" ref="K44" si="147">(K43-J43)/J43</f>
        <v>#DIV/0!</v>
      </c>
      <c r="L44" s="128" t="e">
        <f t="shared" ref="L44" si="148">(L43-K43)/K43</f>
        <v>#DIV/0!</v>
      </c>
      <c r="M44" s="128" t="e">
        <f t="shared" ref="M44" si="149">(M43-L43)/L43</f>
        <v>#DIV/0!</v>
      </c>
      <c r="N44" s="128" t="e">
        <f t="shared" ref="N44" si="150">(N43-M43)/M43</f>
        <v>#DIV/0!</v>
      </c>
      <c r="O44" s="128" t="e">
        <f t="shared" ref="O44" si="151">(O43-N43)/N43</f>
        <v>#DIV/0!</v>
      </c>
      <c r="P44" s="128" t="e">
        <f t="shared" ref="P44" si="152">(P43-O43)/O43</f>
        <v>#DIV/0!</v>
      </c>
      <c r="Q44" s="128" t="e">
        <f t="shared" ref="Q44" si="153">(Q43-P43)/P43</f>
        <v>#DIV/0!</v>
      </c>
      <c r="R44" s="128" t="e">
        <f t="shared" ref="R44" si="154">(R43-Q43)/Q43</f>
        <v>#DIV/0!</v>
      </c>
      <c r="S44" s="128" t="e">
        <f t="shared" ref="S44" si="155">(S43-R43)/R43</f>
        <v>#DIV/0!</v>
      </c>
      <c r="T44" s="128" t="e">
        <f t="shared" ref="T44:U44" si="156">(T43-S43)/S43</f>
        <v>#DIV/0!</v>
      </c>
      <c r="U44" s="128" t="e">
        <f t="shared" si="156"/>
        <v>#DIV/0!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>
      <c r="A45" s="301"/>
      <c r="B45" s="179" t="s">
        <v>191</v>
      </c>
      <c r="C45" s="119"/>
      <c r="D45" s="119"/>
      <c r="E45" s="125"/>
      <c r="F45" s="182"/>
      <c r="G45" s="182">
        <f t="shared" ref="G45" si="157">H45</f>
        <v>0</v>
      </c>
      <c r="H45" s="182">
        <f t="shared" ref="H45:I45" si="158">I45</f>
        <v>0</v>
      </c>
      <c r="I45" s="182">
        <f t="shared" si="158"/>
        <v>0</v>
      </c>
      <c r="J45" s="182">
        <f>K45</f>
        <v>0</v>
      </c>
      <c r="K45" s="182">
        <v>0</v>
      </c>
      <c r="L45" s="182">
        <v>0</v>
      </c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>
        <v>0</v>
      </c>
      <c r="S45" s="182">
        <v>0</v>
      </c>
      <c r="T45" s="182">
        <v>0</v>
      </c>
      <c r="U45" s="182">
        <v>0</v>
      </c>
      <c r="V45" s="101" t="e">
        <f t="shared" si="3"/>
        <v>#DIV/0!</v>
      </c>
      <c r="W45" s="21">
        <f t="shared" si="8"/>
        <v>0.2</v>
      </c>
      <c r="X45" s="131">
        <f>U45*(1+$W45)</f>
        <v>0</v>
      </c>
      <c r="Y45" s="131">
        <f t="shared" si="97"/>
        <v>0</v>
      </c>
      <c r="Z45" s="131">
        <f t="shared" si="98"/>
        <v>0</v>
      </c>
      <c r="AA45" s="131">
        <f t="shared" si="99"/>
        <v>0</v>
      </c>
      <c r="AB45" s="131">
        <f t="shared" si="100"/>
        <v>0</v>
      </c>
      <c r="AC45" s="131">
        <f t="shared" si="101"/>
        <v>0</v>
      </c>
      <c r="AD45" s="131">
        <f t="shared" si="102"/>
        <v>0</v>
      </c>
      <c r="AE45" s="131">
        <f t="shared" si="103"/>
        <v>0</v>
      </c>
      <c r="AF45" s="131">
        <f t="shared" si="104"/>
        <v>0</v>
      </c>
      <c r="AG45" s="131">
        <f t="shared" si="105"/>
        <v>0</v>
      </c>
      <c r="AH45" s="116" t="e">
        <f t="shared" si="106"/>
        <v>#DIV/0!</v>
      </c>
      <c r="AI45" s="21">
        <f t="shared" si="18"/>
        <v>0.02</v>
      </c>
      <c r="AJ45" s="124">
        <f t="shared" si="107"/>
        <v>0</v>
      </c>
    </row>
    <row r="46" spans="1:36">
      <c r="A46" s="180"/>
      <c r="B46" s="179"/>
      <c r="C46" s="119"/>
      <c r="D46" s="119"/>
      <c r="E46" s="125"/>
      <c r="F46" s="128"/>
      <c r="G46" s="128" t="e">
        <f t="shared" ref="G46" si="159">(G45-E45)/E45</f>
        <v>#DIV/0!</v>
      </c>
      <c r="H46" s="128" t="e">
        <f t="shared" ref="H46" si="160">(H45-F45)/F45</f>
        <v>#DIV/0!</v>
      </c>
      <c r="I46" s="128" t="e">
        <f t="shared" ref="I46" si="161">(I45-H45)/H45</f>
        <v>#DIV/0!</v>
      </c>
      <c r="J46" s="128" t="e">
        <f t="shared" ref="J46" si="162">(J45-I45)/I45</f>
        <v>#DIV/0!</v>
      </c>
      <c r="K46" s="128" t="e">
        <f t="shared" ref="K46" si="163">(K45-J45)/J45</f>
        <v>#DIV/0!</v>
      </c>
      <c r="L46" s="128" t="e">
        <f t="shared" ref="L46" si="164">(L45-K45)/K45</f>
        <v>#DIV/0!</v>
      </c>
      <c r="M46" s="128" t="e">
        <f t="shared" ref="M46" si="165">(M45-L45)/L45</f>
        <v>#DIV/0!</v>
      </c>
      <c r="N46" s="128" t="e">
        <f t="shared" ref="N46" si="166">(N45-M45)/M45</f>
        <v>#DIV/0!</v>
      </c>
      <c r="O46" s="128" t="e">
        <f t="shared" ref="O46" si="167">(O45-N45)/N45</f>
        <v>#DIV/0!</v>
      </c>
      <c r="P46" s="128" t="e">
        <f t="shared" ref="P46" si="168">(P45-O45)/O45</f>
        <v>#DIV/0!</v>
      </c>
      <c r="Q46" s="128" t="e">
        <f t="shared" ref="Q46" si="169">(Q45-P45)/P45</f>
        <v>#DIV/0!</v>
      </c>
      <c r="R46" s="128" t="e">
        <f t="shared" ref="R46" si="170">(R45-Q45)/Q45</f>
        <v>#DIV/0!</v>
      </c>
      <c r="S46" s="128" t="e">
        <f t="shared" ref="S46" si="171">(S45-R45)/R45</f>
        <v>#DIV/0!</v>
      </c>
      <c r="T46" s="128" t="e">
        <f t="shared" ref="T46:U46" si="172">(T45-S45)/S45</f>
        <v>#DIV/0!</v>
      </c>
      <c r="U46" s="128" t="e">
        <f t="shared" si="172"/>
        <v>#DIV/0!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>
      <c r="A47" s="180"/>
      <c r="B47" s="179" t="s">
        <v>433</v>
      </c>
      <c r="C47" s="119"/>
      <c r="D47" s="119"/>
      <c r="E47" s="125"/>
      <c r="F47" s="182"/>
      <c r="G47" s="182">
        <f t="shared" ref="G47" si="173">H47</f>
        <v>0</v>
      </c>
      <c r="H47" s="182">
        <f t="shared" ref="H47:I47" si="174">I47</f>
        <v>0</v>
      </c>
      <c r="I47" s="182">
        <f t="shared" si="174"/>
        <v>0</v>
      </c>
      <c r="J47" s="182">
        <f>K47</f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82">
        <v>0</v>
      </c>
      <c r="U47" s="182">
        <v>1</v>
      </c>
      <c r="V47" s="101" t="e">
        <f t="shared" si="3"/>
        <v>#DIV/0!</v>
      </c>
      <c r="W47" s="21">
        <f t="shared" si="8"/>
        <v>0.2</v>
      </c>
      <c r="X47" s="131">
        <f>U47*(1+$W47)</f>
        <v>1.2</v>
      </c>
      <c r="Y47" s="131">
        <f t="shared" ref="Y47" si="175">X47*(1+$W47)</f>
        <v>1.44</v>
      </c>
      <c r="Z47" s="131">
        <f t="shared" ref="Z47" si="176">Y47*(1+$W47)</f>
        <v>1.728</v>
      </c>
      <c r="AA47" s="131">
        <f t="shared" ref="AA47" si="177">Z47*(1+$W47)</f>
        <v>2.0735999999999999</v>
      </c>
      <c r="AB47" s="131">
        <f t="shared" ref="AB47" si="178">AA47*(1+$W47)</f>
        <v>2.4883199999999999</v>
      </c>
      <c r="AC47" s="131">
        <f t="shared" ref="AC47" si="179">AB47*(1+$W47)</f>
        <v>2.9859839999999997</v>
      </c>
      <c r="AD47" s="131">
        <f t="shared" ref="AD47" si="180">AC47*(1+$W47)</f>
        <v>3.5831807999999996</v>
      </c>
      <c r="AE47" s="131">
        <f t="shared" ref="AE47" si="181">AD47*(1+$W47)</f>
        <v>4.2998169599999994</v>
      </c>
      <c r="AF47" s="131">
        <f t="shared" ref="AF47" si="182">AE47*(1+$W47)</f>
        <v>5.1597803519999994</v>
      </c>
      <c r="AG47" s="131">
        <f t="shared" ref="AG47" si="183">AF47*(1+$W47)</f>
        <v>6.1917364223999991</v>
      </c>
      <c r="AH47" s="116" t="e">
        <f t="shared" ref="AH47" si="184">((AG47/J47)^(1/($AG$3-$K$1) ))-1</f>
        <v>#DIV/0!</v>
      </c>
      <c r="AI47" s="21">
        <f t="shared" si="18"/>
        <v>0.02</v>
      </c>
      <c r="AJ47" s="124">
        <f t="shared" si="107"/>
        <v>48.58131654498461</v>
      </c>
    </row>
    <row r="48" spans="1:36">
      <c r="A48" s="180"/>
      <c r="B48" s="179"/>
      <c r="C48" s="119"/>
      <c r="D48" s="119"/>
      <c r="E48" s="125"/>
      <c r="F48" s="128"/>
      <c r="G48" s="128" t="e">
        <f t="shared" ref="G48" si="185">(G47-E47)/E47</f>
        <v>#DIV/0!</v>
      </c>
      <c r="H48" s="128" t="e">
        <f t="shared" ref="H48" si="186">(H47-F47)/F47</f>
        <v>#DIV/0!</v>
      </c>
      <c r="I48" s="128" t="e">
        <f t="shared" ref="I48" si="187">(I47-H47)/H47</f>
        <v>#DIV/0!</v>
      </c>
      <c r="J48" s="128" t="e">
        <f t="shared" ref="J48" si="188">(J47-I47)/I47</f>
        <v>#DIV/0!</v>
      </c>
      <c r="K48" s="128" t="e">
        <f t="shared" ref="K48" si="189">(K47-J47)/J47</f>
        <v>#DIV/0!</v>
      </c>
      <c r="L48" s="128" t="e">
        <f t="shared" ref="L48" si="190">(L47-K47)/K47</f>
        <v>#DIV/0!</v>
      </c>
      <c r="M48" s="128" t="e">
        <f t="shared" ref="M48" si="191">(M47-L47)/L47</f>
        <v>#DIV/0!</v>
      </c>
      <c r="N48" s="128" t="e">
        <f t="shared" ref="N48" si="192">(N47-M47)/M47</f>
        <v>#DIV/0!</v>
      </c>
      <c r="O48" s="128" t="e">
        <f t="shared" ref="O48" si="193">(O47-N47)/N47</f>
        <v>#DIV/0!</v>
      </c>
      <c r="P48" s="128" t="e">
        <f t="shared" ref="P48" si="194">(P47-O47)/O47</f>
        <v>#DIV/0!</v>
      </c>
      <c r="Q48" s="128" t="e">
        <f t="shared" ref="Q48" si="195">(Q47-P47)/P47</f>
        <v>#DIV/0!</v>
      </c>
      <c r="R48" s="128" t="e">
        <f t="shared" ref="R48" si="196">(R47-Q47)/Q47</f>
        <v>#DIV/0!</v>
      </c>
      <c r="S48" s="128" t="e">
        <f t="shared" ref="S48" si="197">(S47-R47)/R47</f>
        <v>#DIV/0!</v>
      </c>
      <c r="T48" s="128" t="e">
        <f t="shared" ref="T48:U48" si="198">(T47-S47)/S47</f>
        <v>#DIV/0!</v>
      </c>
      <c r="U48" s="128" t="e">
        <f t="shared" si="198"/>
        <v>#DIV/0!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>
      <c r="A49" s="180"/>
      <c r="B49" s="179" t="s">
        <v>424</v>
      </c>
      <c r="C49" s="119"/>
      <c r="D49" s="119"/>
      <c r="E49" s="125"/>
      <c r="F49" s="182"/>
      <c r="G49" s="182">
        <f t="shared" ref="G49" si="199">H49</f>
        <v>0</v>
      </c>
      <c r="H49" s="182">
        <f t="shared" ref="H49:I49" si="200">I49</f>
        <v>0</v>
      </c>
      <c r="I49" s="182">
        <f t="shared" si="200"/>
        <v>0</v>
      </c>
      <c r="J49" s="182">
        <f>K49</f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82">
        <v>0</v>
      </c>
      <c r="U49" s="182">
        <v>1</v>
      </c>
      <c r="V49" s="101" t="e">
        <f t="shared" si="3"/>
        <v>#DIV/0!</v>
      </c>
      <c r="W49" s="21">
        <f t="shared" si="8"/>
        <v>0.2</v>
      </c>
      <c r="X49" s="131">
        <f>U49*(1+$W49)</f>
        <v>1.2</v>
      </c>
      <c r="Y49" s="131">
        <f t="shared" si="97"/>
        <v>1.44</v>
      </c>
      <c r="Z49" s="131">
        <f t="shared" si="98"/>
        <v>1.728</v>
      </c>
      <c r="AA49" s="131">
        <f t="shared" si="99"/>
        <v>2.0735999999999999</v>
      </c>
      <c r="AB49" s="131">
        <f t="shared" si="100"/>
        <v>2.4883199999999999</v>
      </c>
      <c r="AC49" s="131">
        <f t="shared" si="101"/>
        <v>2.9859839999999997</v>
      </c>
      <c r="AD49" s="131">
        <f t="shared" si="102"/>
        <v>3.5831807999999996</v>
      </c>
      <c r="AE49" s="131">
        <f t="shared" si="103"/>
        <v>4.2998169599999994</v>
      </c>
      <c r="AF49" s="131">
        <f t="shared" si="104"/>
        <v>5.1597803519999994</v>
      </c>
      <c r="AG49" s="131">
        <f t="shared" si="105"/>
        <v>6.1917364223999991</v>
      </c>
      <c r="AH49" s="116" t="e">
        <f t="shared" si="106"/>
        <v>#DIV/0!</v>
      </c>
      <c r="AI49" s="21">
        <f t="shared" si="18"/>
        <v>0.02</v>
      </c>
      <c r="AJ49" s="124">
        <f t="shared" si="107"/>
        <v>48.58131654498461</v>
      </c>
    </row>
    <row r="50" spans="1:36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>
      <c r="B51" s="10" t="s">
        <v>230</v>
      </c>
      <c r="C51" s="119"/>
      <c r="D51" s="119"/>
      <c r="E51" s="125"/>
      <c r="F51" s="125"/>
      <c r="G51" s="125">
        <f t="shared" ref="G51" si="201">I51</f>
        <v>79</v>
      </c>
      <c r="H51" s="125"/>
      <c r="I51" s="125">
        <v>79</v>
      </c>
      <c r="J51" s="125">
        <v>194</v>
      </c>
      <c r="K51" s="125">
        <v>652</v>
      </c>
      <c r="L51" s="125">
        <v>480</v>
      </c>
      <c r="M51" s="125">
        <v>570</v>
      </c>
      <c r="N51" s="125">
        <v>0</v>
      </c>
      <c r="O51" s="125">
        <v>1062</v>
      </c>
      <c r="P51" s="125">
        <v>1417</v>
      </c>
      <c r="Q51" s="125">
        <v>1605</v>
      </c>
      <c r="R51" s="125">
        <v>2399</v>
      </c>
      <c r="S51" s="182">
        <v>3267</v>
      </c>
      <c r="T51" s="182">
        <v>3832</v>
      </c>
      <c r="U51" s="182">
        <v>5021</v>
      </c>
      <c r="V51" s="101">
        <f t="shared" si="3"/>
        <v>0.31951451544376752</v>
      </c>
      <c r="W51" s="21">
        <f t="shared" si="8"/>
        <v>0.2</v>
      </c>
      <c r="X51" s="131">
        <f>U51*(1+$W51)</f>
        <v>6025.2</v>
      </c>
      <c r="Y51" s="131">
        <f t="shared" ref="Y51" si="202">X51*(1+$W51)</f>
        <v>7230.24</v>
      </c>
      <c r="Z51" s="131">
        <f t="shared" ref="Z51" si="203">Y51*(1+$W51)</f>
        <v>8676.2879999999986</v>
      </c>
      <c r="AA51" s="131">
        <f t="shared" ref="AA51" si="204">Z51*(1+$W51)</f>
        <v>10411.545599999998</v>
      </c>
      <c r="AB51" s="131">
        <f t="shared" si="42"/>
        <v>12493.854719999998</v>
      </c>
      <c r="AC51" s="131">
        <f t="shared" si="43"/>
        <v>14992.625663999996</v>
      </c>
      <c r="AD51" s="131">
        <f t="shared" si="44"/>
        <v>17991.150796799993</v>
      </c>
      <c r="AE51" s="131">
        <f t="shared" si="45"/>
        <v>21589.380956159992</v>
      </c>
      <c r="AF51" s="131">
        <f t="shared" si="46"/>
        <v>25907.257147391989</v>
      </c>
      <c r="AG51" s="131">
        <f t="shared" si="47"/>
        <v>31088.708576870384</v>
      </c>
      <c r="AH51" s="116">
        <f t="shared" si="20"/>
        <v>0.24698408571726627</v>
      </c>
      <c r="AI51" s="21">
        <f t="shared" si="18"/>
        <v>0.02</v>
      </c>
      <c r="AJ51" s="124">
        <f t="shared" si="1"/>
        <v>243926.7903723676</v>
      </c>
    </row>
    <row r="52" spans="1:36" s="106" customFormat="1">
      <c r="B52" s="13"/>
      <c r="C52" s="126"/>
      <c r="D52" s="126"/>
      <c r="E52" s="127"/>
      <c r="F52" s="272"/>
      <c r="G52" s="272">
        <f t="shared" ref="G52:P52" si="205">(G51-F51)/G51</f>
        <v>1</v>
      </c>
      <c r="H52" s="272" t="e">
        <f t="shared" si="205"/>
        <v>#DIV/0!</v>
      </c>
      <c r="I52" s="272">
        <f t="shared" si="205"/>
        <v>1</v>
      </c>
      <c r="J52" s="272">
        <f t="shared" si="205"/>
        <v>0.59278350515463918</v>
      </c>
      <c r="K52" s="272">
        <f t="shared" si="205"/>
        <v>0.7024539877300614</v>
      </c>
      <c r="L52" s="272">
        <f t="shared" si="205"/>
        <v>-0.35833333333333334</v>
      </c>
      <c r="M52" s="272">
        <f t="shared" si="205"/>
        <v>0.15789473684210525</v>
      </c>
      <c r="N52" s="272" t="e">
        <f t="shared" si="205"/>
        <v>#DIV/0!</v>
      </c>
      <c r="O52" s="272">
        <f t="shared" si="205"/>
        <v>1</v>
      </c>
      <c r="P52" s="272">
        <f t="shared" si="205"/>
        <v>0.25052928722653495</v>
      </c>
      <c r="Q52" s="272">
        <f t="shared" ref="Q52:R52" si="206">(Q51-P51)/Q51</f>
        <v>0.11713395638629283</v>
      </c>
      <c r="R52" s="272">
        <f t="shared" si="206"/>
        <v>0.33097123801583994</v>
      </c>
      <c r="S52" s="128">
        <f t="shared" ref="S52:U52" si="207">(S51-R51)/R51</f>
        <v>0.36181742392663607</v>
      </c>
      <c r="T52" s="128">
        <f t="shared" si="207"/>
        <v>0.17294153657790021</v>
      </c>
      <c r="U52" s="128">
        <f t="shared" si="207"/>
        <v>0.31028183716075158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>
      <c r="B53" s="10" t="s">
        <v>345</v>
      </c>
      <c r="C53" s="126"/>
      <c r="D53" s="126"/>
      <c r="E53" s="127"/>
      <c r="F53" s="125"/>
      <c r="G53" s="125">
        <f t="shared" ref="G53" si="208">I53</f>
        <v>71</v>
      </c>
      <c r="H53" s="125"/>
      <c r="I53" s="125">
        <v>71</v>
      </c>
      <c r="J53" s="125">
        <v>175</v>
      </c>
      <c r="K53" s="125">
        <v>446</v>
      </c>
      <c r="L53" s="125">
        <v>329</v>
      </c>
      <c r="M53" s="125">
        <v>350</v>
      </c>
      <c r="N53" s="125">
        <v>0</v>
      </c>
      <c r="O53" s="125">
        <v>198</v>
      </c>
      <c r="P53" s="125">
        <v>259</v>
      </c>
      <c r="Q53" s="125">
        <v>351</v>
      </c>
      <c r="R53" s="125">
        <v>510</v>
      </c>
      <c r="S53" s="182">
        <v>571</v>
      </c>
      <c r="T53" s="182">
        <v>943</v>
      </c>
      <c r="U53" s="182">
        <v>1418</v>
      </c>
      <c r="V53" s="101">
        <f t="shared" si="3"/>
        <v>0.20290791281750509</v>
      </c>
      <c r="W53" s="21">
        <f t="shared" si="8"/>
        <v>0.2</v>
      </c>
      <c r="X53" s="131">
        <f>U53*(1+$W53)</f>
        <v>1701.6</v>
      </c>
      <c r="Y53" s="131">
        <f t="shared" ref="Y53" si="209">X53*(1+$W53)</f>
        <v>2041.9199999999998</v>
      </c>
      <c r="Z53" s="131">
        <f t="shared" ref="Z53" si="210">Y53*(1+$W53)</f>
        <v>2450.3039999999996</v>
      </c>
      <c r="AA53" s="131">
        <f t="shared" ref="AA53" si="211">Z53*(1+$W53)</f>
        <v>2940.3647999999994</v>
      </c>
      <c r="AB53" s="131">
        <f t="shared" ref="AB53" si="212">AA53*(1+$W53)</f>
        <v>3528.4377599999993</v>
      </c>
      <c r="AC53" s="131">
        <f t="shared" ref="AC53" si="213">AB53*(1+$W53)</f>
        <v>4234.1253119999992</v>
      </c>
      <c r="AD53" s="131">
        <f t="shared" ref="AD53" si="214">AC53*(1+$W53)</f>
        <v>5080.9503743999985</v>
      </c>
      <c r="AE53" s="131">
        <f t="shared" ref="AE53" si="215">AD53*(1+$W53)</f>
        <v>6097.1404492799984</v>
      </c>
      <c r="AF53" s="131">
        <f t="shared" ref="AF53" si="216">AE53*(1+$W53)</f>
        <v>7316.5685391359975</v>
      </c>
      <c r="AG53" s="131">
        <f t="shared" ref="AG53" si="217">AF53*(1+$W53)</f>
        <v>8779.8822469631959</v>
      </c>
      <c r="AH53" s="116">
        <f t="shared" ref="AH53" si="218">((AG53/J53)^(1/($AG$3-$K$1) ))-1</f>
        <v>0.18558483798615999</v>
      </c>
      <c r="AI53" s="21">
        <f t="shared" si="18"/>
        <v>0.02</v>
      </c>
      <c r="AJ53" s="124">
        <f t="shared" ref="AJ53" si="219">(AG53*(1+AI53))/($C$1-AI53)</f>
        <v>68888.306860788143</v>
      </c>
    </row>
    <row r="54" spans="1:36" s="106" customFormat="1">
      <c r="B54" s="13"/>
      <c r="C54" s="126"/>
      <c r="D54" s="126"/>
      <c r="E54" s="127"/>
      <c r="F54" s="272"/>
      <c r="G54" s="272">
        <f t="shared" ref="G54:P54" si="220">(G53-F53)/G53</f>
        <v>1</v>
      </c>
      <c r="H54" s="272" t="e">
        <f t="shared" si="220"/>
        <v>#DIV/0!</v>
      </c>
      <c r="I54" s="272">
        <f t="shared" si="220"/>
        <v>1</v>
      </c>
      <c r="J54" s="272">
        <f t="shared" si="220"/>
        <v>0.59428571428571431</v>
      </c>
      <c r="K54" s="272">
        <f t="shared" si="220"/>
        <v>0.6076233183856502</v>
      </c>
      <c r="L54" s="272">
        <f t="shared" si="220"/>
        <v>-0.35562310030395139</v>
      </c>
      <c r="M54" s="272">
        <f t="shared" si="220"/>
        <v>0.06</v>
      </c>
      <c r="N54" s="272" t="e">
        <f t="shared" si="220"/>
        <v>#DIV/0!</v>
      </c>
      <c r="O54" s="272">
        <f t="shared" si="220"/>
        <v>1</v>
      </c>
      <c r="P54" s="272">
        <f t="shared" si="220"/>
        <v>0.23552123552123552</v>
      </c>
      <c r="Q54" s="272">
        <f t="shared" ref="Q54:R54" si="221">(Q53-P53)/Q53</f>
        <v>0.2621082621082621</v>
      </c>
      <c r="R54" s="272">
        <f t="shared" si="221"/>
        <v>0.31176470588235294</v>
      </c>
      <c r="S54" s="128">
        <f t="shared" ref="S54:U54" si="222">(S53-R53)/R53</f>
        <v>0.11960784313725491</v>
      </c>
      <c r="T54" s="128">
        <f t="shared" si="222"/>
        <v>0.65148861646234679</v>
      </c>
      <c r="U54" s="128">
        <f t="shared" si="222"/>
        <v>0.50371155885471897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>
      <c r="B55" s="10" t="s">
        <v>346</v>
      </c>
      <c r="C55" s="119"/>
      <c r="D55" s="119"/>
      <c r="E55" s="125"/>
      <c r="F55" s="125"/>
      <c r="G55" s="125">
        <f t="shared" ref="G55" si="223">I55</f>
        <v>42</v>
      </c>
      <c r="H55" s="125"/>
      <c r="I55" s="125">
        <v>42</v>
      </c>
      <c r="J55" s="125">
        <v>110</v>
      </c>
      <c r="K55" s="125">
        <v>292</v>
      </c>
      <c r="L55" s="125">
        <v>209</v>
      </c>
      <c r="M55" s="125">
        <v>245</v>
      </c>
      <c r="N55" s="125">
        <v>0</v>
      </c>
      <c r="O55" s="125">
        <v>131</v>
      </c>
      <c r="P55" s="125">
        <v>171</v>
      </c>
      <c r="Q55" s="125">
        <v>217</v>
      </c>
      <c r="R55" s="125">
        <v>308</v>
      </c>
      <c r="S55" s="182">
        <v>335</v>
      </c>
      <c r="T55" s="182">
        <v>548</v>
      </c>
      <c r="U55" s="182">
        <v>858</v>
      </c>
      <c r="V55" s="101">
        <f t="shared" si="3"/>
        <v>0.20138112620485926</v>
      </c>
      <c r="W55" s="21">
        <f t="shared" si="8"/>
        <v>0.2</v>
      </c>
      <c r="X55" s="131">
        <f>U55*(1+$W55)</f>
        <v>1029.5999999999999</v>
      </c>
      <c r="Y55" s="131">
        <f t="shared" ref="Y55:AG55" si="224">X55*(1+$W55)</f>
        <v>1235.5199999999998</v>
      </c>
      <c r="Z55" s="131">
        <f t="shared" si="224"/>
        <v>1482.6239999999996</v>
      </c>
      <c r="AA55" s="131">
        <f t="shared" si="224"/>
        <v>1779.1487999999995</v>
      </c>
      <c r="AB55" s="131">
        <f t="shared" si="224"/>
        <v>2134.9785599999991</v>
      </c>
      <c r="AC55" s="131">
        <f t="shared" si="224"/>
        <v>2561.974271999999</v>
      </c>
      <c r="AD55" s="131">
        <f t="shared" si="224"/>
        <v>3074.3691263999985</v>
      </c>
      <c r="AE55" s="131">
        <f t="shared" si="224"/>
        <v>3689.242951679998</v>
      </c>
      <c r="AF55" s="131">
        <f t="shared" si="224"/>
        <v>4427.0915420159972</v>
      </c>
      <c r="AG55" s="131">
        <f t="shared" si="224"/>
        <v>5312.5098504191965</v>
      </c>
      <c r="AH55" s="116">
        <f t="shared" si="20"/>
        <v>0.18362287695123691</v>
      </c>
      <c r="AI55" s="21">
        <f t="shared" si="18"/>
        <v>0.02</v>
      </c>
      <c r="AJ55" s="124">
        <f t="shared" si="1"/>
        <v>41682.769595596772</v>
      </c>
    </row>
    <row r="56" spans="1:36" s="106" customFormat="1">
      <c r="B56" s="13"/>
      <c r="C56" s="126"/>
      <c r="D56" s="126"/>
      <c r="E56" s="127"/>
      <c r="F56" s="272"/>
      <c r="G56" s="272">
        <f>(G55-F55)/G55</f>
        <v>1</v>
      </c>
      <c r="H56" s="272" t="e">
        <f t="shared" ref="H56:P56" si="225">(H55-G55)/H55</f>
        <v>#DIV/0!</v>
      </c>
      <c r="I56" s="272">
        <f t="shared" si="225"/>
        <v>1</v>
      </c>
      <c r="J56" s="272">
        <f t="shared" si="225"/>
        <v>0.61818181818181817</v>
      </c>
      <c r="K56" s="272">
        <f t="shared" si="225"/>
        <v>0.62328767123287676</v>
      </c>
      <c r="L56" s="272">
        <f t="shared" si="225"/>
        <v>-0.39712918660287083</v>
      </c>
      <c r="M56" s="272">
        <f t="shared" si="225"/>
        <v>0.14693877551020409</v>
      </c>
      <c r="N56" s="272" t="e">
        <f t="shared" si="225"/>
        <v>#DIV/0!</v>
      </c>
      <c r="O56" s="272">
        <f t="shared" si="225"/>
        <v>1</v>
      </c>
      <c r="P56" s="272">
        <f t="shared" si="225"/>
        <v>0.23391812865497075</v>
      </c>
      <c r="Q56" s="272">
        <f t="shared" ref="Q56:R56" si="226">(Q55-P55)/Q55</f>
        <v>0.2119815668202765</v>
      </c>
      <c r="R56" s="272">
        <f t="shared" si="226"/>
        <v>0.29545454545454547</v>
      </c>
      <c r="S56" s="128">
        <f t="shared" ref="S56:U56" si="227">(S55-R55)/R55</f>
        <v>8.7662337662337664E-2</v>
      </c>
      <c r="T56" s="128">
        <f t="shared" si="227"/>
        <v>0.63582089552238807</v>
      </c>
      <c r="U56" s="128">
        <f t="shared" si="227"/>
        <v>0.56569343065693434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>
      <c r="B57" s="10" t="s">
        <v>197</v>
      </c>
      <c r="C57" s="120"/>
      <c r="D57" s="120"/>
      <c r="E57" s="123"/>
      <c r="F57" s="125"/>
      <c r="G57" s="125">
        <f t="shared" ref="G57:G59" si="228">I57</f>
        <v>3.78</v>
      </c>
      <c r="H57" s="274"/>
      <c r="I57" s="274">
        <v>3.78</v>
      </c>
      <c r="J57" s="274">
        <v>4.49</v>
      </c>
      <c r="K57" s="274">
        <v>7.49</v>
      </c>
      <c r="L57" s="274">
        <v>7.49</v>
      </c>
      <c r="M57" s="274">
        <v>7.5</v>
      </c>
      <c r="N57" s="274">
        <v>7.5</v>
      </c>
      <c r="O57" s="274">
        <v>75.67</v>
      </c>
      <c r="P57" s="274">
        <v>76.38</v>
      </c>
      <c r="Q57" s="123">
        <v>72.41</v>
      </c>
      <c r="R57" s="123">
        <v>79.17</v>
      </c>
      <c r="S57" s="123">
        <v>81.400000000000006</v>
      </c>
      <c r="T57" s="123">
        <v>83.25</v>
      </c>
      <c r="U57" s="123">
        <v>91.54</v>
      </c>
      <c r="V57" s="101">
        <f t="shared" si="3"/>
        <v>0.24715631104357239</v>
      </c>
      <c r="W57" s="21">
        <v>0.04</v>
      </c>
      <c r="X57" s="131">
        <f>U57*(1+$W57)</f>
        <v>95.201600000000013</v>
      </c>
      <c r="Y57" s="131">
        <f>X57*(1+$W57)</f>
        <v>99.009664000000015</v>
      </c>
      <c r="Z57" s="131">
        <f t="shared" ref="Z57:AG57" si="229">Y57*(1+$W57)</f>
        <v>102.97005056000002</v>
      </c>
      <c r="AA57" s="131">
        <f t="shared" si="229"/>
        <v>107.08885258240002</v>
      </c>
      <c r="AB57" s="131">
        <f t="shared" si="229"/>
        <v>111.37240668569602</v>
      </c>
      <c r="AC57" s="131">
        <f t="shared" si="229"/>
        <v>115.82730295312386</v>
      </c>
      <c r="AD57" s="131">
        <f t="shared" si="229"/>
        <v>120.46039507124883</v>
      </c>
      <c r="AE57" s="131">
        <f t="shared" si="229"/>
        <v>125.27881087409878</v>
      </c>
      <c r="AF57" s="131">
        <f t="shared" si="229"/>
        <v>130.28996330906273</v>
      </c>
      <c r="AG57" s="131">
        <f t="shared" si="229"/>
        <v>135.50156184142523</v>
      </c>
      <c r="AH57" s="116">
        <f t="shared" si="20"/>
        <v>0.15967072512719249</v>
      </c>
      <c r="AI57" s="21">
        <f t="shared" si="18"/>
        <v>0.02</v>
      </c>
      <c r="AJ57" s="124">
        <f t="shared" si="1"/>
        <v>1063.1661006019517</v>
      </c>
    </row>
    <row r="58" spans="1:36">
      <c r="B58" s="10"/>
      <c r="C58" s="120"/>
      <c r="D58" s="120"/>
      <c r="E58" s="121"/>
      <c r="F58" s="272"/>
      <c r="G58" s="272">
        <f t="shared" ref="G58" si="230">(G57-E57)/G57</f>
        <v>1</v>
      </c>
      <c r="H58" s="272" t="e">
        <f>(H57-F57)/H57</f>
        <v>#DIV/0!</v>
      </c>
      <c r="I58" s="272">
        <f t="shared" ref="I58:R58" si="231">(I57-H57)/I57</f>
        <v>1</v>
      </c>
      <c r="J58" s="272">
        <f t="shared" si="231"/>
        <v>0.15812917594654796</v>
      </c>
      <c r="K58" s="272">
        <f t="shared" si="231"/>
        <v>0.40053404539385845</v>
      </c>
      <c r="L58" s="272">
        <f t="shared" si="231"/>
        <v>0</v>
      </c>
      <c r="M58" s="272">
        <f t="shared" si="231"/>
        <v>1.3333333333333049E-3</v>
      </c>
      <c r="N58" s="272">
        <f t="shared" si="231"/>
        <v>0</v>
      </c>
      <c r="O58" s="272">
        <f t="shared" si="231"/>
        <v>0.90088542354962342</v>
      </c>
      <c r="P58" s="272">
        <f t="shared" si="231"/>
        <v>9.2956271275202122E-3</v>
      </c>
      <c r="Q58" s="272">
        <f t="shared" si="231"/>
        <v>-5.4826681397597006E-2</v>
      </c>
      <c r="R58" s="272">
        <f t="shared" si="231"/>
        <v>8.5385878489326827E-2</v>
      </c>
      <c r="S58" s="128">
        <f t="shared" ref="S58:U58" si="232">(S57-R57)/R57</f>
        <v>2.8167235063786839E-2</v>
      </c>
      <c r="T58" s="128">
        <f t="shared" si="232"/>
        <v>2.2727272727272655E-2</v>
      </c>
      <c r="U58" s="128">
        <f t="shared" si="232"/>
        <v>9.957957957957965E-2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>
      <c r="B59" s="10" t="s">
        <v>233</v>
      </c>
      <c r="C59" s="123"/>
      <c r="D59" s="123"/>
      <c r="E59" s="123"/>
      <c r="F59" s="125"/>
      <c r="G59" s="125">
        <f t="shared" si="228"/>
        <v>0.1</v>
      </c>
      <c r="H59" s="123"/>
      <c r="I59" s="123">
        <v>0.1</v>
      </c>
      <c r="J59" s="123">
        <v>0</v>
      </c>
      <c r="K59" s="123">
        <v>4</v>
      </c>
      <c r="L59" s="123">
        <v>6</v>
      </c>
      <c r="M59" s="123">
        <v>12</v>
      </c>
      <c r="N59" s="123">
        <v>5.5</v>
      </c>
      <c r="O59" s="123">
        <v>0.6</v>
      </c>
      <c r="P59" s="123">
        <v>0.65</v>
      </c>
      <c r="Q59" s="123">
        <v>0.7</v>
      </c>
      <c r="R59" s="123">
        <v>1</v>
      </c>
      <c r="S59" s="123">
        <v>1.25</v>
      </c>
      <c r="T59" s="123">
        <v>1.3</v>
      </c>
      <c r="U59" s="123">
        <v>1.35</v>
      </c>
      <c r="V59" s="101">
        <f t="shared" si="3"/>
        <v>0.20106740836764758</v>
      </c>
      <c r="W59" s="21">
        <v>0.02</v>
      </c>
      <c r="X59" s="131">
        <f>U59*(1+$W59)</f>
        <v>1.3770000000000002</v>
      </c>
      <c r="Y59" s="131">
        <f t="shared" ref="Y59" si="233">X59*(1+$W59)</f>
        <v>1.4045400000000003</v>
      </c>
      <c r="Z59" s="131">
        <f t="shared" ref="Z59" si="234">Y59*(1+$W59)</f>
        <v>1.4326308000000003</v>
      </c>
      <c r="AA59" s="131">
        <f t="shared" ref="AA59" si="235">Z59*(1+$W59)</f>
        <v>1.4612834160000003</v>
      </c>
      <c r="AB59" s="131">
        <f t="shared" ref="AB59" si="236">AA59*(1+$W59)</f>
        <v>1.4905090843200004</v>
      </c>
      <c r="AC59" s="131">
        <f t="shared" ref="AC59" si="237">AB59*(1+$W59)</f>
        <v>1.5203192660064004</v>
      </c>
      <c r="AD59" s="131">
        <f t="shared" ref="AD59" si="238">AC59*(1+$W59)</f>
        <v>1.5507256513265284</v>
      </c>
      <c r="AE59" s="131">
        <f t="shared" ref="AE59" si="239">AD59*(1+$W59)</f>
        <v>1.5817401643530591</v>
      </c>
      <c r="AF59" s="131">
        <f t="shared" ref="AF59" si="240">AE59*(1+$W59)</f>
        <v>1.6133749676401203</v>
      </c>
      <c r="AG59" s="131">
        <f t="shared" ref="AG59" si="241">AF59*(1+$W59)</f>
        <v>1.6456424669929228</v>
      </c>
      <c r="AH59" s="116" t="e">
        <f t="shared" ref="AH59" si="242">((AG59/J59)^(1/($AG$3-$K$1) ))-1</f>
        <v>#DIV/0!</v>
      </c>
      <c r="AI59" s="21">
        <f t="shared" si="18"/>
        <v>0.02</v>
      </c>
      <c r="AJ59" s="124">
        <f t="shared" si="1"/>
        <v>12.911963971790625</v>
      </c>
    </row>
    <row r="60" spans="1:36">
      <c r="B60" s="10"/>
      <c r="C60" s="123"/>
      <c r="D60" s="123"/>
      <c r="E60" s="123"/>
      <c r="F60" s="128"/>
      <c r="G60" s="128" t="e">
        <f t="shared" ref="G60" si="243">(G59-E59)/E59</f>
        <v>#DIV/0!</v>
      </c>
      <c r="H60" s="128" t="e">
        <f t="shared" ref="H60" si="244">(H59-F59)/F59</f>
        <v>#DIV/0!</v>
      </c>
      <c r="I60" s="128" t="e">
        <f t="shared" ref="I60" si="245">(I59-H59)/H59</f>
        <v>#DIV/0!</v>
      </c>
      <c r="J60" s="128">
        <f t="shared" ref="J60:U60" si="246">(J59-I59)/I59</f>
        <v>-1</v>
      </c>
      <c r="K60" s="128" t="e">
        <f t="shared" si="246"/>
        <v>#DIV/0!</v>
      </c>
      <c r="L60" s="128">
        <f t="shared" si="246"/>
        <v>0.5</v>
      </c>
      <c r="M60" s="128">
        <f t="shared" si="246"/>
        <v>1</v>
      </c>
      <c r="N60" s="128">
        <f t="shared" si="246"/>
        <v>-0.54166666666666663</v>
      </c>
      <c r="O60" s="128">
        <f t="shared" si="246"/>
        <v>-0.89090909090909098</v>
      </c>
      <c r="P60" s="128">
        <f t="shared" si="246"/>
        <v>8.3333333333333412E-2</v>
      </c>
      <c r="Q60" s="128">
        <f t="shared" si="246"/>
        <v>7.6923076923076816E-2</v>
      </c>
      <c r="R60" s="128">
        <f t="shared" si="246"/>
        <v>0.42857142857142866</v>
      </c>
      <c r="S60" s="128">
        <f t="shared" si="246"/>
        <v>0.25</v>
      </c>
      <c r="T60" s="128">
        <f t="shared" si="246"/>
        <v>4.0000000000000036E-2</v>
      </c>
      <c r="U60" s="128">
        <f t="shared" si="246"/>
        <v>3.8461538461538491E-2</v>
      </c>
      <c r="V60" s="1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 t="s">
        <v>514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25">
        <v>0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 t="s">
        <v>513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25">
        <v>0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25">
        <v>0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>
      <c r="B64" s="10"/>
      <c r="C64" s="10"/>
      <c r="D64" s="10"/>
      <c r="E64" s="109"/>
      <c r="F64" s="109"/>
      <c r="G64" s="109"/>
      <c r="H64" s="109"/>
      <c r="I64" s="109"/>
      <c r="J64" s="10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0"/>
      <c r="W64" s="1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0"/>
      <c r="W65" s="1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>
      <c r="B66" s="10" t="s">
        <v>253</v>
      </c>
      <c r="C66" s="112"/>
      <c r="D66" s="112"/>
      <c r="E66" s="112"/>
      <c r="F66" s="112"/>
      <c r="G66" s="112">
        <f t="shared" ref="G66" si="247">G25/G57</f>
        <v>39.94708994708995</v>
      </c>
      <c r="H66" s="112" t="e">
        <f t="shared" ref="H66:I66" si="248">H25/H57</f>
        <v>#DIV/0!</v>
      </c>
      <c r="I66" s="112">
        <f t="shared" si="248"/>
        <v>39.94708994708995</v>
      </c>
      <c r="J66" s="112">
        <f t="shared" ref="J66:S66" si="249">J25/J57</f>
        <v>82.405345211581292</v>
      </c>
      <c r="K66" s="112">
        <f t="shared" si="249"/>
        <v>144.85981308411215</v>
      </c>
      <c r="L66" s="112">
        <f t="shared" si="249"/>
        <v>119.8931909212283</v>
      </c>
      <c r="M66" s="112">
        <f t="shared" si="249"/>
        <v>127.46666666666667</v>
      </c>
      <c r="N66" s="112">
        <f t="shared" si="249"/>
        <v>0</v>
      </c>
      <c r="O66" s="112">
        <f t="shared" si="249"/>
        <v>22.069512356283862</v>
      </c>
      <c r="P66" s="112">
        <f t="shared" si="249"/>
        <v>28.593872741555383</v>
      </c>
      <c r="Q66" s="112">
        <f t="shared" si="249"/>
        <v>35.285181604750726</v>
      </c>
      <c r="R66" s="112">
        <f t="shared" si="249"/>
        <v>49.172666414045722</v>
      </c>
      <c r="S66" s="112">
        <f t="shared" si="249"/>
        <v>64.717444717444707</v>
      </c>
      <c r="T66" s="112">
        <f t="shared" ref="T66:U66" si="250">T25/T57</f>
        <v>79.49549549549549</v>
      </c>
      <c r="U66" s="112">
        <f t="shared" si="250"/>
        <v>94.144636224601257</v>
      </c>
      <c r="V66" s="101">
        <f t="shared" ref="V66:V129" si="251">((T66/G66)^(1/($K$2-$K$1) ))-1</f>
        <v>5.0381236748384683E-2</v>
      </c>
      <c r="W66" s="110"/>
      <c r="X66" s="135">
        <f t="shared" ref="X66:AG66" si="252">X25/X57</f>
        <v>108.62842641300145</v>
      </c>
      <c r="Y66" s="135">
        <f t="shared" si="252"/>
        <v>125.34049201500167</v>
      </c>
      <c r="Z66" s="135">
        <f t="shared" si="252"/>
        <v>144.62364463269421</v>
      </c>
      <c r="AA66" s="135">
        <f t="shared" si="252"/>
        <v>166.87343611464715</v>
      </c>
      <c r="AB66" s="135">
        <f t="shared" si="252"/>
        <v>192.54627243997749</v>
      </c>
      <c r="AC66" s="135">
        <f t="shared" si="252"/>
        <v>222.1687758922817</v>
      </c>
      <c r="AD66" s="135">
        <f t="shared" si="252"/>
        <v>256.34858756801731</v>
      </c>
      <c r="AE66" s="135">
        <f t="shared" si="252"/>
        <v>295.78683180925071</v>
      </c>
      <c r="AF66" s="135">
        <f t="shared" si="252"/>
        <v>341.29249824144313</v>
      </c>
      <c r="AG66" s="135">
        <f t="shared" si="252"/>
        <v>393.79903643243438</v>
      </c>
      <c r="AH66" s="116">
        <f t="shared" ref="AH66" si="253">((AG66/J66)^(1/($AG$3-$K$1) ))-1</f>
        <v>7.0374169998778102E-2</v>
      </c>
      <c r="AI66" s="21">
        <f t="shared" si="18"/>
        <v>0.02</v>
      </c>
      <c r="AJ66" s="124">
        <f t="shared" ref="AJ66:AJ67" si="254">(AG66*(1+AI66))/($C$1-AI66)</f>
        <v>3089.8078243160235</v>
      </c>
    </row>
    <row r="67" spans="2:36">
      <c r="B67" s="10" t="s">
        <v>254</v>
      </c>
      <c r="C67" s="112"/>
      <c r="D67" s="112"/>
      <c r="E67" s="112"/>
      <c r="F67" s="112"/>
      <c r="G67" s="112">
        <f t="shared" ref="G67" si="255">G27/G57</f>
        <v>19.312169312169313</v>
      </c>
      <c r="H67" s="112" t="e">
        <f t="shared" ref="H67:I67" si="256">H27/H57</f>
        <v>#DIV/0!</v>
      </c>
      <c r="I67" s="112">
        <f t="shared" si="256"/>
        <v>19.312169312169313</v>
      </c>
      <c r="J67" s="112">
        <f t="shared" ref="J67:S67" si="257">J27/J57</f>
        <v>38.752783964365257</v>
      </c>
      <c r="K67" s="112">
        <f t="shared" si="257"/>
        <v>57.276368491321762</v>
      </c>
      <c r="L67" s="112">
        <f t="shared" si="257"/>
        <v>55.540720961281707</v>
      </c>
      <c r="M67" s="112">
        <f t="shared" si="257"/>
        <v>53.2</v>
      </c>
      <c r="N67" s="112">
        <f t="shared" si="257"/>
        <v>0</v>
      </c>
      <c r="O67" s="112">
        <f t="shared" si="257"/>
        <v>7.9291661160301308</v>
      </c>
      <c r="P67" s="112">
        <f t="shared" si="257"/>
        <v>9.937156323644933</v>
      </c>
      <c r="Q67" s="112">
        <f t="shared" si="257"/>
        <v>12.981632371219446</v>
      </c>
      <c r="R67" s="112">
        <f t="shared" si="257"/>
        <v>18.693949728432486</v>
      </c>
      <c r="S67" s="112">
        <f t="shared" si="257"/>
        <v>24.398034398034397</v>
      </c>
      <c r="T67" s="112">
        <f t="shared" ref="T67:U67" si="258">T27/T57</f>
        <v>33.141141141141141</v>
      </c>
      <c r="U67" s="112">
        <f t="shared" si="258"/>
        <v>38.881035612846844</v>
      </c>
      <c r="V67" s="101">
        <f t="shared" si="251"/>
        <v>3.9327933735654463E-2</v>
      </c>
      <c r="W67" s="110"/>
      <c r="X67" s="135">
        <f t="shared" ref="X67:AG67" si="259">X27/X57</f>
        <v>44.86273339943866</v>
      </c>
      <c r="Y67" s="135">
        <f t="shared" si="259"/>
        <v>51.764692383967677</v>
      </c>
      <c r="Z67" s="135">
        <f t="shared" si="259"/>
        <v>59.728491212270391</v>
      </c>
      <c r="AA67" s="135">
        <f t="shared" si="259"/>
        <v>68.917489860311989</v>
      </c>
      <c r="AB67" s="135">
        <f t="shared" si="259"/>
        <v>79.520180608052286</v>
      </c>
      <c r="AC67" s="135">
        <f t="shared" si="259"/>
        <v>91.754054547752645</v>
      </c>
      <c r="AD67" s="135">
        <f t="shared" si="259"/>
        <v>105.87006293971457</v>
      </c>
      <c r="AE67" s="135">
        <f t="shared" si="259"/>
        <v>122.15776493043988</v>
      </c>
      <c r="AF67" s="135">
        <f t="shared" si="259"/>
        <v>140.95126722743066</v>
      </c>
      <c r="AG67" s="135">
        <f t="shared" si="259"/>
        <v>162.63607757011229</v>
      </c>
      <c r="AH67" s="116">
        <f t="shared" ref="AH67" si="260">((AG67/J67)^(1/($AG$3-$K$1) ))-1</f>
        <v>6.4346941978579819E-2</v>
      </c>
      <c r="AI67" s="21">
        <f t="shared" si="18"/>
        <v>0.02</v>
      </c>
      <c r="AJ67" s="124">
        <f t="shared" si="254"/>
        <v>1276.0676855501119</v>
      </c>
    </row>
    <row r="68" spans="2:36">
      <c r="B68" s="10" t="s">
        <v>372</v>
      </c>
      <c r="C68" s="112"/>
      <c r="D68" s="112"/>
      <c r="E68" s="112"/>
      <c r="F68" s="112"/>
      <c r="G68" s="112">
        <f t="shared" ref="G68" si="261">G53-G55</f>
        <v>29</v>
      </c>
      <c r="H68" s="112">
        <f t="shared" ref="H68:I68" si="262">H53-H55</f>
        <v>0</v>
      </c>
      <c r="I68" s="112">
        <f t="shared" si="262"/>
        <v>29</v>
      </c>
      <c r="J68" s="112">
        <f>J53-J55</f>
        <v>65</v>
      </c>
      <c r="K68" s="112">
        <f t="shared" ref="K68:S68" si="263">K53-K55</f>
        <v>154</v>
      </c>
      <c r="L68" s="112">
        <f t="shared" si="263"/>
        <v>120</v>
      </c>
      <c r="M68" s="112">
        <f t="shared" si="263"/>
        <v>105</v>
      </c>
      <c r="N68" s="112">
        <f t="shared" si="263"/>
        <v>0</v>
      </c>
      <c r="O68" s="112">
        <f t="shared" si="263"/>
        <v>67</v>
      </c>
      <c r="P68" s="112">
        <f t="shared" si="263"/>
        <v>88</v>
      </c>
      <c r="Q68" s="112">
        <f t="shared" si="263"/>
        <v>134</v>
      </c>
      <c r="R68" s="112">
        <f t="shared" si="263"/>
        <v>202</v>
      </c>
      <c r="S68" s="112">
        <f t="shared" si="263"/>
        <v>236</v>
      </c>
      <c r="T68" s="112">
        <f t="shared" ref="T68:U68" si="264">T53-T55</f>
        <v>395</v>
      </c>
      <c r="U68" s="112">
        <f t="shared" si="264"/>
        <v>560</v>
      </c>
      <c r="V68" s="101">
        <f t="shared" si="251"/>
        <v>0.20507540073394792</v>
      </c>
      <c r="W68" s="110"/>
      <c r="X68" s="112">
        <f t="shared" ref="X68:AG68" si="265">X53-X55</f>
        <v>672</v>
      </c>
      <c r="Y68" s="112">
        <f t="shared" si="265"/>
        <v>806.40000000000009</v>
      </c>
      <c r="Z68" s="112">
        <f t="shared" si="265"/>
        <v>967.68000000000006</v>
      </c>
      <c r="AA68" s="112">
        <f t="shared" si="265"/>
        <v>1161.2159999999999</v>
      </c>
      <c r="AB68" s="112">
        <f t="shared" si="265"/>
        <v>1393.4592000000002</v>
      </c>
      <c r="AC68" s="112">
        <f t="shared" si="265"/>
        <v>1672.1510400000002</v>
      </c>
      <c r="AD68" s="112">
        <f t="shared" si="265"/>
        <v>2006.581248</v>
      </c>
      <c r="AE68" s="112">
        <f t="shared" si="265"/>
        <v>2407.8974976000004</v>
      </c>
      <c r="AF68" s="112">
        <f t="shared" si="265"/>
        <v>2889.4769971200003</v>
      </c>
      <c r="AG68" s="112">
        <f t="shared" si="265"/>
        <v>3467.3723965439995</v>
      </c>
      <c r="AH68" s="116">
        <f t="shared" ref="AH68" si="266">((AG68/J68)^(1/($AG$3-$K$1) ))-1</f>
        <v>0.18875058815185608</v>
      </c>
      <c r="AI68" s="21">
        <f t="shared" si="18"/>
        <v>0.02</v>
      </c>
      <c r="AJ68" s="124">
        <f t="shared" ref="AJ68" si="267">(AG68*(1+AI68))/($C$1-AI68)</f>
        <v>27205.537265191382</v>
      </c>
    </row>
    <row r="69" spans="2:36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0"/>
      <c r="W69" s="110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02"/>
      <c r="AI69" s="115"/>
      <c r="AJ69" s="124"/>
    </row>
    <row r="70" spans="2:36">
      <c r="B70" s="10" t="s">
        <v>405</v>
      </c>
      <c r="C70" s="112"/>
      <c r="D70" s="112"/>
      <c r="E70" s="112"/>
      <c r="F70" s="15"/>
      <c r="G70" s="15">
        <f t="shared" ref="G70" si="268">G51/G57</f>
        <v>20.899470899470902</v>
      </c>
      <c r="H70" s="15" t="e">
        <f t="shared" ref="H70:I70" si="269">H51/H57</f>
        <v>#DIV/0!</v>
      </c>
      <c r="I70" s="15">
        <f t="shared" si="269"/>
        <v>20.899470899470902</v>
      </c>
      <c r="J70" s="15">
        <f t="shared" ref="J70:S70" si="270">J51/J57</f>
        <v>43.207126948775056</v>
      </c>
      <c r="K70" s="15">
        <f t="shared" si="270"/>
        <v>87.049399198931908</v>
      </c>
      <c r="L70" s="15">
        <f t="shared" si="270"/>
        <v>64.085447263017357</v>
      </c>
      <c r="M70" s="15">
        <f t="shared" si="270"/>
        <v>76</v>
      </c>
      <c r="N70" s="15">
        <f t="shared" si="270"/>
        <v>0</v>
      </c>
      <c r="O70" s="15">
        <f t="shared" si="270"/>
        <v>14.034624025373331</v>
      </c>
      <c r="P70" s="15">
        <f t="shared" si="270"/>
        <v>18.551976957318672</v>
      </c>
      <c r="Q70" s="15">
        <f t="shared" si="270"/>
        <v>22.16544676149703</v>
      </c>
      <c r="R70" s="15">
        <f t="shared" si="270"/>
        <v>30.301882026019957</v>
      </c>
      <c r="S70" s="15">
        <f t="shared" si="270"/>
        <v>40.13513513513513</v>
      </c>
      <c r="T70" s="15">
        <f>T51/T57</f>
        <v>46.030030030030034</v>
      </c>
      <c r="U70" s="15">
        <f>U51/U57</f>
        <v>54.850338649770592</v>
      </c>
      <c r="V70" s="101">
        <f t="shared" si="251"/>
        <v>5.8018552894663733E-2</v>
      </c>
      <c r="W70" s="110"/>
      <c r="X70" s="96">
        <f>X51/X57</f>
        <v>63.288852288196829</v>
      </c>
      <c r="Y70" s="96">
        <f t="shared" ref="Y70:AG70" si="271">Y51/Y57</f>
        <v>73.025598794073261</v>
      </c>
      <c r="Z70" s="96">
        <f t="shared" si="271"/>
        <v>84.260306300853742</v>
      </c>
      <c r="AA70" s="96">
        <f t="shared" si="271"/>
        <v>97.22343034713893</v>
      </c>
      <c r="AB70" s="96">
        <f t="shared" si="271"/>
        <v>112.1808811697757</v>
      </c>
      <c r="AC70" s="96">
        <f t="shared" si="271"/>
        <v>129.43947827281809</v>
      </c>
      <c r="AD70" s="96">
        <f t="shared" si="271"/>
        <v>149.35324416094394</v>
      </c>
      <c r="AE70" s="96">
        <f t="shared" si="271"/>
        <v>172.3306663395507</v>
      </c>
      <c r="AF70" s="96">
        <f t="shared" si="271"/>
        <v>198.8430765456354</v>
      </c>
      <c r="AG70" s="96">
        <f t="shared" si="271"/>
        <v>229.43431909111777</v>
      </c>
      <c r="AH70" s="116">
        <f t="shared" ref="AH70:AH71" si="272">((AG70/J70)^(1/($AG$3-$K$1) ))-1</f>
        <v>7.5291510510880011E-2</v>
      </c>
      <c r="AI70" s="21">
        <f t="shared" si="18"/>
        <v>0.02</v>
      </c>
      <c r="AJ70" s="124">
        <f t="shared" ref="AJ70:AJ71" si="273">(AG70*(1+AI70))/($C$1-AI70)</f>
        <v>1800.1769651764625</v>
      </c>
    </row>
    <row r="71" spans="2:36">
      <c r="B71" s="10" t="s">
        <v>406</v>
      </c>
      <c r="C71" s="112"/>
      <c r="D71" s="112"/>
      <c r="E71" s="112"/>
      <c r="F71" s="15"/>
      <c r="G71" s="15">
        <f t="shared" ref="G71" si="274">G53/G57</f>
        <v>18.783068783068785</v>
      </c>
      <c r="H71" s="15" t="e">
        <f t="shared" ref="H71:I71" si="275">H53/H57</f>
        <v>#DIV/0!</v>
      </c>
      <c r="I71" s="15">
        <f t="shared" si="275"/>
        <v>18.783068783068785</v>
      </c>
      <c r="J71" s="15">
        <f t="shared" ref="J71:S71" si="276">J53/J57</f>
        <v>38.975501113585743</v>
      </c>
      <c r="K71" s="15">
        <f t="shared" si="276"/>
        <v>59.546061415220294</v>
      </c>
      <c r="L71" s="15">
        <f t="shared" si="276"/>
        <v>43.925233644859809</v>
      </c>
      <c r="M71" s="15">
        <f t="shared" si="276"/>
        <v>46.666666666666664</v>
      </c>
      <c r="N71" s="15">
        <f t="shared" si="276"/>
        <v>0</v>
      </c>
      <c r="O71" s="15">
        <f t="shared" si="276"/>
        <v>2.6166248182899432</v>
      </c>
      <c r="P71" s="15">
        <f t="shared" si="276"/>
        <v>3.3909400366588116</v>
      </c>
      <c r="Q71" s="15">
        <f t="shared" si="276"/>
        <v>4.8473967684021551</v>
      </c>
      <c r="R71" s="15">
        <f t="shared" si="276"/>
        <v>6.4418340280409243</v>
      </c>
      <c r="S71" s="15">
        <f t="shared" si="276"/>
        <v>7.0147420147420139</v>
      </c>
      <c r="T71" s="15">
        <f>T53/T57</f>
        <v>11.327327327327327</v>
      </c>
      <c r="U71" s="15">
        <f>U53/U57</f>
        <v>15.490495958051124</v>
      </c>
      <c r="V71" s="101">
        <f t="shared" si="251"/>
        <v>-3.5479432557288693E-2</v>
      </c>
      <c r="W71" s="110"/>
      <c r="X71" s="96">
        <f>X53/X57</f>
        <v>17.87364918236668</v>
      </c>
      <c r="Y71" s="96">
        <f t="shared" ref="Y71:AG71" si="277">Y53/Y57</f>
        <v>20.623441364269244</v>
      </c>
      <c r="Z71" s="96">
        <f t="shared" si="277"/>
        <v>23.796278497233743</v>
      </c>
      <c r="AA71" s="96">
        <f t="shared" si="277"/>
        <v>27.457244419885082</v>
      </c>
      <c r="AB71" s="96">
        <f t="shared" si="277"/>
        <v>31.681435869098177</v>
      </c>
      <c r="AC71" s="96">
        <f t="shared" si="277"/>
        <v>36.555502925882507</v>
      </c>
      <c r="AD71" s="96">
        <f t="shared" si="277"/>
        <v>42.17942645294135</v>
      </c>
      <c r="AE71" s="96">
        <f t="shared" si="277"/>
        <v>48.668568984163095</v>
      </c>
      <c r="AF71" s="96">
        <f t="shared" si="277"/>
        <v>56.156041135572799</v>
      </c>
      <c r="AG71" s="96">
        <f t="shared" si="277"/>
        <v>64.79543207950708</v>
      </c>
      <c r="AH71" s="116">
        <f t="shared" si="272"/>
        <v>2.2346095574780511E-2</v>
      </c>
      <c r="AI71" s="21">
        <f t="shared" si="18"/>
        <v>0.02</v>
      </c>
      <c r="AJ71" s="124">
        <f t="shared" si="273"/>
        <v>508.3949286238248</v>
      </c>
    </row>
    <row r="72" spans="2:36">
      <c r="B72" s="10" t="s">
        <v>215</v>
      </c>
      <c r="C72" s="15"/>
      <c r="D72" s="15"/>
      <c r="E72" s="15"/>
      <c r="F72" s="112"/>
      <c r="G72" s="112">
        <f t="shared" ref="G72" si="278">G55/G57</f>
        <v>11.111111111111112</v>
      </c>
      <c r="H72" s="112" t="e">
        <f t="shared" ref="H72:I72" si="279">H55/H57</f>
        <v>#DIV/0!</v>
      </c>
      <c r="I72" s="112">
        <f t="shared" si="279"/>
        <v>11.111111111111112</v>
      </c>
      <c r="J72" s="112">
        <f t="shared" ref="J72:S72" si="280">J55/J57</f>
        <v>24.498886414253896</v>
      </c>
      <c r="K72" s="112">
        <f t="shared" si="280"/>
        <v>38.98531375166889</v>
      </c>
      <c r="L72" s="112">
        <f t="shared" si="280"/>
        <v>27.903871829105473</v>
      </c>
      <c r="M72" s="112">
        <f t="shared" si="280"/>
        <v>32.666666666666664</v>
      </c>
      <c r="N72" s="112">
        <f t="shared" si="280"/>
        <v>0</v>
      </c>
      <c r="O72" s="112">
        <f t="shared" si="280"/>
        <v>1.7312012686665785</v>
      </c>
      <c r="P72" s="112">
        <f t="shared" si="280"/>
        <v>2.238805970149254</v>
      </c>
      <c r="Q72" s="112">
        <f t="shared" si="280"/>
        <v>2.9968236431432125</v>
      </c>
      <c r="R72" s="112">
        <f t="shared" si="280"/>
        <v>3.890362511052166</v>
      </c>
      <c r="S72" s="112">
        <f t="shared" si="280"/>
        <v>4.1154791154791148</v>
      </c>
      <c r="T72" s="112">
        <f t="shared" ref="T72:U72" si="281">T55/T57</f>
        <v>6.5825825825825826</v>
      </c>
      <c r="U72" s="112">
        <f t="shared" si="281"/>
        <v>9.3729517150972246</v>
      </c>
      <c r="V72" s="101">
        <f t="shared" si="251"/>
        <v>-3.6703646875194229E-2</v>
      </c>
      <c r="W72" s="110"/>
      <c r="X72" s="112">
        <f t="shared" ref="X72:AG72" si="282">X55/X57</f>
        <v>10.814944286650642</v>
      </c>
      <c r="Y72" s="112">
        <f t="shared" si="282"/>
        <v>12.478781869212277</v>
      </c>
      <c r="Z72" s="112">
        <f t="shared" si="282"/>
        <v>14.398594464475703</v>
      </c>
      <c r="AA72" s="112">
        <f t="shared" si="282"/>
        <v>16.61376284362581</v>
      </c>
      <c r="AB72" s="112">
        <f t="shared" si="282"/>
        <v>19.169726358029781</v>
      </c>
      <c r="AC72" s="112">
        <f t="shared" si="282"/>
        <v>22.118915028495902</v>
      </c>
      <c r="AD72" s="112">
        <f t="shared" si="282"/>
        <v>25.521825032879882</v>
      </c>
      <c r="AE72" s="112">
        <f t="shared" si="282"/>
        <v>29.448259653322935</v>
      </c>
      <c r="AF72" s="112">
        <f t="shared" si="282"/>
        <v>33.978761138449542</v>
      </c>
      <c r="AG72" s="112">
        <f t="shared" si="282"/>
        <v>39.206262852057165</v>
      </c>
      <c r="AH72" s="116">
        <f t="shared" ref="AH72:AH86" si="283">((AG72/J72)^(1/($AG$3-$K$1) ))-1</f>
        <v>2.0654269617280674E-2</v>
      </c>
      <c r="AI72" s="21">
        <f t="shared" si="18"/>
        <v>0.02</v>
      </c>
      <c r="AJ72" s="124">
        <f t="shared" ref="AJ72:AJ100" si="284">(AG72*(1+AI72))/($C$1-AI72)</f>
        <v>307.61837006998701</v>
      </c>
    </row>
    <row r="73" spans="2:36">
      <c r="B73" s="10" t="s">
        <v>333</v>
      </c>
      <c r="C73" s="112"/>
      <c r="D73" s="112"/>
      <c r="E73" s="112"/>
      <c r="F73" s="112"/>
      <c r="G73" s="112">
        <f t="shared" ref="G73" si="285">G20/G57</f>
        <v>0</v>
      </c>
      <c r="H73" s="112" t="e">
        <f t="shared" ref="H73:I73" si="286">H20/H57</f>
        <v>#DIV/0!</v>
      </c>
      <c r="I73" s="112">
        <f t="shared" si="286"/>
        <v>0</v>
      </c>
      <c r="J73" s="112">
        <f>J20/J57</f>
        <v>0</v>
      </c>
      <c r="K73" s="112">
        <f t="shared" ref="K73:S73" si="287">K20/K57</f>
        <v>0</v>
      </c>
      <c r="L73" s="112">
        <f t="shared" si="287"/>
        <v>0</v>
      </c>
      <c r="M73" s="112">
        <f t="shared" si="287"/>
        <v>0</v>
      </c>
      <c r="N73" s="112">
        <f t="shared" si="287"/>
        <v>0</v>
      </c>
      <c r="O73" s="112">
        <f t="shared" si="287"/>
        <v>0</v>
      </c>
      <c r="P73" s="112">
        <f t="shared" si="287"/>
        <v>0</v>
      </c>
      <c r="Q73" s="112">
        <f t="shared" si="287"/>
        <v>0</v>
      </c>
      <c r="R73" s="112">
        <f t="shared" si="287"/>
        <v>0</v>
      </c>
      <c r="S73" s="112">
        <f t="shared" si="287"/>
        <v>0</v>
      </c>
      <c r="T73" s="112">
        <f t="shared" ref="T73:U73" si="288">T20/T57</f>
        <v>0</v>
      </c>
      <c r="U73" s="112">
        <f t="shared" si="288"/>
        <v>0</v>
      </c>
      <c r="V73" s="110"/>
      <c r="W73" s="110"/>
      <c r="X73" s="112">
        <f t="shared" ref="X73:AG73" si="289">X20/X57</f>
        <v>0</v>
      </c>
      <c r="Y73" s="112">
        <f t="shared" si="289"/>
        <v>0</v>
      </c>
      <c r="Z73" s="112">
        <f t="shared" si="289"/>
        <v>0</v>
      </c>
      <c r="AA73" s="112">
        <f t="shared" si="289"/>
        <v>0</v>
      </c>
      <c r="AB73" s="112">
        <f t="shared" si="289"/>
        <v>0</v>
      </c>
      <c r="AC73" s="112">
        <f t="shared" si="289"/>
        <v>0</v>
      </c>
      <c r="AD73" s="112">
        <f t="shared" si="289"/>
        <v>0</v>
      </c>
      <c r="AE73" s="112">
        <f t="shared" si="289"/>
        <v>0</v>
      </c>
      <c r="AF73" s="112">
        <f t="shared" si="289"/>
        <v>0</v>
      </c>
      <c r="AG73" s="112">
        <f t="shared" si="289"/>
        <v>0</v>
      </c>
      <c r="AH73" s="116" t="e">
        <f t="shared" ref="AH73" si="290">((AG73/J73)^(1/($AG$3-$K$1) ))-1</f>
        <v>#DIV/0!</v>
      </c>
      <c r="AI73" s="21">
        <f t="shared" si="18"/>
        <v>0.02</v>
      </c>
      <c r="AJ73" s="124">
        <f t="shared" si="284"/>
        <v>0</v>
      </c>
    </row>
    <row r="74" spans="2:36">
      <c r="B74" s="10" t="s">
        <v>203</v>
      </c>
      <c r="C74" s="15"/>
      <c r="D74" s="15"/>
      <c r="E74" s="15"/>
      <c r="F74" s="112"/>
      <c r="G74" s="112">
        <f t="shared" ref="G74" si="291">G7/G57</f>
        <v>47.089947089947096</v>
      </c>
      <c r="H74" s="112" t="e">
        <f t="shared" ref="H74:I74" si="292">H7/H57</f>
        <v>#DIV/0!</v>
      </c>
      <c r="I74" s="112">
        <f t="shared" si="292"/>
        <v>47.089947089947096</v>
      </c>
      <c r="J74" s="112">
        <f t="shared" ref="J74:S74" si="293">J7/J57</f>
        <v>129.62138084632517</v>
      </c>
      <c r="K74" s="112">
        <f t="shared" si="293"/>
        <v>246.59546061415219</v>
      </c>
      <c r="L74" s="112">
        <f t="shared" si="293"/>
        <v>282.37650200267024</v>
      </c>
      <c r="M74" s="112">
        <f t="shared" si="293"/>
        <v>300.93333333333334</v>
      </c>
      <c r="N74" s="112">
        <f t="shared" si="293"/>
        <v>0</v>
      </c>
      <c r="O74" s="112">
        <f t="shared" si="293"/>
        <v>34.835469803092373</v>
      </c>
      <c r="P74" s="112">
        <f t="shared" si="293"/>
        <v>36.148206336737367</v>
      </c>
      <c r="Q74" s="112">
        <f t="shared" si="293"/>
        <v>37.688164618146665</v>
      </c>
      <c r="R74" s="112">
        <f t="shared" si="293"/>
        <v>39.91410887962612</v>
      </c>
      <c r="S74" s="112">
        <f t="shared" si="293"/>
        <v>45.13513513513513</v>
      </c>
      <c r="T74" s="112">
        <f t="shared" ref="T74:U74" si="294">T7/T57</f>
        <v>52</v>
      </c>
      <c r="U74" s="112">
        <f t="shared" si="294"/>
        <v>72.897094166484592</v>
      </c>
      <c r="V74" s="101">
        <f t="shared" si="251"/>
        <v>7.1097391726351322E-3</v>
      </c>
      <c r="W74" s="110"/>
      <c r="X74" s="135">
        <f t="shared" ref="X74:AG74" si="295">X7/X57</f>
        <v>84.112031730559139</v>
      </c>
      <c r="Y74" s="135">
        <f t="shared" si="295"/>
        <v>97.052344304491299</v>
      </c>
      <c r="Z74" s="135">
        <f t="shared" si="295"/>
        <v>111.98347419748995</v>
      </c>
      <c r="AA74" s="135">
        <f t="shared" si="295"/>
        <v>129.21170099710378</v>
      </c>
      <c r="AB74" s="135">
        <f t="shared" si="295"/>
        <v>149.09042422742743</v>
      </c>
      <c r="AC74" s="135">
        <f t="shared" si="295"/>
        <v>172.02741257010857</v>
      </c>
      <c r="AD74" s="135">
        <f t="shared" si="295"/>
        <v>198.49316835012525</v>
      </c>
      <c r="AE74" s="135">
        <f t="shared" si="295"/>
        <v>229.03057886552909</v>
      </c>
      <c r="AF74" s="135">
        <f t="shared" si="295"/>
        <v>264.26605253714894</v>
      </c>
      <c r="AG74" s="135">
        <f t="shared" si="295"/>
        <v>304.92236831209493</v>
      </c>
      <c r="AH74" s="116">
        <f t="shared" si="283"/>
        <v>3.7893336042662984E-2</v>
      </c>
      <c r="AI74" s="21">
        <f t="shared" si="18"/>
        <v>0.02</v>
      </c>
      <c r="AJ74" s="124">
        <f t="shared" si="284"/>
        <v>2392.4678129102831</v>
      </c>
    </row>
    <row r="75" spans="2:36">
      <c r="B75" s="10" t="s">
        <v>204</v>
      </c>
      <c r="C75" s="109"/>
      <c r="D75" s="109"/>
      <c r="E75" s="109"/>
      <c r="F75" s="122"/>
      <c r="G75" s="122">
        <f t="shared" ref="G75" si="296">G6/G57</f>
        <v>46.031746031746032</v>
      </c>
      <c r="H75" s="122" t="e">
        <f t="shared" ref="H75:I75" si="297">H6/H57</f>
        <v>#DIV/0!</v>
      </c>
      <c r="I75" s="122">
        <f t="shared" si="297"/>
        <v>46.031746031746032</v>
      </c>
      <c r="J75" s="122">
        <f t="shared" ref="J75:S75" si="298">J6/J57</f>
        <v>128.50779510022272</v>
      </c>
      <c r="K75" s="122">
        <f t="shared" si="298"/>
        <v>241.52202937249666</v>
      </c>
      <c r="L75" s="122">
        <f t="shared" si="298"/>
        <v>277.16955941255009</v>
      </c>
      <c r="M75" s="122">
        <f t="shared" si="298"/>
        <v>295.73333333333335</v>
      </c>
      <c r="N75" s="122">
        <f t="shared" si="298"/>
        <v>0</v>
      </c>
      <c r="O75" s="122">
        <f t="shared" si="298"/>
        <v>33.817893484868506</v>
      </c>
      <c r="P75" s="122">
        <f t="shared" si="298"/>
        <v>35.126996595967533</v>
      </c>
      <c r="Q75" s="122">
        <f t="shared" si="298"/>
        <v>36.680016572296644</v>
      </c>
      <c r="R75" s="122">
        <f t="shared" si="298"/>
        <v>38.865731969180246</v>
      </c>
      <c r="S75" s="122">
        <f t="shared" si="298"/>
        <v>44.115479115479111</v>
      </c>
      <c r="T75" s="122">
        <f t="shared" ref="T75:U75" si="299">T6/T57</f>
        <v>50.954954954954957</v>
      </c>
      <c r="U75" s="122">
        <f t="shared" si="299"/>
        <v>71.870220668560194</v>
      </c>
      <c r="V75" s="101">
        <f t="shared" si="251"/>
        <v>7.2843107879321245E-3</v>
      </c>
      <c r="W75" s="110"/>
      <c r="X75" s="134">
        <f t="shared" ref="X75:AG75" si="300">X6/X57</f>
        <v>82.927177694492514</v>
      </c>
      <c r="Y75" s="134">
        <f t="shared" si="300"/>
        <v>95.685205032106737</v>
      </c>
      <c r="Z75" s="134">
        <f t="shared" si="300"/>
        <v>110.40600580627699</v>
      </c>
      <c r="AA75" s="134">
        <f t="shared" si="300"/>
        <v>127.39154516108881</v>
      </c>
      <c r="AB75" s="134">
        <f t="shared" si="300"/>
        <v>146.99024441664093</v>
      </c>
      <c r="AC75" s="134">
        <f t="shared" si="300"/>
        <v>169.60412817304723</v>
      </c>
      <c r="AD75" s="134">
        <f t="shared" si="300"/>
        <v>195.69707096890065</v>
      </c>
      <c r="AE75" s="134">
        <f t="shared" si="300"/>
        <v>225.8043126564238</v>
      </c>
      <c r="AF75" s="134">
        <f t="shared" si="300"/>
        <v>260.54343768048903</v>
      </c>
      <c r="AG75" s="134">
        <f t="shared" si="300"/>
        <v>300.62704347748735</v>
      </c>
      <c r="AH75" s="116">
        <f t="shared" si="283"/>
        <v>3.7642530338512392E-2</v>
      </c>
      <c r="AI75" s="21">
        <f t="shared" si="18"/>
        <v>0.02</v>
      </c>
      <c r="AJ75" s="124">
        <f t="shared" si="284"/>
        <v>2358.7660334387469</v>
      </c>
    </row>
    <row r="76" spans="2:36">
      <c r="B76" s="10" t="s">
        <v>205</v>
      </c>
      <c r="C76" s="109"/>
      <c r="D76" s="109"/>
      <c r="E76" s="109"/>
      <c r="F76" s="122"/>
      <c r="G76" s="122">
        <f t="shared" ref="G76" si="301">G10/G57</f>
        <v>13.492063492063492</v>
      </c>
      <c r="H76" s="122" t="e">
        <f t="shared" ref="H76:I76" si="302">H10/H57</f>
        <v>#DIV/0!</v>
      </c>
      <c r="I76" s="122">
        <f t="shared" si="302"/>
        <v>13.492063492063492</v>
      </c>
      <c r="J76" s="122">
        <f t="shared" ref="J76:S76" si="303">J10/J57</f>
        <v>86.191536748329611</v>
      </c>
      <c r="K76" s="122">
        <f t="shared" si="303"/>
        <v>209.47930574098797</v>
      </c>
      <c r="L76" s="122">
        <f t="shared" si="303"/>
        <v>101.73564753004005</v>
      </c>
      <c r="M76" s="122">
        <f t="shared" si="303"/>
        <v>361.73333333333335</v>
      </c>
      <c r="N76" s="122">
        <f t="shared" si="303"/>
        <v>0</v>
      </c>
      <c r="O76" s="122">
        <f t="shared" si="303"/>
        <v>133.80467820800845</v>
      </c>
      <c r="P76" s="122">
        <f t="shared" si="303"/>
        <v>143.401413982718</v>
      </c>
      <c r="Q76" s="122">
        <f t="shared" si="303"/>
        <v>169.5345946692446</v>
      </c>
      <c r="R76" s="122">
        <f t="shared" si="303"/>
        <v>273.84110142730833</v>
      </c>
      <c r="S76" s="122">
        <f t="shared" si="303"/>
        <v>294.39803439803438</v>
      </c>
      <c r="T76" s="122">
        <f t="shared" ref="T76:U76" si="304">T10/T57</f>
        <v>346.25825825825825</v>
      </c>
      <c r="U76" s="122">
        <f t="shared" si="304"/>
        <v>461.32838103561284</v>
      </c>
      <c r="V76" s="101">
        <f t="shared" si="251"/>
        <v>0.2608570185367316</v>
      </c>
      <c r="W76" s="110"/>
      <c r="X76" s="134">
        <f t="shared" ref="X76:AG76" si="305">X10/X57</f>
        <v>532.30197811801474</v>
      </c>
      <c r="Y76" s="134">
        <f t="shared" si="305"/>
        <v>614.19459013617086</v>
      </c>
      <c r="Z76" s="134">
        <f t="shared" si="305"/>
        <v>708.6860655417355</v>
      </c>
      <c r="AA76" s="134">
        <f t="shared" si="305"/>
        <v>817.71469100969466</v>
      </c>
      <c r="AB76" s="134">
        <f t="shared" si="305"/>
        <v>943.51695116503242</v>
      </c>
      <c r="AC76" s="134">
        <f t="shared" si="305"/>
        <v>1088.673405190422</v>
      </c>
      <c r="AD76" s="134">
        <f t="shared" si="305"/>
        <v>1256.1616213735635</v>
      </c>
      <c r="AE76" s="134">
        <f t="shared" si="305"/>
        <v>1449.4172554310348</v>
      </c>
      <c r="AF76" s="134">
        <f t="shared" si="305"/>
        <v>1672.4045254973478</v>
      </c>
      <c r="AG76" s="134">
        <f t="shared" si="305"/>
        <v>1929.6975294200167</v>
      </c>
      <c r="AH76" s="116">
        <f t="shared" si="283"/>
        <v>0.14471328343272538</v>
      </c>
      <c r="AI76" s="21">
        <f t="shared" si="18"/>
        <v>0.02</v>
      </c>
      <c r="AJ76" s="124">
        <f t="shared" si="284"/>
        <v>15140.703692372437</v>
      </c>
    </row>
    <row r="77" spans="2:36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10"/>
      <c r="W77" s="110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17"/>
      <c r="AI77" s="115"/>
      <c r="AJ77" s="124"/>
    </row>
    <row r="78" spans="2:36">
      <c r="B78" s="10" t="s">
        <v>222</v>
      </c>
      <c r="C78" s="109"/>
      <c r="D78" s="109"/>
      <c r="E78" s="109"/>
      <c r="F78" s="122"/>
      <c r="G78" s="122">
        <f t="shared" ref="G78" si="306">(G7-G10)/G57</f>
        <v>33.597883597883602</v>
      </c>
      <c r="H78" s="122" t="e">
        <f t="shared" ref="H78:I78" si="307">(H7-H10)/H57</f>
        <v>#DIV/0!</v>
      </c>
      <c r="I78" s="122">
        <f t="shared" si="307"/>
        <v>33.597883597883602</v>
      </c>
      <c r="J78" s="122">
        <f t="shared" ref="J78:S78" si="308">(J7-J10)/J57</f>
        <v>43.429844097995542</v>
      </c>
      <c r="K78" s="122">
        <f t="shared" si="308"/>
        <v>37.11615487316422</v>
      </c>
      <c r="L78" s="122">
        <f t="shared" si="308"/>
        <v>180.64085447263017</v>
      </c>
      <c r="M78" s="122">
        <f t="shared" si="308"/>
        <v>-60.8</v>
      </c>
      <c r="N78" s="122">
        <f t="shared" si="308"/>
        <v>0</v>
      </c>
      <c r="O78" s="122">
        <f t="shared" si="308"/>
        <v>-98.969208404916074</v>
      </c>
      <c r="P78" s="122">
        <f t="shared" si="308"/>
        <v>-107.25320764598062</v>
      </c>
      <c r="Q78" s="122">
        <f t="shared" si="308"/>
        <v>-131.84643005109791</v>
      </c>
      <c r="R78" s="122">
        <f t="shared" si="308"/>
        <v>-233.9269925476822</v>
      </c>
      <c r="S78" s="122">
        <f t="shared" si="308"/>
        <v>-249.26289926289925</v>
      </c>
      <c r="T78" s="122">
        <f t="shared" ref="T78:U78" si="309">(T7-T10)/T57</f>
        <v>-294.25825825825825</v>
      </c>
      <c r="U78" s="122">
        <f t="shared" si="309"/>
        <v>-388.4312868691282</v>
      </c>
      <c r="V78" s="101" t="e">
        <f t="shared" si="251"/>
        <v>#NUM!</v>
      </c>
      <c r="W78" s="110"/>
      <c r="X78" s="134">
        <f t="shared" ref="X78:AG78" si="310">(X7-X10)/X57</f>
        <v>-448.18994638745562</v>
      </c>
      <c r="Y78" s="134">
        <f t="shared" si="310"/>
        <v>-517.14224583167959</v>
      </c>
      <c r="Z78" s="134">
        <f t="shared" si="310"/>
        <v>-596.70259134424555</v>
      </c>
      <c r="AA78" s="134">
        <f t="shared" si="310"/>
        <v>-688.502990012591</v>
      </c>
      <c r="AB78" s="134">
        <f t="shared" si="310"/>
        <v>-794.42652693760499</v>
      </c>
      <c r="AC78" s="134">
        <f t="shared" si="310"/>
        <v>-916.64599262031334</v>
      </c>
      <c r="AD78" s="134">
        <f t="shared" si="310"/>
        <v>-1057.6684530234384</v>
      </c>
      <c r="AE78" s="134">
        <f t="shared" si="310"/>
        <v>-1220.3866765655055</v>
      </c>
      <c r="AF78" s="134">
        <f t="shared" si="310"/>
        <v>-1408.1384729601989</v>
      </c>
      <c r="AG78" s="134">
        <f t="shared" si="310"/>
        <v>-1624.7751611079216</v>
      </c>
      <c r="AH78" s="116">
        <f t="shared" si="283"/>
        <v>-2.1705541843689913</v>
      </c>
      <c r="AI78" s="21">
        <f t="shared" si="18"/>
        <v>0.02</v>
      </c>
      <c r="AJ78" s="124">
        <f t="shared" si="284"/>
        <v>-12748.235879462154</v>
      </c>
    </row>
    <row r="79" spans="2:36">
      <c r="B79" s="10" t="s">
        <v>223</v>
      </c>
      <c r="C79" s="109"/>
      <c r="D79" s="109"/>
      <c r="E79" s="109"/>
      <c r="F79" s="122"/>
      <c r="G79" s="122">
        <f t="shared" ref="G79" si="311">(G7-G10-G9)/G57</f>
        <v>2.6455026455026456</v>
      </c>
      <c r="H79" s="122" t="e">
        <f t="shared" ref="H79:I79" si="312">(H7-H10-H9)/H57</f>
        <v>#DIV/0!</v>
      </c>
      <c r="I79" s="122">
        <f t="shared" si="312"/>
        <v>2.6455026455026456</v>
      </c>
      <c r="J79" s="122">
        <f t="shared" ref="J79:S79" si="313">(J7-J10-J9)/J57</f>
        <v>11.804008908685969</v>
      </c>
      <c r="K79" s="122">
        <f t="shared" si="313"/>
        <v>-128.30440587449934</v>
      </c>
      <c r="L79" s="122">
        <f t="shared" si="313"/>
        <v>124.96662216288384</v>
      </c>
      <c r="M79" s="122">
        <f t="shared" si="313"/>
        <v>-137.06666666666666</v>
      </c>
      <c r="N79" s="122">
        <f t="shared" si="313"/>
        <v>0</v>
      </c>
      <c r="O79" s="122">
        <f t="shared" si="313"/>
        <v>-117.84062376106779</v>
      </c>
      <c r="P79" s="122">
        <f t="shared" si="313"/>
        <v>-139.39512961508248</v>
      </c>
      <c r="Q79" s="122">
        <f t="shared" si="313"/>
        <v>-164.72862864245272</v>
      </c>
      <c r="R79" s="122">
        <f t="shared" si="313"/>
        <v>-292.87608942781355</v>
      </c>
      <c r="S79" s="122">
        <f t="shared" si="313"/>
        <v>-343.91891891891891</v>
      </c>
      <c r="T79" s="122">
        <f t="shared" ref="T79:U79" si="314">(T7-T10-T9)/T57</f>
        <v>-404.86486486486484</v>
      </c>
      <c r="U79" s="122">
        <f t="shared" si="314"/>
        <v>-512.58466244264798</v>
      </c>
      <c r="V79" s="101" t="e">
        <f t="shared" si="251"/>
        <v>#NUM!</v>
      </c>
      <c r="W79" s="110"/>
      <c r="X79" s="134">
        <f t="shared" ref="X79:AG79" si="315">(X7-X10-X9)/X57</f>
        <v>-591.44384127997841</v>
      </c>
      <c r="Y79" s="134">
        <f t="shared" si="315"/>
        <v>-682.4352014768981</v>
      </c>
      <c r="Z79" s="134">
        <f t="shared" si="315"/>
        <v>-787.42523247334384</v>
      </c>
      <c r="AA79" s="134">
        <f t="shared" si="315"/>
        <v>-908.56757593078135</v>
      </c>
      <c r="AB79" s="134">
        <f t="shared" si="315"/>
        <v>-1048.3472029970555</v>
      </c>
      <c r="AC79" s="134">
        <f t="shared" si="315"/>
        <v>-1209.6313880735256</v>
      </c>
      <c r="AD79" s="134">
        <f t="shared" si="315"/>
        <v>-1395.7285247002217</v>
      </c>
      <c r="AE79" s="134">
        <f t="shared" si="315"/>
        <v>-1610.4559900387167</v>
      </c>
      <c r="AF79" s="134">
        <f t="shared" si="315"/>
        <v>-1858.2184500446733</v>
      </c>
      <c r="AG79" s="134">
        <f t="shared" si="315"/>
        <v>-2144.0982115900078</v>
      </c>
      <c r="AH79" s="116">
        <f t="shared" si="283"/>
        <v>-2.2537956117218734</v>
      </c>
      <c r="AI79" s="21">
        <f t="shared" si="18"/>
        <v>0.02</v>
      </c>
      <c r="AJ79" s="124">
        <f t="shared" si="284"/>
        <v>-16822.924429398525</v>
      </c>
    </row>
    <row r="80" spans="2:36">
      <c r="B80" s="10" t="s">
        <v>228</v>
      </c>
      <c r="C80" s="109"/>
      <c r="D80" s="109"/>
      <c r="E80" s="109"/>
      <c r="F80" s="122"/>
      <c r="G80" s="122">
        <f t="shared" ref="G80" si="316">(G7+G15-G10-G9)/G57</f>
        <v>56.349206349206355</v>
      </c>
      <c r="H80" s="122" t="e">
        <f t="shared" ref="H80:I80" si="317">(H7+H15-H10-H9)/H57</f>
        <v>#DIV/0!</v>
      </c>
      <c r="I80" s="122">
        <f t="shared" si="317"/>
        <v>56.349206349206355</v>
      </c>
      <c r="J80" s="122">
        <f t="shared" ref="J80:S80" si="318">(J7+J15-J10-J9)/J57</f>
        <v>157.90645879732739</v>
      </c>
      <c r="K80" s="122">
        <f t="shared" si="318"/>
        <v>70.493991989319085</v>
      </c>
      <c r="L80" s="122">
        <f t="shared" si="318"/>
        <v>240.85447263017355</v>
      </c>
      <c r="M80" s="122">
        <f t="shared" si="318"/>
        <v>45.06666666666667</v>
      </c>
      <c r="N80" s="122">
        <f t="shared" si="318"/>
        <v>0</v>
      </c>
      <c r="O80" s="122">
        <f t="shared" si="318"/>
        <v>-27.368838377164</v>
      </c>
      <c r="P80" s="122">
        <f t="shared" si="318"/>
        <v>-47.499345378371302</v>
      </c>
      <c r="Q80" s="122">
        <f t="shared" si="318"/>
        <v>-79.450352161303698</v>
      </c>
      <c r="R80" s="122">
        <f t="shared" si="318"/>
        <v>-147.51799924213717</v>
      </c>
      <c r="S80" s="122">
        <f t="shared" si="318"/>
        <v>-172.37100737100735</v>
      </c>
      <c r="T80" s="122">
        <f t="shared" ref="T80:U80" si="319">(T7+T15-T10-T9)/T57</f>
        <v>-232.27627627627626</v>
      </c>
      <c r="U80" s="122">
        <f t="shared" si="319"/>
        <v>-264.13589687568276</v>
      </c>
      <c r="V80" s="101" t="e">
        <f t="shared" si="251"/>
        <v>#NUM!</v>
      </c>
      <c r="W80" s="110"/>
      <c r="X80" s="134">
        <f t="shared" ref="X80:AG80" si="320">(X7+X15-X10-X9)/X57</f>
        <v>-304.77218870271088</v>
      </c>
      <c r="Y80" s="134">
        <f t="shared" si="320"/>
        <v>-351.66021773389713</v>
      </c>
      <c r="Z80" s="134">
        <f t="shared" si="320"/>
        <v>-405.76178969295813</v>
      </c>
      <c r="AA80" s="134">
        <f t="shared" si="320"/>
        <v>-468.18668041495158</v>
      </c>
      <c r="AB80" s="134">
        <f t="shared" si="320"/>
        <v>-540.21540047879046</v>
      </c>
      <c r="AC80" s="134">
        <f t="shared" si="320"/>
        <v>-623.32546209091186</v>
      </c>
      <c r="AD80" s="134">
        <f t="shared" si="320"/>
        <v>-719.22168702797524</v>
      </c>
      <c r="AE80" s="134">
        <f t="shared" si="320"/>
        <v>-829.87117733997127</v>
      </c>
      <c r="AF80" s="134">
        <f t="shared" si="320"/>
        <v>-957.54366616150526</v>
      </c>
      <c r="AG80" s="134">
        <f t="shared" si="320"/>
        <v>-1104.8580763401983</v>
      </c>
      <c r="AH80" s="116">
        <f t="shared" si="283"/>
        <v>-2.0882660215174353</v>
      </c>
      <c r="AI80" s="21">
        <f t="shared" si="18"/>
        <v>0.02</v>
      </c>
      <c r="AJ80" s="124">
        <f t="shared" si="284"/>
        <v>-8668.8864451307873</v>
      </c>
    </row>
    <row r="81" spans="2:36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10"/>
      <c r="W81" s="110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17"/>
      <c r="AI81" s="115"/>
      <c r="AJ81" s="131"/>
    </row>
    <row r="82" spans="2:36">
      <c r="B82" s="10" t="s">
        <v>206</v>
      </c>
      <c r="C82" s="109"/>
      <c r="D82" s="109"/>
      <c r="E82" s="109"/>
      <c r="F82" s="122"/>
      <c r="G82" s="122">
        <f t="shared" ref="G82" si="321">G12/G57</f>
        <v>7.1428571428571432</v>
      </c>
      <c r="H82" s="122" t="e">
        <f t="shared" ref="H82:I82" si="322">H12/H57</f>
        <v>#DIV/0!</v>
      </c>
      <c r="I82" s="122">
        <f t="shared" si="322"/>
        <v>7.1428571428571432</v>
      </c>
      <c r="J82" s="122">
        <f t="shared" ref="J82:S82" si="323">J12/J57</f>
        <v>5.1224944320712691</v>
      </c>
      <c r="K82" s="122">
        <f t="shared" si="323"/>
        <v>45.794392523364486</v>
      </c>
      <c r="L82" s="122">
        <f t="shared" si="323"/>
        <v>48.064085447263018</v>
      </c>
      <c r="M82" s="122">
        <f t="shared" si="323"/>
        <v>17.466666666666665</v>
      </c>
      <c r="N82" s="122">
        <f t="shared" si="323"/>
        <v>0</v>
      </c>
      <c r="O82" s="122">
        <f t="shared" si="323"/>
        <v>43.266816439804415</v>
      </c>
      <c r="P82" s="122">
        <f t="shared" si="323"/>
        <v>48.546739984289083</v>
      </c>
      <c r="Q82" s="122">
        <f t="shared" si="323"/>
        <v>27.10951526032316</v>
      </c>
      <c r="R82" s="122">
        <f t="shared" si="323"/>
        <v>295.12441581407097</v>
      </c>
      <c r="S82" s="122">
        <f t="shared" si="323"/>
        <v>23.759213759213758</v>
      </c>
      <c r="T82" s="122">
        <f t="shared" ref="T82:U82" si="324">T12/T57</f>
        <v>31.447447447447448</v>
      </c>
      <c r="U82" s="122">
        <f t="shared" si="324"/>
        <v>42.877430631417958</v>
      </c>
      <c r="V82" s="101">
        <f t="shared" si="251"/>
        <v>0.1116793311189237</v>
      </c>
      <c r="W82" s="110"/>
      <c r="X82" s="134">
        <f t="shared" ref="X82:AG82" si="325">X12/X57</f>
        <v>49.473958420866872</v>
      </c>
      <c r="Y82" s="134">
        <f t="shared" si="325"/>
        <v>57.085336639461772</v>
      </c>
      <c r="Z82" s="134">
        <f t="shared" si="325"/>
        <v>65.867696122455882</v>
      </c>
      <c r="AA82" s="134">
        <f t="shared" si="325"/>
        <v>76.001187833602941</v>
      </c>
      <c r="AB82" s="134">
        <f t="shared" si="325"/>
        <v>87.693678269541849</v>
      </c>
      <c r="AC82" s="134">
        <f t="shared" si="325"/>
        <v>101.1850133879329</v>
      </c>
      <c r="AD82" s="134">
        <f t="shared" si="325"/>
        <v>116.75193852453795</v>
      </c>
      <c r="AE82" s="134">
        <f t="shared" si="325"/>
        <v>134.7137752206207</v>
      </c>
      <c r="AF82" s="134">
        <f t="shared" si="325"/>
        <v>155.43897140840849</v>
      </c>
      <c r="AG82" s="134">
        <f t="shared" si="325"/>
        <v>179.35265931739443</v>
      </c>
      <c r="AH82" s="116">
        <f t="shared" si="283"/>
        <v>0.1671865518028095</v>
      </c>
      <c r="AI82" s="21">
        <f t="shared" si="18"/>
        <v>0.02</v>
      </c>
      <c r="AJ82" s="124">
        <f t="shared" si="284"/>
        <v>1407.2285577210948</v>
      </c>
    </row>
    <row r="83" spans="2:36">
      <c r="B83" s="10" t="s">
        <v>213</v>
      </c>
      <c r="C83" s="109"/>
      <c r="D83" s="109"/>
      <c r="E83" s="109"/>
      <c r="F83" s="122"/>
      <c r="G83" s="122">
        <f t="shared" ref="G83" si="326">G13/G57</f>
        <v>8.4656084656084669</v>
      </c>
      <c r="H83" s="122" t="e">
        <f t="shared" ref="H83:I83" si="327">H13/H57</f>
        <v>#DIV/0!</v>
      </c>
      <c r="I83" s="122">
        <f t="shared" si="327"/>
        <v>8.4656084656084669</v>
      </c>
      <c r="J83" s="122">
        <f t="shared" ref="J83:S83" si="328">J13/J57</f>
        <v>18.040089086859687</v>
      </c>
      <c r="K83" s="122">
        <f t="shared" si="328"/>
        <v>101.46862483311081</v>
      </c>
      <c r="L83" s="122">
        <f t="shared" si="328"/>
        <v>35.914552736982643</v>
      </c>
      <c r="M83" s="122">
        <f t="shared" si="328"/>
        <v>20.8</v>
      </c>
      <c r="N83" s="122">
        <f t="shared" si="328"/>
        <v>0</v>
      </c>
      <c r="O83" s="122">
        <f t="shared" si="328"/>
        <v>18.514602880930354</v>
      </c>
      <c r="P83" s="122">
        <f t="shared" si="328"/>
        <v>15.854935847080389</v>
      </c>
      <c r="Q83" s="122">
        <f t="shared" si="328"/>
        <v>29.360585554481428</v>
      </c>
      <c r="R83" s="122">
        <f t="shared" si="328"/>
        <v>35.265883541745609</v>
      </c>
      <c r="S83" s="122">
        <f t="shared" si="328"/>
        <v>33.120393120393118</v>
      </c>
      <c r="T83" s="122">
        <f t="shared" ref="T83:U83" si="329">T13/T57</f>
        <v>82.606606606606604</v>
      </c>
      <c r="U83" s="122">
        <f t="shared" si="329"/>
        <v>99.136989294297564</v>
      </c>
      <c r="V83" s="101">
        <f t="shared" si="251"/>
        <v>0.17670697789057166</v>
      </c>
      <c r="W83" s="110"/>
      <c r="X83" s="134">
        <f t="shared" ref="X83:AG83" si="330">X13/X57</f>
        <v>114.38883380111257</v>
      </c>
      <c r="Y83" s="134">
        <f t="shared" si="330"/>
        <v>131.98711592436067</v>
      </c>
      <c r="Z83" s="134">
        <f t="shared" si="330"/>
        <v>152.29282606656997</v>
      </c>
      <c r="AA83" s="134">
        <f t="shared" si="330"/>
        <v>175.72249161527304</v>
      </c>
      <c r="AB83" s="134">
        <f t="shared" si="330"/>
        <v>202.75672109454581</v>
      </c>
      <c r="AC83" s="134">
        <f t="shared" si="330"/>
        <v>233.95006280139899</v>
      </c>
      <c r="AD83" s="134">
        <f t="shared" si="330"/>
        <v>269.94238015546034</v>
      </c>
      <c r="AE83" s="134">
        <f t="shared" si="330"/>
        <v>311.47197710245428</v>
      </c>
      <c r="AF83" s="134">
        <f t="shared" si="330"/>
        <v>359.39074281052416</v>
      </c>
      <c r="AG83" s="134">
        <f t="shared" si="330"/>
        <v>414.68162631983563</v>
      </c>
      <c r="AH83" s="116">
        <f t="shared" si="283"/>
        <v>0.14602637756968684</v>
      </c>
      <c r="AI83" s="21">
        <f t="shared" si="18"/>
        <v>0.02</v>
      </c>
      <c r="AJ83" s="124">
        <f t="shared" si="284"/>
        <v>3253.6558372787104</v>
      </c>
    </row>
    <row r="84" spans="2:36">
      <c r="B84" s="10" t="s">
        <v>214</v>
      </c>
      <c r="C84" s="109"/>
      <c r="D84" s="109"/>
      <c r="E84" s="109"/>
      <c r="F84" s="122"/>
      <c r="G84" s="122">
        <f t="shared" ref="G84" si="331">(G82+G83)</f>
        <v>15.608465608465611</v>
      </c>
      <c r="H84" s="122" t="e">
        <f t="shared" ref="H84:I84" si="332">(H82+H83)</f>
        <v>#DIV/0!</v>
      </c>
      <c r="I84" s="122">
        <f t="shared" si="332"/>
        <v>15.608465608465611</v>
      </c>
      <c r="J84" s="122">
        <f t="shared" ref="J84:S84" si="333">(J82+J83)</f>
        <v>23.162583518930958</v>
      </c>
      <c r="K84" s="122">
        <f t="shared" si="333"/>
        <v>147.2630173564753</v>
      </c>
      <c r="L84" s="122">
        <f t="shared" si="333"/>
        <v>83.978638184245654</v>
      </c>
      <c r="M84" s="122">
        <f t="shared" si="333"/>
        <v>38.266666666666666</v>
      </c>
      <c r="N84" s="122">
        <f t="shared" si="333"/>
        <v>0</v>
      </c>
      <c r="O84" s="122">
        <f t="shared" si="333"/>
        <v>61.78141932073477</v>
      </c>
      <c r="P84" s="122">
        <f t="shared" si="333"/>
        <v>64.401675831369474</v>
      </c>
      <c r="Q84" s="122">
        <f t="shared" si="333"/>
        <v>56.470100814804589</v>
      </c>
      <c r="R84" s="122">
        <f t="shared" ref="R84" si="334">(R82+R83)</f>
        <v>330.39029935581658</v>
      </c>
      <c r="S84" s="122">
        <f t="shared" si="333"/>
        <v>56.879606879606875</v>
      </c>
      <c r="T84" s="122">
        <f t="shared" ref="T84:U84" si="335">(T82+T83)</f>
        <v>114.05405405405405</v>
      </c>
      <c r="U84" s="122">
        <f t="shared" si="335"/>
        <v>142.01441992571552</v>
      </c>
      <c r="V84" s="101">
        <f t="shared" si="251"/>
        <v>0.15264737446578591</v>
      </c>
      <c r="W84" s="110"/>
      <c r="X84" s="134">
        <f t="shared" ref="X84:AG84" si="336">(X82+X83)</f>
        <v>163.86279222197945</v>
      </c>
      <c r="Y84" s="134">
        <f t="shared" si="336"/>
        <v>189.07245256382242</v>
      </c>
      <c r="Z84" s="134">
        <f t="shared" si="336"/>
        <v>218.16052218902587</v>
      </c>
      <c r="AA84" s="134">
        <f t="shared" si="336"/>
        <v>251.723679448876</v>
      </c>
      <c r="AB84" s="134">
        <f t="shared" si="336"/>
        <v>290.45039936408767</v>
      </c>
      <c r="AC84" s="134">
        <f t="shared" si="336"/>
        <v>335.13507618933187</v>
      </c>
      <c r="AD84" s="134">
        <f t="shared" si="336"/>
        <v>386.69431867999828</v>
      </c>
      <c r="AE84" s="134">
        <f t="shared" si="336"/>
        <v>446.18575232307501</v>
      </c>
      <c r="AF84" s="134">
        <f t="shared" si="336"/>
        <v>514.82971421893262</v>
      </c>
      <c r="AG84" s="134">
        <f t="shared" si="336"/>
        <v>594.03428563723003</v>
      </c>
      <c r="AH84" s="116">
        <f t="shared" si="283"/>
        <v>0.15149467877208012</v>
      </c>
      <c r="AI84" s="21">
        <f t="shared" si="18"/>
        <v>0.02</v>
      </c>
      <c r="AJ84" s="124">
        <f t="shared" si="284"/>
        <v>4660.8843949998045</v>
      </c>
    </row>
    <row r="85" spans="2:36">
      <c r="B85" s="10" t="s">
        <v>207</v>
      </c>
      <c r="C85" s="109"/>
      <c r="D85" s="109"/>
      <c r="E85" s="109"/>
      <c r="F85" s="122"/>
      <c r="G85" s="122">
        <f t="shared" ref="G85" si="337">G15/G57</f>
        <v>53.703703703703709</v>
      </c>
      <c r="H85" s="122" t="e">
        <f t="shared" ref="H85:I85" si="338">H15/H57</f>
        <v>#DIV/0!</v>
      </c>
      <c r="I85" s="122">
        <f t="shared" si="338"/>
        <v>53.703703703703709</v>
      </c>
      <c r="J85" s="122">
        <f t="shared" ref="J85:S85" si="339">J15/J57</f>
        <v>146.10244988864142</v>
      </c>
      <c r="K85" s="122">
        <f t="shared" si="339"/>
        <v>198.79839786381842</v>
      </c>
      <c r="L85" s="122">
        <f t="shared" si="339"/>
        <v>115.88785046728971</v>
      </c>
      <c r="M85" s="122">
        <f t="shared" si="339"/>
        <v>182.13333333333333</v>
      </c>
      <c r="N85" s="122">
        <f t="shared" si="339"/>
        <v>0</v>
      </c>
      <c r="O85" s="122">
        <f t="shared" si="339"/>
        <v>90.471785383903793</v>
      </c>
      <c r="P85" s="122">
        <f t="shared" si="339"/>
        <v>91.895784236711179</v>
      </c>
      <c r="Q85" s="122">
        <f t="shared" si="339"/>
        <v>85.278276481149021</v>
      </c>
      <c r="R85" s="122">
        <f t="shared" si="339"/>
        <v>145.35809018567639</v>
      </c>
      <c r="S85" s="122">
        <f t="shared" si="339"/>
        <v>171.54791154791153</v>
      </c>
      <c r="T85" s="122">
        <f t="shared" ref="T85:U85" si="340">T15/T57</f>
        <v>172.58858858858858</v>
      </c>
      <c r="U85" s="122">
        <f t="shared" si="340"/>
        <v>248.44876556696525</v>
      </c>
      <c r="V85" s="101">
        <f t="shared" si="251"/>
        <v>8.6963211753850356E-2</v>
      </c>
      <c r="W85" s="110"/>
      <c r="X85" s="134">
        <f t="shared" ref="X85:AG85" si="341">X15/X57</f>
        <v>286.67165257726754</v>
      </c>
      <c r="Y85" s="134">
        <f t="shared" si="341"/>
        <v>330.77498374300103</v>
      </c>
      <c r="Z85" s="134">
        <f t="shared" si="341"/>
        <v>381.66344278038576</v>
      </c>
      <c r="AA85" s="134">
        <f t="shared" si="341"/>
        <v>440.38089551582971</v>
      </c>
      <c r="AB85" s="134">
        <f t="shared" si="341"/>
        <v>508.13180251826503</v>
      </c>
      <c r="AC85" s="134">
        <f t="shared" si="341"/>
        <v>586.30592598261353</v>
      </c>
      <c r="AD85" s="134">
        <f t="shared" si="341"/>
        <v>676.50683767224632</v>
      </c>
      <c r="AE85" s="134">
        <f t="shared" si="341"/>
        <v>780.58481269874562</v>
      </c>
      <c r="AF85" s="134">
        <f t="shared" si="341"/>
        <v>900.67478388316806</v>
      </c>
      <c r="AG85" s="134">
        <f t="shared" si="341"/>
        <v>1039.2401352498093</v>
      </c>
      <c r="AH85" s="116">
        <f t="shared" si="283"/>
        <v>8.9045482696089584E-2</v>
      </c>
      <c r="AI85" s="21">
        <f t="shared" si="18"/>
        <v>0.02</v>
      </c>
      <c r="AJ85" s="124">
        <f t="shared" si="284"/>
        <v>8154.0379842677357</v>
      </c>
    </row>
    <row r="86" spans="2:36">
      <c r="B86" s="10" t="s">
        <v>208</v>
      </c>
      <c r="C86" s="109"/>
      <c r="D86" s="109"/>
      <c r="E86" s="109"/>
      <c r="F86" s="122"/>
      <c r="G86" s="122">
        <f t="shared" ref="G86" si="342">G16/G57</f>
        <v>50.264550264550266</v>
      </c>
      <c r="H86" s="122" t="e">
        <f t="shared" ref="H86:I86" si="343">H16/H57</f>
        <v>#DIV/0!</v>
      </c>
      <c r="I86" s="122">
        <f t="shared" si="343"/>
        <v>50.264550264550266</v>
      </c>
      <c r="J86" s="122">
        <f t="shared" ref="J86:S86" si="344">J16/J57</f>
        <v>224.94432071269486</v>
      </c>
      <c r="K86" s="122">
        <f t="shared" si="344"/>
        <v>412.95060080106811</v>
      </c>
      <c r="L86" s="122">
        <f t="shared" si="344"/>
        <v>394.25901201602136</v>
      </c>
      <c r="M86" s="122">
        <f t="shared" si="344"/>
        <v>662.5333333333333</v>
      </c>
      <c r="N86" s="122">
        <f t="shared" si="344"/>
        <v>0</v>
      </c>
      <c r="O86" s="122">
        <f t="shared" si="344"/>
        <v>144.52226774150918</v>
      </c>
      <c r="P86" s="122">
        <f t="shared" si="344"/>
        <v>158.39224927991623</v>
      </c>
      <c r="Q86" s="122">
        <f t="shared" si="344"/>
        <v>175.528241955531</v>
      </c>
      <c r="R86" s="122">
        <f t="shared" si="344"/>
        <v>274.77579891372994</v>
      </c>
      <c r="S86" s="122">
        <f t="shared" si="344"/>
        <v>306.44963144963145</v>
      </c>
      <c r="T86" s="122">
        <f t="shared" ref="T86:U86" si="345">T16/T57</f>
        <v>318.30630630630628</v>
      </c>
      <c r="U86" s="122">
        <f t="shared" si="345"/>
        <v>438.75901245357215</v>
      </c>
      <c r="V86" s="101">
        <f t="shared" si="251"/>
        <v>0.14092201463912457</v>
      </c>
      <c r="W86" s="110"/>
      <c r="X86" s="134">
        <f t="shared" ref="X86:AG86" si="346">X16/X57</f>
        <v>506.26039898489091</v>
      </c>
      <c r="Y86" s="134">
        <f t="shared" si="346"/>
        <v>584.14661421333562</v>
      </c>
      <c r="Z86" s="134">
        <f t="shared" si="346"/>
        <v>674.01532409231038</v>
      </c>
      <c r="AA86" s="134">
        <f t="shared" si="346"/>
        <v>777.70998933728106</v>
      </c>
      <c r="AB86" s="134">
        <f t="shared" si="346"/>
        <v>897.35768000455505</v>
      </c>
      <c r="AC86" s="134">
        <f t="shared" si="346"/>
        <v>1035.4127076975635</v>
      </c>
      <c r="AD86" s="134">
        <f t="shared" si="346"/>
        <v>1194.7069704202654</v>
      </c>
      <c r="AE86" s="134">
        <f t="shared" si="346"/>
        <v>1378.5080427926137</v>
      </c>
      <c r="AF86" s="134">
        <f t="shared" si="346"/>
        <v>1590.5862032222465</v>
      </c>
      <c r="AG86" s="134">
        <f t="shared" si="346"/>
        <v>1835.2917729487458</v>
      </c>
      <c r="AH86" s="116">
        <f t="shared" si="283"/>
        <v>9.5559806543135339E-2</v>
      </c>
      <c r="AI86" s="115"/>
      <c r="AJ86" s="124">
        <f t="shared" si="284"/>
        <v>12235.278486324973</v>
      </c>
    </row>
    <row r="87" spans="2:36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10"/>
      <c r="W87" s="110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17"/>
      <c r="AI87" s="21">
        <f t="shared" si="18"/>
        <v>0.02</v>
      </c>
      <c r="AJ87" s="124">
        <f t="shared" si="284"/>
        <v>0</v>
      </c>
    </row>
    <row r="88" spans="2:36">
      <c r="B88" s="10" t="s">
        <v>233</v>
      </c>
      <c r="C88" s="136"/>
      <c r="D88" s="136"/>
      <c r="E88" s="136"/>
      <c r="F88" s="136"/>
      <c r="G88" s="136">
        <f t="shared" ref="G88" si="347">G59</f>
        <v>0.1</v>
      </c>
      <c r="H88" s="136">
        <f t="shared" ref="H88:I88" si="348">H59</f>
        <v>0</v>
      </c>
      <c r="I88" s="136">
        <f t="shared" si="348"/>
        <v>0.1</v>
      </c>
      <c r="J88" s="136">
        <f t="shared" ref="J88:S88" si="349">J59</f>
        <v>0</v>
      </c>
      <c r="K88" s="136">
        <f t="shared" si="349"/>
        <v>4</v>
      </c>
      <c r="L88" s="136">
        <f t="shared" si="349"/>
        <v>6</v>
      </c>
      <c r="M88" s="136">
        <f t="shared" si="349"/>
        <v>12</v>
      </c>
      <c r="N88" s="136">
        <f t="shared" si="349"/>
        <v>5.5</v>
      </c>
      <c r="O88" s="136">
        <f t="shared" si="349"/>
        <v>0.6</v>
      </c>
      <c r="P88" s="136">
        <f t="shared" si="349"/>
        <v>0.65</v>
      </c>
      <c r="Q88" s="136">
        <f t="shared" si="349"/>
        <v>0.7</v>
      </c>
      <c r="R88" s="136">
        <f t="shared" si="349"/>
        <v>1</v>
      </c>
      <c r="S88" s="136">
        <f t="shared" si="349"/>
        <v>1.25</v>
      </c>
      <c r="T88" s="136">
        <f t="shared" ref="T88:U88" si="350">T59</f>
        <v>1.3</v>
      </c>
      <c r="U88" s="136">
        <f t="shared" si="350"/>
        <v>1.35</v>
      </c>
      <c r="V88" s="101">
        <f t="shared" si="251"/>
        <v>0.20106740836764758</v>
      </c>
      <c r="W88" s="110"/>
      <c r="X88" s="136">
        <f t="shared" ref="X88:AG88" si="351">X59</f>
        <v>1.3770000000000002</v>
      </c>
      <c r="Y88" s="136">
        <f t="shared" si="351"/>
        <v>1.4045400000000003</v>
      </c>
      <c r="Z88" s="136">
        <f t="shared" si="351"/>
        <v>1.4326308000000003</v>
      </c>
      <c r="AA88" s="136">
        <f t="shared" si="351"/>
        <v>1.4612834160000003</v>
      </c>
      <c r="AB88" s="136">
        <f t="shared" si="351"/>
        <v>1.4905090843200004</v>
      </c>
      <c r="AC88" s="136">
        <f t="shared" si="351"/>
        <v>1.5203192660064004</v>
      </c>
      <c r="AD88" s="136">
        <f t="shared" si="351"/>
        <v>1.5507256513265284</v>
      </c>
      <c r="AE88" s="136">
        <f t="shared" si="351"/>
        <v>1.5817401643530591</v>
      </c>
      <c r="AF88" s="136">
        <f t="shared" si="351"/>
        <v>1.6133749676401203</v>
      </c>
      <c r="AG88" s="136">
        <f t="shared" si="351"/>
        <v>1.6456424669929228</v>
      </c>
      <c r="AH88" s="116" t="e">
        <f t="shared" ref="AH88" si="352">((AG88/J88)^(1/($AG$3-$K$1) ))-1</f>
        <v>#DIV/0!</v>
      </c>
      <c r="AI88" s="21">
        <f t="shared" si="18"/>
        <v>0.02</v>
      </c>
      <c r="AJ88" s="124">
        <f t="shared" si="284"/>
        <v>12.911963971790625</v>
      </c>
    </row>
    <row r="89" spans="2:36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10"/>
      <c r="W89" s="1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115"/>
      <c r="AJ89" s="131"/>
    </row>
    <row r="90" spans="2:36">
      <c r="B90" s="10" t="s">
        <v>263</v>
      </c>
      <c r="C90" s="109"/>
      <c r="D90" s="109"/>
      <c r="E90" s="109"/>
      <c r="F90" s="122"/>
      <c r="G90" s="122">
        <f t="shared" ref="G90" si="353">G20+G21</f>
        <v>0</v>
      </c>
      <c r="H90" s="122">
        <f t="shared" ref="H90:I90" si="354">H20+H21</f>
        <v>0</v>
      </c>
      <c r="I90" s="122">
        <f t="shared" si="354"/>
        <v>0</v>
      </c>
      <c r="J90" s="122">
        <f t="shared" ref="J90:S90" si="355">J20+J21</f>
        <v>0</v>
      </c>
      <c r="K90" s="122">
        <f t="shared" si="355"/>
        <v>0</v>
      </c>
      <c r="L90" s="122">
        <f t="shared" si="355"/>
        <v>0</v>
      </c>
      <c r="M90" s="122">
        <f t="shared" si="355"/>
        <v>0</v>
      </c>
      <c r="N90" s="122">
        <f t="shared" si="355"/>
        <v>0</v>
      </c>
      <c r="O90" s="122">
        <f t="shared" si="355"/>
        <v>0</v>
      </c>
      <c r="P90" s="122">
        <f t="shared" si="355"/>
        <v>0</v>
      </c>
      <c r="Q90" s="122">
        <f t="shared" si="355"/>
        <v>0</v>
      </c>
      <c r="R90" s="122">
        <f t="shared" si="355"/>
        <v>0</v>
      </c>
      <c r="S90" s="122">
        <f t="shared" si="355"/>
        <v>0</v>
      </c>
      <c r="T90" s="122">
        <f t="shared" ref="T90:U90" si="356">T20+T21</f>
        <v>0</v>
      </c>
      <c r="U90" s="122">
        <f t="shared" si="356"/>
        <v>0</v>
      </c>
      <c r="V90" s="101" t="e">
        <f t="shared" si="251"/>
        <v>#DIV/0!</v>
      </c>
      <c r="W90" s="110"/>
      <c r="X90" s="122">
        <f t="shared" ref="X90:AG90" si="357">X20+X21</f>
        <v>0</v>
      </c>
      <c r="Y90" s="122">
        <f t="shared" si="357"/>
        <v>0</v>
      </c>
      <c r="Z90" s="122">
        <f t="shared" si="357"/>
        <v>0</v>
      </c>
      <c r="AA90" s="122">
        <f t="shared" si="357"/>
        <v>0</v>
      </c>
      <c r="AB90" s="122">
        <f t="shared" si="357"/>
        <v>0</v>
      </c>
      <c r="AC90" s="122">
        <f t="shared" si="357"/>
        <v>0</v>
      </c>
      <c r="AD90" s="122">
        <f t="shared" si="357"/>
        <v>0</v>
      </c>
      <c r="AE90" s="122">
        <f t="shared" si="357"/>
        <v>0</v>
      </c>
      <c r="AF90" s="122">
        <f t="shared" si="357"/>
        <v>0</v>
      </c>
      <c r="AG90" s="122">
        <f t="shared" si="357"/>
        <v>0</v>
      </c>
      <c r="AH90" s="116" t="e">
        <f t="shared" ref="AH90:AH95" si="358">((AG90/J90)^(1/($AG$3-$K$1) ))-1</f>
        <v>#DIV/0!</v>
      </c>
      <c r="AI90" s="21">
        <f t="shared" si="18"/>
        <v>0.02</v>
      </c>
      <c r="AJ90" s="124">
        <f t="shared" si="284"/>
        <v>0</v>
      </c>
    </row>
    <row r="91" spans="2:36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10"/>
      <c r="W91" s="110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17"/>
      <c r="AI91" s="115"/>
      <c r="AJ91" s="124"/>
    </row>
    <row r="92" spans="2:36">
      <c r="B92" s="10" t="s">
        <v>264</v>
      </c>
      <c r="C92" s="109"/>
      <c r="D92" s="109"/>
      <c r="E92" s="109"/>
      <c r="F92" s="122"/>
      <c r="G92" s="122">
        <f t="shared" ref="G92" si="359">G90/G57</f>
        <v>0</v>
      </c>
      <c r="H92" s="122" t="e">
        <f t="shared" ref="H92:I92" si="360">H90/H57</f>
        <v>#DIV/0!</v>
      </c>
      <c r="I92" s="122">
        <f t="shared" si="360"/>
        <v>0</v>
      </c>
      <c r="J92" s="122">
        <f t="shared" ref="J92:S92" si="361">J90/J57</f>
        <v>0</v>
      </c>
      <c r="K92" s="122">
        <f t="shared" si="361"/>
        <v>0</v>
      </c>
      <c r="L92" s="122">
        <f t="shared" si="361"/>
        <v>0</v>
      </c>
      <c r="M92" s="122">
        <f t="shared" si="361"/>
        <v>0</v>
      </c>
      <c r="N92" s="122">
        <f t="shared" si="361"/>
        <v>0</v>
      </c>
      <c r="O92" s="122">
        <f t="shared" si="361"/>
        <v>0</v>
      </c>
      <c r="P92" s="122">
        <f t="shared" si="361"/>
        <v>0</v>
      </c>
      <c r="Q92" s="122">
        <f t="shared" si="361"/>
        <v>0</v>
      </c>
      <c r="R92" s="122">
        <f t="shared" si="361"/>
        <v>0</v>
      </c>
      <c r="S92" s="122">
        <f t="shared" si="361"/>
        <v>0</v>
      </c>
      <c r="T92" s="122">
        <f t="shared" ref="T92:U92" si="362">T90/T57</f>
        <v>0</v>
      </c>
      <c r="U92" s="122">
        <f t="shared" si="362"/>
        <v>0</v>
      </c>
      <c r="V92" s="101" t="e">
        <f t="shared" si="251"/>
        <v>#DIV/0!</v>
      </c>
      <c r="W92" s="110"/>
      <c r="X92" s="124">
        <f t="shared" ref="X92:AG92" si="363">X90/X57</f>
        <v>0</v>
      </c>
      <c r="Y92" s="124">
        <f t="shared" si="363"/>
        <v>0</v>
      </c>
      <c r="Z92" s="124">
        <f t="shared" si="363"/>
        <v>0</v>
      </c>
      <c r="AA92" s="124">
        <f t="shared" si="363"/>
        <v>0</v>
      </c>
      <c r="AB92" s="124">
        <f t="shared" si="363"/>
        <v>0</v>
      </c>
      <c r="AC92" s="124">
        <f t="shared" si="363"/>
        <v>0</v>
      </c>
      <c r="AD92" s="124">
        <f t="shared" si="363"/>
        <v>0</v>
      </c>
      <c r="AE92" s="124">
        <f t="shared" si="363"/>
        <v>0</v>
      </c>
      <c r="AF92" s="124">
        <f t="shared" si="363"/>
        <v>0</v>
      </c>
      <c r="AG92" s="124">
        <f t="shared" si="363"/>
        <v>0</v>
      </c>
      <c r="AH92" s="116" t="e">
        <f t="shared" si="358"/>
        <v>#DIV/0!</v>
      </c>
      <c r="AI92" s="21">
        <f t="shared" si="18"/>
        <v>0.02</v>
      </c>
      <c r="AJ92" s="124">
        <f t="shared" si="284"/>
        <v>0</v>
      </c>
    </row>
    <row r="93" spans="2:36">
      <c r="B93" s="10" t="s">
        <v>237</v>
      </c>
      <c r="C93" s="109"/>
      <c r="D93" s="109"/>
      <c r="E93" s="109"/>
      <c r="F93" s="122"/>
      <c r="G93" s="122">
        <f t="shared" ref="G93" si="364">G20/G57</f>
        <v>0</v>
      </c>
      <c r="H93" s="122" t="e">
        <f t="shared" ref="H93:I93" si="365">H20/H57</f>
        <v>#DIV/0!</v>
      </c>
      <c r="I93" s="122">
        <f t="shared" si="365"/>
        <v>0</v>
      </c>
      <c r="J93" s="122">
        <f t="shared" ref="J93:S93" si="366">J20/J57</f>
        <v>0</v>
      </c>
      <c r="K93" s="122">
        <f t="shared" si="366"/>
        <v>0</v>
      </c>
      <c r="L93" s="122">
        <f t="shared" si="366"/>
        <v>0</v>
      </c>
      <c r="M93" s="122">
        <f t="shared" si="366"/>
        <v>0</v>
      </c>
      <c r="N93" s="122">
        <f t="shared" si="366"/>
        <v>0</v>
      </c>
      <c r="O93" s="122">
        <f t="shared" si="366"/>
        <v>0</v>
      </c>
      <c r="P93" s="122">
        <f t="shared" si="366"/>
        <v>0</v>
      </c>
      <c r="Q93" s="122">
        <f t="shared" si="366"/>
        <v>0</v>
      </c>
      <c r="R93" s="122">
        <f t="shared" si="366"/>
        <v>0</v>
      </c>
      <c r="S93" s="122">
        <f t="shared" si="366"/>
        <v>0</v>
      </c>
      <c r="T93" s="122">
        <f t="shared" ref="T93:U93" si="367">T20/T57</f>
        <v>0</v>
      </c>
      <c r="U93" s="122">
        <f t="shared" si="367"/>
        <v>0</v>
      </c>
      <c r="V93" s="101" t="e">
        <f t="shared" si="251"/>
        <v>#DIV/0!</v>
      </c>
      <c r="W93" s="110"/>
      <c r="X93" s="124">
        <f t="shared" ref="X93:AG93" si="368">X20/X57</f>
        <v>0</v>
      </c>
      <c r="Y93" s="124">
        <f t="shared" si="368"/>
        <v>0</v>
      </c>
      <c r="Z93" s="124">
        <f t="shared" si="368"/>
        <v>0</v>
      </c>
      <c r="AA93" s="124">
        <f t="shared" si="368"/>
        <v>0</v>
      </c>
      <c r="AB93" s="124">
        <f t="shared" si="368"/>
        <v>0</v>
      </c>
      <c r="AC93" s="124">
        <f t="shared" si="368"/>
        <v>0</v>
      </c>
      <c r="AD93" s="124">
        <f t="shared" si="368"/>
        <v>0</v>
      </c>
      <c r="AE93" s="124">
        <f t="shared" si="368"/>
        <v>0</v>
      </c>
      <c r="AF93" s="124">
        <f t="shared" si="368"/>
        <v>0</v>
      </c>
      <c r="AG93" s="124">
        <f t="shared" si="368"/>
        <v>0</v>
      </c>
      <c r="AH93" s="116" t="e">
        <f t="shared" si="358"/>
        <v>#DIV/0!</v>
      </c>
      <c r="AI93" s="21">
        <f t="shared" si="18"/>
        <v>0.02</v>
      </c>
      <c r="AJ93" s="124">
        <f t="shared" si="284"/>
        <v>0</v>
      </c>
    </row>
    <row r="94" spans="2:36">
      <c r="B94" s="10" t="s">
        <v>238</v>
      </c>
      <c r="C94" s="109"/>
      <c r="D94" s="109"/>
      <c r="E94" s="109"/>
      <c r="F94" s="122"/>
      <c r="G94" s="122">
        <f t="shared" ref="G94" si="369">G21/G57</f>
        <v>0</v>
      </c>
      <c r="H94" s="122" t="e">
        <f t="shared" ref="H94:I94" si="370">H21/H57</f>
        <v>#DIV/0!</v>
      </c>
      <c r="I94" s="122">
        <f t="shared" si="370"/>
        <v>0</v>
      </c>
      <c r="J94" s="122">
        <f t="shared" ref="J94:S94" si="371">J21/J57</f>
        <v>0</v>
      </c>
      <c r="K94" s="122">
        <f t="shared" si="371"/>
        <v>0</v>
      </c>
      <c r="L94" s="122">
        <f t="shared" si="371"/>
        <v>0</v>
      </c>
      <c r="M94" s="122">
        <f t="shared" si="371"/>
        <v>0</v>
      </c>
      <c r="N94" s="122">
        <f t="shared" si="371"/>
        <v>0</v>
      </c>
      <c r="O94" s="122">
        <f t="shared" si="371"/>
        <v>0</v>
      </c>
      <c r="P94" s="122">
        <f t="shared" si="371"/>
        <v>0</v>
      </c>
      <c r="Q94" s="122">
        <f t="shared" si="371"/>
        <v>0</v>
      </c>
      <c r="R94" s="122">
        <f t="shared" si="371"/>
        <v>0</v>
      </c>
      <c r="S94" s="122">
        <f t="shared" si="371"/>
        <v>0</v>
      </c>
      <c r="T94" s="122">
        <f t="shared" ref="T94:U94" si="372">T21/T57</f>
        <v>0</v>
      </c>
      <c r="U94" s="122">
        <f t="shared" si="372"/>
        <v>0</v>
      </c>
      <c r="V94" s="101" t="e">
        <f t="shared" si="251"/>
        <v>#DIV/0!</v>
      </c>
      <c r="W94" s="110"/>
      <c r="X94" s="124">
        <f t="shared" ref="X94:AG94" si="373">X21/X57</f>
        <v>0</v>
      </c>
      <c r="Y94" s="124">
        <f t="shared" si="373"/>
        <v>0</v>
      </c>
      <c r="Z94" s="124">
        <f t="shared" si="373"/>
        <v>0</v>
      </c>
      <c r="AA94" s="124">
        <f t="shared" si="373"/>
        <v>0</v>
      </c>
      <c r="AB94" s="124">
        <f t="shared" si="373"/>
        <v>0</v>
      </c>
      <c r="AC94" s="124">
        <f t="shared" si="373"/>
        <v>0</v>
      </c>
      <c r="AD94" s="124">
        <f t="shared" si="373"/>
        <v>0</v>
      </c>
      <c r="AE94" s="124">
        <f t="shared" si="373"/>
        <v>0</v>
      </c>
      <c r="AF94" s="124">
        <f t="shared" si="373"/>
        <v>0</v>
      </c>
      <c r="AG94" s="124">
        <f t="shared" si="373"/>
        <v>0</v>
      </c>
      <c r="AH94" s="116" t="e">
        <f t="shared" si="358"/>
        <v>#DIV/0!</v>
      </c>
      <c r="AI94" s="21">
        <f t="shared" si="18"/>
        <v>0.02</v>
      </c>
      <c r="AJ94" s="124">
        <f t="shared" si="284"/>
        <v>0</v>
      </c>
    </row>
    <row r="95" spans="2:36">
      <c r="B95" s="10" t="s">
        <v>239</v>
      </c>
      <c r="C95" s="109"/>
      <c r="D95" s="109"/>
      <c r="E95" s="109"/>
      <c r="F95" s="122"/>
      <c r="G95" s="122">
        <f t="shared" ref="G95" si="374">G22/G57</f>
        <v>0</v>
      </c>
      <c r="H95" s="122" t="e">
        <f t="shared" ref="H95:I95" si="375">H22/H57</f>
        <v>#DIV/0!</v>
      </c>
      <c r="I95" s="122">
        <f t="shared" si="375"/>
        <v>0</v>
      </c>
      <c r="J95" s="122">
        <f t="shared" ref="J95:S95" si="376">J22/J57</f>
        <v>0</v>
      </c>
      <c r="K95" s="122">
        <f t="shared" si="376"/>
        <v>0</v>
      </c>
      <c r="L95" s="122">
        <f t="shared" si="376"/>
        <v>0</v>
      </c>
      <c r="M95" s="122">
        <f t="shared" si="376"/>
        <v>0</v>
      </c>
      <c r="N95" s="122">
        <f t="shared" si="376"/>
        <v>0</v>
      </c>
      <c r="O95" s="122">
        <f t="shared" si="376"/>
        <v>0</v>
      </c>
      <c r="P95" s="122">
        <f t="shared" si="376"/>
        <v>0</v>
      </c>
      <c r="Q95" s="122">
        <f t="shared" si="376"/>
        <v>0</v>
      </c>
      <c r="R95" s="122">
        <f t="shared" si="376"/>
        <v>0</v>
      </c>
      <c r="S95" s="122">
        <f t="shared" si="376"/>
        <v>0</v>
      </c>
      <c r="T95" s="122">
        <f t="shared" ref="T95:U95" si="377">T22/T57</f>
        <v>0</v>
      </c>
      <c r="U95" s="122">
        <f t="shared" si="377"/>
        <v>0</v>
      </c>
      <c r="V95" s="101" t="e">
        <f t="shared" si="251"/>
        <v>#DIV/0!</v>
      </c>
      <c r="W95" s="110"/>
      <c r="X95" s="124">
        <f t="shared" ref="X95:AG95" si="378">X22/X57</f>
        <v>0</v>
      </c>
      <c r="Y95" s="124">
        <f t="shared" si="378"/>
        <v>0</v>
      </c>
      <c r="Z95" s="124">
        <f t="shared" si="378"/>
        <v>0</v>
      </c>
      <c r="AA95" s="124">
        <f t="shared" si="378"/>
        <v>0</v>
      </c>
      <c r="AB95" s="124">
        <f t="shared" si="378"/>
        <v>0</v>
      </c>
      <c r="AC95" s="124">
        <f t="shared" si="378"/>
        <v>0</v>
      </c>
      <c r="AD95" s="124">
        <f t="shared" si="378"/>
        <v>0</v>
      </c>
      <c r="AE95" s="124">
        <f t="shared" si="378"/>
        <v>0</v>
      </c>
      <c r="AF95" s="124">
        <f t="shared" si="378"/>
        <v>0</v>
      </c>
      <c r="AG95" s="124">
        <f t="shared" si="378"/>
        <v>0</v>
      </c>
      <c r="AH95" s="116" t="e">
        <f t="shared" si="358"/>
        <v>#DIV/0!</v>
      </c>
      <c r="AI95" s="21">
        <f t="shared" si="18"/>
        <v>0.02</v>
      </c>
      <c r="AJ95" s="124">
        <f t="shared" si="284"/>
        <v>0</v>
      </c>
    </row>
    <row r="96" spans="2:36">
      <c r="B96" s="10" t="s">
        <v>246</v>
      </c>
      <c r="C96" s="109"/>
      <c r="D96" s="109"/>
      <c r="E96" s="109"/>
      <c r="F96" s="122"/>
      <c r="G96" s="122">
        <f t="shared" ref="G96" si="379">G23/G57</f>
        <v>0</v>
      </c>
      <c r="H96" s="122" t="e">
        <f t="shared" ref="H96:I96" si="380">H23/H57</f>
        <v>#DIV/0!</v>
      </c>
      <c r="I96" s="122">
        <f t="shared" si="380"/>
        <v>0</v>
      </c>
      <c r="J96" s="122">
        <f t="shared" ref="J96:S96" si="381">J23/J57</f>
        <v>0</v>
      </c>
      <c r="K96" s="122">
        <f t="shared" si="381"/>
        <v>0</v>
      </c>
      <c r="L96" s="122">
        <f t="shared" si="381"/>
        <v>0</v>
      </c>
      <c r="M96" s="122">
        <f t="shared" si="381"/>
        <v>0</v>
      </c>
      <c r="N96" s="122">
        <f t="shared" si="381"/>
        <v>0</v>
      </c>
      <c r="O96" s="122">
        <f t="shared" si="381"/>
        <v>0</v>
      </c>
      <c r="P96" s="122">
        <f t="shared" si="381"/>
        <v>0</v>
      </c>
      <c r="Q96" s="122">
        <f t="shared" si="381"/>
        <v>0</v>
      </c>
      <c r="R96" s="122">
        <f t="shared" si="381"/>
        <v>0</v>
      </c>
      <c r="S96" s="122">
        <f t="shared" si="381"/>
        <v>0</v>
      </c>
      <c r="T96" s="122">
        <f t="shared" ref="T96:U96" si="382">T23/T57</f>
        <v>0</v>
      </c>
      <c r="U96" s="122">
        <f t="shared" si="382"/>
        <v>0</v>
      </c>
      <c r="V96" s="101" t="e">
        <f t="shared" si="251"/>
        <v>#DIV/0!</v>
      </c>
      <c r="W96" s="110"/>
      <c r="X96" s="124">
        <f t="shared" ref="X96:AG96" si="383">X23/X57</f>
        <v>0</v>
      </c>
      <c r="Y96" s="124">
        <f t="shared" si="383"/>
        <v>0</v>
      </c>
      <c r="Z96" s="124">
        <f t="shared" si="383"/>
        <v>0</v>
      </c>
      <c r="AA96" s="124">
        <f t="shared" si="383"/>
        <v>0</v>
      </c>
      <c r="AB96" s="124">
        <f t="shared" si="383"/>
        <v>0</v>
      </c>
      <c r="AC96" s="124">
        <f t="shared" si="383"/>
        <v>0</v>
      </c>
      <c r="AD96" s="124">
        <f t="shared" si="383"/>
        <v>0</v>
      </c>
      <c r="AE96" s="124">
        <f t="shared" si="383"/>
        <v>0</v>
      </c>
      <c r="AF96" s="124">
        <f t="shared" si="383"/>
        <v>0</v>
      </c>
      <c r="AG96" s="124">
        <f t="shared" si="383"/>
        <v>0</v>
      </c>
      <c r="AH96" s="116" t="e">
        <f t="shared" ref="AH96" si="384">((AG96/J96)^(1/($AG$3-$K$1) ))-1</f>
        <v>#DIV/0!</v>
      </c>
      <c r="AI96" s="21">
        <f t="shared" si="18"/>
        <v>0.02</v>
      </c>
      <c r="AJ96" s="124">
        <f t="shared" si="284"/>
        <v>0</v>
      </c>
    </row>
    <row r="97" spans="2:36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10"/>
      <c r="W97" s="1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7"/>
      <c r="AI97" s="115"/>
      <c r="AJ97" s="131"/>
    </row>
    <row r="98" spans="2:36">
      <c r="B98" s="10" t="s">
        <v>435</v>
      </c>
      <c r="C98" s="122"/>
      <c r="D98" s="122"/>
      <c r="E98" s="122"/>
      <c r="F98" s="122"/>
      <c r="G98" s="122">
        <f t="shared" ref="G98" si="385">G51/G57</f>
        <v>20.899470899470902</v>
      </c>
      <c r="H98" s="122" t="e">
        <f t="shared" ref="H98:I98" si="386">H51/H57</f>
        <v>#DIV/0!</v>
      </c>
      <c r="I98" s="122">
        <f t="shared" si="386"/>
        <v>20.899470899470902</v>
      </c>
      <c r="J98" s="122">
        <f t="shared" ref="J98:S98" si="387">J51/J57</f>
        <v>43.207126948775056</v>
      </c>
      <c r="K98" s="122">
        <f t="shared" si="387"/>
        <v>87.049399198931908</v>
      </c>
      <c r="L98" s="122">
        <f t="shared" si="387"/>
        <v>64.085447263017357</v>
      </c>
      <c r="M98" s="122">
        <f t="shared" si="387"/>
        <v>76</v>
      </c>
      <c r="N98" s="122">
        <f t="shared" si="387"/>
        <v>0</v>
      </c>
      <c r="O98" s="122">
        <f t="shared" si="387"/>
        <v>14.034624025373331</v>
      </c>
      <c r="P98" s="122">
        <f t="shared" si="387"/>
        <v>18.551976957318672</v>
      </c>
      <c r="Q98" s="122">
        <f t="shared" si="387"/>
        <v>22.16544676149703</v>
      </c>
      <c r="R98" s="122">
        <f t="shared" si="387"/>
        <v>30.301882026019957</v>
      </c>
      <c r="S98" s="122">
        <f t="shared" si="387"/>
        <v>40.13513513513513</v>
      </c>
      <c r="T98" s="122">
        <f t="shared" ref="T98:U98" si="388">T51/T57</f>
        <v>46.030030030030034</v>
      </c>
      <c r="U98" s="122">
        <f t="shared" si="388"/>
        <v>54.850338649770592</v>
      </c>
      <c r="V98" s="101">
        <f t="shared" si="251"/>
        <v>5.8018552894663733E-2</v>
      </c>
      <c r="W98" s="110"/>
      <c r="X98" s="122">
        <f t="shared" ref="X98:AG98" si="389">X51/X57</f>
        <v>63.288852288196829</v>
      </c>
      <c r="Y98" s="122">
        <f t="shared" si="389"/>
        <v>73.025598794073261</v>
      </c>
      <c r="Z98" s="122">
        <f t="shared" si="389"/>
        <v>84.260306300853742</v>
      </c>
      <c r="AA98" s="122">
        <f t="shared" si="389"/>
        <v>97.22343034713893</v>
      </c>
      <c r="AB98" s="122">
        <f t="shared" si="389"/>
        <v>112.1808811697757</v>
      </c>
      <c r="AC98" s="122">
        <f t="shared" si="389"/>
        <v>129.43947827281809</v>
      </c>
      <c r="AD98" s="122">
        <f t="shared" si="389"/>
        <v>149.35324416094394</v>
      </c>
      <c r="AE98" s="122">
        <f t="shared" si="389"/>
        <v>172.3306663395507</v>
      </c>
      <c r="AF98" s="122">
        <f t="shared" si="389"/>
        <v>198.8430765456354</v>
      </c>
      <c r="AG98" s="122">
        <f t="shared" si="389"/>
        <v>229.43431909111777</v>
      </c>
      <c r="AH98" s="116">
        <f t="shared" ref="AH98:AH100" si="390">((AG98/J98)^(1/($AG$3-$K$1) ))-1</f>
        <v>7.5291510510880011E-2</v>
      </c>
      <c r="AI98" s="21">
        <f t="shared" si="18"/>
        <v>0.02</v>
      </c>
      <c r="AJ98" s="124">
        <f t="shared" si="284"/>
        <v>1800.1769651764625</v>
      </c>
    </row>
    <row r="99" spans="2:36">
      <c r="B99" s="10" t="s">
        <v>436</v>
      </c>
      <c r="C99" s="122"/>
      <c r="D99" s="122"/>
      <c r="E99" s="122"/>
      <c r="F99" s="122"/>
      <c r="G99" s="122">
        <f t="shared" ref="G99" si="391">G55/G57</f>
        <v>11.111111111111112</v>
      </c>
      <c r="H99" s="122" t="e">
        <f t="shared" ref="H99:I99" si="392">H55/H57</f>
        <v>#DIV/0!</v>
      </c>
      <c r="I99" s="122">
        <f t="shared" si="392"/>
        <v>11.111111111111112</v>
      </c>
      <c r="J99" s="122">
        <f t="shared" ref="J99:S99" si="393">J55/J57</f>
        <v>24.498886414253896</v>
      </c>
      <c r="K99" s="122">
        <f t="shared" si="393"/>
        <v>38.98531375166889</v>
      </c>
      <c r="L99" s="122">
        <f t="shared" si="393"/>
        <v>27.903871829105473</v>
      </c>
      <c r="M99" s="122">
        <f t="shared" si="393"/>
        <v>32.666666666666664</v>
      </c>
      <c r="N99" s="122">
        <f t="shared" si="393"/>
        <v>0</v>
      </c>
      <c r="O99" s="122">
        <f t="shared" si="393"/>
        <v>1.7312012686665785</v>
      </c>
      <c r="P99" s="122">
        <f t="shared" si="393"/>
        <v>2.238805970149254</v>
      </c>
      <c r="Q99" s="122">
        <f t="shared" si="393"/>
        <v>2.9968236431432125</v>
      </c>
      <c r="R99" s="122">
        <f t="shared" si="393"/>
        <v>3.890362511052166</v>
      </c>
      <c r="S99" s="122">
        <f t="shared" si="393"/>
        <v>4.1154791154791148</v>
      </c>
      <c r="T99" s="122">
        <f t="shared" ref="T99:U99" si="394">T55/T57</f>
        <v>6.5825825825825826</v>
      </c>
      <c r="U99" s="122">
        <f t="shared" si="394"/>
        <v>9.3729517150972246</v>
      </c>
      <c r="V99" s="101">
        <f t="shared" si="251"/>
        <v>-3.6703646875194229E-2</v>
      </c>
      <c r="W99" s="110"/>
      <c r="X99" s="122">
        <f t="shared" ref="X99:AG99" si="395">X55/X57</f>
        <v>10.814944286650642</v>
      </c>
      <c r="Y99" s="122">
        <f t="shared" si="395"/>
        <v>12.478781869212277</v>
      </c>
      <c r="Z99" s="122">
        <f t="shared" si="395"/>
        <v>14.398594464475703</v>
      </c>
      <c r="AA99" s="122">
        <f t="shared" si="395"/>
        <v>16.61376284362581</v>
      </c>
      <c r="AB99" s="122">
        <f t="shared" si="395"/>
        <v>19.169726358029781</v>
      </c>
      <c r="AC99" s="122">
        <f t="shared" si="395"/>
        <v>22.118915028495902</v>
      </c>
      <c r="AD99" s="122">
        <f t="shared" si="395"/>
        <v>25.521825032879882</v>
      </c>
      <c r="AE99" s="122">
        <f t="shared" si="395"/>
        <v>29.448259653322935</v>
      </c>
      <c r="AF99" s="122">
        <f t="shared" si="395"/>
        <v>33.978761138449542</v>
      </c>
      <c r="AG99" s="122">
        <f t="shared" si="395"/>
        <v>39.206262852057165</v>
      </c>
      <c r="AH99" s="116">
        <f t="shared" si="390"/>
        <v>2.0654269617280674E-2</v>
      </c>
      <c r="AI99" s="21">
        <f t="shared" si="18"/>
        <v>0.02</v>
      </c>
      <c r="AJ99" s="124">
        <f t="shared" si="284"/>
        <v>307.61837006998701</v>
      </c>
    </row>
    <row r="100" spans="2:36">
      <c r="B100" s="10" t="s">
        <v>260</v>
      </c>
      <c r="C100" s="122"/>
      <c r="D100" s="122"/>
      <c r="E100" s="122"/>
      <c r="F100" s="122"/>
      <c r="G100" s="122">
        <f t="shared" ref="G100" si="396">G6/G57</f>
        <v>46.031746031746032</v>
      </c>
      <c r="H100" s="122" t="e">
        <f t="shared" ref="H100:I100" si="397">H6/H57</f>
        <v>#DIV/0!</v>
      </c>
      <c r="I100" s="122">
        <f t="shared" si="397"/>
        <v>46.031746031746032</v>
      </c>
      <c r="J100" s="122">
        <f t="shared" ref="J100:S100" si="398">J6/J57</f>
        <v>128.50779510022272</v>
      </c>
      <c r="K100" s="122">
        <f t="shared" si="398"/>
        <v>241.52202937249666</v>
      </c>
      <c r="L100" s="122">
        <f t="shared" si="398"/>
        <v>277.16955941255009</v>
      </c>
      <c r="M100" s="122">
        <f t="shared" si="398"/>
        <v>295.73333333333335</v>
      </c>
      <c r="N100" s="122">
        <f t="shared" si="398"/>
        <v>0</v>
      </c>
      <c r="O100" s="122">
        <f t="shared" si="398"/>
        <v>33.817893484868506</v>
      </c>
      <c r="P100" s="122">
        <f t="shared" si="398"/>
        <v>35.126996595967533</v>
      </c>
      <c r="Q100" s="122">
        <f t="shared" si="398"/>
        <v>36.680016572296644</v>
      </c>
      <c r="R100" s="122">
        <f t="shared" si="398"/>
        <v>38.865731969180246</v>
      </c>
      <c r="S100" s="122">
        <f t="shared" si="398"/>
        <v>44.115479115479111</v>
      </c>
      <c r="T100" s="122">
        <f t="shared" ref="T100:U100" si="399">T6/T57</f>
        <v>50.954954954954957</v>
      </c>
      <c r="U100" s="122">
        <f t="shared" si="399"/>
        <v>71.870220668560194</v>
      </c>
      <c r="V100" s="101">
        <f t="shared" si="251"/>
        <v>7.2843107879321245E-3</v>
      </c>
      <c r="W100" s="110"/>
      <c r="X100" s="122">
        <f t="shared" ref="X100:AG100" si="400">X6/X57</f>
        <v>82.927177694492514</v>
      </c>
      <c r="Y100" s="122">
        <f t="shared" si="400"/>
        <v>95.685205032106737</v>
      </c>
      <c r="Z100" s="122">
        <f t="shared" si="400"/>
        <v>110.40600580627699</v>
      </c>
      <c r="AA100" s="122">
        <f t="shared" si="400"/>
        <v>127.39154516108881</v>
      </c>
      <c r="AB100" s="122">
        <f t="shared" si="400"/>
        <v>146.99024441664093</v>
      </c>
      <c r="AC100" s="122">
        <f t="shared" si="400"/>
        <v>169.60412817304723</v>
      </c>
      <c r="AD100" s="122">
        <f t="shared" si="400"/>
        <v>195.69707096890065</v>
      </c>
      <c r="AE100" s="122">
        <f t="shared" si="400"/>
        <v>225.8043126564238</v>
      </c>
      <c r="AF100" s="122">
        <f t="shared" si="400"/>
        <v>260.54343768048903</v>
      </c>
      <c r="AG100" s="122">
        <f t="shared" si="400"/>
        <v>300.62704347748735</v>
      </c>
      <c r="AH100" s="116">
        <f t="shared" si="390"/>
        <v>3.7642530338512392E-2</v>
      </c>
      <c r="AI100" s="21">
        <f t="shared" ref="AI100" si="401">$O$1</f>
        <v>0.02</v>
      </c>
      <c r="AJ100" s="124">
        <f t="shared" si="284"/>
        <v>2358.7660334387469</v>
      </c>
    </row>
    <row r="101" spans="2:36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10"/>
      <c r="W101" s="1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7"/>
      <c r="AI101" s="10"/>
      <c r="AJ101" s="131"/>
    </row>
    <row r="102" spans="2:36">
      <c r="B102" s="10" t="s">
        <v>410</v>
      </c>
      <c r="C102" s="109"/>
      <c r="D102" s="109"/>
      <c r="E102" s="109"/>
      <c r="F102" s="122"/>
      <c r="G102" s="122">
        <f t="shared" ref="G102" si="402">G55/$T$57</f>
        <v>0.50450450450450446</v>
      </c>
      <c r="H102" s="122">
        <f t="shared" ref="H102:I102" si="403">H55/$T$57</f>
        <v>0</v>
      </c>
      <c r="I102" s="122">
        <f t="shared" si="403"/>
        <v>0.50450450450450446</v>
      </c>
      <c r="J102" s="122">
        <f t="shared" ref="J102:T102" si="404">J55/$T$57</f>
        <v>1.3213213213213213</v>
      </c>
      <c r="K102" s="122">
        <f t="shared" si="404"/>
        <v>3.5075075075075075</v>
      </c>
      <c r="L102" s="122">
        <f t="shared" si="404"/>
        <v>2.5105105105105103</v>
      </c>
      <c r="M102" s="122">
        <f t="shared" si="404"/>
        <v>2.9429429429429428</v>
      </c>
      <c r="N102" s="122">
        <f t="shared" si="404"/>
        <v>0</v>
      </c>
      <c r="O102" s="122">
        <f t="shared" si="404"/>
        <v>1.5735735735735736</v>
      </c>
      <c r="P102" s="122">
        <f t="shared" si="404"/>
        <v>2.0540540540540539</v>
      </c>
      <c r="Q102" s="122">
        <f t="shared" si="404"/>
        <v>2.6066066066066065</v>
      </c>
      <c r="R102" s="122">
        <f t="shared" si="404"/>
        <v>3.6996996996996998</v>
      </c>
      <c r="S102" s="122">
        <f t="shared" si="404"/>
        <v>4.0240240240240244</v>
      </c>
      <c r="T102" s="122">
        <f t="shared" si="404"/>
        <v>6.5825825825825826</v>
      </c>
      <c r="U102" s="122">
        <f t="shared" ref="U102" si="405">U55/$T$57</f>
        <v>10.306306306306306</v>
      </c>
      <c r="V102" s="101">
        <f t="shared" si="251"/>
        <v>0.20138112620485926</v>
      </c>
      <c r="W102" s="110"/>
      <c r="X102" s="122">
        <f t="shared" ref="X102:AG102" si="406">X55/X57</f>
        <v>10.814944286650642</v>
      </c>
      <c r="Y102" s="122">
        <f t="shared" si="406"/>
        <v>12.478781869212277</v>
      </c>
      <c r="Z102" s="122">
        <f t="shared" si="406"/>
        <v>14.398594464475703</v>
      </c>
      <c r="AA102" s="122">
        <f t="shared" si="406"/>
        <v>16.61376284362581</v>
      </c>
      <c r="AB102" s="122">
        <f t="shared" si="406"/>
        <v>19.169726358029781</v>
      </c>
      <c r="AC102" s="122">
        <f t="shared" si="406"/>
        <v>22.118915028495902</v>
      </c>
      <c r="AD102" s="122">
        <f t="shared" si="406"/>
        <v>25.521825032879882</v>
      </c>
      <c r="AE102" s="122">
        <f t="shared" si="406"/>
        <v>29.448259653322935</v>
      </c>
      <c r="AF102" s="122">
        <f t="shared" si="406"/>
        <v>33.978761138449542</v>
      </c>
      <c r="AG102" s="122">
        <f t="shared" si="406"/>
        <v>39.206262852057165</v>
      </c>
      <c r="AH102" s="117"/>
      <c r="AI102" s="10"/>
      <c r="AJ102" s="131"/>
    </row>
    <row r="103" spans="2:36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10"/>
      <c r="W103" s="1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258</v>
      </c>
      <c r="C105" s="129"/>
      <c r="D105" s="129"/>
      <c r="E105" s="129"/>
      <c r="F105" s="129"/>
      <c r="G105" s="129">
        <f t="shared" ref="G105" si="407">G51/G25</f>
        <v>0.52317880794701987</v>
      </c>
      <c r="H105" s="129" t="e">
        <f t="shared" ref="H105:I105" si="408">H51/H25</f>
        <v>#DIV/0!</v>
      </c>
      <c r="I105" s="129">
        <f t="shared" si="408"/>
        <v>0.52317880794701987</v>
      </c>
      <c r="J105" s="129">
        <f t="shared" ref="J105:S105" si="409">J51/J25</f>
        <v>0.5243243243243243</v>
      </c>
      <c r="K105" s="129">
        <f t="shared" si="409"/>
        <v>0.60092165898617511</v>
      </c>
      <c r="L105" s="129">
        <f t="shared" si="409"/>
        <v>0.534521158129176</v>
      </c>
      <c r="M105" s="129">
        <f t="shared" si="409"/>
        <v>0.59623430962343094</v>
      </c>
      <c r="N105" s="129" t="e">
        <f t="shared" si="409"/>
        <v>#DIV/0!</v>
      </c>
      <c r="O105" s="129">
        <f t="shared" si="409"/>
        <v>0.63592814371257489</v>
      </c>
      <c r="P105" s="129">
        <f t="shared" si="409"/>
        <v>0.64880952380952384</v>
      </c>
      <c r="Q105" s="129">
        <f t="shared" si="409"/>
        <v>0.62818003913894327</v>
      </c>
      <c r="R105" s="129">
        <f t="shared" si="409"/>
        <v>0.6162342666324172</v>
      </c>
      <c r="S105" s="129">
        <f t="shared" si="409"/>
        <v>0.62015945330296129</v>
      </c>
      <c r="T105" s="129">
        <f t="shared" ref="T105:U105" si="410">T51/T25</f>
        <v>0.57902689634330617</v>
      </c>
      <c r="U105" s="129">
        <f t="shared" si="410"/>
        <v>0.58261777674634485</v>
      </c>
      <c r="V105" s="101">
        <f t="shared" si="251"/>
        <v>7.2709944533295712E-3</v>
      </c>
      <c r="W105" s="129"/>
      <c r="X105" s="129">
        <f t="shared" ref="X105:AG105" si="411">X51/X25</f>
        <v>0.58261777674634485</v>
      </c>
      <c r="Y105" s="129">
        <f t="shared" si="411"/>
        <v>0.58261777674634485</v>
      </c>
      <c r="Z105" s="129">
        <f t="shared" si="411"/>
        <v>0.58261777674634485</v>
      </c>
      <c r="AA105" s="129">
        <f t="shared" si="411"/>
        <v>0.58261777674634485</v>
      </c>
      <c r="AB105" s="129">
        <f t="shared" si="411"/>
        <v>0.58261777674634485</v>
      </c>
      <c r="AC105" s="129">
        <f t="shared" si="411"/>
        <v>0.58261777674634485</v>
      </c>
      <c r="AD105" s="129">
        <f t="shared" si="411"/>
        <v>0.58261777674634485</v>
      </c>
      <c r="AE105" s="129">
        <f t="shared" si="411"/>
        <v>0.58261777674634485</v>
      </c>
      <c r="AF105" s="129">
        <f t="shared" si="411"/>
        <v>0.58261777674634485</v>
      </c>
      <c r="AG105" s="129">
        <f t="shared" si="411"/>
        <v>0.58261777674634485</v>
      </c>
      <c r="AH105" s="116">
        <f t="shared" ref="AH105:AH154" si="412">((AG105/J105)^(1/($AG$3-$K$1) ))-1</f>
        <v>4.5940388416767508E-3</v>
      </c>
      <c r="AI105" s="124"/>
      <c r="AJ105" s="124"/>
    </row>
    <row r="106" spans="2:36">
      <c r="B106" s="10" t="s">
        <v>220</v>
      </c>
      <c r="C106" s="129"/>
      <c r="D106" s="129"/>
      <c r="E106" s="129"/>
      <c r="F106" s="129"/>
      <c r="G106" s="129">
        <f t="shared" ref="G106" si="413">G55/G25</f>
        <v>0.27814569536423839</v>
      </c>
      <c r="H106" s="129" t="e">
        <f t="shared" ref="H106:I106" si="414">H55/H25</f>
        <v>#DIV/0!</v>
      </c>
      <c r="I106" s="129">
        <f t="shared" si="414"/>
        <v>0.27814569536423839</v>
      </c>
      <c r="J106" s="129">
        <f t="shared" ref="J106:S106" si="415">J55/J25</f>
        <v>0.29729729729729731</v>
      </c>
      <c r="K106" s="129">
        <f t="shared" si="415"/>
        <v>0.26912442396313363</v>
      </c>
      <c r="L106" s="129">
        <f t="shared" si="415"/>
        <v>0.23273942093541203</v>
      </c>
      <c r="M106" s="129">
        <f t="shared" si="415"/>
        <v>0.25627615062761505</v>
      </c>
      <c r="N106" s="129" t="e">
        <f t="shared" si="415"/>
        <v>#DIV/0!</v>
      </c>
      <c r="O106" s="129">
        <f t="shared" si="415"/>
        <v>7.8443113772455095E-2</v>
      </c>
      <c r="P106" s="129">
        <f t="shared" si="415"/>
        <v>7.8296703296703296E-2</v>
      </c>
      <c r="Q106" s="129">
        <f t="shared" si="415"/>
        <v>8.4931506849315067E-2</v>
      </c>
      <c r="R106" s="129">
        <f t="shared" si="415"/>
        <v>7.9116362702286155E-2</v>
      </c>
      <c r="S106" s="129">
        <f t="shared" si="415"/>
        <v>6.3591495823842062E-2</v>
      </c>
      <c r="T106" s="129">
        <f t="shared" ref="T106:U106" si="416">T55/T25</f>
        <v>8.2804472650347544E-2</v>
      </c>
      <c r="U106" s="129">
        <f t="shared" si="416"/>
        <v>9.9559062427477377E-2</v>
      </c>
      <c r="V106" s="101">
        <f t="shared" si="251"/>
        <v>-8.2907881992602461E-2</v>
      </c>
      <c r="W106" s="129"/>
      <c r="X106" s="129">
        <f t="shared" ref="X106:AG106" si="417">X55/X25</f>
        <v>9.9559062427477363E-2</v>
      </c>
      <c r="Y106" s="129">
        <f t="shared" si="417"/>
        <v>9.9559062427477349E-2</v>
      </c>
      <c r="Z106" s="129">
        <f t="shared" si="417"/>
        <v>9.9559062427477349E-2</v>
      </c>
      <c r="AA106" s="129">
        <f t="shared" si="417"/>
        <v>9.9559062427477363E-2</v>
      </c>
      <c r="AB106" s="129">
        <f t="shared" si="417"/>
        <v>9.9559062427477349E-2</v>
      </c>
      <c r="AC106" s="129">
        <f t="shared" si="417"/>
        <v>9.9559062427477363E-2</v>
      </c>
      <c r="AD106" s="129">
        <f t="shared" si="417"/>
        <v>9.9559062427477363E-2</v>
      </c>
      <c r="AE106" s="129">
        <f t="shared" si="417"/>
        <v>9.9559062427477349E-2</v>
      </c>
      <c r="AF106" s="129">
        <f t="shared" si="417"/>
        <v>9.9559062427477349E-2</v>
      </c>
      <c r="AG106" s="129">
        <f t="shared" si="417"/>
        <v>9.9559062427477363E-2</v>
      </c>
      <c r="AH106" s="116">
        <f t="shared" si="412"/>
        <v>-4.6450953110681148E-2</v>
      </c>
      <c r="AI106" s="124"/>
      <c r="AJ106" s="124"/>
    </row>
    <row r="107" spans="2:36">
      <c r="B107" s="10" t="s">
        <v>304</v>
      </c>
      <c r="C107" s="129"/>
      <c r="D107" s="129"/>
      <c r="E107" s="129"/>
      <c r="F107" s="129"/>
      <c r="G107" s="129">
        <f t="shared" ref="G107" si="418">G55/G7</f>
        <v>0.23595505617977527</v>
      </c>
      <c r="H107" s="129" t="e">
        <f t="shared" ref="H107:I107" si="419">H55/H7</f>
        <v>#DIV/0!</v>
      </c>
      <c r="I107" s="129">
        <f t="shared" si="419"/>
        <v>0.23595505617977527</v>
      </c>
      <c r="J107" s="129">
        <f>J55/J7</f>
        <v>0.18900343642611683</v>
      </c>
      <c r="K107" s="129">
        <f t="shared" ref="K107:R107" si="420">K55/K7</f>
        <v>0.15809420682187331</v>
      </c>
      <c r="L107" s="129">
        <f t="shared" si="420"/>
        <v>9.881796690307329E-2</v>
      </c>
      <c r="M107" s="129">
        <f t="shared" si="420"/>
        <v>0.10855117412494461</v>
      </c>
      <c r="N107" s="129" t="e">
        <f t="shared" si="420"/>
        <v>#DIV/0!</v>
      </c>
      <c r="O107" s="129">
        <f t="shared" si="420"/>
        <v>4.9696509863429439E-2</v>
      </c>
      <c r="P107" s="129">
        <f t="shared" si="420"/>
        <v>6.193408185440058E-2</v>
      </c>
      <c r="Q107" s="129">
        <f t="shared" si="420"/>
        <v>7.9516306339318429E-2</v>
      </c>
      <c r="R107" s="129">
        <f t="shared" si="420"/>
        <v>9.7468354430379753E-2</v>
      </c>
      <c r="S107" s="129">
        <f t="shared" ref="S107:T107" si="421">S55/S7</f>
        <v>9.1181273816004355E-2</v>
      </c>
      <c r="T107" s="129">
        <f t="shared" si="421"/>
        <v>0.1265881265881266</v>
      </c>
      <c r="U107" s="129">
        <f t="shared" ref="U107" si="422">U55/U7</f>
        <v>0.12857785104151057</v>
      </c>
      <c r="V107" s="101">
        <f t="shared" si="251"/>
        <v>-4.3504083362179702E-2</v>
      </c>
      <c r="W107" s="10"/>
      <c r="X107" s="129">
        <f t="shared" ref="X107" si="423">X55/X7</f>
        <v>0.12857785104151057</v>
      </c>
      <c r="Y107" s="129">
        <f t="shared" ref="Y107:AG107" si="424">Y55/Y7</f>
        <v>0.12857785104151057</v>
      </c>
      <c r="Z107" s="129">
        <f t="shared" si="424"/>
        <v>0.12857785104151057</v>
      </c>
      <c r="AA107" s="129">
        <f t="shared" si="424"/>
        <v>0.12857785104151054</v>
      </c>
      <c r="AB107" s="129">
        <f t="shared" si="424"/>
        <v>0.12857785104151054</v>
      </c>
      <c r="AC107" s="129">
        <f t="shared" si="424"/>
        <v>0.12857785104151057</v>
      </c>
      <c r="AD107" s="129">
        <f t="shared" si="424"/>
        <v>0.12857785104151057</v>
      </c>
      <c r="AE107" s="129">
        <f t="shared" si="424"/>
        <v>0.12857785104151057</v>
      </c>
      <c r="AF107" s="129">
        <f t="shared" si="424"/>
        <v>0.12857785104151057</v>
      </c>
      <c r="AG107" s="129">
        <f t="shared" si="424"/>
        <v>0.12857785104151057</v>
      </c>
      <c r="AH107" s="116">
        <f t="shared" si="412"/>
        <v>-1.6609670595932657E-2</v>
      </c>
      <c r="AI107" s="124"/>
      <c r="AJ107" s="124"/>
    </row>
    <row r="108" spans="2:36">
      <c r="B108" s="10" t="s">
        <v>305</v>
      </c>
      <c r="C108" s="129"/>
      <c r="D108" s="129"/>
      <c r="E108" s="129"/>
      <c r="F108" s="129"/>
      <c r="G108" s="129">
        <f t="shared" ref="G108" si="425">(G55)/(G7+G10)</f>
        <v>0.18340611353711792</v>
      </c>
      <c r="H108" s="129" t="e">
        <f t="shared" ref="H108:I108" si="426">(H55)/(H7+H10)</f>
        <v>#DIV/0!</v>
      </c>
      <c r="I108" s="129">
        <f t="shared" si="426"/>
        <v>0.18340611353711792</v>
      </c>
      <c r="J108" s="129">
        <f>(J55)/(J7+J10)</f>
        <v>0.11351909184726522</v>
      </c>
      <c r="K108" s="129">
        <f t="shared" ref="K108:R108" si="427">(K55)/(K7+K10)</f>
        <v>8.5480093676814986E-2</v>
      </c>
      <c r="L108" s="129">
        <f t="shared" si="427"/>
        <v>7.2645116440736873E-2</v>
      </c>
      <c r="M108" s="129">
        <f t="shared" si="427"/>
        <v>4.9295774647887321E-2</v>
      </c>
      <c r="N108" s="129" t="e">
        <f t="shared" si="427"/>
        <v>#DIV/0!</v>
      </c>
      <c r="O108" s="129">
        <f t="shared" si="427"/>
        <v>1.0265653161977901E-2</v>
      </c>
      <c r="P108" s="129">
        <f t="shared" si="427"/>
        <v>1.2469009771036897E-2</v>
      </c>
      <c r="Q108" s="129">
        <f t="shared" si="427"/>
        <v>1.4461846051316228E-2</v>
      </c>
      <c r="R108" s="129">
        <f t="shared" si="427"/>
        <v>1.2399355877616747E-2</v>
      </c>
      <c r="S108" s="129">
        <f t="shared" ref="S108:T108" si="428">(S55)/(S7+S10)</f>
        <v>1.2120992835950502E-2</v>
      </c>
      <c r="T108" s="129">
        <f t="shared" si="428"/>
        <v>1.6528427084904238E-2</v>
      </c>
      <c r="U108" s="129">
        <f t="shared" ref="U108" si="429">(U55)/(U7+U10)</f>
        <v>1.7544935893503467E-2</v>
      </c>
      <c r="V108" s="101">
        <f t="shared" si="251"/>
        <v>-0.157937896314162</v>
      </c>
      <c r="W108" s="10"/>
      <c r="X108" s="129">
        <f t="shared" ref="X108:AG108" si="430">(X55)/(X7+X10)</f>
        <v>1.7544935893503463E-2</v>
      </c>
      <c r="Y108" s="129">
        <f t="shared" si="430"/>
        <v>1.7544935893503463E-2</v>
      </c>
      <c r="Z108" s="129">
        <f t="shared" si="430"/>
        <v>1.7544935893503463E-2</v>
      </c>
      <c r="AA108" s="129">
        <f t="shared" si="430"/>
        <v>1.7544935893503467E-2</v>
      </c>
      <c r="AB108" s="129">
        <f t="shared" si="430"/>
        <v>1.754493589350346E-2</v>
      </c>
      <c r="AC108" s="129">
        <f t="shared" si="430"/>
        <v>1.7544935893503463E-2</v>
      </c>
      <c r="AD108" s="129">
        <f t="shared" si="430"/>
        <v>1.7544935893503463E-2</v>
      </c>
      <c r="AE108" s="129">
        <f t="shared" si="430"/>
        <v>1.7544935893503463E-2</v>
      </c>
      <c r="AF108" s="129">
        <f t="shared" si="430"/>
        <v>1.7544935893503463E-2</v>
      </c>
      <c r="AG108" s="129">
        <f t="shared" si="430"/>
        <v>1.7544935893503463E-2</v>
      </c>
      <c r="AH108" s="116">
        <f t="shared" si="412"/>
        <v>-7.7974921375209783E-2</v>
      </c>
      <c r="AI108" s="124"/>
      <c r="AJ108" s="124"/>
    </row>
    <row r="109" spans="2:36">
      <c r="B109" s="10" t="s">
        <v>321</v>
      </c>
      <c r="C109" s="129"/>
      <c r="D109" s="129"/>
      <c r="E109" s="129"/>
      <c r="F109" s="129"/>
      <c r="G109" s="129">
        <f t="shared" ref="G109" si="431">G20/G25</f>
        <v>0</v>
      </c>
      <c r="H109" s="129" t="e">
        <f t="shared" ref="H109:I109" si="432">H20/H25</f>
        <v>#DIV/0!</v>
      </c>
      <c r="I109" s="129">
        <f t="shared" si="432"/>
        <v>0</v>
      </c>
      <c r="J109" s="129">
        <f>J20/J25</f>
        <v>0</v>
      </c>
      <c r="K109" s="129">
        <f t="shared" ref="K109:S109" si="433">K20/K25</f>
        <v>0</v>
      </c>
      <c r="L109" s="129">
        <f t="shared" si="433"/>
        <v>0</v>
      </c>
      <c r="M109" s="129">
        <f t="shared" si="433"/>
        <v>0</v>
      </c>
      <c r="N109" s="129" t="e">
        <f t="shared" si="433"/>
        <v>#DIV/0!</v>
      </c>
      <c r="O109" s="129">
        <f t="shared" si="433"/>
        <v>0</v>
      </c>
      <c r="P109" s="129">
        <f t="shared" si="433"/>
        <v>0</v>
      </c>
      <c r="Q109" s="129">
        <f t="shared" si="433"/>
        <v>0</v>
      </c>
      <c r="R109" s="129">
        <f t="shared" si="433"/>
        <v>0</v>
      </c>
      <c r="S109" s="129">
        <f t="shared" si="433"/>
        <v>0</v>
      </c>
      <c r="T109" s="129">
        <f t="shared" ref="T109:U109" si="434">T20/T25</f>
        <v>0</v>
      </c>
      <c r="U109" s="129">
        <f t="shared" si="434"/>
        <v>0</v>
      </c>
      <c r="V109" s="101" t="e">
        <f t="shared" si="251"/>
        <v>#DIV/0!</v>
      </c>
      <c r="W109" s="10"/>
      <c r="X109" s="129">
        <f t="shared" ref="X109:AG109" si="435">X20/X25</f>
        <v>0</v>
      </c>
      <c r="Y109" s="129">
        <f t="shared" si="435"/>
        <v>0</v>
      </c>
      <c r="Z109" s="129">
        <f t="shared" si="435"/>
        <v>0</v>
      </c>
      <c r="AA109" s="129">
        <f t="shared" si="435"/>
        <v>0</v>
      </c>
      <c r="AB109" s="129">
        <f t="shared" si="435"/>
        <v>0</v>
      </c>
      <c r="AC109" s="129">
        <f t="shared" si="435"/>
        <v>0</v>
      </c>
      <c r="AD109" s="129">
        <f t="shared" si="435"/>
        <v>0</v>
      </c>
      <c r="AE109" s="129">
        <f t="shared" si="435"/>
        <v>0</v>
      </c>
      <c r="AF109" s="129">
        <f t="shared" si="435"/>
        <v>0</v>
      </c>
      <c r="AG109" s="129">
        <f t="shared" si="435"/>
        <v>0</v>
      </c>
      <c r="AH109" s="116" t="e">
        <f t="shared" si="412"/>
        <v>#DIV/0!</v>
      </c>
      <c r="AI109" s="124"/>
      <c r="AJ109" s="124"/>
    </row>
    <row r="110" spans="2:36">
      <c r="B110" s="10" t="s">
        <v>373</v>
      </c>
      <c r="C110" s="129"/>
      <c r="D110" s="129"/>
      <c r="E110" s="129"/>
      <c r="F110" s="129"/>
      <c r="G110" s="129">
        <f t="shared" ref="G110" si="436">G68/G25</f>
        <v>0.19205298013245034</v>
      </c>
      <c r="H110" s="129" t="e">
        <f t="shared" ref="H110:I110" si="437">H68/H25</f>
        <v>#DIV/0!</v>
      </c>
      <c r="I110" s="129">
        <f t="shared" si="437"/>
        <v>0.19205298013245034</v>
      </c>
      <c r="J110" s="129">
        <f>J68/J25</f>
        <v>0.17567567567567569</v>
      </c>
      <c r="K110" s="129">
        <f t="shared" ref="K110:S110" si="438">K68/K25</f>
        <v>0.14193548387096774</v>
      </c>
      <c r="L110" s="129">
        <f t="shared" si="438"/>
        <v>0.133630289532294</v>
      </c>
      <c r="M110" s="129">
        <f t="shared" si="438"/>
        <v>0.10983263598326359</v>
      </c>
      <c r="N110" s="129" t="e">
        <f t="shared" si="438"/>
        <v>#DIV/0!</v>
      </c>
      <c r="O110" s="129">
        <f t="shared" si="438"/>
        <v>4.0119760479041915E-2</v>
      </c>
      <c r="P110" s="129">
        <f t="shared" si="438"/>
        <v>4.0293040293040296E-2</v>
      </c>
      <c r="Q110" s="129">
        <f t="shared" si="438"/>
        <v>5.2446183953033271E-2</v>
      </c>
      <c r="R110" s="129">
        <f t="shared" si="438"/>
        <v>5.1888004109940919E-2</v>
      </c>
      <c r="S110" s="129">
        <f t="shared" si="438"/>
        <v>4.4798785117691725E-2</v>
      </c>
      <c r="T110" s="129">
        <f t="shared" ref="T110:U110" si="439">T68/T25</f>
        <v>5.9685705651254153E-2</v>
      </c>
      <c r="U110" s="129">
        <f t="shared" si="439"/>
        <v>6.4980273845439779E-2</v>
      </c>
      <c r="V110" s="101">
        <f t="shared" si="251"/>
        <v>-8.0087802686807819E-2</v>
      </c>
      <c r="W110" s="10"/>
      <c r="X110" s="129">
        <f t="shared" ref="X110:AG110" si="440">X68/X25</f>
        <v>6.4980273845439779E-2</v>
      </c>
      <c r="Y110" s="129">
        <f t="shared" si="440"/>
        <v>6.4980273845439779E-2</v>
      </c>
      <c r="Z110" s="129">
        <f t="shared" si="440"/>
        <v>6.4980273845439793E-2</v>
      </c>
      <c r="AA110" s="129">
        <f t="shared" si="440"/>
        <v>6.4980273845439779E-2</v>
      </c>
      <c r="AB110" s="129">
        <f t="shared" si="440"/>
        <v>6.4980273845439807E-2</v>
      </c>
      <c r="AC110" s="129">
        <f t="shared" si="440"/>
        <v>6.4980273845439807E-2</v>
      </c>
      <c r="AD110" s="129">
        <f t="shared" si="440"/>
        <v>6.4980273845439793E-2</v>
      </c>
      <c r="AE110" s="129">
        <f t="shared" si="440"/>
        <v>6.4980273845439807E-2</v>
      </c>
      <c r="AF110" s="129">
        <f t="shared" si="440"/>
        <v>6.4980273845439807E-2</v>
      </c>
      <c r="AG110" s="129">
        <f t="shared" si="440"/>
        <v>6.4980273845439807E-2</v>
      </c>
      <c r="AH110" s="116">
        <f t="shared" si="412"/>
        <v>-4.2319971677922452E-2</v>
      </c>
      <c r="AI110" s="124"/>
      <c r="AJ110" s="124"/>
    </row>
    <row r="111" spans="2:36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10"/>
      <c r="W111" s="10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3"/>
      <c r="AI111" s="124"/>
      <c r="AJ111" s="124"/>
    </row>
    <row r="112" spans="2:36">
      <c r="B112" s="10" t="s">
        <v>268</v>
      </c>
      <c r="C112" s="129"/>
      <c r="D112" s="129"/>
      <c r="E112" s="129"/>
      <c r="F112" s="129"/>
      <c r="G112" s="129">
        <f t="shared" ref="G112" si="441">G29/G25</f>
        <v>3.3112582781456956E-2</v>
      </c>
      <c r="H112" s="129" t="e">
        <f t="shared" ref="H112:I112" si="442">H29/H25</f>
        <v>#DIV/0!</v>
      </c>
      <c r="I112" s="129">
        <f t="shared" si="442"/>
        <v>3.3112582781456956E-2</v>
      </c>
      <c r="J112" s="129">
        <f>J29/J25</f>
        <v>4.8648648648648651E-2</v>
      </c>
      <c r="K112" s="129">
        <f t="shared" ref="K112:S112" si="443">K29/K25</f>
        <v>0.18525345622119815</v>
      </c>
      <c r="L112" s="129">
        <f t="shared" si="443"/>
        <v>0.15033407572383073</v>
      </c>
      <c r="M112" s="129">
        <f t="shared" si="443"/>
        <v>0.20292887029288703</v>
      </c>
      <c r="N112" s="129" t="e">
        <f t="shared" si="443"/>
        <v>#DIV/0!</v>
      </c>
      <c r="O112" s="129">
        <f t="shared" si="443"/>
        <v>0.49640718562874253</v>
      </c>
      <c r="P112" s="129">
        <f t="shared" si="443"/>
        <v>0.50961538461538458</v>
      </c>
      <c r="Q112" s="129">
        <f t="shared" si="443"/>
        <v>0.47358121330724068</v>
      </c>
      <c r="R112" s="129">
        <f t="shared" si="443"/>
        <v>0.47033136398664271</v>
      </c>
      <c r="S112" s="129">
        <f t="shared" si="443"/>
        <v>0.49734244495064539</v>
      </c>
      <c r="T112" s="129">
        <f t="shared" ref="T112:U112" si="444">T29/T25</f>
        <v>0.42444847385917195</v>
      </c>
      <c r="U112" s="129">
        <f t="shared" si="444"/>
        <v>0.409491761429566</v>
      </c>
      <c r="V112" s="101">
        <f t="shared" si="251"/>
        <v>0.19986076246899143</v>
      </c>
      <c r="W112" s="10"/>
      <c r="X112" s="129">
        <f t="shared" ref="X112:AG112" si="445">X29/X25</f>
        <v>0.409491761429566</v>
      </c>
      <c r="Y112" s="129">
        <f t="shared" si="445"/>
        <v>0.40949176142956606</v>
      </c>
      <c r="Z112" s="129">
        <f t="shared" si="445"/>
        <v>0.40949176142956606</v>
      </c>
      <c r="AA112" s="129">
        <f t="shared" si="445"/>
        <v>0.40949176142956611</v>
      </c>
      <c r="AB112" s="129">
        <f t="shared" si="445"/>
        <v>0.40949176142956606</v>
      </c>
      <c r="AC112" s="129">
        <f t="shared" si="445"/>
        <v>0.40949176142956606</v>
      </c>
      <c r="AD112" s="129">
        <f t="shared" si="445"/>
        <v>0.40949176142956611</v>
      </c>
      <c r="AE112" s="129">
        <f t="shared" si="445"/>
        <v>0.40949176142956611</v>
      </c>
      <c r="AF112" s="129">
        <f t="shared" si="445"/>
        <v>0.40949176142956611</v>
      </c>
      <c r="AG112" s="129">
        <f t="shared" si="445"/>
        <v>0.40949176142956611</v>
      </c>
      <c r="AH112" s="116">
        <f t="shared" si="412"/>
        <v>9.7046341287480464E-2</v>
      </c>
      <c r="AI112" s="124"/>
      <c r="AJ112" s="124"/>
    </row>
    <row r="113" spans="1:36">
      <c r="B113" s="10" t="s">
        <v>314</v>
      </c>
      <c r="C113" s="129"/>
      <c r="D113" s="129"/>
      <c r="E113" s="129"/>
      <c r="F113" s="129"/>
      <c r="G113" s="129">
        <f t="shared" ref="G113" si="446">G29/G51</f>
        <v>6.3291139240506333E-2</v>
      </c>
      <c r="H113" s="129" t="e">
        <f t="shared" ref="H113:I113" si="447">H29/H51</f>
        <v>#DIV/0!</v>
      </c>
      <c r="I113" s="129">
        <f t="shared" si="447"/>
        <v>6.3291139240506333E-2</v>
      </c>
      <c r="J113" s="129">
        <f>J29/J51</f>
        <v>9.2783505154639179E-2</v>
      </c>
      <c r="K113" s="129">
        <f t="shared" ref="K113:S113" si="448">K29/K51</f>
        <v>0.30828220858895705</v>
      </c>
      <c r="L113" s="129">
        <f t="shared" si="448"/>
        <v>0.28125</v>
      </c>
      <c r="M113" s="129">
        <f t="shared" si="448"/>
        <v>0.34035087719298246</v>
      </c>
      <c r="N113" s="129" t="e">
        <f t="shared" si="448"/>
        <v>#DIV/0!</v>
      </c>
      <c r="O113" s="129">
        <f t="shared" si="448"/>
        <v>0.78060263653483997</v>
      </c>
      <c r="P113" s="129">
        <f t="shared" si="448"/>
        <v>0.7854622441778405</v>
      </c>
      <c r="Q113" s="129">
        <f t="shared" si="448"/>
        <v>0.75389408099688471</v>
      </c>
      <c r="R113" s="129">
        <f t="shared" si="448"/>
        <v>0.76323468111713211</v>
      </c>
      <c r="S113" s="129">
        <f t="shared" si="448"/>
        <v>0.80195898377716557</v>
      </c>
      <c r="T113" s="129">
        <f t="shared" ref="T113:U113" si="449">T29/T51</f>
        <v>0.73303757828810023</v>
      </c>
      <c r="U113" s="129">
        <f t="shared" si="449"/>
        <v>0.70284803823939457</v>
      </c>
      <c r="V113" s="101">
        <f t="shared" si="251"/>
        <v>0.19119955709653391</v>
      </c>
      <c r="W113" s="10"/>
      <c r="X113" s="129">
        <f t="shared" ref="X113:AG113" si="450">X29/X51</f>
        <v>0.70284803823939457</v>
      </c>
      <c r="Y113" s="129">
        <f t="shared" si="450"/>
        <v>0.70284803823939457</v>
      </c>
      <c r="Z113" s="129">
        <f t="shared" si="450"/>
        <v>0.70284803823939468</v>
      </c>
      <c r="AA113" s="129">
        <f t="shared" si="450"/>
        <v>0.70284803823939468</v>
      </c>
      <c r="AB113" s="129">
        <f t="shared" si="450"/>
        <v>0.70284803823939457</v>
      </c>
      <c r="AC113" s="129">
        <f t="shared" si="450"/>
        <v>0.70284803823939457</v>
      </c>
      <c r="AD113" s="129">
        <f t="shared" si="450"/>
        <v>0.70284803823939468</v>
      </c>
      <c r="AE113" s="129">
        <f t="shared" si="450"/>
        <v>0.70284803823939468</v>
      </c>
      <c r="AF113" s="129">
        <f t="shared" si="450"/>
        <v>0.70284803823939468</v>
      </c>
      <c r="AG113" s="129">
        <f t="shared" si="450"/>
        <v>0.70284803823939479</v>
      </c>
      <c r="AH113" s="116">
        <f t="shared" ref="AH113" si="451">((AG113/J113)^(1/($AG$3-$K$1) ))-1</f>
        <v>9.2029515278035712E-2</v>
      </c>
      <c r="AI113" s="124"/>
      <c r="AJ113" s="124"/>
    </row>
    <row r="114" spans="1:36" ht="12" customHeight="1">
      <c r="B114" s="10" t="s">
        <v>313</v>
      </c>
      <c r="C114" s="129"/>
      <c r="D114" s="129"/>
      <c r="E114" s="129"/>
      <c r="F114" s="148"/>
      <c r="G114" s="148">
        <f t="shared" ref="G114" si="452">G29/G55</f>
        <v>0.11904761904761904</v>
      </c>
      <c r="H114" s="148" t="e">
        <f t="shared" ref="H114:I114" si="453">H29/H55</f>
        <v>#DIV/0!</v>
      </c>
      <c r="I114" s="148">
        <f t="shared" si="453"/>
        <v>0.11904761904761904</v>
      </c>
      <c r="J114" s="148">
        <f t="shared" ref="J114:S114" si="454">J29/J55</f>
        <v>0.16363636363636364</v>
      </c>
      <c r="K114" s="148">
        <f t="shared" si="454"/>
        <v>0.68835616438356162</v>
      </c>
      <c r="L114" s="148">
        <f t="shared" si="454"/>
        <v>0.64593301435406703</v>
      </c>
      <c r="M114" s="148">
        <f t="shared" si="454"/>
        <v>0.7918367346938775</v>
      </c>
      <c r="N114" s="148" t="e">
        <f t="shared" si="454"/>
        <v>#DIV/0!</v>
      </c>
      <c r="O114" s="148">
        <f t="shared" si="454"/>
        <v>6.3282442748091601</v>
      </c>
      <c r="P114" s="148">
        <f t="shared" si="454"/>
        <v>6.5087719298245617</v>
      </c>
      <c r="Q114" s="148">
        <f t="shared" si="454"/>
        <v>5.5760368663594466</v>
      </c>
      <c r="R114" s="148">
        <f t="shared" si="454"/>
        <v>5.9448051948051948</v>
      </c>
      <c r="S114" s="148">
        <f t="shared" si="454"/>
        <v>7.8208955223880601</v>
      </c>
      <c r="T114" s="148">
        <f t="shared" ref="T114:U114" si="455">T29/T55</f>
        <v>5.1259124087591239</v>
      </c>
      <c r="U114" s="148">
        <f t="shared" si="455"/>
        <v>4.1130536130536131</v>
      </c>
      <c r="V114" s="101">
        <f t="shared" si="251"/>
        <v>0.30833177922843436</v>
      </c>
      <c r="W114" s="10"/>
      <c r="X114" s="148">
        <f t="shared" ref="X114:AG114" si="456">X29/X55</f>
        <v>4.1130536130536139</v>
      </c>
      <c r="Y114" s="148">
        <f t="shared" si="456"/>
        <v>4.1130536130536139</v>
      </c>
      <c r="Z114" s="148">
        <f t="shared" si="456"/>
        <v>4.1130536130536139</v>
      </c>
      <c r="AA114" s="148">
        <f t="shared" si="456"/>
        <v>4.1130536130536148</v>
      </c>
      <c r="AB114" s="148">
        <f t="shared" si="456"/>
        <v>4.1130536130536148</v>
      </c>
      <c r="AC114" s="148">
        <f t="shared" si="456"/>
        <v>4.1130536130536139</v>
      </c>
      <c r="AD114" s="148">
        <f t="shared" si="456"/>
        <v>4.1130536130536139</v>
      </c>
      <c r="AE114" s="148">
        <f t="shared" si="456"/>
        <v>4.1130536130536148</v>
      </c>
      <c r="AF114" s="148">
        <f t="shared" si="456"/>
        <v>4.1130536130536148</v>
      </c>
      <c r="AG114" s="148">
        <f t="shared" si="456"/>
        <v>4.1130536130536148</v>
      </c>
      <c r="AH114" s="116">
        <f t="shared" ref="AH114" si="457">((AG114/J114)^(1/($AG$3-$K$1) ))-1</f>
        <v>0.15048758620889036</v>
      </c>
      <c r="AI114" s="124"/>
      <c r="AJ114" s="124"/>
    </row>
    <row r="115" spans="1:36" ht="12" customHeight="1">
      <c r="B115" s="10" t="s">
        <v>270</v>
      </c>
      <c r="C115" s="129"/>
      <c r="D115" s="129"/>
      <c r="E115" s="129"/>
      <c r="F115" s="148"/>
      <c r="G115" s="148">
        <f t="shared" ref="G115" si="458">G29/G12</f>
        <v>0.18518518518518517</v>
      </c>
      <c r="H115" s="148" t="e">
        <f t="shared" ref="H115:I115" si="459">H29/H12</f>
        <v>#DIV/0!</v>
      </c>
      <c r="I115" s="148">
        <f t="shared" si="459"/>
        <v>0.18518518518518517</v>
      </c>
      <c r="J115" s="148">
        <f t="shared" ref="J115:S115" si="460">J29/J12</f>
        <v>0.78260869565217395</v>
      </c>
      <c r="K115" s="148">
        <f t="shared" si="460"/>
        <v>0.5860058309037901</v>
      </c>
      <c r="L115" s="148">
        <f t="shared" si="460"/>
        <v>0.375</v>
      </c>
      <c r="M115" s="148">
        <f t="shared" si="460"/>
        <v>1.4809160305343512</v>
      </c>
      <c r="N115" s="148" t="e">
        <f t="shared" si="460"/>
        <v>#DIV/0!</v>
      </c>
      <c r="O115" s="148">
        <f t="shared" si="460"/>
        <v>0.25320708613317044</v>
      </c>
      <c r="P115" s="148">
        <f t="shared" si="460"/>
        <v>0.30016181229773464</v>
      </c>
      <c r="Q115" s="148">
        <f t="shared" si="460"/>
        <v>0.61640346408558333</v>
      </c>
      <c r="R115" s="148">
        <f t="shared" si="460"/>
        <v>7.8365075968328701E-2</v>
      </c>
      <c r="S115" s="148">
        <f t="shared" si="460"/>
        <v>1.3547052740434333</v>
      </c>
      <c r="T115" s="148">
        <f t="shared" ref="T115:U115" si="461">T29/T12</f>
        <v>1.0729564553093964</v>
      </c>
      <c r="U115" s="148">
        <f t="shared" si="461"/>
        <v>0.89910828025477707</v>
      </c>
      <c r="V115" s="101">
        <f t="shared" si="251"/>
        <v>0.13370033635465273</v>
      </c>
      <c r="W115" s="10"/>
      <c r="X115" s="129">
        <f t="shared" ref="X115:AG115" si="462">X29/X12</f>
        <v>0.89910828025477707</v>
      </c>
      <c r="Y115" s="129">
        <f t="shared" si="462"/>
        <v>0.89910828025477707</v>
      </c>
      <c r="Z115" s="129">
        <f t="shared" si="462"/>
        <v>0.89910828025477718</v>
      </c>
      <c r="AA115" s="129">
        <f t="shared" si="462"/>
        <v>0.89910828025477718</v>
      </c>
      <c r="AB115" s="129">
        <f t="shared" si="462"/>
        <v>0.89910828025477707</v>
      </c>
      <c r="AC115" s="129">
        <f t="shared" si="462"/>
        <v>0.89910828025477707</v>
      </c>
      <c r="AD115" s="129">
        <f t="shared" si="462"/>
        <v>0.89910828025477707</v>
      </c>
      <c r="AE115" s="129">
        <f t="shared" si="462"/>
        <v>0.89910828025477718</v>
      </c>
      <c r="AF115" s="129">
        <f t="shared" si="462"/>
        <v>0.89910828025477718</v>
      </c>
      <c r="AG115" s="129">
        <f t="shared" si="462"/>
        <v>0.89910828025477718</v>
      </c>
      <c r="AH115" s="116">
        <f t="shared" si="412"/>
        <v>6.0517448492389825E-3</v>
      </c>
      <c r="AI115" s="124"/>
      <c r="AJ115" s="124"/>
    </row>
    <row r="116" spans="1:36" ht="12" customHeight="1">
      <c r="B116" s="10" t="s">
        <v>315</v>
      </c>
      <c r="C116" s="129"/>
      <c r="D116" s="129"/>
      <c r="E116" s="129"/>
      <c r="F116" s="148"/>
      <c r="G116" s="148" t="e">
        <f t="shared" ref="G116" si="463">G29/G23</f>
        <v>#DIV/0!</v>
      </c>
      <c r="H116" s="148" t="e">
        <f t="shared" ref="H116:I116" si="464">H29/H23</f>
        <v>#DIV/0!</v>
      </c>
      <c r="I116" s="148" t="e">
        <f t="shared" si="464"/>
        <v>#DIV/0!</v>
      </c>
      <c r="J116" s="148" t="e">
        <f>J29/J23</f>
        <v>#DIV/0!</v>
      </c>
      <c r="K116" s="148" t="e">
        <f t="shared" ref="K116:S116" si="465">K29/K23</f>
        <v>#DIV/0!</v>
      </c>
      <c r="L116" s="148" t="e">
        <f t="shared" si="465"/>
        <v>#DIV/0!</v>
      </c>
      <c r="M116" s="148" t="e">
        <f t="shared" si="465"/>
        <v>#DIV/0!</v>
      </c>
      <c r="N116" s="148" t="e">
        <f t="shared" si="465"/>
        <v>#DIV/0!</v>
      </c>
      <c r="O116" s="148" t="e">
        <f t="shared" si="465"/>
        <v>#DIV/0!</v>
      </c>
      <c r="P116" s="148" t="e">
        <f t="shared" si="465"/>
        <v>#DIV/0!</v>
      </c>
      <c r="Q116" s="148" t="e">
        <f t="shared" si="465"/>
        <v>#DIV/0!</v>
      </c>
      <c r="R116" s="148" t="e">
        <f t="shared" si="465"/>
        <v>#DIV/0!</v>
      </c>
      <c r="S116" s="148" t="e">
        <f t="shared" si="465"/>
        <v>#DIV/0!</v>
      </c>
      <c r="T116" s="148" t="e">
        <f t="shared" ref="T116:U116" si="466">T29/T23</f>
        <v>#DIV/0!</v>
      </c>
      <c r="U116" s="148" t="e">
        <f t="shared" si="466"/>
        <v>#DIV/0!</v>
      </c>
      <c r="V116" s="101" t="e">
        <f t="shared" si="251"/>
        <v>#DIV/0!</v>
      </c>
      <c r="W116" s="10"/>
      <c r="X116" s="148" t="e">
        <f t="shared" ref="X116:AG116" si="467">X29/X23</f>
        <v>#DIV/0!</v>
      </c>
      <c r="Y116" s="148" t="e">
        <f t="shared" si="467"/>
        <v>#DIV/0!</v>
      </c>
      <c r="Z116" s="148" t="e">
        <f t="shared" si="467"/>
        <v>#DIV/0!</v>
      </c>
      <c r="AA116" s="148" t="e">
        <f t="shared" si="467"/>
        <v>#DIV/0!</v>
      </c>
      <c r="AB116" s="148" t="e">
        <f t="shared" si="467"/>
        <v>#DIV/0!</v>
      </c>
      <c r="AC116" s="148" t="e">
        <f t="shared" si="467"/>
        <v>#DIV/0!</v>
      </c>
      <c r="AD116" s="148" t="e">
        <f t="shared" si="467"/>
        <v>#DIV/0!</v>
      </c>
      <c r="AE116" s="148" t="e">
        <f t="shared" si="467"/>
        <v>#DIV/0!</v>
      </c>
      <c r="AF116" s="148" t="e">
        <f t="shared" si="467"/>
        <v>#DIV/0!</v>
      </c>
      <c r="AG116" s="148" t="e">
        <f t="shared" si="467"/>
        <v>#DIV/0!</v>
      </c>
      <c r="AH116" s="116" t="e">
        <f t="shared" ref="AH116" si="468">((AG116/J116)^(1/($AG$3-$K$1) ))-1</f>
        <v>#DIV/0!</v>
      </c>
      <c r="AI116" s="124"/>
      <c r="AJ116" s="124"/>
    </row>
    <row r="117" spans="1:36" ht="12" customHeight="1">
      <c r="B117" s="10"/>
      <c r="C117" s="129"/>
      <c r="D117" s="129"/>
      <c r="E117" s="129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10"/>
      <c r="W117" s="10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4"/>
      <c r="AJ117" s="124"/>
    </row>
    <row r="118" spans="1:36" ht="12" customHeight="1">
      <c r="B118" s="10" t="s">
        <v>347</v>
      </c>
      <c r="C118" s="129"/>
      <c r="D118" s="129"/>
      <c r="E118" s="129"/>
      <c r="F118" s="109"/>
      <c r="G118" s="109">
        <f t="shared" ref="G118" si="469">1/G112</f>
        <v>30.2</v>
      </c>
      <c r="H118" s="109" t="e">
        <f t="shared" ref="H118:I118" si="470">1/H112</f>
        <v>#DIV/0!</v>
      </c>
      <c r="I118" s="109">
        <f t="shared" si="470"/>
        <v>30.2</v>
      </c>
      <c r="J118" s="109">
        <f>1/J112</f>
        <v>20.555555555555554</v>
      </c>
      <c r="K118" s="109">
        <f t="shared" ref="K118:S118" si="471">1/K112</f>
        <v>5.3980099502487562</v>
      </c>
      <c r="L118" s="109">
        <f t="shared" si="471"/>
        <v>6.6518518518518519</v>
      </c>
      <c r="M118" s="109">
        <f t="shared" si="471"/>
        <v>4.927835051546392</v>
      </c>
      <c r="N118" s="109" t="e">
        <f t="shared" si="471"/>
        <v>#DIV/0!</v>
      </c>
      <c r="O118" s="109">
        <f t="shared" si="471"/>
        <v>2.0144752714113388</v>
      </c>
      <c r="P118" s="109">
        <f t="shared" si="471"/>
        <v>1.9622641509433965</v>
      </c>
      <c r="Q118" s="109">
        <f t="shared" si="471"/>
        <v>2.1115702479338845</v>
      </c>
      <c r="R118" s="109">
        <f t="shared" si="471"/>
        <v>2.1261605679956306</v>
      </c>
      <c r="S118" s="109">
        <f t="shared" si="471"/>
        <v>2.0106870229007634</v>
      </c>
      <c r="T118" s="109">
        <f t="shared" ref="T118:U118" si="472">1/T112</f>
        <v>2.3559985760056961</v>
      </c>
      <c r="U118" s="109">
        <f t="shared" si="472"/>
        <v>2.4420515726834799</v>
      </c>
      <c r="V118" s="101">
        <f t="shared" si="251"/>
        <v>-0.1665699627161169</v>
      </c>
      <c r="W118" s="10"/>
      <c r="X118" s="109">
        <f t="shared" ref="X118:AG118" si="473">1/X112</f>
        <v>2.4420515726834799</v>
      </c>
      <c r="Y118" s="109">
        <f t="shared" si="473"/>
        <v>2.4420515726834795</v>
      </c>
      <c r="Z118" s="109">
        <f t="shared" si="473"/>
        <v>2.4420515726834795</v>
      </c>
      <c r="AA118" s="109">
        <f t="shared" si="473"/>
        <v>2.4420515726834791</v>
      </c>
      <c r="AB118" s="109">
        <f t="shared" si="473"/>
        <v>2.4420515726834795</v>
      </c>
      <c r="AC118" s="109">
        <f t="shared" si="473"/>
        <v>2.4420515726834795</v>
      </c>
      <c r="AD118" s="109">
        <f t="shared" si="473"/>
        <v>2.4420515726834791</v>
      </c>
      <c r="AE118" s="109">
        <f t="shared" si="473"/>
        <v>2.4420515726834791</v>
      </c>
      <c r="AF118" s="109">
        <f t="shared" si="473"/>
        <v>2.4420515726834791</v>
      </c>
      <c r="AG118" s="109">
        <f t="shared" si="473"/>
        <v>2.4420515726834791</v>
      </c>
      <c r="AH118" s="116">
        <f t="shared" si="412"/>
        <v>-8.8461478458228049E-2</v>
      </c>
      <c r="AI118" s="124"/>
      <c r="AJ118" s="124"/>
    </row>
    <row r="119" spans="1:36" ht="12" customHeight="1">
      <c r="B119" s="10" t="s">
        <v>348</v>
      </c>
      <c r="C119" s="129"/>
      <c r="D119" s="129"/>
      <c r="E119" s="129"/>
      <c r="F119" s="109"/>
      <c r="G119" s="109">
        <f t="shared" ref="G119" si="474">1/G113</f>
        <v>15.799999999999999</v>
      </c>
      <c r="H119" s="109" t="e">
        <f t="shared" ref="H119:I119" si="475">1/H113</f>
        <v>#DIV/0!</v>
      </c>
      <c r="I119" s="109">
        <f t="shared" si="475"/>
        <v>15.799999999999999</v>
      </c>
      <c r="J119" s="109">
        <f t="shared" ref="J119:S122" si="476">1/J113</f>
        <v>10.777777777777777</v>
      </c>
      <c r="K119" s="109">
        <f t="shared" si="476"/>
        <v>3.2437810945273631</v>
      </c>
      <c r="L119" s="109">
        <f t="shared" si="476"/>
        <v>3.5555555555555554</v>
      </c>
      <c r="M119" s="109">
        <f t="shared" si="476"/>
        <v>2.938144329896907</v>
      </c>
      <c r="N119" s="109" t="e">
        <f t="shared" si="476"/>
        <v>#DIV/0!</v>
      </c>
      <c r="O119" s="109">
        <f t="shared" si="476"/>
        <v>1.281061519903498</v>
      </c>
      <c r="P119" s="109">
        <f t="shared" si="476"/>
        <v>1.2731356693620846</v>
      </c>
      <c r="Q119" s="109">
        <f t="shared" si="476"/>
        <v>1.3264462809917357</v>
      </c>
      <c r="R119" s="109">
        <f t="shared" si="476"/>
        <v>1.3102129983615511</v>
      </c>
      <c r="S119" s="109">
        <f t="shared" si="476"/>
        <v>1.2469465648854963</v>
      </c>
      <c r="T119" s="109">
        <f t="shared" ref="T119:U119" si="477">1/T113</f>
        <v>1.3641865432538269</v>
      </c>
      <c r="U119" s="109">
        <f t="shared" si="477"/>
        <v>1.422782657976764</v>
      </c>
      <c r="V119" s="101">
        <f t="shared" si="251"/>
        <v>-0.16051009753778755</v>
      </c>
      <c r="W119" s="10"/>
      <c r="X119" s="109">
        <f t="shared" ref="X119:AG119" si="478">1/X113</f>
        <v>1.422782657976764</v>
      </c>
      <c r="Y119" s="109">
        <f t="shared" si="478"/>
        <v>1.422782657976764</v>
      </c>
      <c r="Z119" s="109">
        <f t="shared" si="478"/>
        <v>1.4227826579767637</v>
      </c>
      <c r="AA119" s="109">
        <f t="shared" si="478"/>
        <v>1.4227826579767637</v>
      </c>
      <c r="AB119" s="109">
        <f t="shared" si="478"/>
        <v>1.422782657976764</v>
      </c>
      <c r="AC119" s="109">
        <f t="shared" si="478"/>
        <v>1.422782657976764</v>
      </c>
      <c r="AD119" s="109">
        <f t="shared" si="478"/>
        <v>1.4227826579767637</v>
      </c>
      <c r="AE119" s="109">
        <f t="shared" si="478"/>
        <v>1.4227826579767637</v>
      </c>
      <c r="AF119" s="109">
        <f t="shared" si="478"/>
        <v>1.4227826579767637</v>
      </c>
      <c r="AG119" s="109">
        <f t="shared" si="478"/>
        <v>1.4227826579767635</v>
      </c>
      <c r="AH119" s="116">
        <f t="shared" si="412"/>
        <v>-8.4273835084580639E-2</v>
      </c>
      <c r="AI119" s="124"/>
      <c r="AJ119" s="124"/>
    </row>
    <row r="120" spans="1:36" ht="12" customHeight="1">
      <c r="B120" s="10" t="s">
        <v>349</v>
      </c>
      <c r="C120" s="129"/>
      <c r="D120" s="129"/>
      <c r="E120" s="129"/>
      <c r="F120" s="109"/>
      <c r="G120" s="109">
        <f t="shared" ref="G120" si="479">1/G114</f>
        <v>8.4</v>
      </c>
      <c r="H120" s="109" t="e">
        <f t="shared" ref="H120:I120" si="480">1/H114</f>
        <v>#DIV/0!</v>
      </c>
      <c r="I120" s="109">
        <f t="shared" si="480"/>
        <v>8.4</v>
      </c>
      <c r="J120" s="109">
        <f t="shared" si="476"/>
        <v>6.1111111111111107</v>
      </c>
      <c r="K120" s="109">
        <f t="shared" si="476"/>
        <v>1.4527363184079602</v>
      </c>
      <c r="L120" s="109">
        <f t="shared" si="476"/>
        <v>1.5481481481481481</v>
      </c>
      <c r="M120" s="109">
        <f t="shared" si="476"/>
        <v>1.2628865979381445</v>
      </c>
      <c r="N120" s="109" t="e">
        <f t="shared" si="476"/>
        <v>#DIV/0!</v>
      </c>
      <c r="O120" s="109">
        <f t="shared" si="476"/>
        <v>0.158021712907117</v>
      </c>
      <c r="P120" s="109">
        <f t="shared" si="476"/>
        <v>0.15363881401617249</v>
      </c>
      <c r="Q120" s="109">
        <f t="shared" si="476"/>
        <v>0.17933884297520664</v>
      </c>
      <c r="R120" s="109">
        <f t="shared" si="476"/>
        <v>0.16821409066084106</v>
      </c>
      <c r="S120" s="109">
        <f t="shared" si="476"/>
        <v>0.12786259541984732</v>
      </c>
      <c r="T120" s="109">
        <f t="shared" ref="T120:U120" si="481">1/T114</f>
        <v>0.19508721965112141</v>
      </c>
      <c r="U120" s="109">
        <f t="shared" si="481"/>
        <v>0.24312836497591386</v>
      </c>
      <c r="V120" s="101">
        <f t="shared" si="251"/>
        <v>-0.23566788189633936</v>
      </c>
      <c r="W120" s="10"/>
      <c r="X120" s="109">
        <f t="shared" ref="X120:AG120" si="482">1/X114</f>
        <v>0.24312836497591381</v>
      </c>
      <c r="Y120" s="109">
        <f t="shared" si="482"/>
        <v>0.24312836497591381</v>
      </c>
      <c r="Z120" s="109">
        <f t="shared" si="482"/>
        <v>0.24312836497591381</v>
      </c>
      <c r="AA120" s="109">
        <f t="shared" si="482"/>
        <v>0.24312836497591375</v>
      </c>
      <c r="AB120" s="109">
        <f t="shared" si="482"/>
        <v>0.24312836497591375</v>
      </c>
      <c r="AC120" s="109">
        <f t="shared" si="482"/>
        <v>0.24312836497591381</v>
      </c>
      <c r="AD120" s="109">
        <f t="shared" si="482"/>
        <v>0.24312836497591381</v>
      </c>
      <c r="AE120" s="109">
        <f t="shared" si="482"/>
        <v>0.24312836497591375</v>
      </c>
      <c r="AF120" s="109">
        <f t="shared" si="482"/>
        <v>0.24312836497591375</v>
      </c>
      <c r="AG120" s="109">
        <f t="shared" si="482"/>
        <v>0.24312836497591375</v>
      </c>
      <c r="AH120" s="116">
        <f t="shared" si="412"/>
        <v>-0.1308033115809446</v>
      </c>
      <c r="AI120" s="124"/>
      <c r="AJ120" s="124"/>
    </row>
    <row r="121" spans="1:36" ht="12" customHeight="1">
      <c r="B121" s="10" t="s">
        <v>350</v>
      </c>
      <c r="C121" s="129"/>
      <c r="D121" s="129"/>
      <c r="E121" s="129"/>
      <c r="F121" s="109"/>
      <c r="G121" s="109">
        <f t="shared" ref="G121" si="483">1/G115</f>
        <v>5.4</v>
      </c>
      <c r="H121" s="109" t="e">
        <f t="shared" ref="H121:I121" si="484">1/H115</f>
        <v>#DIV/0!</v>
      </c>
      <c r="I121" s="109">
        <f t="shared" si="484"/>
        <v>5.4</v>
      </c>
      <c r="J121" s="109">
        <f t="shared" si="476"/>
        <v>1.2777777777777777</v>
      </c>
      <c r="K121" s="109">
        <f t="shared" si="476"/>
        <v>1.7064676616915422</v>
      </c>
      <c r="L121" s="109">
        <f t="shared" si="476"/>
        <v>2.6666666666666665</v>
      </c>
      <c r="M121" s="109">
        <f t="shared" si="476"/>
        <v>0.67525773195876293</v>
      </c>
      <c r="N121" s="109" t="e">
        <f t="shared" si="476"/>
        <v>#DIV/0!</v>
      </c>
      <c r="O121" s="109">
        <f t="shared" si="476"/>
        <v>3.9493365500603135</v>
      </c>
      <c r="P121" s="109">
        <f t="shared" si="476"/>
        <v>3.3315363881401616</v>
      </c>
      <c r="Q121" s="109">
        <f t="shared" si="476"/>
        <v>1.6223140495867767</v>
      </c>
      <c r="R121" s="109">
        <f t="shared" si="476"/>
        <v>12.760786455488804</v>
      </c>
      <c r="S121" s="109">
        <f t="shared" si="476"/>
        <v>0.73816793893129773</v>
      </c>
      <c r="T121" s="109">
        <f t="shared" ref="T121:U121" si="485">1/T115</f>
        <v>0.93200427198291214</v>
      </c>
      <c r="U121" s="109">
        <f t="shared" si="485"/>
        <v>1.1122130915273449</v>
      </c>
      <c r="V121" s="101">
        <f t="shared" si="251"/>
        <v>-0.1179326953227855</v>
      </c>
      <c r="W121" s="10"/>
      <c r="X121" s="109">
        <f t="shared" ref="X121:AG121" si="486">1/X115</f>
        <v>1.1122130915273449</v>
      </c>
      <c r="Y121" s="109">
        <f t="shared" si="486"/>
        <v>1.1122130915273449</v>
      </c>
      <c r="Z121" s="109">
        <f t="shared" si="486"/>
        <v>1.1122130915273447</v>
      </c>
      <c r="AA121" s="109">
        <f t="shared" si="486"/>
        <v>1.1122130915273447</v>
      </c>
      <c r="AB121" s="109">
        <f t="shared" si="486"/>
        <v>1.1122130915273449</v>
      </c>
      <c r="AC121" s="109">
        <f t="shared" si="486"/>
        <v>1.1122130915273449</v>
      </c>
      <c r="AD121" s="109">
        <f t="shared" si="486"/>
        <v>1.1122130915273449</v>
      </c>
      <c r="AE121" s="109">
        <f t="shared" si="486"/>
        <v>1.1122130915273447</v>
      </c>
      <c r="AF121" s="109">
        <f t="shared" si="486"/>
        <v>1.1122130915273447</v>
      </c>
      <c r="AG121" s="109">
        <f t="shared" si="486"/>
        <v>1.1122130915273447</v>
      </c>
      <c r="AH121" s="116">
        <f t="shared" si="412"/>
        <v>-6.0153415370755026E-3</v>
      </c>
      <c r="AI121" s="124"/>
      <c r="AJ121" s="124"/>
    </row>
    <row r="122" spans="1:36" ht="12" customHeight="1">
      <c r="B122" s="10" t="s">
        <v>351</v>
      </c>
      <c r="C122" s="129"/>
      <c r="D122" s="129"/>
      <c r="E122" s="129"/>
      <c r="F122" s="109"/>
      <c r="G122" s="109" t="e">
        <f t="shared" ref="G122" si="487">1/G116</f>
        <v>#DIV/0!</v>
      </c>
      <c r="H122" s="109" t="e">
        <f t="shared" ref="H122:I122" si="488">1/H116</f>
        <v>#DIV/0!</v>
      </c>
      <c r="I122" s="109" t="e">
        <f t="shared" si="488"/>
        <v>#DIV/0!</v>
      </c>
      <c r="J122" s="109" t="e">
        <f t="shared" si="476"/>
        <v>#DIV/0!</v>
      </c>
      <c r="K122" s="109" t="e">
        <f t="shared" si="476"/>
        <v>#DIV/0!</v>
      </c>
      <c r="L122" s="109" t="e">
        <f t="shared" si="476"/>
        <v>#DIV/0!</v>
      </c>
      <c r="M122" s="109" t="e">
        <f t="shared" si="476"/>
        <v>#DIV/0!</v>
      </c>
      <c r="N122" s="109" t="e">
        <f t="shared" si="476"/>
        <v>#DIV/0!</v>
      </c>
      <c r="O122" s="109" t="e">
        <f t="shared" si="476"/>
        <v>#DIV/0!</v>
      </c>
      <c r="P122" s="109" t="e">
        <f t="shared" si="476"/>
        <v>#DIV/0!</v>
      </c>
      <c r="Q122" s="109" t="e">
        <f t="shared" si="476"/>
        <v>#DIV/0!</v>
      </c>
      <c r="R122" s="109" t="e">
        <f t="shared" si="476"/>
        <v>#DIV/0!</v>
      </c>
      <c r="S122" s="109" t="e">
        <f t="shared" si="476"/>
        <v>#DIV/0!</v>
      </c>
      <c r="T122" s="109" t="e">
        <f t="shared" ref="T122:U122" si="489">1/T116</f>
        <v>#DIV/0!</v>
      </c>
      <c r="U122" s="109" t="e">
        <f t="shared" si="489"/>
        <v>#DIV/0!</v>
      </c>
      <c r="V122" s="101" t="e">
        <f t="shared" si="251"/>
        <v>#DIV/0!</v>
      </c>
      <c r="W122" s="10"/>
      <c r="X122" s="109" t="e">
        <f t="shared" ref="X122:AG122" si="490">1/X116</f>
        <v>#DIV/0!</v>
      </c>
      <c r="Y122" s="109" t="e">
        <f t="shared" si="490"/>
        <v>#DIV/0!</v>
      </c>
      <c r="Z122" s="109" t="e">
        <f t="shared" si="490"/>
        <v>#DIV/0!</v>
      </c>
      <c r="AA122" s="109" t="e">
        <f t="shared" si="490"/>
        <v>#DIV/0!</v>
      </c>
      <c r="AB122" s="109" t="e">
        <f t="shared" si="490"/>
        <v>#DIV/0!</v>
      </c>
      <c r="AC122" s="109" t="e">
        <f t="shared" si="490"/>
        <v>#DIV/0!</v>
      </c>
      <c r="AD122" s="109" t="e">
        <f t="shared" si="490"/>
        <v>#DIV/0!</v>
      </c>
      <c r="AE122" s="109" t="e">
        <f t="shared" si="490"/>
        <v>#DIV/0!</v>
      </c>
      <c r="AF122" s="109" t="e">
        <f t="shared" si="490"/>
        <v>#DIV/0!</v>
      </c>
      <c r="AG122" s="109" t="e">
        <f t="shared" si="490"/>
        <v>#DIV/0!</v>
      </c>
      <c r="AH122" s="116" t="e">
        <f t="shared" si="412"/>
        <v>#DIV/0!</v>
      </c>
      <c r="AI122" s="124"/>
      <c r="AJ122" s="124"/>
    </row>
    <row r="123" spans="1:36" ht="12" customHeight="1">
      <c r="B123" s="10"/>
      <c r="C123" s="129"/>
      <c r="D123" s="129"/>
      <c r="E123" s="129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10"/>
      <c r="W123" s="10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4"/>
      <c r="AJ123" s="124"/>
    </row>
    <row r="124" spans="1:36" ht="12" customHeight="1">
      <c r="A124" s="301" t="s">
        <v>423</v>
      </c>
      <c r="B124" s="179" t="s">
        <v>430</v>
      </c>
      <c r="C124" s="129"/>
      <c r="D124" s="129"/>
      <c r="E124" s="129"/>
      <c r="F124" s="148"/>
      <c r="G124" s="148" t="e">
        <f t="shared" ref="G124" si="491">G25/(G36+G38)</f>
        <v>#DIV/0!</v>
      </c>
      <c r="H124" s="148" t="e">
        <f t="shared" ref="H124:I124" si="492">H25/(H36+H38)</f>
        <v>#DIV/0!</v>
      </c>
      <c r="I124" s="148" t="e">
        <f t="shared" si="492"/>
        <v>#DIV/0!</v>
      </c>
      <c r="J124" s="148" t="e">
        <f t="shared" ref="J124:T124" si="493">J25/(J36+J38)</f>
        <v>#DIV/0!</v>
      </c>
      <c r="K124" s="148" t="e">
        <f t="shared" si="493"/>
        <v>#DIV/0!</v>
      </c>
      <c r="L124" s="148" t="e">
        <f t="shared" si="493"/>
        <v>#DIV/0!</v>
      </c>
      <c r="M124" s="148" t="e">
        <f t="shared" si="493"/>
        <v>#DIV/0!</v>
      </c>
      <c r="N124" s="148" t="e">
        <f t="shared" si="493"/>
        <v>#DIV/0!</v>
      </c>
      <c r="O124" s="148" t="e">
        <f t="shared" si="493"/>
        <v>#DIV/0!</v>
      </c>
      <c r="P124" s="148" t="e">
        <f t="shared" si="493"/>
        <v>#DIV/0!</v>
      </c>
      <c r="Q124" s="148" t="e">
        <f t="shared" si="493"/>
        <v>#DIV/0!</v>
      </c>
      <c r="R124" s="148" t="e">
        <f t="shared" si="493"/>
        <v>#DIV/0!</v>
      </c>
      <c r="S124" s="148" t="e">
        <f t="shared" si="493"/>
        <v>#DIV/0!</v>
      </c>
      <c r="T124" s="148" t="e">
        <f t="shared" si="493"/>
        <v>#DIV/0!</v>
      </c>
      <c r="U124" s="148" t="e">
        <f t="shared" ref="U124" si="494">U25/(U36+U38)</f>
        <v>#DIV/0!</v>
      </c>
      <c r="V124" s="101" t="e">
        <f t="shared" si="251"/>
        <v>#DIV/0!</v>
      </c>
      <c r="W124" s="10"/>
      <c r="X124" s="148" t="e">
        <f t="shared" ref="X124:AG124" si="495">X25/(X36+X38)</f>
        <v>#DIV/0!</v>
      </c>
      <c r="Y124" s="148" t="e">
        <f t="shared" si="495"/>
        <v>#DIV/0!</v>
      </c>
      <c r="Z124" s="148" t="e">
        <f t="shared" si="495"/>
        <v>#DIV/0!</v>
      </c>
      <c r="AA124" s="148" t="e">
        <f t="shared" si="495"/>
        <v>#DIV/0!</v>
      </c>
      <c r="AB124" s="148" t="e">
        <f t="shared" si="495"/>
        <v>#DIV/0!</v>
      </c>
      <c r="AC124" s="148" t="e">
        <f t="shared" si="495"/>
        <v>#DIV/0!</v>
      </c>
      <c r="AD124" s="148" t="e">
        <f t="shared" si="495"/>
        <v>#DIV/0!</v>
      </c>
      <c r="AE124" s="148" t="e">
        <f t="shared" si="495"/>
        <v>#DIV/0!</v>
      </c>
      <c r="AF124" s="148" t="e">
        <f t="shared" si="495"/>
        <v>#DIV/0!</v>
      </c>
      <c r="AG124" s="148" t="e">
        <f t="shared" si="495"/>
        <v>#DIV/0!</v>
      </c>
      <c r="AH124" s="116" t="e">
        <f t="shared" ref="AH124:AH132" si="496">((AG124/J124)^(1/($AG$3-$K$1) ))-1</f>
        <v>#DIV/0!</v>
      </c>
      <c r="AI124" s="124"/>
      <c r="AJ124" s="124"/>
    </row>
    <row r="125" spans="1:36" ht="12" customHeight="1">
      <c r="A125" s="301"/>
      <c r="B125" s="179" t="s">
        <v>425</v>
      </c>
      <c r="C125" s="129"/>
      <c r="D125" s="129"/>
      <c r="E125" s="129"/>
      <c r="F125" s="148"/>
      <c r="G125" s="148" t="e">
        <f t="shared" ref="G125" si="497">G25/G43</f>
        <v>#DIV/0!</v>
      </c>
      <c r="H125" s="148" t="e">
        <f t="shared" ref="H125:I125" si="498">H25/H43</f>
        <v>#DIV/0!</v>
      </c>
      <c r="I125" s="148" t="e">
        <f t="shared" si="498"/>
        <v>#DIV/0!</v>
      </c>
      <c r="J125" s="148" t="e">
        <f t="shared" ref="J125:T125" si="499">J25/J43</f>
        <v>#DIV/0!</v>
      </c>
      <c r="K125" s="148" t="e">
        <f t="shared" si="499"/>
        <v>#DIV/0!</v>
      </c>
      <c r="L125" s="148" t="e">
        <f t="shared" si="499"/>
        <v>#DIV/0!</v>
      </c>
      <c r="M125" s="148" t="e">
        <f t="shared" si="499"/>
        <v>#DIV/0!</v>
      </c>
      <c r="N125" s="148" t="e">
        <f t="shared" si="499"/>
        <v>#DIV/0!</v>
      </c>
      <c r="O125" s="148" t="e">
        <f t="shared" si="499"/>
        <v>#DIV/0!</v>
      </c>
      <c r="P125" s="148" t="e">
        <f t="shared" si="499"/>
        <v>#DIV/0!</v>
      </c>
      <c r="Q125" s="148" t="e">
        <f t="shared" si="499"/>
        <v>#DIV/0!</v>
      </c>
      <c r="R125" s="148" t="e">
        <f t="shared" si="499"/>
        <v>#DIV/0!</v>
      </c>
      <c r="S125" s="148" t="e">
        <f t="shared" si="499"/>
        <v>#DIV/0!</v>
      </c>
      <c r="T125" s="148" t="e">
        <f t="shared" si="499"/>
        <v>#DIV/0!</v>
      </c>
      <c r="U125" s="148" t="e">
        <f t="shared" ref="U125" si="500">U25/U43</f>
        <v>#DIV/0!</v>
      </c>
      <c r="V125" s="101" t="e">
        <f t="shared" si="251"/>
        <v>#DIV/0!</v>
      </c>
      <c r="W125" s="10"/>
      <c r="X125" s="148" t="e">
        <f t="shared" ref="X125:AG125" si="501">X25/X43</f>
        <v>#DIV/0!</v>
      </c>
      <c r="Y125" s="148" t="e">
        <f t="shared" si="501"/>
        <v>#DIV/0!</v>
      </c>
      <c r="Z125" s="148" t="e">
        <f t="shared" si="501"/>
        <v>#DIV/0!</v>
      </c>
      <c r="AA125" s="148" t="e">
        <f t="shared" si="501"/>
        <v>#DIV/0!</v>
      </c>
      <c r="AB125" s="148" t="e">
        <f t="shared" si="501"/>
        <v>#DIV/0!</v>
      </c>
      <c r="AC125" s="148" t="e">
        <f t="shared" si="501"/>
        <v>#DIV/0!</v>
      </c>
      <c r="AD125" s="148" t="e">
        <f t="shared" si="501"/>
        <v>#DIV/0!</v>
      </c>
      <c r="AE125" s="148" t="e">
        <f t="shared" si="501"/>
        <v>#DIV/0!</v>
      </c>
      <c r="AF125" s="148" t="e">
        <f t="shared" si="501"/>
        <v>#DIV/0!</v>
      </c>
      <c r="AG125" s="148" t="e">
        <f t="shared" si="501"/>
        <v>#DIV/0!</v>
      </c>
      <c r="AH125" s="116" t="e">
        <f t="shared" si="496"/>
        <v>#DIV/0!</v>
      </c>
      <c r="AI125" s="124"/>
      <c r="AJ125" s="124"/>
    </row>
    <row r="126" spans="1:36" ht="12" customHeight="1">
      <c r="A126" s="301"/>
      <c r="B126" s="179" t="s">
        <v>431</v>
      </c>
      <c r="C126" s="129"/>
      <c r="D126" s="129"/>
      <c r="E126" s="129"/>
      <c r="F126" s="148"/>
      <c r="G126" s="148" t="e">
        <f t="shared" ref="G126" si="502">G43/(G36)</f>
        <v>#DIV/0!</v>
      </c>
      <c r="H126" s="148" t="e">
        <f t="shared" ref="H126:I126" si="503">H43/(H36)</f>
        <v>#DIV/0!</v>
      </c>
      <c r="I126" s="148" t="e">
        <f t="shared" si="503"/>
        <v>#DIV/0!</v>
      </c>
      <c r="J126" s="148" t="e">
        <f t="shared" ref="J126:T126" si="504">J43/(J36)</f>
        <v>#DIV/0!</v>
      </c>
      <c r="K126" s="148" t="e">
        <f t="shared" si="504"/>
        <v>#DIV/0!</v>
      </c>
      <c r="L126" s="148" t="e">
        <f t="shared" si="504"/>
        <v>#DIV/0!</v>
      </c>
      <c r="M126" s="148" t="e">
        <f t="shared" si="504"/>
        <v>#DIV/0!</v>
      </c>
      <c r="N126" s="148" t="e">
        <f t="shared" si="504"/>
        <v>#DIV/0!</v>
      </c>
      <c r="O126" s="148" t="e">
        <f t="shared" si="504"/>
        <v>#DIV/0!</v>
      </c>
      <c r="P126" s="148" t="e">
        <f t="shared" si="504"/>
        <v>#DIV/0!</v>
      </c>
      <c r="Q126" s="148" t="e">
        <f t="shared" si="504"/>
        <v>#DIV/0!</v>
      </c>
      <c r="R126" s="148" t="e">
        <f t="shared" si="504"/>
        <v>#DIV/0!</v>
      </c>
      <c r="S126" s="148" t="e">
        <f t="shared" si="504"/>
        <v>#DIV/0!</v>
      </c>
      <c r="T126" s="148" t="e">
        <f t="shared" si="504"/>
        <v>#DIV/0!</v>
      </c>
      <c r="U126" s="148" t="e">
        <f t="shared" ref="U126" si="505">U43/(U36)</f>
        <v>#DIV/0!</v>
      </c>
      <c r="V126" s="101" t="e">
        <f t="shared" si="251"/>
        <v>#DIV/0!</v>
      </c>
      <c r="W126" s="10"/>
      <c r="X126" s="148" t="e">
        <f t="shared" ref="X126:AG126" si="506">X43/(X36+X38)</f>
        <v>#DIV/0!</v>
      </c>
      <c r="Y126" s="148" t="e">
        <f t="shared" si="506"/>
        <v>#DIV/0!</v>
      </c>
      <c r="Z126" s="148" t="e">
        <f t="shared" si="506"/>
        <v>#DIV/0!</v>
      </c>
      <c r="AA126" s="148" t="e">
        <f t="shared" si="506"/>
        <v>#DIV/0!</v>
      </c>
      <c r="AB126" s="148" t="e">
        <f t="shared" si="506"/>
        <v>#DIV/0!</v>
      </c>
      <c r="AC126" s="148" t="e">
        <f t="shared" si="506"/>
        <v>#DIV/0!</v>
      </c>
      <c r="AD126" s="148" t="e">
        <f t="shared" si="506"/>
        <v>#DIV/0!</v>
      </c>
      <c r="AE126" s="148" t="e">
        <f t="shared" si="506"/>
        <v>#DIV/0!</v>
      </c>
      <c r="AF126" s="148" t="e">
        <f t="shared" si="506"/>
        <v>#DIV/0!</v>
      </c>
      <c r="AG126" s="148" t="e">
        <f t="shared" si="506"/>
        <v>#DIV/0!</v>
      </c>
      <c r="AH126" s="116" t="e">
        <f t="shared" si="496"/>
        <v>#DIV/0!</v>
      </c>
      <c r="AI126" s="124"/>
      <c r="AJ126" s="124"/>
    </row>
    <row r="127" spans="1:36" ht="12" customHeight="1">
      <c r="A127" s="301"/>
      <c r="B127" s="179" t="s">
        <v>429</v>
      </c>
      <c r="C127" s="129"/>
      <c r="D127" s="129"/>
      <c r="E127" s="129"/>
      <c r="F127" s="148"/>
      <c r="G127" s="148" t="e">
        <f t="shared" ref="G127" si="507">G43/G38</f>
        <v>#DIV/0!</v>
      </c>
      <c r="H127" s="148" t="e">
        <f t="shared" ref="H127:I127" si="508">H43/H38</f>
        <v>#DIV/0!</v>
      </c>
      <c r="I127" s="148" t="e">
        <f t="shared" si="508"/>
        <v>#DIV/0!</v>
      </c>
      <c r="J127" s="148" t="e">
        <f t="shared" ref="J127:T127" si="509">J43/J38</f>
        <v>#DIV/0!</v>
      </c>
      <c r="K127" s="148" t="e">
        <f t="shared" si="509"/>
        <v>#DIV/0!</v>
      </c>
      <c r="L127" s="148" t="e">
        <f t="shared" si="509"/>
        <v>#DIV/0!</v>
      </c>
      <c r="M127" s="148" t="e">
        <f t="shared" si="509"/>
        <v>#DIV/0!</v>
      </c>
      <c r="N127" s="148" t="e">
        <f t="shared" si="509"/>
        <v>#DIV/0!</v>
      </c>
      <c r="O127" s="148" t="e">
        <f t="shared" si="509"/>
        <v>#DIV/0!</v>
      </c>
      <c r="P127" s="148" t="e">
        <f t="shared" si="509"/>
        <v>#DIV/0!</v>
      </c>
      <c r="Q127" s="148" t="e">
        <f t="shared" si="509"/>
        <v>#DIV/0!</v>
      </c>
      <c r="R127" s="148" t="e">
        <f t="shared" si="509"/>
        <v>#DIV/0!</v>
      </c>
      <c r="S127" s="148" t="e">
        <f t="shared" si="509"/>
        <v>#DIV/0!</v>
      </c>
      <c r="T127" s="148" t="e">
        <f t="shared" si="509"/>
        <v>#DIV/0!</v>
      </c>
      <c r="U127" s="148" t="e">
        <f t="shared" ref="U127" si="510">U43/U38</f>
        <v>#DIV/0!</v>
      </c>
      <c r="V127" s="101" t="e">
        <f t="shared" si="251"/>
        <v>#DIV/0!</v>
      </c>
      <c r="W127" s="10"/>
      <c r="X127" s="148" t="e">
        <f t="shared" ref="X127:AG127" si="511">X43/X38</f>
        <v>#DIV/0!</v>
      </c>
      <c r="Y127" s="148" t="e">
        <f t="shared" si="511"/>
        <v>#DIV/0!</v>
      </c>
      <c r="Z127" s="148" t="e">
        <f t="shared" si="511"/>
        <v>#DIV/0!</v>
      </c>
      <c r="AA127" s="148" t="e">
        <f t="shared" si="511"/>
        <v>#DIV/0!</v>
      </c>
      <c r="AB127" s="148" t="e">
        <f t="shared" si="511"/>
        <v>#DIV/0!</v>
      </c>
      <c r="AC127" s="148" t="e">
        <f t="shared" si="511"/>
        <v>#DIV/0!</v>
      </c>
      <c r="AD127" s="148" t="e">
        <f t="shared" si="511"/>
        <v>#DIV/0!</v>
      </c>
      <c r="AE127" s="148" t="e">
        <f t="shared" si="511"/>
        <v>#DIV/0!</v>
      </c>
      <c r="AF127" s="148" t="e">
        <f t="shared" si="511"/>
        <v>#DIV/0!</v>
      </c>
      <c r="AG127" s="148" t="e">
        <f t="shared" si="511"/>
        <v>#DIV/0!</v>
      </c>
      <c r="AH127" s="116" t="e">
        <f t="shared" si="496"/>
        <v>#DIV/0!</v>
      </c>
      <c r="AI127" s="124"/>
      <c r="AJ127" s="124"/>
    </row>
    <row r="128" spans="1:36" ht="12" customHeight="1">
      <c r="A128" s="301"/>
      <c r="B128" s="179" t="s">
        <v>428</v>
      </c>
      <c r="C128" s="129"/>
      <c r="D128" s="129"/>
      <c r="E128" s="129"/>
      <c r="F128" s="148"/>
      <c r="G128" s="148" t="e">
        <f t="shared" ref="G128" si="512">G43/(G36+G38)</f>
        <v>#DIV/0!</v>
      </c>
      <c r="H128" s="148" t="e">
        <f t="shared" ref="H128:I128" si="513">H43/(H36+H38)</f>
        <v>#DIV/0!</v>
      </c>
      <c r="I128" s="148" t="e">
        <f t="shared" si="513"/>
        <v>#DIV/0!</v>
      </c>
      <c r="J128" s="148" t="e">
        <f t="shared" ref="J128:T128" si="514">J43/(J36+J38)</f>
        <v>#DIV/0!</v>
      </c>
      <c r="K128" s="148" t="e">
        <f t="shared" si="514"/>
        <v>#DIV/0!</v>
      </c>
      <c r="L128" s="148" t="e">
        <f t="shared" si="514"/>
        <v>#DIV/0!</v>
      </c>
      <c r="M128" s="148" t="e">
        <f t="shared" si="514"/>
        <v>#DIV/0!</v>
      </c>
      <c r="N128" s="148" t="e">
        <f t="shared" si="514"/>
        <v>#DIV/0!</v>
      </c>
      <c r="O128" s="148" t="e">
        <f t="shared" si="514"/>
        <v>#DIV/0!</v>
      </c>
      <c r="P128" s="148" t="e">
        <f t="shared" si="514"/>
        <v>#DIV/0!</v>
      </c>
      <c r="Q128" s="148" t="e">
        <f t="shared" si="514"/>
        <v>#DIV/0!</v>
      </c>
      <c r="R128" s="148" t="e">
        <f t="shared" si="514"/>
        <v>#DIV/0!</v>
      </c>
      <c r="S128" s="148" t="e">
        <f t="shared" si="514"/>
        <v>#DIV/0!</v>
      </c>
      <c r="T128" s="148" t="e">
        <f t="shared" si="514"/>
        <v>#DIV/0!</v>
      </c>
      <c r="U128" s="148" t="e">
        <f t="shared" ref="U128" si="515">U43/(U36+U38)</f>
        <v>#DIV/0!</v>
      </c>
      <c r="V128" s="101" t="e">
        <f t="shared" si="251"/>
        <v>#DIV/0!</v>
      </c>
      <c r="W128" s="10"/>
      <c r="X128" s="148" t="e">
        <f t="shared" ref="X128:AG128" si="516">X43/(X36+X38)</f>
        <v>#DIV/0!</v>
      </c>
      <c r="Y128" s="148" t="e">
        <f t="shared" si="516"/>
        <v>#DIV/0!</v>
      </c>
      <c r="Z128" s="148" t="e">
        <f t="shared" si="516"/>
        <v>#DIV/0!</v>
      </c>
      <c r="AA128" s="148" t="e">
        <f t="shared" si="516"/>
        <v>#DIV/0!</v>
      </c>
      <c r="AB128" s="148" t="e">
        <f t="shared" si="516"/>
        <v>#DIV/0!</v>
      </c>
      <c r="AC128" s="148" t="e">
        <f t="shared" si="516"/>
        <v>#DIV/0!</v>
      </c>
      <c r="AD128" s="148" t="e">
        <f t="shared" si="516"/>
        <v>#DIV/0!</v>
      </c>
      <c r="AE128" s="148" t="e">
        <f t="shared" si="516"/>
        <v>#DIV/0!</v>
      </c>
      <c r="AF128" s="148" t="e">
        <f t="shared" si="516"/>
        <v>#DIV/0!</v>
      </c>
      <c r="AG128" s="148" t="e">
        <f t="shared" si="516"/>
        <v>#DIV/0!</v>
      </c>
      <c r="AH128" s="116" t="e">
        <f>((AG128/J128)^(1/($AG$3-$K$1) ))-1</f>
        <v>#DIV/0!</v>
      </c>
      <c r="AI128" s="124"/>
      <c r="AJ128" s="124"/>
    </row>
    <row r="129" spans="1:36" ht="12" customHeight="1">
      <c r="A129" s="301"/>
      <c r="B129" s="179" t="s">
        <v>434</v>
      </c>
      <c r="C129" s="129"/>
      <c r="D129" s="129"/>
      <c r="E129" s="129"/>
      <c r="F129" s="148"/>
      <c r="G129" s="148">
        <f t="shared" ref="G129" si="517">G47/G25</f>
        <v>0</v>
      </c>
      <c r="H129" s="148" t="e">
        <f t="shared" ref="H129:I129" si="518">H47/H25</f>
        <v>#DIV/0!</v>
      </c>
      <c r="I129" s="148">
        <f t="shared" si="518"/>
        <v>0</v>
      </c>
      <c r="J129" s="148">
        <f t="shared" ref="J129:T129" si="519">J47/J25</f>
        <v>0</v>
      </c>
      <c r="K129" s="148">
        <f t="shared" si="519"/>
        <v>0</v>
      </c>
      <c r="L129" s="148">
        <f t="shared" si="519"/>
        <v>0</v>
      </c>
      <c r="M129" s="148">
        <f t="shared" si="519"/>
        <v>0</v>
      </c>
      <c r="N129" s="148" t="e">
        <f t="shared" si="519"/>
        <v>#DIV/0!</v>
      </c>
      <c r="O129" s="148">
        <f t="shared" si="519"/>
        <v>0</v>
      </c>
      <c r="P129" s="148">
        <f t="shared" si="519"/>
        <v>0</v>
      </c>
      <c r="Q129" s="148">
        <f t="shared" si="519"/>
        <v>0</v>
      </c>
      <c r="R129" s="148">
        <f t="shared" si="519"/>
        <v>0</v>
      </c>
      <c r="S129" s="148">
        <f t="shared" si="519"/>
        <v>0</v>
      </c>
      <c r="T129" s="148">
        <f t="shared" si="519"/>
        <v>0</v>
      </c>
      <c r="U129" s="148">
        <f t="shared" ref="U129" si="520">U47/U25</f>
        <v>1.1603620329542818E-4</v>
      </c>
      <c r="V129" s="101" t="e">
        <f t="shared" si="251"/>
        <v>#DIV/0!</v>
      </c>
      <c r="W129" s="10"/>
      <c r="X129" s="148">
        <f t="shared" ref="X129:AG129" si="521">X47/X25</f>
        <v>1.1603620329542817E-4</v>
      </c>
      <c r="Y129" s="148">
        <f t="shared" si="521"/>
        <v>1.1603620329542817E-4</v>
      </c>
      <c r="Z129" s="148">
        <f t="shared" si="521"/>
        <v>1.1603620329542818E-4</v>
      </c>
      <c r="AA129" s="148">
        <f t="shared" si="521"/>
        <v>1.1603620329542818E-4</v>
      </c>
      <c r="AB129" s="148">
        <f t="shared" si="521"/>
        <v>1.1603620329542819E-4</v>
      </c>
      <c r="AC129" s="148">
        <f t="shared" si="521"/>
        <v>1.1603620329542819E-4</v>
      </c>
      <c r="AD129" s="148">
        <f t="shared" si="521"/>
        <v>1.1603620329542821E-4</v>
      </c>
      <c r="AE129" s="148">
        <f t="shared" si="521"/>
        <v>1.1603620329542819E-4</v>
      </c>
      <c r="AF129" s="148">
        <f t="shared" si="521"/>
        <v>1.1603620329542821E-4</v>
      </c>
      <c r="AG129" s="148">
        <f t="shared" si="521"/>
        <v>1.1603620329542822E-4</v>
      </c>
      <c r="AH129" s="116" t="e">
        <f>((AG129/J129)^(1/($AG$3-$K$1) ))-1</f>
        <v>#DIV/0!</v>
      </c>
      <c r="AI129" s="124"/>
      <c r="AJ129" s="124"/>
    </row>
    <row r="130" spans="1:36" ht="12" customHeight="1">
      <c r="A130" s="301"/>
      <c r="B130" s="179" t="s">
        <v>432</v>
      </c>
      <c r="C130" s="129"/>
      <c r="D130" s="129"/>
      <c r="E130" s="129"/>
      <c r="F130" s="183"/>
      <c r="G130" s="183" t="e">
        <f t="shared" ref="G130" si="522">G55/G49</f>
        <v>#DIV/0!</v>
      </c>
      <c r="H130" s="183" t="e">
        <f t="shared" ref="H130:I130" si="523">H55/H49</f>
        <v>#DIV/0!</v>
      </c>
      <c r="I130" s="183" t="e">
        <f t="shared" si="523"/>
        <v>#DIV/0!</v>
      </c>
      <c r="J130" s="183" t="e">
        <f t="shared" ref="J130:T130" si="524">J55/J49</f>
        <v>#DIV/0!</v>
      </c>
      <c r="K130" s="183" t="e">
        <f t="shared" si="524"/>
        <v>#DIV/0!</v>
      </c>
      <c r="L130" s="183" t="e">
        <f t="shared" si="524"/>
        <v>#DIV/0!</v>
      </c>
      <c r="M130" s="183" t="e">
        <f t="shared" si="524"/>
        <v>#DIV/0!</v>
      </c>
      <c r="N130" s="183" t="e">
        <f t="shared" si="524"/>
        <v>#DIV/0!</v>
      </c>
      <c r="O130" s="183" t="e">
        <f t="shared" si="524"/>
        <v>#DIV/0!</v>
      </c>
      <c r="P130" s="183" t="e">
        <f t="shared" si="524"/>
        <v>#DIV/0!</v>
      </c>
      <c r="Q130" s="183" t="e">
        <f t="shared" si="524"/>
        <v>#DIV/0!</v>
      </c>
      <c r="R130" s="183" t="e">
        <f t="shared" si="524"/>
        <v>#DIV/0!</v>
      </c>
      <c r="S130" s="183" t="e">
        <f t="shared" si="524"/>
        <v>#DIV/0!</v>
      </c>
      <c r="T130" s="183" t="e">
        <f t="shared" si="524"/>
        <v>#DIV/0!</v>
      </c>
      <c r="U130" s="183">
        <f t="shared" ref="U130" si="525">U55/U49</f>
        <v>858</v>
      </c>
      <c r="V130" s="101" t="e">
        <f t="shared" ref="V130:V167" si="526">((T130/G130)^(1/($K$2-$K$1) ))-1</f>
        <v>#DIV/0!</v>
      </c>
      <c r="W130" s="10"/>
      <c r="X130" s="183">
        <f t="shared" ref="X130:AG130" si="527">X55/X49</f>
        <v>858</v>
      </c>
      <c r="Y130" s="183">
        <f t="shared" si="527"/>
        <v>857.99999999999989</v>
      </c>
      <c r="Z130" s="183">
        <f t="shared" si="527"/>
        <v>857.99999999999977</v>
      </c>
      <c r="AA130" s="183">
        <f t="shared" si="527"/>
        <v>857.99999999999977</v>
      </c>
      <c r="AB130" s="183">
        <f t="shared" si="527"/>
        <v>857.99999999999966</v>
      </c>
      <c r="AC130" s="183">
        <f t="shared" si="527"/>
        <v>857.99999999999977</v>
      </c>
      <c r="AD130" s="183">
        <f t="shared" si="527"/>
        <v>857.99999999999966</v>
      </c>
      <c r="AE130" s="183">
        <f t="shared" si="527"/>
        <v>857.99999999999966</v>
      </c>
      <c r="AF130" s="183">
        <f t="shared" si="527"/>
        <v>857.99999999999955</v>
      </c>
      <c r="AG130" s="183">
        <f t="shared" si="527"/>
        <v>857.99999999999955</v>
      </c>
      <c r="AH130" s="116" t="e">
        <f>((AG130/J130)^(1/($AG$3-$K$1) ))-1</f>
        <v>#DIV/0!</v>
      </c>
      <c r="AI130" s="124"/>
      <c r="AJ130" s="124"/>
    </row>
    <row r="131" spans="1:36" ht="12" customHeight="1">
      <c r="A131" s="301"/>
      <c r="B131" s="179" t="s">
        <v>426</v>
      </c>
      <c r="C131" s="129"/>
      <c r="D131" s="129"/>
      <c r="E131" s="129"/>
      <c r="F131" s="148"/>
      <c r="G131" s="148" t="e">
        <f t="shared" ref="G131" si="528">G55/G43</f>
        <v>#DIV/0!</v>
      </c>
      <c r="H131" s="148" t="e">
        <f t="shared" ref="H131:I131" si="529">H55/H43</f>
        <v>#DIV/0!</v>
      </c>
      <c r="I131" s="148" t="e">
        <f t="shared" si="529"/>
        <v>#DIV/0!</v>
      </c>
      <c r="J131" s="148" t="e">
        <f t="shared" ref="J131:T131" si="530">J55/J43</f>
        <v>#DIV/0!</v>
      </c>
      <c r="K131" s="148" t="e">
        <f t="shared" si="530"/>
        <v>#DIV/0!</v>
      </c>
      <c r="L131" s="148" t="e">
        <f t="shared" si="530"/>
        <v>#DIV/0!</v>
      </c>
      <c r="M131" s="148" t="e">
        <f t="shared" si="530"/>
        <v>#DIV/0!</v>
      </c>
      <c r="N131" s="148" t="e">
        <f t="shared" si="530"/>
        <v>#DIV/0!</v>
      </c>
      <c r="O131" s="148" t="e">
        <f t="shared" si="530"/>
        <v>#DIV/0!</v>
      </c>
      <c r="P131" s="148" t="e">
        <f t="shared" si="530"/>
        <v>#DIV/0!</v>
      </c>
      <c r="Q131" s="148" t="e">
        <f t="shared" si="530"/>
        <v>#DIV/0!</v>
      </c>
      <c r="R131" s="148" t="e">
        <f t="shared" si="530"/>
        <v>#DIV/0!</v>
      </c>
      <c r="S131" s="148" t="e">
        <f t="shared" si="530"/>
        <v>#DIV/0!</v>
      </c>
      <c r="T131" s="148" t="e">
        <f t="shared" si="530"/>
        <v>#DIV/0!</v>
      </c>
      <c r="U131" s="148" t="e">
        <f t="shared" ref="U131" si="531">U55/U43</f>
        <v>#DIV/0!</v>
      </c>
      <c r="V131" s="101" t="e">
        <f t="shared" si="526"/>
        <v>#DIV/0!</v>
      </c>
      <c r="W131" s="10"/>
      <c r="X131" s="148" t="e">
        <f t="shared" ref="X131:AG131" si="532">X55/X43</f>
        <v>#DIV/0!</v>
      </c>
      <c r="Y131" s="148" t="e">
        <f t="shared" si="532"/>
        <v>#DIV/0!</v>
      </c>
      <c r="Z131" s="148" t="e">
        <f t="shared" si="532"/>
        <v>#DIV/0!</v>
      </c>
      <c r="AA131" s="148" t="e">
        <f t="shared" si="532"/>
        <v>#DIV/0!</v>
      </c>
      <c r="AB131" s="148" t="e">
        <f t="shared" si="532"/>
        <v>#DIV/0!</v>
      </c>
      <c r="AC131" s="148" t="e">
        <f t="shared" si="532"/>
        <v>#DIV/0!</v>
      </c>
      <c r="AD131" s="148" t="e">
        <f t="shared" si="532"/>
        <v>#DIV/0!</v>
      </c>
      <c r="AE131" s="148" t="e">
        <f t="shared" si="532"/>
        <v>#DIV/0!</v>
      </c>
      <c r="AF131" s="148" t="e">
        <f t="shared" si="532"/>
        <v>#DIV/0!</v>
      </c>
      <c r="AG131" s="148" t="e">
        <f t="shared" si="532"/>
        <v>#DIV/0!</v>
      </c>
      <c r="AH131" s="116" t="e">
        <f t="shared" si="496"/>
        <v>#DIV/0!</v>
      </c>
      <c r="AI131" s="124"/>
      <c r="AJ131" s="124"/>
    </row>
    <row r="132" spans="1:36" ht="12" customHeight="1">
      <c r="A132" s="301"/>
      <c r="B132" s="179" t="s">
        <v>427</v>
      </c>
      <c r="C132" s="129"/>
      <c r="D132" s="129"/>
      <c r="E132" s="129"/>
      <c r="F132" s="148"/>
      <c r="G132" s="148" t="e">
        <f t="shared" ref="G132" si="533">G55/(G36+G38)</f>
        <v>#DIV/0!</v>
      </c>
      <c r="H132" s="148" t="e">
        <f t="shared" ref="H132:I132" si="534">H55/(H36+H38)</f>
        <v>#DIV/0!</v>
      </c>
      <c r="I132" s="148" t="e">
        <f t="shared" si="534"/>
        <v>#DIV/0!</v>
      </c>
      <c r="J132" s="148" t="e">
        <f t="shared" ref="J132:T132" si="535">J55/(J36+J38)</f>
        <v>#DIV/0!</v>
      </c>
      <c r="K132" s="148" t="e">
        <f t="shared" si="535"/>
        <v>#DIV/0!</v>
      </c>
      <c r="L132" s="148" t="e">
        <f t="shared" si="535"/>
        <v>#DIV/0!</v>
      </c>
      <c r="M132" s="148" t="e">
        <f t="shared" si="535"/>
        <v>#DIV/0!</v>
      </c>
      <c r="N132" s="148" t="e">
        <f t="shared" si="535"/>
        <v>#DIV/0!</v>
      </c>
      <c r="O132" s="148" t="e">
        <f t="shared" si="535"/>
        <v>#DIV/0!</v>
      </c>
      <c r="P132" s="148" t="e">
        <f t="shared" si="535"/>
        <v>#DIV/0!</v>
      </c>
      <c r="Q132" s="148" t="e">
        <f t="shared" si="535"/>
        <v>#DIV/0!</v>
      </c>
      <c r="R132" s="148" t="e">
        <f t="shared" si="535"/>
        <v>#DIV/0!</v>
      </c>
      <c r="S132" s="148" t="e">
        <f t="shared" si="535"/>
        <v>#DIV/0!</v>
      </c>
      <c r="T132" s="148" t="e">
        <f t="shared" si="535"/>
        <v>#DIV/0!</v>
      </c>
      <c r="U132" s="148" t="e">
        <f t="shared" ref="U132" si="536">U55/(U36+U38)</f>
        <v>#DIV/0!</v>
      </c>
      <c r="V132" s="101" t="e">
        <f t="shared" si="526"/>
        <v>#DIV/0!</v>
      </c>
      <c r="W132" s="10"/>
      <c r="X132" s="148" t="e">
        <f t="shared" ref="X132:AG132" si="537">X55/(X36+X38)</f>
        <v>#DIV/0!</v>
      </c>
      <c r="Y132" s="148" t="e">
        <f t="shared" si="537"/>
        <v>#DIV/0!</v>
      </c>
      <c r="Z132" s="148" t="e">
        <f t="shared" si="537"/>
        <v>#DIV/0!</v>
      </c>
      <c r="AA132" s="148" t="e">
        <f t="shared" si="537"/>
        <v>#DIV/0!</v>
      </c>
      <c r="AB132" s="148" t="e">
        <f t="shared" si="537"/>
        <v>#DIV/0!</v>
      </c>
      <c r="AC132" s="148" t="e">
        <f t="shared" si="537"/>
        <v>#DIV/0!</v>
      </c>
      <c r="AD132" s="148" t="e">
        <f t="shared" si="537"/>
        <v>#DIV/0!</v>
      </c>
      <c r="AE132" s="148" t="e">
        <f t="shared" si="537"/>
        <v>#DIV/0!</v>
      </c>
      <c r="AF132" s="148" t="e">
        <f t="shared" si="537"/>
        <v>#DIV/0!</v>
      </c>
      <c r="AG132" s="148" t="e">
        <f t="shared" si="537"/>
        <v>#DIV/0!</v>
      </c>
      <c r="AH132" s="116" t="e">
        <f t="shared" si="496"/>
        <v>#DIV/0!</v>
      </c>
      <c r="AI132" s="124"/>
      <c r="AJ132" s="124"/>
    </row>
    <row r="133" spans="1:36" ht="12" customHeight="1">
      <c r="B133" s="10"/>
      <c r="C133" s="129"/>
      <c r="D133" s="129"/>
      <c r="E133" s="129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10"/>
      <c r="W133" s="10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81"/>
      <c r="AI133" s="124"/>
      <c r="AJ133" s="124"/>
    </row>
    <row r="134" spans="1:36">
      <c r="B134" s="10" t="s">
        <v>271</v>
      </c>
      <c r="C134" s="129"/>
      <c r="D134" s="129"/>
      <c r="E134" s="129"/>
      <c r="F134" s="140"/>
      <c r="G134" s="140">
        <f t="shared" ref="G134" si="538">G10-(G12+G13)</f>
        <v>-8</v>
      </c>
      <c r="H134" s="140">
        <f t="shared" ref="H134:I134" si="539">H10-(H12+H13)</f>
        <v>0</v>
      </c>
      <c r="I134" s="140">
        <f t="shared" si="539"/>
        <v>-8</v>
      </c>
      <c r="J134" s="140">
        <f t="shared" ref="J134:T134" si="540">J10-(J12+J13)</f>
        <v>283</v>
      </c>
      <c r="K134" s="140">
        <f t="shared" si="540"/>
        <v>466</v>
      </c>
      <c r="L134" s="140">
        <f t="shared" si="540"/>
        <v>133</v>
      </c>
      <c r="M134" s="140">
        <f t="shared" si="540"/>
        <v>2426</v>
      </c>
      <c r="N134" s="140">
        <f t="shared" si="540"/>
        <v>0</v>
      </c>
      <c r="O134" s="140">
        <f t="shared" si="540"/>
        <v>5450</v>
      </c>
      <c r="P134" s="140">
        <f t="shared" si="540"/>
        <v>6034</v>
      </c>
      <c r="Q134" s="140">
        <f t="shared" si="540"/>
        <v>8187</v>
      </c>
      <c r="R134" s="140">
        <f t="shared" si="540"/>
        <v>-4477</v>
      </c>
      <c r="S134" s="140">
        <f t="shared" si="540"/>
        <v>19334</v>
      </c>
      <c r="T134" s="140">
        <f t="shared" si="540"/>
        <v>19331</v>
      </c>
      <c r="U134" s="140">
        <f t="shared" ref="U134" si="541">U10-(U12+U13)</f>
        <v>29230</v>
      </c>
      <c r="V134" s="101" t="e">
        <f t="shared" si="526"/>
        <v>#NUM!</v>
      </c>
      <c r="W134" s="10"/>
      <c r="X134" s="140">
        <f t="shared" ref="X134:AG134" si="542">X10-(X12+X13)</f>
        <v>35076</v>
      </c>
      <c r="Y134" s="140">
        <f t="shared" si="542"/>
        <v>42091.199999999997</v>
      </c>
      <c r="Z134" s="140">
        <f t="shared" si="542"/>
        <v>50509.439999999988</v>
      </c>
      <c r="AA134" s="140">
        <f t="shared" si="542"/>
        <v>60611.327999999987</v>
      </c>
      <c r="AB134" s="140">
        <f t="shared" si="542"/>
        <v>72733.593599999993</v>
      </c>
      <c r="AC134" s="140">
        <f t="shared" si="542"/>
        <v>87280.312319999968</v>
      </c>
      <c r="AD134" s="140">
        <f t="shared" si="542"/>
        <v>104736.37478399996</v>
      </c>
      <c r="AE134" s="140">
        <f t="shared" si="542"/>
        <v>125683.64974079994</v>
      </c>
      <c r="AF134" s="140">
        <f t="shared" si="542"/>
        <v>150820.37968895992</v>
      </c>
      <c r="AG134" s="140">
        <f t="shared" si="542"/>
        <v>180984.45562675188</v>
      </c>
      <c r="AH134" s="116">
        <f t="shared" si="412"/>
        <v>0.32432228962676057</v>
      </c>
      <c r="AI134" s="124"/>
      <c r="AJ134" s="124"/>
    </row>
    <row r="135" spans="1:36" ht="12" customHeight="1">
      <c r="B135" s="10" t="s">
        <v>266</v>
      </c>
      <c r="C135" s="10"/>
      <c r="D135" s="10"/>
      <c r="E135" s="10"/>
      <c r="F135" s="129"/>
      <c r="G135" s="129">
        <f t="shared" ref="G135" si="543">G55/G18</f>
        <v>7</v>
      </c>
      <c r="H135" s="129" t="e">
        <f t="shared" ref="H135:I135" si="544">H55/H18</f>
        <v>#DIV/0!</v>
      </c>
      <c r="I135" s="129">
        <f t="shared" si="544"/>
        <v>7</v>
      </c>
      <c r="J135" s="129">
        <f t="shared" ref="J135:T135" si="545">J55/J18</f>
        <v>7.8571428571428568</v>
      </c>
      <c r="K135" s="129">
        <f t="shared" si="545"/>
        <v>8.3428571428571434</v>
      </c>
      <c r="L135" s="129">
        <f t="shared" si="545"/>
        <v>5.5</v>
      </c>
      <c r="M135" s="129">
        <f t="shared" si="545"/>
        <v>7</v>
      </c>
      <c r="N135" s="129" t="e">
        <f t="shared" si="545"/>
        <v>#DIV/0!</v>
      </c>
      <c r="O135" s="129">
        <f t="shared" si="545"/>
        <v>0.23392857142857143</v>
      </c>
      <c r="P135" s="129">
        <f t="shared" si="545"/>
        <v>0.26886792452830188</v>
      </c>
      <c r="Q135" s="129">
        <f t="shared" si="545"/>
        <v>0.45114345114345117</v>
      </c>
      <c r="R135" s="129">
        <f t="shared" si="545"/>
        <v>0.55098389982110907</v>
      </c>
      <c r="S135" s="129">
        <f t="shared" si="545"/>
        <v>0.50451807228915657</v>
      </c>
      <c r="T135" s="129">
        <f t="shared" si="545"/>
        <v>0.86163522012578619</v>
      </c>
      <c r="U135" s="129">
        <f t="shared" ref="U135" si="546">U55/U18</f>
        <v>1.2067510548523206</v>
      </c>
      <c r="V135" s="101">
        <f t="shared" si="526"/>
        <v>-0.13897432839096735</v>
      </c>
      <c r="W135" s="10"/>
      <c r="X135" s="129">
        <f t="shared" ref="X135:AG135" si="547">X55/X18</f>
        <v>1.2067510548523206</v>
      </c>
      <c r="Y135" s="129">
        <f t="shared" si="547"/>
        <v>1.2067510548523206</v>
      </c>
      <c r="Z135" s="129">
        <f t="shared" si="547"/>
        <v>1.2067510548523204</v>
      </c>
      <c r="AA135" s="129">
        <f t="shared" si="547"/>
        <v>1.2067510548523206</v>
      </c>
      <c r="AB135" s="129">
        <f t="shared" si="547"/>
        <v>1.2067510548523204</v>
      </c>
      <c r="AC135" s="129">
        <f t="shared" si="547"/>
        <v>1.2067510548523206</v>
      </c>
      <c r="AD135" s="129">
        <f t="shared" si="547"/>
        <v>1.2067510548523204</v>
      </c>
      <c r="AE135" s="129">
        <f t="shared" si="547"/>
        <v>1.2067510548523204</v>
      </c>
      <c r="AF135" s="129">
        <f t="shared" si="547"/>
        <v>1.2067510548523204</v>
      </c>
      <c r="AG135" s="129">
        <f t="shared" si="547"/>
        <v>1.2067510548523201</v>
      </c>
      <c r="AH135" s="116">
        <f t="shared" si="412"/>
        <v>-7.8226867933868127E-2</v>
      </c>
      <c r="AI135" s="10"/>
      <c r="AJ135" s="10"/>
    </row>
    <row r="136" spans="1:36">
      <c r="B136" s="10" t="s">
        <v>267</v>
      </c>
      <c r="C136" s="10"/>
      <c r="D136" s="10"/>
      <c r="E136" s="10"/>
      <c r="F136" s="129"/>
      <c r="G136" s="129">
        <f t="shared" ref="G136" si="548">G55/G25</f>
        <v>0.27814569536423839</v>
      </c>
      <c r="H136" s="129" t="e">
        <f t="shared" ref="H136:I136" si="549">H55/H25</f>
        <v>#DIV/0!</v>
      </c>
      <c r="I136" s="129">
        <f t="shared" si="549"/>
        <v>0.27814569536423839</v>
      </c>
      <c r="J136" s="129">
        <f t="shared" ref="J136:T136" si="550">J55/J25</f>
        <v>0.29729729729729731</v>
      </c>
      <c r="K136" s="129">
        <f t="shared" si="550"/>
        <v>0.26912442396313363</v>
      </c>
      <c r="L136" s="129">
        <f t="shared" si="550"/>
        <v>0.23273942093541203</v>
      </c>
      <c r="M136" s="129">
        <f t="shared" si="550"/>
        <v>0.25627615062761505</v>
      </c>
      <c r="N136" s="129" t="e">
        <f t="shared" si="550"/>
        <v>#DIV/0!</v>
      </c>
      <c r="O136" s="129">
        <f t="shared" si="550"/>
        <v>7.8443113772455095E-2</v>
      </c>
      <c r="P136" s="129">
        <f t="shared" si="550"/>
        <v>7.8296703296703296E-2</v>
      </c>
      <c r="Q136" s="129">
        <f t="shared" si="550"/>
        <v>8.4931506849315067E-2</v>
      </c>
      <c r="R136" s="129">
        <f t="shared" si="550"/>
        <v>7.9116362702286155E-2</v>
      </c>
      <c r="S136" s="129">
        <f t="shared" si="550"/>
        <v>6.3591495823842062E-2</v>
      </c>
      <c r="T136" s="129">
        <f t="shared" si="550"/>
        <v>8.2804472650347544E-2</v>
      </c>
      <c r="U136" s="129">
        <f t="shared" ref="U136" si="551">U55/U25</f>
        <v>9.9559062427477377E-2</v>
      </c>
      <c r="V136" s="101">
        <f t="shared" si="526"/>
        <v>-8.2907881992602461E-2</v>
      </c>
      <c r="W136" s="10"/>
      <c r="X136" s="129">
        <f t="shared" ref="X136:AG136" si="552">X55/X25</f>
        <v>9.9559062427477363E-2</v>
      </c>
      <c r="Y136" s="129">
        <f t="shared" si="552"/>
        <v>9.9559062427477349E-2</v>
      </c>
      <c r="Z136" s="129">
        <f t="shared" si="552"/>
        <v>9.9559062427477349E-2</v>
      </c>
      <c r="AA136" s="129">
        <f t="shared" si="552"/>
        <v>9.9559062427477363E-2</v>
      </c>
      <c r="AB136" s="129">
        <f t="shared" si="552"/>
        <v>9.9559062427477349E-2</v>
      </c>
      <c r="AC136" s="129">
        <f t="shared" si="552"/>
        <v>9.9559062427477363E-2</v>
      </c>
      <c r="AD136" s="129">
        <f t="shared" si="552"/>
        <v>9.9559062427477363E-2</v>
      </c>
      <c r="AE136" s="129">
        <f t="shared" si="552"/>
        <v>9.9559062427477349E-2</v>
      </c>
      <c r="AF136" s="129">
        <f t="shared" si="552"/>
        <v>9.9559062427477349E-2</v>
      </c>
      <c r="AG136" s="129">
        <f t="shared" si="552"/>
        <v>9.9559062427477363E-2</v>
      </c>
      <c r="AH136" s="116">
        <f t="shared" si="412"/>
        <v>-4.6450953110681148E-2</v>
      </c>
      <c r="AI136" s="10"/>
      <c r="AJ136" s="10"/>
    </row>
    <row r="137" spans="1:36">
      <c r="B137" s="10" t="s">
        <v>293</v>
      </c>
      <c r="C137" s="10"/>
      <c r="D137" s="10"/>
      <c r="E137" s="129"/>
      <c r="F137" s="129"/>
      <c r="G137" s="129">
        <f t="shared" ref="G137" si="553">G25/G18</f>
        <v>25.166666666666668</v>
      </c>
      <c r="H137" s="129" t="e">
        <f t="shared" ref="H137:I137" si="554">H25/H18</f>
        <v>#DIV/0!</v>
      </c>
      <c r="I137" s="129">
        <f t="shared" si="554"/>
        <v>25.166666666666668</v>
      </c>
      <c r="J137" s="129">
        <f t="shared" ref="J137:T137" si="555">J25/J18</f>
        <v>26.428571428571427</v>
      </c>
      <c r="K137" s="129">
        <f t="shared" si="555"/>
        <v>31</v>
      </c>
      <c r="L137" s="129">
        <f t="shared" si="555"/>
        <v>23.631578947368421</v>
      </c>
      <c r="M137" s="129">
        <f t="shared" si="555"/>
        <v>27.314285714285713</v>
      </c>
      <c r="N137" s="129" t="e">
        <f t="shared" si="555"/>
        <v>#DIV/0!</v>
      </c>
      <c r="O137" s="129">
        <f t="shared" si="555"/>
        <v>2.9821428571428572</v>
      </c>
      <c r="P137" s="129">
        <f t="shared" si="555"/>
        <v>3.4339622641509435</v>
      </c>
      <c r="Q137" s="129">
        <f t="shared" si="555"/>
        <v>5.3118503118503115</v>
      </c>
      <c r="R137" s="129">
        <f t="shared" si="555"/>
        <v>6.9642218246869412</v>
      </c>
      <c r="S137" s="129">
        <f t="shared" si="555"/>
        <v>7.9337349397590362</v>
      </c>
      <c r="T137" s="129">
        <f t="shared" si="555"/>
        <v>10.40566037735849</v>
      </c>
      <c r="U137" s="129">
        <f t="shared" ref="U137" si="556">U25/U18</f>
        <v>12.120956399437413</v>
      </c>
      <c r="V137" s="101">
        <f t="shared" si="526"/>
        <v>-6.1135021550705937E-2</v>
      </c>
      <c r="W137" s="10"/>
      <c r="X137" s="129">
        <f t="shared" ref="X137:AG137" si="557">X25/X18</f>
        <v>12.120956399437414</v>
      </c>
      <c r="Y137" s="129">
        <f t="shared" si="557"/>
        <v>12.120956399437413</v>
      </c>
      <c r="Z137" s="129">
        <f t="shared" si="557"/>
        <v>12.120956399437411</v>
      </c>
      <c r="AA137" s="129">
        <f t="shared" si="557"/>
        <v>12.120956399437413</v>
      </c>
      <c r="AB137" s="129">
        <f t="shared" si="557"/>
        <v>12.120956399437411</v>
      </c>
      <c r="AC137" s="129">
        <f t="shared" si="557"/>
        <v>12.120956399437413</v>
      </c>
      <c r="AD137" s="129">
        <f t="shared" si="557"/>
        <v>12.120956399437411</v>
      </c>
      <c r="AE137" s="129">
        <f t="shared" si="557"/>
        <v>12.120956399437411</v>
      </c>
      <c r="AF137" s="129">
        <f t="shared" si="557"/>
        <v>12.120956399437411</v>
      </c>
      <c r="AG137" s="129">
        <f t="shared" si="557"/>
        <v>12.120956399437409</v>
      </c>
      <c r="AH137" s="116">
        <f t="shared" si="412"/>
        <v>-3.3323838901466951E-2</v>
      </c>
      <c r="AI137" s="10"/>
      <c r="AJ137" s="10"/>
    </row>
    <row r="138" spans="1:36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10"/>
      <c r="W138" s="10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10"/>
      <c r="AI138" s="10"/>
      <c r="AJ138" s="10"/>
    </row>
    <row r="139" spans="1:36">
      <c r="B139" s="10" t="s">
        <v>279</v>
      </c>
      <c r="C139" s="10"/>
      <c r="D139" s="10"/>
      <c r="E139" s="142"/>
      <c r="F139" s="142"/>
      <c r="G139" s="142">
        <f t="shared" ref="G139" si="558">G88*G57</f>
        <v>0.378</v>
      </c>
      <c r="H139" s="142">
        <f t="shared" ref="H139:I139" si="559">H88*H57</f>
        <v>0</v>
      </c>
      <c r="I139" s="142">
        <f t="shared" si="559"/>
        <v>0.378</v>
      </c>
      <c r="J139" s="142">
        <f t="shared" ref="J139:T139" si="560">J88*J57</f>
        <v>0</v>
      </c>
      <c r="K139" s="142">
        <f t="shared" si="560"/>
        <v>29.96</v>
      </c>
      <c r="L139" s="142">
        <f t="shared" si="560"/>
        <v>44.94</v>
      </c>
      <c r="M139" s="142">
        <f t="shared" si="560"/>
        <v>90</v>
      </c>
      <c r="N139" s="142">
        <f t="shared" si="560"/>
        <v>41.25</v>
      </c>
      <c r="O139" s="142">
        <f t="shared" si="560"/>
        <v>45.402000000000001</v>
      </c>
      <c r="P139" s="142">
        <f t="shared" si="560"/>
        <v>49.646999999999998</v>
      </c>
      <c r="Q139" s="142">
        <f t="shared" si="560"/>
        <v>50.686999999999998</v>
      </c>
      <c r="R139" s="142">
        <f t="shared" si="560"/>
        <v>79.17</v>
      </c>
      <c r="S139" s="142">
        <f t="shared" si="560"/>
        <v>101.75</v>
      </c>
      <c r="T139" s="142">
        <f t="shared" si="560"/>
        <v>108.22500000000001</v>
      </c>
      <c r="U139" s="142">
        <f t="shared" ref="U139" si="561">U88*U57</f>
        <v>123.57900000000002</v>
      </c>
      <c r="V139" s="101">
        <f t="shared" si="526"/>
        <v>0.49791879833445951</v>
      </c>
      <c r="W139" s="10"/>
      <c r="X139" s="142">
        <f t="shared" ref="X139:AG139" si="562">X88*X57</f>
        <v>131.09260320000004</v>
      </c>
      <c r="Y139" s="142">
        <f t="shared" si="562"/>
        <v>139.06303347456006</v>
      </c>
      <c r="Z139" s="142">
        <f t="shared" si="562"/>
        <v>147.51806590981332</v>
      </c>
      <c r="AA139" s="142">
        <f t="shared" si="562"/>
        <v>156.48716431712995</v>
      </c>
      <c r="AB139" s="142">
        <f t="shared" si="562"/>
        <v>166.00158390761146</v>
      </c>
      <c r="AC139" s="142">
        <f t="shared" si="562"/>
        <v>176.09448020919424</v>
      </c>
      <c r="AD139" s="142">
        <f t="shared" si="562"/>
        <v>186.80102460591326</v>
      </c>
      <c r="AE139" s="142">
        <f t="shared" si="562"/>
        <v>198.15852690195283</v>
      </c>
      <c r="AF139" s="142">
        <f t="shared" si="562"/>
        <v>210.20656533759154</v>
      </c>
      <c r="AG139" s="142">
        <f t="shared" si="562"/>
        <v>222.9871245101171</v>
      </c>
      <c r="AH139" s="116" t="e">
        <f t="shared" si="412"/>
        <v>#DIV/0!</v>
      </c>
      <c r="AI139" s="10"/>
      <c r="AJ139" s="10"/>
    </row>
    <row r="140" spans="1:36">
      <c r="B140" s="10" t="s">
        <v>280</v>
      </c>
      <c r="C140" s="10"/>
      <c r="D140" s="10"/>
      <c r="E140" s="142"/>
      <c r="F140" s="142"/>
      <c r="G140" s="142">
        <f t="shared" ref="G140" si="563">(G139*0.17)+G139</f>
        <v>0.44225999999999999</v>
      </c>
      <c r="H140" s="142">
        <f t="shared" ref="H140:I140" si="564">(H139*0.17)+H139</f>
        <v>0</v>
      </c>
      <c r="I140" s="142">
        <f t="shared" si="564"/>
        <v>0.44225999999999999</v>
      </c>
      <c r="J140" s="142">
        <f t="shared" ref="J140:S140" si="565">(J139*0.17)+J139</f>
        <v>0</v>
      </c>
      <c r="K140" s="142">
        <f t="shared" si="565"/>
        <v>35.053200000000004</v>
      </c>
      <c r="L140" s="142">
        <f t="shared" si="565"/>
        <v>52.579799999999999</v>
      </c>
      <c r="M140" s="142">
        <f t="shared" si="565"/>
        <v>105.3</v>
      </c>
      <c r="N140" s="142">
        <f t="shared" si="565"/>
        <v>48.262500000000003</v>
      </c>
      <c r="O140" s="142">
        <f t="shared" si="565"/>
        <v>53.120339999999999</v>
      </c>
      <c r="P140" s="142">
        <f t="shared" si="565"/>
        <v>58.08699</v>
      </c>
      <c r="Q140" s="142">
        <f t="shared" si="565"/>
        <v>59.303789999999999</v>
      </c>
      <c r="R140" s="142">
        <f t="shared" si="565"/>
        <v>92.628900000000002</v>
      </c>
      <c r="S140" s="142">
        <f t="shared" si="565"/>
        <v>119.0475</v>
      </c>
      <c r="T140" s="142">
        <f t="shared" ref="T140:U140" si="566">(T139*0.17)+T139</f>
        <v>126.62325000000001</v>
      </c>
      <c r="U140" s="142">
        <f t="shared" si="566"/>
        <v>144.58743000000004</v>
      </c>
      <c r="V140" s="101">
        <f t="shared" si="526"/>
        <v>0.49791879833445951</v>
      </c>
      <c r="W140" s="10"/>
      <c r="X140" s="142">
        <f t="shared" ref="X140:AG140" si="567">(X139*0.17)+X139</f>
        <v>153.37834574400006</v>
      </c>
      <c r="Y140" s="142">
        <f t="shared" si="567"/>
        <v>162.70374916523528</v>
      </c>
      <c r="Z140" s="142">
        <f t="shared" si="567"/>
        <v>172.59613711448159</v>
      </c>
      <c r="AA140" s="142">
        <f t="shared" si="567"/>
        <v>183.08998225104204</v>
      </c>
      <c r="AB140" s="142">
        <f t="shared" si="567"/>
        <v>194.22185317190542</v>
      </c>
      <c r="AC140" s="142">
        <f t="shared" si="567"/>
        <v>206.03054184475727</v>
      </c>
      <c r="AD140" s="142">
        <f t="shared" si="567"/>
        <v>218.55719878891853</v>
      </c>
      <c r="AE140" s="142">
        <f t="shared" si="567"/>
        <v>231.84547647528481</v>
      </c>
      <c r="AF140" s="142">
        <f t="shared" si="567"/>
        <v>245.94168144498212</v>
      </c>
      <c r="AG140" s="142">
        <f t="shared" si="567"/>
        <v>260.89493567683701</v>
      </c>
      <c r="AH140" s="116" t="e">
        <f t="shared" si="412"/>
        <v>#DIV/0!</v>
      </c>
      <c r="AI140" s="10"/>
      <c r="AJ140" s="10"/>
    </row>
    <row r="141" spans="1:36">
      <c r="B141" s="10" t="s">
        <v>281</v>
      </c>
      <c r="C141" s="10"/>
      <c r="D141" s="10"/>
      <c r="E141" s="10"/>
      <c r="F141" s="129"/>
      <c r="G141" s="129">
        <f t="shared" ref="G141" si="568">G140/G55</f>
        <v>1.0529999999999999E-2</v>
      </c>
      <c r="H141" s="129" t="e">
        <f t="shared" ref="H141:I141" si="569">H140/H55</f>
        <v>#DIV/0!</v>
      </c>
      <c r="I141" s="129">
        <f t="shared" si="569"/>
        <v>1.0529999999999999E-2</v>
      </c>
      <c r="J141" s="129">
        <f t="shared" ref="J141:T141" si="570">J140/J55</f>
        <v>0</v>
      </c>
      <c r="K141" s="129">
        <f t="shared" si="570"/>
        <v>0.12004520547945206</v>
      </c>
      <c r="L141" s="129">
        <f t="shared" si="570"/>
        <v>0.25157799043062201</v>
      </c>
      <c r="M141" s="129">
        <f t="shared" si="570"/>
        <v>0.42979591836734693</v>
      </c>
      <c r="N141" s="129" t="e">
        <f t="shared" si="570"/>
        <v>#DIV/0!</v>
      </c>
      <c r="O141" s="129">
        <f t="shared" si="570"/>
        <v>0.40549877862595418</v>
      </c>
      <c r="P141" s="129">
        <f t="shared" si="570"/>
        <v>0.33968999999999999</v>
      </c>
      <c r="Q141" s="129">
        <f t="shared" si="570"/>
        <v>0.2732893548387097</v>
      </c>
      <c r="R141" s="129">
        <f t="shared" si="570"/>
        <v>0.30074318181818183</v>
      </c>
      <c r="S141" s="129">
        <f t="shared" si="570"/>
        <v>0.35536567164179106</v>
      </c>
      <c r="T141" s="129">
        <f t="shared" si="570"/>
        <v>0.23106432481751826</v>
      </c>
      <c r="U141" s="129">
        <f t="shared" ref="U141" si="571">U140/U55</f>
        <v>0.16851681818181824</v>
      </c>
      <c r="V141" s="101">
        <f t="shared" si="526"/>
        <v>0.24683063988724152</v>
      </c>
      <c r="W141" s="10"/>
      <c r="X141" s="129">
        <f t="shared" ref="X141:AG141" si="572">X140/X55</f>
        <v>0.14896886727272735</v>
      </c>
      <c r="Y141" s="129">
        <f t="shared" si="572"/>
        <v>0.131688478669091</v>
      </c>
      <c r="Z141" s="129">
        <f t="shared" si="572"/>
        <v>0.11641261514347646</v>
      </c>
      <c r="AA141" s="129">
        <f t="shared" si="572"/>
        <v>0.10290875178683317</v>
      </c>
      <c r="AB141" s="129">
        <f t="shared" si="572"/>
        <v>9.0971336579560552E-2</v>
      </c>
      <c r="AC141" s="129">
        <f t="shared" si="572"/>
        <v>8.0418661536331523E-2</v>
      </c>
      <c r="AD141" s="129">
        <f t="shared" si="572"/>
        <v>7.1090096798117078E-2</v>
      </c>
      <c r="AE141" s="129">
        <f t="shared" si="572"/>
        <v>6.2843645569535506E-2</v>
      </c>
      <c r="AF141" s="129">
        <f t="shared" si="572"/>
        <v>5.5553782683469395E-2</v>
      </c>
      <c r="AG141" s="129">
        <f t="shared" si="572"/>
        <v>4.9109543892186941E-2</v>
      </c>
      <c r="AH141" s="116" t="e">
        <f t="shared" si="412"/>
        <v>#DIV/0!</v>
      </c>
      <c r="AI141" s="10"/>
      <c r="AJ141" s="10"/>
    </row>
    <row r="142" spans="1:36">
      <c r="B142" s="10" t="s">
        <v>274</v>
      </c>
      <c r="C142" s="10"/>
      <c r="D142" s="10"/>
      <c r="E142" s="10"/>
      <c r="F142" s="129"/>
      <c r="G142" s="129">
        <f t="shared" ref="G142" si="573">1-G141</f>
        <v>0.98946999999999996</v>
      </c>
      <c r="H142" s="129" t="e">
        <f t="shared" ref="H142:I142" si="574">1-H141</f>
        <v>#DIV/0!</v>
      </c>
      <c r="I142" s="129">
        <f t="shared" si="574"/>
        <v>0.98946999999999996</v>
      </c>
      <c r="J142" s="129">
        <f>1-J141</f>
        <v>1</v>
      </c>
      <c r="K142" s="129">
        <f t="shared" ref="K142:S142" si="575">1-K141</f>
        <v>0.87995479452054792</v>
      </c>
      <c r="L142" s="129">
        <f t="shared" si="575"/>
        <v>0.74842200956937799</v>
      </c>
      <c r="M142" s="129">
        <f t="shared" si="575"/>
        <v>0.57020408163265301</v>
      </c>
      <c r="N142" s="129" t="e">
        <f t="shared" si="575"/>
        <v>#DIV/0!</v>
      </c>
      <c r="O142" s="129">
        <f t="shared" si="575"/>
        <v>0.59450122137404582</v>
      </c>
      <c r="P142" s="129">
        <f t="shared" si="575"/>
        <v>0.66030999999999995</v>
      </c>
      <c r="Q142" s="129">
        <f t="shared" si="575"/>
        <v>0.72671064516129036</v>
      </c>
      <c r="R142" s="129">
        <f t="shared" si="575"/>
        <v>0.69925681818181817</v>
      </c>
      <c r="S142" s="129">
        <f t="shared" si="575"/>
        <v>0.644634328358209</v>
      </c>
      <c r="T142" s="129">
        <f t="shared" ref="T142:U142" si="576">1-T141</f>
        <v>0.76893567518248174</v>
      </c>
      <c r="U142" s="129">
        <f t="shared" si="576"/>
        <v>0.83148318181818182</v>
      </c>
      <c r="V142" s="101">
        <f t="shared" si="526"/>
        <v>-1.7850341533094505E-2</v>
      </c>
      <c r="W142" s="10"/>
      <c r="X142" s="129">
        <f t="shared" ref="X142:AG142" si="577">1-X141</f>
        <v>0.8510311327272726</v>
      </c>
      <c r="Y142" s="129">
        <f t="shared" si="577"/>
        <v>0.86831152133090894</v>
      </c>
      <c r="Z142" s="129">
        <f t="shared" si="577"/>
        <v>0.88358738485652355</v>
      </c>
      <c r="AA142" s="129">
        <f t="shared" si="577"/>
        <v>0.89709124821316677</v>
      </c>
      <c r="AB142" s="129">
        <f t="shared" si="577"/>
        <v>0.90902866342043942</v>
      </c>
      <c r="AC142" s="129">
        <f t="shared" si="577"/>
        <v>0.91958133846366852</v>
      </c>
      <c r="AD142" s="129">
        <f t="shared" si="577"/>
        <v>0.92890990320188294</v>
      </c>
      <c r="AE142" s="129">
        <f t="shared" si="577"/>
        <v>0.93715635443046452</v>
      </c>
      <c r="AF142" s="129">
        <f t="shared" si="577"/>
        <v>0.94444621731653056</v>
      </c>
      <c r="AG142" s="129">
        <f t="shared" si="577"/>
        <v>0.95089045610781309</v>
      </c>
      <c r="AH142" s="116">
        <f t="shared" si="412"/>
        <v>-2.1870141737013737E-3</v>
      </c>
      <c r="AI142" s="10"/>
      <c r="AJ142" s="10"/>
    </row>
    <row r="143" spans="1:36">
      <c r="B143" s="10" t="s">
        <v>395</v>
      </c>
      <c r="C143" s="10"/>
      <c r="D143" s="10"/>
      <c r="E143" s="10"/>
      <c r="F143" s="129"/>
      <c r="G143" s="129" t="e">
        <f t="shared" ref="G143" si="578">G140/G20</f>
        <v>#DIV/0!</v>
      </c>
      <c r="H143" s="129" t="e">
        <f t="shared" ref="H143:I143" si="579">H140/H20</f>
        <v>#DIV/0!</v>
      </c>
      <c r="I143" s="129" t="e">
        <f t="shared" si="579"/>
        <v>#DIV/0!</v>
      </c>
      <c r="J143" s="129" t="e">
        <f t="shared" ref="J143:T143" si="580">J140/J20</f>
        <v>#DIV/0!</v>
      </c>
      <c r="K143" s="129" t="e">
        <f t="shared" si="580"/>
        <v>#DIV/0!</v>
      </c>
      <c r="L143" s="129" t="e">
        <f t="shared" si="580"/>
        <v>#DIV/0!</v>
      </c>
      <c r="M143" s="129" t="e">
        <f t="shared" si="580"/>
        <v>#DIV/0!</v>
      </c>
      <c r="N143" s="129" t="e">
        <f t="shared" si="580"/>
        <v>#DIV/0!</v>
      </c>
      <c r="O143" s="129" t="e">
        <f t="shared" si="580"/>
        <v>#DIV/0!</v>
      </c>
      <c r="P143" s="129" t="e">
        <f t="shared" si="580"/>
        <v>#DIV/0!</v>
      </c>
      <c r="Q143" s="129" t="e">
        <f t="shared" si="580"/>
        <v>#DIV/0!</v>
      </c>
      <c r="R143" s="129" t="e">
        <f t="shared" si="580"/>
        <v>#DIV/0!</v>
      </c>
      <c r="S143" s="129" t="e">
        <f t="shared" si="580"/>
        <v>#DIV/0!</v>
      </c>
      <c r="T143" s="129" t="e">
        <f t="shared" si="580"/>
        <v>#DIV/0!</v>
      </c>
      <c r="U143" s="129" t="e">
        <f t="shared" ref="U143" si="581">U140/U20</f>
        <v>#DIV/0!</v>
      </c>
      <c r="V143" s="101" t="e">
        <f t="shared" si="526"/>
        <v>#DIV/0!</v>
      </c>
      <c r="W143" s="10"/>
      <c r="X143" s="129" t="e">
        <f t="shared" ref="X143:AG143" si="582">X140/X20</f>
        <v>#DIV/0!</v>
      </c>
      <c r="Y143" s="129" t="e">
        <f t="shared" si="582"/>
        <v>#DIV/0!</v>
      </c>
      <c r="Z143" s="129" t="e">
        <f t="shared" si="582"/>
        <v>#DIV/0!</v>
      </c>
      <c r="AA143" s="129" t="e">
        <f t="shared" si="582"/>
        <v>#DIV/0!</v>
      </c>
      <c r="AB143" s="129" t="e">
        <f t="shared" si="582"/>
        <v>#DIV/0!</v>
      </c>
      <c r="AC143" s="129" t="e">
        <f t="shared" si="582"/>
        <v>#DIV/0!</v>
      </c>
      <c r="AD143" s="129" t="e">
        <f t="shared" si="582"/>
        <v>#DIV/0!</v>
      </c>
      <c r="AE143" s="129" t="e">
        <f t="shared" si="582"/>
        <v>#DIV/0!</v>
      </c>
      <c r="AF143" s="129" t="e">
        <f t="shared" si="582"/>
        <v>#DIV/0!</v>
      </c>
      <c r="AG143" s="129" t="e">
        <f t="shared" si="582"/>
        <v>#DIV/0!</v>
      </c>
      <c r="AH143" s="116" t="s">
        <v>396</v>
      </c>
      <c r="AI143" s="10"/>
      <c r="AJ143" s="10"/>
    </row>
    <row r="144" spans="1:36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10"/>
      <c r="W144" s="10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10"/>
      <c r="AI144" s="10"/>
      <c r="AJ144" s="10"/>
    </row>
    <row r="145" spans="2:36">
      <c r="B145" s="10" t="s">
        <v>278</v>
      </c>
      <c r="C145" s="129"/>
      <c r="D145" s="129"/>
      <c r="E145" s="129"/>
      <c r="F145" s="129"/>
      <c r="G145" s="129">
        <f t="shared" ref="G145" si="583">G31/G25</f>
        <v>0</v>
      </c>
      <c r="H145" s="129" t="e">
        <f t="shared" ref="H145:I145" si="584">H31/H25</f>
        <v>#DIV/0!</v>
      </c>
      <c r="I145" s="129">
        <f t="shared" si="584"/>
        <v>0</v>
      </c>
      <c r="J145" s="129">
        <f t="shared" ref="J145:T145" si="585">J31/J25</f>
        <v>0</v>
      </c>
      <c r="K145" s="129">
        <f t="shared" si="585"/>
        <v>0</v>
      </c>
      <c r="L145" s="129">
        <f t="shared" si="585"/>
        <v>0</v>
      </c>
      <c r="M145" s="129">
        <f t="shared" si="585"/>
        <v>0</v>
      </c>
      <c r="N145" s="129" t="e">
        <f t="shared" si="585"/>
        <v>#DIV/0!</v>
      </c>
      <c r="O145" s="129">
        <f t="shared" si="585"/>
        <v>0</v>
      </c>
      <c r="P145" s="129">
        <f t="shared" si="585"/>
        <v>0</v>
      </c>
      <c r="Q145" s="129">
        <f t="shared" si="585"/>
        <v>0</v>
      </c>
      <c r="R145" s="129">
        <f t="shared" si="585"/>
        <v>0</v>
      </c>
      <c r="S145" s="129">
        <f t="shared" si="585"/>
        <v>0</v>
      </c>
      <c r="T145" s="129">
        <f t="shared" si="585"/>
        <v>0</v>
      </c>
      <c r="U145" s="129">
        <f t="shared" ref="U145" si="586">U31/U25</f>
        <v>0</v>
      </c>
      <c r="V145" s="101" t="e">
        <f t="shared" si="526"/>
        <v>#DIV/0!</v>
      </c>
      <c r="W145" s="10"/>
      <c r="X145" s="129">
        <f t="shared" ref="X145:AG145" si="587">X31/X25</f>
        <v>0</v>
      </c>
      <c r="Y145" s="129">
        <f t="shared" si="587"/>
        <v>0</v>
      </c>
      <c r="Z145" s="129">
        <f t="shared" si="587"/>
        <v>0</v>
      </c>
      <c r="AA145" s="129">
        <f t="shared" si="587"/>
        <v>0</v>
      </c>
      <c r="AB145" s="129">
        <f t="shared" si="587"/>
        <v>0</v>
      </c>
      <c r="AC145" s="129">
        <f t="shared" si="587"/>
        <v>0</v>
      </c>
      <c r="AD145" s="129">
        <f t="shared" si="587"/>
        <v>0</v>
      </c>
      <c r="AE145" s="129">
        <f t="shared" si="587"/>
        <v>0</v>
      </c>
      <c r="AF145" s="129">
        <f t="shared" si="587"/>
        <v>0</v>
      </c>
      <c r="AG145" s="129">
        <f t="shared" si="587"/>
        <v>0</v>
      </c>
      <c r="AH145" s="116" t="e">
        <f t="shared" si="412"/>
        <v>#DIV/0!</v>
      </c>
      <c r="AI145" s="10"/>
      <c r="AJ145" s="10"/>
    </row>
    <row r="146" spans="2:36">
      <c r="B146" s="10" t="s">
        <v>275</v>
      </c>
      <c r="C146" s="129"/>
      <c r="D146" s="129"/>
      <c r="E146" s="129"/>
      <c r="F146" s="129"/>
      <c r="G146" s="129">
        <f t="shared" ref="G146" si="588">G32/G25</f>
        <v>0</v>
      </c>
      <c r="H146" s="129" t="e">
        <f t="shared" ref="H146:I146" si="589">H32/H25</f>
        <v>#DIV/0!</v>
      </c>
      <c r="I146" s="129">
        <f t="shared" si="589"/>
        <v>0</v>
      </c>
      <c r="J146" s="129">
        <f t="shared" ref="J146:T146" si="590">J32/J25</f>
        <v>0</v>
      </c>
      <c r="K146" s="129">
        <f t="shared" si="590"/>
        <v>0</v>
      </c>
      <c r="L146" s="129">
        <f t="shared" si="590"/>
        <v>0</v>
      </c>
      <c r="M146" s="129">
        <f t="shared" si="590"/>
        <v>0</v>
      </c>
      <c r="N146" s="129" t="e">
        <f t="shared" si="590"/>
        <v>#DIV/0!</v>
      </c>
      <c r="O146" s="129">
        <f t="shared" si="590"/>
        <v>0</v>
      </c>
      <c r="P146" s="129">
        <f t="shared" si="590"/>
        <v>0</v>
      </c>
      <c r="Q146" s="129">
        <f t="shared" si="590"/>
        <v>0</v>
      </c>
      <c r="R146" s="129">
        <f t="shared" si="590"/>
        <v>0</v>
      </c>
      <c r="S146" s="129">
        <f t="shared" si="590"/>
        <v>0</v>
      </c>
      <c r="T146" s="129">
        <f t="shared" si="590"/>
        <v>0</v>
      </c>
      <c r="U146" s="129">
        <f t="shared" ref="U146" si="591">U32/U25</f>
        <v>0</v>
      </c>
      <c r="V146" s="101" t="e">
        <f t="shared" si="526"/>
        <v>#DIV/0!</v>
      </c>
      <c r="W146" s="10"/>
      <c r="X146" s="129">
        <f t="shared" ref="X146:AG146" si="592">X32/X25</f>
        <v>0</v>
      </c>
      <c r="Y146" s="129">
        <f t="shared" si="592"/>
        <v>0</v>
      </c>
      <c r="Z146" s="129">
        <f t="shared" si="592"/>
        <v>0</v>
      </c>
      <c r="AA146" s="129">
        <f t="shared" si="592"/>
        <v>0</v>
      </c>
      <c r="AB146" s="129">
        <f t="shared" si="592"/>
        <v>0</v>
      </c>
      <c r="AC146" s="129">
        <f t="shared" si="592"/>
        <v>0</v>
      </c>
      <c r="AD146" s="129">
        <f t="shared" si="592"/>
        <v>0</v>
      </c>
      <c r="AE146" s="129">
        <f t="shared" si="592"/>
        <v>0</v>
      </c>
      <c r="AF146" s="129">
        <f t="shared" si="592"/>
        <v>0</v>
      </c>
      <c r="AG146" s="129">
        <f t="shared" si="592"/>
        <v>0</v>
      </c>
      <c r="AH146" s="116" t="e">
        <f t="shared" si="412"/>
        <v>#DIV/0!</v>
      </c>
      <c r="AI146" s="10"/>
      <c r="AJ146" s="10"/>
    </row>
    <row r="147" spans="2:36">
      <c r="B147" s="10" t="s">
        <v>403</v>
      </c>
      <c r="C147" s="129"/>
      <c r="D147" s="129"/>
      <c r="E147" s="129"/>
      <c r="F147" s="129"/>
      <c r="G147" s="129">
        <f t="shared" ref="G147" si="593">(G31+G32)/G25</f>
        <v>0</v>
      </c>
      <c r="H147" s="129" t="e">
        <f t="shared" ref="H147:I147" si="594">(H31+H32)/H25</f>
        <v>#DIV/0!</v>
      </c>
      <c r="I147" s="129">
        <f t="shared" si="594"/>
        <v>0</v>
      </c>
      <c r="J147" s="129">
        <f t="shared" ref="J147:T147" si="595">(J31+J32)/J25</f>
        <v>0</v>
      </c>
      <c r="K147" s="129">
        <f t="shared" si="595"/>
        <v>0</v>
      </c>
      <c r="L147" s="129">
        <f t="shared" si="595"/>
        <v>0</v>
      </c>
      <c r="M147" s="129">
        <f t="shared" si="595"/>
        <v>0</v>
      </c>
      <c r="N147" s="129" t="e">
        <f t="shared" si="595"/>
        <v>#DIV/0!</v>
      </c>
      <c r="O147" s="129">
        <f t="shared" si="595"/>
        <v>0</v>
      </c>
      <c r="P147" s="129">
        <f t="shared" si="595"/>
        <v>0</v>
      </c>
      <c r="Q147" s="129">
        <f t="shared" si="595"/>
        <v>0</v>
      </c>
      <c r="R147" s="129">
        <f t="shared" si="595"/>
        <v>0</v>
      </c>
      <c r="S147" s="129">
        <f t="shared" si="595"/>
        <v>0</v>
      </c>
      <c r="T147" s="129">
        <f t="shared" si="595"/>
        <v>0</v>
      </c>
      <c r="U147" s="129">
        <f t="shared" ref="U147" si="596">(U31+U32)/U25</f>
        <v>0</v>
      </c>
      <c r="V147" s="101" t="e">
        <f t="shared" si="526"/>
        <v>#DIV/0!</v>
      </c>
      <c r="W147" s="10"/>
      <c r="X147" s="129">
        <f t="shared" ref="X147:AG147" si="597">(X31+X32)/X25</f>
        <v>0</v>
      </c>
      <c r="Y147" s="129">
        <f t="shared" si="597"/>
        <v>0</v>
      </c>
      <c r="Z147" s="129">
        <f t="shared" si="597"/>
        <v>0</v>
      </c>
      <c r="AA147" s="129">
        <f t="shared" si="597"/>
        <v>0</v>
      </c>
      <c r="AB147" s="129">
        <f t="shared" si="597"/>
        <v>0</v>
      </c>
      <c r="AC147" s="129">
        <f t="shared" si="597"/>
        <v>0</v>
      </c>
      <c r="AD147" s="129">
        <f t="shared" si="597"/>
        <v>0</v>
      </c>
      <c r="AE147" s="129">
        <f t="shared" si="597"/>
        <v>0</v>
      </c>
      <c r="AF147" s="129">
        <f t="shared" si="597"/>
        <v>0</v>
      </c>
      <c r="AG147" s="129">
        <f t="shared" si="597"/>
        <v>0</v>
      </c>
      <c r="AH147" s="116" t="e">
        <f t="shared" si="412"/>
        <v>#DIV/0!</v>
      </c>
      <c r="AI147" s="10"/>
      <c r="AJ147" s="10"/>
    </row>
    <row r="148" spans="2:36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10"/>
      <c r="W148" s="10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10"/>
      <c r="AI148" s="10"/>
      <c r="AJ148" s="10"/>
    </row>
    <row r="149" spans="2:36">
      <c r="B149" s="10" t="s">
        <v>299</v>
      </c>
      <c r="C149" s="10"/>
      <c r="D149" s="10"/>
      <c r="E149" s="10"/>
      <c r="F149" s="129"/>
      <c r="G149" s="129">
        <f t="shared" ref="G149" si="598">G27/G25</f>
        <v>0.48344370860927155</v>
      </c>
      <c r="H149" s="129" t="e">
        <f t="shared" ref="H149:I149" si="599">H27/H25</f>
        <v>#DIV/0!</v>
      </c>
      <c r="I149" s="129">
        <f t="shared" si="599"/>
        <v>0.48344370860927155</v>
      </c>
      <c r="J149" s="129">
        <f t="shared" ref="J149:T149" si="600">J27/J25</f>
        <v>0.4702702702702703</v>
      </c>
      <c r="K149" s="129">
        <f t="shared" si="600"/>
        <v>0.39539170506912441</v>
      </c>
      <c r="L149" s="129">
        <f t="shared" si="600"/>
        <v>0.46325167037861914</v>
      </c>
      <c r="M149" s="129">
        <f t="shared" si="600"/>
        <v>0.41736401673640167</v>
      </c>
      <c r="N149" s="129" t="e">
        <f t="shared" si="600"/>
        <v>#DIV/0!</v>
      </c>
      <c r="O149" s="129">
        <f t="shared" si="600"/>
        <v>0.3592814371257485</v>
      </c>
      <c r="P149" s="129">
        <f t="shared" si="600"/>
        <v>0.34752747252747251</v>
      </c>
      <c r="Q149" s="129">
        <f t="shared" si="600"/>
        <v>0.3679060665362035</v>
      </c>
      <c r="R149" s="129">
        <f t="shared" si="600"/>
        <v>0.38016953506293349</v>
      </c>
      <c r="S149" s="129">
        <f t="shared" si="600"/>
        <v>0.37699316628701596</v>
      </c>
      <c r="T149" s="129">
        <f t="shared" si="600"/>
        <v>0.41689332124508915</v>
      </c>
      <c r="U149" s="129">
        <f t="shared" ref="U149" si="601">U27/U25</f>
        <v>0.41299257368298908</v>
      </c>
      <c r="V149" s="101">
        <f t="shared" si="526"/>
        <v>-1.052313448300668E-2</v>
      </c>
      <c r="W149" s="10"/>
      <c r="X149" s="129">
        <f t="shared" ref="X149:AG149" si="602">X27/X25</f>
        <v>0.41299257368298908</v>
      </c>
      <c r="Y149" s="129">
        <f t="shared" si="602"/>
        <v>0.41299257368298903</v>
      </c>
      <c r="Z149" s="129">
        <f t="shared" si="602"/>
        <v>0.41299257368298903</v>
      </c>
      <c r="AA149" s="129">
        <f t="shared" si="602"/>
        <v>0.41299257368298908</v>
      </c>
      <c r="AB149" s="129">
        <f t="shared" si="602"/>
        <v>0.41299257368298908</v>
      </c>
      <c r="AC149" s="129">
        <f t="shared" si="602"/>
        <v>0.41299257368298908</v>
      </c>
      <c r="AD149" s="129">
        <f t="shared" si="602"/>
        <v>0.41299257368298914</v>
      </c>
      <c r="AE149" s="129">
        <f t="shared" si="602"/>
        <v>0.41299257368298914</v>
      </c>
      <c r="AF149" s="129">
        <f t="shared" si="602"/>
        <v>0.41299257368298919</v>
      </c>
      <c r="AG149" s="129">
        <f t="shared" si="602"/>
        <v>0.41299257368298914</v>
      </c>
      <c r="AH149" s="116">
        <f t="shared" si="412"/>
        <v>-5.6309542860187856E-3</v>
      </c>
      <c r="AI149" s="10"/>
      <c r="AJ149" s="10"/>
    </row>
    <row r="150" spans="2:36">
      <c r="B150" s="10" t="str">
        <f>B33</f>
        <v>Top Expenses ( Empl</v>
      </c>
      <c r="C150" s="10"/>
      <c r="D150" s="10"/>
      <c r="E150" s="10"/>
      <c r="F150" s="129"/>
      <c r="G150" s="129">
        <f t="shared" ref="G150" si="603">G33/G25</f>
        <v>0.2185430463576159</v>
      </c>
      <c r="H150" s="129" t="e">
        <f t="shared" ref="H150:I150" si="604">H33/H25</f>
        <v>#DIV/0!</v>
      </c>
      <c r="I150" s="129">
        <f t="shared" si="604"/>
        <v>0.2185430463576159</v>
      </c>
      <c r="J150" s="129">
        <f t="shared" ref="J150:T150" si="605">J33/J25</f>
        <v>0.21621621621621623</v>
      </c>
      <c r="K150" s="129">
        <f t="shared" si="605"/>
        <v>0.18986175115207374</v>
      </c>
      <c r="L150" s="129">
        <f t="shared" si="605"/>
        <v>0.18485523385300667</v>
      </c>
      <c r="M150" s="129">
        <f t="shared" si="605"/>
        <v>0.16945606694560669</v>
      </c>
      <c r="N150" s="129" t="e">
        <f t="shared" si="605"/>
        <v>#DIV/0!</v>
      </c>
      <c r="O150" s="129">
        <f t="shared" si="605"/>
        <v>0.16227544910179642</v>
      </c>
      <c r="P150" s="129">
        <f t="shared" si="605"/>
        <v>0.1662087912087912</v>
      </c>
      <c r="Q150" s="129">
        <f t="shared" si="605"/>
        <v>0.17925636007827789</v>
      </c>
      <c r="R150" s="129">
        <f t="shared" si="605"/>
        <v>0.18186488569226816</v>
      </c>
      <c r="S150" s="129">
        <f t="shared" si="605"/>
        <v>0.16742596810933941</v>
      </c>
      <c r="T150" s="129">
        <f t="shared" si="605"/>
        <v>0.16651556361438502</v>
      </c>
      <c r="U150" s="129">
        <f t="shared" ref="U150" si="606">U33/U25</f>
        <v>0.15711301926200974</v>
      </c>
      <c r="V150" s="101">
        <f t="shared" si="526"/>
        <v>-1.9233642979941457E-2</v>
      </c>
      <c r="W150" s="10"/>
      <c r="X150" s="129">
        <f t="shared" ref="X150:AG150" si="607">X33/X25</f>
        <v>0.15711301926200974</v>
      </c>
      <c r="Y150" s="129">
        <f t="shared" si="607"/>
        <v>0.15711301926200974</v>
      </c>
      <c r="Z150" s="129">
        <f t="shared" si="607"/>
        <v>0.15711301926200974</v>
      </c>
      <c r="AA150" s="129">
        <f t="shared" si="607"/>
        <v>0.15711301926200974</v>
      </c>
      <c r="AB150" s="129">
        <f t="shared" si="607"/>
        <v>0.15711301926200974</v>
      </c>
      <c r="AC150" s="129">
        <f t="shared" si="607"/>
        <v>0.15711301926200974</v>
      </c>
      <c r="AD150" s="129">
        <f t="shared" si="607"/>
        <v>0.15711301926200977</v>
      </c>
      <c r="AE150" s="129">
        <f t="shared" si="607"/>
        <v>0.15711301926200977</v>
      </c>
      <c r="AF150" s="129">
        <f t="shared" si="607"/>
        <v>0.15711301926200977</v>
      </c>
      <c r="AG150" s="129">
        <f t="shared" si="607"/>
        <v>0.15711301926200974</v>
      </c>
      <c r="AH150" s="116">
        <f t="shared" si="412"/>
        <v>-1.3787268261078456E-2</v>
      </c>
      <c r="AI150" s="10"/>
      <c r="AJ150" s="10"/>
    </row>
    <row r="151" spans="2:36">
      <c r="B151" s="10" t="str">
        <f>B34</f>
        <v>2nd highest Expenses Comp. ( Misc Exp)</v>
      </c>
      <c r="C151" s="10"/>
      <c r="D151" s="10"/>
      <c r="E151" s="10"/>
      <c r="F151" s="129"/>
      <c r="G151" s="129">
        <f t="shared" ref="G151" si="608">G34/G25</f>
        <v>3.6423841059602648E-2</v>
      </c>
      <c r="H151" s="129" t="e">
        <f t="shared" ref="H151:I151" si="609">H34/H25</f>
        <v>#DIV/0!</v>
      </c>
      <c r="I151" s="129">
        <f t="shared" si="609"/>
        <v>3.6423841059602648E-2</v>
      </c>
      <c r="J151" s="129">
        <f t="shared" ref="J151:T151" si="610">J34/J25</f>
        <v>7.0270270270270274E-2</v>
      </c>
      <c r="K151" s="129">
        <f t="shared" si="610"/>
        <v>4.7004608294930875E-2</v>
      </c>
      <c r="L151" s="129">
        <f t="shared" si="610"/>
        <v>4.6770601336302897E-2</v>
      </c>
      <c r="M151" s="129">
        <f t="shared" si="610"/>
        <v>6.6945606694560664E-2</v>
      </c>
      <c r="N151" s="129" t="e">
        <f t="shared" si="610"/>
        <v>#DIV/0!</v>
      </c>
      <c r="O151" s="129">
        <f t="shared" si="610"/>
        <v>0.19700598802395208</v>
      </c>
      <c r="P151" s="129">
        <f t="shared" si="610"/>
        <v>0.18131868131868131</v>
      </c>
      <c r="Q151" s="129">
        <f t="shared" si="610"/>
        <v>0.18864970645792564</v>
      </c>
      <c r="R151" s="129">
        <f t="shared" si="610"/>
        <v>0.1983046493706653</v>
      </c>
      <c r="S151" s="129">
        <f t="shared" si="610"/>
        <v>0.19703872437357631</v>
      </c>
      <c r="T151" s="129">
        <f t="shared" si="610"/>
        <v>0.23723179208220005</v>
      </c>
      <c r="U151" s="129">
        <f t="shared" ref="U151" si="611">U34/U25</f>
        <v>0.2557437920631237</v>
      </c>
      <c r="V151" s="101">
        <f t="shared" si="526"/>
        <v>0.14321431357158843</v>
      </c>
      <c r="W151" s="10"/>
      <c r="X151" s="129">
        <f t="shared" ref="X151:AG151" si="612">X34/X25</f>
        <v>0.25574379206312364</v>
      </c>
      <c r="Y151" s="129">
        <f t="shared" si="612"/>
        <v>0.2557437920631237</v>
      </c>
      <c r="Z151" s="129">
        <f t="shared" si="612"/>
        <v>0.2557437920631237</v>
      </c>
      <c r="AA151" s="129">
        <f t="shared" si="612"/>
        <v>0.2557437920631237</v>
      </c>
      <c r="AB151" s="129">
        <f t="shared" si="612"/>
        <v>0.25574379206312375</v>
      </c>
      <c r="AC151" s="129">
        <f t="shared" si="612"/>
        <v>0.25574379206312375</v>
      </c>
      <c r="AD151" s="129">
        <f t="shared" si="612"/>
        <v>0.25574379206312375</v>
      </c>
      <c r="AE151" s="129">
        <f t="shared" si="612"/>
        <v>0.25574379206312375</v>
      </c>
      <c r="AF151" s="129">
        <f t="shared" si="612"/>
        <v>0.25574379206312375</v>
      </c>
      <c r="AG151" s="129">
        <f t="shared" si="612"/>
        <v>0.25574379206312375</v>
      </c>
      <c r="AH151" s="116">
        <f t="shared" si="412"/>
        <v>5.7773688139544532E-2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0"/>
      <c r="W152" s="1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7"/>
      <c r="AI152" s="10"/>
      <c r="AJ152" s="10"/>
    </row>
    <row r="153" spans="2:36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01" t="e">
        <f t="shared" si="526"/>
        <v>#DIV/0!</v>
      </c>
      <c r="W153" s="1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6"/>
      <c r="AI153" s="10"/>
      <c r="AJ153" s="10"/>
    </row>
    <row r="154" spans="2:36">
      <c r="B154" s="10" t="s">
        <v>310</v>
      </c>
      <c r="C154" s="10"/>
      <c r="D154" s="10"/>
      <c r="E154" s="10"/>
      <c r="F154" s="15"/>
      <c r="G154" s="15">
        <f t="shared" ref="G154" si="613">G15/G9</f>
        <v>1.7350427350427351</v>
      </c>
      <c r="H154" s="15" t="e">
        <f t="shared" ref="H154:I154" si="614">H15/H9</f>
        <v>#DIV/0!</v>
      </c>
      <c r="I154" s="15">
        <f t="shared" si="614"/>
        <v>1.7350427350427351</v>
      </c>
      <c r="J154" s="15">
        <f t="shared" ref="J154:T154" si="615">J15/J9</f>
        <v>4.619718309859155</v>
      </c>
      <c r="K154" s="15">
        <f t="shared" si="615"/>
        <v>1.2017756255044392</v>
      </c>
      <c r="L154" s="15">
        <f t="shared" si="615"/>
        <v>2.0815347721822541</v>
      </c>
      <c r="M154" s="15">
        <f t="shared" si="615"/>
        <v>2.3881118881118879</v>
      </c>
      <c r="N154" s="15" t="e">
        <f t="shared" si="615"/>
        <v>#DIV/0!</v>
      </c>
      <c r="O154" s="15">
        <f t="shared" si="615"/>
        <v>4.7941176470588234</v>
      </c>
      <c r="P154" s="15">
        <f t="shared" si="615"/>
        <v>2.859063136456212</v>
      </c>
      <c r="Q154" s="15">
        <f t="shared" si="615"/>
        <v>2.5934481310373791</v>
      </c>
      <c r="R154" s="15">
        <f t="shared" si="615"/>
        <v>2.4658238697235912</v>
      </c>
      <c r="S154" s="15">
        <f t="shared" si="615"/>
        <v>1.8123296560674886</v>
      </c>
      <c r="T154" s="15">
        <f t="shared" si="615"/>
        <v>1.5603822762814943</v>
      </c>
      <c r="U154" s="15">
        <f t="shared" ref="U154" si="616">U15/U9</f>
        <v>2.0011438627364715</v>
      </c>
      <c r="V154" s="101">
        <f t="shared" si="526"/>
        <v>-7.5500118224941515E-3</v>
      </c>
      <c r="W154" s="10"/>
      <c r="X154" s="10">
        <f t="shared" ref="X154:AG154" si="617">X15/X9</f>
        <v>2.0011438627364715</v>
      </c>
      <c r="Y154" s="10">
        <f t="shared" si="617"/>
        <v>2.0011438627364715</v>
      </c>
      <c r="Z154" s="10">
        <f t="shared" si="617"/>
        <v>2.0011438627364715</v>
      </c>
      <c r="AA154" s="10">
        <f t="shared" si="617"/>
        <v>2.0011438627364715</v>
      </c>
      <c r="AB154" s="10">
        <f t="shared" si="617"/>
        <v>2.0011438627364715</v>
      </c>
      <c r="AC154" s="10">
        <f t="shared" si="617"/>
        <v>2.0011438627364715</v>
      </c>
      <c r="AD154" s="10">
        <f t="shared" si="617"/>
        <v>2.0011438627364715</v>
      </c>
      <c r="AE154" s="10">
        <f t="shared" si="617"/>
        <v>2.0011438627364715</v>
      </c>
      <c r="AF154" s="10">
        <f t="shared" si="617"/>
        <v>2.0011438627364715</v>
      </c>
      <c r="AG154" s="10">
        <f t="shared" si="617"/>
        <v>2.0011438627364719</v>
      </c>
      <c r="AH154" s="116">
        <f t="shared" si="412"/>
        <v>-3.572095045573076E-2</v>
      </c>
      <c r="AI154" s="10"/>
      <c r="AJ154" s="10"/>
    </row>
    <row r="155" spans="2:36">
      <c r="B155" s="10" t="s">
        <v>300</v>
      </c>
      <c r="C155" s="10"/>
      <c r="D155" s="10"/>
      <c r="E155" s="10"/>
      <c r="F155" s="15"/>
      <c r="G155" s="15">
        <f t="shared" ref="G155" si="618">G12/G9</f>
        <v>0.23076923076923078</v>
      </c>
      <c r="H155" s="15" t="e">
        <f t="shared" ref="H155:I155" si="619">H12/H9</f>
        <v>#DIV/0!</v>
      </c>
      <c r="I155" s="15">
        <f t="shared" si="619"/>
        <v>0.23076923076923078</v>
      </c>
      <c r="J155" s="15">
        <f t="shared" ref="J155:T155" si="620">J12/J9</f>
        <v>0.1619718309859155</v>
      </c>
      <c r="K155" s="15">
        <f t="shared" si="620"/>
        <v>0.2768361581920904</v>
      </c>
      <c r="L155" s="15">
        <f t="shared" si="620"/>
        <v>0.86330935251798557</v>
      </c>
      <c r="M155" s="15">
        <f t="shared" si="620"/>
        <v>0.22902097902097901</v>
      </c>
      <c r="N155" s="15" t="e">
        <f t="shared" si="620"/>
        <v>#DIV/0!</v>
      </c>
      <c r="O155" s="15">
        <f t="shared" si="620"/>
        <v>2.2927170868347337</v>
      </c>
      <c r="P155" s="15">
        <f t="shared" si="620"/>
        <v>1.5103869653767821</v>
      </c>
      <c r="Q155" s="15">
        <f t="shared" si="620"/>
        <v>0.82444351112977743</v>
      </c>
      <c r="R155" s="15">
        <f t="shared" si="620"/>
        <v>5.0064281122776944</v>
      </c>
      <c r="S155" s="15">
        <f t="shared" si="620"/>
        <v>0.2510058403634004</v>
      </c>
      <c r="T155" s="15">
        <f t="shared" si="620"/>
        <v>0.28431798436142486</v>
      </c>
      <c r="U155" s="15">
        <f t="shared" ref="U155" si="621">U12/U9</f>
        <v>0.3453585569731632</v>
      </c>
      <c r="V155" s="101">
        <f t="shared" si="526"/>
        <v>1.5017000663679836E-2</v>
      </c>
      <c r="W155" s="110"/>
      <c r="X155" s="10">
        <f t="shared" ref="X155:AG155" si="622">X12/X9</f>
        <v>0.3453585569731632</v>
      </c>
      <c r="Y155" s="10">
        <f t="shared" si="622"/>
        <v>0.34535855697316326</v>
      </c>
      <c r="Z155" s="10">
        <f t="shared" si="622"/>
        <v>0.34535855697316326</v>
      </c>
      <c r="AA155" s="10">
        <f t="shared" si="622"/>
        <v>0.34535855697316326</v>
      </c>
      <c r="AB155" s="10">
        <f t="shared" si="622"/>
        <v>0.34535855697316326</v>
      </c>
      <c r="AC155" s="10">
        <f t="shared" si="622"/>
        <v>0.3453585569731632</v>
      </c>
      <c r="AD155" s="10">
        <f t="shared" si="622"/>
        <v>0.3453585569731632</v>
      </c>
      <c r="AE155" s="10">
        <f t="shared" si="622"/>
        <v>0.3453585569731632</v>
      </c>
      <c r="AF155" s="10">
        <f t="shared" si="622"/>
        <v>0.3453585569731632</v>
      </c>
      <c r="AG155" s="10">
        <f t="shared" si="622"/>
        <v>0.34535855697316326</v>
      </c>
      <c r="AH155" s="101">
        <f t="shared" ref="AH155" si="623">((AG155/X155)^(1/($K$2-$K$1) ))-1</f>
        <v>0</v>
      </c>
      <c r="AI155" s="10"/>
      <c r="AJ155" s="10"/>
    </row>
    <row r="156" spans="2:36">
      <c r="B156" s="10" t="s">
        <v>302</v>
      </c>
      <c r="C156" s="10"/>
      <c r="D156" s="10"/>
      <c r="E156" s="10"/>
      <c r="F156" s="15"/>
      <c r="G156" s="15">
        <f t="shared" ref="G156" si="624">G25/360</f>
        <v>0.41944444444444445</v>
      </c>
      <c r="H156" s="15">
        <f t="shared" ref="H156:I156" si="625">H25/360</f>
        <v>0</v>
      </c>
      <c r="I156" s="15">
        <f t="shared" si="625"/>
        <v>0.41944444444444445</v>
      </c>
      <c r="J156" s="15">
        <f t="shared" ref="J156:T156" si="626">J25/360</f>
        <v>1.0277777777777777</v>
      </c>
      <c r="K156" s="15">
        <f t="shared" si="626"/>
        <v>3.0138888888888888</v>
      </c>
      <c r="L156" s="15">
        <f t="shared" si="626"/>
        <v>2.4944444444444445</v>
      </c>
      <c r="M156" s="15">
        <f t="shared" si="626"/>
        <v>2.6555555555555554</v>
      </c>
      <c r="N156" s="15">
        <f t="shared" si="626"/>
        <v>0</v>
      </c>
      <c r="O156" s="15">
        <f t="shared" si="626"/>
        <v>4.6388888888888893</v>
      </c>
      <c r="P156" s="15">
        <f t="shared" si="626"/>
        <v>6.0666666666666664</v>
      </c>
      <c r="Q156" s="15">
        <f t="shared" si="626"/>
        <v>7.0972222222222223</v>
      </c>
      <c r="R156" s="15">
        <f t="shared" si="626"/>
        <v>10.813888888888888</v>
      </c>
      <c r="S156" s="15">
        <f t="shared" si="626"/>
        <v>14.633333333333333</v>
      </c>
      <c r="T156" s="15">
        <f t="shared" si="626"/>
        <v>18.383333333333333</v>
      </c>
      <c r="U156" s="15">
        <f t="shared" ref="U156" si="627">U25/360</f>
        <v>23.93888888888889</v>
      </c>
      <c r="V156" s="101">
        <f t="shared" si="526"/>
        <v>0.30998958841250079</v>
      </c>
      <c r="W156" s="110"/>
      <c r="X156" s="15">
        <f t="shared" ref="X156:AG156" si="628">X25/360</f>
        <v>28.726666666666667</v>
      </c>
      <c r="Y156" s="15">
        <f t="shared" si="628"/>
        <v>34.472000000000001</v>
      </c>
      <c r="Z156" s="15">
        <f t="shared" si="628"/>
        <v>41.366399999999999</v>
      </c>
      <c r="AA156" s="15">
        <f t="shared" si="628"/>
        <v>49.639679999999991</v>
      </c>
      <c r="AB156" s="15">
        <f t="shared" si="628"/>
        <v>59.567615999999987</v>
      </c>
      <c r="AC156" s="15">
        <f t="shared" si="628"/>
        <v>71.481139199999987</v>
      </c>
      <c r="AD156" s="15">
        <f t="shared" si="628"/>
        <v>85.777367039999973</v>
      </c>
      <c r="AE156" s="15">
        <f t="shared" si="628"/>
        <v>102.93284044799996</v>
      </c>
      <c r="AF156" s="15">
        <f t="shared" si="628"/>
        <v>123.51940853759994</v>
      </c>
      <c r="AG156" s="15">
        <f t="shared" si="628"/>
        <v>148.22329024511993</v>
      </c>
      <c r="AH156" s="101">
        <f t="shared" ref="AH156:AH167" si="629">((AG156/X156)^(1/($K$2-$K$1) ))-1</f>
        <v>0.12435182614952867</v>
      </c>
      <c r="AI156" s="10"/>
      <c r="AJ156" s="10"/>
    </row>
    <row r="157" spans="2:36">
      <c r="B157" s="10" t="s">
        <v>301</v>
      </c>
      <c r="C157" s="10"/>
      <c r="D157" s="10"/>
      <c r="E157" s="10"/>
      <c r="F157" s="15"/>
      <c r="G157" s="15">
        <f t="shared" ref="G157" si="630">G27/360</f>
        <v>0.20277777777777778</v>
      </c>
      <c r="H157" s="15">
        <f t="shared" ref="H157:I157" si="631">H27/360</f>
        <v>0</v>
      </c>
      <c r="I157" s="15">
        <f t="shared" si="631"/>
        <v>0.20277777777777778</v>
      </c>
      <c r="J157" s="15">
        <f t="shared" ref="J157:T157" si="632">J27/360</f>
        <v>0.48333333333333334</v>
      </c>
      <c r="K157" s="15">
        <f t="shared" si="632"/>
        <v>1.1916666666666667</v>
      </c>
      <c r="L157" s="15">
        <f t="shared" si="632"/>
        <v>1.1555555555555554</v>
      </c>
      <c r="M157" s="15">
        <f t="shared" si="632"/>
        <v>1.1083333333333334</v>
      </c>
      <c r="N157" s="15">
        <f t="shared" si="632"/>
        <v>0</v>
      </c>
      <c r="O157" s="15">
        <f t="shared" si="632"/>
        <v>1.6666666666666667</v>
      </c>
      <c r="P157" s="15">
        <f t="shared" si="632"/>
        <v>2.1083333333333334</v>
      </c>
      <c r="Q157" s="15">
        <f t="shared" si="632"/>
        <v>2.6111111111111112</v>
      </c>
      <c r="R157" s="15">
        <f t="shared" si="632"/>
        <v>4.1111111111111107</v>
      </c>
      <c r="S157" s="15">
        <f t="shared" si="632"/>
        <v>5.5166666666666666</v>
      </c>
      <c r="T157" s="15">
        <f t="shared" si="632"/>
        <v>7.6638888888888888</v>
      </c>
      <c r="U157" s="15">
        <f t="shared" ref="U157" si="633">U27/360</f>
        <v>9.8865833333333342</v>
      </c>
      <c r="V157" s="101">
        <f t="shared" si="526"/>
        <v>0.29620439180229741</v>
      </c>
      <c r="W157" s="110"/>
      <c r="X157" s="15">
        <f t="shared" ref="X157:AG157" si="634">X27/360</f>
        <v>11.863899999999999</v>
      </c>
      <c r="Y157" s="15">
        <f t="shared" si="634"/>
        <v>14.236679999999998</v>
      </c>
      <c r="Z157" s="15">
        <f t="shared" si="634"/>
        <v>17.084015999999998</v>
      </c>
      <c r="AA157" s="15">
        <f t="shared" si="634"/>
        <v>20.500819199999995</v>
      </c>
      <c r="AB157" s="15">
        <f t="shared" si="634"/>
        <v>24.600983039999992</v>
      </c>
      <c r="AC157" s="15">
        <f t="shared" si="634"/>
        <v>29.521179647999993</v>
      </c>
      <c r="AD157" s="15">
        <f t="shared" si="634"/>
        <v>35.425415577599992</v>
      </c>
      <c r="AE157" s="15">
        <f t="shared" si="634"/>
        <v>42.510498693119985</v>
      </c>
      <c r="AF157" s="15">
        <f t="shared" si="634"/>
        <v>51.012598431743989</v>
      </c>
      <c r="AG157" s="15">
        <f t="shared" si="634"/>
        <v>61.215118118092775</v>
      </c>
      <c r="AH157" s="101">
        <f t="shared" si="629"/>
        <v>0.12435182614952867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10"/>
      <c r="W158" s="1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10"/>
      <c r="AI158" s="10"/>
      <c r="AJ158" s="10"/>
    </row>
    <row r="159" spans="2:36">
      <c r="B159" s="10" t="s">
        <v>311</v>
      </c>
      <c r="C159" s="10"/>
      <c r="D159" s="10"/>
      <c r="E159" s="10"/>
      <c r="F159" s="15"/>
      <c r="G159" s="15">
        <f t="shared" ref="G159" si="635">G10/G7</f>
        <v>0.28651685393258425</v>
      </c>
      <c r="H159" s="15" t="e">
        <f t="shared" ref="H159:I159" si="636">H10/H7</f>
        <v>#DIV/0!</v>
      </c>
      <c r="I159" s="15">
        <f t="shared" si="636"/>
        <v>0.28651685393258425</v>
      </c>
      <c r="J159" s="15">
        <f t="shared" ref="J159:T159" si="637">J10/J7</f>
        <v>0.66494845360824739</v>
      </c>
      <c r="K159" s="15">
        <f t="shared" si="637"/>
        <v>0.8494856524093124</v>
      </c>
      <c r="L159" s="15">
        <f t="shared" si="637"/>
        <v>0.36028368794326243</v>
      </c>
      <c r="M159" s="15">
        <f t="shared" si="637"/>
        <v>1.2020381036774479</v>
      </c>
      <c r="N159" s="15" t="e">
        <f t="shared" si="637"/>
        <v>#DIV/0!</v>
      </c>
      <c r="O159" s="15">
        <f t="shared" si="637"/>
        <v>3.8410470409711683</v>
      </c>
      <c r="P159" s="15">
        <f t="shared" si="637"/>
        <v>3.9670409272002898</v>
      </c>
      <c r="Q159" s="15">
        <f t="shared" si="637"/>
        <v>4.4983510443385857</v>
      </c>
      <c r="R159" s="15">
        <f t="shared" si="637"/>
        <v>6.8607594936708862</v>
      </c>
      <c r="S159" s="15">
        <f t="shared" si="637"/>
        <v>6.5225911812738158</v>
      </c>
      <c r="T159" s="15">
        <f t="shared" si="637"/>
        <v>6.6588126588126588</v>
      </c>
      <c r="U159" s="15">
        <f t="shared" ref="U159" si="638">U10/U7</f>
        <v>6.3284879364603626</v>
      </c>
      <c r="V159" s="101">
        <f t="shared" si="526"/>
        <v>0.25195593835936481</v>
      </c>
      <c r="W159" s="110"/>
      <c r="X159" s="15">
        <f t="shared" ref="X159:AG159" si="639">X10/X7</f>
        <v>6.3284879364603634</v>
      </c>
      <c r="Y159" s="15">
        <f t="shared" si="639"/>
        <v>6.3284879364603634</v>
      </c>
      <c r="Z159" s="15">
        <f t="shared" si="639"/>
        <v>6.3284879364603626</v>
      </c>
      <c r="AA159" s="15">
        <f t="shared" si="639"/>
        <v>6.3284879364603626</v>
      </c>
      <c r="AB159" s="15">
        <f t="shared" si="639"/>
        <v>6.3284879364603634</v>
      </c>
      <c r="AC159" s="15">
        <f t="shared" si="639"/>
        <v>6.3284879364603634</v>
      </c>
      <c r="AD159" s="15">
        <f t="shared" si="639"/>
        <v>6.3284879364603634</v>
      </c>
      <c r="AE159" s="15">
        <f t="shared" si="639"/>
        <v>6.3284879364603634</v>
      </c>
      <c r="AF159" s="15">
        <f t="shared" si="639"/>
        <v>6.3284879364603643</v>
      </c>
      <c r="AG159" s="15">
        <f t="shared" si="639"/>
        <v>6.3284879364603634</v>
      </c>
      <c r="AH159" s="101">
        <f t="shared" si="629"/>
        <v>0</v>
      </c>
      <c r="AI159" s="10"/>
      <c r="AJ159" s="10"/>
    </row>
    <row r="160" spans="2:36">
      <c r="B160" s="10" t="s">
        <v>303</v>
      </c>
      <c r="C160" s="10"/>
      <c r="D160" s="10"/>
      <c r="E160" s="10"/>
      <c r="F160" s="15"/>
      <c r="G160" s="15">
        <f t="shared" ref="G160" si="640">G10/(G10+G7)</f>
        <v>0.22270742358078602</v>
      </c>
      <c r="H160" s="15" t="e">
        <f t="shared" ref="H160:I160" si="641">H10/(H10+H7)</f>
        <v>#DIV/0!</v>
      </c>
      <c r="I160" s="15">
        <f t="shared" si="641"/>
        <v>0.22270742358078602</v>
      </c>
      <c r="J160" s="15">
        <f t="shared" ref="J160:T160" si="642">J10/(J10+J7)</f>
        <v>0.39938080495356038</v>
      </c>
      <c r="K160" s="15">
        <f t="shared" si="642"/>
        <v>0.45930913348946134</v>
      </c>
      <c r="L160" s="15">
        <f t="shared" si="642"/>
        <v>0.26485922836287801</v>
      </c>
      <c r="M160" s="15">
        <f t="shared" si="642"/>
        <v>0.54587525150905436</v>
      </c>
      <c r="N160" s="15" t="e">
        <f t="shared" si="642"/>
        <v>#DIV/0!</v>
      </c>
      <c r="O160" s="15">
        <f t="shared" si="642"/>
        <v>0.79343311652691795</v>
      </c>
      <c r="P160" s="15">
        <f t="shared" si="642"/>
        <v>0.79867288901852118</v>
      </c>
      <c r="Q160" s="15">
        <f t="shared" si="642"/>
        <v>0.81812729090303227</v>
      </c>
      <c r="R160" s="15">
        <f t="shared" si="642"/>
        <v>0.87278582930756843</v>
      </c>
      <c r="S160" s="15">
        <f t="shared" si="642"/>
        <v>0.86706708155438161</v>
      </c>
      <c r="T160" s="15">
        <f t="shared" si="642"/>
        <v>0.86943145830191526</v>
      </c>
      <c r="U160" s="15">
        <f t="shared" ref="U160" si="643">U10/(U10+U7)</f>
        <v>0.86354620370938384</v>
      </c>
      <c r="V160" s="101">
        <f t="shared" si="526"/>
        <v>0.10217370805154102</v>
      </c>
      <c r="W160" s="110"/>
      <c r="X160" s="15">
        <f t="shared" ref="X160:AG160" si="644">X10/(X10+X7)</f>
        <v>0.86354620370938395</v>
      </c>
      <c r="Y160" s="15">
        <f t="shared" si="644"/>
        <v>0.86354620370938395</v>
      </c>
      <c r="Z160" s="15">
        <f t="shared" si="644"/>
        <v>0.86354620370938384</v>
      </c>
      <c r="AA160" s="15">
        <f t="shared" si="644"/>
        <v>0.86354620370938395</v>
      </c>
      <c r="AB160" s="15">
        <f t="shared" si="644"/>
        <v>0.86354620370938384</v>
      </c>
      <c r="AC160" s="15">
        <f t="shared" si="644"/>
        <v>0.86354620370938384</v>
      </c>
      <c r="AD160" s="15">
        <f t="shared" si="644"/>
        <v>0.86354620370938395</v>
      </c>
      <c r="AE160" s="15">
        <f t="shared" si="644"/>
        <v>0.86354620370938384</v>
      </c>
      <c r="AF160" s="15">
        <f t="shared" si="644"/>
        <v>0.86354620370938395</v>
      </c>
      <c r="AG160" s="15">
        <f t="shared" si="644"/>
        <v>0.86354620370938395</v>
      </c>
      <c r="AH160" s="101">
        <f t="shared" si="629"/>
        <v>0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10"/>
      <c r="W161" s="1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5"/>
      <c r="AI161" s="10"/>
      <c r="AJ161" s="10"/>
    </row>
    <row r="162" spans="2:36">
      <c r="B162" s="10" t="s">
        <v>308</v>
      </c>
      <c r="C162" s="10"/>
      <c r="D162" s="10"/>
      <c r="E162" s="10"/>
      <c r="F162" s="15"/>
      <c r="G162" s="15">
        <f t="shared" ref="G162" si="645">G16</f>
        <v>190</v>
      </c>
      <c r="H162" s="15">
        <f t="shared" ref="H162:I162" si="646">H16</f>
        <v>0</v>
      </c>
      <c r="I162" s="15">
        <f t="shared" si="646"/>
        <v>190</v>
      </c>
      <c r="J162" s="15">
        <f t="shared" ref="J162:T162" si="647">J16</f>
        <v>1010</v>
      </c>
      <c r="K162" s="15">
        <f t="shared" si="647"/>
        <v>3093</v>
      </c>
      <c r="L162" s="15">
        <f t="shared" si="647"/>
        <v>2953</v>
      </c>
      <c r="M162" s="15">
        <f t="shared" si="647"/>
        <v>4969</v>
      </c>
      <c r="N162" s="15">
        <f t="shared" si="647"/>
        <v>0</v>
      </c>
      <c r="O162" s="15">
        <f t="shared" si="647"/>
        <v>10936</v>
      </c>
      <c r="P162" s="15">
        <f t="shared" si="647"/>
        <v>12098</v>
      </c>
      <c r="Q162" s="15">
        <f t="shared" si="647"/>
        <v>12710</v>
      </c>
      <c r="R162" s="15">
        <f t="shared" si="647"/>
        <v>21754</v>
      </c>
      <c r="S162" s="15">
        <f t="shared" si="647"/>
        <v>24945</v>
      </c>
      <c r="T162" s="15">
        <f t="shared" si="647"/>
        <v>26499</v>
      </c>
      <c r="U162" s="15">
        <f t="shared" ref="U162" si="648">U16</f>
        <v>40164</v>
      </c>
      <c r="V162" s="101">
        <f t="shared" si="526"/>
        <v>0.42290809096573168</v>
      </c>
      <c r="W162" s="110"/>
      <c r="X162" s="15">
        <f t="shared" ref="X162:AG162" si="649">X16</f>
        <v>48196.799999999996</v>
      </c>
      <c r="Y162" s="15">
        <f t="shared" si="649"/>
        <v>57836.159999999996</v>
      </c>
      <c r="Z162" s="15">
        <f t="shared" si="649"/>
        <v>69403.391999999993</v>
      </c>
      <c r="AA162" s="15">
        <f t="shared" si="649"/>
        <v>83284.070399999982</v>
      </c>
      <c r="AB162" s="15">
        <f t="shared" si="649"/>
        <v>99940.884479999979</v>
      </c>
      <c r="AC162" s="15">
        <f t="shared" si="649"/>
        <v>119929.06137599997</v>
      </c>
      <c r="AD162" s="15">
        <f t="shared" si="649"/>
        <v>143914.87365119995</v>
      </c>
      <c r="AE162" s="15">
        <f t="shared" si="649"/>
        <v>172697.84838143992</v>
      </c>
      <c r="AF162" s="15">
        <f t="shared" si="649"/>
        <v>207237.41805772789</v>
      </c>
      <c r="AG162" s="15">
        <f t="shared" si="649"/>
        <v>248684.90166927344</v>
      </c>
      <c r="AH162" s="101">
        <f t="shared" si="629"/>
        <v>0.12435182614952867</v>
      </c>
      <c r="AI162" s="10"/>
      <c r="AJ162" s="10"/>
    </row>
    <row r="163" spans="2:36">
      <c r="B163" s="10" t="s">
        <v>309</v>
      </c>
      <c r="C163" s="10"/>
      <c r="D163" s="10"/>
      <c r="E163" s="10"/>
      <c r="F163" s="102"/>
      <c r="G163" s="102">
        <f t="shared" ref="G163" si="650">G162*365/G25</f>
        <v>459.27152317880797</v>
      </c>
      <c r="H163" s="102" t="e">
        <f t="shared" ref="H163:I163" si="651">H162*365/H25</f>
        <v>#DIV/0!</v>
      </c>
      <c r="I163" s="102">
        <f t="shared" si="651"/>
        <v>459.27152317880797</v>
      </c>
      <c r="J163" s="102">
        <f t="shared" ref="J163:T163" si="652">J162*365/J25</f>
        <v>996.35135135135135</v>
      </c>
      <c r="K163" s="102">
        <f t="shared" si="652"/>
        <v>1040.5023041474653</v>
      </c>
      <c r="L163" s="102">
        <f t="shared" si="652"/>
        <v>1200.2728285077951</v>
      </c>
      <c r="M163" s="102">
        <f t="shared" si="652"/>
        <v>1897.1600418410042</v>
      </c>
      <c r="N163" s="102" t="e">
        <f t="shared" si="652"/>
        <v>#DIV/0!</v>
      </c>
      <c r="O163" s="102">
        <f t="shared" si="652"/>
        <v>2390.2035928143714</v>
      </c>
      <c r="P163" s="102">
        <f t="shared" si="652"/>
        <v>2021.8727106227107</v>
      </c>
      <c r="Q163" s="102">
        <f t="shared" si="652"/>
        <v>1815.7142857142858</v>
      </c>
      <c r="R163" s="102">
        <f t="shared" si="652"/>
        <v>2039.6121243257128</v>
      </c>
      <c r="S163" s="102">
        <f t="shared" si="652"/>
        <v>1728.3456719817768</v>
      </c>
      <c r="T163" s="102">
        <f t="shared" si="652"/>
        <v>1461.4891205802357</v>
      </c>
      <c r="U163" s="102">
        <f t="shared" ref="U163" si="653">U162*365/U25</f>
        <v>1701.0744952425157</v>
      </c>
      <c r="V163" s="101">
        <f t="shared" si="526"/>
        <v>8.6198015275884776E-2</v>
      </c>
      <c r="W163" s="110"/>
      <c r="X163" s="102">
        <f t="shared" ref="X163:AG163" si="654">X162*365/X25</f>
        <v>1701.0744952425157</v>
      </c>
      <c r="Y163" s="102">
        <f t="shared" si="654"/>
        <v>1701.0744952425155</v>
      </c>
      <c r="Z163" s="102">
        <f t="shared" si="654"/>
        <v>1701.0744952425157</v>
      </c>
      <c r="AA163" s="102">
        <f t="shared" si="654"/>
        <v>1701.0744952425157</v>
      </c>
      <c r="AB163" s="102">
        <f t="shared" si="654"/>
        <v>1701.0744952425155</v>
      </c>
      <c r="AC163" s="102">
        <f t="shared" si="654"/>
        <v>1701.0744952425155</v>
      </c>
      <c r="AD163" s="102">
        <f t="shared" si="654"/>
        <v>1701.0744952425155</v>
      </c>
      <c r="AE163" s="102">
        <f t="shared" si="654"/>
        <v>1701.0744952425155</v>
      </c>
      <c r="AF163" s="102">
        <f t="shared" si="654"/>
        <v>1701.0744952425155</v>
      </c>
      <c r="AG163" s="102">
        <f t="shared" si="654"/>
        <v>1701.0744952425155</v>
      </c>
      <c r="AH163" s="101">
        <f t="shared" si="629"/>
        <v>0</v>
      </c>
      <c r="AI163" s="10"/>
      <c r="AJ163" s="10"/>
    </row>
    <row r="164" spans="2:36">
      <c r="B164" s="10" t="s">
        <v>312</v>
      </c>
      <c r="C164" s="10"/>
      <c r="D164" s="10"/>
      <c r="E164" s="10"/>
      <c r="F164" s="112"/>
      <c r="G164" s="112">
        <f t="shared" ref="G164" si="655">G98/G29</f>
        <v>4.1798941798941804</v>
      </c>
      <c r="H164" s="112" t="e">
        <f t="shared" ref="H164:I164" si="656">H98/H29</f>
        <v>#DIV/0!</v>
      </c>
      <c r="I164" s="112">
        <f t="shared" si="656"/>
        <v>4.1798941798941804</v>
      </c>
      <c r="J164" s="112">
        <f t="shared" ref="J164:T164" si="657">J98/J29</f>
        <v>2.4003959415986142</v>
      </c>
      <c r="K164" s="112">
        <f t="shared" si="657"/>
        <v>0.43308158805438762</v>
      </c>
      <c r="L164" s="112">
        <f t="shared" si="657"/>
        <v>0.47470701676309152</v>
      </c>
      <c r="M164" s="112">
        <f t="shared" si="657"/>
        <v>0.39175257731958762</v>
      </c>
      <c r="N164" s="112" t="e">
        <f t="shared" si="657"/>
        <v>#DIV/0!</v>
      </c>
      <c r="O164" s="112">
        <f t="shared" si="657"/>
        <v>1.692958266028146E-2</v>
      </c>
      <c r="P164" s="112">
        <f t="shared" si="657"/>
        <v>1.6668442908642115E-2</v>
      </c>
      <c r="Q164" s="112">
        <f t="shared" si="657"/>
        <v>1.8318551042559528E-2</v>
      </c>
      <c r="R164" s="112">
        <f t="shared" si="657"/>
        <v>1.6549362111425426E-2</v>
      </c>
      <c r="S164" s="112">
        <f t="shared" si="657"/>
        <v>1.5318753868372188E-2</v>
      </c>
      <c r="T164" s="112">
        <f t="shared" si="657"/>
        <v>1.6386625144190117E-2</v>
      </c>
      <c r="U164" s="112">
        <f t="shared" ref="U164" si="658">U98/U29</f>
        <v>1.5542742604072143E-2</v>
      </c>
      <c r="V164" s="101">
        <f t="shared" si="526"/>
        <v>-0.32687675552091822</v>
      </c>
      <c r="W164" s="110"/>
      <c r="X164" s="112">
        <f t="shared" ref="X164:AG164" si="659">X98/X29</f>
        <v>1.4944944811607828E-2</v>
      </c>
      <c r="Y164" s="112">
        <f t="shared" si="659"/>
        <v>1.4370139241930603E-2</v>
      </c>
      <c r="Z164" s="112">
        <f t="shared" si="659"/>
        <v>1.3817441578779422E-2</v>
      </c>
      <c r="AA164" s="112">
        <f t="shared" si="659"/>
        <v>1.3286001518057136E-2</v>
      </c>
      <c r="AB164" s="112">
        <f t="shared" si="659"/>
        <v>1.2775001459670327E-2</v>
      </c>
      <c r="AC164" s="112">
        <f t="shared" si="659"/>
        <v>1.2283655249683004E-2</v>
      </c>
      <c r="AD164" s="112">
        <f t="shared" si="659"/>
        <v>1.1811206970849043E-2</v>
      </c>
      <c r="AE164" s="112">
        <f t="shared" si="659"/>
        <v>1.1356929779662541E-2</v>
      </c>
      <c r="AF164" s="112">
        <f t="shared" si="659"/>
        <v>1.0920124788137057E-2</v>
      </c>
      <c r="AG164" s="112">
        <f t="shared" si="659"/>
        <v>1.0500119988593324E-2</v>
      </c>
      <c r="AH164" s="101">
        <f t="shared" si="629"/>
        <v>-2.4898114600860444E-2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0"/>
      <c r="W165" s="1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5"/>
      <c r="AI165" s="10"/>
      <c r="AJ165" s="10"/>
    </row>
    <row r="166" spans="2:36">
      <c r="B166" s="10" t="s">
        <v>319</v>
      </c>
      <c r="C166" s="10"/>
      <c r="D166" s="10"/>
      <c r="E166" s="10"/>
      <c r="F166" s="157"/>
      <c r="G166" s="157">
        <f t="shared" ref="G166" si="660">G25/G14</f>
        <v>1.0785714285714285</v>
      </c>
      <c r="H166" s="157" t="e">
        <f t="shared" ref="H166:I166" si="661">H25/H14</f>
        <v>#DIV/0!</v>
      </c>
      <c r="I166" s="157">
        <f t="shared" si="661"/>
        <v>1.0785714285714285</v>
      </c>
      <c r="J166" s="157">
        <f t="shared" ref="J166:T166" si="662">J25/J14</f>
        <v>0.64347826086956517</v>
      </c>
      <c r="K166" s="157">
        <f t="shared" si="662"/>
        <v>1.1220268872802481</v>
      </c>
      <c r="L166" s="157">
        <f t="shared" si="662"/>
        <v>1.9353448275862069</v>
      </c>
      <c r="M166" s="157">
        <f t="shared" si="662"/>
        <v>0.83130434782608698</v>
      </c>
      <c r="N166" s="157" t="e">
        <f t="shared" si="662"/>
        <v>#DIV/0!</v>
      </c>
      <c r="O166" s="157">
        <f t="shared" si="662"/>
        <v>0.49364469405852796</v>
      </c>
      <c r="P166" s="157">
        <f t="shared" si="662"/>
        <v>0.69289340101522845</v>
      </c>
      <c r="Q166" s="157">
        <f t="shared" si="662"/>
        <v>0.67414248021108181</v>
      </c>
      <c r="R166" s="157">
        <f t="shared" si="662"/>
        <v>0.44706017455213598</v>
      </c>
      <c r="S166" s="157">
        <f t="shared" si="662"/>
        <v>0.45764920510815743</v>
      </c>
      <c r="T166" s="157">
        <f t="shared" si="662"/>
        <v>0.62129177619226439</v>
      </c>
      <c r="U166" s="157">
        <f t="shared" ref="U166" si="663">U25/U14</f>
        <v>0.53227101476128713</v>
      </c>
      <c r="V166" s="101">
        <f t="shared" si="526"/>
        <v>-3.8633356110825301E-2</v>
      </c>
      <c r="W166" s="110"/>
      <c r="X166" s="10">
        <f t="shared" ref="X166:AG166" si="664">X25/X14</f>
        <v>0.53227101476128713</v>
      </c>
      <c r="Y166" s="10">
        <f t="shared" si="664"/>
        <v>0.53227101476128713</v>
      </c>
      <c r="Z166" s="10">
        <f t="shared" si="664"/>
        <v>0.53227101476128713</v>
      </c>
      <c r="AA166" s="10">
        <f t="shared" si="664"/>
        <v>0.53227101476128713</v>
      </c>
      <c r="AB166" s="10">
        <f t="shared" si="664"/>
        <v>0.53227101476128702</v>
      </c>
      <c r="AC166" s="10">
        <f t="shared" si="664"/>
        <v>0.53227101476128702</v>
      </c>
      <c r="AD166" s="10">
        <f t="shared" si="664"/>
        <v>0.53227101476128702</v>
      </c>
      <c r="AE166" s="10">
        <f t="shared" si="664"/>
        <v>0.53227101476128702</v>
      </c>
      <c r="AF166" s="10">
        <f t="shared" si="664"/>
        <v>0.53227101476128702</v>
      </c>
      <c r="AG166" s="10">
        <f t="shared" si="664"/>
        <v>0.53227101476128691</v>
      </c>
      <c r="AH166" s="101">
        <f t="shared" si="629"/>
        <v>0</v>
      </c>
      <c r="AI166" s="10"/>
      <c r="AJ166" s="10"/>
    </row>
    <row r="167" spans="2:36">
      <c r="B167" s="10" t="s">
        <v>320</v>
      </c>
      <c r="C167" s="10"/>
      <c r="D167" s="10"/>
      <c r="E167" s="10"/>
      <c r="F167" s="157"/>
      <c r="G167" s="157">
        <f t="shared" ref="G167" si="665">G27/G14</f>
        <v>0.52142857142857146</v>
      </c>
      <c r="H167" s="157" t="e">
        <f t="shared" ref="H167:I167" si="666">H27/H14</f>
        <v>#DIV/0!</v>
      </c>
      <c r="I167" s="157">
        <f t="shared" si="666"/>
        <v>0.52142857142857146</v>
      </c>
      <c r="J167" s="157">
        <f t="shared" ref="J167:T167" si="667">J27/J14</f>
        <v>0.30260869565217391</v>
      </c>
      <c r="K167" s="157">
        <f t="shared" si="667"/>
        <v>0.44364012409513959</v>
      </c>
      <c r="L167" s="157">
        <f t="shared" si="667"/>
        <v>0.89655172413793105</v>
      </c>
      <c r="M167" s="157">
        <f t="shared" si="667"/>
        <v>0.34695652173913044</v>
      </c>
      <c r="N167" s="157" t="e">
        <f t="shared" si="667"/>
        <v>#DIV/0!</v>
      </c>
      <c r="O167" s="157">
        <f t="shared" si="667"/>
        <v>0.17735737511084837</v>
      </c>
      <c r="P167" s="157">
        <f t="shared" si="667"/>
        <v>0.2407994923857868</v>
      </c>
      <c r="Q167" s="157">
        <f t="shared" si="667"/>
        <v>0.24802110817941952</v>
      </c>
      <c r="R167" s="157">
        <f t="shared" si="667"/>
        <v>0.16995865870463941</v>
      </c>
      <c r="S167" s="157">
        <f t="shared" si="667"/>
        <v>0.17253062288246027</v>
      </c>
      <c r="T167" s="157">
        <f t="shared" si="667"/>
        <v>0.25901239203905368</v>
      </c>
      <c r="U167" s="157">
        <f t="shared" ref="U167" si="668">U27/U14</f>
        <v>0.21982397628312025</v>
      </c>
      <c r="V167" s="101">
        <f t="shared" si="526"/>
        <v>-4.8749946591947868E-2</v>
      </c>
      <c r="W167" s="110"/>
      <c r="X167" s="10">
        <f t="shared" ref="X167:AG167" si="669">X27/X14</f>
        <v>0.21982397628312023</v>
      </c>
      <c r="Y167" s="10">
        <f t="shared" si="669"/>
        <v>0.21982397628312023</v>
      </c>
      <c r="Z167" s="10">
        <f t="shared" si="669"/>
        <v>0.21982397628312023</v>
      </c>
      <c r="AA167" s="10">
        <f t="shared" si="669"/>
        <v>0.21982397628312023</v>
      </c>
      <c r="AB167" s="10">
        <f t="shared" si="669"/>
        <v>0.2198239762831202</v>
      </c>
      <c r="AC167" s="10">
        <f t="shared" si="669"/>
        <v>0.2198239762831202</v>
      </c>
      <c r="AD167" s="10">
        <f t="shared" si="669"/>
        <v>0.21982397628312023</v>
      </c>
      <c r="AE167" s="10">
        <f t="shared" si="669"/>
        <v>0.2198239762831202</v>
      </c>
      <c r="AF167" s="10">
        <f t="shared" si="669"/>
        <v>0.21982397628312023</v>
      </c>
      <c r="AG167" s="10">
        <f t="shared" si="669"/>
        <v>0.2198239762831202</v>
      </c>
      <c r="AH167" s="101">
        <f t="shared" si="629"/>
        <v>0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0"/>
      <c r="W168" s="110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5"/>
      <c r="AI168" s="10"/>
      <c r="AJ168" s="10"/>
    </row>
    <row r="169" spans="2:36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 t="s">
        <v>515</v>
      </c>
      <c r="U169" s="13" t="s">
        <v>413</v>
      </c>
      <c r="V169" s="13"/>
      <c r="W169" s="13" t="s">
        <v>510</v>
      </c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5"/>
      <c r="AI169" s="10"/>
      <c r="AJ169" s="10"/>
    </row>
    <row r="170" spans="2:36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5"/>
      <c r="T170" s="112">
        <f>AVERAGE(L102:U102)</f>
        <v>3.6300300300300301</v>
      </c>
      <c r="U170" s="112">
        <f>AVERAGE(Q102:U102)</f>
        <v>5.4438438438438439</v>
      </c>
      <c r="V170" s="137" t="e">
        <f>AVERAGE(G72:T72)</f>
        <v>#DIV/0!</v>
      </c>
      <c r="W170" s="137">
        <f>AVERAGE(G102:T102)</f>
        <v>2.2737022737022738</v>
      </c>
      <c r="X170" s="171" t="s">
        <v>374</v>
      </c>
      <c r="Y170" s="172" t="s">
        <v>375</v>
      </c>
      <c r="Z170" s="10"/>
      <c r="AA170" s="10"/>
      <c r="AB170" s="10"/>
      <c r="AC170" s="10"/>
      <c r="AD170" s="10"/>
      <c r="AE170" s="10"/>
      <c r="AF170" s="10"/>
      <c r="AG170" s="10"/>
      <c r="AH170" s="115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12">
        <v>3.79</v>
      </c>
      <c r="U171" s="10"/>
      <c r="V171" s="10"/>
      <c r="W171" s="118">
        <f>X171+Y171</f>
        <v>98.589206709358407</v>
      </c>
      <c r="X171" s="112">
        <f>PV($C$1, ($AG$3-$X$3), 0, -AG72)</f>
        <v>11.144866845405733</v>
      </c>
      <c r="Y171" s="112">
        <f>PV($C$1, ($AG$3-$X$3), 0, -AJ72)</f>
        <v>87.444339863952678</v>
      </c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8">
        <f t="shared" ref="W172:W190" si="670">X172+Y172</f>
        <v>766.76663912767901</v>
      </c>
      <c r="X172" s="112">
        <f>PV($C$1, ($AG$3-$X$3), 0, -AG74)</f>
        <v>86.677967901389806</v>
      </c>
      <c r="Y172" s="112">
        <f>PV($C$1, ($AG$3-$X$3), 0, -AJ74)</f>
        <v>680.08867122628919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>
        <f t="shared" si="670"/>
        <v>755.96549060707355</v>
      </c>
      <c r="X173" s="112">
        <f>PV($C$1, ($AG$3-$X$3), 0, -AG75)</f>
        <v>85.456968503408305</v>
      </c>
      <c r="Y173" s="112">
        <f>PV($C$1, ($AG$3-$X$3), 0, -AJ75)</f>
        <v>670.5085221036652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>
        <f t="shared" si="670"/>
        <v>4852.4734257997734</v>
      </c>
      <c r="X174" s="112">
        <f>PV($C$1, ($AG$3-$X$3), 0, -AG76)</f>
        <v>548.54047422084398</v>
      </c>
      <c r="Y174" s="112">
        <f>PV($C$1, ($AG$3-$X$3), 0, -AJ76)</f>
        <v>4303.9329515789295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>
        <f t="shared" si="670"/>
        <v>451.00540365295092</v>
      </c>
      <c r="X175" s="112">
        <f>PV($C$1, ($AG$3-$X$3), 0, -AG82)</f>
        <v>50.983219543377054</v>
      </c>
      <c r="Y175" s="112">
        <f>PV($C$1, ($AG$3-$X$3), 0, -AJ82)</f>
        <v>400.02218410957386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/>
      <c r="X176" s="112"/>
      <c r="Y176" s="10"/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>
        <f t="shared" si="670"/>
        <v>-4085.7067866720945</v>
      </c>
      <c r="X177" s="112">
        <f>PV($C$1, ($AG$3-$X$3), 0, -AG78)</f>
        <v>-461.86250631945416</v>
      </c>
      <c r="Y177" s="112">
        <f>PV($C$1, ($AG$3-$X$3), 0, -$AJ$78)</f>
        <v>-3623.8442803526405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>
        <f t="shared" si="670"/>
        <v>-5391.6116051474555</v>
      </c>
      <c r="X178" s="112">
        <f>PV($C$1, ($AG$3-$X$3), 0, -AG79)</f>
        <v>-609.48652927753835</v>
      </c>
      <c r="Y178" s="112">
        <f>PV($C$1, ($AG$3-$X$3), 0, -$AJ$79)</f>
        <v>-4782.1250758699171</v>
      </c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>
        <f t="shared" si="670"/>
        <v>-2778.3081923375021</v>
      </c>
      <c r="X179" s="112">
        <f>PV($C$1, ($AG$3-$X$3), 0, -AG80)</f>
        <v>-314.0696217425002</v>
      </c>
      <c r="Y179" s="112">
        <f>PV($C$1, ($AG$3-$X$3), 0, -$AJ$80)</f>
        <v>-2464.2385705950019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/>
      <c r="X180" s="112"/>
      <c r="Y180" s="10"/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>
        <f t="shared" si="670"/>
        <v>2613.3034128099525</v>
      </c>
      <c r="X181" s="112">
        <f>PV($C$1, ($AG$3-$X$3), 0, -AG85)</f>
        <v>295.41690753503809</v>
      </c>
      <c r="Y181" s="112">
        <f>PV($C$1, ($AG$3-$X$3), 0, -AJ85)</f>
        <v>2317.8865052749143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>
        <f t="shared" si="670"/>
        <v>3999.7342406814855</v>
      </c>
      <c r="X182" s="112">
        <f>PV($C$1, ($AG$3-$X$3), 0, -AG86)</f>
        <v>521.70446617584594</v>
      </c>
      <c r="Y182" s="112">
        <f>PV($C$1, ($AG$3-$X$3), 0, -AJ86)</f>
        <v>3478.0297745056396</v>
      </c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/>
      <c r="X183" s="112"/>
      <c r="Y183" s="112"/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ref="W184" si="671">X184+Y184</f>
        <v>61111.93659389727</v>
      </c>
      <c r="X184" s="112">
        <f>PV($C$1, ($AG$3-$X$3), 0, -AG12)</f>
        <v>6908.3058758318648</v>
      </c>
      <c r="Y184" s="112">
        <f>PV($C$1, ($AG$3-$X$3), 0, -AJ12)</f>
        <v>54203.630718065404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>
        <f>X185+Y185</f>
        <v>750.76089181691975</v>
      </c>
      <c r="X185" s="118">
        <f>X184/S57</f>
        <v>84.868622553217008</v>
      </c>
      <c r="Y185" s="118">
        <f>Y184/S57</f>
        <v>665.8922692637027</v>
      </c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/>
      <c r="X186" s="118"/>
      <c r="Y186" s="118"/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/>
      <c r="X187" s="112"/>
      <c r="Y187" s="112"/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>
        <f t="shared" ref="W188" si="672">X188+Y188</f>
        <v>13.168349622921715</v>
      </c>
      <c r="X188" s="112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9.4979636001250523</v>
      </c>
      <c r="Y188" s="112">
        <f>PV($C$1, ($AG$3-$X$3), 0, -AJ88)</f>
        <v>3.6703860227966629</v>
      </c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si="670"/>
        <v>0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0</v>
      </c>
      <c r="Y190" s="112">
        <f>PV($C$1, ($AG$3-$X$3), 0, -AJ90)</f>
        <v>0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>
        <f t="shared" ref="W192:W195" si="673">X192+Y192</f>
        <v>0</v>
      </c>
      <c r="X192" s="112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2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>
        <f t="shared" si="673"/>
        <v>0</v>
      </c>
      <c r="X193" s="112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0</v>
      </c>
      <c r="Y193" s="112">
        <f>PV($C$1, ($AG$3-$X$3), 0, -AJ93)</f>
        <v>0</v>
      </c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>
        <f t="shared" si="673"/>
        <v>0</v>
      </c>
      <c r="X194" s="112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2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>
        <f t="shared" si="673"/>
        <v>0</v>
      </c>
      <c r="X195" s="112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0</v>
      </c>
      <c r="Y195" s="112">
        <f>PV($C$1, ($AG$3-$X$3), 0, -AJ95)</f>
        <v>0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0</v>
      </c>
      <c r="X196" s="95">
        <f t="shared" ref="X196:Y196" si="674">X193+X194+X195</f>
        <v>0</v>
      </c>
      <c r="Y196" s="95">
        <f t="shared" si="674"/>
        <v>0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/>
      <c r="X197" s="112"/>
      <c r="Y197" s="112"/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8">
        <f>X198+Y198</f>
        <v>0</v>
      </c>
      <c r="X198" s="112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8" s="112">
        <f>PV($C$1, ($AG$3-$X$3), 0, -AJ96)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60">
        <v>41729</v>
      </c>
      <c r="U199" s="10">
        <v>238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>
      <c r="B200" s="93" t="s">
        <v>209</v>
      </c>
      <c r="C200" s="10"/>
      <c r="D200" s="10"/>
      <c r="E200" s="10"/>
      <c r="F200" s="178"/>
      <c r="G200" s="178"/>
      <c r="H200" s="173">
        <v>0</v>
      </c>
      <c r="I200" s="173">
        <v>0</v>
      </c>
      <c r="J200" s="173">
        <v>0</v>
      </c>
      <c r="K200" s="173">
        <v>0</v>
      </c>
      <c r="L200" s="173">
        <v>0</v>
      </c>
      <c r="M200" s="173">
        <v>0</v>
      </c>
      <c r="N200" s="173">
        <v>0</v>
      </c>
      <c r="O200" s="173">
        <v>0</v>
      </c>
      <c r="P200" s="173">
        <v>0</v>
      </c>
      <c r="Q200" s="173">
        <v>0</v>
      </c>
      <c r="R200" s="173">
        <v>0</v>
      </c>
      <c r="S200" s="173">
        <v>0</v>
      </c>
      <c r="T200" s="13" t="s">
        <v>335</v>
      </c>
      <c r="U200" s="10">
        <v>193</v>
      </c>
      <c r="V200" s="10">
        <v>125</v>
      </c>
      <c r="W200" s="13" t="s">
        <v>336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825</v>
      </c>
      <c r="H201" s="12">
        <v>0</v>
      </c>
      <c r="I201" s="12">
        <v>0</v>
      </c>
      <c r="J201" s="12">
        <v>1445</v>
      </c>
      <c r="K201" s="12">
        <v>827</v>
      </c>
      <c r="L201" s="12">
        <v>258</v>
      </c>
      <c r="M201" s="12">
        <v>437</v>
      </c>
      <c r="N201" s="12">
        <v>40</v>
      </c>
      <c r="O201" s="12">
        <v>27.45</v>
      </c>
      <c r="P201" s="12">
        <v>30.85</v>
      </c>
      <c r="Q201" s="12">
        <v>28.65</v>
      </c>
      <c r="R201" s="12">
        <v>63.82</v>
      </c>
      <c r="S201" s="12">
        <v>56</v>
      </c>
      <c r="T201" s="12">
        <v>157</v>
      </c>
      <c r="U201" s="12">
        <v>125</v>
      </c>
      <c r="V201" s="101" t="e">
        <f t="shared" ref="V201:V227" si="675">((T201/H201)^(1/($K$2-$K$1) ))-1</f>
        <v>#DIV/0!</v>
      </c>
      <c r="W201" s="21">
        <v>0.15</v>
      </c>
      <c r="X201" s="174">
        <v>125</v>
      </c>
      <c r="Y201" s="102">
        <f t="shared" ref="Y201:AG201" si="676">X201*(1+$W201)</f>
        <v>143.75</v>
      </c>
      <c r="Z201" s="102">
        <f t="shared" si="676"/>
        <v>165.3125</v>
      </c>
      <c r="AA201" s="102">
        <f t="shared" si="676"/>
        <v>190.10937499999997</v>
      </c>
      <c r="AB201" s="102">
        <f t="shared" si="676"/>
        <v>218.62578124999996</v>
      </c>
      <c r="AC201" s="102">
        <f t="shared" si="676"/>
        <v>251.41964843749994</v>
      </c>
      <c r="AD201" s="102">
        <f t="shared" si="676"/>
        <v>289.13259570312493</v>
      </c>
      <c r="AE201" s="102">
        <f t="shared" si="676"/>
        <v>332.50248505859366</v>
      </c>
      <c r="AF201" s="102">
        <f t="shared" si="676"/>
        <v>382.37785781738268</v>
      </c>
      <c r="AG201" s="102">
        <f t="shared" si="676"/>
        <v>439.73453648999003</v>
      </c>
      <c r="AH201" s="116">
        <f t="shared" ref="AH201:AH208" si="677">((AG201/J201)^(1/($AG$3-$K$1) ))-1</f>
        <v>-5.0410790741996059E-2</v>
      </c>
      <c r="AI201" s="21">
        <f t="shared" ref="AI201:AI208" si="678">$O$1</f>
        <v>0.02</v>
      </c>
      <c r="AJ201" s="109">
        <f t="shared" ref="AJ201:AJ212" si="679">(AG201*(1+AH201))/($C$1-AI201)</f>
        <v>3212.0551599151117</v>
      </c>
    </row>
    <row r="202" spans="2:36">
      <c r="B202" s="10" t="s">
        <v>306</v>
      </c>
      <c r="C202" s="15"/>
      <c r="D202" s="15"/>
      <c r="E202" s="15"/>
      <c r="F202" s="15"/>
      <c r="G202" s="15">
        <f t="shared" ref="G202" si="680">G201/G66</f>
        <v>20.652317880794701</v>
      </c>
      <c r="H202" s="15" t="e">
        <f t="shared" ref="H202:I202" si="681">H201/H66</f>
        <v>#DIV/0!</v>
      </c>
      <c r="I202" s="15">
        <f t="shared" si="681"/>
        <v>0</v>
      </c>
      <c r="J202" s="15">
        <f t="shared" ref="J202:T202" si="682">J201/J66</f>
        <v>17.535270270270271</v>
      </c>
      <c r="K202" s="15">
        <f t="shared" si="682"/>
        <v>5.7089677419354841</v>
      </c>
      <c r="L202" s="15">
        <f t="shared" si="682"/>
        <v>2.1519153674832965</v>
      </c>
      <c r="M202" s="15">
        <f t="shared" si="682"/>
        <v>3.4283472803347279</v>
      </c>
      <c r="N202" s="15" t="e">
        <f t="shared" si="682"/>
        <v>#DIV/0!</v>
      </c>
      <c r="O202" s="15">
        <f t="shared" si="682"/>
        <v>1.2437973053892217</v>
      </c>
      <c r="P202" s="15">
        <f t="shared" si="682"/>
        <v>1.0789024725274725</v>
      </c>
      <c r="Q202" s="15">
        <f t="shared" si="682"/>
        <v>0.81195557729941281</v>
      </c>
      <c r="R202" s="15">
        <f t="shared" si="682"/>
        <v>1.2978755201643977</v>
      </c>
      <c r="S202" s="15">
        <f t="shared" si="682"/>
        <v>0.8652999240698559</v>
      </c>
      <c r="T202" s="15">
        <f t="shared" si="682"/>
        <v>1.9749546690843156</v>
      </c>
      <c r="U202" s="15">
        <f t="shared" ref="U202" si="683">U201/U66</f>
        <v>1.3277442562079371</v>
      </c>
      <c r="V202" s="101" t="e">
        <f t="shared" si="675"/>
        <v>#DIV/0!</v>
      </c>
      <c r="W202" s="110"/>
      <c r="X202" s="15">
        <f t="shared" ref="X202:AG202" si="684">X201/X66</f>
        <v>1.1507116887135453</v>
      </c>
      <c r="Y202" s="15">
        <f t="shared" si="684"/>
        <v>1.1468759830845003</v>
      </c>
      <c r="Z202" s="15">
        <f t="shared" si="684"/>
        <v>1.1430530631408855</v>
      </c>
      <c r="AA202" s="15">
        <f t="shared" si="684"/>
        <v>1.1392428862637491</v>
      </c>
      <c r="AB202" s="15">
        <f t="shared" si="684"/>
        <v>1.1354454099762032</v>
      </c>
      <c r="AC202" s="15">
        <f t="shared" si="684"/>
        <v>1.1316605919429492</v>
      </c>
      <c r="AD202" s="15">
        <f t="shared" si="684"/>
        <v>1.1278883899698062</v>
      </c>
      <c r="AE202" s="15">
        <f t="shared" si="684"/>
        <v>1.1241287620032403</v>
      </c>
      <c r="AF202" s="15">
        <f t="shared" si="684"/>
        <v>1.120381666129896</v>
      </c>
      <c r="AG202" s="15">
        <f t="shared" si="684"/>
        <v>1.1166470605761296</v>
      </c>
      <c r="AH202" s="116">
        <f t="shared" ref="AH202" si="685">((AG202/J202)^(1/($AG$3-$K$1) ))-1</f>
        <v>-0.11284368039347603</v>
      </c>
      <c r="AI202" s="21">
        <f t="shared" si="678"/>
        <v>0.02</v>
      </c>
      <c r="AJ202" s="109">
        <f t="shared" ref="AJ202" si="686">(AG202*(1+AH202))/($C$1-AI202)</f>
        <v>7.6203115120012486</v>
      </c>
    </row>
    <row r="203" spans="2:36">
      <c r="B203" s="10" t="s">
        <v>334</v>
      </c>
      <c r="C203" s="15"/>
      <c r="D203" s="15"/>
      <c r="E203" s="15"/>
      <c r="F203" s="15"/>
      <c r="G203" s="15">
        <f t="shared" ref="G203" si="687">G201/G72</f>
        <v>74.249999999999986</v>
      </c>
      <c r="H203" s="15" t="e">
        <f t="shared" ref="H203:I203" si="688">H201/H72</f>
        <v>#DIV/0!</v>
      </c>
      <c r="I203" s="15">
        <f t="shared" si="688"/>
        <v>0</v>
      </c>
      <c r="J203" s="15">
        <f t="shared" ref="J203:T203" si="689">J201/J72</f>
        <v>58.982272727272729</v>
      </c>
      <c r="K203" s="15">
        <f t="shared" si="689"/>
        <v>21.213116438356167</v>
      </c>
      <c r="L203" s="15">
        <f t="shared" si="689"/>
        <v>9.2460287081339718</v>
      </c>
      <c r="M203" s="15">
        <f t="shared" si="689"/>
        <v>13.377551020408164</v>
      </c>
      <c r="N203" s="15" t="e">
        <f t="shared" si="689"/>
        <v>#DIV/0!</v>
      </c>
      <c r="O203" s="15">
        <f t="shared" si="689"/>
        <v>15.856041984732824</v>
      </c>
      <c r="P203" s="15">
        <f t="shared" si="689"/>
        <v>13.779666666666666</v>
      </c>
      <c r="Q203" s="15">
        <f t="shared" si="689"/>
        <v>9.5601221198156665</v>
      </c>
      <c r="R203" s="15">
        <f t="shared" si="689"/>
        <v>16.404640909090912</v>
      </c>
      <c r="S203" s="15">
        <f t="shared" si="689"/>
        <v>13.60716417910448</v>
      </c>
      <c r="T203" s="15">
        <f t="shared" si="689"/>
        <v>23.850821167883211</v>
      </c>
      <c r="U203" s="15">
        <f t="shared" ref="U203" si="690">U201/U72</f>
        <v>13.336247086247088</v>
      </c>
      <c r="V203" s="101" t="e">
        <f t="shared" si="675"/>
        <v>#DIV/0!</v>
      </c>
      <c r="W203" s="110"/>
      <c r="X203" s="102">
        <f t="shared" ref="X203:AG203" si="691">X201/X72</f>
        <v>11.558080808080812</v>
      </c>
      <c r="Y203" s="102">
        <f t="shared" si="691"/>
        <v>11.519553872053876</v>
      </c>
      <c r="Z203" s="102">
        <f t="shared" si="691"/>
        <v>11.481155359147031</v>
      </c>
      <c r="AA203" s="102">
        <f t="shared" si="691"/>
        <v>11.442884841283206</v>
      </c>
      <c r="AB203" s="102">
        <f t="shared" si="691"/>
        <v>11.404741891812263</v>
      </c>
      <c r="AC203" s="102">
        <f t="shared" si="691"/>
        <v>11.366726085506221</v>
      </c>
      <c r="AD203" s="102">
        <f t="shared" si="691"/>
        <v>11.328836998554536</v>
      </c>
      <c r="AE203" s="102">
        <f t="shared" si="691"/>
        <v>11.291074208559355</v>
      </c>
      <c r="AF203" s="102">
        <f t="shared" si="691"/>
        <v>11.253437294530823</v>
      </c>
      <c r="AG203" s="102">
        <f t="shared" si="691"/>
        <v>11.215925836882386</v>
      </c>
      <c r="AH203" s="116">
        <f t="shared" si="677"/>
        <v>-6.9626966226207343E-2</v>
      </c>
      <c r="AI203" s="21">
        <f t="shared" si="678"/>
        <v>0.02</v>
      </c>
      <c r="AJ203" s="109">
        <f t="shared" si="679"/>
        <v>80.269191903400994</v>
      </c>
    </row>
    <row r="204" spans="2:36">
      <c r="B204" s="10" t="s">
        <v>407</v>
      </c>
      <c r="C204" s="15"/>
      <c r="D204" s="15"/>
      <c r="E204" s="15"/>
      <c r="F204" s="15"/>
      <c r="G204" s="15">
        <f t="shared" ref="G204" si="692">G201/G70</f>
        <v>39.474683544303794</v>
      </c>
      <c r="H204" s="15" t="e">
        <f t="shared" ref="H204:I204" si="693">H201/H70</f>
        <v>#DIV/0!</v>
      </c>
      <c r="I204" s="15">
        <f t="shared" si="693"/>
        <v>0</v>
      </c>
      <c r="J204" s="15">
        <f t="shared" ref="J204:T204" si="694">J201/J70</f>
        <v>33.443556701030928</v>
      </c>
      <c r="K204" s="15">
        <f t="shared" si="694"/>
        <v>9.5003527607361971</v>
      </c>
      <c r="L204" s="15">
        <f t="shared" si="694"/>
        <v>4.0258750000000001</v>
      </c>
      <c r="M204" s="15">
        <f t="shared" si="694"/>
        <v>5.75</v>
      </c>
      <c r="N204" s="15" t="e">
        <f t="shared" si="694"/>
        <v>#DIV/0!</v>
      </c>
      <c r="O204" s="15">
        <f t="shared" si="694"/>
        <v>1.9558771186440678</v>
      </c>
      <c r="P204" s="15">
        <f t="shared" si="694"/>
        <v>1.6628955539872969</v>
      </c>
      <c r="Q204" s="15">
        <f t="shared" si="694"/>
        <v>1.292552336448598</v>
      </c>
      <c r="R204" s="15">
        <f t="shared" si="694"/>
        <v>2.106139808253439</v>
      </c>
      <c r="S204" s="15">
        <f t="shared" si="694"/>
        <v>1.3952861952861955</v>
      </c>
      <c r="T204" s="15">
        <f t="shared" si="694"/>
        <v>3.4108168058455113</v>
      </c>
      <c r="U204" s="15">
        <f t="shared" ref="U204" si="695">U201/U70</f>
        <v>2.2789285002987452</v>
      </c>
      <c r="V204" s="101" t="e">
        <f t="shared" si="675"/>
        <v>#DIV/0!</v>
      </c>
      <c r="W204" s="110"/>
      <c r="X204" s="15">
        <f t="shared" ref="X204:AG204" si="696">X201/X70</f>
        <v>1.9750713669255795</v>
      </c>
      <c r="Y204" s="15">
        <f t="shared" si="696"/>
        <v>1.9684877957024942</v>
      </c>
      <c r="Z204" s="15">
        <f t="shared" si="696"/>
        <v>1.9619261697168198</v>
      </c>
      <c r="AA204" s="15">
        <f t="shared" si="696"/>
        <v>1.9553864158177636</v>
      </c>
      <c r="AB204" s="15">
        <f t="shared" si="696"/>
        <v>1.9488684610983706</v>
      </c>
      <c r="AC204" s="15">
        <f t="shared" si="696"/>
        <v>1.9423722328947097</v>
      </c>
      <c r="AD204" s="15">
        <f t="shared" si="696"/>
        <v>1.9358976587850607</v>
      </c>
      <c r="AE204" s="15">
        <f t="shared" si="696"/>
        <v>1.9294446665891105</v>
      </c>
      <c r="AF204" s="15">
        <f t="shared" si="696"/>
        <v>1.923013184367147</v>
      </c>
      <c r="AG204" s="15">
        <f t="shared" si="696"/>
        <v>1.9166031404192563</v>
      </c>
      <c r="AH204" s="116">
        <f t="shared" ref="AH204:AH205" si="697">((AG204/J204)^(1/($AG$3-$K$1) ))-1</f>
        <v>-0.11690067300275986</v>
      </c>
      <c r="AI204" s="21">
        <f t="shared" si="678"/>
        <v>0.02</v>
      </c>
      <c r="AJ204" s="109">
        <f t="shared" ref="AJ204:AJ205" si="698">(AG204*(1+AH204))/($C$1-AI204)</f>
        <v>13.019622641731093</v>
      </c>
    </row>
    <row r="205" spans="2:36">
      <c r="B205" s="10" t="s">
        <v>408</v>
      </c>
      <c r="C205" s="15"/>
      <c r="D205" s="15"/>
      <c r="E205" s="15"/>
      <c r="F205" s="15"/>
      <c r="G205" s="15">
        <f t="shared" ref="G205" si="699">G201/G71</f>
        <v>43.922535211267601</v>
      </c>
      <c r="H205" s="15" t="e">
        <f t="shared" ref="H205:I205" si="700">H201/H71</f>
        <v>#DIV/0!</v>
      </c>
      <c r="I205" s="15">
        <f t="shared" si="700"/>
        <v>0</v>
      </c>
      <c r="J205" s="15">
        <f t="shared" ref="J205:T205" si="701">J201/J71</f>
        <v>37.074571428571431</v>
      </c>
      <c r="K205" s="15">
        <f t="shared" si="701"/>
        <v>13.888408071748879</v>
      </c>
      <c r="L205" s="15">
        <f t="shared" si="701"/>
        <v>5.8736170212765959</v>
      </c>
      <c r="M205" s="15">
        <f t="shared" si="701"/>
        <v>9.3642857142857139</v>
      </c>
      <c r="N205" s="15" t="e">
        <f t="shared" si="701"/>
        <v>#DIV/0!</v>
      </c>
      <c r="O205" s="15">
        <f t="shared" si="701"/>
        <v>10.490613636363635</v>
      </c>
      <c r="P205" s="15">
        <f t="shared" si="701"/>
        <v>9.0977722007721997</v>
      </c>
      <c r="Q205" s="15">
        <f t="shared" si="701"/>
        <v>5.910388888888888</v>
      </c>
      <c r="R205" s="15">
        <f t="shared" si="701"/>
        <v>9.9071164705882353</v>
      </c>
      <c r="S205" s="15">
        <f t="shared" si="701"/>
        <v>7.9831873905429083</v>
      </c>
      <c r="T205" s="15">
        <f t="shared" si="701"/>
        <v>13.860286320254508</v>
      </c>
      <c r="U205" s="15">
        <f t="shared" ref="U205" si="702">U201/U71</f>
        <v>8.0694640338504939</v>
      </c>
      <c r="V205" s="101" t="e">
        <f t="shared" si="675"/>
        <v>#DIV/0!</v>
      </c>
      <c r="W205" s="110"/>
      <c r="X205" s="15">
        <f t="shared" ref="X205:AG205" si="703">X201/X71</f>
        <v>6.9935354960037621</v>
      </c>
      <c r="Y205" s="15">
        <f t="shared" si="703"/>
        <v>6.9702237110170842</v>
      </c>
      <c r="Z205" s="15">
        <f t="shared" si="703"/>
        <v>6.9469896319803599</v>
      </c>
      <c r="AA205" s="15">
        <f t="shared" si="703"/>
        <v>6.9238329998737598</v>
      </c>
      <c r="AB205" s="15">
        <f t="shared" si="703"/>
        <v>6.9007535565408453</v>
      </c>
      <c r="AC205" s="15">
        <f t="shared" si="703"/>
        <v>6.8777510446857102</v>
      </c>
      <c r="AD205" s="15">
        <f t="shared" si="703"/>
        <v>6.8548252078700918</v>
      </c>
      <c r="AE205" s="15">
        <f t="shared" si="703"/>
        <v>6.8319757905105245</v>
      </c>
      <c r="AF205" s="15">
        <f t="shared" si="703"/>
        <v>6.809202537875489</v>
      </c>
      <c r="AG205" s="15">
        <f t="shared" si="703"/>
        <v>6.7865051960825697</v>
      </c>
      <c r="AH205" s="116">
        <f t="shared" si="697"/>
        <v>-7.1166590875344937E-2</v>
      </c>
      <c r="AI205" s="21">
        <f t="shared" si="678"/>
        <v>0.02</v>
      </c>
      <c r="AJ205" s="109">
        <f t="shared" si="698"/>
        <v>48.488713517842761</v>
      </c>
    </row>
    <row r="206" spans="2:36">
      <c r="B206" s="10" t="s">
        <v>216</v>
      </c>
      <c r="C206" s="15"/>
      <c r="D206" s="15"/>
      <c r="E206" s="15"/>
      <c r="F206" s="15"/>
      <c r="G206" s="15">
        <f t="shared" ref="G206" si="704">G201/G75</f>
        <v>17.922413793103448</v>
      </c>
      <c r="H206" s="15" t="e">
        <f t="shared" ref="H206:I206" si="705">H201/H75</f>
        <v>#DIV/0!</v>
      </c>
      <c r="I206" s="15">
        <f t="shared" si="705"/>
        <v>0</v>
      </c>
      <c r="J206" s="15">
        <f t="shared" ref="J206:T206" si="706">J201/J75</f>
        <v>11.244454072790294</v>
      </c>
      <c r="K206" s="15">
        <f t="shared" si="706"/>
        <v>3.4241182974018796</v>
      </c>
      <c r="L206" s="15">
        <f t="shared" si="706"/>
        <v>0.93083815028901729</v>
      </c>
      <c r="M206" s="15">
        <f t="shared" si="706"/>
        <v>1.4776825969341749</v>
      </c>
      <c r="N206" s="15" t="e">
        <f t="shared" si="706"/>
        <v>#DIV/0!</v>
      </c>
      <c r="O206" s="15">
        <f t="shared" si="706"/>
        <v>0.81170046893317704</v>
      </c>
      <c r="P206" s="15">
        <f t="shared" si="706"/>
        <v>0.87824189340290715</v>
      </c>
      <c r="Q206" s="15">
        <f t="shared" si="706"/>
        <v>0.78107925451807225</v>
      </c>
      <c r="R206" s="15">
        <f t="shared" si="706"/>
        <v>1.6420635034124147</v>
      </c>
      <c r="S206" s="15">
        <f t="shared" si="706"/>
        <v>1.2693957115009749</v>
      </c>
      <c r="T206" s="15">
        <f t="shared" si="706"/>
        <v>3.0811527581329559</v>
      </c>
      <c r="U206" s="15">
        <f t="shared" ref="U206" si="707">U201/U75</f>
        <v>1.7392460860313117</v>
      </c>
      <c r="V206" s="101" t="e">
        <f t="shared" si="675"/>
        <v>#DIV/0!</v>
      </c>
      <c r="W206" s="110"/>
      <c r="X206" s="102">
        <f t="shared" ref="X206:AG206" si="708">X201/X75</f>
        <v>1.5073466078938038</v>
      </c>
      <c r="Y206" s="102">
        <f t="shared" si="708"/>
        <v>1.5023221192008247</v>
      </c>
      <c r="Z206" s="102">
        <f t="shared" si="708"/>
        <v>1.4973143788034886</v>
      </c>
      <c r="AA206" s="102">
        <f t="shared" si="708"/>
        <v>1.4923233308741437</v>
      </c>
      <c r="AB206" s="102">
        <f t="shared" si="708"/>
        <v>1.48734891977123</v>
      </c>
      <c r="AC206" s="102">
        <f t="shared" si="708"/>
        <v>1.4823910900386592</v>
      </c>
      <c r="AD206" s="102">
        <f t="shared" si="708"/>
        <v>1.477449786405197</v>
      </c>
      <c r="AE206" s="102">
        <f t="shared" si="708"/>
        <v>1.4725249537838463</v>
      </c>
      <c r="AF206" s="102">
        <f t="shared" si="708"/>
        <v>1.4676165372712333</v>
      </c>
      <c r="AG206" s="102">
        <f t="shared" si="708"/>
        <v>1.4627244821469956</v>
      </c>
      <c r="AH206" s="116">
        <f t="shared" si="677"/>
        <v>-8.4859013105199721E-2</v>
      </c>
      <c r="AI206" s="21">
        <f t="shared" si="678"/>
        <v>0.02</v>
      </c>
      <c r="AJ206" s="109">
        <f t="shared" si="679"/>
        <v>10.296916354978363</v>
      </c>
    </row>
    <row r="207" spans="2:36">
      <c r="B207" s="10" t="s">
        <v>217</v>
      </c>
      <c r="C207" s="15"/>
      <c r="D207" s="15"/>
      <c r="E207" s="15"/>
      <c r="F207" s="15"/>
      <c r="G207" s="15">
        <f t="shared" ref="G207" si="709">G201/G84</f>
        <v>52.85593220338982</v>
      </c>
      <c r="H207" s="15" t="e">
        <f t="shared" ref="H207:I207" si="710">H201/H84</f>
        <v>#DIV/0!</v>
      </c>
      <c r="I207" s="15">
        <f t="shared" si="710"/>
        <v>0</v>
      </c>
      <c r="J207" s="15">
        <f t="shared" ref="J207:T207" si="711">J201/J84</f>
        <v>62.385096153846149</v>
      </c>
      <c r="K207" s="15">
        <f t="shared" si="711"/>
        <v>5.6158023572076159</v>
      </c>
      <c r="L207" s="15">
        <f t="shared" si="711"/>
        <v>3.0722098569157397</v>
      </c>
      <c r="M207" s="15">
        <f t="shared" si="711"/>
        <v>11.4198606271777</v>
      </c>
      <c r="N207" s="15" t="e">
        <f t="shared" si="711"/>
        <v>#DIV/0!</v>
      </c>
      <c r="O207" s="15">
        <f t="shared" si="711"/>
        <v>0.44430834224598931</v>
      </c>
      <c r="P207" s="15">
        <f t="shared" si="711"/>
        <v>0.47902480178898149</v>
      </c>
      <c r="Q207" s="15">
        <f t="shared" si="711"/>
        <v>0.50734812912692584</v>
      </c>
      <c r="R207" s="15">
        <f t="shared" si="711"/>
        <v>0.19316547769239592</v>
      </c>
      <c r="S207" s="15">
        <f t="shared" si="711"/>
        <v>0.98453563714902814</v>
      </c>
      <c r="T207" s="15">
        <f t="shared" si="711"/>
        <v>1.3765402843601897</v>
      </c>
      <c r="U207" s="15">
        <f t="shared" ref="U207" si="712">U201/U84</f>
        <v>0.88019230769230783</v>
      </c>
      <c r="V207" s="101" t="e">
        <f t="shared" si="675"/>
        <v>#DIV/0!</v>
      </c>
      <c r="W207" s="110"/>
      <c r="X207" s="102">
        <f t="shared" ref="X207:AG207" si="713">X201/X84</f>
        <v>0.76283333333333336</v>
      </c>
      <c r="Y207" s="102">
        <f t="shared" si="713"/>
        <v>0.76029055555555569</v>
      </c>
      <c r="Z207" s="102">
        <f t="shared" si="713"/>
        <v>0.75775625370370381</v>
      </c>
      <c r="AA207" s="102">
        <f t="shared" si="713"/>
        <v>0.7552303995246914</v>
      </c>
      <c r="AB207" s="102">
        <f t="shared" si="713"/>
        <v>0.75271296485960915</v>
      </c>
      <c r="AC207" s="102">
        <f t="shared" si="713"/>
        <v>0.75020392164341054</v>
      </c>
      <c r="AD207" s="102">
        <f t="shared" si="713"/>
        <v>0.74770324190459925</v>
      </c>
      <c r="AE207" s="102">
        <f t="shared" si="713"/>
        <v>0.74521089776491711</v>
      </c>
      <c r="AF207" s="102">
        <f t="shared" si="713"/>
        <v>0.7427268614390341</v>
      </c>
      <c r="AG207" s="102">
        <f t="shared" si="713"/>
        <v>0.74025110523423709</v>
      </c>
      <c r="AH207" s="116">
        <f t="shared" si="677"/>
        <v>-0.17534207776746502</v>
      </c>
      <c r="AI207" s="21">
        <f t="shared" si="678"/>
        <v>0.02</v>
      </c>
      <c r="AJ207" s="109">
        <f t="shared" si="679"/>
        <v>4.6957995259446426</v>
      </c>
    </row>
    <row r="208" spans="2:36">
      <c r="B208" s="10" t="s">
        <v>218</v>
      </c>
      <c r="C208" s="15"/>
      <c r="D208" s="15"/>
      <c r="E208" s="15"/>
      <c r="F208" s="15"/>
      <c r="G208" s="15">
        <f t="shared" ref="G208" si="714">G201/G86</f>
        <v>16.413157894736841</v>
      </c>
      <c r="H208" s="15" t="e">
        <f t="shared" ref="H208:I208" si="715">H201/H86</f>
        <v>#DIV/0!</v>
      </c>
      <c r="I208" s="15">
        <f t="shared" si="715"/>
        <v>0</v>
      </c>
      <c r="J208" s="15">
        <f t="shared" ref="J208:T208" si="716">J201/J86</f>
        <v>6.4238118811881195</v>
      </c>
      <c r="K208" s="15">
        <f t="shared" si="716"/>
        <v>2.0026608470740381</v>
      </c>
      <c r="L208" s="15">
        <f t="shared" si="716"/>
        <v>0.65439214358279718</v>
      </c>
      <c r="M208" s="15">
        <f t="shared" si="716"/>
        <v>0.65958945461863561</v>
      </c>
      <c r="N208" s="15" t="e">
        <f t="shared" si="716"/>
        <v>#DIV/0!</v>
      </c>
      <c r="O208" s="15">
        <f t="shared" si="716"/>
        <v>0.18993612838332113</v>
      </c>
      <c r="P208" s="15">
        <f t="shared" si="716"/>
        <v>0.19476963134402378</v>
      </c>
      <c r="Q208" s="15">
        <f t="shared" si="716"/>
        <v>0.16322159716758458</v>
      </c>
      <c r="R208" s="15">
        <f t="shared" si="716"/>
        <v>0.2322620851337685</v>
      </c>
      <c r="S208" s="15">
        <f t="shared" si="716"/>
        <v>0.18273802365203448</v>
      </c>
      <c r="T208" s="15">
        <f t="shared" si="716"/>
        <v>0.49323559379599236</v>
      </c>
      <c r="U208" s="15">
        <f t="shared" ref="U208" si="717">U201/U86</f>
        <v>0.28489443282541582</v>
      </c>
      <c r="V208" s="101" t="e">
        <f t="shared" si="675"/>
        <v>#DIV/0!</v>
      </c>
      <c r="W208" s="110"/>
      <c r="X208" s="102">
        <f t="shared" ref="X208:AG208" si="718">X201/X86</f>
        <v>0.24690850844869375</v>
      </c>
      <c r="Y208" s="102">
        <f t="shared" si="718"/>
        <v>0.24608548008719811</v>
      </c>
      <c r="Z208" s="102">
        <f t="shared" si="718"/>
        <v>0.24526519515357409</v>
      </c>
      <c r="AA208" s="102">
        <f t="shared" si="718"/>
        <v>0.24444764450306219</v>
      </c>
      <c r="AB208" s="102">
        <f t="shared" si="718"/>
        <v>0.24363281902138531</v>
      </c>
      <c r="AC208" s="102">
        <f t="shared" si="718"/>
        <v>0.24282070962464736</v>
      </c>
      <c r="AD208" s="102">
        <f t="shared" si="718"/>
        <v>0.24201130725923189</v>
      </c>
      <c r="AE208" s="102">
        <f t="shared" si="718"/>
        <v>0.24120460290170118</v>
      </c>
      <c r="AF208" s="102">
        <f t="shared" si="718"/>
        <v>0.24040058755869548</v>
      </c>
      <c r="AG208" s="102">
        <f t="shared" si="718"/>
        <v>0.23959925226683315</v>
      </c>
      <c r="AH208" s="116">
        <f t="shared" si="677"/>
        <v>-0.13323836491019003</v>
      </c>
      <c r="AI208" s="21">
        <f t="shared" si="678"/>
        <v>0.02</v>
      </c>
      <c r="AJ208" s="109">
        <f t="shared" si="679"/>
        <v>1.5975033820084319</v>
      </c>
    </row>
    <row r="209" spans="2:36">
      <c r="B209" s="10" t="s">
        <v>232</v>
      </c>
      <c r="C209" s="15"/>
      <c r="D209" s="15"/>
      <c r="E209" s="15"/>
      <c r="F209" s="15"/>
      <c r="G209" s="159">
        <f t="shared" ref="G209" si="719">G201/G80</f>
        <v>14.640845070422534</v>
      </c>
      <c r="H209" s="159" t="e">
        <f t="shared" ref="H209:I209" si="720">H201/H80</f>
        <v>#DIV/0!</v>
      </c>
      <c r="I209" s="159">
        <f t="shared" si="720"/>
        <v>0</v>
      </c>
      <c r="J209" s="159">
        <f t="shared" ref="J209:T209" si="721">J201/J80</f>
        <v>9.1509873060648808</v>
      </c>
      <c r="K209" s="159">
        <f t="shared" si="721"/>
        <v>11.731496212121213</v>
      </c>
      <c r="L209" s="159">
        <f t="shared" si="721"/>
        <v>1.0711862527716187</v>
      </c>
      <c r="M209" s="159">
        <f t="shared" si="721"/>
        <v>9.696745562130177</v>
      </c>
      <c r="N209" s="159" t="e">
        <f t="shared" si="721"/>
        <v>#DIV/0!</v>
      </c>
      <c r="O209" s="159">
        <f t="shared" si="721"/>
        <v>-1.0029654756156448</v>
      </c>
      <c r="P209" s="159">
        <f t="shared" si="721"/>
        <v>-0.64948263506063952</v>
      </c>
      <c r="Q209" s="159">
        <f t="shared" si="721"/>
        <v>-0.36060255518859718</v>
      </c>
      <c r="R209" s="159">
        <f t="shared" si="721"/>
        <v>-0.43262517338813256</v>
      </c>
      <c r="S209" s="159">
        <f t="shared" si="721"/>
        <v>-0.32488062148100638</v>
      </c>
      <c r="T209" s="159">
        <f t="shared" si="721"/>
        <v>-0.67591922221647627</v>
      </c>
      <c r="U209" s="159">
        <f t="shared" ref="U209" si="722">U201/U80</f>
        <v>-0.47324124240043014</v>
      </c>
      <c r="V209" s="101" t="e">
        <f t="shared" si="675"/>
        <v>#DIV/0!</v>
      </c>
      <c r="W209" s="110"/>
      <c r="X209" s="113">
        <f t="shared" ref="X209:AG209" si="723">X201/X80</f>
        <v>-0.41014241008037278</v>
      </c>
      <c r="Y209" s="113">
        <f t="shared" si="723"/>
        <v>-0.40877526871343822</v>
      </c>
      <c r="Z209" s="113">
        <f t="shared" si="723"/>
        <v>-0.40741268448439355</v>
      </c>
      <c r="AA209" s="113">
        <f t="shared" si="723"/>
        <v>-0.40605464220277893</v>
      </c>
      <c r="AB209" s="113">
        <f t="shared" si="723"/>
        <v>-0.40470112672876951</v>
      </c>
      <c r="AC209" s="113">
        <f t="shared" si="723"/>
        <v>-0.4033521229730071</v>
      </c>
      <c r="AD209" s="113">
        <f t="shared" si="723"/>
        <v>-0.40200761589643036</v>
      </c>
      <c r="AE209" s="113">
        <f t="shared" si="723"/>
        <v>-0.40066759051010903</v>
      </c>
      <c r="AF209" s="113">
        <f t="shared" si="723"/>
        <v>-0.39933203187507532</v>
      </c>
      <c r="AG209" s="113">
        <f t="shared" si="723"/>
        <v>-0.39800092510215834</v>
      </c>
      <c r="AH209" s="116">
        <f t="shared" ref="AH209" si="724">((AG209/J209)^(1/($AG$3-$K$1) ))-1</f>
        <v>-1.8725708516874708</v>
      </c>
      <c r="AI209" s="21">
        <f t="shared" ref="AI209:AI212" si="725">$O$1</f>
        <v>0.02</v>
      </c>
      <c r="AJ209" s="109">
        <f t="shared" si="679"/>
        <v>2.6714154322214734</v>
      </c>
    </row>
    <row r="210" spans="2:36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10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6"/>
      <c r="AI210" s="21">
        <f t="shared" si="725"/>
        <v>0.02</v>
      </c>
      <c r="AJ210" s="109"/>
    </row>
    <row r="211" spans="2:36">
      <c r="B211" s="10" t="s">
        <v>265</v>
      </c>
      <c r="C211" s="129"/>
      <c r="D211" s="129"/>
      <c r="E211" s="129"/>
      <c r="F211" s="129"/>
      <c r="G211" s="129">
        <f t="shared" ref="G211" si="726">G59/G201</f>
        <v>1.2121212121212122E-4</v>
      </c>
      <c r="H211" s="129" t="e">
        <f t="shared" ref="H211:I211" si="727">H59/H201</f>
        <v>#DIV/0!</v>
      </c>
      <c r="I211" s="129" t="e">
        <f t="shared" si="727"/>
        <v>#DIV/0!</v>
      </c>
      <c r="J211" s="129">
        <f t="shared" ref="J211:T211" si="728">J59/J201</f>
        <v>0</v>
      </c>
      <c r="K211" s="129">
        <f t="shared" si="728"/>
        <v>4.8367593712212815E-3</v>
      </c>
      <c r="L211" s="129">
        <f t="shared" si="728"/>
        <v>2.3255813953488372E-2</v>
      </c>
      <c r="M211" s="129">
        <f t="shared" si="728"/>
        <v>2.7459954233409609E-2</v>
      </c>
      <c r="N211" s="129">
        <f t="shared" si="728"/>
        <v>0.13750000000000001</v>
      </c>
      <c r="O211" s="129">
        <f t="shared" si="728"/>
        <v>2.185792349726776E-2</v>
      </c>
      <c r="P211" s="129">
        <f t="shared" si="728"/>
        <v>2.1069692058346839E-2</v>
      </c>
      <c r="Q211" s="129">
        <f t="shared" si="728"/>
        <v>2.4432809773123908E-2</v>
      </c>
      <c r="R211" s="129">
        <f t="shared" si="728"/>
        <v>1.5669069257286117E-2</v>
      </c>
      <c r="S211" s="129">
        <f t="shared" si="728"/>
        <v>2.2321428571428572E-2</v>
      </c>
      <c r="T211" s="129">
        <f t="shared" si="728"/>
        <v>8.2802547770700636E-3</v>
      </c>
      <c r="U211" s="129">
        <f t="shared" ref="U211" si="729">U59/U201</f>
        <v>1.0800000000000001E-2</v>
      </c>
      <c r="V211" s="101" t="e">
        <f t="shared" si="675"/>
        <v>#DIV/0!</v>
      </c>
      <c r="W211" s="110"/>
      <c r="X211" s="129">
        <f t="shared" ref="X211:AG211" si="730">X59/X201</f>
        <v>1.1016000000000001E-2</v>
      </c>
      <c r="Y211" s="129">
        <f t="shared" si="730"/>
        <v>9.770713043478263E-3</v>
      </c>
      <c r="Z211" s="129">
        <f t="shared" si="730"/>
        <v>8.6661976559546331E-3</v>
      </c>
      <c r="AA211" s="129">
        <f t="shared" si="730"/>
        <v>7.6865405296293278E-3</v>
      </c>
      <c r="AB211" s="129">
        <f t="shared" si="730"/>
        <v>6.8176272523668832E-3</v>
      </c>
      <c r="AC211" s="129">
        <f t="shared" si="730"/>
        <v>6.0469389542732359E-3</v>
      </c>
      <c r="AD211" s="129">
        <f t="shared" si="730"/>
        <v>5.3633719420510435E-3</v>
      </c>
      <c r="AE211" s="129">
        <f t="shared" si="730"/>
        <v>4.7570777225148389E-3</v>
      </c>
      <c r="AF211" s="129">
        <f t="shared" si="730"/>
        <v>4.2193211104044667E-3</v>
      </c>
      <c r="AG211" s="129">
        <f t="shared" si="730"/>
        <v>3.7423543761848318E-3</v>
      </c>
      <c r="AH211" s="116" t="e">
        <f t="shared" ref="AH211:AH216" si="731">((AG211/J211)^(1/($AG$3-$K$1) ))-1</f>
        <v>#DIV/0!</v>
      </c>
      <c r="AI211" s="21">
        <f t="shared" si="725"/>
        <v>0.02</v>
      </c>
      <c r="AJ211" s="109" t="e">
        <f t="shared" si="679"/>
        <v>#DIV/0!</v>
      </c>
    </row>
    <row r="212" spans="2:36">
      <c r="B212" s="10" t="s">
        <v>132</v>
      </c>
      <c r="C212" s="129"/>
      <c r="D212" s="129"/>
      <c r="E212" s="129"/>
      <c r="F212" s="129"/>
      <c r="G212" s="142">
        <f t="shared" ref="G212" si="732">G201*G57</f>
        <v>3118.5</v>
      </c>
      <c r="H212" s="142">
        <f t="shared" ref="H212:I212" si="733">H201*H57</f>
        <v>0</v>
      </c>
      <c r="I212" s="142">
        <f t="shared" si="733"/>
        <v>0</v>
      </c>
      <c r="J212" s="142">
        <f t="shared" ref="J212:T212" si="734">J201*J57</f>
        <v>6488.05</v>
      </c>
      <c r="K212" s="142">
        <f t="shared" si="734"/>
        <v>6194.2300000000005</v>
      </c>
      <c r="L212" s="142">
        <f t="shared" si="734"/>
        <v>1932.42</v>
      </c>
      <c r="M212" s="142">
        <f t="shared" si="734"/>
        <v>3277.5</v>
      </c>
      <c r="N212" s="142">
        <f t="shared" si="734"/>
        <v>300</v>
      </c>
      <c r="O212" s="142">
        <f t="shared" si="734"/>
        <v>2077.1415000000002</v>
      </c>
      <c r="P212" s="142">
        <f t="shared" si="734"/>
        <v>2356.3229999999999</v>
      </c>
      <c r="Q212" s="142">
        <f t="shared" si="734"/>
        <v>2074.5464999999999</v>
      </c>
      <c r="R212" s="142">
        <f t="shared" si="734"/>
        <v>5052.6293999999998</v>
      </c>
      <c r="S212" s="142">
        <f t="shared" si="734"/>
        <v>4558.4000000000005</v>
      </c>
      <c r="T212" s="142">
        <f t="shared" si="734"/>
        <v>13070.25</v>
      </c>
      <c r="U212" s="142">
        <f t="shared" ref="U212" si="735">U201*U57</f>
        <v>11442.5</v>
      </c>
      <c r="V212" s="101" t="e">
        <f t="shared" si="675"/>
        <v>#DIV/0!</v>
      </c>
      <c r="W212" s="110"/>
      <c r="X212" s="142">
        <f t="shared" ref="X212:AG212" si="736">X201*X57</f>
        <v>11900.200000000003</v>
      </c>
      <c r="Y212" s="142">
        <f t="shared" si="736"/>
        <v>14232.639200000001</v>
      </c>
      <c r="Z212" s="142">
        <f t="shared" si="736"/>
        <v>17022.236483200002</v>
      </c>
      <c r="AA212" s="142">
        <f t="shared" si="736"/>
        <v>20358.594833907202</v>
      </c>
      <c r="AB212" s="142">
        <f t="shared" si="736"/>
        <v>24348.879421353013</v>
      </c>
      <c r="AC212" s="142">
        <f t="shared" si="736"/>
        <v>29121.259787938201</v>
      </c>
      <c r="AD212" s="142">
        <f t="shared" si="736"/>
        <v>34829.02670637409</v>
      </c>
      <c r="AE212" s="142">
        <f t="shared" si="736"/>
        <v>41655.51594082341</v>
      </c>
      <c r="AF212" s="142">
        <f t="shared" si="736"/>
        <v>49819.997065224794</v>
      </c>
      <c r="AG212" s="142">
        <f t="shared" si="736"/>
        <v>59584.716490008846</v>
      </c>
      <c r="AH212" s="116">
        <f t="shared" si="731"/>
        <v>0.10121080687318673</v>
      </c>
      <c r="AI212" s="21">
        <f t="shared" si="725"/>
        <v>0.02</v>
      </c>
      <c r="AJ212" s="109">
        <f t="shared" si="679"/>
        <v>504733.33633286704</v>
      </c>
    </row>
    <row r="213" spans="2:36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10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</row>
    <row r="214" spans="2:36">
      <c r="B214" s="10" t="s">
        <v>316</v>
      </c>
      <c r="C214" s="138"/>
      <c r="D214" s="138"/>
      <c r="E214" s="138"/>
      <c r="F214" s="138"/>
      <c r="G214" s="138">
        <f t="shared" ref="G214" si="737">G72/G201</f>
        <v>1.3468013468013469E-2</v>
      </c>
      <c r="H214" s="138" t="e">
        <f t="shared" ref="H214:I214" si="738">H72/H201</f>
        <v>#DIV/0!</v>
      </c>
      <c r="I214" s="138" t="e">
        <f t="shared" si="738"/>
        <v>#DIV/0!</v>
      </c>
      <c r="J214" s="138">
        <f t="shared" ref="J214:T214" si="739">J72/J201</f>
        <v>1.6954246653462905E-2</v>
      </c>
      <c r="K214" s="138">
        <f t="shared" si="739"/>
        <v>4.7140645407096601E-2</v>
      </c>
      <c r="L214" s="138">
        <f t="shared" si="739"/>
        <v>0.10815454197327702</v>
      </c>
      <c r="M214" s="138">
        <f t="shared" si="739"/>
        <v>7.4752097635392825E-2</v>
      </c>
      <c r="N214" s="138">
        <f t="shared" si="739"/>
        <v>0</v>
      </c>
      <c r="O214" s="138">
        <f t="shared" si="739"/>
        <v>6.3067441481478276E-2</v>
      </c>
      <c r="P214" s="138">
        <f t="shared" si="739"/>
        <v>7.257069595297419E-2</v>
      </c>
      <c r="Q214" s="138">
        <f t="shared" si="739"/>
        <v>0.10460117428074041</v>
      </c>
      <c r="R214" s="138">
        <f t="shared" si="739"/>
        <v>6.0958359621625914E-2</v>
      </c>
      <c r="S214" s="138">
        <f t="shared" si="739"/>
        <v>7.3490698490698475E-2</v>
      </c>
      <c r="T214" s="138">
        <f t="shared" si="739"/>
        <v>4.1927277596067403E-2</v>
      </c>
      <c r="U214" s="138">
        <f t="shared" ref="U214" si="740">U72/U201</f>
        <v>7.4983613720777803E-2</v>
      </c>
      <c r="V214" s="101" t="e">
        <f t="shared" si="675"/>
        <v>#DIV/0!</v>
      </c>
      <c r="W214" s="110"/>
      <c r="X214" s="138">
        <f t="shared" ref="X214:AG214" si="741">X72/X201</f>
        <v>8.6519554293205139E-2</v>
      </c>
      <c r="Y214" s="138">
        <f t="shared" si="741"/>
        <v>8.6808917351041931E-2</v>
      </c>
      <c r="Z214" s="138">
        <f t="shared" si="741"/>
        <v>8.7099248178302932E-2</v>
      </c>
      <c r="AA214" s="138">
        <f t="shared" si="741"/>
        <v>8.7390550011675186E-2</v>
      </c>
      <c r="AB214" s="138">
        <f t="shared" si="741"/>
        <v>8.7682826098670757E-2</v>
      </c>
      <c r="AC214" s="138">
        <f t="shared" si="741"/>
        <v>8.7976079697662982E-2</v>
      </c>
      <c r="AD214" s="138">
        <f t="shared" si="741"/>
        <v>8.8270314077922699E-2</v>
      </c>
      <c r="AE214" s="138">
        <f t="shared" si="741"/>
        <v>8.8565532519654877E-2</v>
      </c>
      <c r="AF214" s="138">
        <f t="shared" si="741"/>
        <v>8.8861738314035002E-2</v>
      </c>
      <c r="AG214" s="138">
        <f t="shared" si="741"/>
        <v>8.9158934763245837E-2</v>
      </c>
      <c r="AH214" s="116">
        <f t="shared" ref="AH214" si="742">((AG214/J214)^(1/($AG$3-$K$1) ))-1</f>
        <v>7.4837687356205329E-2</v>
      </c>
      <c r="AI214" s="21">
        <f t="shared" ref="AI214" si="743">$O$1</f>
        <v>0.02</v>
      </c>
      <c r="AJ214" s="109">
        <f t="shared" ref="AJ214" si="744">(AG214*(1+AH214))/($C$1-AI214)</f>
        <v>0.73716448652361488</v>
      </c>
    </row>
    <row r="215" spans="2:36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>
        <f t="shared" ref="G215" si="745">G203</f>
        <v>74.249999999999986</v>
      </c>
      <c r="H215" s="158" t="e">
        <f t="shared" ref="H215:I215" si="746">H203</f>
        <v>#DIV/0!</v>
      </c>
      <c r="I215" s="158">
        <f t="shared" si="746"/>
        <v>0</v>
      </c>
      <c r="J215" s="158">
        <f t="shared" ref="J215:T215" si="747">J203</f>
        <v>58.982272727272729</v>
      </c>
      <c r="K215" s="158">
        <f t="shared" si="747"/>
        <v>21.213116438356167</v>
      </c>
      <c r="L215" s="158">
        <f t="shared" si="747"/>
        <v>9.2460287081339718</v>
      </c>
      <c r="M215" s="158">
        <f t="shared" si="747"/>
        <v>13.377551020408164</v>
      </c>
      <c r="N215" s="158" t="e">
        <f t="shared" si="747"/>
        <v>#DIV/0!</v>
      </c>
      <c r="O215" s="158">
        <f t="shared" si="747"/>
        <v>15.856041984732824</v>
      </c>
      <c r="P215" s="158">
        <f t="shared" si="747"/>
        <v>13.779666666666666</v>
      </c>
      <c r="Q215" s="158">
        <f t="shared" si="747"/>
        <v>9.5601221198156665</v>
      </c>
      <c r="R215" s="158">
        <f t="shared" si="747"/>
        <v>16.404640909090912</v>
      </c>
      <c r="S215" s="158">
        <f t="shared" si="747"/>
        <v>13.60716417910448</v>
      </c>
      <c r="T215" s="158">
        <f t="shared" si="747"/>
        <v>23.850821167883211</v>
      </c>
      <c r="U215" s="158">
        <f t="shared" ref="U215" si="748">U203</f>
        <v>13.336247086247088</v>
      </c>
      <c r="V215" s="101" t="e">
        <f t="shared" si="675"/>
        <v>#DIV/0!</v>
      </c>
      <c r="W215" s="110"/>
      <c r="X215" s="158">
        <f t="shared" ref="X215:AG215" si="749">X203</f>
        <v>11.558080808080812</v>
      </c>
      <c r="Y215" s="158">
        <f t="shared" si="749"/>
        <v>11.519553872053876</v>
      </c>
      <c r="Z215" s="158">
        <f t="shared" si="749"/>
        <v>11.481155359147031</v>
      </c>
      <c r="AA215" s="158">
        <f t="shared" si="749"/>
        <v>11.442884841283206</v>
      </c>
      <c r="AB215" s="158">
        <f t="shared" si="749"/>
        <v>11.404741891812263</v>
      </c>
      <c r="AC215" s="158">
        <f t="shared" si="749"/>
        <v>11.366726085506221</v>
      </c>
      <c r="AD215" s="158">
        <f t="shared" si="749"/>
        <v>11.328836998554536</v>
      </c>
      <c r="AE215" s="158">
        <f t="shared" si="749"/>
        <v>11.291074208559355</v>
      </c>
      <c r="AF215" s="158">
        <f t="shared" si="749"/>
        <v>11.253437294530823</v>
      </c>
      <c r="AG215" s="158">
        <f t="shared" si="749"/>
        <v>11.215925836882386</v>
      </c>
      <c r="AH215" s="116">
        <f t="shared" ref="AH215" si="750">((AG215/J215)^(1/($AG$3-$K$1) ))-1</f>
        <v>-6.9626966226207343E-2</v>
      </c>
      <c r="AI215" s="21">
        <f t="shared" ref="AI215:AI217" si="751">$O$1</f>
        <v>0.02</v>
      </c>
      <c r="AJ215" s="158">
        <f>(AJ202)/($O$2*100)</f>
        <v>0.38101557560006244</v>
      </c>
    </row>
    <row r="216" spans="2:36">
      <c r="B216" s="10" t="s">
        <v>437</v>
      </c>
      <c r="C216" s="158"/>
      <c r="D216" s="158"/>
      <c r="E216" s="158"/>
      <c r="F216" s="158"/>
      <c r="G216" s="158">
        <f t="shared" ref="G216" si="752">(G203)/($O$2*100)</f>
        <v>3.7124999999999995</v>
      </c>
      <c r="H216" s="158" t="e">
        <f t="shared" ref="H216:I216" si="753">(H203)/($O$2*100)</f>
        <v>#DIV/0!</v>
      </c>
      <c r="I216" s="158">
        <f t="shared" si="753"/>
        <v>0</v>
      </c>
      <c r="J216" s="158">
        <f t="shared" ref="J216:T216" si="754">(J203)/($O$2*100)</f>
        <v>2.9491136363636365</v>
      </c>
      <c r="K216" s="158">
        <f t="shared" si="754"/>
        <v>1.0606558219178084</v>
      </c>
      <c r="L216" s="158">
        <f t="shared" si="754"/>
        <v>0.4623014354066986</v>
      </c>
      <c r="M216" s="158">
        <f t="shared" si="754"/>
        <v>0.66887755102040825</v>
      </c>
      <c r="N216" s="158" t="e">
        <f t="shared" si="754"/>
        <v>#DIV/0!</v>
      </c>
      <c r="O216" s="158">
        <f t="shared" si="754"/>
        <v>0.79280209923664124</v>
      </c>
      <c r="P216" s="158">
        <f t="shared" si="754"/>
        <v>0.68898333333333328</v>
      </c>
      <c r="Q216" s="158">
        <f t="shared" si="754"/>
        <v>0.4780061059907833</v>
      </c>
      <c r="R216" s="158">
        <f t="shared" si="754"/>
        <v>0.82023204545454553</v>
      </c>
      <c r="S216" s="158">
        <f t="shared" si="754"/>
        <v>0.68035820895522403</v>
      </c>
      <c r="T216" s="158">
        <f t="shared" si="754"/>
        <v>1.1925410583941605</v>
      </c>
      <c r="U216" s="158">
        <f t="shared" ref="U216" si="755">(U203)/($O$2*100)</f>
        <v>0.66681235431235442</v>
      </c>
      <c r="V216" s="101" t="e">
        <f t="shared" si="675"/>
        <v>#DIV/0!</v>
      </c>
      <c r="W216" s="110"/>
      <c r="X216" s="158">
        <f t="shared" ref="X216:AG216" si="756">(X203)/($O$2*100)</f>
        <v>0.57790404040404053</v>
      </c>
      <c r="Y216" s="158">
        <f t="shared" si="756"/>
        <v>0.5759776936026938</v>
      </c>
      <c r="Z216" s="158">
        <f t="shared" si="756"/>
        <v>0.57405776795735153</v>
      </c>
      <c r="AA216" s="158">
        <f t="shared" si="756"/>
        <v>0.57214424206416026</v>
      </c>
      <c r="AB216" s="158">
        <f t="shared" si="756"/>
        <v>0.57023709459061311</v>
      </c>
      <c r="AC216" s="158">
        <f t="shared" si="756"/>
        <v>0.56833630427531101</v>
      </c>
      <c r="AD216" s="158">
        <f t="shared" si="756"/>
        <v>0.56644184992772684</v>
      </c>
      <c r="AE216" s="158">
        <f t="shared" si="756"/>
        <v>0.56455371042796776</v>
      </c>
      <c r="AF216" s="158">
        <f t="shared" si="756"/>
        <v>0.56267186472654118</v>
      </c>
      <c r="AG216" s="158">
        <f t="shared" si="756"/>
        <v>0.56079629184411928</v>
      </c>
      <c r="AH216" s="116">
        <f t="shared" si="731"/>
        <v>-6.9626966226207343E-2</v>
      </c>
      <c r="AI216" s="21">
        <f t="shared" si="751"/>
        <v>0.02</v>
      </c>
      <c r="AJ216" s="158">
        <f>(AJ203)/($O$2*100)</f>
        <v>4.0134595951700494</v>
      </c>
    </row>
    <row r="217" spans="2:36">
      <c r="B217" s="10" t="s">
        <v>438</v>
      </c>
      <c r="C217" s="129"/>
      <c r="D217" s="129"/>
      <c r="E217" s="129"/>
      <c r="F217" s="129"/>
      <c r="G217" s="129">
        <f t="shared" ref="G217" si="757">G216-1</f>
        <v>2.7124999999999995</v>
      </c>
      <c r="H217" s="129" t="e">
        <f t="shared" ref="H217:I217" si="758">H216-1</f>
        <v>#DIV/0!</v>
      </c>
      <c r="I217" s="129">
        <f t="shared" si="758"/>
        <v>-1</v>
      </c>
      <c r="J217" s="129">
        <f t="shared" ref="J217:S217" si="759">J216-1</f>
        <v>1.9491136363636365</v>
      </c>
      <c r="K217" s="129">
        <f t="shared" si="759"/>
        <v>6.0655821917808384E-2</v>
      </c>
      <c r="L217" s="129">
        <f t="shared" si="759"/>
        <v>-0.53769856459330145</v>
      </c>
      <c r="M217" s="129">
        <f t="shared" si="759"/>
        <v>-0.33112244897959175</v>
      </c>
      <c r="N217" s="129" t="e">
        <f t="shared" si="759"/>
        <v>#DIV/0!</v>
      </c>
      <c r="O217" s="129">
        <f t="shared" si="759"/>
        <v>-0.20719790076335876</v>
      </c>
      <c r="P217" s="129">
        <f t="shared" si="759"/>
        <v>-0.31101666666666672</v>
      </c>
      <c r="Q217" s="129">
        <f t="shared" si="759"/>
        <v>-0.5219938940092167</v>
      </c>
      <c r="R217" s="129">
        <f t="shared" si="759"/>
        <v>-0.17976795454545447</v>
      </c>
      <c r="S217" s="129">
        <f t="shared" si="759"/>
        <v>-0.31964179104477597</v>
      </c>
      <c r="T217" s="129">
        <f>T216-1</f>
        <v>0.19254105839416047</v>
      </c>
      <c r="U217" s="129">
        <f>U216-1</f>
        <v>-0.33318764568764558</v>
      </c>
      <c r="V217" s="101" t="e">
        <f t="shared" si="675"/>
        <v>#DIV/0!</v>
      </c>
      <c r="W217" s="110"/>
      <c r="X217" s="129">
        <f t="shared" ref="X217:AG217" si="760">X216-1</f>
        <v>-0.42209595959595947</v>
      </c>
      <c r="Y217" s="129">
        <f t="shared" si="760"/>
        <v>-0.4240223063973062</v>
      </c>
      <c r="Z217" s="129">
        <f t="shared" si="760"/>
        <v>-0.42594223204264847</v>
      </c>
      <c r="AA217" s="129">
        <f t="shared" si="760"/>
        <v>-0.42785575793583974</v>
      </c>
      <c r="AB217" s="129">
        <f t="shared" si="760"/>
        <v>-0.42976290540938689</v>
      </c>
      <c r="AC217" s="129">
        <f t="shared" si="760"/>
        <v>-0.43166369572468899</v>
      </c>
      <c r="AD217" s="129">
        <f t="shared" si="760"/>
        <v>-0.43355815007227316</v>
      </c>
      <c r="AE217" s="129">
        <f t="shared" si="760"/>
        <v>-0.43544628957203224</v>
      </c>
      <c r="AF217" s="129">
        <f t="shared" si="760"/>
        <v>-0.43732813527345882</v>
      </c>
      <c r="AG217" s="129">
        <f t="shared" si="760"/>
        <v>-0.43920370815588072</v>
      </c>
      <c r="AH217" s="116">
        <f t="shared" ref="AH217" si="761">((AG217/J217)^(1/($AG$3-$K$1) ))-1</f>
        <v>-1.9372644039232072</v>
      </c>
      <c r="AI217" s="21">
        <f t="shared" si="751"/>
        <v>0.02</v>
      </c>
      <c r="AJ217" s="158">
        <f>(AJ204)/($O$2*100)</f>
        <v>0.65098113208655461</v>
      </c>
    </row>
    <row r="218" spans="2:36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10"/>
      <c r="W218" s="110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13"/>
      <c r="AH218" s="115"/>
      <c r="AI218" s="10"/>
      <c r="AJ218" s="109"/>
    </row>
    <row r="219" spans="2:36">
      <c r="B219" s="10" t="s">
        <v>414</v>
      </c>
      <c r="C219" s="129"/>
      <c r="D219" s="129"/>
      <c r="E219" s="129"/>
      <c r="F219" s="129"/>
      <c r="G219" s="129">
        <f t="shared" ref="G219:S219" si="762">1/G220</f>
        <v>2.7560027560027561E-3</v>
      </c>
      <c r="H219" s="129" t="e">
        <f t="shared" si="762"/>
        <v>#DIV/0!</v>
      </c>
      <c r="I219" s="129" t="e">
        <f t="shared" si="762"/>
        <v>#DIV/0!</v>
      </c>
      <c r="J219" s="129">
        <f t="shared" si="762"/>
        <v>1.5734963831849646E-3</v>
      </c>
      <c r="K219" s="129">
        <f t="shared" si="762"/>
        <v>2.7493376949241522E-3</v>
      </c>
      <c r="L219" s="129">
        <f t="shared" si="762"/>
        <v>8.8127995104739301E-3</v>
      </c>
      <c r="M219" s="129">
        <f t="shared" si="762"/>
        <v>5.2029800313553179E-3</v>
      </c>
      <c r="N219" s="129">
        <f t="shared" si="762"/>
        <v>5.6842556842556853E-2</v>
      </c>
      <c r="O219" s="129">
        <f t="shared" si="762"/>
        <v>8.2830683923580103E-2</v>
      </c>
      <c r="P219" s="129">
        <f t="shared" si="762"/>
        <v>7.3701856521953768E-2</v>
      </c>
      <c r="Q219" s="129">
        <f t="shared" si="762"/>
        <v>7.9361335905838534E-2</v>
      </c>
      <c r="R219" s="129">
        <f t="shared" si="762"/>
        <v>3.5626798397089841E-2</v>
      </c>
      <c r="S219" s="129">
        <f t="shared" si="762"/>
        <v>4.0601826316112033E-2</v>
      </c>
      <c r="T219" s="129">
        <f>1/T220</f>
        <v>1.4482180087275628E-2</v>
      </c>
      <c r="U219" s="129">
        <f>1/U220</f>
        <v>1.818961818961819E-2</v>
      </c>
      <c r="V219" s="101" t="e">
        <f t="shared" si="675"/>
        <v>#DIV/0!</v>
      </c>
      <c r="W219" s="110"/>
      <c r="X219" s="129">
        <f t="shared" ref="X219:AG219" si="763">1/X220</f>
        <v>1.818961818961819E-2</v>
      </c>
      <c r="Y219" s="129">
        <f t="shared" si="763"/>
        <v>1.5817059295320166E-2</v>
      </c>
      <c r="Z219" s="129">
        <f t="shared" si="763"/>
        <v>1.3753964604626231E-2</v>
      </c>
      <c r="AA219" s="129">
        <f t="shared" si="763"/>
        <v>1.1959969221414115E-2</v>
      </c>
      <c r="AB219" s="129">
        <f t="shared" si="763"/>
        <v>1.0399973236012276E-2</v>
      </c>
      <c r="AC219" s="129">
        <f t="shared" si="763"/>
        <v>9.0434549878367614E-3</v>
      </c>
      <c r="AD219" s="129">
        <f t="shared" si="763"/>
        <v>7.8638739024667493E-3</v>
      </c>
      <c r="AE219" s="129">
        <f t="shared" si="763"/>
        <v>6.8381512195363038E-3</v>
      </c>
      <c r="AF219" s="129">
        <f t="shared" si="763"/>
        <v>5.9462184517706995E-3</v>
      </c>
      <c r="AG219" s="129">
        <f t="shared" si="763"/>
        <v>5.170624740670174E-3</v>
      </c>
      <c r="AH219" s="116">
        <f t="shared" ref="AH219" si="764">((AG219/J219)^(1/($AG$3-$K$1) ))-1</f>
        <v>5.3086945650305362E-2</v>
      </c>
      <c r="AI219" s="21">
        <f t="shared" ref="AI219:AI222" si="765">$O$1</f>
        <v>0.02</v>
      </c>
      <c r="AJ219" s="158">
        <f>(AJ206)/($O$2*100)</f>
        <v>0.51484581774891813</v>
      </c>
    </row>
    <row r="220" spans="2:36">
      <c r="B220" s="10" t="s">
        <v>415</v>
      </c>
      <c r="C220" s="111"/>
      <c r="D220" s="111"/>
      <c r="E220" s="111"/>
      <c r="F220" s="111"/>
      <c r="G220" s="113">
        <f t="shared" ref="G220" si="766">G201/$W$170</f>
        <v>362.84433962264148</v>
      </c>
      <c r="H220" s="113">
        <f t="shared" ref="H220:I220" si="767">H201/$W$170</f>
        <v>0</v>
      </c>
      <c r="I220" s="113">
        <f t="shared" si="767"/>
        <v>0</v>
      </c>
      <c r="J220" s="113">
        <f t="shared" ref="J220:T220" si="768">J201/$W$170</f>
        <v>635.52735849056603</v>
      </c>
      <c r="K220" s="113">
        <f t="shared" si="768"/>
        <v>363.72396226415094</v>
      </c>
      <c r="L220" s="113">
        <f t="shared" si="768"/>
        <v>113.47132075471697</v>
      </c>
      <c r="M220" s="113">
        <f t="shared" si="768"/>
        <v>192.19754716981132</v>
      </c>
      <c r="N220" s="113">
        <f t="shared" si="768"/>
        <v>17.592452830188677</v>
      </c>
      <c r="O220" s="113">
        <f t="shared" si="768"/>
        <v>12.072820754716981</v>
      </c>
      <c r="P220" s="113">
        <f t="shared" si="768"/>
        <v>13.568179245283019</v>
      </c>
      <c r="Q220" s="113">
        <f t="shared" si="768"/>
        <v>12.60059433962264</v>
      </c>
      <c r="R220" s="113">
        <f t="shared" si="768"/>
        <v>28.068758490566037</v>
      </c>
      <c r="S220" s="113">
        <f t="shared" si="768"/>
        <v>24.629433962264148</v>
      </c>
      <c r="T220" s="113">
        <f t="shared" si="768"/>
        <v>69.050377358490564</v>
      </c>
      <c r="U220" s="113">
        <f t="shared" ref="U220" si="769">U201/$W$170</f>
        <v>54.976415094339622</v>
      </c>
      <c r="V220" s="101" t="e">
        <f t="shared" si="675"/>
        <v>#DIV/0!</v>
      </c>
      <c r="W220" s="110"/>
      <c r="X220" s="113">
        <f t="shared" ref="X220:AG220" si="770">X201/$W$170</f>
        <v>54.976415094339622</v>
      </c>
      <c r="Y220" s="113">
        <f t="shared" si="770"/>
        <v>63.222877358490564</v>
      </c>
      <c r="Z220" s="113">
        <f t="shared" si="770"/>
        <v>72.706308962264146</v>
      </c>
      <c r="AA220" s="113">
        <f t="shared" si="770"/>
        <v>83.612255306603757</v>
      </c>
      <c r="AB220" s="113">
        <f t="shared" si="770"/>
        <v>96.154093602594315</v>
      </c>
      <c r="AC220" s="113">
        <f t="shared" si="770"/>
        <v>110.57720764298345</v>
      </c>
      <c r="AD220" s="113">
        <f t="shared" si="770"/>
        <v>127.16378878943098</v>
      </c>
      <c r="AE220" s="113">
        <f t="shared" si="770"/>
        <v>146.23835710784562</v>
      </c>
      <c r="AF220" s="113">
        <f t="shared" si="770"/>
        <v>168.17411067402244</v>
      </c>
      <c r="AG220" s="113">
        <f t="shared" si="770"/>
        <v>193.40022727512579</v>
      </c>
      <c r="AH220" s="116">
        <f t="shared" ref="AH220:AH222" si="771">((AG220/J220)^(1/($AG$3-$K$1) ))-1</f>
        <v>-5.0410790741996059E-2</v>
      </c>
      <c r="AI220" s="21">
        <f t="shared" si="765"/>
        <v>0.02</v>
      </c>
      <c r="AJ220" s="158">
        <f>(AJ206)/($O$2*100)</f>
        <v>0.51484581774891813</v>
      </c>
    </row>
    <row r="221" spans="2:36">
      <c r="B221" s="10" t="s">
        <v>437</v>
      </c>
      <c r="C221" s="111"/>
      <c r="D221" s="111"/>
      <c r="E221" s="111"/>
      <c r="F221" s="111"/>
      <c r="G221" s="158">
        <f t="shared" ref="G221" si="772">(G220)/($O$2*100)</f>
        <v>18.142216981132073</v>
      </c>
      <c r="H221" s="158">
        <f t="shared" ref="H221:I221" si="773">(H220)/($O$2*100)</f>
        <v>0</v>
      </c>
      <c r="I221" s="158">
        <f t="shared" si="773"/>
        <v>0</v>
      </c>
      <c r="J221" s="158">
        <f t="shared" ref="J221:T221" si="774">(J220)/($O$2*100)</f>
        <v>31.776367924528302</v>
      </c>
      <c r="K221" s="158">
        <f t="shared" si="774"/>
        <v>18.186198113207546</v>
      </c>
      <c r="L221" s="158">
        <f t="shared" si="774"/>
        <v>5.6735660377358483</v>
      </c>
      <c r="M221" s="158">
        <f t="shared" si="774"/>
        <v>9.6098773584905661</v>
      </c>
      <c r="N221" s="158">
        <f t="shared" si="774"/>
        <v>0.87962264150943381</v>
      </c>
      <c r="O221" s="158">
        <f t="shared" si="774"/>
        <v>0.60364103773584898</v>
      </c>
      <c r="P221" s="158">
        <f t="shared" si="774"/>
        <v>0.67840896226415093</v>
      </c>
      <c r="Q221" s="158">
        <f t="shared" si="774"/>
        <v>0.63002971698113197</v>
      </c>
      <c r="R221" s="158">
        <f t="shared" si="774"/>
        <v>1.4034379245283017</v>
      </c>
      <c r="S221" s="158">
        <f t="shared" si="774"/>
        <v>1.2314716981132074</v>
      </c>
      <c r="T221" s="158">
        <f t="shared" si="774"/>
        <v>3.4525188679245282</v>
      </c>
      <c r="U221" s="158">
        <f t="shared" ref="U221" si="775">(U220)/($O$2*100)</f>
        <v>2.7488207547169812</v>
      </c>
      <c r="V221" s="101" t="e">
        <f t="shared" si="675"/>
        <v>#DIV/0!</v>
      </c>
      <c r="W221" s="110"/>
      <c r="X221" s="158">
        <f t="shared" ref="X221:AG221" si="776">(X220)/($O$2*100)</f>
        <v>2.7488207547169812</v>
      </c>
      <c r="Y221" s="158">
        <f t="shared" si="776"/>
        <v>3.1611438679245283</v>
      </c>
      <c r="Z221" s="158">
        <f t="shared" si="776"/>
        <v>3.6353154481132073</v>
      </c>
      <c r="AA221" s="158">
        <f t="shared" si="776"/>
        <v>4.1806127653301877</v>
      </c>
      <c r="AB221" s="158">
        <f t="shared" si="776"/>
        <v>4.8077046801297154</v>
      </c>
      <c r="AC221" s="158">
        <f t="shared" si="776"/>
        <v>5.5288603821491726</v>
      </c>
      <c r="AD221" s="158">
        <f t="shared" si="776"/>
        <v>6.3581894394715492</v>
      </c>
      <c r="AE221" s="158">
        <f t="shared" si="776"/>
        <v>7.3119178553922808</v>
      </c>
      <c r="AF221" s="158">
        <f t="shared" si="776"/>
        <v>8.4087055337011218</v>
      </c>
      <c r="AG221" s="158">
        <f t="shared" si="776"/>
        <v>9.6700113637562897</v>
      </c>
      <c r="AH221" s="116">
        <f t="shared" si="771"/>
        <v>-5.0410790741996059E-2</v>
      </c>
      <c r="AI221" s="21">
        <f t="shared" si="765"/>
        <v>0.02</v>
      </c>
      <c r="AJ221" s="158">
        <f>(AJ207)/($O$2*100)</f>
        <v>0.23478997629723214</v>
      </c>
    </row>
    <row r="222" spans="2:36">
      <c r="B222" s="10" t="s">
        <v>439</v>
      </c>
      <c r="C222" s="111"/>
      <c r="D222" s="111"/>
      <c r="E222" s="111"/>
      <c r="F222" s="111"/>
      <c r="G222" s="129">
        <f t="shared" ref="G222" si="777">G221-1</f>
        <v>17.142216981132073</v>
      </c>
      <c r="H222" s="129">
        <f t="shared" ref="H222:I222" si="778">H221-1</f>
        <v>-1</v>
      </c>
      <c r="I222" s="129">
        <f t="shared" si="778"/>
        <v>-1</v>
      </c>
      <c r="J222" s="129">
        <f t="shared" ref="J222:T222" si="779">J221-1</f>
        <v>30.776367924528302</v>
      </c>
      <c r="K222" s="129">
        <f t="shared" si="779"/>
        <v>17.186198113207546</v>
      </c>
      <c r="L222" s="129">
        <f t="shared" si="779"/>
        <v>4.6735660377358483</v>
      </c>
      <c r="M222" s="129">
        <f t="shared" si="779"/>
        <v>8.6098773584905661</v>
      </c>
      <c r="N222" s="129">
        <f t="shared" si="779"/>
        <v>-0.12037735849056619</v>
      </c>
      <c r="O222" s="129">
        <f t="shared" si="779"/>
        <v>-0.39635896226415102</v>
      </c>
      <c r="P222" s="129">
        <f t="shared" si="779"/>
        <v>-0.32159103773584907</v>
      </c>
      <c r="Q222" s="129">
        <f t="shared" si="779"/>
        <v>-0.36997028301886803</v>
      </c>
      <c r="R222" s="129">
        <f t="shared" si="779"/>
        <v>0.40343792452830174</v>
      </c>
      <c r="S222" s="129">
        <f t="shared" si="779"/>
        <v>0.23147169811320745</v>
      </c>
      <c r="T222" s="129">
        <f t="shared" si="779"/>
        <v>2.4525188679245282</v>
      </c>
      <c r="U222" s="129">
        <f t="shared" ref="U222" si="780">U221-1</f>
        <v>1.7488207547169812</v>
      </c>
      <c r="V222" s="101" t="e">
        <f t="shared" si="675"/>
        <v>#NUM!</v>
      </c>
      <c r="W222" s="110"/>
      <c r="X222" s="129">
        <f t="shared" ref="X222:AG222" si="781">X221-1</f>
        <v>1.7488207547169812</v>
      </c>
      <c r="Y222" s="129">
        <f t="shared" si="781"/>
        <v>2.1611438679245283</v>
      </c>
      <c r="Z222" s="129">
        <f t="shared" si="781"/>
        <v>2.6353154481132073</v>
      </c>
      <c r="AA222" s="129">
        <f t="shared" si="781"/>
        <v>3.1806127653301877</v>
      </c>
      <c r="AB222" s="129">
        <f t="shared" si="781"/>
        <v>3.8077046801297154</v>
      </c>
      <c r="AC222" s="129">
        <f t="shared" si="781"/>
        <v>4.5288603821491726</v>
      </c>
      <c r="AD222" s="129">
        <f t="shared" si="781"/>
        <v>5.3581894394715492</v>
      </c>
      <c r="AE222" s="129">
        <f t="shared" si="781"/>
        <v>6.3119178553922808</v>
      </c>
      <c r="AF222" s="129">
        <f t="shared" si="781"/>
        <v>7.4087055337011218</v>
      </c>
      <c r="AG222" s="129">
        <f t="shared" si="781"/>
        <v>8.6700113637562897</v>
      </c>
      <c r="AH222" s="116">
        <f t="shared" si="771"/>
        <v>-5.3592091087006577E-2</v>
      </c>
      <c r="AI222" s="21">
        <f t="shared" si="765"/>
        <v>0.02</v>
      </c>
      <c r="AJ222" s="158">
        <f>(AJ208)/($O$2*100)</f>
        <v>7.9875169100421597E-2</v>
      </c>
    </row>
    <row r="223" spans="2:36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6"/>
      <c r="O223" s="177"/>
      <c r="P223" s="113"/>
      <c r="Q223" s="113"/>
      <c r="R223" s="113"/>
      <c r="S223" s="113"/>
      <c r="T223" s="113"/>
      <c r="U223" s="113"/>
      <c r="V223" s="110"/>
      <c r="W223" s="110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5"/>
      <c r="AI223" s="10"/>
      <c r="AJ223" s="10"/>
    </row>
    <row r="224" spans="2:36">
      <c r="B224" s="10" t="s">
        <v>414</v>
      </c>
      <c r="C224" s="111"/>
      <c r="D224" s="111"/>
      <c r="E224" s="111"/>
      <c r="F224" s="111"/>
      <c r="G224" s="129">
        <f t="shared" ref="G224:U224" si="782">1/G225</f>
        <v>4.4000364000364002E-3</v>
      </c>
      <c r="H224" s="129" t="e">
        <f t="shared" si="782"/>
        <v>#DIV/0!</v>
      </c>
      <c r="I224" s="129" t="e">
        <f t="shared" si="782"/>
        <v>#DIV/0!</v>
      </c>
      <c r="J224" s="129">
        <f t="shared" si="782"/>
        <v>2.5121315086713012E-3</v>
      </c>
      <c r="K224" s="129">
        <f t="shared" si="782"/>
        <v>4.3893954413906046E-3</v>
      </c>
      <c r="L224" s="129">
        <f t="shared" si="782"/>
        <v>1.4069883837325698E-2</v>
      </c>
      <c r="M224" s="129">
        <f t="shared" si="782"/>
        <v>8.3067048742105944E-3</v>
      </c>
      <c r="N224" s="129">
        <f t="shared" si="782"/>
        <v>9.0750750750750744E-2</v>
      </c>
      <c r="O224" s="129">
        <f t="shared" si="782"/>
        <v>0.13224153114863499</v>
      </c>
      <c r="P224" s="129">
        <f t="shared" si="782"/>
        <v>0.11766709983889885</v>
      </c>
      <c r="Q224" s="129">
        <f t="shared" si="782"/>
        <v>0.12670261884921571</v>
      </c>
      <c r="R224" s="129">
        <f t="shared" si="782"/>
        <v>5.6879191946568944E-2</v>
      </c>
      <c r="S224" s="129">
        <f t="shared" si="782"/>
        <v>6.4821964821964825E-2</v>
      </c>
      <c r="T224" s="129">
        <f t="shared" si="782"/>
        <v>2.3121210382356882E-2</v>
      </c>
      <c r="U224" s="129">
        <f t="shared" si="782"/>
        <v>2.9040240240240243E-2</v>
      </c>
      <c r="V224" s="101" t="e">
        <f t="shared" si="675"/>
        <v>#DIV/0!</v>
      </c>
      <c r="W224" s="110"/>
      <c r="X224" s="129">
        <f t="shared" ref="X224:AG224" si="783">1/X225</f>
        <v>2.9040240240240243E-2</v>
      </c>
      <c r="Y224" s="129">
        <f t="shared" si="783"/>
        <v>2.525238281760021E-2</v>
      </c>
      <c r="Z224" s="129">
        <f t="shared" si="783"/>
        <v>2.1958593754434964E-2</v>
      </c>
      <c r="AA224" s="129">
        <f t="shared" si="783"/>
        <v>1.9094429351682578E-2</v>
      </c>
      <c r="AB224" s="129">
        <f t="shared" si="783"/>
        <v>1.6603851610158767E-2</v>
      </c>
      <c r="AC224" s="129">
        <f t="shared" si="783"/>
        <v>1.4438131834920665E-2</v>
      </c>
      <c r="AD224" s="129">
        <f t="shared" si="783"/>
        <v>1.2554897247757102E-2</v>
      </c>
      <c r="AE224" s="129">
        <f t="shared" si="783"/>
        <v>1.0917301954571393E-2</v>
      </c>
      <c r="AF224" s="129">
        <f t="shared" si="783"/>
        <v>9.4933060474533867E-3</v>
      </c>
      <c r="AG224" s="129">
        <f t="shared" si="783"/>
        <v>8.2550487369159892E-3</v>
      </c>
      <c r="AH224" s="116">
        <f t="shared" ref="AH224" si="784">((AG224/J224)^(1/($AG$3-$K$1) ))-1</f>
        <v>5.3086945650305362E-2</v>
      </c>
      <c r="AI224" s="21">
        <f t="shared" ref="AI224" si="785">$O$1</f>
        <v>0.02</v>
      </c>
      <c r="AJ224" s="158">
        <f>(AJ210)/($O$2*100)</f>
        <v>0</v>
      </c>
    </row>
    <row r="225" spans="2:36">
      <c r="B225" s="10" t="s">
        <v>416</v>
      </c>
      <c r="C225" s="111"/>
      <c r="D225" s="111"/>
      <c r="E225" s="111"/>
      <c r="F225" s="111"/>
      <c r="G225" s="113">
        <f t="shared" ref="G225" si="786">G201/$T$170</f>
        <v>227.27084712111184</v>
      </c>
      <c r="H225" s="113">
        <f t="shared" ref="H225:I225" si="787">H201/$T$170</f>
        <v>0</v>
      </c>
      <c r="I225" s="113">
        <f t="shared" si="787"/>
        <v>0</v>
      </c>
      <c r="J225" s="113">
        <f t="shared" ref="J225:S225" si="788">J201/$T$170</f>
        <v>398.06833223031106</v>
      </c>
      <c r="K225" s="113">
        <f t="shared" si="788"/>
        <v>227.82180675049636</v>
      </c>
      <c r="L225" s="113">
        <f t="shared" si="788"/>
        <v>71.073792190602248</v>
      </c>
      <c r="M225" s="113">
        <f t="shared" si="788"/>
        <v>120.38467902051622</v>
      </c>
      <c r="N225" s="113">
        <f t="shared" si="788"/>
        <v>11.019192587690272</v>
      </c>
      <c r="O225" s="113">
        <f t="shared" si="788"/>
        <v>7.5619209133024485</v>
      </c>
      <c r="P225" s="113">
        <f t="shared" si="788"/>
        <v>8.4985522832561227</v>
      </c>
      <c r="Q225" s="113">
        <f t="shared" si="788"/>
        <v>7.8924966909331564</v>
      </c>
      <c r="R225" s="113">
        <f t="shared" si="788"/>
        <v>17.581121773659827</v>
      </c>
      <c r="S225" s="113">
        <f t="shared" si="788"/>
        <v>15.426869622766379</v>
      </c>
      <c r="T225" s="113">
        <f>T201/$T$170</f>
        <v>43.250330906684312</v>
      </c>
      <c r="U225" s="113">
        <f>U201/$T$170</f>
        <v>34.434976836532094</v>
      </c>
      <c r="V225" s="101" t="e">
        <f t="shared" si="675"/>
        <v>#DIV/0!</v>
      </c>
      <c r="W225" s="110"/>
      <c r="X225" s="113">
        <f t="shared" ref="X225:AG225" si="789">X201/$T$170</f>
        <v>34.434976836532094</v>
      </c>
      <c r="Y225" s="113">
        <f t="shared" si="789"/>
        <v>39.60022336201191</v>
      </c>
      <c r="Z225" s="113">
        <f t="shared" si="789"/>
        <v>45.540256866313698</v>
      </c>
      <c r="AA225" s="113">
        <f t="shared" si="789"/>
        <v>52.371295396260749</v>
      </c>
      <c r="AB225" s="113">
        <f t="shared" si="789"/>
        <v>60.226989705699857</v>
      </c>
      <c r="AC225" s="113">
        <f t="shared" si="789"/>
        <v>69.261038161554836</v>
      </c>
      <c r="AD225" s="113">
        <f t="shared" si="789"/>
        <v>79.650193885788056</v>
      </c>
      <c r="AE225" s="113">
        <f t="shared" si="789"/>
        <v>91.597722968656257</v>
      </c>
      <c r="AF225" s="113">
        <f t="shared" si="789"/>
        <v>105.33738141395469</v>
      </c>
      <c r="AG225" s="113">
        <f t="shared" si="789"/>
        <v>121.13798862604789</v>
      </c>
      <c r="AH225" s="116">
        <f t="shared" ref="AH225:AH227" si="790">((AG225/J225)^(1/($AG$3-$K$1) ))-1</f>
        <v>-5.0410790741996059E-2</v>
      </c>
      <c r="AI225" s="21">
        <f t="shared" ref="AI225:AI227" si="791">$O$1</f>
        <v>0.02</v>
      </c>
      <c r="AJ225" s="158">
        <f>(AJ210)/($O$2*100)</f>
        <v>0</v>
      </c>
    </row>
    <row r="226" spans="2:36">
      <c r="B226" s="10" t="s">
        <v>437</v>
      </c>
      <c r="C226" s="111"/>
      <c r="D226" s="111"/>
      <c r="E226" s="111"/>
      <c r="F226" s="111"/>
      <c r="G226" s="158">
        <f t="shared" ref="G226" si="792">(G225)/($O$2*100)</f>
        <v>11.363542356055593</v>
      </c>
      <c r="H226" s="158">
        <f t="shared" ref="H226:I226" si="793">(H225)/($O$2*100)</f>
        <v>0</v>
      </c>
      <c r="I226" s="158">
        <f t="shared" si="793"/>
        <v>0</v>
      </c>
      <c r="J226" s="158">
        <f t="shared" ref="J226:T226" si="794">(J225)/($O$2*100)</f>
        <v>19.903416611515553</v>
      </c>
      <c r="K226" s="158">
        <f t="shared" si="794"/>
        <v>11.391090337524819</v>
      </c>
      <c r="L226" s="158">
        <f t="shared" si="794"/>
        <v>3.5536896095301125</v>
      </c>
      <c r="M226" s="158">
        <f t="shared" si="794"/>
        <v>6.0192339510258108</v>
      </c>
      <c r="N226" s="158">
        <f t="shared" si="794"/>
        <v>0.55095962938451359</v>
      </c>
      <c r="O226" s="158">
        <f t="shared" si="794"/>
        <v>0.37809604566512245</v>
      </c>
      <c r="P226" s="158">
        <f t="shared" si="794"/>
        <v>0.42492761416280611</v>
      </c>
      <c r="Q226" s="158">
        <f t="shared" si="794"/>
        <v>0.39462483454665781</v>
      </c>
      <c r="R226" s="158">
        <f t="shared" si="794"/>
        <v>0.87905608868299134</v>
      </c>
      <c r="S226" s="158">
        <f t="shared" si="794"/>
        <v>0.77134348113831896</v>
      </c>
      <c r="T226" s="158">
        <f t="shared" si="794"/>
        <v>2.1625165453342157</v>
      </c>
      <c r="U226" s="158">
        <f t="shared" ref="U226" si="795">(U225)/($O$2*100)</f>
        <v>1.7217488418266047</v>
      </c>
      <c r="V226" s="101" t="e">
        <f t="shared" si="675"/>
        <v>#DIV/0!</v>
      </c>
      <c r="W226" s="110"/>
      <c r="X226" s="158">
        <f t="shared" ref="X226:AG226" si="796">(X225)/($O$2*100)</f>
        <v>1.7217488418266047</v>
      </c>
      <c r="Y226" s="158">
        <f t="shared" si="796"/>
        <v>1.9800111681005954</v>
      </c>
      <c r="Z226" s="158">
        <f t="shared" si="796"/>
        <v>2.2770128433156849</v>
      </c>
      <c r="AA226" s="158">
        <f t="shared" si="796"/>
        <v>2.6185647698130374</v>
      </c>
      <c r="AB226" s="158">
        <f t="shared" si="796"/>
        <v>3.0113494852849927</v>
      </c>
      <c r="AC226" s="158">
        <f t="shared" si="796"/>
        <v>3.463051908077742</v>
      </c>
      <c r="AD226" s="158">
        <f t="shared" si="796"/>
        <v>3.9825096942894027</v>
      </c>
      <c r="AE226" s="158">
        <f t="shared" si="796"/>
        <v>4.5798861484328128</v>
      </c>
      <c r="AF226" s="158">
        <f t="shared" si="796"/>
        <v>5.2668690706977346</v>
      </c>
      <c r="AG226" s="158">
        <f t="shared" si="796"/>
        <v>6.0568994313023943</v>
      </c>
      <c r="AH226" s="116">
        <f t="shared" si="790"/>
        <v>-5.0410790741996059E-2</v>
      </c>
      <c r="AI226" s="21">
        <f t="shared" si="791"/>
        <v>0.02</v>
      </c>
      <c r="AJ226" s="158" t="e">
        <f>(#REF!)/($O$2*100)</f>
        <v>#REF!</v>
      </c>
    </row>
    <row r="227" spans="2:36">
      <c r="B227" s="10" t="s">
        <v>439</v>
      </c>
      <c r="C227" s="111"/>
      <c r="D227" s="111"/>
      <c r="E227" s="111"/>
      <c r="F227" s="111"/>
      <c r="G227" s="129">
        <f t="shared" ref="G227" si="797">G226-1</f>
        <v>10.363542356055593</v>
      </c>
      <c r="H227" s="129">
        <f t="shared" ref="H227:I227" si="798">H226-1</f>
        <v>-1</v>
      </c>
      <c r="I227" s="129">
        <f t="shared" si="798"/>
        <v>-1</v>
      </c>
      <c r="J227" s="129">
        <f t="shared" ref="J227:T227" si="799">J226-1</f>
        <v>18.903416611515553</v>
      </c>
      <c r="K227" s="129">
        <f t="shared" si="799"/>
        <v>10.391090337524819</v>
      </c>
      <c r="L227" s="129">
        <f t="shared" si="799"/>
        <v>2.5536896095301125</v>
      </c>
      <c r="M227" s="129">
        <f t="shared" si="799"/>
        <v>5.0192339510258108</v>
      </c>
      <c r="N227" s="129">
        <f t="shared" si="799"/>
        <v>-0.44904037061548641</v>
      </c>
      <c r="O227" s="129">
        <f t="shared" si="799"/>
        <v>-0.62190395433487755</v>
      </c>
      <c r="P227" s="129">
        <f t="shared" si="799"/>
        <v>-0.57507238583719389</v>
      </c>
      <c r="Q227" s="129">
        <f t="shared" si="799"/>
        <v>-0.60537516545334213</v>
      </c>
      <c r="R227" s="129">
        <f t="shared" si="799"/>
        <v>-0.12094391131700866</v>
      </c>
      <c r="S227" s="129">
        <f t="shared" si="799"/>
        <v>-0.22865651886168104</v>
      </c>
      <c r="T227" s="129">
        <f t="shared" si="799"/>
        <v>1.1625165453342157</v>
      </c>
      <c r="U227" s="129">
        <f t="shared" ref="U227" si="800">U226-1</f>
        <v>0.7217488418266047</v>
      </c>
      <c r="V227" s="101" t="e">
        <f t="shared" si="675"/>
        <v>#NUM!</v>
      </c>
      <c r="W227" s="110"/>
      <c r="X227" s="129">
        <f t="shared" ref="X227:AG227" si="801">X226-1</f>
        <v>0.7217488418266047</v>
      </c>
      <c r="Y227" s="129">
        <f t="shared" si="801"/>
        <v>0.98001116810059541</v>
      </c>
      <c r="Z227" s="129">
        <f t="shared" si="801"/>
        <v>1.2770128433156849</v>
      </c>
      <c r="AA227" s="129">
        <f t="shared" si="801"/>
        <v>1.6185647698130374</v>
      </c>
      <c r="AB227" s="129">
        <f t="shared" si="801"/>
        <v>2.0113494852849927</v>
      </c>
      <c r="AC227" s="129">
        <f t="shared" si="801"/>
        <v>2.463051908077742</v>
      </c>
      <c r="AD227" s="129">
        <f t="shared" si="801"/>
        <v>2.9825096942894027</v>
      </c>
      <c r="AE227" s="129">
        <f t="shared" si="801"/>
        <v>3.5798861484328128</v>
      </c>
      <c r="AF227" s="129">
        <f t="shared" si="801"/>
        <v>4.2668690706977346</v>
      </c>
      <c r="AG227" s="129">
        <f t="shared" si="801"/>
        <v>5.0568994313023943</v>
      </c>
      <c r="AH227" s="116">
        <f t="shared" si="790"/>
        <v>-5.5717560103157426E-2</v>
      </c>
      <c r="AI227" s="21">
        <f t="shared" si="791"/>
        <v>0.02</v>
      </c>
      <c r="AJ227" s="158" t="e">
        <f>(AJ211)/($O$2*100)</f>
        <v>#DIV/0!</v>
      </c>
    </row>
    <row r="228" spans="2:36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6"/>
      <c r="O228" s="177"/>
      <c r="P228" s="113"/>
      <c r="Q228" s="113"/>
      <c r="R228" s="113"/>
      <c r="S228" s="113"/>
      <c r="T228" s="113"/>
      <c r="U228" s="113"/>
      <c r="V228" s="110"/>
      <c r="W228" s="110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5"/>
      <c r="AI228" s="10"/>
      <c r="AJ228" s="10"/>
    </row>
    <row r="229" spans="2:36">
      <c r="B229" s="10" t="s">
        <v>414</v>
      </c>
      <c r="C229" s="111"/>
      <c r="D229" s="111"/>
      <c r="E229" s="111"/>
      <c r="F229" s="111"/>
      <c r="G229" s="129">
        <f t="shared" ref="G229:S229" si="802">1/G230</f>
        <v>1.3508929509582705E-2</v>
      </c>
      <c r="H229" s="129" t="e">
        <f t="shared" si="802"/>
        <v>#DIV/0!</v>
      </c>
      <c r="I229" s="129" t="e">
        <f t="shared" si="802"/>
        <v>#DIV/0!</v>
      </c>
      <c r="J229" s="129">
        <f t="shared" si="802"/>
        <v>7.7127106196579476E-3</v>
      </c>
      <c r="K229" s="129">
        <f t="shared" si="802"/>
        <v>1.3476259788882387E-2</v>
      </c>
      <c r="L229" s="129">
        <f t="shared" si="802"/>
        <v>4.3197158315526098E-2</v>
      </c>
      <c r="M229" s="129">
        <f t="shared" si="802"/>
        <v>2.5503127792690466E-2</v>
      </c>
      <c r="N229" s="129">
        <f t="shared" si="802"/>
        <v>0.27862167113514336</v>
      </c>
      <c r="O229" s="129">
        <f t="shared" si="802"/>
        <v>0.40600607815685735</v>
      </c>
      <c r="P229" s="129">
        <f t="shared" si="802"/>
        <v>0.36125986532919713</v>
      </c>
      <c r="Q229" s="129">
        <f t="shared" si="802"/>
        <v>0.38900058797227693</v>
      </c>
      <c r="R229" s="129">
        <f t="shared" si="802"/>
        <v>0.17462969046389429</v>
      </c>
      <c r="S229" s="129">
        <f t="shared" si="802"/>
        <v>0.19901547938224526</v>
      </c>
      <c r="T229" s="129">
        <f>1/T230</f>
        <v>7.0986413028061995E-2</v>
      </c>
      <c r="U229" s="129">
        <f>1/U230</f>
        <v>8.9158934763245865E-2</v>
      </c>
      <c r="V229" s="101" t="e">
        <f t="shared" ref="V229:V232" si="803">((T229/H229)^(1/($K$2-$K$1) ))-1</f>
        <v>#DIV/0!</v>
      </c>
      <c r="W229" s="110"/>
      <c r="X229" s="129">
        <f t="shared" ref="X229:AG229" si="804">1/X230</f>
        <v>2.4082251626931543</v>
      </c>
      <c r="Y229" s="129">
        <f t="shared" si="804"/>
        <v>2.4162794274513248</v>
      </c>
      <c r="Z229" s="129">
        <f t="shared" si="804"/>
        <v>2.4243606295498243</v>
      </c>
      <c r="AA229" s="129">
        <f t="shared" si="804"/>
        <v>2.4324688590800911</v>
      </c>
      <c r="AB229" s="129">
        <f t="shared" si="804"/>
        <v>2.4406042064348741</v>
      </c>
      <c r="AC229" s="129">
        <f t="shared" si="804"/>
        <v>2.4487667623092384</v>
      </c>
      <c r="AD229" s="129">
        <f t="shared" si="804"/>
        <v>2.4569566177015769</v>
      </c>
      <c r="AE229" s="129">
        <f t="shared" si="804"/>
        <v>2.4651738639146257</v>
      </c>
      <c r="AF229" s="129">
        <f t="shared" si="804"/>
        <v>2.4734185925564813</v>
      </c>
      <c r="AG229" s="129">
        <f t="shared" si="804"/>
        <v>2.4816908955416204</v>
      </c>
      <c r="AH229" s="116">
        <f t="shared" ref="AH229:AH232" si="805">((AG229/J229)^(1/($AG$3-$K$1) ))-1</f>
        <v>0.28535622901092461</v>
      </c>
      <c r="AI229" s="21">
        <f t="shared" ref="AI229:AI232" si="806">$O$1</f>
        <v>0.02</v>
      </c>
      <c r="AJ229" s="158">
        <f>(AJ215)/($O$2*100)</f>
        <v>1.9050778780003122E-2</v>
      </c>
    </row>
    <row r="230" spans="2:36">
      <c r="B230" s="10" t="s">
        <v>509</v>
      </c>
      <c r="C230" s="111"/>
      <c r="D230" s="111"/>
      <c r="E230" s="111"/>
      <c r="F230" s="111"/>
      <c r="G230" s="113">
        <f t="shared" ref="G230" si="807">G201/$X$171</f>
        <v>74.02511052342372</v>
      </c>
      <c r="H230" s="113">
        <f t="shared" ref="H230:S230" si="808">H201/$X$171</f>
        <v>0</v>
      </c>
      <c r="I230" s="113">
        <f t="shared" si="808"/>
        <v>0</v>
      </c>
      <c r="J230" s="113">
        <f t="shared" si="808"/>
        <v>129.65610267436031</v>
      </c>
      <c r="K230" s="113">
        <f t="shared" si="808"/>
        <v>74.204565336813829</v>
      </c>
      <c r="L230" s="113">
        <f t="shared" si="808"/>
        <v>23.149670927325236</v>
      </c>
      <c r="M230" s="113">
        <f t="shared" si="808"/>
        <v>39.210876725740803</v>
      </c>
      <c r="N230" s="113">
        <f t="shared" si="808"/>
        <v>3.5890962678023617</v>
      </c>
      <c r="O230" s="113">
        <f t="shared" si="808"/>
        <v>2.4630173137793707</v>
      </c>
      <c r="P230" s="113">
        <f t="shared" si="808"/>
        <v>2.7680904965425719</v>
      </c>
      <c r="Q230" s="113">
        <f t="shared" si="808"/>
        <v>2.5706902018134414</v>
      </c>
      <c r="R230" s="113">
        <f t="shared" si="808"/>
        <v>5.726403095278668</v>
      </c>
      <c r="S230" s="113">
        <f t="shared" si="808"/>
        <v>5.0247347749233064</v>
      </c>
      <c r="T230" s="113">
        <f>T201/$X$171</f>
        <v>14.087202851124271</v>
      </c>
      <c r="U230" s="113">
        <f>U201/$X$171</f>
        <v>11.215925836882381</v>
      </c>
      <c r="V230" s="101" t="e">
        <f t="shared" si="803"/>
        <v>#DIV/0!</v>
      </c>
      <c r="W230" s="110"/>
      <c r="X230" s="113">
        <f t="shared" ref="X230:AG230" si="809">X206/$T$170</f>
        <v>0.41524356421958691</v>
      </c>
      <c r="Y230" s="113">
        <f t="shared" si="809"/>
        <v>0.4138594190055217</v>
      </c>
      <c r="Z230" s="113">
        <f t="shared" si="809"/>
        <v>0.41247988760883664</v>
      </c>
      <c r="AA230" s="113">
        <f t="shared" si="809"/>
        <v>0.41110495465014052</v>
      </c>
      <c r="AB230" s="113">
        <f t="shared" si="809"/>
        <v>0.40973460480130675</v>
      </c>
      <c r="AC230" s="113">
        <f t="shared" si="809"/>
        <v>0.40836882278530234</v>
      </c>
      <c r="AD230" s="113">
        <f t="shared" si="809"/>
        <v>0.407007593376018</v>
      </c>
      <c r="AE230" s="113">
        <f t="shared" si="809"/>
        <v>0.40565090139809795</v>
      </c>
      <c r="AF230" s="113">
        <f t="shared" si="809"/>
        <v>0.40429873172677089</v>
      </c>
      <c r="AG230" s="113">
        <f t="shared" si="809"/>
        <v>0.4029510692876816</v>
      </c>
      <c r="AH230" s="116">
        <f t="shared" si="805"/>
        <v>-0.22200555968091806</v>
      </c>
      <c r="AI230" s="21">
        <f t="shared" si="806"/>
        <v>0.02</v>
      </c>
      <c r="AJ230" s="158">
        <f>(AJ215)/($O$2*100)</f>
        <v>1.9050778780003122E-2</v>
      </c>
    </row>
    <row r="231" spans="2:36">
      <c r="B231" s="10" t="s">
        <v>437</v>
      </c>
      <c r="C231" s="111"/>
      <c r="D231" s="111"/>
      <c r="E231" s="111"/>
      <c r="F231" s="111"/>
      <c r="G231" s="158">
        <f t="shared" ref="G231" si="810">(G230)/($O$2*100)</f>
        <v>3.7012555261711859</v>
      </c>
      <c r="H231" s="158">
        <f t="shared" ref="H231:T231" si="811">(H230)/($O$2*100)</f>
        <v>0</v>
      </c>
      <c r="I231" s="158">
        <f t="shared" si="811"/>
        <v>0</v>
      </c>
      <c r="J231" s="158">
        <f t="shared" si="811"/>
        <v>6.4828051337180153</v>
      </c>
      <c r="K231" s="158">
        <f t="shared" si="811"/>
        <v>3.7102282668406916</v>
      </c>
      <c r="L231" s="158">
        <f t="shared" si="811"/>
        <v>1.1574835463662618</v>
      </c>
      <c r="M231" s="158">
        <f t="shared" si="811"/>
        <v>1.9605438362870402</v>
      </c>
      <c r="N231" s="158">
        <f t="shared" si="811"/>
        <v>0.1794548133901181</v>
      </c>
      <c r="O231" s="158">
        <f t="shared" si="811"/>
        <v>0.12315086568896853</v>
      </c>
      <c r="P231" s="158">
        <f t="shared" si="811"/>
        <v>0.13840452482712859</v>
      </c>
      <c r="Q231" s="158">
        <f t="shared" si="811"/>
        <v>0.12853451009067207</v>
      </c>
      <c r="R231" s="158">
        <f t="shared" si="811"/>
        <v>0.28632015476393341</v>
      </c>
      <c r="S231" s="158">
        <f t="shared" si="811"/>
        <v>0.25123673874616531</v>
      </c>
      <c r="T231" s="158">
        <f t="shared" si="811"/>
        <v>0.7043601425562136</v>
      </c>
      <c r="U231" s="158">
        <f t="shared" ref="U231" si="812">(U230)/($O$2*100)</f>
        <v>0.56079629184411905</v>
      </c>
      <c r="V231" s="101" t="e">
        <f t="shared" si="803"/>
        <v>#DIV/0!</v>
      </c>
      <c r="W231" s="110"/>
      <c r="X231" s="158">
        <f t="shared" ref="X231:AG231" si="813">(X230)/($O$2*100)</f>
        <v>2.0762178210979344E-2</v>
      </c>
      <c r="Y231" s="158">
        <f t="shared" si="813"/>
        <v>2.0692970950276085E-2</v>
      </c>
      <c r="Z231" s="158">
        <f t="shared" si="813"/>
        <v>2.062399438044183E-2</v>
      </c>
      <c r="AA231" s="158">
        <f t="shared" si="813"/>
        <v>2.0555247732507026E-2</v>
      </c>
      <c r="AB231" s="158">
        <f t="shared" si="813"/>
        <v>2.0486730240065337E-2</v>
      </c>
      <c r="AC231" s="158">
        <f t="shared" si="813"/>
        <v>2.0418441139265116E-2</v>
      </c>
      <c r="AD231" s="158">
        <f t="shared" si="813"/>
        <v>2.0350379668800898E-2</v>
      </c>
      <c r="AE231" s="158">
        <f t="shared" si="813"/>
        <v>2.0282545069904897E-2</v>
      </c>
      <c r="AF231" s="158">
        <f t="shared" si="813"/>
        <v>2.0214936586338543E-2</v>
      </c>
      <c r="AG231" s="158">
        <f t="shared" si="813"/>
        <v>2.0147553464384078E-2</v>
      </c>
      <c r="AH231" s="116">
        <f t="shared" si="805"/>
        <v>-0.22200555968091806</v>
      </c>
      <c r="AI231" s="21">
        <f t="shared" si="806"/>
        <v>0.02</v>
      </c>
      <c r="AJ231" s="158" t="e">
        <f>(#REF!)/($O$2*100)</f>
        <v>#REF!</v>
      </c>
    </row>
    <row r="232" spans="2:36">
      <c r="B232" s="10" t="s">
        <v>439</v>
      </c>
      <c r="C232" s="111"/>
      <c r="D232" s="111"/>
      <c r="E232" s="111"/>
      <c r="F232" s="111"/>
      <c r="G232" s="129">
        <f t="shared" ref="G232" si="814">G231-1</f>
        <v>2.7012555261711859</v>
      </c>
      <c r="H232" s="129">
        <f t="shared" ref="H232:T232" si="815">H231-1</f>
        <v>-1</v>
      </c>
      <c r="I232" s="129">
        <f t="shared" si="815"/>
        <v>-1</v>
      </c>
      <c r="J232" s="129">
        <f t="shared" si="815"/>
        <v>5.4828051337180153</v>
      </c>
      <c r="K232" s="129">
        <f t="shared" si="815"/>
        <v>2.7102282668406916</v>
      </c>
      <c r="L232" s="129">
        <f t="shared" si="815"/>
        <v>0.15748354636626183</v>
      </c>
      <c r="M232" s="129">
        <f t="shared" si="815"/>
        <v>0.96054383628704021</v>
      </c>
      <c r="N232" s="129">
        <f t="shared" si="815"/>
        <v>-0.82054518660988185</v>
      </c>
      <c r="O232" s="129">
        <f t="shared" si="815"/>
        <v>-0.87684913431103151</v>
      </c>
      <c r="P232" s="129">
        <f t="shared" si="815"/>
        <v>-0.86159547517287138</v>
      </c>
      <c r="Q232" s="129">
        <f t="shared" si="815"/>
        <v>-0.87146548990932793</v>
      </c>
      <c r="R232" s="129">
        <f t="shared" si="815"/>
        <v>-0.71367984523606665</v>
      </c>
      <c r="S232" s="129">
        <f t="shared" si="815"/>
        <v>-0.74876326125383463</v>
      </c>
      <c r="T232" s="129">
        <f t="shared" si="815"/>
        <v>-0.2956398574437864</v>
      </c>
      <c r="U232" s="129">
        <f t="shared" ref="U232" si="816">U231-1</f>
        <v>-0.43920370815588095</v>
      </c>
      <c r="V232" s="101">
        <f t="shared" si="803"/>
        <v>-8.3363058086299513E-2</v>
      </c>
      <c r="W232" s="110"/>
      <c r="X232" s="129">
        <f t="shared" ref="X232:AG232" si="817">X231-1</f>
        <v>-0.97923782178902063</v>
      </c>
      <c r="Y232" s="129">
        <f t="shared" si="817"/>
        <v>-0.97930702904972389</v>
      </c>
      <c r="Z232" s="129">
        <f t="shared" si="817"/>
        <v>-0.97937600561955818</v>
      </c>
      <c r="AA232" s="129">
        <f t="shared" si="817"/>
        <v>-0.97944475226749295</v>
      </c>
      <c r="AB232" s="129">
        <f t="shared" si="817"/>
        <v>-0.97951326975993469</v>
      </c>
      <c r="AC232" s="129">
        <f t="shared" si="817"/>
        <v>-0.97958155886073484</v>
      </c>
      <c r="AD232" s="129">
        <f t="shared" si="817"/>
        <v>-0.97964962033119907</v>
      </c>
      <c r="AE232" s="129">
        <f t="shared" si="817"/>
        <v>-0.9797174549300951</v>
      </c>
      <c r="AF232" s="129">
        <f t="shared" si="817"/>
        <v>-0.97978506341366145</v>
      </c>
      <c r="AG232" s="129">
        <f t="shared" si="817"/>
        <v>-0.97985244653561587</v>
      </c>
      <c r="AH232" s="116">
        <f t="shared" si="805"/>
        <v>-1.9278657088873032</v>
      </c>
      <c r="AI232" s="21">
        <f t="shared" si="806"/>
        <v>0.02</v>
      </c>
      <c r="AJ232" s="158">
        <f>(AJ216)/($O$2*100)</f>
        <v>0.20067297975850246</v>
      </c>
    </row>
    <row r="233" spans="2:36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6"/>
      <c r="O233" s="177"/>
      <c r="P233" s="113"/>
      <c r="Q233" s="113"/>
      <c r="R233" s="113"/>
      <c r="S233" s="113"/>
      <c r="T233" s="113"/>
      <c r="U233" s="113"/>
      <c r="V233" s="110"/>
      <c r="W233" s="110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5"/>
      <c r="AI233" s="10"/>
      <c r="AJ233" s="10"/>
    </row>
    <row r="234" spans="2:36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6"/>
      <c r="O234" s="177"/>
      <c r="P234" s="113"/>
      <c r="Q234" s="113"/>
      <c r="R234" s="113"/>
      <c r="S234" s="113"/>
      <c r="T234" s="113"/>
      <c r="U234" s="113"/>
      <c r="V234" s="110"/>
      <c r="W234" s="110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5"/>
      <c r="AI234" s="10"/>
      <c r="AJ234" s="10"/>
    </row>
    <row r="235" spans="2:36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6"/>
      <c r="O235" s="177"/>
      <c r="P235" s="113"/>
      <c r="Q235" s="113"/>
      <c r="R235" s="113"/>
      <c r="S235" s="113"/>
      <c r="T235" s="113"/>
      <c r="U235" s="113"/>
      <c r="V235" s="110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2" t="s">
        <v>296</v>
      </c>
      <c r="O236" s="313"/>
      <c r="P236" s="10"/>
      <c r="Q236" s="10"/>
      <c r="R236" s="10"/>
      <c r="S236" s="93" t="s">
        <v>375</v>
      </c>
      <c r="T236" s="93" t="s">
        <v>374</v>
      </c>
      <c r="U236" s="93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5"/>
      <c r="AI236" s="10"/>
      <c r="AJ236" s="10"/>
    </row>
    <row r="237" spans="2:36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(U201-W188)/T201</f>
        <v>0.71230350558648592</v>
      </c>
      <c r="T237" s="110">
        <f>(U201-X188)/T201</f>
        <v>0.73568176050875767</v>
      </c>
      <c r="U237" s="1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5"/>
      <c r="AI237" s="10"/>
      <c r="AJ237" s="10"/>
    </row>
    <row r="238" spans="2:36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9">
        <f>$O$237</f>
        <v>1</v>
      </c>
      <c r="O238" s="10"/>
      <c r="P238" s="110">
        <f>(S201-(N238*W179))/S201</f>
        <v>50.612646291741108</v>
      </c>
      <c r="Q238" s="10"/>
      <c r="R238" s="10"/>
      <c r="S238" s="110">
        <f>(U201-W179)/T201</f>
        <v>18.492408868391735</v>
      </c>
      <c r="T238" s="110">
        <f>(U201-X179)/T201</f>
        <v>2.7966217945382179</v>
      </c>
      <c r="U238" s="1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9">
        <f>$O$237</f>
        <v>1</v>
      </c>
      <c r="O239" s="10"/>
      <c r="P239" s="110">
        <f>(S201-(N239*W172))/S201</f>
        <v>-12.692261412994268</v>
      </c>
      <c r="Q239" s="10"/>
      <c r="R239" s="10"/>
      <c r="S239" s="110">
        <f>(U201-W172)/T201</f>
        <v>-4.0876855995393564</v>
      </c>
      <c r="T239" s="110">
        <f>(U201-X172)/T201</f>
        <v>0.24408937642426876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9">
        <f>$O$237</f>
        <v>1</v>
      </c>
      <c r="O240" s="10"/>
      <c r="P240" s="110">
        <f>(S201-(N240*W185))/S201</f>
        <v>-12.40644449673071</v>
      </c>
      <c r="Q240" s="10"/>
      <c r="R240" s="10"/>
      <c r="S240" s="110">
        <f>(U201-W185)/T201</f>
        <v>-3.9857381644389793</v>
      </c>
      <c r="T240" s="110">
        <f>(U201-X185)/T201</f>
        <v>0.25561386908778977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9">
        <f>$O$237</f>
        <v>1</v>
      </c>
      <c r="O241" s="10"/>
      <c r="P241" s="110">
        <f>(S201-(N241*W198))/S201</f>
        <v>1</v>
      </c>
      <c r="Q241" s="10"/>
      <c r="R241" s="10"/>
      <c r="S241" s="110">
        <f>(U201-W198)/T201</f>
        <v>0.79617834394904463</v>
      </c>
      <c r="T241" s="110">
        <f>(U201-X198)/T201</f>
        <v>0.79617834394904463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U201/W171</f>
        <v>1.2678872685171387</v>
      </c>
      <c r="T242" s="15">
        <f>U201/X171</f>
        <v>11.215925836882381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352</v>
      </c>
      <c r="AI242" s="98" t="s">
        <v>353</v>
      </c>
      <c r="AJ242" s="98" t="s">
        <v>354</v>
      </c>
      <c r="AK242" s="98" t="s">
        <v>355</v>
      </c>
      <c r="AL242" s="98" t="s">
        <v>356</v>
      </c>
      <c r="AM242" s="98" t="s">
        <v>357</v>
      </c>
      <c r="AN242" s="98" t="s">
        <v>358</v>
      </c>
      <c r="AO242" s="98" t="s">
        <v>359</v>
      </c>
      <c r="AP242" s="98" t="s">
        <v>360</v>
      </c>
      <c r="AQ242" s="98" t="s">
        <v>361</v>
      </c>
      <c r="AR242" s="98" t="s">
        <v>362</v>
      </c>
      <c r="AS242" s="98" t="s">
        <v>363</v>
      </c>
      <c r="AT242" s="98" t="s">
        <v>364</v>
      </c>
      <c r="AU242" s="98" t="s">
        <v>365</v>
      </c>
      <c r="AV242" s="98" t="s">
        <v>366</v>
      </c>
      <c r="AW242" s="98" t="s">
        <v>367</v>
      </c>
      <c r="AX242" s="98" t="s">
        <v>368</v>
      </c>
    </row>
    <row r="243" spans="2:50">
      <c r="B243" s="10" t="s">
        <v>316</v>
      </c>
      <c r="C243" s="10"/>
      <c r="D243" s="10"/>
      <c r="E243" s="10"/>
      <c r="F243" s="10"/>
      <c r="G243" s="10"/>
      <c r="H243" s="10"/>
      <c r="I243" s="10"/>
      <c r="J243" s="166" t="s">
        <v>391</v>
      </c>
      <c r="K243" s="167"/>
      <c r="L243" s="166" t="s">
        <v>392</v>
      </c>
      <c r="M243" s="167"/>
      <c r="N243" s="10"/>
      <c r="O243" s="166" t="s">
        <v>393</v>
      </c>
      <c r="P243" s="167"/>
      <c r="Q243" s="166" t="s">
        <v>394</v>
      </c>
      <c r="R243" s="167"/>
      <c r="S243" s="129">
        <f>1/S242</f>
        <v>0.78871365367486723</v>
      </c>
      <c r="T243" s="129">
        <f>1/T242</f>
        <v>8.9158934763245865E-2</v>
      </c>
      <c r="U243" s="129"/>
      <c r="V243" s="10"/>
      <c r="W243" s="10"/>
      <c r="X243" s="111" t="e">
        <f>U201-X244</f>
        <v>#DIV/0!</v>
      </c>
      <c r="Y243" s="162" t="e">
        <f>X243-Y244</f>
        <v>#DIV/0!</v>
      </c>
      <c r="Z243" s="162" t="e">
        <f t="shared" ref="Z243:AB243" si="818">Y243-Z244</f>
        <v>#DIV/0!</v>
      </c>
      <c r="AA243" s="162" t="e">
        <f t="shared" si="818"/>
        <v>#DIV/0!</v>
      </c>
      <c r="AB243" s="162" t="e">
        <f t="shared" si="818"/>
        <v>#DIV/0!</v>
      </c>
      <c r="AC243" s="162" t="e">
        <f>AB243-AC244</f>
        <v>#DIV/0!</v>
      </c>
      <c r="AD243" s="162" t="e">
        <f t="shared" ref="AD243:AG243" si="819">AC243-AD244</f>
        <v>#DIV/0!</v>
      </c>
      <c r="AE243" s="162" t="e">
        <f t="shared" si="819"/>
        <v>#DIV/0!</v>
      </c>
      <c r="AF243" s="162" t="e">
        <f t="shared" si="819"/>
        <v>#DIV/0!</v>
      </c>
      <c r="AG243" s="162" t="e">
        <f t="shared" si="819"/>
        <v>#DIV/0!</v>
      </c>
      <c r="AH243" s="162" t="e">
        <f t="shared" ref="AH243" si="820">AG243-AH244</f>
        <v>#DIV/0!</v>
      </c>
      <c r="AI243" s="162" t="e">
        <f t="shared" ref="AI243" si="821">AH243-AI244</f>
        <v>#DIV/0!</v>
      </c>
      <c r="AJ243" s="162" t="e">
        <f t="shared" ref="AJ243" si="822">AI243-AJ244</f>
        <v>#DIV/0!</v>
      </c>
      <c r="AK243" s="162" t="e">
        <f t="shared" ref="AK243" si="823">AJ243-AK244</f>
        <v>#DIV/0!</v>
      </c>
      <c r="AL243" s="162" t="e">
        <f t="shared" ref="AL243" si="824">AK243-AL244</f>
        <v>#DIV/0!</v>
      </c>
      <c r="AM243" s="162" t="e">
        <f t="shared" ref="AM243" si="825">AL243-AM244</f>
        <v>#DIV/0!</v>
      </c>
      <c r="AN243" s="162" t="e">
        <f t="shared" ref="AN243" si="826">AM243-AN244</f>
        <v>#DIV/0!</v>
      </c>
      <c r="AO243" s="162" t="e">
        <f t="shared" ref="AO243" si="827">AN243-AO244</f>
        <v>#DIV/0!</v>
      </c>
      <c r="AP243" s="162" t="e">
        <f t="shared" ref="AP243" si="828">AO243-AP244</f>
        <v>#DIV/0!</v>
      </c>
      <c r="AQ243" s="162" t="e">
        <f t="shared" ref="AQ243" si="829">AP243-AQ244</f>
        <v>#DIV/0!</v>
      </c>
      <c r="AR243" s="162" t="e">
        <f t="shared" ref="AR243" si="830">AQ243-AR244</f>
        <v>#DIV/0!</v>
      </c>
      <c r="AS243" s="162" t="e">
        <f t="shared" ref="AS243" si="831">AR243-AS244</f>
        <v>#DIV/0!</v>
      </c>
      <c r="AT243" s="162" t="e">
        <f t="shared" ref="AT243" si="832">AS243-AT244</f>
        <v>#DIV/0!</v>
      </c>
      <c r="AU243" s="162" t="e">
        <f t="shared" ref="AU243" si="833">AT243-AU244</f>
        <v>#DIV/0!</v>
      </c>
      <c r="AV243" s="162" t="e">
        <f t="shared" ref="AV243" si="834">AU243-AV244</f>
        <v>#DIV/0!</v>
      </c>
      <c r="AW243" s="162" t="e">
        <f t="shared" ref="AW243" si="835">AV243-AW244</f>
        <v>#DIV/0!</v>
      </c>
      <c r="AX243" s="162" t="e">
        <f t="shared" ref="AX243" si="836">AW243-AX244</f>
        <v>#DIV/0!</v>
      </c>
    </row>
    <row r="244" spans="2:50">
      <c r="B244" s="10" t="s">
        <v>341</v>
      </c>
      <c r="C244" s="10"/>
      <c r="D244" s="10"/>
      <c r="E244" s="10"/>
      <c r="F244" s="10"/>
      <c r="G244" s="10"/>
      <c r="H244" s="10"/>
      <c r="I244" s="10"/>
      <c r="J244" s="168">
        <v>0</v>
      </c>
      <c r="K244" s="167"/>
      <c r="L244" s="168">
        <v>0.05</v>
      </c>
      <c r="M244" s="167"/>
      <c r="N244" s="161">
        <v>0.15</v>
      </c>
      <c r="O244" s="168">
        <v>0.12</v>
      </c>
      <c r="P244" s="167"/>
      <c r="Q244" s="168">
        <v>0.2</v>
      </c>
      <c r="R244" s="175" t="s">
        <v>231</v>
      </c>
      <c r="S244" s="158">
        <f>U201/W170</f>
        <v>54.976415094339622</v>
      </c>
      <c r="T244" s="158" t="s">
        <v>412</v>
      </c>
      <c r="U244" s="158"/>
      <c r="V244" s="10"/>
      <c r="W244" s="10"/>
      <c r="X244" s="163" t="e">
        <f>V170*(1+$N$244)</f>
        <v>#DIV/0!</v>
      </c>
      <c r="Y244" s="163" t="e">
        <f>X244*(1+$N$244)</f>
        <v>#DIV/0!</v>
      </c>
      <c r="Z244" s="163" t="e">
        <f t="shared" ref="Z244:AG244" si="837">Y244*(1+$N$244)</f>
        <v>#DIV/0!</v>
      </c>
      <c r="AA244" s="163" t="e">
        <f t="shared" si="837"/>
        <v>#DIV/0!</v>
      </c>
      <c r="AB244" s="163" t="e">
        <f t="shared" si="837"/>
        <v>#DIV/0!</v>
      </c>
      <c r="AC244" s="163" t="e">
        <f t="shared" si="837"/>
        <v>#DIV/0!</v>
      </c>
      <c r="AD244" s="163" t="e">
        <f t="shared" si="837"/>
        <v>#DIV/0!</v>
      </c>
      <c r="AE244" s="163" t="e">
        <f t="shared" si="837"/>
        <v>#DIV/0!</v>
      </c>
      <c r="AF244" s="163" t="e">
        <f t="shared" si="837"/>
        <v>#DIV/0!</v>
      </c>
      <c r="AG244" s="163" t="e">
        <f t="shared" si="837"/>
        <v>#DIV/0!</v>
      </c>
      <c r="AH244" s="163" t="e">
        <f t="shared" ref="AH244" si="838">AG244*(1+$N$244)</f>
        <v>#DIV/0!</v>
      </c>
      <c r="AI244" s="163" t="e">
        <f t="shared" ref="AI244" si="839">AH244*(1+$N$244)</f>
        <v>#DIV/0!</v>
      </c>
      <c r="AJ244" s="163" t="e">
        <f t="shared" ref="AJ244" si="840">AI244*(1+$N$244)</f>
        <v>#DIV/0!</v>
      </c>
      <c r="AK244" s="163" t="e">
        <f t="shared" ref="AK244" si="841">AJ244*(1+$N$244)</f>
        <v>#DIV/0!</v>
      </c>
      <c r="AL244" s="163" t="e">
        <f t="shared" ref="AL244" si="842">AK244*(1+$N$244)</f>
        <v>#DIV/0!</v>
      </c>
      <c r="AM244" s="163" t="e">
        <f t="shared" ref="AM244" si="843">AL244*(1+$N$244)</f>
        <v>#DIV/0!</v>
      </c>
      <c r="AN244" s="163" t="e">
        <f t="shared" ref="AN244" si="844">AM244*(1+$N$244)</f>
        <v>#DIV/0!</v>
      </c>
      <c r="AO244" s="163" t="e">
        <f t="shared" ref="AO244" si="845">AN244*(1+$N$244)</f>
        <v>#DIV/0!</v>
      </c>
      <c r="AP244" s="163" t="e">
        <f t="shared" ref="AP244" si="846">AO244*(1+$N$244)</f>
        <v>#DIV/0!</v>
      </c>
      <c r="AQ244" s="163" t="e">
        <f t="shared" ref="AQ244" si="847">AP244*(1+$N$244)</f>
        <v>#DIV/0!</v>
      </c>
      <c r="AR244" s="163" t="e">
        <f t="shared" ref="AR244" si="848">AQ244*(1+$N$244)</f>
        <v>#DIV/0!</v>
      </c>
      <c r="AS244" s="163" t="e">
        <f t="shared" ref="AS244" si="849">AR244*(1+$N$244)</f>
        <v>#DIV/0!</v>
      </c>
      <c r="AT244" s="163" t="e">
        <f t="shared" ref="AT244" si="850">AS244*(1+$N$244)</f>
        <v>#DIV/0!</v>
      </c>
      <c r="AU244" s="163" t="e">
        <f t="shared" ref="AU244" si="851">AT244*(1+$N$244)</f>
        <v>#DIV/0!</v>
      </c>
      <c r="AV244" s="163" t="e">
        <f t="shared" ref="AV244" si="852">AU244*(1+$N$244)</f>
        <v>#DIV/0!</v>
      </c>
      <c r="AW244" s="163" t="e">
        <f t="shared" ref="AW244" si="853">AV244*(1+$N$244)</f>
        <v>#DIV/0!</v>
      </c>
      <c r="AX244" s="163" t="e">
        <f t="shared" ref="AX244" si="854">AW244*(1+$N$244)</f>
        <v>#DIV/0!</v>
      </c>
    </row>
    <row r="245" spans="2:50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8">
        <v>0</v>
      </c>
      <c r="K245" s="169">
        <f>T203</f>
        <v>23.850821167883211</v>
      </c>
      <c r="L245" s="168">
        <v>0.05</v>
      </c>
      <c r="M245" s="167"/>
      <c r="N245" s="161">
        <v>0.2</v>
      </c>
      <c r="O245" s="168">
        <v>0.12</v>
      </c>
      <c r="P245" s="167"/>
      <c r="Q245" s="168">
        <v>0.2</v>
      </c>
      <c r="R245" s="175" t="s">
        <v>411</v>
      </c>
      <c r="S245" s="158">
        <f>U72</f>
        <v>9.3729517150972246</v>
      </c>
      <c r="T245" s="158" t="s">
        <v>412</v>
      </c>
      <c r="U245" s="158"/>
      <c r="V245" s="10"/>
      <c r="W245" s="10"/>
      <c r="X245" s="163">
        <f>S245*(1+$N$245)</f>
        <v>11.24754205811667</v>
      </c>
      <c r="Y245" s="163">
        <f>X245*(1+$N$245)</f>
        <v>13.497050469740003</v>
      </c>
      <c r="Z245" s="163">
        <f t="shared" ref="Z245:AG245" si="855">Y245*(1+$N$245)</f>
        <v>16.196460563688003</v>
      </c>
      <c r="AA245" s="163">
        <f t="shared" si="855"/>
        <v>19.435752676425604</v>
      </c>
      <c r="AB245" s="163">
        <f t="shared" si="855"/>
        <v>23.322903211710724</v>
      </c>
      <c r="AC245" s="163">
        <f t="shared" si="855"/>
        <v>27.987483854052869</v>
      </c>
      <c r="AD245" s="163">
        <f t="shared" si="855"/>
        <v>33.584980624863441</v>
      </c>
      <c r="AE245" s="163">
        <f t="shared" si="855"/>
        <v>40.301976749836129</v>
      </c>
      <c r="AF245" s="163">
        <f t="shared" si="855"/>
        <v>48.362372099803352</v>
      </c>
      <c r="AG245" s="163">
        <f t="shared" si="855"/>
        <v>58.034846519764017</v>
      </c>
      <c r="AH245" s="163">
        <f t="shared" ref="AH245" si="856">AG245*(1+$N$245)</f>
        <v>69.641815823716811</v>
      </c>
      <c r="AI245" s="163">
        <f t="shared" ref="AI245" si="857">AH245*(1+$N$245)</f>
        <v>83.570178988460171</v>
      </c>
      <c r="AJ245" s="163">
        <f t="shared" ref="AJ245" si="858">AI245*(1+$N$245)</f>
        <v>100.28421478615221</v>
      </c>
      <c r="AK245" s="163">
        <f t="shared" ref="AK245" si="859">AJ245*(1+$N$245)</f>
        <v>120.34105774338263</v>
      </c>
      <c r="AL245" s="163">
        <f t="shared" ref="AL245" si="860">AK245*(1+$N$245)</f>
        <v>144.40926929205915</v>
      </c>
      <c r="AM245" s="163">
        <f t="shared" ref="AM245" si="861">AL245*(1+$N$245)</f>
        <v>173.29112315047098</v>
      </c>
      <c r="AN245" s="163">
        <f t="shared" ref="AN245" si="862">AM245*(1+$N$245)</f>
        <v>207.94934778056518</v>
      </c>
      <c r="AO245" s="163">
        <f t="shared" ref="AO245" si="863">AN245*(1+$N$245)</f>
        <v>249.53921733667821</v>
      </c>
      <c r="AP245" s="163">
        <f t="shared" ref="AP245" si="864">AO245*(1+$N$245)</f>
        <v>299.44706080401386</v>
      </c>
      <c r="AQ245" s="163">
        <f t="shared" ref="AQ245" si="865">AP245*(1+$N$245)</f>
        <v>359.33647296481661</v>
      </c>
      <c r="AR245" s="163">
        <f t="shared" ref="AR245" si="866">AQ245*(1+$N$245)</f>
        <v>431.20376755777994</v>
      </c>
      <c r="AS245" s="163">
        <f t="shared" ref="AS245" si="867">AR245*(1+$N$245)</f>
        <v>517.44452106933591</v>
      </c>
      <c r="AT245" s="163">
        <f t="shared" ref="AT245" si="868">AS245*(1+$N$245)</f>
        <v>620.93342528320306</v>
      </c>
      <c r="AU245" s="163">
        <f t="shared" ref="AU245" si="869">AT245*(1+$N$245)</f>
        <v>745.12011033984368</v>
      </c>
      <c r="AV245" s="163">
        <f t="shared" ref="AV245" si="870">AU245*(1+$N$245)</f>
        <v>894.14413240781244</v>
      </c>
      <c r="AW245" s="163">
        <f t="shared" ref="AW245" si="871">AV245*(1+$N$245)</f>
        <v>1072.9729588893749</v>
      </c>
      <c r="AX245" s="163">
        <f t="shared" ref="AX245" si="872">AW245*(1+$N$245)</f>
        <v>1287.5675506672499</v>
      </c>
    </row>
    <row r="246" spans="2:50">
      <c r="B246" s="10"/>
      <c r="C246" s="10"/>
      <c r="D246" s="10"/>
      <c r="E246" s="13" t="s">
        <v>397</v>
      </c>
      <c r="F246" s="13"/>
      <c r="G246" s="13"/>
      <c r="H246" s="13"/>
      <c r="I246" s="12"/>
      <c r="J246" s="168">
        <v>0</v>
      </c>
      <c r="K246" s="169"/>
      <c r="L246" s="168">
        <v>0.05</v>
      </c>
      <c r="M246" s="167"/>
      <c r="N246" s="167"/>
      <c r="O246" s="168">
        <v>0.12</v>
      </c>
      <c r="P246" s="167"/>
      <c r="Q246" s="168">
        <v>0.2</v>
      </c>
      <c r="R246" s="10"/>
      <c r="S246" s="10"/>
      <c r="T246" s="10"/>
      <c r="U246" s="10"/>
      <c r="V246" s="10"/>
      <c r="W246" s="10"/>
      <c r="X246" s="111">
        <f>U201-X245</f>
        <v>113.75245794188334</v>
      </c>
      <c r="Y246" s="162">
        <f>X246-Y245</f>
        <v>100.25540747214333</v>
      </c>
      <c r="Z246" s="162">
        <f t="shared" ref="Z246:AE246" si="873">Y246-Z245</f>
        <v>84.058946908455326</v>
      </c>
      <c r="AA246" s="162">
        <f t="shared" si="873"/>
        <v>64.623194232029718</v>
      </c>
      <c r="AB246" s="162">
        <f t="shared" si="873"/>
        <v>41.300291020318994</v>
      </c>
      <c r="AC246" s="162">
        <f t="shared" si="873"/>
        <v>13.312807166266126</v>
      </c>
      <c r="AD246" s="162">
        <f t="shared" si="873"/>
        <v>-20.272173458597315</v>
      </c>
      <c r="AE246" s="162">
        <f t="shared" si="873"/>
        <v>-60.574150208433444</v>
      </c>
      <c r="AF246" s="162">
        <f>AE246-AF245</f>
        <v>-108.93652230823679</v>
      </c>
      <c r="AG246" s="162">
        <f t="shared" ref="AG246" si="874">AF246-AG245</f>
        <v>-166.97136882800081</v>
      </c>
      <c r="AH246" s="162">
        <f t="shared" ref="AH246" si="875">AG246-AH245</f>
        <v>-236.61318465171763</v>
      </c>
      <c r="AI246" s="162">
        <f t="shared" ref="AI246" si="876">AH246-AI245</f>
        <v>-320.18336364017779</v>
      </c>
      <c r="AJ246" s="162">
        <f t="shared" ref="AJ246" si="877">AI246-AJ245</f>
        <v>-420.46757842632996</v>
      </c>
      <c r="AK246" s="162">
        <f t="shared" ref="AK246" si="878">AJ246-AK245</f>
        <v>-540.8086361697126</v>
      </c>
      <c r="AL246" s="162">
        <f t="shared" ref="AL246" si="879">AK246-AL245</f>
        <v>-685.21790546177181</v>
      </c>
      <c r="AM246" s="162">
        <f t="shared" ref="AM246" si="880">AL246-AM245</f>
        <v>-858.50902861224279</v>
      </c>
      <c r="AN246" s="162">
        <f t="shared" ref="AN246" si="881">AM246-AN245</f>
        <v>-1066.4583763928081</v>
      </c>
      <c r="AO246" s="162">
        <f t="shared" ref="AO246" si="882">AN246-AO245</f>
        <v>-1315.9975937294862</v>
      </c>
      <c r="AP246" s="162">
        <f t="shared" ref="AP246" si="883">AO246-AP245</f>
        <v>-1615.4446545334999</v>
      </c>
      <c r="AQ246" s="162">
        <f t="shared" ref="AQ246" si="884">AP246-AQ245</f>
        <v>-1974.7811274983164</v>
      </c>
      <c r="AR246" s="162">
        <f t="shared" ref="AR246" si="885">AQ246-AR245</f>
        <v>-2405.9848950560963</v>
      </c>
      <c r="AS246" s="162">
        <f t="shared" ref="AS246" si="886">AR246-AS245</f>
        <v>-2923.429416125432</v>
      </c>
      <c r="AT246" s="162">
        <f t="shared" ref="AT246" si="887">AS246-AT245</f>
        <v>-3544.3628414086352</v>
      </c>
      <c r="AU246" s="162">
        <f t="shared" ref="AU246" si="888">AT246-AU245</f>
        <v>-4289.4829517484786</v>
      </c>
      <c r="AV246" s="162">
        <f t="shared" ref="AV246" si="889">AU246-AV245</f>
        <v>-5183.6270841562909</v>
      </c>
      <c r="AW246" s="162">
        <f t="shared" ref="AW246" si="890">AV246-AW245</f>
        <v>-6256.6000430456661</v>
      </c>
      <c r="AX246" s="162">
        <f t="shared" ref="AX246" si="891">AW246-AX245</f>
        <v>-7544.1675937129157</v>
      </c>
    </row>
    <row r="247" spans="2:50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255</v>
      </c>
      <c r="C248" s="15"/>
      <c r="D248" s="15"/>
      <c r="E248" s="15"/>
      <c r="F248" s="15"/>
      <c r="G248" s="15"/>
      <c r="H248" s="15" t="e">
        <f t="shared" ref="H248:I248" si="892">H10/H7</f>
        <v>#DIV/0!</v>
      </c>
      <c r="I248" s="15">
        <f t="shared" si="892"/>
        <v>0.28651685393258425</v>
      </c>
      <c r="J248" s="15">
        <f t="shared" ref="J248:T248" si="893">J10/J7</f>
        <v>0.66494845360824739</v>
      </c>
      <c r="K248" s="15">
        <f t="shared" si="893"/>
        <v>0.8494856524093124</v>
      </c>
      <c r="L248" s="15">
        <f t="shared" si="893"/>
        <v>0.36028368794326243</v>
      </c>
      <c r="M248" s="15">
        <f t="shared" si="893"/>
        <v>1.2020381036774479</v>
      </c>
      <c r="N248" s="15" t="e">
        <f t="shared" si="893"/>
        <v>#DIV/0!</v>
      </c>
      <c r="O248" s="15">
        <f t="shared" si="893"/>
        <v>3.8410470409711683</v>
      </c>
      <c r="P248" s="15">
        <f t="shared" si="893"/>
        <v>3.9670409272002898</v>
      </c>
      <c r="Q248" s="15">
        <f t="shared" si="893"/>
        <v>4.4983510443385857</v>
      </c>
      <c r="R248" s="15">
        <f t="shared" si="893"/>
        <v>6.8607594936708862</v>
      </c>
      <c r="S248" s="15">
        <f t="shared" si="893"/>
        <v>6.5225911812738158</v>
      </c>
      <c r="T248" s="15">
        <f t="shared" si="893"/>
        <v>6.6588126588126588</v>
      </c>
      <c r="U248" s="15"/>
      <c r="V248" s="101">
        <f t="shared" ref="V248:V250" si="894">((S248/J248)^(1/($K$2-$K$1) ))-1</f>
        <v>0.17714746011721383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256</v>
      </c>
      <c r="C249" s="96"/>
      <c r="D249" s="96"/>
      <c r="E249" s="96"/>
      <c r="F249" s="96"/>
      <c r="G249" s="96"/>
      <c r="H249" s="96" t="e">
        <f t="shared" ref="H249:I249" si="895">H10/H12</f>
        <v>#DIV/0!</v>
      </c>
      <c r="I249" s="96">
        <f t="shared" si="895"/>
        <v>1.8888888888888888</v>
      </c>
      <c r="J249" s="96">
        <f t="shared" ref="J249:T249" si="896">J10/J12</f>
        <v>16.826086956521738</v>
      </c>
      <c r="K249" s="96">
        <f t="shared" si="896"/>
        <v>4.574344023323615</v>
      </c>
      <c r="L249" s="96">
        <f t="shared" si="896"/>
        <v>2.1166666666666667</v>
      </c>
      <c r="M249" s="96">
        <f t="shared" si="896"/>
        <v>20.709923664122137</v>
      </c>
      <c r="N249" s="96" t="e">
        <f t="shared" si="896"/>
        <v>#DIV/0!</v>
      </c>
      <c r="O249" s="96">
        <f t="shared" si="896"/>
        <v>3.0925473427000609</v>
      </c>
      <c r="P249" s="96">
        <f t="shared" si="896"/>
        <v>2.953883495145631</v>
      </c>
      <c r="Q249" s="96">
        <f t="shared" si="896"/>
        <v>6.2536933265410086</v>
      </c>
      <c r="R249" s="96">
        <f t="shared" si="896"/>
        <v>0.92788358656109571</v>
      </c>
      <c r="S249" s="96">
        <f t="shared" si="896"/>
        <v>12.390899689762151</v>
      </c>
      <c r="T249" s="96">
        <f t="shared" si="896"/>
        <v>11.010695187165775</v>
      </c>
      <c r="U249" s="96"/>
      <c r="V249" s="101">
        <f t="shared" si="894"/>
        <v>-2.1617781935649893E-2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257</v>
      </c>
      <c r="C250" s="15"/>
      <c r="D250" s="15"/>
      <c r="E250" s="15"/>
      <c r="F250" s="15"/>
      <c r="G250" s="15"/>
      <c r="H250" s="15" t="e">
        <f t="shared" ref="H250:I250" si="897">H10/(H12+H13)</f>
        <v>#DIV/0!</v>
      </c>
      <c r="I250" s="15">
        <f t="shared" si="897"/>
        <v>0.86440677966101698</v>
      </c>
      <c r="J250" s="15">
        <f t="shared" ref="J250:T250" si="898">J10/(J12+J13)</f>
        <v>3.7211538461538463</v>
      </c>
      <c r="K250" s="15">
        <f t="shared" si="898"/>
        <v>1.4224841341795105</v>
      </c>
      <c r="L250" s="15">
        <f t="shared" si="898"/>
        <v>1.2114467408585055</v>
      </c>
      <c r="M250" s="15">
        <f t="shared" si="898"/>
        <v>9.452961672473867</v>
      </c>
      <c r="N250" s="15" t="e">
        <f t="shared" si="898"/>
        <v>#DIV/0!</v>
      </c>
      <c r="O250" s="15">
        <f t="shared" si="898"/>
        <v>2.1657754010695189</v>
      </c>
      <c r="P250" s="15">
        <f t="shared" si="898"/>
        <v>2.2266720878227284</v>
      </c>
      <c r="Q250" s="15">
        <f t="shared" si="898"/>
        <v>3.0022010271460013</v>
      </c>
      <c r="R250" s="15">
        <f t="shared" si="898"/>
        <v>0.82884122796956838</v>
      </c>
      <c r="S250" s="15">
        <f t="shared" si="898"/>
        <v>5.1758099352051836</v>
      </c>
      <c r="T250" s="15">
        <f t="shared" si="898"/>
        <v>3.0359136387572407</v>
      </c>
      <c r="U250" s="15"/>
      <c r="V250" s="101">
        <f t="shared" si="894"/>
        <v>2.3848654447054418E-2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0"/>
      <c r="O253" s="309" t="s">
        <v>282</v>
      </c>
      <c r="P253" s="310"/>
      <c r="Q253" s="311"/>
      <c r="R253" s="13" t="s">
        <v>285</v>
      </c>
      <c r="S253" s="10"/>
      <c r="T253" s="115"/>
      <c r="U253" s="115"/>
      <c r="V253" s="309" t="s">
        <v>283</v>
      </c>
      <c r="W253" s="310"/>
      <c r="X253" s="311"/>
      <c r="Y253" s="13" t="s">
        <v>285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3" t="s">
        <v>284</v>
      </c>
      <c r="D254" s="143" t="s">
        <v>0</v>
      </c>
      <c r="E254" s="143" t="s">
        <v>323</v>
      </c>
      <c r="F254" s="143"/>
      <c r="G254" s="143" t="s">
        <v>324</v>
      </c>
      <c r="H254" s="143" t="s">
        <v>325</v>
      </c>
      <c r="I254" s="143" t="s">
        <v>326</v>
      </c>
      <c r="J254" s="143" t="s">
        <v>327</v>
      </c>
      <c r="K254" s="143" t="s">
        <v>328</v>
      </c>
      <c r="L254" s="10"/>
      <c r="M254" s="143" t="s">
        <v>284</v>
      </c>
      <c r="N254" s="143"/>
      <c r="O254" s="143" t="s">
        <v>0</v>
      </c>
      <c r="P254" s="143" t="s">
        <v>317</v>
      </c>
      <c r="Q254" s="10"/>
      <c r="R254" s="10"/>
      <c r="S254" s="143" t="s">
        <v>284</v>
      </c>
      <c r="T254" s="143"/>
      <c r="U254" s="143"/>
      <c r="V254" s="143" t="s">
        <v>0</v>
      </c>
      <c r="W254" s="143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4" t="s">
        <v>286</v>
      </c>
      <c r="D255" s="11">
        <v>300</v>
      </c>
      <c r="E255" s="153" t="s">
        <v>329</v>
      </c>
      <c r="F255" s="153"/>
      <c r="G255" s="12">
        <v>1</v>
      </c>
      <c r="H255" s="12">
        <v>1</v>
      </c>
      <c r="I255" s="144">
        <f>G255/H255</f>
        <v>1</v>
      </c>
      <c r="J255" s="144">
        <f>I255*D256</f>
        <v>1</v>
      </c>
      <c r="K255" s="154">
        <f>J255+D256</f>
        <v>2</v>
      </c>
      <c r="L255" s="10"/>
      <c r="M255" s="144" t="s">
        <v>286</v>
      </c>
      <c r="N255" s="144"/>
      <c r="O255" s="11">
        <v>25</v>
      </c>
      <c r="P255" s="150">
        <f>O255</f>
        <v>25</v>
      </c>
      <c r="Q255" s="10"/>
      <c r="R255" s="10"/>
      <c r="S255" s="144" t="s">
        <v>286</v>
      </c>
      <c r="T255" s="144"/>
      <c r="U255" s="144"/>
      <c r="V255" s="11">
        <v>1</v>
      </c>
      <c r="W255" s="150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4" t="s">
        <v>287</v>
      </c>
      <c r="D256" s="11">
        <v>1</v>
      </c>
      <c r="E256" s="153" t="s">
        <v>330</v>
      </c>
      <c r="F256" s="153"/>
      <c r="G256" s="12">
        <v>0</v>
      </c>
      <c r="H256" s="12">
        <v>1</v>
      </c>
      <c r="I256" s="144">
        <f>G256/H256</f>
        <v>0</v>
      </c>
      <c r="J256" s="144">
        <f>I256*K255</f>
        <v>0</v>
      </c>
      <c r="K256" s="144">
        <f>J256+K255</f>
        <v>2</v>
      </c>
      <c r="L256" s="10"/>
      <c r="M256" s="144" t="s">
        <v>287</v>
      </c>
      <c r="N256" s="144"/>
      <c r="O256" s="11">
        <v>1</v>
      </c>
      <c r="P256" s="150">
        <f>O256</f>
        <v>1</v>
      </c>
      <c r="Q256" s="10"/>
      <c r="R256" s="10"/>
      <c r="S256" s="144" t="s">
        <v>287</v>
      </c>
      <c r="T256" s="144"/>
      <c r="U256" s="144"/>
      <c r="V256" s="11">
        <v>1</v>
      </c>
      <c r="W256" s="150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4" t="s">
        <v>289</v>
      </c>
      <c r="D257" s="145">
        <f>D255*D256</f>
        <v>300</v>
      </c>
      <c r="E257" s="153" t="s">
        <v>342</v>
      </c>
      <c r="F257" s="153"/>
      <c r="G257" s="12">
        <v>0</v>
      </c>
      <c r="H257" s="12">
        <v>1</v>
      </c>
      <c r="I257" s="144">
        <f>G257/H257</f>
        <v>0</v>
      </c>
      <c r="J257" s="144">
        <f>I257*K256</f>
        <v>0</v>
      </c>
      <c r="K257" s="144">
        <f>J257+K256</f>
        <v>2</v>
      </c>
      <c r="L257" s="10"/>
      <c r="M257" s="144" t="s">
        <v>288</v>
      </c>
      <c r="N257" s="144"/>
      <c r="O257" s="145">
        <f>O255*O256</f>
        <v>25</v>
      </c>
      <c r="P257" s="150">
        <f>O257</f>
        <v>25</v>
      </c>
      <c r="Q257" s="10"/>
      <c r="R257" s="10"/>
      <c r="S257" s="144" t="s">
        <v>289</v>
      </c>
      <c r="T257" s="144"/>
      <c r="U257" s="144"/>
      <c r="V257" s="145">
        <f>V255*V256</f>
        <v>1</v>
      </c>
      <c r="W257" s="150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4"/>
      <c r="D258" s="145"/>
      <c r="E258" s="153" t="s">
        <v>398</v>
      </c>
      <c r="F258" s="153"/>
      <c r="G258" s="12">
        <v>0</v>
      </c>
      <c r="H258" s="12">
        <v>1</v>
      </c>
      <c r="I258" s="144">
        <f t="shared" ref="I258:I261" si="899">G258/H258</f>
        <v>0</v>
      </c>
      <c r="J258" s="144">
        <f t="shared" ref="J258:J260" si="900">I258*K257</f>
        <v>0</v>
      </c>
      <c r="K258" s="144">
        <f t="shared" ref="K258:K260" si="901">J258+K257</f>
        <v>2</v>
      </c>
      <c r="L258" s="10"/>
      <c r="M258" s="144" t="s">
        <v>290</v>
      </c>
      <c r="N258" s="144"/>
      <c r="O258" s="11">
        <v>332</v>
      </c>
      <c r="P258" s="11">
        <v>342</v>
      </c>
      <c r="Q258" s="10"/>
      <c r="R258" s="10"/>
      <c r="S258" s="144" t="s">
        <v>290</v>
      </c>
      <c r="T258" s="144"/>
      <c r="U258" s="144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4"/>
      <c r="D259" s="145"/>
      <c r="E259" s="153" t="s">
        <v>399</v>
      </c>
      <c r="F259" s="153"/>
      <c r="G259" s="12">
        <v>0</v>
      </c>
      <c r="H259" s="12">
        <v>1</v>
      </c>
      <c r="I259" s="144">
        <f t="shared" si="899"/>
        <v>0</v>
      </c>
      <c r="J259" s="144">
        <f t="shared" si="900"/>
        <v>0</v>
      </c>
      <c r="K259" s="144">
        <f t="shared" si="901"/>
        <v>2</v>
      </c>
      <c r="L259" s="10"/>
      <c r="M259" s="144" t="s">
        <v>291</v>
      </c>
      <c r="N259" s="144"/>
      <c r="O259" s="145">
        <f>O258*O256</f>
        <v>332</v>
      </c>
      <c r="P259" s="145">
        <f>P258*P256</f>
        <v>342</v>
      </c>
      <c r="Q259" s="10"/>
      <c r="R259" s="10"/>
      <c r="S259" s="144" t="s">
        <v>287</v>
      </c>
      <c r="T259" s="144"/>
      <c r="U259" s="144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4"/>
      <c r="D260" s="145"/>
      <c r="E260" s="153" t="s">
        <v>400</v>
      </c>
      <c r="F260" s="153"/>
      <c r="G260" s="12">
        <v>0</v>
      </c>
      <c r="H260" s="12">
        <v>1</v>
      </c>
      <c r="I260" s="144">
        <f t="shared" si="899"/>
        <v>0</v>
      </c>
      <c r="J260" s="144">
        <f t="shared" si="900"/>
        <v>0</v>
      </c>
      <c r="K260" s="144">
        <f t="shared" si="901"/>
        <v>2</v>
      </c>
      <c r="L260" s="10"/>
      <c r="M260" s="144"/>
      <c r="N260" s="144"/>
      <c r="O260" s="145"/>
      <c r="P260" s="145"/>
      <c r="Q260" s="10"/>
      <c r="R260" s="10"/>
      <c r="S260" s="144" t="s">
        <v>289</v>
      </c>
      <c r="T260" s="144"/>
      <c r="U260" s="144"/>
      <c r="V260" s="145">
        <f>V259*V258</f>
        <v>1</v>
      </c>
      <c r="W260" s="145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4"/>
      <c r="D261" s="145"/>
      <c r="E261" s="153" t="s">
        <v>331</v>
      </c>
      <c r="F261" s="153"/>
      <c r="G261" s="12">
        <v>5</v>
      </c>
      <c r="H261" s="12">
        <v>1</v>
      </c>
      <c r="I261" s="144">
        <f t="shared" si="899"/>
        <v>5</v>
      </c>
      <c r="J261" s="144">
        <f>I261*K260</f>
        <v>10</v>
      </c>
      <c r="K261" s="144">
        <f>J261</f>
        <v>10</v>
      </c>
      <c r="L261" s="10"/>
      <c r="M261" s="144"/>
      <c r="N261" s="144"/>
      <c r="O261" s="145"/>
      <c r="P261" s="145"/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4"/>
      <c r="D262" s="145"/>
      <c r="E262" s="153" t="s">
        <v>401</v>
      </c>
      <c r="F262" s="153"/>
      <c r="G262" s="12">
        <v>0</v>
      </c>
      <c r="H262" s="12">
        <v>1</v>
      </c>
      <c r="I262" s="144">
        <f>G262/H262</f>
        <v>0</v>
      </c>
      <c r="J262" s="144">
        <f>I262*K261</f>
        <v>0</v>
      </c>
      <c r="K262" s="144">
        <f>J262</f>
        <v>0</v>
      </c>
      <c r="L262" s="10"/>
      <c r="M262" s="146" t="s">
        <v>292</v>
      </c>
      <c r="N262" s="146"/>
      <c r="O262" s="147">
        <f>O259/O257</f>
        <v>13.28</v>
      </c>
      <c r="P262" s="147">
        <f>P259/P257</f>
        <v>13.68</v>
      </c>
      <c r="Q262" s="10"/>
      <c r="R262" s="10"/>
      <c r="S262" s="146" t="s">
        <v>292</v>
      </c>
      <c r="T262" s="146"/>
      <c r="U262" s="146"/>
      <c r="V262" s="147">
        <f>V260/V257</f>
        <v>1</v>
      </c>
      <c r="W262" s="147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4" t="s">
        <v>290</v>
      </c>
      <c r="D263" s="11">
        <v>315</v>
      </c>
      <c r="E263" s="153"/>
      <c r="F263" s="153"/>
      <c r="G263" s="144"/>
      <c r="H263" s="144"/>
      <c r="I263" s="146" t="s">
        <v>332</v>
      </c>
      <c r="J263" s="144"/>
      <c r="K263" s="144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4" t="s">
        <v>287</v>
      </c>
      <c r="D264" s="11">
        <v>10</v>
      </c>
      <c r="E264" s="153" t="s">
        <v>331</v>
      </c>
      <c r="F264" s="153"/>
      <c r="G264" s="12">
        <v>5</v>
      </c>
      <c r="H264" s="12">
        <v>1</v>
      </c>
      <c r="I264" s="144">
        <f>G264/H264</f>
        <v>5</v>
      </c>
      <c r="J264" s="154">
        <f>I264*D256</f>
        <v>5</v>
      </c>
      <c r="K264" s="154">
        <f>J264</f>
        <v>5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4" t="s">
        <v>289</v>
      </c>
      <c r="D265" s="145">
        <f>D264*D263</f>
        <v>3150</v>
      </c>
      <c r="E265" s="144"/>
      <c r="F265" s="144"/>
      <c r="G265" s="144"/>
      <c r="H265" s="144"/>
      <c r="I265" s="146" t="s">
        <v>332</v>
      </c>
      <c r="J265" s="144"/>
      <c r="K265" s="144">
        <f>K264</f>
        <v>5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4"/>
      <c r="D266" s="145"/>
      <c r="E266" s="153" t="s">
        <v>331</v>
      </c>
      <c r="F266" s="153"/>
      <c r="G266" s="12">
        <v>10</v>
      </c>
      <c r="H266" s="12">
        <v>2</v>
      </c>
      <c r="I266" s="144">
        <f>G266/H266</f>
        <v>5</v>
      </c>
      <c r="J266" s="144">
        <f>I266*K265</f>
        <v>25</v>
      </c>
      <c r="K266" s="144">
        <f>J266</f>
        <v>25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6" t="s">
        <v>292</v>
      </c>
      <c r="D267" s="147">
        <f>D265/D257</f>
        <v>10.5</v>
      </c>
      <c r="E267" s="153"/>
      <c r="F267" s="153"/>
      <c r="G267" s="144"/>
      <c r="H267" s="144"/>
      <c r="I267" s="146" t="s">
        <v>332</v>
      </c>
      <c r="J267" s="144"/>
      <c r="K267" s="144">
        <f>K266</f>
        <v>25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5"/>
      <c r="E269" s="155"/>
      <c r="F269" s="155"/>
      <c r="G269" s="155"/>
      <c r="H269" s="155"/>
      <c r="I269" s="155"/>
      <c r="J269" s="156"/>
      <c r="K269" s="10"/>
      <c r="L269" s="115"/>
      <c r="M269" s="155"/>
      <c r="N269" s="15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2" t="s">
        <v>15</v>
      </c>
      <c r="E270" s="303"/>
      <c r="F270" s="303"/>
      <c r="G270" s="303"/>
      <c r="H270" s="303"/>
      <c r="I270" s="303"/>
      <c r="J270" s="304"/>
      <c r="K270" s="10"/>
      <c r="L270" s="302" t="s">
        <v>337</v>
      </c>
      <c r="M270" s="303"/>
      <c r="N270" s="304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9"/>
      <c r="F271" s="109"/>
      <c r="G271" s="109">
        <f>D257</f>
        <v>300</v>
      </c>
      <c r="H271" s="11">
        <f>D257</f>
        <v>300</v>
      </c>
      <c r="I271" s="10"/>
      <c r="J271" s="10"/>
      <c r="K271" s="10"/>
      <c r="L271" s="10" t="s">
        <v>16</v>
      </c>
      <c r="M271" s="109"/>
      <c r="N271" s="11">
        <f>H271</f>
        <v>300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9"/>
      <c r="F272" s="109"/>
      <c r="G272" s="109">
        <f>D265</f>
        <v>3150</v>
      </c>
      <c r="H272" s="11">
        <f>D265</f>
        <v>3150</v>
      </c>
      <c r="I272" s="10"/>
      <c r="J272" s="10"/>
      <c r="K272" s="10"/>
      <c r="L272" s="10" t="s">
        <v>17</v>
      </c>
      <c r="M272" s="10"/>
      <c r="N272" s="11">
        <f>H272</f>
        <v>3150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>
        <f>((G272/G271)^(1/G273))-1</f>
        <v>0.26508273817978845</v>
      </c>
      <c r="H274" s="3">
        <f>((H272/H271)^(1/H273))-1</f>
        <v>0.26508273817978845</v>
      </c>
      <c r="I274" s="10"/>
      <c r="J274" s="10"/>
      <c r="K274" s="10"/>
      <c r="L274" s="13" t="s">
        <v>338</v>
      </c>
      <c r="M274" s="13"/>
      <c r="N274" s="170">
        <f>(N272-N271)/N271</f>
        <v>9.5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2"/>
      <c r="F275" s="142"/>
      <c r="G275" s="142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3">
        <f>N272/N271</f>
        <v>10.5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>
        <f>((G272/G271)^(1/G276))-1</f>
        <v>0.26508273817978845</v>
      </c>
      <c r="H277" s="3">
        <f>((H272/H271)^(1/H276))-1</f>
        <v>0.26508273817978845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9">
    <mergeCell ref="A36:A45"/>
    <mergeCell ref="A124:A132"/>
    <mergeCell ref="D270:J270"/>
    <mergeCell ref="L270:N270"/>
    <mergeCell ref="AI2:AJ2"/>
    <mergeCell ref="AI3:AJ3"/>
    <mergeCell ref="O253:Q253"/>
    <mergeCell ref="V253:X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5" t="s">
        <v>15</v>
      </c>
      <c r="K5" s="275"/>
      <c r="M5" s="275" t="s">
        <v>53</v>
      </c>
      <c r="N5" s="275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5" t="s">
        <v>24</v>
      </c>
      <c r="K14" s="275"/>
      <c r="L14" s="275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5" t="s">
        <v>15</v>
      </c>
      <c r="S5" s="275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5" t="s">
        <v>24</v>
      </c>
      <c r="S14" s="275"/>
      <c r="T14" s="275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5" t="s">
        <v>15</v>
      </c>
      <c r="C2" s="275"/>
      <c r="E2" s="275" t="s">
        <v>53</v>
      </c>
      <c r="F2" s="275"/>
      <c r="H2" s="317" t="s">
        <v>24</v>
      </c>
      <c r="I2" s="318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4" t="s">
        <v>56</v>
      </c>
      <c r="E10" s="315"/>
      <c r="F10" s="315"/>
      <c r="G10" s="315"/>
      <c r="H10" s="316"/>
      <c r="I10" s="314" t="s">
        <v>60</v>
      </c>
      <c r="J10" s="315"/>
      <c r="K10" s="315"/>
      <c r="L10" s="316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4"/>
    <col min="2" max="2" width="16.5703125" style="164" customWidth="1"/>
    <col min="3" max="3" width="39.7109375" style="164" customWidth="1"/>
    <col min="4" max="5" width="9.140625" style="164"/>
    <col min="6" max="6" width="19" style="164" bestFit="1" customWidth="1"/>
    <col min="7" max="7" width="49" style="164" customWidth="1"/>
    <col min="8" max="16384" width="9.140625" style="164"/>
  </cols>
  <sheetData>
    <row r="3" spans="2:7">
      <c r="B3" s="319" t="s">
        <v>376</v>
      </c>
      <c r="C3" s="320"/>
      <c r="F3" s="319" t="s">
        <v>377</v>
      </c>
      <c r="G3" s="320"/>
    </row>
    <row r="4" spans="2:7">
      <c r="B4" s="165" t="s">
        <v>378</v>
      </c>
      <c r="C4" s="165"/>
      <c r="F4" s="165" t="s">
        <v>379</v>
      </c>
      <c r="G4" s="165"/>
    </row>
    <row r="5" spans="2:7">
      <c r="B5" s="165" t="s">
        <v>380</v>
      </c>
      <c r="C5" s="165"/>
      <c r="F5" s="165" t="s">
        <v>242</v>
      </c>
      <c r="G5" s="165"/>
    </row>
    <row r="6" spans="2:7">
      <c r="B6" s="165" t="s">
        <v>381</v>
      </c>
      <c r="C6" s="165"/>
      <c r="F6" s="165" t="s">
        <v>382</v>
      </c>
      <c r="G6" s="165"/>
    </row>
    <row r="7" spans="2:7">
      <c r="B7" s="165" t="s">
        <v>383</v>
      </c>
      <c r="C7" s="165"/>
      <c r="F7" s="165" t="s">
        <v>384</v>
      </c>
      <c r="G7" s="165"/>
    </row>
    <row r="8" spans="2:7">
      <c r="B8" s="165" t="s">
        <v>385</v>
      </c>
      <c r="C8" s="165"/>
      <c r="F8" s="165" t="s">
        <v>386</v>
      </c>
      <c r="G8" s="165"/>
    </row>
    <row r="9" spans="2:7">
      <c r="B9" s="165" t="s">
        <v>387</v>
      </c>
      <c r="C9" s="165"/>
      <c r="F9" s="165" t="s">
        <v>388</v>
      </c>
      <c r="G9" s="165"/>
    </row>
    <row r="10" spans="2:7">
      <c r="B10" s="165" t="s">
        <v>386</v>
      </c>
      <c r="C10" s="165"/>
      <c r="F10" s="165"/>
      <c r="G10" s="165"/>
    </row>
    <row r="11" spans="2:7">
      <c r="B11" s="165" t="s">
        <v>389</v>
      </c>
      <c r="C11" s="165"/>
      <c r="F11" s="165"/>
      <c r="G11" s="165"/>
    </row>
    <row r="12" spans="2:7">
      <c r="B12" s="165" t="s">
        <v>390</v>
      </c>
      <c r="C12" s="165"/>
      <c r="F12" s="165"/>
      <c r="G12" s="165"/>
    </row>
    <row r="13" spans="2:7">
      <c r="B13" s="165"/>
      <c r="C13" s="165"/>
      <c r="F13" s="165"/>
      <c r="G13" s="165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2019-02-14T21:13:57Z</dcterms:modified>
</cp:coreProperties>
</file>
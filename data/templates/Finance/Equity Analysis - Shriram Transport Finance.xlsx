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L12" i="18" l="1"/>
  <c r="K12" i="18"/>
  <c r="J12" i="18"/>
  <c r="I12" i="18"/>
  <c r="H12" i="18"/>
  <c r="G12" i="18"/>
  <c r="O12" i="18"/>
  <c r="N12" i="18"/>
  <c r="M12" i="18"/>
  <c r="R43" i="18" l="1"/>
  <c r="S42" i="18" l="1"/>
  <c r="K183" i="18" l="1"/>
  <c r="K182" i="18"/>
  <c r="K181" i="18"/>
  <c r="K180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K186" i="18"/>
  <c r="T201" i="18" l="1"/>
  <c r="T202" i="18" s="1"/>
  <c r="D199" i="18"/>
  <c r="G209" i="18" s="1"/>
  <c r="H199" i="18"/>
  <c r="L26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G213" i="18"/>
  <c r="G214" i="18" s="1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G210" i="18" s="1"/>
  <c r="K210" i="18" s="1"/>
  <c r="H202" i="18"/>
  <c r="I202" i="18" s="1"/>
  <c r="J202" i="18" s="1"/>
  <c r="J203" i="18" s="1"/>
  <c r="H200" i="18"/>
  <c r="H198" i="18"/>
  <c r="H197" i="18"/>
  <c r="I197" i="18" s="1"/>
  <c r="J197" i="18" s="1"/>
  <c r="G215" i="18" l="1"/>
  <c r="G212" i="18"/>
  <c r="K209" i="18"/>
  <c r="K213" i="18" s="1"/>
  <c r="D205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100" i="18" l="1"/>
  <c r="Q98" i="18"/>
  <c r="Q97" i="18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G93" i="18"/>
  <c r="G99" i="18" s="1"/>
  <c r="G90" i="18"/>
  <c r="G96" i="18" s="1"/>
  <c r="S29" i="18"/>
  <c r="Q29" i="18"/>
  <c r="L30" i="18"/>
  <c r="K30" i="18"/>
  <c r="J30" i="18"/>
  <c r="I30" i="18"/>
  <c r="H30" i="18"/>
  <c r="G30" i="18"/>
  <c r="Q96" i="18" l="1"/>
  <c r="Q99" i="18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G41" i="18"/>
  <c r="G28" i="18"/>
  <c r="G11" i="18"/>
  <c r="G8" i="18"/>
  <c r="G26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P186" i="18"/>
  <c r="S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T188" i="18" l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C91" i="18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T185" i="18" l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85" i="18" l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C94" i="18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C103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R138" i="18"/>
  <c r="P184" i="18" s="1"/>
  <c r="P185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<sst xmlns="http://schemas.openxmlformats.org/spreadsheetml/2006/main" count="617" uniqueCount="428">
  <si>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</si>
  <si>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</si>
  <si>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</si>
  <si>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</si>
  <si>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</si>
  <si>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</si>
  <si>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</si>
  <si>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</si>
  <si>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</si>
  <si>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</si>
  <si>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</si>
  <si>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</si>
  <si>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</si>
  <si>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</si>
  <si>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</si>
  <si>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</si>
  <si>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</si>
  <si>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</si>
  <si>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</si>
  <si>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</si>
  <si>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</si>
  <si>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</si>
  <si>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</si>
  <si>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</si>
  <si>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</si>
  <si>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</si>
  <si>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</si>
  <si>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</si>
  <si>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</si>
  <si>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</si>
  <si>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</si>
  <si>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</si>
  <si>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</si>
  <si>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</si>
  <si>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</si>
  <si>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</si>
  <si>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</si>
  <si>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</si>
  <si>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</si>
  <si>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</si>
  <si>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</si>
  <si>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</si>
  <si>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</si>
  <si>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</si>
  <si>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</si>
  <si>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</si>
  <si>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</si>
  <si>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</si>
  <si>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</si>
  <si>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</si>
  <si>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</si>
  <si>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</si>
  <si>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</si>
  <si>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</si>
  <si>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</si>
  <si>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</si>
  <si>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</si>
  <si>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</si>
  <si>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</si>
  <si>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</si>
  <si>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</si>
  <si>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</si>
  <si>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</si>
  <si>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</si>
  <si>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</si>
  <si>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</si>
  <si>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</si>
  <si>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</si>
  <si>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</si>
  <si>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</si>
  <si>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</si>
  <si>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</si>
  <si>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</si>
  <si>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</si>
  <si>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</si>
  <si>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</si>
  <si>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</si>
  <si>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</si>
  <si>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</si>
  <si>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</si>
  <si>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</si>
  <si>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</si>
  <si>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</si>
  <si>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</si>
  <si>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</si>
  <si>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</si>
  <si>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</si>
  <si>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</si>
  <si>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</si>
  <si>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</si>
  <si>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</si>
  <si>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</si>
  <si>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</si>
  <si>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</si>
  <si>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</si>
  <si>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</si>
  <si>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</si>
  <si>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</si>
  <si>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</si>
  <si>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</si>
  <si>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</si>
  <si>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</si>
  <si>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</si>
  <si>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</si>
  <si>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</si>
  <si>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</si>
  <si>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</si>
  <si>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</si>
  <si>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</si>
  <si>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</si>
  <si>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</si>
  <si>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</si>
  <si>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</si>
  <si>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</si>
  <si>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</si>
  <si>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</si>
  <si>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</si>
  <si>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</si>
  <si>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</si>
  <si>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</si>
  <si>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</si>
  <si>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</si>
  <si>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</si>
  <si>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</si>
  <si>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</si>
  <si>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</si>
  <si>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</si>
  <si>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</si>
  <si>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</si>
  <si>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</si>
  <si>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</si>
  <si>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</si>
  <si>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</si>
  <si>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</si>
  <si>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</si>
  <si>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</si>
  <si>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</si>
  <si>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</si>
  <si>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</si>
  <si>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</si>
  <si>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</si>
  <si>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</si>
  <si>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</si>
  <si>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</si>
  <si>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</si>
  <si>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</si>
  <si>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</si>
  <si>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</si>
  <si>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</si>
  <si>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</si>
  <si>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</si>
  <si>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</si>
  <si>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</si>
  <si>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</si>
  <si>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</si>
  <si>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</si>
  <si>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</si>
  <si>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</si>
  <si>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</si>
  <si>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</si>
  <si>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</si>
  <si>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</si>
  <si>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</si>
  <si>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</si>
  <si>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</si>
  <si>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</si>
  <si>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</si>
  <si>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</si>
  <si>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</si>
  <si>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</si>
  <si>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</si>
  <si>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</si>
  <si>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</si>
  <si>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</si>
  <si>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</si>
  <si>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</si>
  <si>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</si>
  <si>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</si>
  <si>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</si>
  <si>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</si>
  <si>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</si>
  <si>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</si>
  <si>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</si>
  <si>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</si>
  <si>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</si>
  <si>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</si>
  <si>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</si>
  <si>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</si>
  <si>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</si>
  <si>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</si>
  <si>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</si>
  <si>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</si>
  <si>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</si>
  <si>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</si>
  <si>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</si>
  <si>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</si>
  <si>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</si>
  <si>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</si>
  <si>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</si>
  <si>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</si>
  <si>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</si>
  <si>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</si>
  <si>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</si>
  <si>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</si>
  <si>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</si>
  <si>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</si>
  <si>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</si>
  <si>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</si>
  <si>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</si>
  <si>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</si>
  <si>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</si>
  <si>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</si>
  <si>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</si>
  <si>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</si>
  <si>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</si>
  <si>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</si>
  <si>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</si>
  <si>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</si>
  <si>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</si>
  <si>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</si>
  <si>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</si>
  <si>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</si>
  <si>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</si>
  <si>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</si>
  <si>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</si>
  <si>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</si>
  <si>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</si>
  <si>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</si>
  <si>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</si>
  <si>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</si>
  <si>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</si>
  <si>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</si>
  <si>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</si>
  <si>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</si>
  <si>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</si>
  <si>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</si>
  <si>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</si>
  <si>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</si>
  <si>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</si>
  <si>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</si>
  <si>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</si>
  <si>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</si>
  <si>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</si>
  <si>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</si>
  <si>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</si>
  <si>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</si>
  <si>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</si>
  <si>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</si>
  <si>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</si>
  <si>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</si>
  <si>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</si>
  <si>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</si>
  <si>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</si>
  <si>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</si>
  <si>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</si>
  <si>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</si>
  <si>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</si>
  <si>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</si>
  <si>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</si>
  <si>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</si>
  <si>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</si>
  <si>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</si>
  <si>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</si>
  <si>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</si>
  <si>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</si>
  <si>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</si>
  <si>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</si>
  <si>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</si>
  <si>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</si>
  <si>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</si>
  <si>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</si>
  <si>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</si>
  <si>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</si>
  <si>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</si>
  <si>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</si>
  <si>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</si>
  <si>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</si>
  <si>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</si>
  <si>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</si>
  <si>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</si>
  <si>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</si>
  <si>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</si>
  <si>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</si>
  <si>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</si>
  <si>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</si>
  <si>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</si>
  <si>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</si>
  <si>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</si>
  <si>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</si>
  <si>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</si>
  <si>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</si>
  <si>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</si>
  <si>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</si>
  <si>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</si>
  <si>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</si>
  <si>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</si>
  <si>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</si>
  <si>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</si>
  <si>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</si>
  <si>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</si>
  <si>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</si>
  <si>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</si>
  <si>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</si>
  <si>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</si>
  <si>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</si>
  <si>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</si>
  <si>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</si>
  <si>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</si>
  <si>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</si>
  <si>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</si>
  <si>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</si>
  <si>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</si>
  <si>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</si>
  <si>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</si>
  <si>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</si>
  <si>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</si>
  <si>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</si>
  <si>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</si>
  <si>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</si>
  <si>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</si>
  <si>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</si>
  <si>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</si>
  <si>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</si>
  <si>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</si>
  <si>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</si>
  <si>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</si>
  <si>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</si>
  <si>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</si>
  <si>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</si>
  <si>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</si>
  <si>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</si>
  <si>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</si>
  <si>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</si>
  <si>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</si>
  <si>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</si>
  <si>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</si>
  <si>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</si>
  <si>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</si>
  <si>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</si>
  <si>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</si>
  <si>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</si>
  <si>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</si>
  <si>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</si>
  <si>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</si>
  <si>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</si>
  <si>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</si>
  <si>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</si>
  <si>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</si>
  <si>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</si>
  <si>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</si>
  <si>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</si>
  <si>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</si>
  <si>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</si>
  <si>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</si>
  <si>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</si>
  <si>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</si>
  <si>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</si>
  <si>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</si>
  <si>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</si>
  <si>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</si>
  <si>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</si>
  <si>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</si>
  <si>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</si>
  <si>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</si>
  <si>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</si>
  <si>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</si>
  <si>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</si>
  <si>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</si>
  <si>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</si>
  <si>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</si>
  <si>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</si>
  <si>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</si>
  <si>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</si>
  <si>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</si>
  <si>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</si>
  <si>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</si>
  <si>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</si>
  <si>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</si>
  <si>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</si>
  <si>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</si>
  <si>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</si>
  <si>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</si>
  <si>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</si>
  <si>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</si>
  <si>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</si>
  <si>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</si>
  <si>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</si>
  <si>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</si>
  <si>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</si>
  <si>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</si>
  <si>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</si>
  <si>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</si>
  <si>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</si>
  <si>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</si>
  <si>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</si>
  <si>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</si>
  <si>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</si>
  <si>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</si>
  <si>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</si>
  <si>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</si>
  <si>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</si>
  <si>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</si>
  <si>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</si>
  <si>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</si>
  <si>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</si>
  <si>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</si>
  <si>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</si>
  <si>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</si>
  <si>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</si>
  <si>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</si>
  <si>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</si>
  <si>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</si>
  <si>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</si>
  <si>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</si>
  <si>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</si>
  <si>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</si>
  <si>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</si>
  <si>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</si>
  <si>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</si>
  <si>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</si>
  <si>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</si>
  <si>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</si>
  <si>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</si>
  <si>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</si>
  <si>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</si>
  <si>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</si>
  <si>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</si>
  <si>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Top Expenses ( Miscl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</si>
</sst>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174" fontId="8" fillId="5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76288"/>
        <c:axId val="44477824"/>
      </c:lineChart>
      <c:catAx>
        <c:axId val="44476288"/>
        <c:scaling>
          <c:orientation val="minMax"/>
        </c:scaling>
        <c:delete val="0"/>
        <c:axPos val="b"/>
        <c:majorTickMark val="out"/>
        <c:minorTickMark val="none"/>
        <c:tickLblPos val="nextTo"/>
        <c:crossAx val="44477824"/>
        <c:crosses val="autoZero"/>
        <c:auto val="1"/>
        <c:lblAlgn val="ctr"/>
        <c:lblOffset val="100"/>
        <c:noMultiLvlLbl val="0"/>
      </c:catAx>
      <c:valAx>
        <c:axId val="44477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47628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318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F178" activePane="bottomRight" state="frozen"/>
      <selection pane="topRight" activeCell="C1" sqref="C1"/>
      <selection pane="bottomLeft" activeCell="A5" sqref="A5"/>
      <selection pane="bottomRight" activeCell="U190" sqref="U190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326</v>
      </c>
      <c r="L1" s="164">
        <v>0.05</v>
      </c>
      <c r="N1" s="104" t="s">
        <v>398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327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2" t="s">
        <v>291</v>
      </c>
      <c r="AE2" s="193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4" t="s">
        <v>292</v>
      </c>
      <c r="AE3" s="195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50</v>
      </c>
      <c r="H6" s="147">
        <v>131</v>
      </c>
      <c r="I6" s="147">
        <v>649</v>
      </c>
      <c r="J6" s="147">
        <v>882</v>
      </c>
      <c r="K6" s="147">
        <v>1570</v>
      </c>
      <c r="L6" s="147">
        <v>2067</v>
      </c>
      <c r="M6" s="147">
        <v>3610</v>
      </c>
      <c r="N6" s="147">
        <v>4663</v>
      </c>
      <c r="O6" s="147">
        <v>5806</v>
      </c>
      <c r="P6" s="147">
        <v>7110</v>
      </c>
      <c r="Q6" s="118">
        <f>((P6/G6)^(1/($H$2-$H$1) ))-1</f>
        <v>0.73464682788504043</v>
      </c>
      <c r="R6" s="31">
        <f>$L$2</f>
        <v>0.12</v>
      </c>
      <c r="S6" s="154">
        <f>P6*(1+$R6)</f>
        <v>7963.2000000000007</v>
      </c>
      <c r="T6" s="154">
        <f>S6*(1+$R6)</f>
        <v>8918.7840000000015</v>
      </c>
      <c r="U6" s="154">
        <f t="shared" ref="U6:AB6" si="0">T6*(1+$R6)</f>
        <v>9989.0380800000021</v>
      </c>
      <c r="V6" s="154">
        <f t="shared" si="0"/>
        <v>11187.722649600004</v>
      </c>
      <c r="W6" s="154">
        <f t="shared" si="0"/>
        <v>12530.249367552005</v>
      </c>
      <c r="X6" s="154">
        <f t="shared" si="0"/>
        <v>14033.879291658248</v>
      </c>
      <c r="Y6" s="154">
        <f t="shared" si="0"/>
        <v>15717.944806657239</v>
      </c>
      <c r="Z6" s="154">
        <f t="shared" si="0"/>
        <v>17604.09818345611</v>
      </c>
      <c r="AA6" s="154">
        <f t="shared" si="0"/>
        <v>19716.589965470845</v>
      </c>
      <c r="AB6" s="154">
        <f t="shared" si="0"/>
        <v>22082.580761327346</v>
      </c>
      <c r="AC6" s="138">
        <f>((AB6/G6)^(1/($AB$3-$H$1) ))-1</f>
        <v>0.37789056874933569</v>
      </c>
      <c r="AD6" s="31">
        <f>$L$1</f>
        <v>0.05</v>
      </c>
      <c r="AE6" s="146">
        <f t="shared" ref="AE6:AE43" si="1">(AB6*(1+AD6))/($C$1-AD6)</f>
        <v>136392.41058466892</v>
      </c>
    </row>
    <row r="7" spans="2:31" x14ac:dyDescent="0.2">
      <c r="B7" s="20" t="s">
        <v>240</v>
      </c>
      <c r="C7" s="141"/>
      <c r="D7" s="141"/>
      <c r="E7" s="147"/>
      <c r="F7" s="147"/>
      <c r="G7" s="147">
        <v>131</v>
      </c>
      <c r="H7" s="147">
        <v>223</v>
      </c>
      <c r="I7" s="147">
        <v>839</v>
      </c>
      <c r="J7" s="147">
        <v>1086</v>
      </c>
      <c r="K7" s="147">
        <v>1817</v>
      </c>
      <c r="L7" s="147">
        <v>2316</v>
      </c>
      <c r="M7" s="147">
        <v>3844</v>
      </c>
      <c r="N7" s="147">
        <v>4893</v>
      </c>
      <c r="O7" s="147">
        <v>6032</v>
      </c>
      <c r="P7" s="147">
        <v>7337</v>
      </c>
      <c r="Q7" s="118">
        <f>((P7/G7)^(1/($H$2-$H$1) ))-1</f>
        <v>0.56404661074532347</v>
      </c>
      <c r="R7" s="31">
        <f>$L$2</f>
        <v>0.12</v>
      </c>
      <c r="S7" s="154">
        <f t="shared" ref="S7:S16" si="2">P7*(1+$R7)</f>
        <v>8217.44</v>
      </c>
      <c r="T7" s="154">
        <f t="shared" ref="T7:AB7" si="3">S7*(1+$R7)</f>
        <v>9203.5328000000009</v>
      </c>
      <c r="U7" s="154">
        <f t="shared" si="3"/>
        <v>10307.956736000002</v>
      </c>
      <c r="V7" s="154">
        <f t="shared" si="3"/>
        <v>11544.911544320003</v>
      </c>
      <c r="W7" s="154">
        <f t="shared" si="3"/>
        <v>12930.300929638404</v>
      </c>
      <c r="X7" s="154">
        <f t="shared" si="3"/>
        <v>14481.937041195015</v>
      </c>
      <c r="Y7" s="154">
        <f t="shared" si="3"/>
        <v>16219.769486138419</v>
      </c>
      <c r="Z7" s="154">
        <f t="shared" si="3"/>
        <v>18166.141824475031</v>
      </c>
      <c r="AA7" s="154">
        <f t="shared" si="3"/>
        <v>20346.078843412037</v>
      </c>
      <c r="AB7" s="154">
        <f t="shared" si="3"/>
        <v>22787.608304621484</v>
      </c>
      <c r="AC7" s="138">
        <f>((AB7/G7)^(1/($AB$3-$H$1) ))-1</f>
        <v>0.31194985001169684</v>
      </c>
      <c r="AD7" s="31">
        <f>$L$1</f>
        <v>0.05</v>
      </c>
      <c r="AE7" s="146">
        <f t="shared" si="1"/>
        <v>140746.99246972095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0.41255605381165922</v>
      </c>
      <c r="I8" s="151">
        <f t="shared" ref="I8:P8" si="4">(I7-H7)/I7</f>
        <v>0.73420738974970201</v>
      </c>
      <c r="J8" s="151">
        <f t="shared" si="4"/>
        <v>0.22744014732965009</v>
      </c>
      <c r="K8" s="151">
        <f t="shared" si="4"/>
        <v>0.40231150247660979</v>
      </c>
      <c r="L8" s="151">
        <f t="shared" si="4"/>
        <v>0.21545768566493956</v>
      </c>
      <c r="M8" s="151">
        <f t="shared" si="4"/>
        <v>0.39750260145681582</v>
      </c>
      <c r="N8" s="151">
        <f t="shared" si="4"/>
        <v>0.21438790108318007</v>
      </c>
      <c r="O8" s="151">
        <f t="shared" si="4"/>
        <v>0.1888262599469496</v>
      </c>
      <c r="P8" s="151">
        <f t="shared" si="4"/>
        <v>0.17786561264822134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174</v>
      </c>
      <c r="H9" s="147">
        <v>234</v>
      </c>
      <c r="I9" s="147">
        <v>745</v>
      </c>
      <c r="J9" s="147">
        <v>861</v>
      </c>
      <c r="K9" s="147">
        <v>1404</v>
      </c>
      <c r="L9" s="147">
        <v>2143</v>
      </c>
      <c r="M9" s="147">
        <v>3916</v>
      </c>
      <c r="N9" s="147">
        <v>5772</v>
      </c>
      <c r="O9" s="147">
        <v>10804</v>
      </c>
      <c r="P9" s="147">
        <v>12541</v>
      </c>
      <c r="Q9" s="118">
        <f t="shared" ref="Q9:Q16" si="5">((P9/G9)^(1/($H$2-$H$1) ))-1</f>
        <v>0.60849725614029637</v>
      </c>
      <c r="R9" s="31">
        <f t="shared" ref="R9:R40" si="6">$L$2</f>
        <v>0.12</v>
      </c>
      <c r="S9" s="154">
        <f t="shared" ref="S9" si="7">P9*(1+$R9)</f>
        <v>14045.920000000002</v>
      </c>
      <c r="T9" s="154">
        <f t="shared" ref="T9" si="8">S9*(1+$R9)</f>
        <v>15731.430400000003</v>
      </c>
      <c r="U9" s="154">
        <f t="shared" ref="U9" si="9">T9*(1+$R9)</f>
        <v>17619.202048000006</v>
      </c>
      <c r="V9" s="154">
        <f t="shared" ref="V9" si="10">U9*(1+$R9)</f>
        <v>19733.506293760009</v>
      </c>
      <c r="W9" s="154">
        <f t="shared" ref="W9" si="11">V9*(1+$R9)</f>
        <v>22101.527049011213</v>
      </c>
      <c r="X9" s="154">
        <f t="shared" ref="X9" si="12">W9*(1+$R9)</f>
        <v>24753.71029489256</v>
      </c>
      <c r="Y9" s="154">
        <f t="shared" ref="Y9" si="13">X9*(1+$R9)</f>
        <v>27724.15553027967</v>
      </c>
      <c r="Z9" s="154">
        <f t="shared" ref="Z9" si="14">Y9*(1+$R9)</f>
        <v>31051.054193913234</v>
      </c>
      <c r="AA9" s="154">
        <f t="shared" ref="AA9" si="15">Z9*(1+$R9)</f>
        <v>34777.180697182826</v>
      </c>
      <c r="AB9" s="154">
        <f t="shared" ref="AB9" si="16">AA9*(1+$R9)</f>
        <v>38950.442380844768</v>
      </c>
      <c r="AC9" s="138">
        <f>((AB9/G9)^(1/($AB$3-$H$1) ))-1</f>
        <v>0.3294814156344934</v>
      </c>
      <c r="AD9" s="31">
        <f t="shared" ref="AD9:AD79" si="17">$L$1</f>
        <v>0.05</v>
      </c>
      <c r="AE9" s="146">
        <f t="shared" si="1"/>
        <v>240576.26176404124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915</v>
      </c>
      <c r="H10" s="147">
        <v>1481</v>
      </c>
      <c r="I10" s="147">
        <v>4396</v>
      </c>
      <c r="J10" s="147">
        <v>8738</v>
      </c>
      <c r="K10" s="147">
        <v>14786</v>
      </c>
      <c r="L10" s="147">
        <v>20121</v>
      </c>
      <c r="M10" s="147">
        <v>18459</v>
      </c>
      <c r="N10" s="147">
        <v>20189</v>
      </c>
      <c r="O10" s="147">
        <v>18636</v>
      </c>
      <c r="P10" s="147">
        <v>25942</v>
      </c>
      <c r="Q10" s="118">
        <f t="shared" si="5"/>
        <v>0.4501002923530284</v>
      </c>
      <c r="R10" s="31">
        <f t="shared" si="6"/>
        <v>0.12</v>
      </c>
      <c r="S10" s="154">
        <f t="shared" si="2"/>
        <v>29055.040000000005</v>
      </c>
      <c r="T10" s="154">
        <f t="shared" ref="T10:AB10" si="18">S10*(1+$R10)</f>
        <v>32541.644800000009</v>
      </c>
      <c r="U10" s="154">
        <f t="shared" si="18"/>
        <v>36446.642176000016</v>
      </c>
      <c r="V10" s="154">
        <f t="shared" si="18"/>
        <v>40820.239237120019</v>
      </c>
      <c r="W10" s="154">
        <f t="shared" si="18"/>
        <v>45718.667945574423</v>
      </c>
      <c r="X10" s="154">
        <f t="shared" si="18"/>
        <v>51204.908099043358</v>
      </c>
      <c r="Y10" s="154">
        <f t="shared" si="18"/>
        <v>57349.497070928563</v>
      </c>
      <c r="Z10" s="154">
        <f t="shared" si="18"/>
        <v>64231.436719439997</v>
      </c>
      <c r="AA10" s="154">
        <f t="shared" si="18"/>
        <v>71939.209125772803</v>
      </c>
      <c r="AB10" s="154">
        <f t="shared" si="18"/>
        <v>80571.914220865539</v>
      </c>
      <c r="AC10" s="138">
        <f t="shared" ref="AC10:AC42" si="19">((AB10/G10)^(1/($AB$3-$H$1) ))-1</f>
        <v>0.26577328589753191</v>
      </c>
      <c r="AD10" s="31">
        <f t="shared" si="17"/>
        <v>0.05</v>
      </c>
      <c r="AE10" s="146">
        <f t="shared" si="1"/>
        <v>497650.05842299311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0.38217420661715057</v>
      </c>
      <c r="I11" s="148">
        <f t="shared" si="20"/>
        <v>0.6631028207461328</v>
      </c>
      <c r="J11" s="148">
        <f t="shared" si="20"/>
        <v>0.49691004806591899</v>
      </c>
      <c r="K11" s="148">
        <f t="shared" si="20"/>
        <v>0.40903557419180303</v>
      </c>
      <c r="L11" s="148">
        <f t="shared" si="20"/>
        <v>0.26514586750161523</v>
      </c>
      <c r="M11" s="148">
        <f t="shared" si="20"/>
        <v>-9.0037380139769224E-2</v>
      </c>
      <c r="N11" s="148">
        <f t="shared" si="20"/>
        <v>8.5690227351528064E-2</v>
      </c>
      <c r="O11" s="148">
        <f t="shared" si="20"/>
        <v>-8.3333333333333329E-2</v>
      </c>
      <c r="P11" s="148">
        <f t="shared" si="20"/>
        <v>0.28162824762932698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f>109+52</f>
        <v>161</v>
      </c>
      <c r="H12" s="147">
        <f>176+4</f>
        <v>180</v>
      </c>
      <c r="I12" s="147">
        <f>183+69</f>
        <v>252</v>
      </c>
      <c r="J12" s="147">
        <f>312+1499</f>
        <v>1811</v>
      </c>
      <c r="K12" s="147">
        <f>520+2222</f>
        <v>2742</v>
      </c>
      <c r="L12" s="147">
        <f>1043+5365</f>
        <v>6408</v>
      </c>
      <c r="M12" s="147">
        <f>1763+4547</f>
        <v>6310</v>
      </c>
      <c r="N12" s="147">
        <f>1016+5940</f>
        <v>6956</v>
      </c>
      <c r="O12" s="147">
        <f>5321</f>
        <v>5321</v>
      </c>
      <c r="P12" s="147">
        <v>6351</v>
      </c>
      <c r="Q12" s="118">
        <f t="shared" si="5"/>
        <v>0.50430236197411049</v>
      </c>
      <c r="R12" s="31">
        <f t="shared" si="6"/>
        <v>0.12</v>
      </c>
      <c r="S12" s="154">
        <f t="shared" si="2"/>
        <v>7113.1200000000008</v>
      </c>
      <c r="T12" s="154">
        <f t="shared" ref="T12:AB12" si="21">S12*(1+$R12)</f>
        <v>7966.6944000000012</v>
      </c>
      <c r="U12" s="154">
        <f t="shared" si="21"/>
        <v>8922.6977280000028</v>
      </c>
      <c r="V12" s="154">
        <f t="shared" si="21"/>
        <v>9993.421455360005</v>
      </c>
      <c r="W12" s="154">
        <f t="shared" si="21"/>
        <v>11192.632030003208</v>
      </c>
      <c r="X12" s="154">
        <f t="shared" si="21"/>
        <v>12535.747873603594</v>
      </c>
      <c r="Y12" s="154">
        <f t="shared" si="21"/>
        <v>14040.037618436027</v>
      </c>
      <c r="Z12" s="154">
        <f t="shared" si="21"/>
        <v>15724.842132648351</v>
      </c>
      <c r="AA12" s="154">
        <f t="shared" si="21"/>
        <v>17611.823188566155</v>
      </c>
      <c r="AB12" s="154">
        <f t="shared" si="21"/>
        <v>19725.241971194097</v>
      </c>
      <c r="AC12" s="138">
        <f t="shared" si="19"/>
        <v>0.28796801203104327</v>
      </c>
      <c r="AD12" s="31">
        <f t="shared" si="17"/>
        <v>0.05</v>
      </c>
      <c r="AE12" s="146">
        <f t="shared" si="1"/>
        <v>121832.37688090473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5</v>
      </c>
      <c r="H13" s="147">
        <v>4</v>
      </c>
      <c r="I13" s="147">
        <v>9</v>
      </c>
      <c r="J13" s="147">
        <v>224</v>
      </c>
      <c r="K13" s="147">
        <v>16</v>
      </c>
      <c r="L13" s="147">
        <v>30</v>
      </c>
      <c r="M13" s="147">
        <v>84</v>
      </c>
      <c r="N13" s="147">
        <v>302</v>
      </c>
      <c r="O13" s="147">
        <v>3666</v>
      </c>
      <c r="P13" s="147">
        <v>3280</v>
      </c>
      <c r="Q13" s="118">
        <f t="shared" si="5"/>
        <v>1.0558400175812666</v>
      </c>
      <c r="R13" s="31">
        <f t="shared" si="6"/>
        <v>0.12</v>
      </c>
      <c r="S13" s="154">
        <f t="shared" si="2"/>
        <v>3673.6000000000004</v>
      </c>
      <c r="T13" s="154">
        <f t="shared" ref="T13:AB13" si="22">S13*(1+$R13)</f>
        <v>4114.4320000000007</v>
      </c>
      <c r="U13" s="154">
        <f t="shared" si="22"/>
        <v>4608.1638400000011</v>
      </c>
      <c r="V13" s="154">
        <f t="shared" si="22"/>
        <v>5161.1435008000017</v>
      </c>
      <c r="W13" s="154">
        <f t="shared" si="22"/>
        <v>5780.4807208960028</v>
      </c>
      <c r="X13" s="154">
        <f t="shared" si="22"/>
        <v>6474.1384074035241</v>
      </c>
      <c r="Y13" s="154">
        <f t="shared" si="22"/>
        <v>7251.0350162919476</v>
      </c>
      <c r="Z13" s="154">
        <f t="shared" si="22"/>
        <v>8121.1592182469822</v>
      </c>
      <c r="AA13" s="154">
        <f t="shared" si="22"/>
        <v>9095.6983244366202</v>
      </c>
      <c r="AB13" s="154">
        <f t="shared" si="22"/>
        <v>10187.182123369015</v>
      </c>
      <c r="AC13" s="138">
        <f t="shared" si="19"/>
        <v>0.49335245162756447</v>
      </c>
      <c r="AD13" s="31">
        <f t="shared" si="17"/>
        <v>0.05</v>
      </c>
      <c r="AE13" s="146">
        <f t="shared" si="1"/>
        <v>62920.830761985104</v>
      </c>
    </row>
    <row r="14" spans="2:31" x14ac:dyDescent="0.2">
      <c r="B14" s="20" t="s">
        <v>372</v>
      </c>
      <c r="C14" s="141"/>
      <c r="D14" s="141"/>
      <c r="E14" s="147"/>
      <c r="F14" s="147"/>
      <c r="G14" s="147">
        <v>439</v>
      </c>
      <c r="H14" s="147">
        <v>287</v>
      </c>
      <c r="I14" s="147">
        <v>273</v>
      </c>
      <c r="J14" s="147">
        <v>56</v>
      </c>
      <c r="K14" s="147">
        <v>0.67</v>
      </c>
      <c r="L14" s="147">
        <v>1</v>
      </c>
      <c r="M14" s="147">
        <v>0</v>
      </c>
      <c r="N14" s="147">
        <v>13</v>
      </c>
      <c r="O14" s="147">
        <v>1</v>
      </c>
      <c r="P14" s="147">
        <v>0</v>
      </c>
      <c r="Q14" s="118">
        <f t="shared" ref="Q14" si="23">((P14/G14)^(1/($H$2-$H$1) ))-1</f>
        <v>-1</v>
      </c>
      <c r="R14" s="31">
        <f t="shared" si="6"/>
        <v>0.12</v>
      </c>
      <c r="S14" s="154">
        <f t="shared" ref="S14" si="24">P14*(1+$R14)</f>
        <v>0</v>
      </c>
      <c r="T14" s="154">
        <f t="shared" ref="T14" si="25">S14*(1+$R14)</f>
        <v>0</v>
      </c>
      <c r="U14" s="154">
        <f t="shared" ref="U14" si="26">T14*(1+$R14)</f>
        <v>0</v>
      </c>
      <c r="V14" s="154">
        <f t="shared" ref="V14" si="27">U14*(1+$R14)</f>
        <v>0</v>
      </c>
      <c r="W14" s="154">
        <f t="shared" ref="W14" si="28">V14*(1+$R14)</f>
        <v>0</v>
      </c>
      <c r="X14" s="154">
        <f t="shared" ref="X14" si="29">W14*(1+$R14)</f>
        <v>0</v>
      </c>
      <c r="Y14" s="154">
        <f t="shared" ref="Y14" si="30">X14*(1+$R14)</f>
        <v>0</v>
      </c>
      <c r="Z14" s="154">
        <f t="shared" ref="Z14" si="31">Y14*(1+$R14)</f>
        <v>0</v>
      </c>
      <c r="AA14" s="154">
        <f t="shared" ref="AA14" si="32">Z14*(1+$R14)</f>
        <v>0</v>
      </c>
      <c r="AB14" s="154">
        <f t="shared" ref="AB14" si="33">AA14*(1+$R14)</f>
        <v>0</v>
      </c>
      <c r="AC14" s="138">
        <f t="shared" ref="AC14" si="34">((AB14/G14)^(1/($AB$3-$H$1) ))-1</f>
        <v>-1</v>
      </c>
      <c r="AD14" s="31">
        <f t="shared" si="17"/>
        <v>0.05</v>
      </c>
      <c r="AE14" s="146">
        <f t="shared" ref="AE14" si="35">(AB14*(1+AD14))/($C$1-AD14)</f>
        <v>0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553</v>
      </c>
      <c r="H15" s="147">
        <v>465</v>
      </c>
      <c r="I15" s="147">
        <v>464</v>
      </c>
      <c r="J15" s="147">
        <v>373</v>
      </c>
      <c r="K15" s="147">
        <v>524</v>
      </c>
      <c r="L15" s="147">
        <v>1048</v>
      </c>
      <c r="M15" s="147">
        <v>1763</v>
      </c>
      <c r="N15" s="147">
        <v>1016</v>
      </c>
      <c r="O15" s="147">
        <v>5323</v>
      </c>
      <c r="P15" s="147">
        <v>6351</v>
      </c>
      <c r="Q15" s="118">
        <f t="shared" si="5"/>
        <v>0.31156789014949138</v>
      </c>
      <c r="R15" s="31">
        <f t="shared" si="6"/>
        <v>0.12</v>
      </c>
      <c r="S15" s="154">
        <f t="shared" si="2"/>
        <v>7113.1200000000008</v>
      </c>
      <c r="T15" s="154">
        <f t="shared" ref="T15:AB15" si="36">S15*(1+$R15)</f>
        <v>7966.6944000000012</v>
      </c>
      <c r="U15" s="154">
        <f t="shared" si="36"/>
        <v>8922.6977280000028</v>
      </c>
      <c r="V15" s="154">
        <f t="shared" si="36"/>
        <v>9993.421455360005</v>
      </c>
      <c r="W15" s="154">
        <f t="shared" si="36"/>
        <v>11192.632030003208</v>
      </c>
      <c r="X15" s="154">
        <f t="shared" si="36"/>
        <v>12535.747873603594</v>
      </c>
      <c r="Y15" s="154">
        <f t="shared" si="36"/>
        <v>14040.037618436027</v>
      </c>
      <c r="Z15" s="154">
        <f t="shared" si="36"/>
        <v>15724.842132648351</v>
      </c>
      <c r="AA15" s="154">
        <f t="shared" si="36"/>
        <v>17611.823188566155</v>
      </c>
      <c r="AB15" s="154">
        <f t="shared" si="36"/>
        <v>19725.241971194097</v>
      </c>
      <c r="AC15" s="138">
        <f t="shared" si="19"/>
        <v>0.20697938659538639</v>
      </c>
      <c r="AD15" s="31">
        <f t="shared" si="17"/>
        <v>0.05</v>
      </c>
      <c r="AE15" s="146">
        <f t="shared" si="1"/>
        <v>121832.37688090473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988</v>
      </c>
      <c r="H16" s="147">
        <v>1651</v>
      </c>
      <c r="I16" s="147">
        <v>5068</v>
      </c>
      <c r="J16" s="147">
        <v>9432</v>
      </c>
      <c r="K16" s="147">
        <v>16444</v>
      </c>
      <c r="L16" s="147">
        <v>22373</v>
      </c>
      <c r="M16" s="147">
        <v>22136</v>
      </c>
      <c r="N16" s="147">
        <v>24690</v>
      </c>
      <c r="O16" s="147">
        <v>20949</v>
      </c>
      <c r="P16" s="147">
        <v>29928</v>
      </c>
      <c r="Q16" s="118">
        <f t="shared" si="5"/>
        <v>0.46080146089049023</v>
      </c>
      <c r="R16" s="31">
        <f t="shared" si="6"/>
        <v>0.12</v>
      </c>
      <c r="S16" s="154">
        <f t="shared" si="2"/>
        <v>33519.360000000001</v>
      </c>
      <c r="T16" s="154">
        <f t="shared" ref="T16:AB16" si="37">S16*(1+$R16)</f>
        <v>37541.683200000007</v>
      </c>
      <c r="U16" s="154">
        <f t="shared" si="37"/>
        <v>42046.685184000009</v>
      </c>
      <c r="V16" s="154">
        <f t="shared" si="37"/>
        <v>47092.287406080017</v>
      </c>
      <c r="W16" s="154">
        <f t="shared" si="37"/>
        <v>52743.361894809626</v>
      </c>
      <c r="X16" s="154">
        <f t="shared" si="37"/>
        <v>59072.565322186791</v>
      </c>
      <c r="Y16" s="154">
        <f t="shared" si="37"/>
        <v>66161.273160849218</v>
      </c>
      <c r="Z16" s="154">
        <f t="shared" si="37"/>
        <v>74100.625940151134</v>
      </c>
      <c r="AA16" s="154">
        <f t="shared" si="37"/>
        <v>82992.701052969278</v>
      </c>
      <c r="AB16" s="154">
        <f t="shared" si="37"/>
        <v>92951.825179325606</v>
      </c>
      <c r="AC16" s="138">
        <f t="shared" si="19"/>
        <v>0.270189365930257</v>
      </c>
      <c r="AD16" s="31">
        <f t="shared" si="17"/>
        <v>0.05</v>
      </c>
      <c r="AE16" s="146">
        <f t="shared" si="1"/>
        <v>574114.21434289357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52</v>
      </c>
      <c r="H18" s="147">
        <v>49</v>
      </c>
      <c r="I18" s="147">
        <v>131</v>
      </c>
      <c r="J18" s="147">
        <v>127</v>
      </c>
      <c r="K18" s="147">
        <v>142</v>
      </c>
      <c r="L18" s="147">
        <v>134</v>
      </c>
      <c r="M18" s="147">
        <v>46</v>
      </c>
      <c r="N18" s="147">
        <v>43</v>
      </c>
      <c r="O18" s="147">
        <v>53</v>
      </c>
      <c r="P18" s="147">
        <v>72</v>
      </c>
      <c r="Q18" s="118">
        <f>((P18/G18)^(1/($H$2-$H$1) ))-1</f>
        <v>3.6819697185833666E-2</v>
      </c>
      <c r="R18" s="31">
        <f t="shared" si="6"/>
        <v>0.12</v>
      </c>
      <c r="S18" s="154">
        <f t="shared" ref="S18:S34" si="38">P18*(1+$R18)</f>
        <v>80.640000000000015</v>
      </c>
      <c r="T18" s="154">
        <f t="shared" ref="T18:T34" si="39">S18*(1+$R18)</f>
        <v>90.316800000000029</v>
      </c>
      <c r="U18" s="154">
        <f t="shared" ref="U18:U34" si="40">T18*(1+$R18)</f>
        <v>101.15481600000004</v>
      </c>
      <c r="V18" s="154">
        <f t="shared" ref="V18:V34" si="41">U18*(1+$R18)</f>
        <v>113.29339392000006</v>
      </c>
      <c r="W18" s="154">
        <f t="shared" ref="W18:W36" si="42">V18*(1+$R18)</f>
        <v>126.88860119040008</v>
      </c>
      <c r="X18" s="154">
        <f t="shared" ref="X18:X36" si="43">W18*(1+$R18)</f>
        <v>142.11523333324811</v>
      </c>
      <c r="Y18" s="154">
        <f t="shared" ref="Y18:Y36" si="44">X18*(1+$R18)</f>
        <v>159.16906133323789</v>
      </c>
      <c r="Z18" s="154">
        <f t="shared" ref="Z18:Z36" si="45">Y18*(1+$R18)</f>
        <v>178.26934869322645</v>
      </c>
      <c r="AA18" s="154">
        <f t="shared" ref="AA18:AA36" si="46">Z18*(1+$R18)</f>
        <v>199.66167053641365</v>
      </c>
      <c r="AB18" s="154">
        <f t="shared" ref="AB18:AB36" si="47">AA18*(1+$R18)</f>
        <v>223.6210710007833</v>
      </c>
      <c r="AC18" s="138">
        <f t="shared" si="19"/>
        <v>7.9798199364855105E-2</v>
      </c>
      <c r="AD18" s="31">
        <f t="shared" si="17"/>
        <v>0.05</v>
      </c>
      <c r="AE18" s="146">
        <f t="shared" si="1"/>
        <v>1381.1889679460146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>
        <v>-281</v>
      </c>
      <c r="H20" s="147">
        <v>-556</v>
      </c>
      <c r="I20" s="147">
        <v>-3308</v>
      </c>
      <c r="J20" s="147">
        <v>-2564</v>
      </c>
      <c r="K20" s="147">
        <v>-5802</v>
      </c>
      <c r="L20" s="147">
        <v>-1554</v>
      </c>
      <c r="M20" s="147">
        <v>867</v>
      </c>
      <c r="N20" s="147">
        <v>-524</v>
      </c>
      <c r="O20" s="147">
        <v>-865</v>
      </c>
      <c r="P20" s="147">
        <v>-7003</v>
      </c>
      <c r="Q20" s="118">
        <f>((P20/G20)^(1/($H$2-$H$1) ))-1</f>
        <v>0.42947087714076404</v>
      </c>
      <c r="R20" s="31">
        <f t="shared" si="6"/>
        <v>0.12</v>
      </c>
      <c r="S20" s="154">
        <f t="shared" ref="S20:S22" si="48">P20*(1+$R20)</f>
        <v>-7843.3600000000006</v>
      </c>
      <c r="T20" s="154">
        <f t="shared" ref="T20:T22" si="49">S20*(1+$R20)</f>
        <v>-8784.5632000000023</v>
      </c>
      <c r="U20" s="154">
        <f t="shared" ref="U20:U22" si="50">T20*(1+$R20)</f>
        <v>-9838.7107840000044</v>
      </c>
      <c r="V20" s="154">
        <f t="shared" ref="V20:V22" si="51">U20*(1+$R20)</f>
        <v>-11019.356078080005</v>
      </c>
      <c r="W20" s="154">
        <f t="shared" ref="W20:W22" si="52">V20*(1+$R20)</f>
        <v>-12341.678807449607</v>
      </c>
      <c r="X20" s="154">
        <f t="shared" ref="X20:X22" si="53">W20*(1+$R20)</f>
        <v>-13822.680264343562</v>
      </c>
      <c r="Y20" s="154">
        <f t="shared" ref="Y20:Y22" si="54">X20*(1+$R20)</f>
        <v>-15481.401896064792</v>
      </c>
      <c r="Z20" s="154">
        <f t="shared" ref="Z20:Z22" si="55">Y20*(1+$R20)</f>
        <v>-17339.170123592568</v>
      </c>
      <c r="AA20" s="154">
        <f t="shared" ref="AA20:AA22" si="56">Z20*(1+$R20)</f>
        <v>-19419.870538423678</v>
      </c>
      <c r="AB20" s="154">
        <f t="shared" ref="AB20:AB22" si="57">AA20*(1+$R20)</f>
        <v>-21750.255003034523</v>
      </c>
      <c r="AC20" s="138">
        <f t="shared" ref="AC20:AC22" si="58">((AB20/G20)^(1/($AB$3-$H$1) ))-1</f>
        <v>0.25721142062259506</v>
      </c>
      <c r="AD20" s="31">
        <f t="shared" si="17"/>
        <v>0.05</v>
      </c>
      <c r="AE20" s="146">
        <f t="shared" si="1"/>
        <v>-134339.8103128603</v>
      </c>
    </row>
    <row r="21" spans="2:31" x14ac:dyDescent="0.2">
      <c r="B21" s="20" t="s">
        <v>284</v>
      </c>
      <c r="C21" s="141"/>
      <c r="D21" s="141"/>
      <c r="E21" s="147"/>
      <c r="F21" s="147"/>
      <c r="G21" s="147">
        <v>-12</v>
      </c>
      <c r="H21" s="147">
        <v>12</v>
      </c>
      <c r="I21" s="147">
        <v>-122</v>
      </c>
      <c r="J21" s="147">
        <v>-527</v>
      </c>
      <c r="K21" s="147">
        <v>-1428</v>
      </c>
      <c r="L21" s="147">
        <v>263</v>
      </c>
      <c r="M21" s="147">
        <v>-1961</v>
      </c>
      <c r="N21" s="147">
        <v>-1538</v>
      </c>
      <c r="O21" s="147">
        <v>-15</v>
      </c>
      <c r="P21" s="147">
        <v>-4</v>
      </c>
      <c r="Q21" s="118">
        <f>((P21/G21)^(1/($H$2-$H$1) ))-1</f>
        <v>-0.11491184792853981</v>
      </c>
      <c r="R21" s="31">
        <f t="shared" si="6"/>
        <v>0.12</v>
      </c>
      <c r="S21" s="154">
        <f t="shared" si="48"/>
        <v>-4.4800000000000004</v>
      </c>
      <c r="T21" s="154">
        <f t="shared" si="49"/>
        <v>-5.0176000000000007</v>
      </c>
      <c r="U21" s="154">
        <f t="shared" si="50"/>
        <v>-5.6197120000000016</v>
      </c>
      <c r="V21" s="154">
        <f t="shared" si="51"/>
        <v>-6.2940774400000024</v>
      </c>
      <c r="W21" s="154">
        <f t="shared" si="52"/>
        <v>-7.0493667328000029</v>
      </c>
      <c r="X21" s="154">
        <f t="shared" si="53"/>
        <v>-7.8952907407360042</v>
      </c>
      <c r="Y21" s="154">
        <f t="shared" si="54"/>
        <v>-8.8427256296243257</v>
      </c>
      <c r="Z21" s="154">
        <f t="shared" si="55"/>
        <v>-9.9038527051792453</v>
      </c>
      <c r="AA21" s="154">
        <f t="shared" si="56"/>
        <v>-11.092315029800757</v>
      </c>
      <c r="AB21" s="154">
        <f t="shared" si="57"/>
        <v>-12.423392833376848</v>
      </c>
      <c r="AC21" s="138">
        <f t="shared" si="58"/>
        <v>1.8266433579345875E-3</v>
      </c>
      <c r="AD21" s="31">
        <f t="shared" si="17"/>
        <v>0.05</v>
      </c>
      <c r="AE21" s="146">
        <f t="shared" si="1"/>
        <v>-76.732720441445252</v>
      </c>
    </row>
    <row r="22" spans="2:31" x14ac:dyDescent="0.2">
      <c r="B22" s="20" t="s">
        <v>285</v>
      </c>
      <c r="C22" s="141"/>
      <c r="D22" s="141"/>
      <c r="E22" s="147"/>
      <c r="F22" s="147"/>
      <c r="G22" s="147">
        <v>349</v>
      </c>
      <c r="H22" s="147">
        <v>611</v>
      </c>
      <c r="I22" s="147">
        <v>3438</v>
      </c>
      <c r="J22" s="147">
        <v>4351</v>
      </c>
      <c r="K22" s="147">
        <v>6462</v>
      </c>
      <c r="L22" s="147">
        <v>5230</v>
      </c>
      <c r="M22" s="147">
        <v>-1043</v>
      </c>
      <c r="N22" s="147">
        <v>1241</v>
      </c>
      <c r="O22" s="147">
        <v>3056</v>
      </c>
      <c r="P22" s="147">
        <v>7685</v>
      </c>
      <c r="Q22" s="118">
        <f>((P22/G22)^(1/($H$2-$H$1) ))-1</f>
        <v>0.40994460285560463</v>
      </c>
      <c r="R22" s="31">
        <f t="shared" si="6"/>
        <v>0.12</v>
      </c>
      <c r="S22" s="154">
        <f t="shared" si="48"/>
        <v>8607.2000000000007</v>
      </c>
      <c r="T22" s="154">
        <f t="shared" si="49"/>
        <v>9640.0640000000021</v>
      </c>
      <c r="U22" s="154">
        <f t="shared" si="50"/>
        <v>10796.871680000004</v>
      </c>
      <c r="V22" s="154">
        <f t="shared" si="51"/>
        <v>12092.496281600006</v>
      </c>
      <c r="W22" s="154">
        <f t="shared" si="52"/>
        <v>13543.595835392009</v>
      </c>
      <c r="X22" s="154">
        <f t="shared" si="53"/>
        <v>15168.827335639051</v>
      </c>
      <c r="Y22" s="154">
        <f t="shared" si="54"/>
        <v>16989.086615915738</v>
      </c>
      <c r="Z22" s="154">
        <f t="shared" si="55"/>
        <v>19027.77700982563</v>
      </c>
      <c r="AA22" s="154">
        <f t="shared" si="56"/>
        <v>21311.110251004706</v>
      </c>
      <c r="AB22" s="154">
        <f t="shared" si="57"/>
        <v>23868.443481125272</v>
      </c>
      <c r="AC22" s="138">
        <f t="shared" si="58"/>
        <v>0.24904727851050934</v>
      </c>
      <c r="AD22" s="31">
        <f t="shared" si="17"/>
        <v>0.05</v>
      </c>
      <c r="AE22" s="146">
        <f t="shared" si="1"/>
        <v>147422.73914812671</v>
      </c>
    </row>
    <row r="23" spans="2:31" x14ac:dyDescent="0.2">
      <c r="B23" s="20" t="s">
        <v>295</v>
      </c>
      <c r="C23" s="141"/>
      <c r="D23" s="141"/>
      <c r="E23" s="147"/>
      <c r="F23" s="147"/>
      <c r="G23" s="147">
        <v>109</v>
      </c>
      <c r="H23" s="147">
        <v>176</v>
      </c>
      <c r="I23" s="147">
        <v>183</v>
      </c>
      <c r="J23" s="147">
        <v>1464</v>
      </c>
      <c r="K23" s="147">
        <v>672</v>
      </c>
      <c r="L23" s="147">
        <v>4610</v>
      </c>
      <c r="M23" s="147">
        <v>2473</v>
      </c>
      <c r="N23" s="147">
        <v>1651</v>
      </c>
      <c r="O23" s="147">
        <v>3827</v>
      </c>
      <c r="P23" s="147">
        <v>4469</v>
      </c>
      <c r="Q23" s="118">
        <f>((P23/G23)^(1/($H$2-$H$1) ))-1</f>
        <v>0.5107694922198307</v>
      </c>
      <c r="R23" s="31">
        <f t="shared" si="6"/>
        <v>0.12</v>
      </c>
      <c r="S23" s="154">
        <f t="shared" ref="S23" si="59">P23*(1+$R23)</f>
        <v>5005.2800000000007</v>
      </c>
      <c r="T23" s="154">
        <f t="shared" ref="T23" si="60">S23*(1+$R23)</f>
        <v>5605.9136000000017</v>
      </c>
      <c r="U23" s="154">
        <f t="shared" ref="U23" si="61">T23*(1+$R23)</f>
        <v>6278.6232320000026</v>
      </c>
      <c r="V23" s="154">
        <f t="shared" ref="V23" si="62">U23*(1+$R23)</f>
        <v>7032.0580198400039</v>
      </c>
      <c r="W23" s="154">
        <f t="shared" ref="W23" si="63">V23*(1+$R23)</f>
        <v>7875.9049822208053</v>
      </c>
      <c r="X23" s="154">
        <f t="shared" ref="X23" si="64">W23*(1+$R23)</f>
        <v>8821.0135800873031</v>
      </c>
      <c r="Y23" s="154">
        <f t="shared" ref="Y23" si="65">X23*(1+$R23)</f>
        <v>9879.5352096977804</v>
      </c>
      <c r="Z23" s="154">
        <f t="shared" ref="Z23" si="66">Y23*(1+$R23)</f>
        <v>11065.079434861515</v>
      </c>
      <c r="AA23" s="154">
        <f t="shared" ref="AA23" si="67">Z23*(1+$R23)</f>
        <v>12392.888967044897</v>
      </c>
      <c r="AB23" s="154">
        <f t="shared" ref="AB23" si="68">AA23*(1+$R23)</f>
        <v>13880.035643090287</v>
      </c>
      <c r="AC23" s="138">
        <f t="shared" ref="AC23" si="69">((AB23/G23)^(1/($AB$3-$H$1) ))-1</f>
        <v>0.29058788308230121</v>
      </c>
      <c r="AD23" s="31">
        <f t="shared" si="17"/>
        <v>0.05</v>
      </c>
      <c r="AE23" s="146">
        <f t="shared" si="1"/>
        <v>85729.631913204721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259</v>
      </c>
      <c r="H25" s="147">
        <v>346</v>
      </c>
      <c r="I25" s="147">
        <v>907</v>
      </c>
      <c r="J25" s="147">
        <v>1414</v>
      </c>
      <c r="K25" s="147">
        <v>2493</v>
      </c>
      <c r="L25" s="147">
        <v>3723</v>
      </c>
      <c r="M25" s="147">
        <v>4499</v>
      </c>
      <c r="N25" s="147">
        <v>5525</v>
      </c>
      <c r="O25" s="147">
        <v>6175</v>
      </c>
      <c r="P25" s="147">
        <v>7015</v>
      </c>
      <c r="Q25" s="118">
        <f>((P25/G25)^(1/($H$2-$H$1) ))-1</f>
        <v>0.4427530136444473</v>
      </c>
      <c r="R25" s="31">
        <f t="shared" si="6"/>
        <v>0.12</v>
      </c>
      <c r="S25" s="154">
        <f t="shared" si="38"/>
        <v>7856.8000000000011</v>
      </c>
      <c r="T25" s="154">
        <f t="shared" si="39"/>
        <v>8799.6160000000018</v>
      </c>
      <c r="U25" s="154">
        <f t="shared" si="40"/>
        <v>9855.5699200000035</v>
      </c>
      <c r="V25" s="154">
        <f t="shared" si="41"/>
        <v>11038.238310400006</v>
      </c>
      <c r="W25" s="154">
        <f t="shared" si="42"/>
        <v>12362.826907648006</v>
      </c>
      <c r="X25" s="154">
        <f t="shared" si="43"/>
        <v>13846.366136565768</v>
      </c>
      <c r="Y25" s="154">
        <f t="shared" si="44"/>
        <v>15507.930072953663</v>
      </c>
      <c r="Z25" s="154">
        <f t="shared" si="45"/>
        <v>17368.881681708102</v>
      </c>
      <c r="AA25" s="154">
        <f t="shared" si="46"/>
        <v>19453.147483513076</v>
      </c>
      <c r="AB25" s="154">
        <f t="shared" si="47"/>
        <v>21787.525181534646</v>
      </c>
      <c r="AC25" s="138">
        <f t="shared" si="19"/>
        <v>0.26273132598978433</v>
      </c>
      <c r="AD25" s="31">
        <f t="shared" si="17"/>
        <v>0.05</v>
      </c>
      <c r="AE25" s="146">
        <f t="shared" si="1"/>
        <v>134570.00847418458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0.25144508670520233</v>
      </c>
      <c r="I26" s="148">
        <f t="shared" ref="I26" si="70">(I25-H25)/I25</f>
        <v>0.61852260198456455</v>
      </c>
      <c r="J26" s="148">
        <f t="shared" ref="J26" si="71">(J25-I25)/J25</f>
        <v>0.35855728429985856</v>
      </c>
      <c r="K26" s="148">
        <f t="shared" ref="K26" si="72">(K25-J25)/K25</f>
        <v>0.43281187324508624</v>
      </c>
      <c r="L26" s="148">
        <f t="shared" ref="L26" si="73">(L25-K25)/L25</f>
        <v>0.33037872683319902</v>
      </c>
      <c r="M26" s="148">
        <f t="shared" ref="M26" si="74">(M25-L25)/M25</f>
        <v>0.1724827739497666</v>
      </c>
      <c r="N26" s="148">
        <f t="shared" ref="N26" si="75">(N25-M25)/N25</f>
        <v>0.18570135746606334</v>
      </c>
      <c r="O26" s="148">
        <f t="shared" ref="O26" si="76">(O25-N25)/O25</f>
        <v>0.10526315789473684</v>
      </c>
      <c r="P26" s="148">
        <f t="shared" ref="P26" si="77">(P25-O25)/P25</f>
        <v>0.11974340698503208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79</v>
      </c>
      <c r="H27" s="147">
        <v>101</v>
      </c>
      <c r="I27" s="147">
        <v>267</v>
      </c>
      <c r="J27" s="147">
        <v>391</v>
      </c>
      <c r="K27" s="147">
        <v>553</v>
      </c>
      <c r="L27" s="147">
        <v>785</v>
      </c>
      <c r="M27" s="147">
        <v>908</v>
      </c>
      <c r="N27" s="147">
        <v>1390</v>
      </c>
      <c r="O27" s="147">
        <v>1669</v>
      </c>
      <c r="P27" s="147">
        <v>1775</v>
      </c>
      <c r="Q27" s="118">
        <f>((P27/G27)^(1/($H$2-$H$1) ))-1</f>
        <v>0.41310549476892477</v>
      </c>
      <c r="R27" s="31">
        <f t="shared" si="6"/>
        <v>0.12</v>
      </c>
      <c r="S27" s="154">
        <f t="shared" si="38"/>
        <v>1988.0000000000002</v>
      </c>
      <c r="T27" s="154">
        <f t="shared" si="39"/>
        <v>2226.5600000000004</v>
      </c>
      <c r="U27" s="154">
        <f t="shared" si="40"/>
        <v>2493.7472000000007</v>
      </c>
      <c r="V27" s="154">
        <f t="shared" si="41"/>
        <v>2792.9968640000011</v>
      </c>
      <c r="W27" s="154">
        <f t="shared" si="42"/>
        <v>3128.1564876800016</v>
      </c>
      <c r="X27" s="154">
        <f t="shared" si="43"/>
        <v>3503.5352662016021</v>
      </c>
      <c r="Y27" s="154">
        <f t="shared" si="44"/>
        <v>3923.9594981457949</v>
      </c>
      <c r="Z27" s="154">
        <f t="shared" si="45"/>
        <v>4394.8346379232908</v>
      </c>
      <c r="AA27" s="154">
        <f t="shared" si="46"/>
        <v>4922.2147944740864</v>
      </c>
      <c r="AB27" s="154">
        <f t="shared" si="47"/>
        <v>5512.8805698109772</v>
      </c>
      <c r="AC27" s="138">
        <f t="shared" si="19"/>
        <v>0.25037289952783603</v>
      </c>
      <c r="AD27" s="31">
        <f t="shared" si="17"/>
        <v>0.05</v>
      </c>
      <c r="AE27" s="146">
        <f t="shared" si="1"/>
        <v>34050.144695891337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0.21782178217821782</v>
      </c>
      <c r="I28" s="148">
        <f t="shared" si="78"/>
        <v>0.62172284644194753</v>
      </c>
      <c r="J28" s="148">
        <f t="shared" si="78"/>
        <v>0.31713554987212278</v>
      </c>
      <c r="K28" s="148">
        <f t="shared" si="78"/>
        <v>0.29294755877034356</v>
      </c>
      <c r="L28" s="148">
        <f t="shared" si="78"/>
        <v>0.29554140127388534</v>
      </c>
      <c r="M28" s="148">
        <f t="shared" si="78"/>
        <v>0.13546255506607929</v>
      </c>
      <c r="N28" s="148">
        <f t="shared" ref="N28" si="79">(N27-M27)/N27</f>
        <v>0.34676258992805753</v>
      </c>
      <c r="O28" s="148">
        <f t="shared" ref="O28" si="80">(O27-N27)/O27</f>
        <v>0.16716596764529659</v>
      </c>
      <c r="P28" s="148">
        <f t="shared" ref="P28" si="81">(P27-O27)/P27</f>
        <v>5.9718309859154932E-2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323</v>
      </c>
      <c r="C29" s="149"/>
      <c r="D29" s="149"/>
      <c r="E29" s="150"/>
      <c r="F29" s="147"/>
      <c r="G29" s="147">
        <v>117</v>
      </c>
      <c r="H29" s="147">
        <v>163</v>
      </c>
      <c r="I29" s="147">
        <v>415</v>
      </c>
      <c r="J29" s="147">
        <v>724</v>
      </c>
      <c r="K29" s="147">
        <v>1297</v>
      </c>
      <c r="L29" s="147">
        <v>1977</v>
      </c>
      <c r="M29" s="147">
        <v>2246</v>
      </c>
      <c r="N29" s="147">
        <v>2274</v>
      </c>
      <c r="O29" s="147">
        <v>2531</v>
      </c>
      <c r="P29" s="147">
        <v>3053</v>
      </c>
      <c r="Q29" s="118">
        <f>((P29/G29)^(1/($H$2-$H$1) ))-1</f>
        <v>0.43679046779673203</v>
      </c>
      <c r="R29" s="31">
        <f t="shared" si="6"/>
        <v>0.12</v>
      </c>
      <c r="S29" s="154">
        <f t="shared" ref="S29" si="82">P29*(1+$R29)</f>
        <v>3419.36</v>
      </c>
      <c r="T29" s="154">
        <f t="shared" ref="T29" si="83">S29*(1+$R29)</f>
        <v>3829.6832000000004</v>
      </c>
      <c r="U29" s="154">
        <f t="shared" ref="U29" si="84">T29*(1+$R29)</f>
        <v>4289.2451840000012</v>
      </c>
      <c r="V29" s="154">
        <f t="shared" ref="V29" si="85">U29*(1+$R29)</f>
        <v>4803.9546060800021</v>
      </c>
      <c r="W29" s="154">
        <f t="shared" ref="W29" si="86">V29*(1+$R29)</f>
        <v>5380.429158809603</v>
      </c>
      <c r="X29" s="154">
        <f t="shared" ref="X29" si="87">W29*(1+$R29)</f>
        <v>6026.0806578667562</v>
      </c>
      <c r="Y29" s="154">
        <f t="shared" ref="Y29" si="88">X29*(1+$R29)</f>
        <v>6749.2103368107673</v>
      </c>
      <c r="Z29" s="154">
        <f t="shared" ref="Z29" si="89">Y29*(1+$R29)</f>
        <v>7559.1155772280599</v>
      </c>
      <c r="AA29" s="154">
        <f t="shared" ref="AA29" si="90">Z29*(1+$R29)</f>
        <v>8466.209446495428</v>
      </c>
      <c r="AB29" s="154">
        <f t="shared" ref="AB29" si="91">AA29*(1+$R29)</f>
        <v>9482.1545800748809</v>
      </c>
      <c r="AC29" s="138">
        <f t="shared" ref="AC29" si="92">((AB29/G29)^(1/($AB$3-$H$1) ))-1</f>
        <v>0.26025668235243815</v>
      </c>
      <c r="AD29" s="31">
        <f t="shared" si="17"/>
        <v>0.05</v>
      </c>
      <c r="AE29" s="146">
        <f t="shared" ref="AE29" si="93">(AB29*(1+AD29))/($C$1-AD29)</f>
        <v>58566.248876933096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94">(G29-F29)/G29</f>
        <v>1</v>
      </c>
      <c r="H30" s="148">
        <f t="shared" si="94"/>
        <v>0.2822085889570552</v>
      </c>
      <c r="I30" s="148">
        <f t="shared" si="94"/>
        <v>0.60722891566265058</v>
      </c>
      <c r="J30" s="148">
        <f t="shared" si="94"/>
        <v>0.42679558011049723</v>
      </c>
      <c r="K30" s="148">
        <f t="shared" si="94"/>
        <v>0.4417887432536623</v>
      </c>
      <c r="L30" s="148">
        <f t="shared" si="94"/>
        <v>0.34395548811330301</v>
      </c>
      <c r="M30" s="148">
        <f t="shared" ref="M30" si="95">(M29-L29)/M29</f>
        <v>0.11976847729296528</v>
      </c>
      <c r="N30" s="148">
        <f t="shared" ref="N30" si="96">(N29-M29)/N29</f>
        <v>1.2313104661389622E-2</v>
      </c>
      <c r="O30" s="148">
        <f t="shared" ref="O30" si="97">(O29-N29)/O29</f>
        <v>0.10154089292769657</v>
      </c>
      <c r="P30" s="148">
        <f t="shared" ref="P30" si="98">(P29-O29)/P29</f>
        <v>0.17097936455944973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331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330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427</v>
      </c>
      <c r="C33" s="141"/>
      <c r="D33" s="141"/>
      <c r="E33" s="147"/>
      <c r="F33" s="147"/>
      <c r="G33" s="147">
        <v>8</v>
      </c>
      <c r="H33" s="147">
        <v>10</v>
      </c>
      <c r="I33" s="147">
        <v>26</v>
      </c>
      <c r="J33" s="147">
        <v>29</v>
      </c>
      <c r="K33" s="147">
        <v>54</v>
      </c>
      <c r="L33" s="147">
        <v>60</v>
      </c>
      <c r="M33" s="147">
        <v>56</v>
      </c>
      <c r="N33" s="147">
        <v>83</v>
      </c>
      <c r="O33" s="147">
        <v>423</v>
      </c>
      <c r="P33" s="147">
        <v>465</v>
      </c>
      <c r="Q33" s="118">
        <f>((P33/G33)^(1/($H$2-$H$1) ))-1</f>
        <v>0.57050863846101585</v>
      </c>
      <c r="R33" s="31">
        <f t="shared" si="6"/>
        <v>0.12</v>
      </c>
      <c r="S33" s="154">
        <f t="shared" si="38"/>
        <v>520.80000000000007</v>
      </c>
      <c r="T33" s="154">
        <f t="shared" si="39"/>
        <v>583.29600000000016</v>
      </c>
      <c r="U33" s="154">
        <f t="shared" si="40"/>
        <v>653.29152000000022</v>
      </c>
      <c r="V33" s="154">
        <f t="shared" si="41"/>
        <v>731.68650240000034</v>
      </c>
      <c r="W33" s="154">
        <f t="shared" si="42"/>
        <v>819.48888268800044</v>
      </c>
      <c r="X33" s="154">
        <f t="shared" si="43"/>
        <v>917.8275486105606</v>
      </c>
      <c r="Y33" s="154">
        <f t="shared" si="44"/>
        <v>1027.966854443828</v>
      </c>
      <c r="Z33" s="154">
        <f t="shared" si="45"/>
        <v>1151.3228769770874</v>
      </c>
      <c r="AA33" s="154">
        <f t="shared" si="46"/>
        <v>1289.4816222143379</v>
      </c>
      <c r="AB33" s="154">
        <f t="shared" si="47"/>
        <v>1444.2194168800586</v>
      </c>
      <c r="AC33" s="138">
        <f t="shared" si="19"/>
        <v>0.31451465180371518</v>
      </c>
      <c r="AD33" s="31">
        <f t="shared" si="17"/>
        <v>0.05</v>
      </c>
      <c r="AE33" s="146">
        <f t="shared" si="1"/>
        <v>8920.1787513180097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11</v>
      </c>
      <c r="H34" s="147">
        <v>14</v>
      </c>
      <c r="I34" s="147">
        <v>47</v>
      </c>
      <c r="J34" s="147">
        <v>72</v>
      </c>
      <c r="K34" s="147">
        <v>125</v>
      </c>
      <c r="L34" s="147">
        <v>200</v>
      </c>
      <c r="M34" s="147">
        <v>225</v>
      </c>
      <c r="N34" s="147">
        <v>371</v>
      </c>
      <c r="O34" s="147">
        <v>407</v>
      </c>
      <c r="P34" s="147">
        <v>438</v>
      </c>
      <c r="Q34" s="118">
        <f>((P34/G34)^(1/($H$2-$H$1) ))-1</f>
        <v>0.50586772432130123</v>
      </c>
      <c r="R34" s="31">
        <f t="shared" si="6"/>
        <v>0.12</v>
      </c>
      <c r="S34" s="154">
        <f t="shared" si="38"/>
        <v>490.56000000000006</v>
      </c>
      <c r="T34" s="154">
        <f t="shared" si="39"/>
        <v>549.42720000000008</v>
      </c>
      <c r="U34" s="154">
        <f t="shared" si="40"/>
        <v>615.35846400000014</v>
      </c>
      <c r="V34" s="154">
        <f t="shared" si="41"/>
        <v>689.20147968000026</v>
      </c>
      <c r="W34" s="154">
        <f t="shared" si="42"/>
        <v>771.90565724160035</v>
      </c>
      <c r="X34" s="154">
        <f t="shared" si="43"/>
        <v>864.53433611059245</v>
      </c>
      <c r="Y34" s="154">
        <f t="shared" si="44"/>
        <v>968.27845644386366</v>
      </c>
      <c r="Z34" s="154">
        <f t="shared" si="45"/>
        <v>1084.4718712171275</v>
      </c>
      <c r="AA34" s="154">
        <f t="shared" si="46"/>
        <v>1214.6084957631829</v>
      </c>
      <c r="AB34" s="154">
        <f t="shared" si="47"/>
        <v>1360.361515254765</v>
      </c>
      <c r="AC34" s="138">
        <f t="shared" si="19"/>
        <v>0.28860269208641331</v>
      </c>
      <c r="AD34" s="31">
        <f t="shared" si="17"/>
        <v>0.05</v>
      </c>
      <c r="AE34" s="146">
        <f t="shared" si="1"/>
        <v>8402.2328883382561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171</v>
      </c>
      <c r="H36" s="147">
        <v>244</v>
      </c>
      <c r="I36" s="147">
        <v>637</v>
      </c>
      <c r="J36" s="147">
        <v>1018</v>
      </c>
      <c r="K36" s="147">
        <v>1898</v>
      </c>
      <c r="L36" s="147">
        <v>2907</v>
      </c>
      <c r="M36" s="147">
        <v>3494</v>
      </c>
      <c r="N36" s="147">
        <v>3935</v>
      </c>
      <c r="O36" s="147">
        <v>4505</v>
      </c>
      <c r="P36" s="147">
        <v>5237</v>
      </c>
      <c r="Q36" s="118">
        <f>((P36/G36)^(1/($H$2-$H$1) ))-1</f>
        <v>0.4625836633504874</v>
      </c>
      <c r="R36" s="31">
        <f t="shared" si="6"/>
        <v>0.12</v>
      </c>
      <c r="S36" s="154">
        <f t="shared" ref="S36" si="102">P36*(1+$R36)</f>
        <v>5865.4400000000005</v>
      </c>
      <c r="T36" s="154">
        <f t="shared" ref="T36" si="103">S36*(1+$R36)</f>
        <v>6569.2928000000011</v>
      </c>
      <c r="U36" s="154">
        <f t="shared" ref="U36" si="104">T36*(1+$R36)</f>
        <v>7357.6079360000022</v>
      </c>
      <c r="V36" s="154">
        <f t="shared" ref="V36" si="105">U36*(1+$R36)</f>
        <v>8240.520888320003</v>
      </c>
      <c r="W36" s="154">
        <f t="shared" si="42"/>
        <v>9229.3833949184045</v>
      </c>
      <c r="X36" s="154">
        <f t="shared" si="43"/>
        <v>10336.909402308615</v>
      </c>
      <c r="Y36" s="154">
        <f t="shared" si="44"/>
        <v>11577.33853058565</v>
      </c>
      <c r="Z36" s="154">
        <f t="shared" si="45"/>
        <v>12966.61915425593</v>
      </c>
      <c r="AA36" s="154">
        <f t="shared" si="46"/>
        <v>14522.613452766644</v>
      </c>
      <c r="AB36" s="154">
        <f t="shared" si="47"/>
        <v>16265.327067098642</v>
      </c>
      <c r="AC36" s="138">
        <f t="shared" si="19"/>
        <v>0.27092317631930585</v>
      </c>
      <c r="AD36" s="31">
        <f t="shared" si="17"/>
        <v>0.05</v>
      </c>
      <c r="AE36" s="146">
        <f t="shared" si="1"/>
        <v>100462.3142379622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0.29918032786885246</v>
      </c>
      <c r="I37" s="148">
        <f t="shared" ref="I37" si="108">(I36-H36)/I36</f>
        <v>0.61695447409733128</v>
      </c>
      <c r="J37" s="148">
        <f t="shared" ref="J37" si="109">(J36-I36)/J36</f>
        <v>0.3742632612966601</v>
      </c>
      <c r="K37" s="148">
        <f t="shared" ref="K37" si="110">(K36-J36)/K36</f>
        <v>0.46364594309799789</v>
      </c>
      <c r="L37" s="148">
        <f t="shared" ref="L37" si="111">(L36-K36)/L36</f>
        <v>0.34709322325421399</v>
      </c>
      <c r="M37" s="148">
        <f t="shared" ref="M37" si="112">(M36-L36)/M36</f>
        <v>0.1680022896393818</v>
      </c>
      <c r="N37" s="148">
        <f t="shared" ref="N37" si="113">(N36-M36)/N36</f>
        <v>0.11207115628970775</v>
      </c>
      <c r="O37" s="148">
        <f t="shared" ref="O37" si="114">(O36-N36)/O36</f>
        <v>0.12652608213096558</v>
      </c>
      <c r="P37" s="148">
        <f t="shared" ref="P37" si="115">(P36-O36)/P36</f>
        <v>0.13977468016039718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400</v>
      </c>
      <c r="C38" s="149"/>
      <c r="D38" s="149"/>
      <c r="E38" s="150"/>
      <c r="F38" s="150"/>
      <c r="G38" s="147">
        <v>56</v>
      </c>
      <c r="H38" s="147">
        <v>78</v>
      </c>
      <c r="I38" s="147">
        <v>216</v>
      </c>
      <c r="J38" s="147">
        <v>286</v>
      </c>
      <c r="K38" s="147">
        <v>605</v>
      </c>
      <c r="L38" s="147">
        <v>926</v>
      </c>
      <c r="M38" s="147">
        <v>1324</v>
      </c>
      <c r="N38" s="147">
        <v>1837</v>
      </c>
      <c r="O38" s="147">
        <v>1957</v>
      </c>
      <c r="P38" s="147">
        <v>2162</v>
      </c>
      <c r="Q38" s="118">
        <f>((P38/G38)^(1/($H$2-$H$1) ))-1</f>
        <v>0.50070872312519055</v>
      </c>
      <c r="R38" s="31">
        <f t="shared" si="6"/>
        <v>0.12</v>
      </c>
      <c r="S38" s="154">
        <f t="shared" ref="S38" si="116">P38*(1+$R38)</f>
        <v>2421.44</v>
      </c>
      <c r="T38" s="154">
        <f t="shared" ref="T38" si="117">S38*(1+$R38)</f>
        <v>2712.0128000000004</v>
      </c>
      <c r="U38" s="154">
        <f t="shared" ref="U38" si="118">T38*(1+$R38)</f>
        <v>3037.4543360000007</v>
      </c>
      <c r="V38" s="154">
        <f t="shared" ref="V38" si="119">U38*(1+$R38)</f>
        <v>3401.9488563200011</v>
      </c>
      <c r="W38" s="154">
        <f t="shared" ref="W38" si="120">V38*(1+$R38)</f>
        <v>3810.1827190784015</v>
      </c>
      <c r="X38" s="154">
        <f t="shared" ref="X38" si="121">W38*(1+$R38)</f>
        <v>4267.4046453678102</v>
      </c>
      <c r="Y38" s="154">
        <f t="shared" ref="Y38" si="122">X38*(1+$R38)</f>
        <v>4779.4932028119474</v>
      </c>
      <c r="Z38" s="154">
        <f t="shared" ref="Z38" si="123">Y38*(1+$R38)</f>
        <v>5353.032387149382</v>
      </c>
      <c r="AA38" s="154">
        <f t="shared" ref="AA38" si="124">Z38*(1+$R38)</f>
        <v>5995.3962736073081</v>
      </c>
      <c r="AB38" s="154">
        <f t="shared" ref="AB38" si="125">AA38*(1+$R38)</f>
        <v>6714.8438264401857</v>
      </c>
      <c r="AC38" s="138">
        <f t="shared" ref="AC38" si="126">((AB38/G38)^(1/($AB$3-$H$1) ))-1</f>
        <v>0.28650964597485218</v>
      </c>
      <c r="AD38" s="31">
        <f t="shared" si="17"/>
        <v>0.05</v>
      </c>
      <c r="AE38" s="146">
        <f t="shared" ref="AE38" si="127">(AB38*(1+AD38))/($C$1-AD38)</f>
        <v>41474.035398601154</v>
      </c>
    </row>
    <row r="39" spans="2:31" s="123" customFormat="1" x14ac:dyDescent="0.2">
      <c r="B39" s="23"/>
      <c r="C39" s="149"/>
      <c r="D39" s="149"/>
      <c r="E39" s="150"/>
      <c r="F39" s="150"/>
      <c r="G39" s="148">
        <f t="shared" ref="G39" si="128">(G38-F38)/G38</f>
        <v>1</v>
      </c>
      <c r="H39" s="148">
        <f t="shared" ref="H39" si="129">(H38-G38)/H38</f>
        <v>0.28205128205128205</v>
      </c>
      <c r="I39" s="148">
        <f t="shared" ref="I39" si="130">(I38-H38)/I38</f>
        <v>0.63888888888888884</v>
      </c>
      <c r="J39" s="148">
        <f t="shared" ref="J39" si="131">(J38-I38)/J38</f>
        <v>0.24475524475524477</v>
      </c>
      <c r="K39" s="148">
        <f t="shared" ref="K39" si="132">(K38-J38)/K38</f>
        <v>0.52727272727272723</v>
      </c>
      <c r="L39" s="148">
        <f t="shared" ref="L39" si="133">(L38-K38)/L38</f>
        <v>0.3466522678185745</v>
      </c>
      <c r="M39" s="148">
        <f t="shared" ref="M39" si="134">(M38-L38)/M38</f>
        <v>0.30060422960725075</v>
      </c>
      <c r="N39" s="148">
        <f t="shared" ref="N39" si="135">(N38-M38)/N38</f>
        <v>0.27925966249319545</v>
      </c>
      <c r="O39" s="148">
        <f t="shared" ref="O39" si="136">(O38-N38)/O38</f>
        <v>6.1318344404701075E-2</v>
      </c>
      <c r="P39" s="148">
        <f t="shared" ref="P39" si="137">(P38-O38)/P38</f>
        <v>9.4819611470860321E-2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401</v>
      </c>
      <c r="C40" s="141"/>
      <c r="D40" s="141"/>
      <c r="E40" s="147"/>
      <c r="F40" s="147"/>
      <c r="G40" s="147">
        <v>37</v>
      </c>
      <c r="H40" s="147">
        <v>49</v>
      </c>
      <c r="I40" s="147">
        <v>141</v>
      </c>
      <c r="J40" s="147">
        <v>190</v>
      </c>
      <c r="K40" s="147">
        <v>389</v>
      </c>
      <c r="L40" s="147">
        <v>612</v>
      </c>
      <c r="M40" s="147">
        <v>873</v>
      </c>
      <c r="N40" s="147">
        <v>1217</v>
      </c>
      <c r="O40" s="147">
        <v>1308</v>
      </c>
      <c r="P40" s="147">
        <v>1463</v>
      </c>
      <c r="Q40" s="118">
        <f>((P40/G40)^(1/($H$2-$H$1) ))-1</f>
        <v>0.50469742585032651</v>
      </c>
      <c r="R40" s="31">
        <f t="shared" si="6"/>
        <v>0.12</v>
      </c>
      <c r="S40" s="154">
        <f>P40*(1+$R40)</f>
        <v>1638.5600000000002</v>
      </c>
      <c r="T40" s="154">
        <f t="shared" ref="T40:AB40" si="138">S40*(1+$R40)</f>
        <v>1835.1872000000003</v>
      </c>
      <c r="U40" s="154">
        <f t="shared" si="138"/>
        <v>2055.4096640000007</v>
      </c>
      <c r="V40" s="154">
        <f t="shared" si="138"/>
        <v>2302.0588236800008</v>
      </c>
      <c r="W40" s="154">
        <f t="shared" si="138"/>
        <v>2578.3058825216012</v>
      </c>
      <c r="X40" s="154">
        <f t="shared" si="138"/>
        <v>2887.7025884241934</v>
      </c>
      <c r="Y40" s="154">
        <f t="shared" si="138"/>
        <v>3234.2268990350972</v>
      </c>
      <c r="Z40" s="154">
        <f t="shared" si="138"/>
        <v>3622.3341269193093</v>
      </c>
      <c r="AA40" s="154">
        <f t="shared" si="138"/>
        <v>4057.0142221496267</v>
      </c>
      <c r="AB40" s="154">
        <f t="shared" si="138"/>
        <v>4543.8559288075821</v>
      </c>
      <c r="AC40" s="138">
        <f t="shared" si="19"/>
        <v>0.28812822444238595</v>
      </c>
      <c r="AD40" s="31">
        <f t="shared" si="17"/>
        <v>0.05</v>
      </c>
      <c r="AE40" s="146">
        <f t="shared" si="1"/>
        <v>28064.992501458601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39">(H40-G40)/H40</f>
        <v>0.24489795918367346</v>
      </c>
      <c r="I41" s="148">
        <f t="shared" si="139"/>
        <v>0.65248226950354615</v>
      </c>
      <c r="J41" s="148">
        <f t="shared" si="139"/>
        <v>0.25789473684210529</v>
      </c>
      <c r="K41" s="148">
        <f t="shared" si="139"/>
        <v>0.51156812339331614</v>
      </c>
      <c r="L41" s="148">
        <f t="shared" si="139"/>
        <v>0.36437908496732024</v>
      </c>
      <c r="M41" s="148">
        <f t="shared" si="139"/>
        <v>0.29896907216494845</v>
      </c>
      <c r="N41" s="148">
        <f t="shared" si="139"/>
        <v>0.2826622843056697</v>
      </c>
      <c r="O41" s="148">
        <f t="shared" si="139"/>
        <v>6.9571865443425071E-2</v>
      </c>
      <c r="P41" s="148">
        <f t="shared" si="139"/>
        <v>0.10594668489405332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88">
        <v>1</v>
      </c>
      <c r="G42" s="188">
        <v>4.1900000000000004</v>
      </c>
      <c r="H42" s="188">
        <v>6.54</v>
      </c>
      <c r="I42" s="188">
        <v>15.05</v>
      </c>
      <c r="J42" s="188">
        <v>18.41</v>
      </c>
      <c r="K42" s="188">
        <v>20.309999999999999</v>
      </c>
      <c r="L42" s="188">
        <v>20.350000000000001</v>
      </c>
      <c r="M42" s="188">
        <v>22.55</v>
      </c>
      <c r="N42" s="188">
        <v>22.61</v>
      </c>
      <c r="O42" s="188">
        <v>22.65</v>
      </c>
      <c r="P42" s="188">
        <v>22.68</v>
      </c>
      <c r="Q42" s="118">
        <f>((P42/G42)^(1/($H$2-$H$1) ))-1</f>
        <v>0.20640218231007368</v>
      </c>
      <c r="R42" s="31">
        <v>0.15</v>
      </c>
      <c r="S42" s="154">
        <f t="shared" ref="S42:S43" si="140">P42*(1+$R42)</f>
        <v>26.081999999999997</v>
      </c>
      <c r="T42" s="154">
        <f t="shared" ref="T42:AB42" si="141">S42*(1+$R42)</f>
        <v>29.994299999999996</v>
      </c>
      <c r="U42" s="154">
        <f t="shared" si="141"/>
        <v>34.493444999999994</v>
      </c>
      <c r="V42" s="154">
        <f t="shared" si="141"/>
        <v>39.667461749999987</v>
      </c>
      <c r="W42" s="154">
        <f t="shared" si="141"/>
        <v>45.617581012499983</v>
      </c>
      <c r="X42" s="154">
        <f t="shared" si="141"/>
        <v>52.460218164374979</v>
      </c>
      <c r="Y42" s="154">
        <f t="shared" si="141"/>
        <v>60.329250889031222</v>
      </c>
      <c r="Z42" s="154">
        <f t="shared" si="141"/>
        <v>69.378638522385899</v>
      </c>
      <c r="AA42" s="154">
        <f t="shared" si="141"/>
        <v>79.785434300743773</v>
      </c>
      <c r="AB42" s="154">
        <f t="shared" si="141"/>
        <v>91.753249445855332</v>
      </c>
      <c r="AC42" s="138">
        <f t="shared" si="19"/>
        <v>0.17638034452756068</v>
      </c>
      <c r="AD42" s="31">
        <f t="shared" si="17"/>
        <v>0.05</v>
      </c>
      <c r="AE42" s="146">
        <f t="shared" si="1"/>
        <v>566.71124657734185</v>
      </c>
    </row>
    <row r="43" spans="2:31" x14ac:dyDescent="0.2">
      <c r="B43" s="20" t="s">
        <v>282</v>
      </c>
      <c r="C43" s="145"/>
      <c r="D43" s="145"/>
      <c r="E43" s="145"/>
      <c r="F43" s="188"/>
      <c r="G43" s="188">
        <v>2.5</v>
      </c>
      <c r="H43" s="188">
        <v>2.5</v>
      </c>
      <c r="I43" s="188">
        <v>3</v>
      </c>
      <c r="J43" s="188">
        <v>3</v>
      </c>
      <c r="K43" s="188">
        <v>5</v>
      </c>
      <c r="L43" s="188">
        <v>5</v>
      </c>
      <c r="M43" s="188">
        <v>6</v>
      </c>
      <c r="N43" s="188">
        <v>6.5</v>
      </c>
      <c r="O43" s="188">
        <v>6.5</v>
      </c>
      <c r="P43" s="188">
        <v>7</v>
      </c>
      <c r="Q43" s="118">
        <f>((P43/G43)^(1/($H$2-$H$1) ))-1</f>
        <v>0.12120293435923335</v>
      </c>
      <c r="R43" s="31">
        <f>P1</f>
        <v>0.05</v>
      </c>
      <c r="S43" s="154">
        <f t="shared" si="140"/>
        <v>7.3500000000000005</v>
      </c>
      <c r="T43" s="154">
        <f t="shared" ref="T43" si="142">S43*(1+$R43)</f>
        <v>7.7175000000000011</v>
      </c>
      <c r="U43" s="154">
        <f t="shared" ref="U43" si="143">T43*(1+$R43)</f>
        <v>8.1033750000000015</v>
      </c>
      <c r="V43" s="154">
        <f t="shared" ref="V43" si="144">U43*(1+$R43)</f>
        <v>8.5085437500000012</v>
      </c>
      <c r="W43" s="154">
        <f t="shared" ref="W43" si="145">V43*(1+$R43)</f>
        <v>8.9339709375000016</v>
      </c>
      <c r="X43" s="154">
        <f t="shared" ref="X43" si="146">W43*(1+$R43)</f>
        <v>9.3806694843750016</v>
      </c>
      <c r="Y43" s="154">
        <f t="shared" ref="Y43" si="147">X43*(1+$R43)</f>
        <v>9.8497029585937526</v>
      </c>
      <c r="Z43" s="154">
        <f t="shared" ref="Z43" si="148">Y43*(1+$R43)</f>
        <v>10.342188106523441</v>
      </c>
      <c r="AA43" s="154">
        <f t="shared" ref="AA43" si="149">Z43*(1+$R43)</f>
        <v>10.859297511849613</v>
      </c>
      <c r="AB43" s="154">
        <f t="shared" ref="AB43" si="150">AA43*(1+$R43)</f>
        <v>11.402262387442095</v>
      </c>
      <c r="AC43" s="138">
        <f t="shared" ref="AC43" si="151">((AB43/G43)^(1/($AB$3-$H$1) ))-1</f>
        <v>8.3145739796739226E-2</v>
      </c>
      <c r="AD43" s="31">
        <f t="shared" si="17"/>
        <v>0.05</v>
      </c>
      <c r="AE43" s="146">
        <f t="shared" si="1"/>
        <v>70.425738275377654</v>
      </c>
    </row>
    <row r="44" spans="2:31" x14ac:dyDescent="0.2">
      <c r="B44" s="20" t="s">
        <v>426</v>
      </c>
      <c r="C44" s="20"/>
      <c r="D44" s="20"/>
      <c r="E44" s="127"/>
      <c r="F44" s="127"/>
      <c r="G44" s="147">
        <v>0</v>
      </c>
      <c r="H44" s="147">
        <v>0</v>
      </c>
      <c r="I44" s="147">
        <v>0</v>
      </c>
      <c r="J44" s="147">
        <v>0</v>
      </c>
      <c r="K44" s="147">
        <v>0</v>
      </c>
      <c r="L44" s="147">
        <v>0</v>
      </c>
      <c r="M44" s="147">
        <v>0</v>
      </c>
      <c r="N44" s="147">
        <v>0</v>
      </c>
      <c r="O44" s="147">
        <v>0</v>
      </c>
      <c r="P44" s="147">
        <v>0</v>
      </c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424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425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52">C25/C42</f>
        <v>0</v>
      </c>
      <c r="D49" s="133">
        <f t="shared" si="152"/>
        <v>0</v>
      </c>
      <c r="E49" s="133">
        <f t="shared" si="152"/>
        <v>0</v>
      </c>
      <c r="F49" s="133">
        <f t="shared" si="152"/>
        <v>0</v>
      </c>
      <c r="G49" s="133">
        <f t="shared" si="152"/>
        <v>61.813842482100235</v>
      </c>
      <c r="H49" s="133">
        <f t="shared" si="152"/>
        <v>52.905198776758411</v>
      </c>
      <c r="I49" s="133">
        <f t="shared" si="152"/>
        <v>60.265780730897006</v>
      </c>
      <c r="J49" s="133">
        <f t="shared" si="152"/>
        <v>76.806083650190118</v>
      </c>
      <c r="K49" s="133">
        <f t="shared" si="152"/>
        <v>122.74741506646973</v>
      </c>
      <c r="L49" s="133">
        <f t="shared" si="152"/>
        <v>182.94840294840293</v>
      </c>
      <c r="M49" s="133">
        <f t="shared" si="152"/>
        <v>199.51219512195121</v>
      </c>
      <c r="N49" s="133">
        <f t="shared" si="152"/>
        <v>244.3609022556391</v>
      </c>
      <c r="O49" s="133">
        <f t="shared" si="152"/>
        <v>272.62693156732894</v>
      </c>
      <c r="P49" s="133">
        <f t="shared" si="152"/>
        <v>309.30335097001762</v>
      </c>
      <c r="Q49" s="118">
        <f>((P49/G49)^(1/($H$2-$H$1) ))-1</f>
        <v>0.19591379624479655</v>
      </c>
      <c r="R49" s="128"/>
      <c r="S49" s="158">
        <f t="shared" ref="S49:AB49" si="153">S25/S42</f>
        <v>301.23456790123464</v>
      </c>
      <c r="T49" s="158">
        <f t="shared" si="153"/>
        <v>293.3762748255503</v>
      </c>
      <c r="U49" s="158">
        <f t="shared" si="153"/>
        <v>285.72298069966644</v>
      </c>
      <c r="V49" s="158">
        <f t="shared" si="153"/>
        <v>278.26933772489258</v>
      </c>
      <c r="W49" s="158">
        <f t="shared" si="153"/>
        <v>271.01013761033022</v>
      </c>
      <c r="X49" s="158">
        <f t="shared" si="153"/>
        <v>263.94030793353897</v>
      </c>
      <c r="Y49" s="158">
        <f t="shared" si="153"/>
        <v>257.05490859614241</v>
      </c>
      <c r="Z49" s="158">
        <f t="shared" si="153"/>
        <v>250.34912837189523</v>
      </c>
      <c r="AA49" s="158">
        <f t="shared" si="153"/>
        <v>243.81828154480235</v>
      </c>
      <c r="AB49" s="158">
        <f t="shared" si="153"/>
        <v>237.45780463493796</v>
      </c>
      <c r="AC49" s="138">
        <f t="shared" ref="AC49" si="154">((AB49/G49)^(1/($AB$3-$H$1) ))-1</f>
        <v>7.3403964851948222E-2</v>
      </c>
      <c r="AD49" s="31">
        <f t="shared" si="17"/>
        <v>0.05</v>
      </c>
      <c r="AE49" s="146">
        <f t="shared" ref="AE49:AE50" si="155">(AB49*(1+AD49))/($C$1-AD49)</f>
        <v>1466.6511462746171</v>
      </c>
    </row>
    <row r="50" spans="2:31" x14ac:dyDescent="0.2">
      <c r="B50" s="20" t="s">
        <v>304</v>
      </c>
      <c r="C50" s="133">
        <f t="shared" ref="C50:P50" si="156">C27/C42</f>
        <v>0</v>
      </c>
      <c r="D50" s="133">
        <f t="shared" si="156"/>
        <v>0</v>
      </c>
      <c r="E50" s="133">
        <f t="shared" si="156"/>
        <v>0</v>
      </c>
      <c r="F50" s="133">
        <f t="shared" si="156"/>
        <v>0</v>
      </c>
      <c r="G50" s="133">
        <f t="shared" si="156"/>
        <v>18.854415274463005</v>
      </c>
      <c r="H50" s="133">
        <f t="shared" si="156"/>
        <v>15.443425076452598</v>
      </c>
      <c r="I50" s="133">
        <f t="shared" si="156"/>
        <v>17.740863787375414</v>
      </c>
      <c r="J50" s="133">
        <f t="shared" si="156"/>
        <v>21.238457360130365</v>
      </c>
      <c r="K50" s="133">
        <f t="shared" si="156"/>
        <v>27.22796651895618</v>
      </c>
      <c r="L50" s="133">
        <f t="shared" si="156"/>
        <v>38.574938574938571</v>
      </c>
      <c r="M50" s="133">
        <f t="shared" si="156"/>
        <v>40.266075388026607</v>
      </c>
      <c r="N50" s="133">
        <f t="shared" si="156"/>
        <v>61.477222467934546</v>
      </c>
      <c r="O50" s="133">
        <f t="shared" si="156"/>
        <v>73.686534216335545</v>
      </c>
      <c r="P50" s="133">
        <f t="shared" si="156"/>
        <v>78.262786596119923</v>
      </c>
      <c r="Q50" s="118">
        <f>((P50/G50)^(1/($H$2-$H$1) ))-1</f>
        <v>0.17133864269297505</v>
      </c>
      <c r="R50" s="128"/>
      <c r="S50" s="158">
        <f t="shared" ref="S50:AB50" si="157">S27/S42</f>
        <v>76.221148684916812</v>
      </c>
      <c r="T50" s="158">
        <f t="shared" si="157"/>
        <v>74.23277089313639</v>
      </c>
      <c r="U50" s="158">
        <f t="shared" si="157"/>
        <v>72.296263826358924</v>
      </c>
      <c r="V50" s="158">
        <f t="shared" si="157"/>
        <v>70.410274335236537</v>
      </c>
      <c r="W50" s="158">
        <f t="shared" si="157"/>
        <v>68.573484569969509</v>
      </c>
      <c r="X50" s="158">
        <f t="shared" si="157"/>
        <v>66.784611059448579</v>
      </c>
      <c r="Y50" s="158">
        <f t="shared" si="157"/>
        <v>65.042403814419487</v>
      </c>
      <c r="Z50" s="158">
        <f t="shared" si="157"/>
        <v>63.345645454043343</v>
      </c>
      <c r="AA50" s="158">
        <f t="shared" si="157"/>
        <v>61.693150355242231</v>
      </c>
      <c r="AB50" s="158">
        <f t="shared" si="157"/>
        <v>60.083763824235923</v>
      </c>
      <c r="AC50" s="138">
        <f t="shared" ref="AC50" si="158">((AB50/G50)^(1/($AB$3-$H$1) ))-1</f>
        <v>6.289849651474011E-2</v>
      </c>
      <c r="AD50" s="31">
        <f t="shared" si="17"/>
        <v>0.05</v>
      </c>
      <c r="AE50" s="146">
        <f t="shared" si="155"/>
        <v>371.10560009086896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59">C40/C42</f>
        <v>0</v>
      </c>
      <c r="D52" s="25">
        <f t="shared" si="159"/>
        <v>0</v>
      </c>
      <c r="E52" s="25">
        <f t="shared" si="159"/>
        <v>0</v>
      </c>
      <c r="F52" s="133">
        <f t="shared" si="159"/>
        <v>0</v>
      </c>
      <c r="G52" s="133">
        <f t="shared" si="159"/>
        <v>8.8305489260143197</v>
      </c>
      <c r="H52" s="133">
        <f t="shared" si="159"/>
        <v>7.4923547400611623</v>
      </c>
      <c r="I52" s="133">
        <f t="shared" si="159"/>
        <v>9.368770764119601</v>
      </c>
      <c r="J52" s="133">
        <f t="shared" si="159"/>
        <v>10.320478001086366</v>
      </c>
      <c r="K52" s="133">
        <f t="shared" si="159"/>
        <v>19.153126538650913</v>
      </c>
      <c r="L52" s="133">
        <f t="shared" si="159"/>
        <v>30.073710073710071</v>
      </c>
      <c r="M52" s="133">
        <f t="shared" si="159"/>
        <v>38.713968957871394</v>
      </c>
      <c r="N52" s="133">
        <f t="shared" si="159"/>
        <v>53.825740822644846</v>
      </c>
      <c r="O52" s="133">
        <f t="shared" si="159"/>
        <v>57.748344370860934</v>
      </c>
      <c r="P52" s="133">
        <f t="shared" si="159"/>
        <v>64.506172839506178</v>
      </c>
      <c r="Q52" s="118">
        <f>((P52/G52)^(1/($H$2-$H$1) ))-1</f>
        <v>0.24726019889077411</v>
      </c>
      <c r="R52" s="128"/>
      <c r="S52" s="158">
        <f t="shared" ref="S52:AB52" si="160">S40/S42</f>
        <v>62.823403113258202</v>
      </c>
      <c r="T52" s="158">
        <f t="shared" si="160"/>
        <v>61.184531727694946</v>
      </c>
      <c r="U52" s="158">
        <f t="shared" si="160"/>
        <v>59.588413508711611</v>
      </c>
      <c r="V52" s="158">
        <f t="shared" si="160"/>
        <v>58.033933156310454</v>
      </c>
      <c r="W52" s="158">
        <f t="shared" si="160"/>
        <v>56.520004465276273</v>
      </c>
      <c r="X52" s="158">
        <f t="shared" si="160"/>
        <v>55.045569566182117</v>
      </c>
      <c r="Y52" s="158">
        <f t="shared" si="160"/>
        <v>53.609598186194766</v>
      </c>
      <c r="Z52" s="158">
        <f t="shared" si="160"/>
        <v>52.211086929163606</v>
      </c>
      <c r="AA52" s="158">
        <f t="shared" si="160"/>
        <v>50.849058574489788</v>
      </c>
      <c r="AB52" s="158">
        <f t="shared" si="160"/>
        <v>49.522561394285709</v>
      </c>
      <c r="AC52" s="138">
        <f t="shared" ref="AC52:AC66" si="161">((AB52/G52)^(1/($AB$3-$H$1) ))-1</f>
        <v>9.4992984568867289E-2</v>
      </c>
      <c r="AD52" s="31">
        <f t="shared" si="17"/>
        <v>0.05</v>
      </c>
      <c r="AE52" s="146">
        <f t="shared" ref="AE52:AE80" si="162">(AB52*(1+AD52))/($C$1-AD52)</f>
        <v>305.87464390588235</v>
      </c>
    </row>
    <row r="53" spans="2:31" x14ac:dyDescent="0.2">
      <c r="B53" s="20" t="s">
        <v>387</v>
      </c>
      <c r="C53" s="133">
        <f t="shared" ref="C53:F53" si="163">C20/C42</f>
        <v>0</v>
      </c>
      <c r="D53" s="133">
        <f t="shared" si="163"/>
        <v>0</v>
      </c>
      <c r="E53" s="133">
        <f t="shared" si="163"/>
        <v>0</v>
      </c>
      <c r="F53" s="133">
        <f t="shared" si="163"/>
        <v>0</v>
      </c>
      <c r="G53" s="133">
        <f>G20/G42</f>
        <v>-67.064439140811444</v>
      </c>
      <c r="H53" s="133">
        <f t="shared" ref="H53:P53" si="164">H20/H42</f>
        <v>-85.015290519877681</v>
      </c>
      <c r="I53" s="133">
        <f t="shared" si="164"/>
        <v>-219.80066445182723</v>
      </c>
      <c r="J53" s="133">
        <f t="shared" si="164"/>
        <v>-139.27213470939708</v>
      </c>
      <c r="K53" s="133">
        <f t="shared" si="164"/>
        <v>-285.67208271787297</v>
      </c>
      <c r="L53" s="133">
        <f t="shared" si="164"/>
        <v>-76.36363636363636</v>
      </c>
      <c r="M53" s="133">
        <f t="shared" si="164"/>
        <v>38.447893569844787</v>
      </c>
      <c r="N53" s="133">
        <f t="shared" si="164"/>
        <v>-23.175586023883238</v>
      </c>
      <c r="O53" s="133">
        <f t="shared" si="164"/>
        <v>-38.189845474613691</v>
      </c>
      <c r="P53" s="133">
        <f t="shared" si="164"/>
        <v>-308.77425044091711</v>
      </c>
      <c r="Q53" s="118">
        <f>((P53/G53)^(1/($H$2-$H$1) ))-1</f>
        <v>0.18490408762652288</v>
      </c>
      <c r="R53" s="128"/>
      <c r="S53" s="133">
        <f t="shared" ref="S53:AB53" si="165">S20/S42</f>
        <v>-300.71926999463238</v>
      </c>
      <c r="T53" s="133">
        <f t="shared" si="165"/>
        <v>-292.87441947303336</v>
      </c>
      <c r="U53" s="133">
        <f t="shared" si="165"/>
        <v>-285.23421722591075</v>
      </c>
      <c r="V53" s="133">
        <f t="shared" si="165"/>
        <v>-277.79332460262623</v>
      </c>
      <c r="W53" s="133">
        <f t="shared" si="165"/>
        <v>-270.54654222168818</v>
      </c>
      <c r="X53" s="133">
        <f t="shared" si="165"/>
        <v>-263.48880633764418</v>
      </c>
      <c r="Y53" s="133">
        <f t="shared" si="165"/>
        <v>-256.61518530274918</v>
      </c>
      <c r="Z53" s="133">
        <f t="shared" si="165"/>
        <v>-249.92087612093837</v>
      </c>
      <c r="AA53" s="133">
        <f t="shared" si="165"/>
        <v>-243.40120109169655</v>
      </c>
      <c r="AB53" s="133">
        <f t="shared" si="165"/>
        <v>-237.05160454147844</v>
      </c>
      <c r="AC53" s="138">
        <f t="shared" ref="AC53" si="166">((AB53/G53)^(1/($AB$3-$H$1) ))-1</f>
        <v>6.8711685358443075E-2</v>
      </c>
      <c r="AD53" s="31">
        <f t="shared" si="17"/>
        <v>0.05</v>
      </c>
      <c r="AE53" s="146">
        <f t="shared" si="162"/>
        <v>-1464.1422633444258</v>
      </c>
    </row>
    <row r="54" spans="2:31" x14ac:dyDescent="0.2">
      <c r="B54" s="20" t="s">
        <v>245</v>
      </c>
      <c r="C54" s="25">
        <f t="shared" ref="C54:P54" si="167">C7/C42</f>
        <v>0</v>
      </c>
      <c r="D54" s="25">
        <f t="shared" si="167"/>
        <v>0</v>
      </c>
      <c r="E54" s="25">
        <f t="shared" si="167"/>
        <v>0</v>
      </c>
      <c r="F54" s="133">
        <f t="shared" si="167"/>
        <v>0</v>
      </c>
      <c r="G54" s="133">
        <f t="shared" si="167"/>
        <v>31.264916467780427</v>
      </c>
      <c r="H54" s="133">
        <f t="shared" si="167"/>
        <v>34.097859327217122</v>
      </c>
      <c r="I54" s="133">
        <f t="shared" si="167"/>
        <v>55.747508305647841</v>
      </c>
      <c r="J54" s="133">
        <f t="shared" si="167"/>
        <v>58.989679521998916</v>
      </c>
      <c r="K54" s="133">
        <f t="shared" si="167"/>
        <v>89.463318562284599</v>
      </c>
      <c r="L54" s="133">
        <f t="shared" si="167"/>
        <v>113.8083538083538</v>
      </c>
      <c r="M54" s="133">
        <f t="shared" si="167"/>
        <v>170.46563192904657</v>
      </c>
      <c r="N54" s="133">
        <f t="shared" si="167"/>
        <v>216.40866873065016</v>
      </c>
      <c r="O54" s="133">
        <f t="shared" si="167"/>
        <v>266.31346578366447</v>
      </c>
      <c r="P54" s="133">
        <f t="shared" si="167"/>
        <v>323.50088183421519</v>
      </c>
      <c r="Q54" s="118">
        <f>((P54/G54)^(1/($H$2-$H$1) ))-1</f>
        <v>0.29645538915589165</v>
      </c>
      <c r="R54" s="128"/>
      <c r="S54" s="158">
        <f t="shared" ref="S54:AB54" si="168">S7/S42</f>
        <v>315.06172839506178</v>
      </c>
      <c r="T54" s="158">
        <f t="shared" si="168"/>
        <v>306.84272678475583</v>
      </c>
      <c r="U54" s="158">
        <f t="shared" si="168"/>
        <v>298.8381339121101</v>
      </c>
      <c r="V54" s="158">
        <f t="shared" si="168"/>
        <v>291.04235650570723</v>
      </c>
      <c r="W54" s="158">
        <f t="shared" si="168"/>
        <v>283.44994720555843</v>
      </c>
      <c r="X54" s="158">
        <f t="shared" si="168"/>
        <v>276.05560075671781</v>
      </c>
      <c r="Y54" s="158">
        <f t="shared" si="168"/>
        <v>268.8541503021948</v>
      </c>
      <c r="Z54" s="158">
        <f t="shared" si="168"/>
        <v>261.84056377257235</v>
      </c>
      <c r="AA54" s="158">
        <f t="shared" si="168"/>
        <v>255.00994036980967</v>
      </c>
      <c r="AB54" s="158">
        <f t="shared" si="168"/>
        <v>248.35750714277123</v>
      </c>
      <c r="AC54" s="138">
        <f t="shared" si="161"/>
        <v>0.11524291961761879</v>
      </c>
      <c r="AD54" s="31">
        <f t="shared" si="17"/>
        <v>0.05</v>
      </c>
      <c r="AE54" s="146">
        <f t="shared" si="162"/>
        <v>1533.9728382347639</v>
      </c>
    </row>
    <row r="55" spans="2:31" x14ac:dyDescent="0.2">
      <c r="B55" s="20" t="s">
        <v>246</v>
      </c>
      <c r="C55" s="127">
        <f t="shared" ref="C55:P55" si="169">C6/C42</f>
        <v>0</v>
      </c>
      <c r="D55" s="127">
        <f t="shared" si="169"/>
        <v>0</v>
      </c>
      <c r="E55" s="127">
        <f t="shared" si="169"/>
        <v>0</v>
      </c>
      <c r="F55" s="144">
        <f t="shared" si="169"/>
        <v>0</v>
      </c>
      <c r="G55" s="144">
        <f t="shared" si="169"/>
        <v>11.933174224343674</v>
      </c>
      <c r="H55" s="144">
        <f t="shared" si="169"/>
        <v>20.030581039755351</v>
      </c>
      <c r="I55" s="144">
        <f t="shared" si="169"/>
        <v>43.122923588039868</v>
      </c>
      <c r="J55" s="144">
        <f t="shared" si="169"/>
        <v>47.908745247148289</v>
      </c>
      <c r="K55" s="144">
        <f t="shared" si="169"/>
        <v>77.301821762678486</v>
      </c>
      <c r="L55" s="144">
        <f t="shared" si="169"/>
        <v>101.57248157248156</v>
      </c>
      <c r="M55" s="144">
        <f t="shared" si="169"/>
        <v>160.08869179600887</v>
      </c>
      <c r="N55" s="144">
        <f t="shared" si="169"/>
        <v>206.23617868199912</v>
      </c>
      <c r="O55" s="144">
        <f t="shared" si="169"/>
        <v>256.33554083885213</v>
      </c>
      <c r="P55" s="144">
        <f t="shared" si="169"/>
        <v>313.49206349206349</v>
      </c>
      <c r="Q55" s="118">
        <f>((P55/G55)^(1/($H$2-$H$1) ))-1</f>
        <v>0.43786778018211159</v>
      </c>
      <c r="R55" s="128"/>
      <c r="S55" s="157">
        <f t="shared" ref="S55:AB55" si="170">S6/S42</f>
        <v>305.31400966183583</v>
      </c>
      <c r="T55" s="157">
        <f t="shared" si="170"/>
        <v>297.34929636630972</v>
      </c>
      <c r="U55" s="157">
        <f t="shared" si="170"/>
        <v>289.59235820023207</v>
      </c>
      <c r="V55" s="157">
        <f t="shared" si="170"/>
        <v>282.0377749428348</v>
      </c>
      <c r="W55" s="157">
        <f t="shared" si="170"/>
        <v>274.68026777041302</v>
      </c>
      <c r="X55" s="157">
        <f t="shared" si="170"/>
        <v>267.51469556770667</v>
      </c>
      <c r="Y55" s="157">
        <f t="shared" si="170"/>
        <v>260.53605133550565</v>
      </c>
      <c r="Z55" s="157">
        <f t="shared" si="170"/>
        <v>253.73945869197078</v>
      </c>
      <c r="AA55" s="157">
        <f t="shared" si="170"/>
        <v>247.12016846522377</v>
      </c>
      <c r="AB55" s="157">
        <f t="shared" si="170"/>
        <v>240.67355537482666</v>
      </c>
      <c r="AC55" s="138">
        <f t="shared" si="161"/>
        <v>0.17129683028043319</v>
      </c>
      <c r="AD55" s="31">
        <f t="shared" si="17"/>
        <v>0.05</v>
      </c>
      <c r="AE55" s="146">
        <f t="shared" si="162"/>
        <v>1486.5131361386354</v>
      </c>
    </row>
    <row r="56" spans="2:31" x14ac:dyDescent="0.2">
      <c r="B56" s="20" t="s">
        <v>247</v>
      </c>
      <c r="C56" s="127">
        <f t="shared" ref="C56:P56" si="171">C10/C42</f>
        <v>0</v>
      </c>
      <c r="D56" s="127">
        <f t="shared" si="171"/>
        <v>0</v>
      </c>
      <c r="E56" s="127">
        <f t="shared" si="171"/>
        <v>0</v>
      </c>
      <c r="F56" s="144">
        <f t="shared" si="171"/>
        <v>0</v>
      </c>
      <c r="G56" s="144">
        <f t="shared" si="171"/>
        <v>218.37708830548925</v>
      </c>
      <c r="H56" s="144">
        <f t="shared" si="171"/>
        <v>226.45259938837921</v>
      </c>
      <c r="I56" s="144">
        <f t="shared" si="171"/>
        <v>292.09302325581393</v>
      </c>
      <c r="J56" s="144">
        <f t="shared" si="171"/>
        <v>474.6333514394351</v>
      </c>
      <c r="K56" s="144">
        <f t="shared" si="171"/>
        <v>728.01575578532743</v>
      </c>
      <c r="L56" s="144">
        <f t="shared" si="171"/>
        <v>988.74692874692869</v>
      </c>
      <c r="M56" s="144">
        <f t="shared" si="171"/>
        <v>818.58093126385802</v>
      </c>
      <c r="N56" s="144">
        <f t="shared" si="171"/>
        <v>892.92348518354709</v>
      </c>
      <c r="O56" s="144">
        <f t="shared" si="171"/>
        <v>822.78145695364242</v>
      </c>
      <c r="P56" s="144">
        <f t="shared" si="171"/>
        <v>1143.8271604938273</v>
      </c>
      <c r="Q56" s="118">
        <f>((P56/G56)^(1/($H$2-$H$1) ))-1</f>
        <v>0.20200403614681028</v>
      </c>
      <c r="R56" s="128"/>
      <c r="S56" s="157">
        <f t="shared" ref="S56:AB56" si="172">S10/S42</f>
        <v>1113.9881910896406</v>
      </c>
      <c r="T56" s="157">
        <f t="shared" si="172"/>
        <v>1084.9276295829545</v>
      </c>
      <c r="U56" s="157">
        <f t="shared" si="172"/>
        <v>1056.6251696807908</v>
      </c>
      <c r="V56" s="157">
        <f t="shared" si="172"/>
        <v>1029.0610348195528</v>
      </c>
      <c r="W56" s="157">
        <f t="shared" si="172"/>
        <v>1002.2159643459994</v>
      </c>
      <c r="X56" s="157">
        <f t="shared" si="172"/>
        <v>976.07120005871263</v>
      </c>
      <c r="Y56" s="157">
        <f t="shared" si="172"/>
        <v>950.60847310065935</v>
      </c>
      <c r="Z56" s="157">
        <f t="shared" si="172"/>
        <v>925.80999119368573</v>
      </c>
      <c r="AA56" s="157">
        <f t="shared" si="172"/>
        <v>901.65842620602461</v>
      </c>
      <c r="AB56" s="157">
        <f t="shared" si="172"/>
        <v>878.13690204412842</v>
      </c>
      <c r="AC56" s="138">
        <f t="shared" si="161"/>
        <v>7.5989829127816488E-2</v>
      </c>
      <c r="AD56" s="31">
        <f t="shared" si="17"/>
        <v>0.05</v>
      </c>
      <c r="AE56" s="146">
        <f t="shared" si="162"/>
        <v>5423.7867479196175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73">(C7-C10)/C42</f>
        <v>0</v>
      </c>
      <c r="D58" s="127">
        <f t="shared" si="173"/>
        <v>0</v>
      </c>
      <c r="E58" s="127">
        <f t="shared" si="173"/>
        <v>0</v>
      </c>
      <c r="F58" s="144">
        <f t="shared" si="173"/>
        <v>0</v>
      </c>
      <c r="G58" s="144">
        <f t="shared" si="173"/>
        <v>-187.11217183770881</v>
      </c>
      <c r="H58" s="144">
        <f t="shared" si="173"/>
        <v>-192.35474006116209</v>
      </c>
      <c r="I58" s="144">
        <f t="shared" si="173"/>
        <v>-236.34551495016609</v>
      </c>
      <c r="J58" s="144">
        <f t="shared" si="173"/>
        <v>-415.64367191743617</v>
      </c>
      <c r="K58" s="144">
        <f t="shared" si="173"/>
        <v>-638.55243722304283</v>
      </c>
      <c r="L58" s="144">
        <f t="shared" si="173"/>
        <v>-874.9385749385749</v>
      </c>
      <c r="M58" s="144">
        <f t="shared" si="173"/>
        <v>-648.11529933481154</v>
      </c>
      <c r="N58" s="144">
        <f t="shared" si="173"/>
        <v>-676.51481645289698</v>
      </c>
      <c r="O58" s="144">
        <f t="shared" si="173"/>
        <v>-556.46799116997795</v>
      </c>
      <c r="P58" s="144">
        <f t="shared" si="173"/>
        <v>-820.32627865961206</v>
      </c>
      <c r="Q58" s="118">
        <f>((P58/G58)^(1/($H$2-$H$1) ))-1</f>
        <v>0.17847536763781191</v>
      </c>
      <c r="R58" s="128"/>
      <c r="S58" s="157">
        <f t="shared" ref="S58:AB58" si="174">(S7-S10)/S42</f>
        <v>-798.92646269457896</v>
      </c>
      <c r="T58" s="157">
        <f t="shared" si="174"/>
        <v>-778.08490279819875</v>
      </c>
      <c r="U58" s="157">
        <f t="shared" si="174"/>
        <v>-757.78703576868065</v>
      </c>
      <c r="V58" s="157">
        <f t="shared" si="174"/>
        <v>-738.01867831384561</v>
      </c>
      <c r="W58" s="157">
        <f t="shared" si="174"/>
        <v>-718.76601714044102</v>
      </c>
      <c r="X58" s="157">
        <f t="shared" si="174"/>
        <v>-700.01559930199483</v>
      </c>
      <c r="Y58" s="157">
        <f t="shared" si="174"/>
        <v>-681.75432279846461</v>
      </c>
      <c r="Z58" s="157">
        <f t="shared" si="174"/>
        <v>-663.96942742111344</v>
      </c>
      <c r="AA58" s="157">
        <f t="shared" si="174"/>
        <v>-646.64848583621495</v>
      </c>
      <c r="AB58" s="157">
        <f t="shared" si="174"/>
        <v>-629.77939490135714</v>
      </c>
      <c r="AC58" s="138">
        <f t="shared" si="161"/>
        <v>6.5961182355704695E-2</v>
      </c>
      <c r="AD58" s="31">
        <f t="shared" si="17"/>
        <v>0.05</v>
      </c>
      <c r="AE58" s="146">
        <f t="shared" si="162"/>
        <v>-3889.8139096848531</v>
      </c>
    </row>
    <row r="59" spans="2:31" x14ac:dyDescent="0.2">
      <c r="B59" s="20" t="s">
        <v>271</v>
      </c>
      <c r="C59" s="127">
        <f t="shared" ref="C59:P59" si="175">(C7-C10-C9)/C42</f>
        <v>0</v>
      </c>
      <c r="D59" s="127">
        <f t="shared" si="175"/>
        <v>0</v>
      </c>
      <c r="E59" s="127">
        <f t="shared" si="175"/>
        <v>0</v>
      </c>
      <c r="F59" s="144">
        <f t="shared" si="175"/>
        <v>0</v>
      </c>
      <c r="G59" s="144">
        <f t="shared" si="175"/>
        <v>-228.63961813842479</v>
      </c>
      <c r="H59" s="144">
        <f t="shared" si="175"/>
        <v>-228.13455657492355</v>
      </c>
      <c r="I59" s="144">
        <f t="shared" si="175"/>
        <v>-285.8471760797342</v>
      </c>
      <c r="J59" s="144">
        <f t="shared" si="175"/>
        <v>-462.41173275393805</v>
      </c>
      <c r="K59" s="144">
        <f t="shared" si="175"/>
        <v>-707.68094534711975</v>
      </c>
      <c r="L59" s="144">
        <f t="shared" si="175"/>
        <v>-980.24570024570016</v>
      </c>
      <c r="M59" s="144">
        <f t="shared" si="175"/>
        <v>-821.77383592017736</v>
      </c>
      <c r="N59" s="144">
        <f t="shared" si="175"/>
        <v>-931.80008845643522</v>
      </c>
      <c r="O59" s="144">
        <f t="shared" si="175"/>
        <v>-1033.4657836644592</v>
      </c>
      <c r="P59" s="144">
        <f t="shared" si="175"/>
        <v>-1373.2804232804233</v>
      </c>
      <c r="Q59" s="118">
        <f>((P59/G59)^(1/($H$2-$H$1) ))-1</f>
        <v>0.22042746167051375</v>
      </c>
      <c r="R59" s="128"/>
      <c r="S59" s="157">
        <f t="shared" ref="S59:AB59" si="176">(S7-S10-S9)/S42</f>
        <v>-1337.4557165861518</v>
      </c>
      <c r="T59" s="157">
        <f t="shared" si="176"/>
        <v>-1302.5655674578177</v>
      </c>
      <c r="U59" s="157">
        <f t="shared" si="176"/>
        <v>-1268.5855961328314</v>
      </c>
      <c r="V59" s="157">
        <f t="shared" si="176"/>
        <v>-1235.49205884241</v>
      </c>
      <c r="W59" s="157">
        <f t="shared" si="176"/>
        <v>-1203.261831220434</v>
      </c>
      <c r="X59" s="157">
        <f t="shared" si="176"/>
        <v>-1171.8723921451185</v>
      </c>
      <c r="Y59" s="157">
        <f t="shared" si="176"/>
        <v>-1141.3018080022027</v>
      </c>
      <c r="Z59" s="157">
        <f t="shared" si="176"/>
        <v>-1111.5287173586669</v>
      </c>
      <c r="AA59" s="157">
        <f t="shared" si="176"/>
        <v>-1082.5323160362673</v>
      </c>
      <c r="AB59" s="157">
        <f t="shared" si="176"/>
        <v>-1054.2923425744516</v>
      </c>
      <c r="AC59" s="138">
        <f t="shared" si="161"/>
        <v>8.377055028159841E-2</v>
      </c>
      <c r="AD59" s="31">
        <f t="shared" si="17"/>
        <v>0.05</v>
      </c>
      <c r="AE59" s="146">
        <f t="shared" si="162"/>
        <v>-6511.8056453127901</v>
      </c>
    </row>
    <row r="60" spans="2:31" x14ac:dyDescent="0.2">
      <c r="B60" s="20" t="s">
        <v>276</v>
      </c>
      <c r="C60" s="127">
        <f t="shared" ref="C60:P60" si="177">(C7+C15-C10-C9)/C42</f>
        <v>0</v>
      </c>
      <c r="D60" s="127">
        <f t="shared" si="177"/>
        <v>0</v>
      </c>
      <c r="E60" s="127">
        <f t="shared" si="177"/>
        <v>0</v>
      </c>
      <c r="F60" s="144">
        <f t="shared" si="177"/>
        <v>0</v>
      </c>
      <c r="G60" s="144">
        <f t="shared" si="177"/>
        <v>-96.658711217183765</v>
      </c>
      <c r="H60" s="144">
        <f t="shared" si="177"/>
        <v>-157.03363914373088</v>
      </c>
      <c r="I60" s="144">
        <f t="shared" si="177"/>
        <v>-255.01661129568106</v>
      </c>
      <c r="J60" s="144">
        <f t="shared" si="177"/>
        <v>-442.15100488864749</v>
      </c>
      <c r="K60" s="144">
        <f t="shared" si="177"/>
        <v>-681.88084687346134</v>
      </c>
      <c r="L60" s="144">
        <f t="shared" si="177"/>
        <v>-928.74692874692869</v>
      </c>
      <c r="M60" s="144">
        <f t="shared" si="177"/>
        <v>-743.59201773835923</v>
      </c>
      <c r="N60" s="144">
        <f t="shared" si="177"/>
        <v>-886.86421937195928</v>
      </c>
      <c r="O60" s="144">
        <f t="shared" si="177"/>
        <v>-798.45474613686542</v>
      </c>
      <c r="P60" s="144">
        <f t="shared" si="177"/>
        <v>-1093.2539682539682</v>
      </c>
      <c r="Q60" s="118">
        <f>((P60/G60)^(1/($H$2-$H$1) ))-1</f>
        <v>0.30934272717527822</v>
      </c>
      <c r="R60" s="128"/>
      <c r="S60" s="157">
        <f t="shared" ref="S60:AB60" si="178">(S7+S15-S10-S9)/S42</f>
        <v>-1064.7342995169085</v>
      </c>
      <c r="T60" s="157">
        <f t="shared" si="178"/>
        <v>-1036.9586221382069</v>
      </c>
      <c r="U60" s="157">
        <f t="shared" si="178"/>
        <v>-1009.907527647645</v>
      </c>
      <c r="V60" s="157">
        <f t="shared" si="178"/>
        <v>-983.562113882924</v>
      </c>
      <c r="W60" s="157">
        <f t="shared" si="178"/>
        <v>-957.9039717816305</v>
      </c>
      <c r="X60" s="157">
        <f t="shared" si="178"/>
        <v>-932.9151725177619</v>
      </c>
      <c r="Y60" s="157">
        <f t="shared" si="178"/>
        <v>-908.57825497382032</v>
      </c>
      <c r="Z60" s="157">
        <f t="shared" si="178"/>
        <v>-884.87621353972077</v>
      </c>
      <c r="AA60" s="157">
        <f t="shared" si="178"/>
        <v>-861.79248622998921</v>
      </c>
      <c r="AB60" s="157">
        <f t="shared" si="178"/>
        <v>-839.31094311094614</v>
      </c>
      <c r="AC60" s="138">
        <f t="shared" si="161"/>
        <v>0.12048051793511738</v>
      </c>
      <c r="AD60" s="31">
        <f t="shared" si="17"/>
        <v>0.05</v>
      </c>
      <c r="AE60" s="146">
        <f t="shared" si="162"/>
        <v>-5183.9793545087859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79">C12/C42</f>
        <v>0</v>
      </c>
      <c r="D62" s="127">
        <f t="shared" si="179"/>
        <v>0</v>
      </c>
      <c r="E62" s="127">
        <f t="shared" si="179"/>
        <v>0</v>
      </c>
      <c r="F62" s="144">
        <f t="shared" si="179"/>
        <v>0</v>
      </c>
      <c r="G62" s="144">
        <f t="shared" si="179"/>
        <v>38.424821002386629</v>
      </c>
      <c r="H62" s="144">
        <f t="shared" si="179"/>
        <v>27.522935779816514</v>
      </c>
      <c r="I62" s="144">
        <f t="shared" si="179"/>
        <v>16.744186046511626</v>
      </c>
      <c r="J62" s="144">
        <f t="shared" si="179"/>
        <v>98.370450841933732</v>
      </c>
      <c r="K62" s="144">
        <f t="shared" si="179"/>
        <v>135.00738552437224</v>
      </c>
      <c r="L62" s="144">
        <f t="shared" si="179"/>
        <v>314.88943488943488</v>
      </c>
      <c r="M62" s="144">
        <f t="shared" si="179"/>
        <v>279.82261640798225</v>
      </c>
      <c r="N62" s="144">
        <f t="shared" si="179"/>
        <v>307.65148164528972</v>
      </c>
      <c r="O62" s="144">
        <f t="shared" si="179"/>
        <v>234.92273730684329</v>
      </c>
      <c r="P62" s="144">
        <f t="shared" si="179"/>
        <v>280.02645502645504</v>
      </c>
      <c r="Q62" s="118">
        <f>((P62/G62)^(1/($H$2-$H$1) ))-1</f>
        <v>0.24693272611095929</v>
      </c>
      <c r="R62" s="128"/>
      <c r="S62" s="157">
        <f t="shared" ref="S62:AB62" si="180">S12/S42</f>
        <v>272.72141706924322</v>
      </c>
      <c r="T62" s="157">
        <f t="shared" si="180"/>
        <v>265.60694531961082</v>
      </c>
      <c r="U62" s="157">
        <f t="shared" si="180"/>
        <v>258.6780684851862</v>
      </c>
      <c r="V62" s="157">
        <f t="shared" si="180"/>
        <v>251.92994495948579</v>
      </c>
      <c r="W62" s="157">
        <f t="shared" si="180"/>
        <v>245.35785943880362</v>
      </c>
      <c r="X62" s="157">
        <f t="shared" si="180"/>
        <v>238.95721962735661</v>
      </c>
      <c r="Y62" s="157">
        <f t="shared" si="180"/>
        <v>232.72355302838213</v>
      </c>
      <c r="Z62" s="157">
        <f t="shared" si="180"/>
        <v>226.65250381894612</v>
      </c>
      <c r="AA62" s="157">
        <f t="shared" si="180"/>
        <v>220.73982980627801</v>
      </c>
      <c r="AB62" s="157">
        <f t="shared" si="180"/>
        <v>214.98139946350557</v>
      </c>
      <c r="AC62" s="138">
        <f t="shared" si="161"/>
        <v>9.4856793572402509E-2</v>
      </c>
      <c r="AD62" s="31">
        <f t="shared" si="17"/>
        <v>0.05</v>
      </c>
      <c r="AE62" s="146">
        <f t="shared" si="162"/>
        <v>1327.8262908040051</v>
      </c>
    </row>
    <row r="63" spans="2:31" x14ac:dyDescent="0.2">
      <c r="B63" s="20" t="s">
        <v>255</v>
      </c>
      <c r="C63" s="127">
        <f t="shared" ref="C63:P63" si="181">C13/C42</f>
        <v>0</v>
      </c>
      <c r="D63" s="127">
        <f t="shared" si="181"/>
        <v>0</v>
      </c>
      <c r="E63" s="127">
        <f t="shared" si="181"/>
        <v>0</v>
      </c>
      <c r="F63" s="144">
        <f t="shared" si="181"/>
        <v>0</v>
      </c>
      <c r="G63" s="144">
        <f t="shared" si="181"/>
        <v>1.1933174224343674</v>
      </c>
      <c r="H63" s="144">
        <f t="shared" si="181"/>
        <v>0.6116207951070336</v>
      </c>
      <c r="I63" s="144">
        <f t="shared" si="181"/>
        <v>0.59800664451827235</v>
      </c>
      <c r="J63" s="144">
        <f t="shared" si="181"/>
        <v>12.167300380228136</v>
      </c>
      <c r="K63" s="144">
        <f t="shared" si="181"/>
        <v>0.78778926637124569</v>
      </c>
      <c r="L63" s="144">
        <f t="shared" si="181"/>
        <v>1.4742014742014742</v>
      </c>
      <c r="M63" s="144">
        <f t="shared" si="181"/>
        <v>3.7250554323725056</v>
      </c>
      <c r="N63" s="144">
        <f t="shared" si="181"/>
        <v>13.356921716054844</v>
      </c>
      <c r="O63" s="144">
        <f t="shared" si="181"/>
        <v>161.85430463576159</v>
      </c>
      <c r="P63" s="144">
        <f t="shared" si="181"/>
        <v>144.62081128747795</v>
      </c>
      <c r="Q63" s="118">
        <f>((P63/G63)^(1/($H$2-$H$1) ))-1</f>
        <v>0.70410833777227677</v>
      </c>
      <c r="R63" s="128"/>
      <c r="S63" s="157">
        <f t="shared" ref="S63:AB63" si="182">S13/S42</f>
        <v>140.84809447128291</v>
      </c>
      <c r="T63" s="157">
        <f t="shared" si="182"/>
        <v>137.17379635464076</v>
      </c>
      <c r="U63" s="157">
        <f t="shared" si="182"/>
        <v>133.59534949321537</v>
      </c>
      <c r="V63" s="157">
        <f t="shared" si="182"/>
        <v>130.11025341947933</v>
      </c>
      <c r="W63" s="157">
        <f t="shared" si="182"/>
        <v>126.71607289549294</v>
      </c>
      <c r="X63" s="157">
        <f t="shared" si="182"/>
        <v>123.41043621126272</v>
      </c>
      <c r="Y63" s="157">
        <f t="shared" si="182"/>
        <v>120.19103352749066</v>
      </c>
      <c r="Z63" s="157">
        <f t="shared" si="182"/>
        <v>117.05561526155616</v>
      </c>
      <c r="AA63" s="157">
        <f t="shared" si="182"/>
        <v>114.00199051560253</v>
      </c>
      <c r="AB63" s="157">
        <f t="shared" si="182"/>
        <v>111.0280255456303</v>
      </c>
      <c r="AC63" s="138">
        <f t="shared" si="161"/>
        <v>0.26944695954377007</v>
      </c>
      <c r="AD63" s="31">
        <f t="shared" si="17"/>
        <v>0.05</v>
      </c>
      <c r="AE63" s="146">
        <f t="shared" si="162"/>
        <v>685.76133425242244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83">(D62+D63)</f>
        <v>0</v>
      </c>
      <c r="E64" s="127">
        <f t="shared" si="183"/>
        <v>0</v>
      </c>
      <c r="F64" s="144">
        <f t="shared" si="183"/>
        <v>0</v>
      </c>
      <c r="G64" s="144">
        <f t="shared" si="183"/>
        <v>39.618138424820998</v>
      </c>
      <c r="H64" s="144">
        <f t="shared" si="183"/>
        <v>28.134556574923547</v>
      </c>
      <c r="I64" s="144">
        <f t="shared" si="183"/>
        <v>17.342192691029897</v>
      </c>
      <c r="J64" s="144">
        <f t="shared" si="183"/>
        <v>110.53775122216187</v>
      </c>
      <c r="K64" s="144">
        <f t="shared" si="183"/>
        <v>135.79517479074349</v>
      </c>
      <c r="L64" s="144">
        <f t="shared" si="183"/>
        <v>316.36363636363637</v>
      </c>
      <c r="M64" s="144">
        <f t="shared" si="183"/>
        <v>283.54767184035478</v>
      </c>
      <c r="N64" s="144">
        <f t="shared" si="183"/>
        <v>321.00840336134456</v>
      </c>
      <c r="O64" s="144">
        <f t="shared" ref="O64" si="184">(O62+O63)</f>
        <v>396.77704194260491</v>
      </c>
      <c r="P64" s="144">
        <f t="shared" si="183"/>
        <v>424.64726631393296</v>
      </c>
      <c r="Q64" s="118">
        <f>((P64/G64)^(1/($H$2-$H$1) ))-1</f>
        <v>0.30154552425918646</v>
      </c>
      <c r="R64" s="128"/>
      <c r="S64" s="157">
        <f t="shared" ref="S64:AB64" si="185">(S62+S63)</f>
        <v>413.56951154052615</v>
      </c>
      <c r="T64" s="157">
        <f t="shared" si="185"/>
        <v>402.78074167425154</v>
      </c>
      <c r="U64" s="157">
        <f t="shared" si="185"/>
        <v>392.27341797840154</v>
      </c>
      <c r="V64" s="157">
        <f t="shared" si="185"/>
        <v>382.0401983789651</v>
      </c>
      <c r="W64" s="157">
        <f t="shared" si="185"/>
        <v>372.07393233429656</v>
      </c>
      <c r="X64" s="157">
        <f t="shared" si="185"/>
        <v>362.36765583861933</v>
      </c>
      <c r="Y64" s="157">
        <f t="shared" si="185"/>
        <v>352.9145865558728</v>
      </c>
      <c r="Z64" s="157">
        <f t="shared" si="185"/>
        <v>343.70811908050229</v>
      </c>
      <c r="AA64" s="157">
        <f t="shared" si="185"/>
        <v>334.74182032188054</v>
      </c>
      <c r="AB64" s="157">
        <f t="shared" si="185"/>
        <v>326.00942500913584</v>
      </c>
      <c r="AC64" s="138">
        <f t="shared" si="161"/>
        <v>0.11731488293178272</v>
      </c>
      <c r="AD64" s="31">
        <f t="shared" si="17"/>
        <v>0.05</v>
      </c>
      <c r="AE64" s="146">
        <f t="shared" si="162"/>
        <v>2013.5876250564274</v>
      </c>
    </row>
    <row r="65" spans="2:31" x14ac:dyDescent="0.2">
      <c r="B65" s="20" t="s">
        <v>249</v>
      </c>
      <c r="C65" s="127">
        <f t="shared" ref="C65:P65" si="186">C15/C42</f>
        <v>0</v>
      </c>
      <c r="D65" s="127">
        <f t="shared" si="186"/>
        <v>0</v>
      </c>
      <c r="E65" s="127">
        <f t="shared" si="186"/>
        <v>0</v>
      </c>
      <c r="F65" s="144">
        <f t="shared" si="186"/>
        <v>0</v>
      </c>
      <c r="G65" s="144">
        <f t="shared" si="186"/>
        <v>131.98090692124103</v>
      </c>
      <c r="H65" s="144">
        <f t="shared" si="186"/>
        <v>71.100917431192656</v>
      </c>
      <c r="I65" s="144">
        <f t="shared" si="186"/>
        <v>30.830564784053156</v>
      </c>
      <c r="J65" s="144">
        <f t="shared" si="186"/>
        <v>20.260727865290601</v>
      </c>
      <c r="K65" s="144">
        <f t="shared" si="186"/>
        <v>25.800098473658299</v>
      </c>
      <c r="L65" s="144">
        <f t="shared" si="186"/>
        <v>51.498771498771497</v>
      </c>
      <c r="M65" s="144">
        <f t="shared" si="186"/>
        <v>78.181818181818173</v>
      </c>
      <c r="N65" s="144">
        <f t="shared" si="186"/>
        <v>44.935869084475897</v>
      </c>
      <c r="O65" s="144">
        <f t="shared" si="186"/>
        <v>235.01103752759383</v>
      </c>
      <c r="P65" s="144">
        <f t="shared" si="186"/>
        <v>280.02645502645504</v>
      </c>
      <c r="Q65" s="118">
        <f>((P65/G65)^(1/($H$2-$H$1) ))-1</f>
        <v>8.7173008621421522E-2</v>
      </c>
      <c r="R65" s="128"/>
      <c r="S65" s="157">
        <f t="shared" ref="S65:AB65" si="187">S15/S42</f>
        <v>272.72141706924322</v>
      </c>
      <c r="T65" s="157">
        <f t="shared" si="187"/>
        <v>265.60694531961082</v>
      </c>
      <c r="U65" s="157">
        <f t="shared" si="187"/>
        <v>258.6780684851862</v>
      </c>
      <c r="V65" s="157">
        <f t="shared" si="187"/>
        <v>251.92994495948579</v>
      </c>
      <c r="W65" s="157">
        <f t="shared" si="187"/>
        <v>245.35785943880362</v>
      </c>
      <c r="X65" s="157">
        <f t="shared" si="187"/>
        <v>238.95721962735661</v>
      </c>
      <c r="Y65" s="157">
        <f t="shared" si="187"/>
        <v>232.72355302838213</v>
      </c>
      <c r="Z65" s="157">
        <f t="shared" si="187"/>
        <v>226.65250381894612</v>
      </c>
      <c r="AA65" s="157">
        <f t="shared" si="187"/>
        <v>220.73982980627801</v>
      </c>
      <c r="AB65" s="157">
        <f t="shared" si="187"/>
        <v>214.98139946350557</v>
      </c>
      <c r="AC65" s="138">
        <f t="shared" si="161"/>
        <v>2.6011181001255546E-2</v>
      </c>
      <c r="AD65" s="31">
        <f t="shared" si="17"/>
        <v>0.05</v>
      </c>
      <c r="AE65" s="146">
        <f t="shared" si="162"/>
        <v>1327.8262908040051</v>
      </c>
    </row>
    <row r="66" spans="2:31" x14ac:dyDescent="0.2">
      <c r="B66" s="20" t="s">
        <v>250</v>
      </c>
      <c r="C66" s="127">
        <f t="shared" ref="C66:P66" si="188">C16/C42</f>
        <v>0</v>
      </c>
      <c r="D66" s="127">
        <f t="shared" si="188"/>
        <v>0</v>
      </c>
      <c r="E66" s="127">
        <f t="shared" si="188"/>
        <v>0</v>
      </c>
      <c r="F66" s="144">
        <f t="shared" si="188"/>
        <v>0</v>
      </c>
      <c r="G66" s="144">
        <f t="shared" si="188"/>
        <v>235.79952267303099</v>
      </c>
      <c r="H66" s="144">
        <f t="shared" si="188"/>
        <v>252.44648318042815</v>
      </c>
      <c r="I66" s="144">
        <f t="shared" si="188"/>
        <v>336.74418604651163</v>
      </c>
      <c r="J66" s="144">
        <f t="shared" si="188"/>
        <v>512.33025529603481</v>
      </c>
      <c r="K66" s="144">
        <f t="shared" si="188"/>
        <v>809.65041851304784</v>
      </c>
      <c r="L66" s="144">
        <f t="shared" si="188"/>
        <v>1099.4103194103193</v>
      </c>
      <c r="M66" s="144">
        <f t="shared" si="188"/>
        <v>981.64079822616407</v>
      </c>
      <c r="N66" s="144">
        <f t="shared" si="188"/>
        <v>1091.9946926138878</v>
      </c>
      <c r="O66" s="144">
        <f t="shared" si="188"/>
        <v>924.90066225165572</v>
      </c>
      <c r="P66" s="144">
        <f t="shared" si="188"/>
        <v>1319.5767195767196</v>
      </c>
      <c r="Q66" s="118">
        <f>((P66/G66)^(1/($H$2-$H$1) ))-1</f>
        <v>0.21087435211140071</v>
      </c>
      <c r="R66" s="128"/>
      <c r="S66" s="157">
        <f t="shared" ref="S66:AB66" si="189">S16/S42</f>
        <v>1285.1529790660227</v>
      </c>
      <c r="T66" s="157">
        <f t="shared" si="189"/>
        <v>1251.6272491773441</v>
      </c>
      <c r="U66" s="157">
        <f t="shared" si="189"/>
        <v>1218.9761035466308</v>
      </c>
      <c r="V66" s="157">
        <f t="shared" si="189"/>
        <v>1187.1767269323714</v>
      </c>
      <c r="W66" s="157">
        <f t="shared" si="189"/>
        <v>1156.2068992732661</v>
      </c>
      <c r="X66" s="157">
        <f t="shared" si="189"/>
        <v>1126.0449801617899</v>
      </c>
      <c r="Y66" s="157">
        <f t="shared" si="189"/>
        <v>1096.6698937227868</v>
      </c>
      <c r="Z66" s="157">
        <f t="shared" si="189"/>
        <v>1068.0611138865406</v>
      </c>
      <c r="AA66" s="157">
        <f t="shared" si="189"/>
        <v>1040.1986500460223</v>
      </c>
      <c r="AB66" s="157">
        <f t="shared" si="189"/>
        <v>1013.0630330883002</v>
      </c>
      <c r="AC66" s="138">
        <f t="shared" si="161"/>
        <v>7.974378511090352E-2</v>
      </c>
      <c r="AD66" s="137"/>
      <c r="AE66" s="146">
        <f t="shared" si="162"/>
        <v>4604.831968583183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62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90">D43</f>
        <v>0</v>
      </c>
      <c r="E68" s="159">
        <f t="shared" si="190"/>
        <v>0</v>
      </c>
      <c r="F68" s="159">
        <f t="shared" si="190"/>
        <v>0</v>
      </c>
      <c r="G68" s="159">
        <f t="shared" si="190"/>
        <v>2.5</v>
      </c>
      <c r="H68" s="159">
        <f t="shared" si="190"/>
        <v>2.5</v>
      </c>
      <c r="I68" s="159">
        <f t="shared" si="190"/>
        <v>3</v>
      </c>
      <c r="J68" s="159">
        <f t="shared" si="190"/>
        <v>3</v>
      </c>
      <c r="K68" s="159">
        <f t="shared" si="190"/>
        <v>5</v>
      </c>
      <c r="L68" s="159">
        <f t="shared" si="190"/>
        <v>5</v>
      </c>
      <c r="M68" s="159">
        <f t="shared" si="190"/>
        <v>6</v>
      </c>
      <c r="N68" s="159">
        <f t="shared" si="190"/>
        <v>6.5</v>
      </c>
      <c r="O68" s="159">
        <f t="shared" si="190"/>
        <v>6.5</v>
      </c>
      <c r="P68" s="159">
        <f t="shared" si="190"/>
        <v>7</v>
      </c>
      <c r="Q68" s="118">
        <f>((P68/G68)^(1/($H$2-$H$1) ))-1</f>
        <v>0.12120293435923335</v>
      </c>
      <c r="R68" s="128"/>
      <c r="S68" s="159">
        <f t="shared" ref="S68:AB68" si="191">S43</f>
        <v>7.3500000000000005</v>
      </c>
      <c r="T68" s="159">
        <f t="shared" si="191"/>
        <v>7.7175000000000011</v>
      </c>
      <c r="U68" s="159">
        <f t="shared" si="191"/>
        <v>8.1033750000000015</v>
      </c>
      <c r="V68" s="159">
        <f t="shared" si="191"/>
        <v>8.5085437500000012</v>
      </c>
      <c r="W68" s="159">
        <f t="shared" si="191"/>
        <v>8.9339709375000016</v>
      </c>
      <c r="X68" s="159">
        <f t="shared" si="191"/>
        <v>9.3806694843750016</v>
      </c>
      <c r="Y68" s="159">
        <f t="shared" si="191"/>
        <v>9.8497029585937526</v>
      </c>
      <c r="Z68" s="159">
        <f t="shared" si="191"/>
        <v>10.342188106523441</v>
      </c>
      <c r="AA68" s="159">
        <f t="shared" si="191"/>
        <v>10.859297511849613</v>
      </c>
      <c r="AB68" s="159">
        <f t="shared" si="191"/>
        <v>11.402262387442095</v>
      </c>
      <c r="AC68" s="138">
        <f t="shared" ref="AC68" si="192">((AB68/G68)^(1/($AB$3-$H$1) ))-1</f>
        <v>8.3145739796739226E-2</v>
      </c>
      <c r="AD68" s="31">
        <f t="shared" si="17"/>
        <v>0.05</v>
      </c>
      <c r="AE68" s="146">
        <f t="shared" si="162"/>
        <v>70.425738275377654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316</v>
      </c>
      <c r="C70" s="127">
        <f t="shared" ref="C70:P70" si="193">C20+C21</f>
        <v>0</v>
      </c>
      <c r="D70" s="127">
        <f t="shared" si="193"/>
        <v>0</v>
      </c>
      <c r="E70" s="127">
        <f t="shared" si="193"/>
        <v>0</v>
      </c>
      <c r="F70" s="144">
        <f t="shared" si="193"/>
        <v>0</v>
      </c>
      <c r="G70" s="144">
        <f t="shared" si="193"/>
        <v>-293</v>
      </c>
      <c r="H70" s="144">
        <f t="shared" si="193"/>
        <v>-544</v>
      </c>
      <c r="I70" s="144">
        <f t="shared" si="193"/>
        <v>-3430</v>
      </c>
      <c r="J70" s="144">
        <f t="shared" si="193"/>
        <v>-3091</v>
      </c>
      <c r="K70" s="144">
        <f t="shared" si="193"/>
        <v>-7230</v>
      </c>
      <c r="L70" s="144">
        <f t="shared" si="193"/>
        <v>-1291</v>
      </c>
      <c r="M70" s="144">
        <f t="shared" si="193"/>
        <v>-1094</v>
      </c>
      <c r="N70" s="144">
        <f t="shared" si="193"/>
        <v>-2062</v>
      </c>
      <c r="O70" s="144">
        <f t="shared" si="193"/>
        <v>-880</v>
      </c>
      <c r="P70" s="144">
        <f t="shared" si="193"/>
        <v>-7007</v>
      </c>
      <c r="Q70" s="118">
        <f>((P70/G70)^(1/($H$2-$H$1) ))-1</f>
        <v>0.42293461423864476</v>
      </c>
      <c r="R70" s="128"/>
      <c r="S70" s="144">
        <f t="shared" ref="S70:AB70" si="194">S20+S21</f>
        <v>-7847.84</v>
      </c>
      <c r="T70" s="144">
        <f t="shared" si="194"/>
        <v>-8789.5808000000015</v>
      </c>
      <c r="U70" s="144">
        <f t="shared" si="194"/>
        <v>-9844.3304960000041</v>
      </c>
      <c r="V70" s="144">
        <f t="shared" si="194"/>
        <v>-11025.650155520005</v>
      </c>
      <c r="W70" s="144">
        <f t="shared" si="194"/>
        <v>-12348.728174182406</v>
      </c>
      <c r="X70" s="144">
        <f t="shared" si="194"/>
        <v>-13830.575555084299</v>
      </c>
      <c r="Y70" s="144">
        <f t="shared" si="194"/>
        <v>-15490.244621694415</v>
      </c>
      <c r="Z70" s="144">
        <f t="shared" si="194"/>
        <v>-17349.073976297746</v>
      </c>
      <c r="AA70" s="144">
        <f t="shared" si="194"/>
        <v>-19430.962853453479</v>
      </c>
      <c r="AB70" s="144">
        <f t="shared" si="194"/>
        <v>-21762.678395867901</v>
      </c>
      <c r="AC70" s="138">
        <f t="shared" ref="AC70:AC75" si="195">((AB70/G70)^(1/($AB$3-$H$1) ))-1</f>
        <v>0.25448511265695295</v>
      </c>
      <c r="AD70" s="31">
        <f t="shared" si="17"/>
        <v>0.05</v>
      </c>
      <c r="AE70" s="146">
        <f t="shared" si="162"/>
        <v>-134416.54303330174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317</v>
      </c>
      <c r="C72" s="127">
        <f t="shared" ref="C72:P72" si="196">C70/C42</f>
        <v>0</v>
      </c>
      <c r="D72" s="127">
        <f t="shared" si="196"/>
        <v>0</v>
      </c>
      <c r="E72" s="127">
        <f t="shared" si="196"/>
        <v>0</v>
      </c>
      <c r="F72" s="144">
        <f t="shared" si="196"/>
        <v>0</v>
      </c>
      <c r="G72" s="144">
        <f t="shared" si="196"/>
        <v>-69.928400954653938</v>
      </c>
      <c r="H72" s="144">
        <f t="shared" si="196"/>
        <v>-83.180428134556578</v>
      </c>
      <c r="I72" s="144">
        <f t="shared" si="196"/>
        <v>-227.90697674418604</v>
      </c>
      <c r="J72" s="144">
        <f t="shared" si="196"/>
        <v>-167.89788158609451</v>
      </c>
      <c r="K72" s="144">
        <f t="shared" si="196"/>
        <v>-355.98227474150667</v>
      </c>
      <c r="L72" s="144">
        <f t="shared" si="196"/>
        <v>-63.439803439803434</v>
      </c>
      <c r="M72" s="144">
        <f t="shared" si="196"/>
        <v>-48.514412416851442</v>
      </c>
      <c r="N72" s="144">
        <f t="shared" si="196"/>
        <v>-91.198584697036708</v>
      </c>
      <c r="O72" s="144">
        <f t="shared" si="196"/>
        <v>-38.852097130242825</v>
      </c>
      <c r="P72" s="144">
        <f t="shared" si="196"/>
        <v>-308.95061728395063</v>
      </c>
      <c r="Q72" s="118">
        <f>((P72/G72)^(1/($H$2-$H$1) ))-1</f>
        <v>0.1794861076212122</v>
      </c>
      <c r="R72" s="128"/>
      <c r="S72" s="146">
        <f t="shared" ref="S72:AB72" si="197">S70/S42</f>
        <v>-300.89103596349975</v>
      </c>
      <c r="T72" s="146">
        <f t="shared" si="197"/>
        <v>-293.04170459053898</v>
      </c>
      <c r="U72" s="146">
        <f t="shared" si="197"/>
        <v>-285.39713838382931</v>
      </c>
      <c r="V72" s="146">
        <f t="shared" si="197"/>
        <v>-277.95199564338168</v>
      </c>
      <c r="W72" s="146">
        <f t="shared" si="197"/>
        <v>-270.70107401790216</v>
      </c>
      <c r="X72" s="146">
        <f t="shared" si="197"/>
        <v>-263.63930686960913</v>
      </c>
      <c r="Y72" s="146">
        <f t="shared" si="197"/>
        <v>-256.76175973388024</v>
      </c>
      <c r="Z72" s="146">
        <f t="shared" si="197"/>
        <v>-250.06362687125733</v>
      </c>
      <c r="AA72" s="146">
        <f t="shared" si="197"/>
        <v>-243.54022790939848</v>
      </c>
      <c r="AB72" s="146">
        <f t="shared" si="197"/>
        <v>-237.18700457263165</v>
      </c>
      <c r="AC72" s="138">
        <f t="shared" si="195"/>
        <v>6.6394145815790173E-2</v>
      </c>
      <c r="AD72" s="31">
        <f t="shared" si="17"/>
        <v>0.05</v>
      </c>
      <c r="AE72" s="146">
        <f t="shared" si="162"/>
        <v>-1464.9785576544898</v>
      </c>
    </row>
    <row r="73" spans="2:31" x14ac:dyDescent="0.2">
      <c r="B73" s="20" t="s">
        <v>287</v>
      </c>
      <c r="C73" s="127">
        <f t="shared" ref="C73:P73" si="198">C20/C42</f>
        <v>0</v>
      </c>
      <c r="D73" s="127">
        <f t="shared" si="198"/>
        <v>0</v>
      </c>
      <c r="E73" s="127">
        <f t="shared" si="198"/>
        <v>0</v>
      </c>
      <c r="F73" s="144">
        <f t="shared" si="198"/>
        <v>0</v>
      </c>
      <c r="G73" s="144">
        <f t="shared" si="198"/>
        <v>-67.064439140811444</v>
      </c>
      <c r="H73" s="144">
        <f t="shared" si="198"/>
        <v>-85.015290519877681</v>
      </c>
      <c r="I73" s="144">
        <f t="shared" si="198"/>
        <v>-219.80066445182723</v>
      </c>
      <c r="J73" s="144">
        <f t="shared" si="198"/>
        <v>-139.27213470939708</v>
      </c>
      <c r="K73" s="144">
        <f t="shared" si="198"/>
        <v>-285.67208271787297</v>
      </c>
      <c r="L73" s="144">
        <f t="shared" si="198"/>
        <v>-76.36363636363636</v>
      </c>
      <c r="M73" s="144">
        <f t="shared" si="198"/>
        <v>38.447893569844787</v>
      </c>
      <c r="N73" s="144">
        <f t="shared" si="198"/>
        <v>-23.175586023883238</v>
      </c>
      <c r="O73" s="144">
        <f t="shared" si="198"/>
        <v>-38.189845474613691</v>
      </c>
      <c r="P73" s="144">
        <f t="shared" si="198"/>
        <v>-308.77425044091711</v>
      </c>
      <c r="Q73" s="118">
        <f>((P73/G73)^(1/($H$2-$H$1) ))-1</f>
        <v>0.18490408762652288</v>
      </c>
      <c r="R73" s="128"/>
      <c r="S73" s="146">
        <f t="shared" ref="S73:AB73" si="199">S20/S42</f>
        <v>-300.71926999463238</v>
      </c>
      <c r="T73" s="146">
        <f t="shared" si="199"/>
        <v>-292.87441947303336</v>
      </c>
      <c r="U73" s="146">
        <f t="shared" si="199"/>
        <v>-285.23421722591075</v>
      </c>
      <c r="V73" s="146">
        <f t="shared" si="199"/>
        <v>-277.79332460262623</v>
      </c>
      <c r="W73" s="146">
        <f t="shared" si="199"/>
        <v>-270.54654222168818</v>
      </c>
      <c r="X73" s="146">
        <f t="shared" si="199"/>
        <v>-263.48880633764418</v>
      </c>
      <c r="Y73" s="146">
        <f t="shared" si="199"/>
        <v>-256.61518530274918</v>
      </c>
      <c r="Z73" s="146">
        <f t="shared" si="199"/>
        <v>-249.92087612093837</v>
      </c>
      <c r="AA73" s="146">
        <f t="shared" si="199"/>
        <v>-243.40120109169655</v>
      </c>
      <c r="AB73" s="146">
        <f t="shared" si="199"/>
        <v>-237.05160454147844</v>
      </c>
      <c r="AC73" s="138">
        <f t="shared" si="195"/>
        <v>6.8711685358443075E-2</v>
      </c>
      <c r="AD73" s="31">
        <f t="shared" si="17"/>
        <v>0.05</v>
      </c>
      <c r="AE73" s="146">
        <f t="shared" si="162"/>
        <v>-1464.1422633444258</v>
      </c>
    </row>
    <row r="74" spans="2:31" x14ac:dyDescent="0.2">
      <c r="B74" s="20" t="s">
        <v>288</v>
      </c>
      <c r="C74" s="127">
        <f t="shared" ref="C74:P74" si="200">C21/C42</f>
        <v>0</v>
      </c>
      <c r="D74" s="127">
        <f t="shared" si="200"/>
        <v>0</v>
      </c>
      <c r="E74" s="127">
        <f t="shared" si="200"/>
        <v>0</v>
      </c>
      <c r="F74" s="144">
        <f t="shared" si="200"/>
        <v>0</v>
      </c>
      <c r="G74" s="144">
        <f t="shared" si="200"/>
        <v>-2.8639618138424821</v>
      </c>
      <c r="H74" s="144">
        <f t="shared" si="200"/>
        <v>1.8348623853211008</v>
      </c>
      <c r="I74" s="144">
        <f t="shared" si="200"/>
        <v>-8.1063122923588029</v>
      </c>
      <c r="J74" s="144">
        <f t="shared" si="200"/>
        <v>-28.625746876697448</v>
      </c>
      <c r="K74" s="144">
        <f t="shared" si="200"/>
        <v>-70.310192023633689</v>
      </c>
      <c r="L74" s="144">
        <f t="shared" si="200"/>
        <v>12.923832923832922</v>
      </c>
      <c r="M74" s="144">
        <f t="shared" si="200"/>
        <v>-86.962305986696222</v>
      </c>
      <c r="N74" s="144">
        <f t="shared" si="200"/>
        <v>-68.022998673153467</v>
      </c>
      <c r="O74" s="144">
        <f t="shared" si="200"/>
        <v>-0.66225165562913912</v>
      </c>
      <c r="P74" s="144">
        <f t="shared" si="200"/>
        <v>-0.17636684303350969</v>
      </c>
      <c r="Q74" s="118">
        <f>((P74/G74)^(1/($H$2-$H$1) ))-1</f>
        <v>-0.26634072364105532</v>
      </c>
      <c r="R74" s="128"/>
      <c r="S74" s="146">
        <f t="shared" ref="S74:AB74" si="201">S21/S42</f>
        <v>-0.17176596886741818</v>
      </c>
      <c r="T74" s="146">
        <f t="shared" si="201"/>
        <v>-0.16728511750565947</v>
      </c>
      <c r="U74" s="146">
        <f t="shared" si="201"/>
        <v>-0.16292115791855533</v>
      </c>
      <c r="V74" s="146">
        <f t="shared" si="201"/>
        <v>-0.15867104075546262</v>
      </c>
      <c r="W74" s="146">
        <f t="shared" si="201"/>
        <v>-0.15453179621401578</v>
      </c>
      <c r="X74" s="146">
        <f t="shared" si="201"/>
        <v>-0.15050053196495453</v>
      </c>
      <c r="Y74" s="146">
        <f t="shared" si="201"/>
        <v>-0.14657443113108617</v>
      </c>
      <c r="Z74" s="146">
        <f t="shared" si="201"/>
        <v>-0.14275075031897089</v>
      </c>
      <c r="AA74" s="146">
        <f t="shared" si="201"/>
        <v>-0.1390268177019543</v>
      </c>
      <c r="AB74" s="146">
        <f t="shared" si="201"/>
        <v>-0.1354000311532077</v>
      </c>
      <c r="AC74" s="138">
        <f t="shared" si="195"/>
        <v>-0.14838202795689137</v>
      </c>
      <c r="AD74" s="31">
        <f t="shared" si="17"/>
        <v>0.05</v>
      </c>
      <c r="AE74" s="146">
        <f t="shared" si="162"/>
        <v>-0.83629431006392996</v>
      </c>
    </row>
    <row r="75" spans="2:31" x14ac:dyDescent="0.2">
      <c r="B75" s="20" t="s">
        <v>289</v>
      </c>
      <c r="C75" s="127">
        <f t="shared" ref="C75:P75" si="202">C22/C42</f>
        <v>0</v>
      </c>
      <c r="D75" s="127">
        <f t="shared" si="202"/>
        <v>0</v>
      </c>
      <c r="E75" s="127">
        <f t="shared" si="202"/>
        <v>0</v>
      </c>
      <c r="F75" s="144">
        <f t="shared" si="202"/>
        <v>0</v>
      </c>
      <c r="G75" s="144">
        <f t="shared" si="202"/>
        <v>83.293556085918851</v>
      </c>
      <c r="H75" s="144">
        <f t="shared" si="202"/>
        <v>93.425076452599384</v>
      </c>
      <c r="I75" s="144">
        <f t="shared" si="202"/>
        <v>228.43853820598005</v>
      </c>
      <c r="J75" s="144">
        <f t="shared" si="202"/>
        <v>236.33894622487779</v>
      </c>
      <c r="K75" s="144">
        <f t="shared" si="202"/>
        <v>318.16838995568685</v>
      </c>
      <c r="L75" s="144">
        <f t="shared" si="202"/>
        <v>257.00245700245699</v>
      </c>
      <c r="M75" s="144">
        <f t="shared" si="202"/>
        <v>-46.252771618625275</v>
      </c>
      <c r="N75" s="144">
        <f t="shared" si="202"/>
        <v>54.887218045112782</v>
      </c>
      <c r="O75" s="144">
        <f t="shared" si="202"/>
        <v>134.92273730684329</v>
      </c>
      <c r="P75" s="144">
        <f t="shared" si="202"/>
        <v>338.84479717813053</v>
      </c>
      <c r="Q75" s="118">
        <f>((P75/G75)^(1/($H$2-$H$1) ))-1</f>
        <v>0.16871854471928982</v>
      </c>
      <c r="R75" s="128"/>
      <c r="S75" s="146">
        <f t="shared" ref="S75:AB75" si="203">S22/S42</f>
        <v>330.00536768652717</v>
      </c>
      <c r="T75" s="146">
        <f t="shared" si="203"/>
        <v>321.39653200774825</v>
      </c>
      <c r="U75" s="146">
        <f t="shared" si="203"/>
        <v>313.01227465102443</v>
      </c>
      <c r="V75" s="146">
        <f t="shared" si="203"/>
        <v>304.84673705143257</v>
      </c>
      <c r="W75" s="146">
        <f t="shared" si="203"/>
        <v>296.89421347617787</v>
      </c>
      <c r="X75" s="146">
        <f t="shared" si="203"/>
        <v>289.14914703766891</v>
      </c>
      <c r="Y75" s="146">
        <f t="shared" si="203"/>
        <v>281.60612581059934</v>
      </c>
      <c r="Z75" s="146">
        <f t="shared" si="203"/>
        <v>274.25987905032292</v>
      </c>
      <c r="AA75" s="146">
        <f t="shared" si="203"/>
        <v>267.10527350987974</v>
      </c>
      <c r="AB75" s="146">
        <f t="shared" si="203"/>
        <v>260.13730985310031</v>
      </c>
      <c r="AC75" s="138">
        <f t="shared" si="195"/>
        <v>6.1771632211461425E-2</v>
      </c>
      <c r="AD75" s="31">
        <f t="shared" si="17"/>
        <v>0.05</v>
      </c>
      <c r="AE75" s="146">
        <f t="shared" si="162"/>
        <v>1606.7304432103258</v>
      </c>
    </row>
    <row r="76" spans="2:31" x14ac:dyDescent="0.2">
      <c r="B76" s="20" t="s">
        <v>296</v>
      </c>
      <c r="C76" s="127">
        <f t="shared" ref="C76:P76" si="204">C23/C42</f>
        <v>0</v>
      </c>
      <c r="D76" s="127">
        <f t="shared" si="204"/>
        <v>0</v>
      </c>
      <c r="E76" s="127">
        <f t="shared" si="204"/>
        <v>0</v>
      </c>
      <c r="F76" s="144">
        <f t="shared" si="204"/>
        <v>0</v>
      </c>
      <c r="G76" s="144">
        <f t="shared" si="204"/>
        <v>26.01431980906921</v>
      </c>
      <c r="H76" s="144">
        <f t="shared" si="204"/>
        <v>26.911314984709481</v>
      </c>
      <c r="I76" s="144">
        <f t="shared" si="204"/>
        <v>12.159468438538205</v>
      </c>
      <c r="J76" s="144">
        <f t="shared" si="204"/>
        <v>79.521998913633894</v>
      </c>
      <c r="K76" s="144">
        <f t="shared" si="204"/>
        <v>33.087149187592324</v>
      </c>
      <c r="L76" s="144">
        <f t="shared" si="204"/>
        <v>226.53562653562653</v>
      </c>
      <c r="M76" s="144">
        <f t="shared" si="204"/>
        <v>109.66740576496673</v>
      </c>
      <c r="N76" s="144">
        <f t="shared" si="204"/>
        <v>73.02078726227333</v>
      </c>
      <c r="O76" s="144">
        <f t="shared" si="204"/>
        <v>168.96247240618104</v>
      </c>
      <c r="P76" s="144">
        <f t="shared" si="204"/>
        <v>197.04585537918871</v>
      </c>
      <c r="Q76" s="118">
        <f>((P76/G76)^(1/($H$2-$H$1) ))-1</f>
        <v>0.25229340129917599</v>
      </c>
      <c r="R76" s="128"/>
      <c r="S76" s="146">
        <f t="shared" ref="S76:AB76" si="205">S23/S42</f>
        <v>191.90552871712296</v>
      </c>
      <c r="T76" s="146">
        <f t="shared" si="205"/>
        <v>186.89929753319805</v>
      </c>
      <c r="U76" s="146">
        <f t="shared" si="205"/>
        <v>182.02366368450595</v>
      </c>
      <c r="V76" s="146">
        <f t="shared" si="205"/>
        <v>177.27522028404064</v>
      </c>
      <c r="W76" s="146">
        <f t="shared" si="205"/>
        <v>172.65064932010918</v>
      </c>
      <c r="X76" s="146">
        <f t="shared" si="205"/>
        <v>168.1467193378455</v>
      </c>
      <c r="Y76" s="146">
        <f t="shared" si="205"/>
        <v>163.76028318120606</v>
      </c>
      <c r="Z76" s="146">
        <f t="shared" si="205"/>
        <v>159.48827579387029</v>
      </c>
      <c r="AA76" s="146">
        <f t="shared" si="205"/>
        <v>155.32771207750847</v>
      </c>
      <c r="AB76" s="146">
        <f t="shared" si="205"/>
        <v>151.27568480592132</v>
      </c>
      <c r="AC76" s="138">
        <f t="shared" ref="AC76" si="206">((AB76/G76)^(1/($AB$3-$H$1) ))-1</f>
        <v>9.7083854797494817E-2</v>
      </c>
      <c r="AD76" s="31">
        <f t="shared" si="17"/>
        <v>0.05</v>
      </c>
      <c r="AE76" s="146">
        <f t="shared" si="162"/>
        <v>934.34981791892585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207">C36/C42</f>
        <v>0</v>
      </c>
      <c r="D78" s="144">
        <f t="shared" si="207"/>
        <v>0</v>
      </c>
      <c r="E78" s="144">
        <f t="shared" si="207"/>
        <v>0</v>
      </c>
      <c r="F78" s="144">
        <f t="shared" si="207"/>
        <v>0</v>
      </c>
      <c r="G78" s="144">
        <f t="shared" si="207"/>
        <v>40.811455847255367</v>
      </c>
      <c r="H78" s="144">
        <f t="shared" si="207"/>
        <v>37.308868501529055</v>
      </c>
      <c r="I78" s="144">
        <f t="shared" si="207"/>
        <v>42.325581395348834</v>
      </c>
      <c r="J78" s="144">
        <f t="shared" si="207"/>
        <v>55.296034763715369</v>
      </c>
      <c r="K78" s="144">
        <f t="shared" si="207"/>
        <v>93.451501723289027</v>
      </c>
      <c r="L78" s="144">
        <f t="shared" si="207"/>
        <v>142.85012285012283</v>
      </c>
      <c r="M78" s="144">
        <f t="shared" si="207"/>
        <v>154.94456762749445</v>
      </c>
      <c r="N78" s="144">
        <f t="shared" si="207"/>
        <v>174.03803626713844</v>
      </c>
      <c r="O78" s="144">
        <f t="shared" si="207"/>
        <v>198.89624724061812</v>
      </c>
      <c r="P78" s="144">
        <f t="shared" si="207"/>
        <v>230.90828924162258</v>
      </c>
      <c r="Q78" s="118">
        <f>((P78/G78)^(1/($H$2-$H$1) ))-1</f>
        <v>0.21235163927660183</v>
      </c>
      <c r="R78" s="128"/>
      <c r="S78" s="144">
        <f t="shared" ref="S78:AB78" si="208">S36/S42</f>
        <v>224.88459473966725</v>
      </c>
      <c r="T78" s="144">
        <f t="shared" si="208"/>
        <v>219.01804009428466</v>
      </c>
      <c r="U78" s="144">
        <f t="shared" si="208"/>
        <v>213.30452600486856</v>
      </c>
      <c r="V78" s="144">
        <f t="shared" si="208"/>
        <v>207.74006010908943</v>
      </c>
      <c r="W78" s="144">
        <f t="shared" si="208"/>
        <v>202.32075419320017</v>
      </c>
      <c r="X78" s="144">
        <f t="shared" si="208"/>
        <v>197.04282147511671</v>
      </c>
      <c r="Y78" s="144">
        <f t="shared" si="208"/>
        <v>191.9025739583746</v>
      </c>
      <c r="Z78" s="144">
        <f t="shared" si="208"/>
        <v>186.8964198551127</v>
      </c>
      <c r="AA78" s="144">
        <f t="shared" si="208"/>
        <v>182.02086107628372</v>
      </c>
      <c r="AB78" s="144">
        <f t="shared" si="208"/>
        <v>177.2724907873372</v>
      </c>
      <c r="AC78" s="138">
        <f t="shared" ref="AC78:AC80" si="209">((AB78/G78)^(1/($AB$3-$H$1) ))-1</f>
        <v>8.0367571790494363E-2</v>
      </c>
      <c r="AD78" s="31">
        <f t="shared" si="17"/>
        <v>0.05</v>
      </c>
      <c r="AE78" s="146">
        <f t="shared" si="162"/>
        <v>1094.9183254512004</v>
      </c>
    </row>
    <row r="79" spans="2:31" x14ac:dyDescent="0.2">
      <c r="B79" s="20" t="s">
        <v>312</v>
      </c>
      <c r="C79" s="144">
        <f t="shared" ref="C79:P79" si="210">C40/C42</f>
        <v>0</v>
      </c>
      <c r="D79" s="144">
        <f t="shared" si="210"/>
        <v>0</v>
      </c>
      <c r="E79" s="144">
        <f t="shared" si="210"/>
        <v>0</v>
      </c>
      <c r="F79" s="144">
        <f t="shared" si="210"/>
        <v>0</v>
      </c>
      <c r="G79" s="144">
        <f t="shared" si="210"/>
        <v>8.8305489260143197</v>
      </c>
      <c r="H79" s="144">
        <f t="shared" si="210"/>
        <v>7.4923547400611623</v>
      </c>
      <c r="I79" s="144">
        <f t="shared" si="210"/>
        <v>9.368770764119601</v>
      </c>
      <c r="J79" s="144">
        <f t="shared" si="210"/>
        <v>10.320478001086366</v>
      </c>
      <c r="K79" s="144">
        <f t="shared" si="210"/>
        <v>19.153126538650913</v>
      </c>
      <c r="L79" s="144">
        <f t="shared" si="210"/>
        <v>30.073710073710071</v>
      </c>
      <c r="M79" s="144">
        <f t="shared" si="210"/>
        <v>38.713968957871394</v>
      </c>
      <c r="N79" s="144">
        <f t="shared" si="210"/>
        <v>53.825740822644846</v>
      </c>
      <c r="O79" s="144">
        <f t="shared" si="210"/>
        <v>57.748344370860934</v>
      </c>
      <c r="P79" s="144">
        <f t="shared" si="210"/>
        <v>64.506172839506178</v>
      </c>
      <c r="Q79" s="118">
        <f>((P79/G79)^(1/($H$2-$H$1) ))-1</f>
        <v>0.24726019889077411</v>
      </c>
      <c r="R79" s="128"/>
      <c r="S79" s="144">
        <f t="shared" ref="S79:AB79" si="211">S40/S42</f>
        <v>62.823403113258202</v>
      </c>
      <c r="T79" s="144">
        <f t="shared" si="211"/>
        <v>61.184531727694946</v>
      </c>
      <c r="U79" s="144">
        <f t="shared" si="211"/>
        <v>59.588413508711611</v>
      </c>
      <c r="V79" s="144">
        <f t="shared" si="211"/>
        <v>58.033933156310454</v>
      </c>
      <c r="W79" s="144">
        <f t="shared" si="211"/>
        <v>56.520004465276273</v>
      </c>
      <c r="X79" s="144">
        <f t="shared" si="211"/>
        <v>55.045569566182117</v>
      </c>
      <c r="Y79" s="144">
        <f t="shared" si="211"/>
        <v>53.609598186194766</v>
      </c>
      <c r="Z79" s="144">
        <f t="shared" si="211"/>
        <v>52.211086929163606</v>
      </c>
      <c r="AA79" s="144">
        <f t="shared" si="211"/>
        <v>50.849058574489788</v>
      </c>
      <c r="AB79" s="144">
        <f t="shared" si="211"/>
        <v>49.522561394285709</v>
      </c>
      <c r="AC79" s="138">
        <f t="shared" si="209"/>
        <v>9.4992984568867289E-2</v>
      </c>
      <c r="AD79" s="31">
        <f t="shared" si="17"/>
        <v>0.05</v>
      </c>
      <c r="AE79" s="146">
        <f t="shared" si="162"/>
        <v>305.87464390588235</v>
      </c>
    </row>
    <row r="80" spans="2:31" x14ac:dyDescent="0.2">
      <c r="B80" s="20" t="s">
        <v>313</v>
      </c>
      <c r="C80" s="144">
        <f t="shared" ref="C80:P80" si="212">C6/C42</f>
        <v>0</v>
      </c>
      <c r="D80" s="144">
        <f t="shared" si="212"/>
        <v>0</v>
      </c>
      <c r="E80" s="144">
        <f t="shared" si="212"/>
        <v>0</v>
      </c>
      <c r="F80" s="144">
        <f t="shared" si="212"/>
        <v>0</v>
      </c>
      <c r="G80" s="144">
        <f t="shared" si="212"/>
        <v>11.933174224343674</v>
      </c>
      <c r="H80" s="144">
        <f t="shared" si="212"/>
        <v>20.030581039755351</v>
      </c>
      <c r="I80" s="144">
        <f t="shared" si="212"/>
        <v>43.122923588039868</v>
      </c>
      <c r="J80" s="144">
        <f t="shared" si="212"/>
        <v>47.908745247148289</v>
      </c>
      <c r="K80" s="144">
        <f t="shared" si="212"/>
        <v>77.301821762678486</v>
      </c>
      <c r="L80" s="144">
        <f t="shared" si="212"/>
        <v>101.57248157248156</v>
      </c>
      <c r="M80" s="144">
        <f t="shared" si="212"/>
        <v>160.08869179600887</v>
      </c>
      <c r="N80" s="144">
        <f t="shared" si="212"/>
        <v>206.23617868199912</v>
      </c>
      <c r="O80" s="144">
        <f t="shared" si="212"/>
        <v>256.33554083885213</v>
      </c>
      <c r="P80" s="144">
        <f t="shared" si="212"/>
        <v>313.49206349206349</v>
      </c>
      <c r="Q80" s="118">
        <f>((P80/G80)^(1/($H$2-$H$1) ))-1</f>
        <v>0.43786778018211159</v>
      </c>
      <c r="R80" s="128"/>
      <c r="S80" s="144">
        <f t="shared" ref="S80:AB80" si="213">S6/S42</f>
        <v>305.31400966183583</v>
      </c>
      <c r="T80" s="144">
        <f t="shared" si="213"/>
        <v>297.34929636630972</v>
      </c>
      <c r="U80" s="144">
        <f t="shared" si="213"/>
        <v>289.59235820023207</v>
      </c>
      <c r="V80" s="144">
        <f t="shared" si="213"/>
        <v>282.0377749428348</v>
      </c>
      <c r="W80" s="144">
        <f t="shared" si="213"/>
        <v>274.68026777041302</v>
      </c>
      <c r="X80" s="144">
        <f t="shared" si="213"/>
        <v>267.51469556770667</v>
      </c>
      <c r="Y80" s="144">
        <f t="shared" si="213"/>
        <v>260.53605133550565</v>
      </c>
      <c r="Z80" s="144">
        <f t="shared" si="213"/>
        <v>253.73945869197078</v>
      </c>
      <c r="AA80" s="144">
        <f t="shared" si="213"/>
        <v>247.12016846522377</v>
      </c>
      <c r="AB80" s="144">
        <f t="shared" si="213"/>
        <v>240.67355537482666</v>
      </c>
      <c r="AC80" s="138">
        <f t="shared" si="209"/>
        <v>0.17129683028043319</v>
      </c>
      <c r="AD80" s="31">
        <f t="shared" ref="AD80" si="214">$L$1</f>
        <v>0.05</v>
      </c>
      <c r="AE80" s="146">
        <f t="shared" si="162"/>
        <v>1486.5131361386354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215">E36/E25</f>
        <v>#DIV/0!</v>
      </c>
      <c r="F84" s="152" t="e">
        <f t="shared" si="215"/>
        <v>#DIV/0!</v>
      </c>
      <c r="G84" s="152">
        <f t="shared" si="215"/>
        <v>0.66023166023166024</v>
      </c>
      <c r="H84" s="152">
        <f t="shared" si="215"/>
        <v>0.7052023121387283</v>
      </c>
      <c r="I84" s="152">
        <f t="shared" si="215"/>
        <v>0.70231532524807061</v>
      </c>
      <c r="J84" s="152">
        <f t="shared" si="215"/>
        <v>0.71994342291371993</v>
      </c>
      <c r="K84" s="152">
        <f t="shared" si="215"/>
        <v>0.76133172884075406</v>
      </c>
      <c r="L84" s="152">
        <f t="shared" si="215"/>
        <v>0.78082191780821919</v>
      </c>
      <c r="M84" s="152">
        <f t="shared" si="215"/>
        <v>0.77661702600577909</v>
      </c>
      <c r="N84" s="152">
        <f t="shared" si="215"/>
        <v>0.71221719457013577</v>
      </c>
      <c r="O84" s="152">
        <f t="shared" si="215"/>
        <v>0.72955465587044532</v>
      </c>
      <c r="P84" s="152">
        <f t="shared" si="215"/>
        <v>0.74654312188168215</v>
      </c>
      <c r="Q84" s="118">
        <f t="shared" ref="Q84:Q134" si="216">((P84/G84)^(1/($H$2-$H$1) ))-1</f>
        <v>1.3745006607851273E-2</v>
      </c>
      <c r="R84" s="152"/>
      <c r="S84" s="152">
        <f t="shared" ref="S84:AB84" si="217">S36/S25</f>
        <v>0.74654312188168204</v>
      </c>
      <c r="T84" s="152">
        <f t="shared" si="217"/>
        <v>0.74654312188168204</v>
      </c>
      <c r="U84" s="152">
        <f t="shared" si="217"/>
        <v>0.74654312188168204</v>
      </c>
      <c r="V84" s="152">
        <f t="shared" si="217"/>
        <v>0.74654312188168204</v>
      </c>
      <c r="W84" s="152">
        <f t="shared" si="217"/>
        <v>0.74654312188168204</v>
      </c>
      <c r="X84" s="152">
        <f t="shared" si="217"/>
        <v>0.74654312188168215</v>
      </c>
      <c r="Y84" s="152">
        <f t="shared" si="217"/>
        <v>0.74654312188168215</v>
      </c>
      <c r="Z84" s="152">
        <f t="shared" si="217"/>
        <v>0.74654312188168226</v>
      </c>
      <c r="AA84" s="152">
        <f t="shared" si="217"/>
        <v>0.74654312188168226</v>
      </c>
      <c r="AB84" s="152">
        <f t="shared" si="217"/>
        <v>0.74654312188168237</v>
      </c>
      <c r="AC84" s="138">
        <f t="shared" ref="AC84:AC121" si="218">((AB84/G84)^(1/($AB$3-$H$1) ))-1</f>
        <v>6.4874056427643989E-3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19">E40/E25</f>
        <v>#DIV/0!</v>
      </c>
      <c r="F85" s="152" t="e">
        <f t="shared" si="219"/>
        <v>#DIV/0!</v>
      </c>
      <c r="G85" s="152">
        <f t="shared" si="219"/>
        <v>0.14285714285714285</v>
      </c>
      <c r="H85" s="152">
        <f t="shared" si="219"/>
        <v>0.1416184971098266</v>
      </c>
      <c r="I85" s="152">
        <f t="shared" si="219"/>
        <v>0.15545755237045203</v>
      </c>
      <c r="J85" s="152">
        <f t="shared" si="219"/>
        <v>0.13437057991513437</v>
      </c>
      <c r="K85" s="152">
        <f t="shared" si="219"/>
        <v>0.1560369033293221</v>
      </c>
      <c r="L85" s="152">
        <f t="shared" si="219"/>
        <v>0.16438356164383561</v>
      </c>
      <c r="M85" s="152">
        <f t="shared" si="219"/>
        <v>0.19404312069348745</v>
      </c>
      <c r="N85" s="152">
        <f t="shared" si="219"/>
        <v>0.22027149321266967</v>
      </c>
      <c r="O85" s="152">
        <f t="shared" si="219"/>
        <v>0.21182186234817812</v>
      </c>
      <c r="P85" s="152">
        <f t="shared" si="219"/>
        <v>0.20855310049893086</v>
      </c>
      <c r="Q85" s="118">
        <f t="shared" si="216"/>
        <v>4.293486939209723E-2</v>
      </c>
      <c r="R85" s="152"/>
      <c r="S85" s="152">
        <f t="shared" ref="S85:AB85" si="220">S40/S25</f>
        <v>0.20855310049893086</v>
      </c>
      <c r="T85" s="152">
        <f t="shared" si="220"/>
        <v>0.20855310049893086</v>
      </c>
      <c r="U85" s="152">
        <f t="shared" si="220"/>
        <v>0.20855310049893086</v>
      </c>
      <c r="V85" s="152">
        <f t="shared" si="220"/>
        <v>0.20855310049893083</v>
      </c>
      <c r="W85" s="152">
        <f t="shared" si="220"/>
        <v>0.20855310049893086</v>
      </c>
      <c r="X85" s="152">
        <f t="shared" si="220"/>
        <v>0.20855310049893083</v>
      </c>
      <c r="Y85" s="152">
        <f t="shared" si="220"/>
        <v>0.20855310049893086</v>
      </c>
      <c r="Z85" s="152">
        <f t="shared" si="220"/>
        <v>0.20855310049893086</v>
      </c>
      <c r="AA85" s="152">
        <f t="shared" si="220"/>
        <v>0.20855310049893086</v>
      </c>
      <c r="AB85" s="152">
        <f t="shared" si="220"/>
        <v>0.20855310049893089</v>
      </c>
      <c r="AC85" s="138">
        <f t="shared" si="218"/>
        <v>2.0112669995491217E-2</v>
      </c>
      <c r="AD85" s="146"/>
      <c r="AE85" s="146"/>
    </row>
    <row r="86" spans="2:31" x14ac:dyDescent="0.2">
      <c r="B86" s="20" t="s">
        <v>358</v>
      </c>
      <c r="C86" s="152"/>
      <c r="D86" s="152"/>
      <c r="E86" s="152" t="e">
        <f t="shared" ref="E86:O86" si="221">E40/E7</f>
        <v>#DIV/0!</v>
      </c>
      <c r="F86" s="152" t="e">
        <f t="shared" si="221"/>
        <v>#DIV/0!</v>
      </c>
      <c r="G86" s="152">
        <f>G40/G7</f>
        <v>0.28244274809160308</v>
      </c>
      <c r="H86" s="152">
        <f t="shared" si="221"/>
        <v>0.21973094170403587</v>
      </c>
      <c r="I86" s="152">
        <f t="shared" si="221"/>
        <v>0.16805721096543505</v>
      </c>
      <c r="J86" s="152">
        <f t="shared" si="221"/>
        <v>0.17495395948434622</v>
      </c>
      <c r="K86" s="152">
        <f t="shared" si="221"/>
        <v>0.21408915795266922</v>
      </c>
      <c r="L86" s="152">
        <f t="shared" si="221"/>
        <v>0.26424870466321243</v>
      </c>
      <c r="M86" s="152">
        <f t="shared" si="221"/>
        <v>0.22710718002081165</v>
      </c>
      <c r="N86" s="152">
        <f t="shared" si="221"/>
        <v>0.24872266503167792</v>
      </c>
      <c r="O86" s="152">
        <f t="shared" si="221"/>
        <v>0.21684350132625996</v>
      </c>
      <c r="P86" s="152">
        <f t="shared" ref="P86" si="222">P40/P7</f>
        <v>0.19940029985007496</v>
      </c>
      <c r="Q86" s="118">
        <f t="shared" si="216"/>
        <v>-3.7945918291217073E-2</v>
      </c>
      <c r="R86" s="20"/>
      <c r="S86" s="152">
        <f t="shared" ref="S86" si="223">S40/S7</f>
        <v>0.19940029985007496</v>
      </c>
      <c r="T86" s="152">
        <f t="shared" ref="T86:AB86" si="224">T40/T7</f>
        <v>0.19940029985007499</v>
      </c>
      <c r="U86" s="152">
        <f t="shared" si="224"/>
        <v>0.19940029985007499</v>
      </c>
      <c r="V86" s="152">
        <f t="shared" si="224"/>
        <v>0.19940029985007499</v>
      </c>
      <c r="W86" s="152">
        <f t="shared" si="224"/>
        <v>0.19940029985007499</v>
      </c>
      <c r="X86" s="152">
        <f t="shared" si="224"/>
        <v>0.19940029985007496</v>
      </c>
      <c r="Y86" s="152">
        <f t="shared" si="224"/>
        <v>0.19940029985007499</v>
      </c>
      <c r="Z86" s="152">
        <f t="shared" si="224"/>
        <v>0.19940029985007499</v>
      </c>
      <c r="AA86" s="152">
        <f t="shared" si="224"/>
        <v>0.19940029985007496</v>
      </c>
      <c r="AB86" s="152">
        <f t="shared" si="224"/>
        <v>0.19940029985007496</v>
      </c>
      <c r="AC86" s="138">
        <f t="shared" si="218"/>
        <v>-1.8157420856520279E-2</v>
      </c>
      <c r="AD86" s="146"/>
      <c r="AE86" s="146"/>
    </row>
    <row r="87" spans="2:31" x14ac:dyDescent="0.2">
      <c r="B87" s="20" t="s">
        <v>359</v>
      </c>
      <c r="C87" s="152"/>
      <c r="D87" s="152"/>
      <c r="E87" s="152" t="e">
        <f t="shared" ref="E87:F87" si="225">(E40)/(E7+E10)</f>
        <v>#DIV/0!</v>
      </c>
      <c r="F87" s="152" t="e">
        <f t="shared" si="225"/>
        <v>#DIV/0!</v>
      </c>
      <c r="G87" s="152">
        <f>(G40)/(G7+G10)</f>
        <v>3.5372848948374759E-2</v>
      </c>
      <c r="H87" s="152">
        <f t="shared" ref="H87:O87" si="226">(H40)/(H7+H10)</f>
        <v>2.8755868544600938E-2</v>
      </c>
      <c r="I87" s="152">
        <f t="shared" si="226"/>
        <v>2.6934097421203437E-2</v>
      </c>
      <c r="J87" s="152">
        <f t="shared" si="226"/>
        <v>1.9340390879478829E-2</v>
      </c>
      <c r="K87" s="152">
        <f t="shared" si="226"/>
        <v>2.3429500692645908E-2</v>
      </c>
      <c r="L87" s="152">
        <f t="shared" si="226"/>
        <v>2.7276373846770958E-2</v>
      </c>
      <c r="M87" s="152">
        <f t="shared" si="226"/>
        <v>3.9142716226516612E-2</v>
      </c>
      <c r="N87" s="152">
        <f t="shared" si="226"/>
        <v>4.8520851606729927E-2</v>
      </c>
      <c r="O87" s="152">
        <f t="shared" si="226"/>
        <v>5.3024160856169934E-2</v>
      </c>
      <c r="P87" s="152">
        <f t="shared" ref="P87" si="227">(P40)/(P7+P10)</f>
        <v>4.3961657501727813E-2</v>
      </c>
      <c r="Q87" s="118">
        <f t="shared" si="216"/>
        <v>2.4446623611229068E-2</v>
      </c>
      <c r="R87" s="20"/>
      <c r="S87" s="152">
        <f t="shared" ref="S87:AB87" si="228">(S40)/(S7+S10)</f>
        <v>4.396165750172782E-2</v>
      </c>
      <c r="T87" s="152">
        <f t="shared" si="228"/>
        <v>4.3961657501727813E-2</v>
      </c>
      <c r="U87" s="152">
        <f t="shared" si="228"/>
        <v>4.3961657501727813E-2</v>
      </c>
      <c r="V87" s="152">
        <f t="shared" si="228"/>
        <v>4.3961657501727813E-2</v>
      </c>
      <c r="W87" s="152">
        <f t="shared" si="228"/>
        <v>4.3961657501727813E-2</v>
      </c>
      <c r="X87" s="152">
        <f t="shared" si="228"/>
        <v>4.3961657501727806E-2</v>
      </c>
      <c r="Y87" s="152">
        <f t="shared" si="228"/>
        <v>4.396165750172782E-2</v>
      </c>
      <c r="Z87" s="152">
        <f t="shared" si="228"/>
        <v>4.3961657501727813E-2</v>
      </c>
      <c r="AA87" s="152">
        <f t="shared" si="228"/>
        <v>4.396165750172782E-2</v>
      </c>
      <c r="AB87" s="152">
        <f t="shared" si="228"/>
        <v>4.3961657501727813E-2</v>
      </c>
      <c r="AC87" s="138">
        <f t="shared" si="218"/>
        <v>1.1506394388160146E-2</v>
      </c>
      <c r="AD87" s="146"/>
      <c r="AE87" s="146"/>
    </row>
    <row r="88" spans="2:31" x14ac:dyDescent="0.2">
      <c r="B88" s="20" t="s">
        <v>375</v>
      </c>
      <c r="C88" s="152"/>
      <c r="D88" s="152"/>
      <c r="E88" s="152"/>
      <c r="F88" s="152"/>
      <c r="G88" s="152">
        <f>G20/G25</f>
        <v>-1.084942084942085</v>
      </c>
      <c r="H88" s="152">
        <f t="shared" ref="H88:P88" si="229">H20/H25</f>
        <v>-1.6069364161849711</v>
      </c>
      <c r="I88" s="152">
        <f t="shared" si="229"/>
        <v>-3.6471885336273431</v>
      </c>
      <c r="J88" s="152">
        <f t="shared" si="229"/>
        <v>-1.8132956152758133</v>
      </c>
      <c r="K88" s="152">
        <f t="shared" si="229"/>
        <v>-2.3273164861612514</v>
      </c>
      <c r="L88" s="152">
        <f t="shared" si="229"/>
        <v>-0.41740531829170024</v>
      </c>
      <c r="M88" s="152">
        <f t="shared" si="229"/>
        <v>0.19270949099799956</v>
      </c>
      <c r="N88" s="152">
        <f t="shared" si="229"/>
        <v>-9.4841628959276017E-2</v>
      </c>
      <c r="O88" s="152">
        <f t="shared" si="229"/>
        <v>-0.14008097165991903</v>
      </c>
      <c r="P88" s="152">
        <f t="shared" si="229"/>
        <v>-0.99828937990021382</v>
      </c>
      <c r="Q88" s="118">
        <f t="shared" si="216"/>
        <v>-9.206105534399267E-3</v>
      </c>
      <c r="R88" s="20"/>
      <c r="S88" s="152">
        <f t="shared" ref="S88:AB88" si="230">S20/S25</f>
        <v>-0.99828937990021371</v>
      </c>
      <c r="T88" s="152">
        <f t="shared" si="230"/>
        <v>-0.99828937990021394</v>
      </c>
      <c r="U88" s="152">
        <f t="shared" si="230"/>
        <v>-0.99828937990021394</v>
      </c>
      <c r="V88" s="152">
        <f t="shared" si="230"/>
        <v>-0.99828937990021382</v>
      </c>
      <c r="W88" s="152">
        <f t="shared" si="230"/>
        <v>-0.99828937990021394</v>
      </c>
      <c r="X88" s="152">
        <f t="shared" si="230"/>
        <v>-0.99828937990021394</v>
      </c>
      <c r="Y88" s="152">
        <f t="shared" si="230"/>
        <v>-0.99828937990021394</v>
      </c>
      <c r="Z88" s="152">
        <f t="shared" si="230"/>
        <v>-0.99828937990021405</v>
      </c>
      <c r="AA88" s="152">
        <f t="shared" si="230"/>
        <v>-0.99828937990021405</v>
      </c>
      <c r="AB88" s="152">
        <f t="shared" si="230"/>
        <v>-0.99828937990021416</v>
      </c>
      <c r="AC88" s="138">
        <f t="shared" si="218"/>
        <v>-4.3714013057072343E-3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322</v>
      </c>
      <c r="C90" s="152"/>
      <c r="D90" s="152"/>
      <c r="E90" s="152"/>
      <c r="F90" s="152"/>
      <c r="G90" s="152">
        <f>G29/G25</f>
        <v>0.45173745173745172</v>
      </c>
      <c r="H90" s="152">
        <f t="shared" ref="H90:P90" si="231">H29/H25</f>
        <v>0.47109826589595377</v>
      </c>
      <c r="I90" s="152">
        <f t="shared" si="231"/>
        <v>0.45755237045203967</v>
      </c>
      <c r="J90" s="152">
        <f t="shared" si="231"/>
        <v>0.51202263083451205</v>
      </c>
      <c r="K90" s="152">
        <f t="shared" si="231"/>
        <v>0.52025671881267554</v>
      </c>
      <c r="L90" s="152">
        <f t="shared" si="231"/>
        <v>0.53102336825141017</v>
      </c>
      <c r="M90" s="152">
        <f t="shared" si="231"/>
        <v>0.49922204934429876</v>
      </c>
      <c r="N90" s="152">
        <f t="shared" si="231"/>
        <v>0.41158371040723984</v>
      </c>
      <c r="O90" s="152">
        <f t="shared" si="231"/>
        <v>0.40987854251012146</v>
      </c>
      <c r="P90" s="152">
        <f t="shared" si="231"/>
        <v>0.43521026372059873</v>
      </c>
      <c r="Q90" s="118">
        <f t="shared" si="216"/>
        <v>-4.1327557740833409E-3</v>
      </c>
      <c r="R90" s="20"/>
      <c r="S90" s="152">
        <f t="shared" ref="S90:AB90" si="232">S29/S25</f>
        <v>0.43521026372059868</v>
      </c>
      <c r="T90" s="152">
        <f t="shared" si="232"/>
        <v>0.43521026372059868</v>
      </c>
      <c r="U90" s="152">
        <f t="shared" si="232"/>
        <v>0.43521026372059868</v>
      </c>
      <c r="V90" s="152">
        <f t="shared" si="232"/>
        <v>0.43521026372059868</v>
      </c>
      <c r="W90" s="152">
        <f t="shared" si="232"/>
        <v>0.43521026372059873</v>
      </c>
      <c r="X90" s="152">
        <f t="shared" si="232"/>
        <v>0.43521026372059879</v>
      </c>
      <c r="Y90" s="152">
        <f t="shared" si="232"/>
        <v>0.43521026372059873</v>
      </c>
      <c r="Z90" s="152">
        <f t="shared" si="232"/>
        <v>0.43521026372059873</v>
      </c>
      <c r="AA90" s="152">
        <f t="shared" si="232"/>
        <v>0.43521026372059879</v>
      </c>
      <c r="AB90" s="152">
        <f t="shared" si="232"/>
        <v>0.43521026372059884</v>
      </c>
      <c r="AC90" s="138">
        <f t="shared" si="218"/>
        <v>-1.9597546892300421E-3</v>
      </c>
      <c r="AD90" s="146"/>
      <c r="AE90" s="146"/>
    </row>
    <row r="91" spans="2:31" x14ac:dyDescent="0.2">
      <c r="B91" s="20" t="s">
        <v>368</v>
      </c>
      <c r="C91" s="152"/>
      <c r="D91" s="152"/>
      <c r="E91" s="152"/>
      <c r="F91" s="152"/>
      <c r="G91" s="152">
        <f>G29/G36</f>
        <v>0.68421052631578949</v>
      </c>
      <c r="H91" s="152">
        <f t="shared" ref="H91:P91" si="233">H29/H36</f>
        <v>0.66803278688524592</v>
      </c>
      <c r="I91" s="152">
        <f t="shared" si="233"/>
        <v>0.65149136577708011</v>
      </c>
      <c r="J91" s="152">
        <f t="shared" si="233"/>
        <v>0.71119842829076618</v>
      </c>
      <c r="K91" s="152">
        <f t="shared" si="233"/>
        <v>0.68335089567966278</v>
      </c>
      <c r="L91" s="152">
        <f t="shared" si="233"/>
        <v>0.68008255933952533</v>
      </c>
      <c r="M91" s="152">
        <f t="shared" si="233"/>
        <v>0.64281625643961071</v>
      </c>
      <c r="N91" s="152">
        <f t="shared" si="233"/>
        <v>0.57789072426937738</v>
      </c>
      <c r="O91" s="152">
        <f t="shared" si="233"/>
        <v>0.56182019977802444</v>
      </c>
      <c r="P91" s="152">
        <f t="shared" si="233"/>
        <v>0.58296734771815928</v>
      </c>
      <c r="Q91" s="118">
        <f t="shared" ref="Q91" si="234">((P91/G91)^(1/($H$2-$H$1) ))-1</f>
        <v>-1.7635364184684255E-2</v>
      </c>
      <c r="R91" s="20"/>
      <c r="S91" s="152">
        <f t="shared" ref="S91:AB91" si="235">S29/S36</f>
        <v>0.58296734771815917</v>
      </c>
      <c r="T91" s="152">
        <f t="shared" si="235"/>
        <v>0.58296734771815917</v>
      </c>
      <c r="U91" s="152">
        <f t="shared" si="235"/>
        <v>0.58296734771815928</v>
      </c>
      <c r="V91" s="152">
        <f t="shared" si="235"/>
        <v>0.58296734771815928</v>
      </c>
      <c r="W91" s="152">
        <f t="shared" si="235"/>
        <v>0.58296734771815928</v>
      </c>
      <c r="X91" s="152">
        <f t="shared" si="235"/>
        <v>0.58296734771815928</v>
      </c>
      <c r="Y91" s="152">
        <f t="shared" si="235"/>
        <v>0.58296734771815928</v>
      </c>
      <c r="Z91" s="152">
        <f t="shared" si="235"/>
        <v>0.58296734771815917</v>
      </c>
      <c r="AA91" s="152">
        <f t="shared" si="235"/>
        <v>0.58296734771815917</v>
      </c>
      <c r="AB91" s="152">
        <f t="shared" si="235"/>
        <v>0.58296734771815917</v>
      </c>
      <c r="AC91" s="138">
        <f t="shared" ref="AC91" si="236">((AB91/G91)^(1/($AB$3-$H$1) ))-1</f>
        <v>-8.392713395752649E-3</v>
      </c>
      <c r="AD91" s="146"/>
      <c r="AE91" s="146"/>
    </row>
    <row r="92" spans="2:31" ht="12" customHeight="1" x14ac:dyDescent="0.2">
      <c r="B92" s="20" t="s">
        <v>367</v>
      </c>
      <c r="C92" s="152"/>
      <c r="D92" s="152"/>
      <c r="E92" s="152"/>
      <c r="F92" s="152"/>
      <c r="G92" s="171">
        <f t="shared" ref="G92:P92" si="237">G29/G40</f>
        <v>3.1621621621621623</v>
      </c>
      <c r="H92" s="171">
        <f t="shared" si="237"/>
        <v>3.3265306122448979</v>
      </c>
      <c r="I92" s="171">
        <f t="shared" si="237"/>
        <v>2.9432624113475176</v>
      </c>
      <c r="J92" s="171">
        <f t="shared" si="237"/>
        <v>3.8105263157894735</v>
      </c>
      <c r="K92" s="171">
        <f t="shared" si="237"/>
        <v>3.3341902313624678</v>
      </c>
      <c r="L92" s="171">
        <f t="shared" si="237"/>
        <v>3.2303921568627452</v>
      </c>
      <c r="M92" s="171">
        <f t="shared" si="237"/>
        <v>2.5727376861397482</v>
      </c>
      <c r="N92" s="171">
        <f t="shared" si="237"/>
        <v>1.8685291700903861</v>
      </c>
      <c r="O92" s="171">
        <f t="shared" si="237"/>
        <v>1.9350152905198776</v>
      </c>
      <c r="P92" s="171">
        <f t="shared" si="237"/>
        <v>2.086807928913192</v>
      </c>
      <c r="Q92" s="118">
        <f t="shared" ref="Q92" si="238">((P92/G92)^(1/($H$2-$H$1) ))-1</f>
        <v>-4.5129975559849989E-2</v>
      </c>
      <c r="R92" s="20"/>
      <c r="S92" s="171">
        <f t="shared" ref="S92:AB92" si="239">S29/S40</f>
        <v>2.086807928913192</v>
      </c>
      <c r="T92" s="171">
        <f t="shared" si="239"/>
        <v>2.086807928913192</v>
      </c>
      <c r="U92" s="171">
        <f t="shared" si="239"/>
        <v>2.086807928913192</v>
      </c>
      <c r="V92" s="171">
        <f t="shared" si="239"/>
        <v>2.0868079289131924</v>
      </c>
      <c r="W92" s="171">
        <f t="shared" si="239"/>
        <v>2.0868079289131924</v>
      </c>
      <c r="X92" s="171">
        <f t="shared" si="239"/>
        <v>2.0868079289131924</v>
      </c>
      <c r="Y92" s="171">
        <f t="shared" si="239"/>
        <v>2.0868079289131924</v>
      </c>
      <c r="Z92" s="171">
        <f t="shared" si="239"/>
        <v>2.086807928913192</v>
      </c>
      <c r="AA92" s="171">
        <f t="shared" si="239"/>
        <v>2.086807928913192</v>
      </c>
      <c r="AB92" s="171">
        <f t="shared" si="239"/>
        <v>2.0868079289131924</v>
      </c>
      <c r="AC92" s="138">
        <f t="shared" ref="AC92" si="240">((AB92/G92)^(1/($AB$3-$H$1) ))-1</f>
        <v>-2.1637241977220723E-2</v>
      </c>
      <c r="AD92" s="146"/>
      <c r="AE92" s="146"/>
    </row>
    <row r="93" spans="2:31" ht="12" customHeight="1" x14ac:dyDescent="0.2">
      <c r="B93" s="20" t="s">
        <v>324</v>
      </c>
      <c r="C93" s="152"/>
      <c r="D93" s="152"/>
      <c r="E93" s="152"/>
      <c r="F93" s="152"/>
      <c r="G93" s="171">
        <f t="shared" ref="G93:P93" si="241">G29/G12</f>
        <v>0.72670807453416153</v>
      </c>
      <c r="H93" s="171">
        <f t="shared" si="241"/>
        <v>0.90555555555555556</v>
      </c>
      <c r="I93" s="171">
        <f t="shared" si="241"/>
        <v>1.6468253968253967</v>
      </c>
      <c r="J93" s="171">
        <f t="shared" si="241"/>
        <v>0.39977912755383765</v>
      </c>
      <c r="K93" s="171">
        <f t="shared" si="241"/>
        <v>0.47301239970824216</v>
      </c>
      <c r="L93" s="171">
        <f t="shared" si="241"/>
        <v>0.30852059925093633</v>
      </c>
      <c r="M93" s="171">
        <f t="shared" si="241"/>
        <v>0.3559429477020602</v>
      </c>
      <c r="N93" s="171">
        <f t="shared" si="241"/>
        <v>0.32691201840138012</v>
      </c>
      <c r="O93" s="171">
        <f t="shared" si="241"/>
        <v>0.47566246946062768</v>
      </c>
      <c r="P93" s="171">
        <f t="shared" si="241"/>
        <v>0.480711698945048</v>
      </c>
      <c r="Q93" s="118">
        <f t="shared" si="216"/>
        <v>-4.4879205061396088E-2</v>
      </c>
      <c r="R93" s="20"/>
      <c r="S93" s="152">
        <f t="shared" ref="S93:AB93" si="242">S29/S12</f>
        <v>0.480711698945048</v>
      </c>
      <c r="T93" s="152">
        <f t="shared" si="242"/>
        <v>0.480711698945048</v>
      </c>
      <c r="U93" s="152">
        <f t="shared" si="242"/>
        <v>0.480711698945048</v>
      </c>
      <c r="V93" s="152">
        <f t="shared" si="242"/>
        <v>0.480711698945048</v>
      </c>
      <c r="W93" s="152">
        <f t="shared" si="242"/>
        <v>0.48071169894504795</v>
      </c>
      <c r="X93" s="152">
        <f t="shared" si="242"/>
        <v>0.480711698945048</v>
      </c>
      <c r="Y93" s="152">
        <f t="shared" si="242"/>
        <v>0.48071169894504795</v>
      </c>
      <c r="Z93" s="152">
        <f t="shared" si="242"/>
        <v>0.48071169894504795</v>
      </c>
      <c r="AA93" s="152">
        <f t="shared" si="242"/>
        <v>0.48071169894504795</v>
      </c>
      <c r="AB93" s="152">
        <f t="shared" si="242"/>
        <v>0.48071169894504795</v>
      </c>
      <c r="AC93" s="138">
        <f t="shared" si="218"/>
        <v>-2.1515541861094833E-2</v>
      </c>
      <c r="AD93" s="146"/>
      <c r="AE93" s="146"/>
    </row>
    <row r="94" spans="2:31" ht="12" customHeight="1" x14ac:dyDescent="0.2">
      <c r="B94" s="20" t="s">
        <v>369</v>
      </c>
      <c r="C94" s="152"/>
      <c r="D94" s="152"/>
      <c r="E94" s="152"/>
      <c r="F94" s="152"/>
      <c r="G94" s="171">
        <f>G29/G23</f>
        <v>1.073394495412844</v>
      </c>
      <c r="H94" s="171">
        <f t="shared" ref="H94:P94" si="243">H29/H23</f>
        <v>0.92613636363636365</v>
      </c>
      <c r="I94" s="171">
        <f t="shared" si="243"/>
        <v>2.2677595628415301</v>
      </c>
      <c r="J94" s="171">
        <f t="shared" si="243"/>
        <v>0.49453551912568305</v>
      </c>
      <c r="K94" s="171">
        <f t="shared" si="243"/>
        <v>1.9300595238095237</v>
      </c>
      <c r="L94" s="171">
        <f t="shared" si="243"/>
        <v>0.42885032537960954</v>
      </c>
      <c r="M94" s="171">
        <f t="shared" si="243"/>
        <v>0.90820865345733925</v>
      </c>
      <c r="N94" s="171">
        <f t="shared" si="243"/>
        <v>1.3773470623864326</v>
      </c>
      <c r="O94" s="171">
        <f t="shared" si="243"/>
        <v>0.66135354063234908</v>
      </c>
      <c r="P94" s="171">
        <f t="shared" si="243"/>
        <v>0.68315059297381964</v>
      </c>
      <c r="Q94" s="118">
        <f t="shared" ref="Q94" si="244">((P94/G94)^(1/($H$2-$H$1) ))-1</f>
        <v>-4.8967777549173586E-2</v>
      </c>
      <c r="R94" s="20"/>
      <c r="S94" s="171">
        <f t="shared" ref="S94:AB94" si="245">S29/S23</f>
        <v>0.68315059297381964</v>
      </c>
      <c r="T94" s="171">
        <f t="shared" si="245"/>
        <v>0.68315059297381953</v>
      </c>
      <c r="U94" s="171">
        <f t="shared" si="245"/>
        <v>0.68315059297381953</v>
      </c>
      <c r="V94" s="171">
        <f t="shared" si="245"/>
        <v>0.68315059297381953</v>
      </c>
      <c r="W94" s="171">
        <f t="shared" si="245"/>
        <v>0.68315059297381953</v>
      </c>
      <c r="X94" s="171">
        <f t="shared" si="245"/>
        <v>0.68315059297381953</v>
      </c>
      <c r="Y94" s="171">
        <f t="shared" si="245"/>
        <v>0.68315059297381953</v>
      </c>
      <c r="Z94" s="171">
        <f t="shared" si="245"/>
        <v>0.68315059297381953</v>
      </c>
      <c r="AA94" s="171">
        <f t="shared" si="245"/>
        <v>0.68315059297381964</v>
      </c>
      <c r="AB94" s="171">
        <f t="shared" si="245"/>
        <v>0.68315059297381964</v>
      </c>
      <c r="AC94" s="138">
        <f t="shared" ref="AC94" si="246">((AB94/G94)^(1/($AB$3-$H$1) ))-1</f>
        <v>-2.350184836496616E-2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402</v>
      </c>
      <c r="C96" s="152"/>
      <c r="D96" s="152"/>
      <c r="E96" s="152"/>
      <c r="F96" s="152"/>
      <c r="G96" s="127">
        <f>1/G90</f>
        <v>2.2136752136752138</v>
      </c>
      <c r="H96" s="127">
        <f t="shared" ref="H96:P96" si="247">1/H90</f>
        <v>2.1226993865030672</v>
      </c>
      <c r="I96" s="127">
        <f t="shared" si="247"/>
        <v>2.185542168674699</v>
      </c>
      <c r="J96" s="127">
        <f t="shared" si="247"/>
        <v>1.9530386740331491</v>
      </c>
      <c r="K96" s="127">
        <f t="shared" si="247"/>
        <v>1.9221279876638395</v>
      </c>
      <c r="L96" s="127">
        <f t="shared" si="247"/>
        <v>1.8831562974203337</v>
      </c>
      <c r="M96" s="127">
        <f t="shared" si="247"/>
        <v>2.0031166518254673</v>
      </c>
      <c r="N96" s="127">
        <f t="shared" si="247"/>
        <v>2.4296394019349163</v>
      </c>
      <c r="O96" s="127">
        <f t="shared" si="247"/>
        <v>2.4397471355195575</v>
      </c>
      <c r="P96" s="127">
        <f t="shared" si="247"/>
        <v>2.2977399279397313</v>
      </c>
      <c r="Q96" s="118">
        <f t="shared" si="216"/>
        <v>4.1499063234033962E-3</v>
      </c>
      <c r="R96" s="20"/>
      <c r="S96" s="127">
        <f t="shared" ref="S96:AB96" si="248">1/S90</f>
        <v>2.2977399279397317</v>
      </c>
      <c r="T96" s="127">
        <f t="shared" si="248"/>
        <v>2.2977399279397317</v>
      </c>
      <c r="U96" s="127">
        <f t="shared" si="248"/>
        <v>2.2977399279397317</v>
      </c>
      <c r="V96" s="127">
        <f t="shared" si="248"/>
        <v>2.2977399279397317</v>
      </c>
      <c r="W96" s="127">
        <f t="shared" si="248"/>
        <v>2.2977399279397313</v>
      </c>
      <c r="X96" s="127">
        <f t="shared" si="248"/>
        <v>2.2977399279397313</v>
      </c>
      <c r="Y96" s="127">
        <f t="shared" si="248"/>
        <v>2.2977399279397313</v>
      </c>
      <c r="Z96" s="127">
        <f t="shared" si="248"/>
        <v>2.2977399279397313</v>
      </c>
      <c r="AA96" s="127">
        <f t="shared" si="248"/>
        <v>2.2977399279397313</v>
      </c>
      <c r="AB96" s="127">
        <f t="shared" si="248"/>
        <v>2.2977399279397308</v>
      </c>
      <c r="AC96" s="138">
        <f t="shared" si="218"/>
        <v>1.9636028691605301E-3</v>
      </c>
      <c r="AD96" s="146"/>
      <c r="AE96" s="146"/>
    </row>
    <row r="97" spans="2:31" ht="12" customHeight="1" x14ac:dyDescent="0.2">
      <c r="B97" s="20" t="s">
        <v>403</v>
      </c>
      <c r="C97" s="152"/>
      <c r="D97" s="152"/>
      <c r="E97" s="152"/>
      <c r="F97" s="152"/>
      <c r="G97" s="127">
        <f t="shared" ref="G97:P100" si="249">1/G91</f>
        <v>1.4615384615384615</v>
      </c>
      <c r="H97" s="127">
        <f t="shared" si="249"/>
        <v>1.4969325153374233</v>
      </c>
      <c r="I97" s="127">
        <f t="shared" si="249"/>
        <v>1.5349397590361444</v>
      </c>
      <c r="J97" s="127">
        <f t="shared" si="249"/>
        <v>1.4060773480662985</v>
      </c>
      <c r="K97" s="127">
        <f t="shared" si="249"/>
        <v>1.4633770239013109</v>
      </c>
      <c r="L97" s="127">
        <f t="shared" si="249"/>
        <v>1.4704097116843702</v>
      </c>
      <c r="M97" s="127">
        <f t="shared" si="249"/>
        <v>1.5556544968833483</v>
      </c>
      <c r="N97" s="127">
        <f t="shared" si="249"/>
        <v>1.7304309586631486</v>
      </c>
      <c r="O97" s="127">
        <f t="shared" si="249"/>
        <v>1.7799288818648755</v>
      </c>
      <c r="P97" s="127">
        <f t="shared" si="249"/>
        <v>1.7153619390763184</v>
      </c>
      <c r="Q97" s="118">
        <f t="shared" si="216"/>
        <v>1.7951953421091682E-2</v>
      </c>
      <c r="R97" s="20"/>
      <c r="S97" s="127">
        <f t="shared" ref="S97:AB97" si="250">1/S91</f>
        <v>1.7153619390763186</v>
      </c>
      <c r="T97" s="127">
        <f t="shared" si="250"/>
        <v>1.7153619390763186</v>
      </c>
      <c r="U97" s="127">
        <f t="shared" si="250"/>
        <v>1.7153619390763184</v>
      </c>
      <c r="V97" s="127">
        <f t="shared" si="250"/>
        <v>1.7153619390763184</v>
      </c>
      <c r="W97" s="127">
        <f t="shared" si="250"/>
        <v>1.7153619390763184</v>
      </c>
      <c r="X97" s="127">
        <f t="shared" si="250"/>
        <v>1.7153619390763184</v>
      </c>
      <c r="Y97" s="127">
        <f t="shared" si="250"/>
        <v>1.7153619390763184</v>
      </c>
      <c r="Z97" s="127">
        <f t="shared" si="250"/>
        <v>1.7153619390763186</v>
      </c>
      <c r="AA97" s="127">
        <f t="shared" si="250"/>
        <v>1.7153619390763186</v>
      </c>
      <c r="AB97" s="127">
        <f t="shared" si="250"/>
        <v>1.7153619390763186</v>
      </c>
      <c r="AC97" s="138">
        <f t="shared" si="218"/>
        <v>8.4637472002586644E-3</v>
      </c>
      <c r="AD97" s="146"/>
      <c r="AE97" s="146"/>
    </row>
    <row r="98" spans="2:31" ht="12" customHeight="1" x14ac:dyDescent="0.2">
      <c r="B98" s="20" t="s">
        <v>404</v>
      </c>
      <c r="C98" s="152"/>
      <c r="D98" s="152"/>
      <c r="E98" s="152"/>
      <c r="F98" s="152"/>
      <c r="G98" s="127">
        <f t="shared" si="249"/>
        <v>0.31623931623931623</v>
      </c>
      <c r="H98" s="127">
        <f t="shared" si="249"/>
        <v>0.30061349693251532</v>
      </c>
      <c r="I98" s="127">
        <f t="shared" si="249"/>
        <v>0.33975903614457831</v>
      </c>
      <c r="J98" s="127">
        <f t="shared" si="249"/>
        <v>0.26243093922651933</v>
      </c>
      <c r="K98" s="127">
        <f t="shared" si="249"/>
        <v>0.29992289899768698</v>
      </c>
      <c r="L98" s="127">
        <f t="shared" si="249"/>
        <v>0.30955993930197268</v>
      </c>
      <c r="M98" s="127">
        <f t="shared" si="249"/>
        <v>0.3886910062333036</v>
      </c>
      <c r="N98" s="127">
        <f t="shared" si="249"/>
        <v>0.53518029903254183</v>
      </c>
      <c r="O98" s="127">
        <f t="shared" si="249"/>
        <v>0.51679178190438568</v>
      </c>
      <c r="P98" s="127">
        <f t="shared" si="249"/>
        <v>0.47920078611202099</v>
      </c>
      <c r="Q98" s="118">
        <f t="shared" si="216"/>
        <v>4.7262951401485509E-2</v>
      </c>
      <c r="R98" s="20"/>
      <c r="S98" s="127">
        <f t="shared" ref="S98:AB98" si="251">1/S92</f>
        <v>0.47920078611202099</v>
      </c>
      <c r="T98" s="127">
        <f t="shared" si="251"/>
        <v>0.47920078611202099</v>
      </c>
      <c r="U98" s="127">
        <f t="shared" si="251"/>
        <v>0.47920078611202099</v>
      </c>
      <c r="V98" s="127">
        <f t="shared" si="251"/>
        <v>0.47920078611202088</v>
      </c>
      <c r="W98" s="127">
        <f t="shared" si="251"/>
        <v>0.47920078611202088</v>
      </c>
      <c r="X98" s="127">
        <f t="shared" si="251"/>
        <v>0.47920078611202088</v>
      </c>
      <c r="Y98" s="127">
        <f t="shared" si="251"/>
        <v>0.47920078611202088</v>
      </c>
      <c r="Z98" s="127">
        <f t="shared" si="251"/>
        <v>0.47920078611202099</v>
      </c>
      <c r="AA98" s="127">
        <f t="shared" si="251"/>
        <v>0.47920078611202099</v>
      </c>
      <c r="AB98" s="127">
        <f t="shared" si="251"/>
        <v>0.47920078611202088</v>
      </c>
      <c r="AC98" s="138">
        <f t="shared" si="218"/>
        <v>2.211576616116151E-2</v>
      </c>
      <c r="AD98" s="146"/>
      <c r="AE98" s="146"/>
    </row>
    <row r="99" spans="2:31" ht="12" customHeight="1" x14ac:dyDescent="0.2">
      <c r="B99" s="20" t="s">
        <v>405</v>
      </c>
      <c r="C99" s="152"/>
      <c r="D99" s="152"/>
      <c r="E99" s="152"/>
      <c r="F99" s="152"/>
      <c r="G99" s="127">
        <f t="shared" si="249"/>
        <v>1.3760683760683761</v>
      </c>
      <c r="H99" s="127">
        <f t="shared" si="249"/>
        <v>1.1042944785276074</v>
      </c>
      <c r="I99" s="127">
        <f t="shared" si="249"/>
        <v>0.60722891566265058</v>
      </c>
      <c r="J99" s="127">
        <f t="shared" si="249"/>
        <v>2.5013812154696131</v>
      </c>
      <c r="K99" s="127">
        <f t="shared" si="249"/>
        <v>2.1141094834232845</v>
      </c>
      <c r="L99" s="127">
        <f t="shared" si="249"/>
        <v>3.2412746585735963</v>
      </c>
      <c r="M99" s="127">
        <f t="shared" si="249"/>
        <v>2.8094390026714162</v>
      </c>
      <c r="N99" s="127">
        <f t="shared" si="249"/>
        <v>3.0589270008795073</v>
      </c>
      <c r="O99" s="127">
        <f t="shared" si="249"/>
        <v>2.1023310944290796</v>
      </c>
      <c r="P99" s="127">
        <f t="shared" si="249"/>
        <v>2.0802489354733051</v>
      </c>
      <c r="Q99" s="118">
        <f t="shared" si="216"/>
        <v>4.6987988638945932E-2</v>
      </c>
      <c r="R99" s="20"/>
      <c r="S99" s="127">
        <f t="shared" ref="S99:AB99" si="252">1/S93</f>
        <v>2.0802489354733051</v>
      </c>
      <c r="T99" s="127">
        <f t="shared" si="252"/>
        <v>2.0802489354733051</v>
      </c>
      <c r="U99" s="127">
        <f t="shared" si="252"/>
        <v>2.0802489354733051</v>
      </c>
      <c r="V99" s="127">
        <f t="shared" si="252"/>
        <v>2.0802489354733051</v>
      </c>
      <c r="W99" s="127">
        <f t="shared" si="252"/>
        <v>2.0802489354733051</v>
      </c>
      <c r="X99" s="127">
        <f t="shared" si="252"/>
        <v>2.0802489354733051</v>
      </c>
      <c r="Y99" s="127">
        <f t="shared" si="252"/>
        <v>2.0802489354733051</v>
      </c>
      <c r="Z99" s="127">
        <f t="shared" si="252"/>
        <v>2.0802489354733051</v>
      </c>
      <c r="AA99" s="127">
        <f t="shared" si="252"/>
        <v>2.0802489354733051</v>
      </c>
      <c r="AB99" s="127">
        <f t="shared" si="252"/>
        <v>2.0802489354733051</v>
      </c>
      <c r="AC99" s="138">
        <f t="shared" si="218"/>
        <v>2.198863935153117E-2</v>
      </c>
      <c r="AD99" s="146"/>
      <c r="AE99" s="146"/>
    </row>
    <row r="100" spans="2:31" ht="12" customHeight="1" x14ac:dyDescent="0.2">
      <c r="B100" s="20" t="s">
        <v>406</v>
      </c>
      <c r="C100" s="152"/>
      <c r="D100" s="152"/>
      <c r="E100" s="152"/>
      <c r="F100" s="152"/>
      <c r="G100" s="127">
        <f t="shared" si="249"/>
        <v>0.93162393162393164</v>
      </c>
      <c r="H100" s="127">
        <f t="shared" si="249"/>
        <v>1.0797546012269938</v>
      </c>
      <c r="I100" s="127">
        <f t="shared" si="249"/>
        <v>0.44096385542168676</v>
      </c>
      <c r="J100" s="127">
        <f t="shared" si="249"/>
        <v>2.0220994475138121</v>
      </c>
      <c r="K100" s="127">
        <f t="shared" si="249"/>
        <v>0.51811873554356214</v>
      </c>
      <c r="L100" s="127">
        <f t="shared" si="249"/>
        <v>2.3318158826504805</v>
      </c>
      <c r="M100" s="127">
        <f t="shared" si="249"/>
        <v>1.1010685663401603</v>
      </c>
      <c r="N100" s="127">
        <f t="shared" si="249"/>
        <v>0.72603342128408088</v>
      </c>
      <c r="O100" s="127">
        <f t="shared" si="249"/>
        <v>1.5120505728960885</v>
      </c>
      <c r="P100" s="127">
        <f t="shared" si="249"/>
        <v>1.4638060923681624</v>
      </c>
      <c r="Q100" s="118">
        <f t="shared" si="216"/>
        <v>5.1489083538077018E-2</v>
      </c>
      <c r="R100" s="20"/>
      <c r="S100" s="127">
        <f t="shared" ref="S100:AB100" si="253">1/S94</f>
        <v>1.4638060923681624</v>
      </c>
      <c r="T100" s="127">
        <f t="shared" si="253"/>
        <v>1.4638060923681626</v>
      </c>
      <c r="U100" s="127">
        <f t="shared" si="253"/>
        <v>1.4638060923681626</v>
      </c>
      <c r="V100" s="127">
        <f t="shared" si="253"/>
        <v>1.4638060923681626</v>
      </c>
      <c r="W100" s="127">
        <f t="shared" si="253"/>
        <v>1.4638060923681626</v>
      </c>
      <c r="X100" s="127">
        <f t="shared" si="253"/>
        <v>1.4638060923681626</v>
      </c>
      <c r="Y100" s="127">
        <f t="shared" si="253"/>
        <v>1.4638060923681626</v>
      </c>
      <c r="Z100" s="127">
        <f t="shared" si="253"/>
        <v>1.4638060923681626</v>
      </c>
      <c r="AA100" s="127">
        <f t="shared" si="253"/>
        <v>1.4638060923681624</v>
      </c>
      <c r="AB100" s="127">
        <f t="shared" si="253"/>
        <v>1.4638060923681624</v>
      </c>
      <c r="AC100" s="138">
        <f t="shared" si="218"/>
        <v>2.4067478597491476E-2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325</v>
      </c>
      <c r="C103" s="152"/>
      <c r="D103" s="152"/>
      <c r="E103" s="152"/>
      <c r="F103" s="163">
        <f t="shared" ref="F103:O103" si="254">F10-(F12+F13)</f>
        <v>0</v>
      </c>
      <c r="G103" s="163">
        <f t="shared" si="254"/>
        <v>749</v>
      </c>
      <c r="H103" s="163">
        <f t="shared" si="254"/>
        <v>1297</v>
      </c>
      <c r="I103" s="163">
        <f t="shared" si="254"/>
        <v>4135</v>
      </c>
      <c r="J103" s="163">
        <f t="shared" si="254"/>
        <v>6703</v>
      </c>
      <c r="K103" s="163">
        <f t="shared" si="254"/>
        <v>12028</v>
      </c>
      <c r="L103" s="163">
        <f t="shared" si="254"/>
        <v>13683</v>
      </c>
      <c r="M103" s="163">
        <f t="shared" si="254"/>
        <v>12065</v>
      </c>
      <c r="N103" s="163">
        <f t="shared" si="254"/>
        <v>12931</v>
      </c>
      <c r="O103" s="163">
        <f t="shared" si="254"/>
        <v>9649</v>
      </c>
      <c r="P103" s="163">
        <f>P10-(P12+P13)</f>
        <v>16311</v>
      </c>
      <c r="Q103" s="118">
        <f t="shared" si="216"/>
        <v>0.4082071011591144</v>
      </c>
      <c r="R103" s="20"/>
      <c r="S103" s="163">
        <f>S10-(S12+S13)</f>
        <v>18268.320000000003</v>
      </c>
      <c r="T103" s="163">
        <f t="shared" ref="T103:AB103" si="255">T10-(T12+T13)</f>
        <v>20460.518400000008</v>
      </c>
      <c r="U103" s="163">
        <f t="shared" si="255"/>
        <v>22915.780608000012</v>
      </c>
      <c r="V103" s="163">
        <f t="shared" si="255"/>
        <v>25665.674280960011</v>
      </c>
      <c r="W103" s="163">
        <f t="shared" si="255"/>
        <v>28745.555194675213</v>
      </c>
      <c r="X103" s="163">
        <f t="shared" si="255"/>
        <v>32195.021818036239</v>
      </c>
      <c r="Y103" s="163">
        <f t="shared" si="255"/>
        <v>36058.424436200585</v>
      </c>
      <c r="Z103" s="163">
        <f t="shared" si="255"/>
        <v>40385.435368544662</v>
      </c>
      <c r="AA103" s="163">
        <f t="shared" si="255"/>
        <v>45231.687612770023</v>
      </c>
      <c r="AB103" s="163">
        <f t="shared" si="255"/>
        <v>50659.490126302429</v>
      </c>
      <c r="AC103" s="138">
        <f t="shared" si="218"/>
        <v>0.24831793541050917</v>
      </c>
      <c r="AD103" s="146"/>
      <c r="AE103" s="146"/>
    </row>
    <row r="104" spans="2:31" ht="12" customHeight="1" x14ac:dyDescent="0.2">
      <c r="B104" s="20" t="s">
        <v>320</v>
      </c>
      <c r="C104" s="20"/>
      <c r="D104" s="20"/>
      <c r="E104" s="20"/>
      <c r="F104" s="20"/>
      <c r="G104" s="152">
        <f t="shared" ref="G104:P104" si="256">G40/G18</f>
        <v>0.71153846153846156</v>
      </c>
      <c r="H104" s="152">
        <f t="shared" si="256"/>
        <v>1</v>
      </c>
      <c r="I104" s="152">
        <f t="shared" si="256"/>
        <v>1.0763358778625953</v>
      </c>
      <c r="J104" s="152">
        <f t="shared" si="256"/>
        <v>1.4960629921259843</v>
      </c>
      <c r="K104" s="152">
        <f t="shared" si="256"/>
        <v>2.73943661971831</v>
      </c>
      <c r="L104" s="152">
        <f t="shared" si="256"/>
        <v>4.5671641791044779</v>
      </c>
      <c r="M104" s="152">
        <f t="shared" si="256"/>
        <v>18.978260869565219</v>
      </c>
      <c r="N104" s="152">
        <f t="shared" si="256"/>
        <v>28.302325581395348</v>
      </c>
      <c r="O104" s="152">
        <f t="shared" si="256"/>
        <v>24.679245283018869</v>
      </c>
      <c r="P104" s="152">
        <f t="shared" si="256"/>
        <v>20.319444444444443</v>
      </c>
      <c r="Q104" s="118">
        <f t="shared" si="216"/>
        <v>0.4512623843223853</v>
      </c>
      <c r="R104" s="20"/>
      <c r="S104" s="152">
        <f t="shared" ref="S104:AB104" si="257">S40/S18</f>
        <v>20.319444444444443</v>
      </c>
      <c r="T104" s="152">
        <f t="shared" si="257"/>
        <v>20.319444444444443</v>
      </c>
      <c r="U104" s="152">
        <f t="shared" si="257"/>
        <v>20.319444444444443</v>
      </c>
      <c r="V104" s="152">
        <f t="shared" si="257"/>
        <v>20.319444444444443</v>
      </c>
      <c r="W104" s="152">
        <f t="shared" si="257"/>
        <v>20.319444444444443</v>
      </c>
      <c r="X104" s="152">
        <f t="shared" si="257"/>
        <v>20.319444444444439</v>
      </c>
      <c r="Y104" s="152">
        <f t="shared" si="257"/>
        <v>20.319444444444439</v>
      </c>
      <c r="Z104" s="152">
        <f t="shared" si="257"/>
        <v>20.319444444444443</v>
      </c>
      <c r="AA104" s="152">
        <f t="shared" si="257"/>
        <v>20.319444444444439</v>
      </c>
      <c r="AB104" s="152">
        <f t="shared" si="257"/>
        <v>20.319444444444439</v>
      </c>
      <c r="AC104" s="138">
        <f t="shared" si="218"/>
        <v>0.19293422159813911</v>
      </c>
      <c r="AD104" s="20"/>
      <c r="AE104" s="20"/>
    </row>
    <row r="105" spans="2:31" x14ac:dyDescent="0.2">
      <c r="B105" s="20" t="s">
        <v>321</v>
      </c>
      <c r="C105" s="20"/>
      <c r="D105" s="20"/>
      <c r="E105" s="20"/>
      <c r="F105" s="20"/>
      <c r="G105" s="152">
        <f t="shared" ref="G105:P105" si="258">G40/G25</f>
        <v>0.14285714285714285</v>
      </c>
      <c r="H105" s="152">
        <f t="shared" si="258"/>
        <v>0.1416184971098266</v>
      </c>
      <c r="I105" s="152">
        <f t="shared" si="258"/>
        <v>0.15545755237045203</v>
      </c>
      <c r="J105" s="152">
        <f t="shared" si="258"/>
        <v>0.13437057991513437</v>
      </c>
      <c r="K105" s="152">
        <f t="shared" si="258"/>
        <v>0.1560369033293221</v>
      </c>
      <c r="L105" s="152">
        <f t="shared" si="258"/>
        <v>0.16438356164383561</v>
      </c>
      <c r="M105" s="152">
        <f t="shared" si="258"/>
        <v>0.19404312069348745</v>
      </c>
      <c r="N105" s="152">
        <f t="shared" si="258"/>
        <v>0.22027149321266967</v>
      </c>
      <c r="O105" s="152">
        <f t="shared" si="258"/>
        <v>0.21182186234817812</v>
      </c>
      <c r="P105" s="152">
        <f t="shared" si="258"/>
        <v>0.20855310049893086</v>
      </c>
      <c r="Q105" s="118">
        <f t="shared" si="216"/>
        <v>4.293486939209723E-2</v>
      </c>
      <c r="R105" s="20"/>
      <c r="S105" s="152">
        <f t="shared" ref="S105:AB105" si="259">S40/S25</f>
        <v>0.20855310049893086</v>
      </c>
      <c r="T105" s="152">
        <f t="shared" si="259"/>
        <v>0.20855310049893086</v>
      </c>
      <c r="U105" s="152">
        <f t="shared" si="259"/>
        <v>0.20855310049893086</v>
      </c>
      <c r="V105" s="152">
        <f t="shared" si="259"/>
        <v>0.20855310049893083</v>
      </c>
      <c r="W105" s="152">
        <f t="shared" si="259"/>
        <v>0.20855310049893086</v>
      </c>
      <c r="X105" s="152">
        <f t="shared" si="259"/>
        <v>0.20855310049893083</v>
      </c>
      <c r="Y105" s="152">
        <f t="shared" si="259"/>
        <v>0.20855310049893086</v>
      </c>
      <c r="Z105" s="152">
        <f t="shared" si="259"/>
        <v>0.20855310049893086</v>
      </c>
      <c r="AA105" s="152">
        <f t="shared" si="259"/>
        <v>0.20855310049893086</v>
      </c>
      <c r="AB105" s="152">
        <f t="shared" si="259"/>
        <v>0.20855310049893089</v>
      </c>
      <c r="AC105" s="138">
        <f t="shared" si="218"/>
        <v>2.0112669995491217E-2</v>
      </c>
      <c r="AD105" s="20"/>
      <c r="AE105" s="20"/>
    </row>
    <row r="106" spans="2:31" x14ac:dyDescent="0.2">
      <c r="B106" s="20" t="s">
        <v>347</v>
      </c>
      <c r="C106" s="20"/>
      <c r="D106" s="20"/>
      <c r="E106" s="152"/>
      <c r="F106" s="152"/>
      <c r="G106" s="152">
        <f t="shared" ref="G106:O106" si="260">G25/G18</f>
        <v>4.9807692307692308</v>
      </c>
      <c r="H106" s="152">
        <f t="shared" si="260"/>
        <v>7.0612244897959187</v>
      </c>
      <c r="I106" s="152">
        <f t="shared" si="260"/>
        <v>6.9236641221374047</v>
      </c>
      <c r="J106" s="152">
        <f t="shared" si="260"/>
        <v>11.133858267716535</v>
      </c>
      <c r="K106" s="152">
        <f t="shared" si="260"/>
        <v>17.556338028169016</v>
      </c>
      <c r="L106" s="152">
        <f t="shared" si="260"/>
        <v>27.78358208955224</v>
      </c>
      <c r="M106" s="152">
        <f t="shared" si="260"/>
        <v>97.804347826086953</v>
      </c>
      <c r="N106" s="152">
        <f t="shared" si="260"/>
        <v>128.48837209302326</v>
      </c>
      <c r="O106" s="152">
        <f t="shared" si="260"/>
        <v>116.50943396226415</v>
      </c>
      <c r="P106" s="152">
        <f>P25/P18</f>
        <v>97.430555555555557</v>
      </c>
      <c r="Q106" s="118">
        <f t="shared" si="216"/>
        <v>0.39151775140886103</v>
      </c>
      <c r="R106" s="20"/>
      <c r="S106" s="152">
        <f>S25/S18</f>
        <v>97.430555555555557</v>
      </c>
      <c r="T106" s="152">
        <f t="shared" ref="T106:AB106" si="261">T25/T18</f>
        <v>97.430555555555543</v>
      </c>
      <c r="U106" s="152">
        <f t="shared" si="261"/>
        <v>97.430555555555557</v>
      </c>
      <c r="V106" s="152">
        <f t="shared" si="261"/>
        <v>97.430555555555557</v>
      </c>
      <c r="W106" s="152">
        <f t="shared" si="261"/>
        <v>97.430555555555543</v>
      </c>
      <c r="X106" s="152">
        <f t="shared" si="261"/>
        <v>97.430555555555529</v>
      </c>
      <c r="Y106" s="152">
        <f t="shared" si="261"/>
        <v>97.430555555555543</v>
      </c>
      <c r="Z106" s="152">
        <f t="shared" si="261"/>
        <v>97.430555555555543</v>
      </c>
      <c r="AA106" s="152">
        <f t="shared" si="261"/>
        <v>97.430555555555529</v>
      </c>
      <c r="AB106" s="152">
        <f t="shared" si="261"/>
        <v>97.430555555555529</v>
      </c>
      <c r="AC106" s="138">
        <f t="shared" si="218"/>
        <v>0.16941418010562681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333</v>
      </c>
      <c r="C108" s="20"/>
      <c r="D108" s="20"/>
      <c r="E108" s="165">
        <f t="shared" ref="E108:F108" si="262">E68*E42</f>
        <v>0</v>
      </c>
      <c r="F108" s="165">
        <f t="shared" si="262"/>
        <v>0</v>
      </c>
      <c r="G108" s="165">
        <f>G68*G42</f>
        <v>10.475000000000001</v>
      </c>
      <c r="H108" s="165">
        <f t="shared" ref="H108:P108" si="263">H68*H42</f>
        <v>16.350000000000001</v>
      </c>
      <c r="I108" s="165">
        <f t="shared" si="263"/>
        <v>45.150000000000006</v>
      </c>
      <c r="J108" s="165">
        <f t="shared" si="263"/>
        <v>55.230000000000004</v>
      </c>
      <c r="K108" s="165">
        <f t="shared" si="263"/>
        <v>101.55</v>
      </c>
      <c r="L108" s="165">
        <f t="shared" si="263"/>
        <v>101.75</v>
      </c>
      <c r="M108" s="165">
        <f t="shared" si="263"/>
        <v>135.30000000000001</v>
      </c>
      <c r="N108" s="165">
        <f t="shared" si="263"/>
        <v>146.965</v>
      </c>
      <c r="O108" s="165">
        <f t="shared" si="263"/>
        <v>147.22499999999999</v>
      </c>
      <c r="P108" s="165">
        <f t="shared" si="263"/>
        <v>158.76</v>
      </c>
      <c r="Q108" s="118">
        <f t="shared" si="216"/>
        <v>0.35262166682343721</v>
      </c>
      <c r="R108" s="20"/>
      <c r="S108" s="165">
        <f t="shared" ref="S108:AB108" si="264">S68*S42</f>
        <v>191.70269999999999</v>
      </c>
      <c r="T108" s="165">
        <f t="shared" si="264"/>
        <v>231.48101025</v>
      </c>
      <c r="U108" s="165">
        <f t="shared" si="264"/>
        <v>279.51331987687502</v>
      </c>
      <c r="V108" s="165">
        <f t="shared" si="264"/>
        <v>337.51233375132648</v>
      </c>
      <c r="W108" s="165">
        <f t="shared" si="264"/>
        <v>407.54614300472673</v>
      </c>
      <c r="X108" s="165">
        <f t="shared" si="264"/>
        <v>492.11196767820752</v>
      </c>
      <c r="Y108" s="165">
        <f t="shared" si="264"/>
        <v>594.22520097143558</v>
      </c>
      <c r="Z108" s="165">
        <f t="shared" si="264"/>
        <v>717.52693017300851</v>
      </c>
      <c r="AA108" s="165">
        <f t="shared" si="264"/>
        <v>866.41376818390768</v>
      </c>
      <c r="AB108" s="165">
        <f t="shared" si="264"/>
        <v>1046.1946250820686</v>
      </c>
      <c r="AC108" s="138">
        <f t="shared" si="218"/>
        <v>0.27419135855564747</v>
      </c>
      <c r="AD108" s="20"/>
      <c r="AE108" s="20"/>
    </row>
    <row r="109" spans="2:31" x14ac:dyDescent="0.2">
      <c r="B109" s="20" t="s">
        <v>334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65">(G108*0.17)+G108</f>
        <v>12.255750000000003</v>
      </c>
      <c r="H109" s="165">
        <f t="shared" si="265"/>
        <v>19.1295</v>
      </c>
      <c r="I109" s="165">
        <f t="shared" si="265"/>
        <v>52.825500000000005</v>
      </c>
      <c r="J109" s="165">
        <f t="shared" si="265"/>
        <v>64.619100000000003</v>
      </c>
      <c r="K109" s="165">
        <f t="shared" si="265"/>
        <v>118.8135</v>
      </c>
      <c r="L109" s="165">
        <f t="shared" si="265"/>
        <v>119.0475</v>
      </c>
      <c r="M109" s="165">
        <f t="shared" si="265"/>
        <v>158.30100000000002</v>
      </c>
      <c r="N109" s="165">
        <f t="shared" si="265"/>
        <v>171.94905</v>
      </c>
      <c r="O109" s="165">
        <f t="shared" si="265"/>
        <v>172.25324999999998</v>
      </c>
      <c r="P109" s="165">
        <f t="shared" si="265"/>
        <v>185.7492</v>
      </c>
      <c r="Q109" s="118">
        <f t="shared" si="216"/>
        <v>0.35262166682343721</v>
      </c>
      <c r="R109" s="20"/>
      <c r="S109" s="165">
        <f t="shared" ref="S109:AB109" si="266">(S108*0.17)+S108</f>
        <v>224.292159</v>
      </c>
      <c r="T109" s="165">
        <f t="shared" si="266"/>
        <v>270.83278199250003</v>
      </c>
      <c r="U109" s="165">
        <f t="shared" si="266"/>
        <v>327.03058425594378</v>
      </c>
      <c r="V109" s="165">
        <f t="shared" si="266"/>
        <v>394.88943048905196</v>
      </c>
      <c r="W109" s="165">
        <f t="shared" si="266"/>
        <v>476.8289873155303</v>
      </c>
      <c r="X109" s="165">
        <f t="shared" si="266"/>
        <v>575.77100218350279</v>
      </c>
      <c r="Y109" s="165">
        <f t="shared" si="266"/>
        <v>695.24348513657969</v>
      </c>
      <c r="Z109" s="165">
        <f t="shared" si="266"/>
        <v>839.50650830242</v>
      </c>
      <c r="AA109" s="165">
        <f t="shared" si="266"/>
        <v>1013.704108775172</v>
      </c>
      <c r="AB109" s="165">
        <f t="shared" si="266"/>
        <v>1224.0477113460202</v>
      </c>
      <c r="AC109" s="138">
        <f t="shared" si="218"/>
        <v>0.27419135855564747</v>
      </c>
      <c r="AD109" s="20"/>
      <c r="AE109" s="20"/>
    </row>
    <row r="110" spans="2:31" x14ac:dyDescent="0.2">
      <c r="B110" s="20" t="s">
        <v>335</v>
      </c>
      <c r="C110" s="20"/>
      <c r="D110" s="20"/>
      <c r="E110" s="20"/>
      <c r="F110" s="152" t="e">
        <f t="shared" ref="F110:P110" si="267">F109/F40</f>
        <v>#DIV/0!</v>
      </c>
      <c r="G110" s="152">
        <f t="shared" si="267"/>
        <v>0.33123648648648657</v>
      </c>
      <c r="H110" s="152">
        <f t="shared" si="267"/>
        <v>0.39039795918367348</v>
      </c>
      <c r="I110" s="152">
        <f t="shared" si="267"/>
        <v>0.37464893617021278</v>
      </c>
      <c r="J110" s="152">
        <f t="shared" si="267"/>
        <v>0.34010052631578946</v>
      </c>
      <c r="K110" s="152">
        <f t="shared" si="267"/>
        <v>0.30543316195372749</v>
      </c>
      <c r="L110" s="152">
        <f t="shared" si="267"/>
        <v>0.19452205882352941</v>
      </c>
      <c r="M110" s="152">
        <f t="shared" si="267"/>
        <v>0.18132989690721651</v>
      </c>
      <c r="N110" s="152">
        <f t="shared" si="267"/>
        <v>0.1412892769104355</v>
      </c>
      <c r="O110" s="152">
        <f t="shared" si="267"/>
        <v>0.13169208715596328</v>
      </c>
      <c r="P110" s="152">
        <f t="shared" si="267"/>
        <v>0.12696459330143542</v>
      </c>
      <c r="Q110" s="118">
        <f t="shared" si="216"/>
        <v>-0.10106733514277721</v>
      </c>
      <c r="R110" s="20"/>
      <c r="S110" s="152">
        <f t="shared" ref="S110:AB110" si="268">S109/S40</f>
        <v>0.13688370215311002</v>
      </c>
      <c r="T110" s="152">
        <f t="shared" si="268"/>
        <v>0.14757774138382176</v>
      </c>
      <c r="U110" s="152">
        <f t="shared" si="268"/>
        <v>0.1591072524294328</v>
      </c>
      <c r="V110" s="152">
        <f t="shared" si="268"/>
        <v>0.17153750652548216</v>
      </c>
      <c r="W110" s="152">
        <f t="shared" si="268"/>
        <v>0.18493887422278546</v>
      </c>
      <c r="X110" s="152">
        <f t="shared" si="268"/>
        <v>0.19938722377144055</v>
      </c>
      <c r="Y110" s="152">
        <f t="shared" si="268"/>
        <v>0.21496435062858435</v>
      </c>
      <c r="Z110" s="152">
        <f t="shared" si="268"/>
        <v>0.23175844052144248</v>
      </c>
      <c r="AA110" s="152">
        <f t="shared" si="268"/>
        <v>0.24986456868718013</v>
      </c>
      <c r="AB110" s="152">
        <f t="shared" si="268"/>
        <v>0.26938523811586601</v>
      </c>
      <c r="AC110" s="138">
        <f t="shared" si="218"/>
        <v>-1.0819470936421216E-2</v>
      </c>
      <c r="AD110" s="20"/>
      <c r="AE110" s="20"/>
    </row>
    <row r="111" spans="2:31" x14ac:dyDescent="0.2">
      <c r="B111" s="20" t="s">
        <v>328</v>
      </c>
      <c r="C111" s="20"/>
      <c r="D111" s="20"/>
      <c r="E111" s="20"/>
      <c r="F111" s="152" t="e">
        <f>1-F110</f>
        <v>#DIV/0!</v>
      </c>
      <c r="G111" s="152">
        <f>1-G110</f>
        <v>0.66876351351351349</v>
      </c>
      <c r="H111" s="152">
        <f t="shared" ref="H111:P111" si="269">1-H110</f>
        <v>0.60960204081632652</v>
      </c>
      <c r="I111" s="152">
        <f t="shared" si="269"/>
        <v>0.62535106382978722</v>
      </c>
      <c r="J111" s="152">
        <f t="shared" si="269"/>
        <v>0.65989947368421054</v>
      </c>
      <c r="K111" s="152">
        <f t="shared" si="269"/>
        <v>0.69456683804627251</v>
      </c>
      <c r="L111" s="152">
        <f t="shared" si="269"/>
        <v>0.80547794117647054</v>
      </c>
      <c r="M111" s="152">
        <f t="shared" si="269"/>
        <v>0.81867010309278343</v>
      </c>
      <c r="N111" s="152">
        <f t="shared" si="269"/>
        <v>0.85871072308956453</v>
      </c>
      <c r="O111" s="152">
        <f t="shared" si="269"/>
        <v>0.86830791284403674</v>
      </c>
      <c r="P111" s="152">
        <f t="shared" si="269"/>
        <v>0.87303540669856461</v>
      </c>
      <c r="Q111" s="118">
        <f t="shared" si="216"/>
        <v>3.0059099343423545E-2</v>
      </c>
      <c r="R111" s="20"/>
      <c r="S111" s="152">
        <f t="shared" ref="S111:AB111" si="270">1-S110</f>
        <v>0.86311629784689003</v>
      </c>
      <c r="T111" s="152">
        <f t="shared" si="270"/>
        <v>0.85242225861617826</v>
      </c>
      <c r="U111" s="152">
        <f t="shared" si="270"/>
        <v>0.8408927475705672</v>
      </c>
      <c r="V111" s="152">
        <f t="shared" si="270"/>
        <v>0.82846249347451784</v>
      </c>
      <c r="W111" s="152">
        <f t="shared" si="270"/>
        <v>0.81506112577721457</v>
      </c>
      <c r="X111" s="152">
        <f t="shared" si="270"/>
        <v>0.80061277622855942</v>
      </c>
      <c r="Y111" s="152">
        <f t="shared" si="270"/>
        <v>0.78503564937141568</v>
      </c>
      <c r="Z111" s="152">
        <f t="shared" si="270"/>
        <v>0.76824155947855755</v>
      </c>
      <c r="AA111" s="152">
        <f t="shared" si="270"/>
        <v>0.7501354313128199</v>
      </c>
      <c r="AB111" s="152">
        <f t="shared" si="270"/>
        <v>0.73061476188413399</v>
      </c>
      <c r="AC111" s="138">
        <f t="shared" si="218"/>
        <v>4.6664231668218648E-3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332</v>
      </c>
      <c r="C113" s="152"/>
      <c r="D113" s="152"/>
      <c r="E113" s="152"/>
      <c r="F113" s="152" t="e">
        <f>F31/F25</f>
        <v>#DIV/0!</v>
      </c>
      <c r="G113" s="152">
        <f>G31/G25</f>
        <v>0</v>
      </c>
      <c r="H113" s="152">
        <f t="shared" ref="H113:P113" si="271">H31/H25</f>
        <v>0</v>
      </c>
      <c r="I113" s="152">
        <f t="shared" si="271"/>
        <v>0</v>
      </c>
      <c r="J113" s="152">
        <f t="shared" si="271"/>
        <v>0</v>
      </c>
      <c r="K113" s="152">
        <f t="shared" si="271"/>
        <v>0</v>
      </c>
      <c r="L113" s="152">
        <f t="shared" si="271"/>
        <v>0</v>
      </c>
      <c r="M113" s="152">
        <f t="shared" si="271"/>
        <v>0</v>
      </c>
      <c r="N113" s="152">
        <f t="shared" si="271"/>
        <v>0</v>
      </c>
      <c r="O113" s="152">
        <f t="shared" si="271"/>
        <v>0</v>
      </c>
      <c r="P113" s="152">
        <f t="shared" si="271"/>
        <v>0</v>
      </c>
      <c r="Q113" s="118" t="e">
        <f t="shared" si="216"/>
        <v>#DIV/0!</v>
      </c>
      <c r="R113" s="20"/>
      <c r="S113" s="152">
        <f t="shared" ref="S113:AB113" si="272">S31/S25</f>
        <v>0</v>
      </c>
      <c r="T113" s="152">
        <f t="shared" si="272"/>
        <v>0</v>
      </c>
      <c r="U113" s="152">
        <f t="shared" si="272"/>
        <v>0</v>
      </c>
      <c r="V113" s="152">
        <f t="shared" si="272"/>
        <v>0</v>
      </c>
      <c r="W113" s="152">
        <f t="shared" si="272"/>
        <v>0</v>
      </c>
      <c r="X113" s="152">
        <f t="shared" si="272"/>
        <v>0</v>
      </c>
      <c r="Y113" s="152">
        <f t="shared" si="272"/>
        <v>0</v>
      </c>
      <c r="Z113" s="152">
        <f t="shared" si="272"/>
        <v>0</v>
      </c>
      <c r="AA113" s="152">
        <f t="shared" si="272"/>
        <v>0</v>
      </c>
      <c r="AB113" s="152">
        <f t="shared" si="272"/>
        <v>0</v>
      </c>
      <c r="AC113" s="138" t="e">
        <f t="shared" si="218"/>
        <v>#DIV/0!</v>
      </c>
      <c r="AD113" s="20"/>
      <c r="AE113" s="20"/>
    </row>
    <row r="114" spans="2:31" x14ac:dyDescent="0.2">
      <c r="B114" s="20" t="s">
        <v>329</v>
      </c>
      <c r="C114" s="152"/>
      <c r="D114" s="152"/>
      <c r="E114" s="152"/>
      <c r="F114" s="152" t="e">
        <f>F32/F25</f>
        <v>#DIV/0!</v>
      </c>
      <c r="G114" s="152">
        <f>G32/G25</f>
        <v>0</v>
      </c>
      <c r="H114" s="152">
        <f t="shared" ref="H114:P114" si="273">H32/H25</f>
        <v>0</v>
      </c>
      <c r="I114" s="152">
        <f t="shared" si="273"/>
        <v>0</v>
      </c>
      <c r="J114" s="152">
        <f t="shared" si="273"/>
        <v>0</v>
      </c>
      <c r="K114" s="152">
        <f t="shared" si="273"/>
        <v>0</v>
      </c>
      <c r="L114" s="152">
        <f t="shared" si="273"/>
        <v>0</v>
      </c>
      <c r="M114" s="152">
        <f t="shared" si="273"/>
        <v>0</v>
      </c>
      <c r="N114" s="152">
        <f t="shared" si="273"/>
        <v>0</v>
      </c>
      <c r="O114" s="152">
        <f t="shared" si="273"/>
        <v>0</v>
      </c>
      <c r="P114" s="152">
        <f t="shared" si="273"/>
        <v>0</v>
      </c>
      <c r="Q114" s="118" t="e">
        <f t="shared" si="216"/>
        <v>#DIV/0!</v>
      </c>
      <c r="R114" s="20"/>
      <c r="S114" s="152">
        <f t="shared" ref="S114:AB114" si="274">S32/S25</f>
        <v>0</v>
      </c>
      <c r="T114" s="152">
        <f t="shared" si="274"/>
        <v>0</v>
      </c>
      <c r="U114" s="152">
        <f t="shared" si="274"/>
        <v>0</v>
      </c>
      <c r="V114" s="152">
        <f t="shared" si="274"/>
        <v>0</v>
      </c>
      <c r="W114" s="152">
        <f t="shared" si="274"/>
        <v>0</v>
      </c>
      <c r="X114" s="152">
        <f t="shared" si="274"/>
        <v>0</v>
      </c>
      <c r="Y114" s="152">
        <f t="shared" si="274"/>
        <v>0</v>
      </c>
      <c r="Z114" s="152">
        <f t="shared" si="274"/>
        <v>0</v>
      </c>
      <c r="AA114" s="152">
        <f t="shared" si="274"/>
        <v>0</v>
      </c>
      <c r="AB114" s="152">
        <f t="shared" si="274"/>
        <v>0</v>
      </c>
      <c r="AC114" s="138" t="e">
        <f t="shared" si="218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353</v>
      </c>
      <c r="C116" s="20"/>
      <c r="D116" s="20"/>
      <c r="E116" s="20"/>
      <c r="F116" s="20"/>
      <c r="G116" s="152">
        <f>G27/G25</f>
        <v>0.30501930501930502</v>
      </c>
      <c r="H116" s="152">
        <f t="shared" ref="H116:P116" si="275">H27/H25</f>
        <v>0.29190751445086704</v>
      </c>
      <c r="I116" s="152">
        <f t="shared" si="275"/>
        <v>0.29437706725468576</v>
      </c>
      <c r="J116" s="152">
        <f t="shared" si="275"/>
        <v>0.27652050919377652</v>
      </c>
      <c r="K116" s="152">
        <f t="shared" si="275"/>
        <v>0.22182109907741676</v>
      </c>
      <c r="L116" s="152">
        <f t="shared" si="275"/>
        <v>0.21085146387322051</v>
      </c>
      <c r="M116" s="152">
        <f t="shared" si="275"/>
        <v>0.2018226272505001</v>
      </c>
      <c r="N116" s="152">
        <f t="shared" si="275"/>
        <v>0.25158371040723981</v>
      </c>
      <c r="O116" s="152">
        <f t="shared" si="275"/>
        <v>0.27028340080971658</v>
      </c>
      <c r="P116" s="152">
        <f t="shared" si="275"/>
        <v>0.25302922309337134</v>
      </c>
      <c r="Q116" s="118">
        <f t="shared" si="216"/>
        <v>-2.0549268374516649E-2</v>
      </c>
      <c r="R116" s="20"/>
      <c r="S116" s="152">
        <f t="shared" ref="S116:AB116" si="276">S27/S25</f>
        <v>0.25302922309337134</v>
      </c>
      <c r="T116" s="152">
        <f t="shared" si="276"/>
        <v>0.25302922309337134</v>
      </c>
      <c r="U116" s="152">
        <f t="shared" si="276"/>
        <v>0.25302922309337134</v>
      </c>
      <c r="V116" s="152">
        <f t="shared" si="276"/>
        <v>0.25302922309337134</v>
      </c>
      <c r="W116" s="152">
        <f t="shared" si="276"/>
        <v>0.25302922309337134</v>
      </c>
      <c r="X116" s="152">
        <f t="shared" si="276"/>
        <v>0.25302922309337134</v>
      </c>
      <c r="Y116" s="152">
        <f t="shared" si="276"/>
        <v>0.25302922309337134</v>
      </c>
      <c r="Z116" s="152">
        <f t="shared" si="276"/>
        <v>0.25302922309337139</v>
      </c>
      <c r="AA116" s="152">
        <f t="shared" si="276"/>
        <v>0.25302922309337139</v>
      </c>
      <c r="AB116" s="152">
        <f t="shared" si="276"/>
        <v>0.25302922309337139</v>
      </c>
      <c r="AC116" s="138">
        <f t="shared" si="218"/>
        <v>-9.7870593748524692E-3</v>
      </c>
      <c r="AD116" s="20"/>
      <c r="AE116" s="20"/>
    </row>
    <row r="117" spans="2:31" x14ac:dyDescent="0.2">
      <c r="B117" s="20" t="str">
        <f>B33</f>
        <v>Top Expenses ( Miscl )</v>
      </c>
      <c r="C117" s="20"/>
      <c r="D117" s="20"/>
      <c r="E117" s="20"/>
      <c r="F117" s="20"/>
      <c r="G117" s="152">
        <f>G33/G25</f>
        <v>3.0888030888030889E-2</v>
      </c>
      <c r="H117" s="152">
        <f t="shared" ref="H117:P117" si="277">H33/H25</f>
        <v>2.8901734104046242E-2</v>
      </c>
      <c r="I117" s="152">
        <f t="shared" si="277"/>
        <v>2.8665931642778392E-2</v>
      </c>
      <c r="J117" s="152">
        <f t="shared" si="277"/>
        <v>2.050919377652051E-2</v>
      </c>
      <c r="K117" s="152">
        <f t="shared" si="277"/>
        <v>2.1660649819494584E-2</v>
      </c>
      <c r="L117" s="152">
        <f t="shared" si="277"/>
        <v>1.6116035455278E-2</v>
      </c>
      <c r="M117" s="152">
        <f t="shared" si="277"/>
        <v>1.2447210491220271E-2</v>
      </c>
      <c r="N117" s="152">
        <f t="shared" si="277"/>
        <v>1.5022624434389141E-2</v>
      </c>
      <c r="O117" s="152">
        <f t="shared" si="277"/>
        <v>6.8502024291497973E-2</v>
      </c>
      <c r="P117" s="152">
        <f t="shared" si="277"/>
        <v>6.6286528866714184E-2</v>
      </c>
      <c r="Q117" s="118">
        <f t="shared" si="216"/>
        <v>8.8549892884197234E-2</v>
      </c>
      <c r="R117" s="20"/>
      <c r="S117" s="152">
        <f t="shared" ref="S117:AB117" si="278">S33/S25</f>
        <v>6.6286528866714184E-2</v>
      </c>
      <c r="T117" s="152">
        <f t="shared" si="278"/>
        <v>6.6286528866714184E-2</v>
      </c>
      <c r="U117" s="152">
        <f t="shared" si="278"/>
        <v>6.6286528866714184E-2</v>
      </c>
      <c r="V117" s="152">
        <f t="shared" si="278"/>
        <v>6.6286528866714184E-2</v>
      </c>
      <c r="W117" s="152">
        <f t="shared" si="278"/>
        <v>6.6286528866714184E-2</v>
      </c>
      <c r="X117" s="152">
        <f t="shared" si="278"/>
        <v>6.6286528866714184E-2</v>
      </c>
      <c r="Y117" s="152">
        <f t="shared" si="278"/>
        <v>6.6286528866714184E-2</v>
      </c>
      <c r="Z117" s="152">
        <f t="shared" si="278"/>
        <v>6.6286528866714184E-2</v>
      </c>
      <c r="AA117" s="152">
        <f t="shared" si="278"/>
        <v>6.6286528866714184E-2</v>
      </c>
      <c r="AB117" s="152">
        <f t="shared" si="278"/>
        <v>6.6286528866714184E-2</v>
      </c>
      <c r="AC117" s="138">
        <f t="shared" si="218"/>
        <v>4.1008981679725665E-2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>
        <f>G34/G25</f>
        <v>4.2471042471042469E-2</v>
      </c>
      <c r="H118" s="152">
        <f t="shared" ref="H118:P118" si="279">H34/H25</f>
        <v>4.046242774566474E-2</v>
      </c>
      <c r="I118" s="152">
        <f t="shared" si="279"/>
        <v>5.1819184123484012E-2</v>
      </c>
      <c r="J118" s="152">
        <f t="shared" si="279"/>
        <v>5.0919377652050922E-2</v>
      </c>
      <c r="K118" s="152">
        <f t="shared" si="279"/>
        <v>5.0140393100681913E-2</v>
      </c>
      <c r="L118" s="152">
        <f t="shared" si="279"/>
        <v>5.3720118184260007E-2</v>
      </c>
      <c r="M118" s="152">
        <f t="shared" si="279"/>
        <v>5.0011113580795734E-2</v>
      </c>
      <c r="N118" s="152">
        <f t="shared" si="279"/>
        <v>6.714932126696832E-2</v>
      </c>
      <c r="O118" s="152">
        <f t="shared" si="279"/>
        <v>6.5910931174089069E-2</v>
      </c>
      <c r="P118" s="152">
        <f t="shared" si="279"/>
        <v>6.2437633642195296E-2</v>
      </c>
      <c r="Q118" s="118">
        <f t="shared" si="216"/>
        <v>4.3746025882437145E-2</v>
      </c>
      <c r="R118" s="20"/>
      <c r="S118" s="152">
        <f t="shared" ref="S118:AB118" si="280">S34/S25</f>
        <v>6.2437633642195296E-2</v>
      </c>
      <c r="T118" s="152">
        <f t="shared" si="280"/>
        <v>6.2437633642195289E-2</v>
      </c>
      <c r="U118" s="152">
        <f t="shared" si="280"/>
        <v>6.2437633642195289E-2</v>
      </c>
      <c r="V118" s="152">
        <f t="shared" si="280"/>
        <v>6.2437633642195289E-2</v>
      </c>
      <c r="W118" s="152">
        <f t="shared" si="280"/>
        <v>6.2437633642195289E-2</v>
      </c>
      <c r="X118" s="152">
        <f t="shared" si="280"/>
        <v>6.2437633642195289E-2</v>
      </c>
      <c r="Y118" s="152">
        <f t="shared" si="280"/>
        <v>6.2437633642195289E-2</v>
      </c>
      <c r="Z118" s="152">
        <f t="shared" si="280"/>
        <v>6.2437633642195303E-2</v>
      </c>
      <c r="AA118" s="152">
        <f t="shared" si="280"/>
        <v>6.2437633642195303E-2</v>
      </c>
      <c r="AB118" s="152">
        <f t="shared" si="280"/>
        <v>6.2437633642195303E-2</v>
      </c>
      <c r="AC118" s="138">
        <f t="shared" si="218"/>
        <v>2.0488417103574852E-2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361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364</v>
      </c>
      <c r="C121" s="20"/>
      <c r="D121" s="20"/>
      <c r="E121" s="20"/>
      <c r="F121" s="20"/>
      <c r="G121" s="25">
        <f>G15/G9</f>
        <v>3.1781609195402298</v>
      </c>
      <c r="H121" s="25">
        <f t="shared" ref="H121:AB121" si="281">H15/H9</f>
        <v>1.9871794871794872</v>
      </c>
      <c r="I121" s="25">
        <f t="shared" si="281"/>
        <v>0.62281879194630874</v>
      </c>
      <c r="J121" s="25">
        <f t="shared" si="281"/>
        <v>0.43321718931475028</v>
      </c>
      <c r="K121" s="25">
        <f t="shared" si="281"/>
        <v>0.37321937321937321</v>
      </c>
      <c r="L121" s="25">
        <f t="shared" si="281"/>
        <v>0.48903406439570696</v>
      </c>
      <c r="M121" s="25">
        <f t="shared" si="281"/>
        <v>0.45020429009193053</v>
      </c>
      <c r="N121" s="25">
        <f t="shared" si="281"/>
        <v>0.17602217602217601</v>
      </c>
      <c r="O121" s="25">
        <f t="shared" si="281"/>
        <v>0.49268789337282487</v>
      </c>
      <c r="P121" s="25">
        <f t="shared" si="281"/>
        <v>0.50641894585758707</v>
      </c>
      <c r="Q121" s="118">
        <f t="shared" si="216"/>
        <v>-0.18460048026647435</v>
      </c>
      <c r="R121" s="20"/>
      <c r="S121" s="20">
        <f t="shared" si="281"/>
        <v>0.50641894585758707</v>
      </c>
      <c r="T121" s="20">
        <f t="shared" si="281"/>
        <v>0.50641894585758707</v>
      </c>
      <c r="U121" s="20">
        <f t="shared" si="281"/>
        <v>0.50641894585758707</v>
      </c>
      <c r="V121" s="20">
        <f t="shared" si="281"/>
        <v>0.50641894585758718</v>
      </c>
      <c r="W121" s="20">
        <f t="shared" si="281"/>
        <v>0.50641894585758718</v>
      </c>
      <c r="X121" s="20">
        <f t="shared" si="281"/>
        <v>0.50641894585758718</v>
      </c>
      <c r="Y121" s="20">
        <f t="shared" si="281"/>
        <v>0.50641894585758718</v>
      </c>
      <c r="Z121" s="20">
        <f t="shared" si="281"/>
        <v>0.50641894585758718</v>
      </c>
      <c r="AA121" s="20">
        <f t="shared" si="281"/>
        <v>0.50641894585758718</v>
      </c>
      <c r="AB121" s="20">
        <f t="shared" si="281"/>
        <v>0.50641894585758718</v>
      </c>
      <c r="AC121" s="138">
        <f t="shared" si="218"/>
        <v>-9.2142716399418956E-2</v>
      </c>
      <c r="AD121" s="20"/>
      <c r="AE121" s="20"/>
    </row>
    <row r="122" spans="2:31" x14ac:dyDescent="0.2">
      <c r="B122" s="20" t="s">
        <v>354</v>
      </c>
      <c r="C122" s="20"/>
      <c r="D122" s="20"/>
      <c r="E122" s="20"/>
      <c r="F122" s="20"/>
      <c r="G122" s="25">
        <f>G12/G9</f>
        <v>0.92528735632183912</v>
      </c>
      <c r="H122" s="25">
        <f t="shared" ref="H122:P122" si="282">H12/H9</f>
        <v>0.76923076923076927</v>
      </c>
      <c r="I122" s="25">
        <f t="shared" si="282"/>
        <v>0.338255033557047</v>
      </c>
      <c r="J122" s="25">
        <f t="shared" si="282"/>
        <v>2.1033681765389081</v>
      </c>
      <c r="K122" s="25">
        <f t="shared" si="282"/>
        <v>1.9529914529914529</v>
      </c>
      <c r="L122" s="25">
        <f t="shared" si="282"/>
        <v>2.9902006532897807</v>
      </c>
      <c r="M122" s="25">
        <f t="shared" si="282"/>
        <v>1.611338100102145</v>
      </c>
      <c r="N122" s="25">
        <f t="shared" si="282"/>
        <v>1.2051282051282051</v>
      </c>
      <c r="O122" s="25">
        <f t="shared" si="282"/>
        <v>0.49250277674935211</v>
      </c>
      <c r="P122" s="25">
        <f t="shared" si="282"/>
        <v>0.50641894585758707</v>
      </c>
      <c r="Q122" s="118">
        <f t="shared" si="216"/>
        <v>-6.4777787943641862E-2</v>
      </c>
      <c r="R122" s="128"/>
      <c r="S122" s="20">
        <f t="shared" ref="S122:AB122" si="283">S12/S9</f>
        <v>0.50641894585758707</v>
      </c>
      <c r="T122" s="20">
        <f t="shared" si="283"/>
        <v>0.50641894585758707</v>
      </c>
      <c r="U122" s="20">
        <f t="shared" si="283"/>
        <v>0.50641894585758707</v>
      </c>
      <c r="V122" s="20">
        <f t="shared" si="283"/>
        <v>0.50641894585758718</v>
      </c>
      <c r="W122" s="20">
        <f t="shared" si="283"/>
        <v>0.50641894585758718</v>
      </c>
      <c r="X122" s="20">
        <f t="shared" si="283"/>
        <v>0.50641894585758718</v>
      </c>
      <c r="Y122" s="20">
        <f t="shared" si="283"/>
        <v>0.50641894585758718</v>
      </c>
      <c r="Z122" s="20">
        <f t="shared" si="283"/>
        <v>0.50641894585758718</v>
      </c>
      <c r="AA122" s="20">
        <f t="shared" si="283"/>
        <v>0.50641894585758718</v>
      </c>
      <c r="AB122" s="20">
        <f t="shared" si="283"/>
        <v>0.50641894585758718</v>
      </c>
      <c r="AC122" s="118">
        <f t="shared" ref="AC122" si="284">((AB122/S122)^(1/($H$2-$H$1) ))-1</f>
        <v>0</v>
      </c>
      <c r="AD122" s="20"/>
      <c r="AE122" s="20"/>
    </row>
    <row r="123" spans="2:31" x14ac:dyDescent="0.2">
      <c r="B123" s="20" t="s">
        <v>356</v>
      </c>
      <c r="C123" s="20"/>
      <c r="D123" s="20"/>
      <c r="E123" s="20"/>
      <c r="F123" s="20"/>
      <c r="G123" s="25">
        <f>G25/360</f>
        <v>0.71944444444444444</v>
      </c>
      <c r="H123" s="25">
        <f t="shared" ref="H123:P123" si="285">H25/360</f>
        <v>0.96111111111111114</v>
      </c>
      <c r="I123" s="25">
        <f t="shared" si="285"/>
        <v>2.5194444444444444</v>
      </c>
      <c r="J123" s="25">
        <f t="shared" si="285"/>
        <v>3.9277777777777776</v>
      </c>
      <c r="K123" s="25">
        <f t="shared" si="285"/>
        <v>6.9249999999999998</v>
      </c>
      <c r="L123" s="25">
        <f t="shared" si="285"/>
        <v>10.341666666666667</v>
      </c>
      <c r="M123" s="25">
        <f t="shared" si="285"/>
        <v>12.497222222222222</v>
      </c>
      <c r="N123" s="25">
        <f t="shared" si="285"/>
        <v>15.347222222222221</v>
      </c>
      <c r="O123" s="25">
        <f t="shared" si="285"/>
        <v>17.152777777777779</v>
      </c>
      <c r="P123" s="25">
        <f t="shared" si="285"/>
        <v>19.486111111111111</v>
      </c>
      <c r="Q123" s="118">
        <f t="shared" si="216"/>
        <v>0.4427530136444473</v>
      </c>
      <c r="R123" s="128"/>
      <c r="S123" s="25">
        <f t="shared" ref="S123:AB123" si="286">S25/360</f>
        <v>21.824444444444449</v>
      </c>
      <c r="T123" s="25">
        <f t="shared" si="286"/>
        <v>24.443377777777783</v>
      </c>
      <c r="U123" s="25">
        <f t="shared" si="286"/>
        <v>27.37658311111112</v>
      </c>
      <c r="V123" s="25">
        <f t="shared" si="286"/>
        <v>30.661773084444459</v>
      </c>
      <c r="W123" s="25">
        <f t="shared" si="286"/>
        <v>34.341185854577795</v>
      </c>
      <c r="X123" s="25">
        <f t="shared" si="286"/>
        <v>38.462128157127133</v>
      </c>
      <c r="Y123" s="25">
        <f t="shared" si="286"/>
        <v>43.077583535982399</v>
      </c>
      <c r="Z123" s="25">
        <f t="shared" si="286"/>
        <v>48.246893560300286</v>
      </c>
      <c r="AA123" s="25">
        <f t="shared" si="286"/>
        <v>54.036520787536318</v>
      </c>
      <c r="AB123" s="25">
        <f t="shared" si="286"/>
        <v>60.520903282040685</v>
      </c>
      <c r="AC123" s="118">
        <f t="shared" ref="AC123:AC134" si="287">((AB123/S123)^(1/($H$2-$H$1) ))-1</f>
        <v>0.12000000000000011</v>
      </c>
      <c r="AD123" s="20"/>
      <c r="AE123" s="20"/>
    </row>
    <row r="124" spans="2:31" x14ac:dyDescent="0.2">
      <c r="B124" s="20" t="s">
        <v>355</v>
      </c>
      <c r="C124" s="20"/>
      <c r="D124" s="20"/>
      <c r="E124" s="20"/>
      <c r="F124" s="20"/>
      <c r="G124" s="25">
        <f>G27/360</f>
        <v>0.21944444444444444</v>
      </c>
      <c r="H124" s="25">
        <f t="shared" ref="H124:P124" si="288">H27/360</f>
        <v>0.28055555555555556</v>
      </c>
      <c r="I124" s="25">
        <f t="shared" si="288"/>
        <v>0.7416666666666667</v>
      </c>
      <c r="J124" s="25">
        <f t="shared" si="288"/>
        <v>1.086111111111111</v>
      </c>
      <c r="K124" s="25">
        <f t="shared" si="288"/>
        <v>1.5361111111111112</v>
      </c>
      <c r="L124" s="25">
        <f t="shared" si="288"/>
        <v>2.1805555555555554</v>
      </c>
      <c r="M124" s="25">
        <f t="shared" si="288"/>
        <v>2.5222222222222221</v>
      </c>
      <c r="N124" s="25">
        <f t="shared" si="288"/>
        <v>3.8611111111111112</v>
      </c>
      <c r="O124" s="25">
        <f t="shared" si="288"/>
        <v>4.6361111111111111</v>
      </c>
      <c r="P124" s="25">
        <f t="shared" si="288"/>
        <v>4.9305555555555554</v>
      </c>
      <c r="Q124" s="118">
        <f t="shared" si="216"/>
        <v>0.41310549476892477</v>
      </c>
      <c r="R124" s="128"/>
      <c r="S124" s="25">
        <f t="shared" ref="S124:AB124" si="289">S27/360</f>
        <v>5.522222222222223</v>
      </c>
      <c r="T124" s="25">
        <f t="shared" si="289"/>
        <v>6.1848888888888904</v>
      </c>
      <c r="U124" s="25">
        <f t="shared" si="289"/>
        <v>6.9270755555555574</v>
      </c>
      <c r="V124" s="25">
        <f t="shared" si="289"/>
        <v>7.7583246222222249</v>
      </c>
      <c r="W124" s="25">
        <f t="shared" si="289"/>
        <v>8.6893235768888939</v>
      </c>
      <c r="X124" s="25">
        <f t="shared" si="289"/>
        <v>9.7320424061155606</v>
      </c>
      <c r="Y124" s="25">
        <f t="shared" si="289"/>
        <v>10.89988749484943</v>
      </c>
      <c r="Z124" s="25">
        <f t="shared" si="289"/>
        <v>12.207873994231363</v>
      </c>
      <c r="AA124" s="25">
        <f t="shared" si="289"/>
        <v>13.672818873539129</v>
      </c>
      <c r="AB124" s="25">
        <f t="shared" si="289"/>
        <v>15.313557138363826</v>
      </c>
      <c r="AC124" s="118">
        <f t="shared" si="287"/>
        <v>0.12000000000000011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365</v>
      </c>
      <c r="C126" s="20"/>
      <c r="D126" s="20"/>
      <c r="E126" s="20"/>
      <c r="F126" s="20"/>
      <c r="G126" s="25">
        <f>G10/G7</f>
        <v>6.9847328244274811</v>
      </c>
      <c r="H126" s="25">
        <f t="shared" ref="H126:P126" si="290">H10/H7</f>
        <v>6.6412556053811658</v>
      </c>
      <c r="I126" s="25">
        <f t="shared" si="290"/>
        <v>5.2395709177592371</v>
      </c>
      <c r="J126" s="25">
        <f t="shared" si="290"/>
        <v>8.0460405156537753</v>
      </c>
      <c r="K126" s="25">
        <f t="shared" si="290"/>
        <v>8.1375894331315362</v>
      </c>
      <c r="L126" s="25">
        <f t="shared" si="290"/>
        <v>8.687823834196891</v>
      </c>
      <c r="M126" s="25">
        <f t="shared" si="290"/>
        <v>4.802029136316337</v>
      </c>
      <c r="N126" s="25">
        <f t="shared" si="290"/>
        <v>4.126098508072757</v>
      </c>
      <c r="O126" s="25">
        <f t="shared" si="290"/>
        <v>3.0895225464190981</v>
      </c>
      <c r="P126" s="25">
        <f t="shared" si="290"/>
        <v>3.5357775657625732</v>
      </c>
      <c r="Q126" s="118">
        <f t="shared" si="216"/>
        <v>-7.2853531096490398E-2</v>
      </c>
      <c r="R126" s="128"/>
      <c r="S126" s="25">
        <f t="shared" ref="S126:AB126" si="291">S10/S7</f>
        <v>3.5357775657625736</v>
      </c>
      <c r="T126" s="25">
        <f t="shared" si="291"/>
        <v>3.5357775657625741</v>
      </c>
      <c r="U126" s="25">
        <f t="shared" si="291"/>
        <v>3.5357775657625741</v>
      </c>
      <c r="V126" s="25">
        <f t="shared" si="291"/>
        <v>3.5357775657625741</v>
      </c>
      <c r="W126" s="25">
        <f t="shared" si="291"/>
        <v>3.5357775657625741</v>
      </c>
      <c r="X126" s="25">
        <f t="shared" si="291"/>
        <v>3.5357775657625736</v>
      </c>
      <c r="Y126" s="25">
        <f t="shared" si="291"/>
        <v>3.5357775657625732</v>
      </c>
      <c r="Z126" s="25">
        <f t="shared" si="291"/>
        <v>3.5357775657625732</v>
      </c>
      <c r="AA126" s="25">
        <f t="shared" si="291"/>
        <v>3.5357775657625732</v>
      </c>
      <c r="AB126" s="25">
        <f t="shared" si="291"/>
        <v>3.5357775657625727</v>
      </c>
      <c r="AC126" s="118">
        <f t="shared" si="287"/>
        <v>0</v>
      </c>
      <c r="AD126" s="20"/>
      <c r="AE126" s="20"/>
    </row>
    <row r="127" spans="2:31" x14ac:dyDescent="0.2">
      <c r="B127" s="20" t="s">
        <v>357</v>
      </c>
      <c r="C127" s="20"/>
      <c r="D127" s="20"/>
      <c r="E127" s="20"/>
      <c r="F127" s="20"/>
      <c r="G127" s="25">
        <f>G10/(G10+G7)</f>
        <v>0.87476099426386233</v>
      </c>
      <c r="H127" s="25">
        <f t="shared" ref="H127:P127" si="292">H10/(H10+H7)</f>
        <v>0.869131455399061</v>
      </c>
      <c r="I127" s="25">
        <f t="shared" si="292"/>
        <v>0.83973256924546325</v>
      </c>
      <c r="J127" s="25">
        <f t="shared" si="292"/>
        <v>0.88945439739413679</v>
      </c>
      <c r="K127" s="25">
        <f t="shared" si="292"/>
        <v>0.89056194663615007</v>
      </c>
      <c r="L127" s="25">
        <f t="shared" si="292"/>
        <v>0.89677764407006288</v>
      </c>
      <c r="M127" s="25">
        <f t="shared" si="292"/>
        <v>0.82764650495449044</v>
      </c>
      <c r="N127" s="25">
        <f t="shared" si="292"/>
        <v>0.80491986284985251</v>
      </c>
      <c r="O127" s="25">
        <f t="shared" si="292"/>
        <v>0.75547267715258637</v>
      </c>
      <c r="P127" s="25">
        <f t="shared" si="292"/>
        <v>0.77953063493494401</v>
      </c>
      <c r="Q127" s="118">
        <f t="shared" si="216"/>
        <v>-1.2724868882386775E-2</v>
      </c>
      <c r="R127" s="128"/>
      <c r="S127" s="25">
        <f t="shared" ref="S127:AB127" si="293">S10/(S10+S7)</f>
        <v>0.77953063493494401</v>
      </c>
      <c r="T127" s="25">
        <f t="shared" si="293"/>
        <v>0.77953063493494401</v>
      </c>
      <c r="U127" s="25">
        <f t="shared" si="293"/>
        <v>0.77953063493494401</v>
      </c>
      <c r="V127" s="25">
        <f t="shared" si="293"/>
        <v>0.7795306349349439</v>
      </c>
      <c r="W127" s="25">
        <f t="shared" si="293"/>
        <v>0.77953063493494401</v>
      </c>
      <c r="X127" s="25">
        <f t="shared" si="293"/>
        <v>0.7795306349349439</v>
      </c>
      <c r="Y127" s="25">
        <f t="shared" si="293"/>
        <v>0.77953063493494401</v>
      </c>
      <c r="Z127" s="25">
        <f t="shared" si="293"/>
        <v>0.7795306349349439</v>
      </c>
      <c r="AA127" s="25">
        <f t="shared" si="293"/>
        <v>0.77953063493494401</v>
      </c>
      <c r="AB127" s="25">
        <f t="shared" si="293"/>
        <v>0.7795306349349439</v>
      </c>
      <c r="AC127" s="118">
        <f t="shared" si="287"/>
        <v>0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362</v>
      </c>
      <c r="C129" s="20"/>
      <c r="D129" s="20"/>
      <c r="E129" s="20"/>
      <c r="F129" s="20"/>
      <c r="G129" s="25">
        <f>G16</f>
        <v>988</v>
      </c>
      <c r="H129" s="25">
        <f t="shared" ref="H129:P129" si="294">H16</f>
        <v>1651</v>
      </c>
      <c r="I129" s="25">
        <f t="shared" si="294"/>
        <v>5068</v>
      </c>
      <c r="J129" s="25">
        <f t="shared" si="294"/>
        <v>9432</v>
      </c>
      <c r="K129" s="25">
        <f t="shared" si="294"/>
        <v>16444</v>
      </c>
      <c r="L129" s="25">
        <f t="shared" si="294"/>
        <v>22373</v>
      </c>
      <c r="M129" s="25">
        <f t="shared" si="294"/>
        <v>22136</v>
      </c>
      <c r="N129" s="25">
        <f t="shared" si="294"/>
        <v>24690</v>
      </c>
      <c r="O129" s="25">
        <f t="shared" si="294"/>
        <v>20949</v>
      </c>
      <c r="P129" s="25">
        <f t="shared" si="294"/>
        <v>29928</v>
      </c>
      <c r="Q129" s="118">
        <f t="shared" si="216"/>
        <v>0.46080146089049023</v>
      </c>
      <c r="R129" s="128"/>
      <c r="S129" s="25">
        <f t="shared" ref="S129:AB129" si="295">S16</f>
        <v>33519.360000000001</v>
      </c>
      <c r="T129" s="25">
        <f t="shared" si="295"/>
        <v>37541.683200000007</v>
      </c>
      <c r="U129" s="25">
        <f t="shared" si="295"/>
        <v>42046.685184000009</v>
      </c>
      <c r="V129" s="25">
        <f t="shared" si="295"/>
        <v>47092.287406080017</v>
      </c>
      <c r="W129" s="25">
        <f t="shared" si="295"/>
        <v>52743.361894809626</v>
      </c>
      <c r="X129" s="25">
        <f t="shared" si="295"/>
        <v>59072.565322186791</v>
      </c>
      <c r="Y129" s="25">
        <f t="shared" si="295"/>
        <v>66161.273160849218</v>
      </c>
      <c r="Z129" s="25">
        <f t="shared" si="295"/>
        <v>74100.625940151134</v>
      </c>
      <c r="AA129" s="25">
        <f t="shared" si="295"/>
        <v>82992.701052969278</v>
      </c>
      <c r="AB129" s="25">
        <f t="shared" si="295"/>
        <v>92951.825179325606</v>
      </c>
      <c r="AC129" s="118">
        <f t="shared" si="287"/>
        <v>0.12000000000000011</v>
      </c>
      <c r="AD129" s="20"/>
      <c r="AE129" s="20"/>
    </row>
    <row r="130" spans="2:31" x14ac:dyDescent="0.2">
      <c r="B130" s="20" t="s">
        <v>363</v>
      </c>
      <c r="C130" s="20"/>
      <c r="D130" s="20"/>
      <c r="E130" s="20"/>
      <c r="F130" s="20"/>
      <c r="G130" s="119">
        <f t="shared" ref="G130:P130" si="296">G129*365/G25</f>
        <v>1392.3552123552124</v>
      </c>
      <c r="H130" s="119">
        <f t="shared" si="296"/>
        <v>1741.6618497109826</v>
      </c>
      <c r="I130" s="119">
        <f t="shared" si="296"/>
        <v>2039.4928335170894</v>
      </c>
      <c r="J130" s="119">
        <f t="shared" si="296"/>
        <v>2434.7100424328146</v>
      </c>
      <c r="K130" s="119">
        <f t="shared" si="296"/>
        <v>2407.5651825110308</v>
      </c>
      <c r="L130" s="119">
        <f t="shared" si="296"/>
        <v>2193.4313725490197</v>
      </c>
      <c r="M130" s="119">
        <f t="shared" si="296"/>
        <v>1795.8746388086242</v>
      </c>
      <c r="N130" s="119">
        <f t="shared" si="296"/>
        <v>1631.1040723981901</v>
      </c>
      <c r="O130" s="119">
        <f t="shared" si="296"/>
        <v>1238.280971659919</v>
      </c>
      <c r="P130" s="119">
        <f t="shared" si="296"/>
        <v>1557.1945830363507</v>
      </c>
      <c r="Q130" s="118">
        <f t="shared" si="216"/>
        <v>1.2509727635537704E-2</v>
      </c>
      <c r="R130" s="128"/>
      <c r="S130" s="119">
        <f t="shared" ref="S130:AB130" si="297">S129*365/S25</f>
        <v>1557.1945830363504</v>
      </c>
      <c r="T130" s="119">
        <f t="shared" si="297"/>
        <v>1557.1945830363507</v>
      </c>
      <c r="U130" s="119">
        <f t="shared" si="297"/>
        <v>1557.1945830363504</v>
      </c>
      <c r="V130" s="119">
        <f t="shared" si="297"/>
        <v>1557.1945830363502</v>
      </c>
      <c r="W130" s="119">
        <f t="shared" si="297"/>
        <v>1557.1945830363507</v>
      </c>
      <c r="X130" s="119">
        <f t="shared" si="297"/>
        <v>1557.1945830363507</v>
      </c>
      <c r="Y130" s="119">
        <f t="shared" si="297"/>
        <v>1557.1945830363509</v>
      </c>
      <c r="Z130" s="119">
        <f t="shared" si="297"/>
        <v>1557.1945830363511</v>
      </c>
      <c r="AA130" s="119">
        <f t="shared" si="297"/>
        <v>1557.1945830363511</v>
      </c>
      <c r="AB130" s="119">
        <f t="shared" si="297"/>
        <v>1557.1945830363516</v>
      </c>
      <c r="AC130" s="118">
        <f t="shared" si="287"/>
        <v>0</v>
      </c>
      <c r="AD130" s="20"/>
      <c r="AE130" s="20"/>
    </row>
    <row r="131" spans="2:31" x14ac:dyDescent="0.2">
      <c r="B131" s="20" t="s">
        <v>366</v>
      </c>
      <c r="C131" s="20"/>
      <c r="D131" s="20"/>
      <c r="E131" s="20"/>
      <c r="F131" s="20"/>
      <c r="G131" s="133">
        <f>G78/G29</f>
        <v>0.34881586194235359</v>
      </c>
      <c r="H131" s="133">
        <f t="shared" ref="H131:P131" si="298">H78/H29</f>
        <v>0.2288887638130617</v>
      </c>
      <c r="I131" s="133">
        <f t="shared" si="298"/>
        <v>0.10198935275987671</v>
      </c>
      <c r="J131" s="133">
        <f t="shared" si="298"/>
        <v>7.6375738623916251E-2</v>
      </c>
      <c r="K131" s="133">
        <f t="shared" si="298"/>
        <v>7.2052044505234406E-2</v>
      </c>
      <c r="L131" s="133">
        <f t="shared" si="298"/>
        <v>7.2256005488175429E-2</v>
      </c>
      <c r="M131" s="133">
        <f t="shared" si="298"/>
        <v>6.8986895648928959E-2</v>
      </c>
      <c r="N131" s="133">
        <f t="shared" si="298"/>
        <v>7.6533876986428509E-2</v>
      </c>
      <c r="O131" s="133">
        <f t="shared" si="298"/>
        <v>7.8584056594475746E-2</v>
      </c>
      <c r="P131" s="133">
        <f t="shared" si="298"/>
        <v>7.5633242463682471E-2</v>
      </c>
      <c r="Q131" s="118">
        <f t="shared" si="216"/>
        <v>-0.1562084615332251</v>
      </c>
      <c r="R131" s="128"/>
      <c r="S131" s="133">
        <f t="shared" ref="S131:AB131" si="299">S78/S29</f>
        <v>6.5768036924941292E-2</v>
      </c>
      <c r="T131" s="133">
        <f t="shared" si="299"/>
        <v>5.7189597326035908E-2</v>
      </c>
      <c r="U131" s="133">
        <f t="shared" si="299"/>
        <v>4.9730084631335568E-2</v>
      </c>
      <c r="V131" s="133">
        <f t="shared" si="299"/>
        <v>4.3243551853335283E-2</v>
      </c>
      <c r="W131" s="133">
        <f t="shared" si="299"/>
        <v>3.7603088568117636E-2</v>
      </c>
      <c r="X131" s="133">
        <f t="shared" si="299"/>
        <v>3.269833788531968E-2</v>
      </c>
      <c r="Y131" s="133">
        <f t="shared" si="299"/>
        <v>2.8433337291582341E-2</v>
      </c>
      <c r="Z131" s="133">
        <f t="shared" si="299"/>
        <v>2.4724641123115083E-2</v>
      </c>
      <c r="AA131" s="133">
        <f t="shared" si="299"/>
        <v>2.1499687933143555E-2</v>
      </c>
      <c r="AB131" s="133">
        <f t="shared" si="299"/>
        <v>1.8695380811429175E-2</v>
      </c>
      <c r="AC131" s="118">
        <f t="shared" si="287"/>
        <v>-0.13043478260869557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373</v>
      </c>
      <c r="C133" s="20"/>
      <c r="D133" s="20"/>
      <c r="E133" s="20"/>
      <c r="F133" s="20"/>
      <c r="G133" s="180">
        <f>G25/G14</f>
        <v>0.58997722095671978</v>
      </c>
      <c r="H133" s="180">
        <f t="shared" ref="H133:P133" si="300">H25/H14</f>
        <v>1.2055749128919862</v>
      </c>
      <c r="I133" s="180">
        <f t="shared" si="300"/>
        <v>3.3223443223443225</v>
      </c>
      <c r="J133" s="180">
        <f t="shared" si="300"/>
        <v>25.25</v>
      </c>
      <c r="K133" s="180">
        <f t="shared" si="300"/>
        <v>3720.8955223880594</v>
      </c>
      <c r="L133" s="180">
        <f t="shared" si="300"/>
        <v>3723</v>
      </c>
      <c r="M133" s="180" t="e">
        <f t="shared" si="300"/>
        <v>#DIV/0!</v>
      </c>
      <c r="N133" s="180">
        <f t="shared" si="300"/>
        <v>425</v>
      </c>
      <c r="O133" s="180">
        <f t="shared" si="300"/>
        <v>6175</v>
      </c>
      <c r="P133" s="180" t="e">
        <f t="shared" si="300"/>
        <v>#DIV/0!</v>
      </c>
      <c r="Q133" s="118" t="e">
        <f t="shared" si="216"/>
        <v>#DIV/0!</v>
      </c>
      <c r="R133" s="128"/>
      <c r="S133" s="20" t="e">
        <f t="shared" ref="S133" si="301">S25/S14</f>
        <v>#DIV/0!</v>
      </c>
      <c r="T133" s="20" t="e">
        <f t="shared" ref="T133:AB133" si="302">T25/T14</f>
        <v>#DIV/0!</v>
      </c>
      <c r="U133" s="20" t="e">
        <f t="shared" si="302"/>
        <v>#DIV/0!</v>
      </c>
      <c r="V133" s="20" t="e">
        <f t="shared" si="302"/>
        <v>#DIV/0!</v>
      </c>
      <c r="W133" s="20" t="e">
        <f t="shared" si="302"/>
        <v>#DIV/0!</v>
      </c>
      <c r="X133" s="20" t="e">
        <f t="shared" si="302"/>
        <v>#DIV/0!</v>
      </c>
      <c r="Y133" s="20" t="e">
        <f t="shared" si="302"/>
        <v>#DIV/0!</v>
      </c>
      <c r="Z133" s="20" t="e">
        <f t="shared" si="302"/>
        <v>#DIV/0!</v>
      </c>
      <c r="AA133" s="20" t="e">
        <f t="shared" si="302"/>
        <v>#DIV/0!</v>
      </c>
      <c r="AB133" s="20" t="e">
        <f t="shared" si="302"/>
        <v>#DIV/0!</v>
      </c>
      <c r="AC133" s="118" t="e">
        <f t="shared" si="287"/>
        <v>#DIV/0!</v>
      </c>
      <c r="AD133" s="20"/>
      <c r="AE133" s="20"/>
    </row>
    <row r="134" spans="2:31" x14ac:dyDescent="0.2">
      <c r="B134" s="20" t="s">
        <v>374</v>
      </c>
      <c r="C134" s="20"/>
      <c r="D134" s="20"/>
      <c r="E134" s="20"/>
      <c r="F134" s="20"/>
      <c r="G134" s="180">
        <f>G27/G14</f>
        <v>0.17995444191343962</v>
      </c>
      <c r="H134" s="180">
        <f t="shared" ref="H134:P134" si="303">H27/H14</f>
        <v>0.3519163763066202</v>
      </c>
      <c r="I134" s="180">
        <f t="shared" si="303"/>
        <v>0.97802197802197799</v>
      </c>
      <c r="J134" s="180">
        <f t="shared" si="303"/>
        <v>6.9821428571428568</v>
      </c>
      <c r="K134" s="180">
        <f t="shared" si="303"/>
        <v>825.37313432835811</v>
      </c>
      <c r="L134" s="180">
        <f t="shared" si="303"/>
        <v>785</v>
      </c>
      <c r="M134" s="180" t="e">
        <f t="shared" si="303"/>
        <v>#DIV/0!</v>
      </c>
      <c r="N134" s="180">
        <f t="shared" si="303"/>
        <v>106.92307692307692</v>
      </c>
      <c r="O134" s="180">
        <f t="shared" si="303"/>
        <v>1669</v>
      </c>
      <c r="P134" s="180" t="e">
        <f t="shared" si="303"/>
        <v>#DIV/0!</v>
      </c>
      <c r="Q134" s="118" t="e">
        <f t="shared" si="216"/>
        <v>#DIV/0!</v>
      </c>
      <c r="R134" s="128"/>
      <c r="S134" s="20" t="e">
        <f t="shared" ref="S134:AB134" si="304">S27/S14</f>
        <v>#DIV/0!</v>
      </c>
      <c r="T134" s="20" t="e">
        <f t="shared" si="304"/>
        <v>#DIV/0!</v>
      </c>
      <c r="U134" s="20" t="e">
        <f t="shared" si="304"/>
        <v>#DIV/0!</v>
      </c>
      <c r="V134" s="20" t="e">
        <f t="shared" si="304"/>
        <v>#DIV/0!</v>
      </c>
      <c r="W134" s="20" t="e">
        <f t="shared" si="304"/>
        <v>#DIV/0!</v>
      </c>
      <c r="X134" s="20" t="e">
        <f t="shared" si="304"/>
        <v>#DIV/0!</v>
      </c>
      <c r="Y134" s="20" t="e">
        <f t="shared" si="304"/>
        <v>#DIV/0!</v>
      </c>
      <c r="Z134" s="20" t="e">
        <f t="shared" si="304"/>
        <v>#DIV/0!</v>
      </c>
      <c r="AA134" s="20" t="e">
        <f t="shared" si="304"/>
        <v>#DIV/0!</v>
      </c>
      <c r="AB134" s="20" t="e">
        <f t="shared" si="304"/>
        <v>#DIV/0!</v>
      </c>
      <c r="AC134" s="118" t="e">
        <f t="shared" si="287"/>
        <v>#DIV/0!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>
        <f>AVERAGE(G52:P52)</f>
        <v>30.003321603452576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59.35749058473268</v>
      </c>
      <c r="S138" s="133">
        <f>PV($C$1, ($AB$3-$S$3), 0, -AB52)</f>
        <v>8.271125737216849</v>
      </c>
      <c r="T138" s="133">
        <f>PV($C$1, ($AB$3-$S$3), 0, -AE52)</f>
        <v>51.086364847515831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305">S139+T139</f>
        <v>297.68004676704294</v>
      </c>
      <c r="S139" s="133">
        <f>PV($C$1, ($AB$3-$S$3), 0, -AB54)</f>
        <v>41.480006516719087</v>
      </c>
      <c r="T139" s="133">
        <f>PV($C$1, ($AB$3-$S$3), 0, -AE54)</f>
        <v>256.20004025032387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305"/>
        <v>288.47010120126407</v>
      </c>
      <c r="S140" s="133">
        <f>PV($C$1, ($AB$3-$S$3), 0, -AB55)</f>
        <v>40.196653446077782</v>
      </c>
      <c r="T140" s="133">
        <f>PV($C$1, ($AB$3-$S$3), 0, -AE55)</f>
        <v>248.27344775518631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305"/>
        <v>1052.5304311340637</v>
      </c>
      <c r="S141" s="133">
        <f>PV($C$1, ($AB$3-$S$3), 0, -AB56)</f>
        <v>146.66407646950066</v>
      </c>
      <c r="T141" s="133">
        <f>PV($C$1, ($AB$3-$S$3), 0, -AE56)</f>
        <v>905.86635466456312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305"/>
        <v>257.67561360467352</v>
      </c>
      <c r="S142" s="133">
        <f>PV($C$1, ($AB$3-$S$3), 0, -AB62)</f>
        <v>35.90561828917582</v>
      </c>
      <c r="T142" s="133">
        <f>PV($C$1, ($AB$3-$S$3), 0, -AE62)</f>
        <v>221.76999531549771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305"/>
        <v>-754.85038436702075</v>
      </c>
      <c r="S144" s="133">
        <f>PV($C$1, ($AB$3-$S$3), 0, -AB58)</f>
        <v>-105.18406995278157</v>
      </c>
      <c r="T144" s="133">
        <f>PV($C$1, ($AB$3-$S$3), 0, -$AE$58)</f>
        <v>-649.6663144142392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305"/>
        <v>-1263.6694475407276</v>
      </c>
      <c r="S145" s="133">
        <f>PV($C$1, ($AB$3-$S$3), 0, -AB59)</f>
        <v>-176.08508695239641</v>
      </c>
      <c r="T145" s="133">
        <f>PV($C$1, ($AB$3-$S$3), 0, -$AE$59)</f>
        <v>-1087.584360588331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305"/>
        <v>-1005.993833936054</v>
      </c>
      <c r="S146" s="133">
        <f>PV($C$1, ($AB$3-$S$3), 0, -AB60)</f>
        <v>-140.1794686632206</v>
      </c>
      <c r="T146" s="133">
        <f>PV($C$1, ($AB$3-$S$3), 0, -$AE$60)</f>
        <v>-865.81436527283336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305"/>
        <v>257.67561360467352</v>
      </c>
      <c r="S148" s="133">
        <f>PV($C$1, ($AB$3-$S$3), 0, -AB65)</f>
        <v>35.90561828917582</v>
      </c>
      <c r="T148" s="133">
        <f>PV($C$1, ($AB$3-$S$3), 0, -AE65)</f>
        <v>221.76999531549771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305"/>
        <v>938.2857959901188</v>
      </c>
      <c r="S149" s="133">
        <f>PV($C$1, ($AB$3-$S$3), 0, -AB66)</f>
        <v>169.19907796543126</v>
      </c>
      <c r="T149" s="133">
        <f>PV($C$1, ($AB$3-$S$3), 0, -AE66)</f>
        <v>769.08671802468757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306">S151+T151</f>
        <v>23642.574851183446</v>
      </c>
      <c r="S151" s="133">
        <f>PV($C$1, ($AB$3-$S$3), 0, -AB12)</f>
        <v>3294.4571513944143</v>
      </c>
      <c r="T151" s="133">
        <f>PV($C$1, ($AB$3-$S$3), 0, -AE12)</f>
        <v>20348.117699789032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1042.4415719216688</v>
      </c>
      <c r="S152" s="140">
        <f>S151/P42</f>
        <v>145.25825182515055</v>
      </c>
      <c r="T152" s="140">
        <f>T151/P42</f>
        <v>897.18332009651817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307">S155+T155</f>
        <v>66.336794555521649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54.574476129092538</v>
      </c>
      <c r="T155" s="133">
        <f>PV($C$1, ($AB$3-$S$3), 0, -AE68)</f>
        <v>11.762318426429113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305"/>
        <v>-126612.27015040132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-104162.37868096001</v>
      </c>
      <c r="T157" s="133">
        <f>PV($C$1, ($AB$3-$S$3), 0, -AE70)</f>
        <v>-22449.891469441307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308">S159+T159</f>
        <v>-1379.9213751564919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-1135.244575097337</v>
      </c>
      <c r="T159" s="133">
        <f>PV($C$1, ($AB$3-$S$3), 0, -AE72)</f>
        <v>-244.67680005915489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308"/>
        <v>-1379.1336363951639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-1134.5965119746897</v>
      </c>
      <c r="T160" s="133">
        <f>PV($C$1, ($AB$3-$S$3), 0, -AE73)</f>
        <v>-244.53712442047404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308"/>
        <v>-0.78773876132809573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-0.64806312264725952</v>
      </c>
      <c r="T161" s="133">
        <f>PV($C$1, ($AB$3-$S$3), 0, -AE74)</f>
        <v>-0.13967563868083618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308"/>
        <v>1513.4430952016037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1245.0912743860472</v>
      </c>
      <c r="T162" s="133">
        <f>PV($C$1, ($AB$3-$S$3), 0, -AE75)</f>
        <v>268.35182081555661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880.10113109381496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724.04852377765064</v>
      </c>
      <c r="T164" s="133">
        <f>PV($C$1, ($AB$3-$S$3), 0, -AE76)</f>
        <v>156.05260731616426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640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389</v>
      </c>
      <c r="P166" s="20">
        <v>9</v>
      </c>
      <c r="Q166" s="20" t="s">
        <v>391</v>
      </c>
      <c r="R166" s="23" t="s">
        <v>390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13.5</v>
      </c>
      <c r="G167" s="22">
        <v>18</v>
      </c>
      <c r="H167" s="22">
        <v>50</v>
      </c>
      <c r="I167" s="22">
        <v>120</v>
      </c>
      <c r="J167" s="22">
        <v>115</v>
      </c>
      <c r="K167" s="22">
        <v>307</v>
      </c>
      <c r="L167" s="22">
        <v>180</v>
      </c>
      <c r="M167" s="22">
        <v>480</v>
      </c>
      <c r="N167" s="22">
        <v>710</v>
      </c>
      <c r="O167" s="22">
        <v>505</v>
      </c>
      <c r="P167" s="22">
        <v>500</v>
      </c>
      <c r="Q167" s="118">
        <f t="shared" ref="Q167:Q172" si="309">((P167/G167)^(1/($H$2-$H$1) ))-1</f>
        <v>0.44680777265869498</v>
      </c>
      <c r="R167" s="31">
        <f>L2-3%</f>
        <v>0.09</v>
      </c>
      <c r="S167" s="119">
        <f t="shared" ref="S167" si="310">P167*(1+$R167)</f>
        <v>545</v>
      </c>
      <c r="T167" s="119">
        <f t="shared" ref="T167:AB167" si="311">S167*(1+$R167)</f>
        <v>594.05000000000007</v>
      </c>
      <c r="U167" s="119">
        <f t="shared" si="311"/>
        <v>647.51450000000011</v>
      </c>
      <c r="V167" s="119">
        <f t="shared" si="311"/>
        <v>705.7908050000002</v>
      </c>
      <c r="W167" s="119">
        <f t="shared" si="311"/>
        <v>769.31197745000031</v>
      </c>
      <c r="X167" s="119">
        <f t="shared" si="311"/>
        <v>838.55005542050037</v>
      </c>
      <c r="Y167" s="119">
        <f t="shared" si="311"/>
        <v>914.01956040834546</v>
      </c>
      <c r="Z167" s="119">
        <f t="shared" si="311"/>
        <v>996.28132084509662</v>
      </c>
      <c r="AA167" s="119">
        <f t="shared" si="311"/>
        <v>1085.9466397211554</v>
      </c>
      <c r="AB167" s="119">
        <f t="shared" si="311"/>
        <v>1183.6818372960595</v>
      </c>
      <c r="AC167" s="138">
        <f t="shared" ref="AC167:AC172" si="312">((AB167/G167)^(1/($AB$3-$H$1) ))-1</f>
        <v>0.24647116336225117</v>
      </c>
      <c r="AD167" s="31">
        <v>0.08</v>
      </c>
      <c r="AE167" s="127">
        <f t="shared" ref="AE167:AE175" si="313">(AB167*(1+AC167))/($C$1-AD167)</f>
        <v>10538.751977037044</v>
      </c>
    </row>
    <row r="168" spans="2:31" x14ac:dyDescent="0.2">
      <c r="B168" s="20" t="s">
        <v>360</v>
      </c>
      <c r="C168" s="25" t="e">
        <f t="shared" ref="C168:P168" si="314">C167/C49</f>
        <v>#DIV/0!</v>
      </c>
      <c r="D168" s="25" t="e">
        <f t="shared" si="314"/>
        <v>#DIV/0!</v>
      </c>
      <c r="E168" s="25" t="e">
        <f t="shared" si="314"/>
        <v>#DIV/0!</v>
      </c>
      <c r="F168" s="25" t="e">
        <f t="shared" si="314"/>
        <v>#DIV/0!</v>
      </c>
      <c r="G168" s="25">
        <f t="shared" si="314"/>
        <v>0.29119691119691121</v>
      </c>
      <c r="H168" s="25">
        <f t="shared" si="314"/>
        <v>0.94508670520231208</v>
      </c>
      <c r="I168" s="25">
        <f t="shared" si="314"/>
        <v>1.9911797133406837</v>
      </c>
      <c r="J168" s="25">
        <f t="shared" si="314"/>
        <v>1.4972772277227722</v>
      </c>
      <c r="K168" s="25">
        <f t="shared" si="314"/>
        <v>2.5010709987966302</v>
      </c>
      <c r="L168" s="25">
        <f t="shared" si="314"/>
        <v>0.98388396454472216</v>
      </c>
      <c r="M168" s="25">
        <f t="shared" si="314"/>
        <v>2.4058679706601467</v>
      </c>
      <c r="N168" s="25">
        <f t="shared" si="314"/>
        <v>2.9055384615384616</v>
      </c>
      <c r="O168" s="25">
        <f t="shared" si="314"/>
        <v>1.8523481781376516</v>
      </c>
      <c r="P168" s="25">
        <f t="shared" si="314"/>
        <v>1.6165359942979332</v>
      </c>
      <c r="Q168" s="118">
        <f t="shared" ref="Q168" si="315">((P168/G168)^(1/($H$2-$H$1) ))-1</f>
        <v>0.20979269342130902</v>
      </c>
      <c r="R168" s="128"/>
      <c r="S168" s="25">
        <f t="shared" ref="S168:AB168" si="316">S167/S49</f>
        <v>1.8092213114754094</v>
      </c>
      <c r="T168" s="25">
        <f t="shared" si="316"/>
        <v>2.0248740302985944</v>
      </c>
      <c r="U168" s="25">
        <f t="shared" si="316"/>
        <v>2.2662317830172212</v>
      </c>
      <c r="V168" s="25">
        <f t="shared" si="316"/>
        <v>2.5363585178679342</v>
      </c>
      <c r="W168" s="25">
        <f t="shared" si="316"/>
        <v>2.8386833947745136</v>
      </c>
      <c r="X168" s="25">
        <f t="shared" si="316"/>
        <v>3.1770443172766547</v>
      </c>
      <c r="Y168" s="25">
        <f t="shared" si="316"/>
        <v>3.5557366533091832</v>
      </c>
      <c r="Z168" s="25">
        <f t="shared" si="316"/>
        <v>3.979567763324162</v>
      </c>
      <c r="AA168" s="25">
        <f t="shared" si="316"/>
        <v>4.4539180279703903</v>
      </c>
      <c r="AB168" s="25">
        <f t="shared" si="316"/>
        <v>4.9848091500543603</v>
      </c>
      <c r="AC168" s="138">
        <f t="shared" ref="AC168" si="317">((AB168/G168)^(1/($AB$3-$H$1) ))-1</f>
        <v>0.16123212152861166</v>
      </c>
      <c r="AD168" s="31">
        <v>0.08</v>
      </c>
      <c r="AE168" s="127">
        <f t="shared" ref="AE168" si="318">(AB168*(1+AC168))/($C$1-AD168)</f>
        <v>41.34657503380614</v>
      </c>
    </row>
    <row r="169" spans="2:31" x14ac:dyDescent="0.2">
      <c r="B169" s="20" t="s">
        <v>388</v>
      </c>
      <c r="C169" s="25" t="e">
        <f t="shared" ref="C169:P169" si="319">C167/C52</f>
        <v>#DIV/0!</v>
      </c>
      <c r="D169" s="25" t="e">
        <f t="shared" si="319"/>
        <v>#DIV/0!</v>
      </c>
      <c r="E169" s="25" t="e">
        <f t="shared" si="319"/>
        <v>#DIV/0!</v>
      </c>
      <c r="F169" s="25" t="e">
        <f t="shared" si="319"/>
        <v>#DIV/0!</v>
      </c>
      <c r="G169" s="25">
        <f t="shared" si="319"/>
        <v>2.0383783783783782</v>
      </c>
      <c r="H169" s="25">
        <f t="shared" si="319"/>
        <v>6.6734693877551017</v>
      </c>
      <c r="I169" s="25">
        <f t="shared" si="319"/>
        <v>12.808510638297873</v>
      </c>
      <c r="J169" s="25">
        <f t="shared" si="319"/>
        <v>11.142894736842106</v>
      </c>
      <c r="K169" s="25">
        <f t="shared" si="319"/>
        <v>16.028714652956296</v>
      </c>
      <c r="L169" s="25">
        <f t="shared" si="319"/>
        <v>5.9852941176470598</v>
      </c>
      <c r="M169" s="25">
        <f t="shared" si="319"/>
        <v>12.398625429553265</v>
      </c>
      <c r="N169" s="25">
        <f t="shared" si="319"/>
        <v>13.190714872637633</v>
      </c>
      <c r="O169" s="25">
        <f t="shared" si="319"/>
        <v>8.7448394495412831</v>
      </c>
      <c r="P169" s="25">
        <f t="shared" si="319"/>
        <v>7.751196172248803</v>
      </c>
      <c r="Q169" s="118">
        <f t="shared" si="309"/>
        <v>0.15998872885175408</v>
      </c>
      <c r="R169" s="128"/>
      <c r="S169" s="119">
        <f t="shared" ref="S169:AB169" si="320">S167/S52</f>
        <v>8.6751110731373871</v>
      </c>
      <c r="T169" s="119">
        <f t="shared" si="320"/>
        <v>9.709153330515818</v>
      </c>
      <c r="U169" s="119">
        <f t="shared" si="320"/>
        <v>10.866449731965693</v>
      </c>
      <c r="V169" s="119">
        <f t="shared" si="320"/>
        <v>12.161691731266957</v>
      </c>
      <c r="W169" s="119">
        <f t="shared" si="320"/>
        <v>13.611321951020654</v>
      </c>
      <c r="X169" s="119">
        <f t="shared" si="320"/>
        <v>15.233742915718203</v>
      </c>
      <c r="Y169" s="119">
        <f t="shared" si="320"/>
        <v>17.049550665047114</v>
      </c>
      <c r="Z169" s="119">
        <f t="shared" si="320"/>
        <v>19.081796213068351</v>
      </c>
      <c r="AA169" s="119">
        <f t="shared" si="320"/>
        <v>21.356278172393907</v>
      </c>
      <c r="AB169" s="119">
        <f t="shared" si="320"/>
        <v>23.901870258121214</v>
      </c>
      <c r="AC169" s="138">
        <f t="shared" si="312"/>
        <v>0.13833712263738884</v>
      </c>
      <c r="AD169" s="31">
        <v>0.08</v>
      </c>
      <c r="AE169" s="127">
        <f t="shared" si="313"/>
        <v>194.34561582344202</v>
      </c>
    </row>
    <row r="170" spans="2:31" x14ac:dyDescent="0.2">
      <c r="B170" s="20" t="s">
        <v>258</v>
      </c>
      <c r="C170" s="25" t="e">
        <f t="shared" ref="C170:P170" si="321">C167/C55</f>
        <v>#DIV/0!</v>
      </c>
      <c r="D170" s="25" t="e">
        <f t="shared" si="321"/>
        <v>#DIV/0!</v>
      </c>
      <c r="E170" s="25" t="e">
        <f t="shared" si="321"/>
        <v>#DIV/0!</v>
      </c>
      <c r="F170" s="25" t="e">
        <f t="shared" si="321"/>
        <v>#DIV/0!</v>
      </c>
      <c r="G170" s="25">
        <f t="shared" si="321"/>
        <v>1.5084000000000002</v>
      </c>
      <c r="H170" s="25">
        <f t="shared" si="321"/>
        <v>2.4961832061068705</v>
      </c>
      <c r="I170" s="25">
        <f t="shared" si="321"/>
        <v>2.7827426810477656</v>
      </c>
      <c r="J170" s="25">
        <f t="shared" si="321"/>
        <v>2.4003968253968253</v>
      </c>
      <c r="K170" s="25">
        <f t="shared" si="321"/>
        <v>3.9714458598726115</v>
      </c>
      <c r="L170" s="25">
        <f t="shared" si="321"/>
        <v>1.7721335268505081</v>
      </c>
      <c r="M170" s="25">
        <f t="shared" si="321"/>
        <v>2.9983379501385041</v>
      </c>
      <c r="N170" s="25">
        <f t="shared" si="321"/>
        <v>3.4426549431696332</v>
      </c>
      <c r="O170" s="25">
        <f t="shared" si="321"/>
        <v>1.9700740613158798</v>
      </c>
      <c r="P170" s="25">
        <f t="shared" si="321"/>
        <v>1.5949367088607596</v>
      </c>
      <c r="Q170" s="118">
        <f t="shared" si="309"/>
        <v>6.2175344630444052E-3</v>
      </c>
      <c r="R170" s="128"/>
      <c r="S170" s="119">
        <f t="shared" ref="S170:AB170" si="322">S167/S55</f>
        <v>1.78504746835443</v>
      </c>
      <c r="T170" s="119">
        <f t="shared" si="322"/>
        <v>1.9978187514127481</v>
      </c>
      <c r="U170" s="119">
        <f t="shared" si="322"/>
        <v>2.2359516115141784</v>
      </c>
      <c r="V170" s="119">
        <f t="shared" si="322"/>
        <v>2.5024690580651985</v>
      </c>
      <c r="W170" s="119">
        <f t="shared" si="322"/>
        <v>2.8007544323970772</v>
      </c>
      <c r="X170" s="119">
        <f t="shared" si="322"/>
        <v>3.1345943580444069</v>
      </c>
      <c r="Y170" s="119">
        <f t="shared" si="322"/>
        <v>3.5082268105434498</v>
      </c>
      <c r="Z170" s="119">
        <f t="shared" si="322"/>
        <v>3.926394916978762</v>
      </c>
      <c r="AA170" s="119">
        <f t="shared" si="322"/>
        <v>4.3944071682436405</v>
      </c>
      <c r="AB170" s="119">
        <f t="shared" si="322"/>
        <v>4.9182048083869674</v>
      </c>
      <c r="AC170" s="138">
        <f t="shared" si="312"/>
        <v>6.418042902397314E-2</v>
      </c>
      <c r="AD170" s="31">
        <v>0.08</v>
      </c>
      <c r="AE170" s="127">
        <f t="shared" si="313"/>
        <v>37.384695021550066</v>
      </c>
    </row>
    <row r="171" spans="2:31" x14ac:dyDescent="0.2">
      <c r="B171" s="20" t="s">
        <v>259</v>
      </c>
      <c r="C171" s="25" t="e">
        <f t="shared" ref="C171:P171" si="323">C167/C64</f>
        <v>#DIV/0!</v>
      </c>
      <c r="D171" s="25" t="e">
        <f t="shared" si="323"/>
        <v>#DIV/0!</v>
      </c>
      <c r="E171" s="25" t="e">
        <f t="shared" si="323"/>
        <v>#DIV/0!</v>
      </c>
      <c r="F171" s="25" t="e">
        <f t="shared" si="323"/>
        <v>#DIV/0!</v>
      </c>
      <c r="G171" s="25">
        <f t="shared" si="323"/>
        <v>0.45433734939759041</v>
      </c>
      <c r="H171" s="25">
        <f t="shared" si="323"/>
        <v>1.7771739130434783</v>
      </c>
      <c r="I171" s="25">
        <f t="shared" si="323"/>
        <v>6.919540229885059</v>
      </c>
      <c r="J171" s="25">
        <f t="shared" si="323"/>
        <v>1.0403685503685502</v>
      </c>
      <c r="K171" s="25">
        <f t="shared" si="323"/>
        <v>2.2607577955039884</v>
      </c>
      <c r="L171" s="25">
        <f t="shared" si="323"/>
        <v>0.56896551724137934</v>
      </c>
      <c r="M171" s="25">
        <f t="shared" si="323"/>
        <v>1.6928370347200499</v>
      </c>
      <c r="N171" s="25">
        <f t="shared" si="323"/>
        <v>2.2117801047120418</v>
      </c>
      <c r="O171" s="25">
        <f t="shared" si="323"/>
        <v>1.272755090686547</v>
      </c>
      <c r="P171" s="25">
        <f t="shared" si="323"/>
        <v>1.1774478247326343</v>
      </c>
      <c r="Q171" s="118">
        <f t="shared" si="309"/>
        <v>0.11160750484097659</v>
      </c>
      <c r="R171" s="128"/>
      <c r="S171" s="119">
        <f t="shared" ref="S171:AB171" si="324">S167/S64</f>
        <v>1.3177954002699612</v>
      </c>
      <c r="T171" s="119">
        <f t="shared" si="324"/>
        <v>1.474871905569997</v>
      </c>
      <c r="U171" s="119">
        <f t="shared" si="324"/>
        <v>1.6506713693142778</v>
      </c>
      <c r="V171" s="119">
        <f t="shared" si="324"/>
        <v>1.847425501281649</v>
      </c>
      <c r="W171" s="119">
        <f t="shared" si="324"/>
        <v>2.0676320230862024</v>
      </c>
      <c r="X171" s="119">
        <f t="shared" si="324"/>
        <v>2.3140863758379946</v>
      </c>
      <c r="Y171" s="119">
        <f t="shared" si="324"/>
        <v>2.5899172072436838</v>
      </c>
      <c r="Z171" s="119">
        <f t="shared" si="324"/>
        <v>2.898626088642819</v>
      </c>
      <c r="AA171" s="119">
        <f t="shared" si="324"/>
        <v>3.2441319661730121</v>
      </c>
      <c r="AB171" s="119">
        <f t="shared" si="324"/>
        <v>3.6308209103552418</v>
      </c>
      <c r="AC171" s="138">
        <f t="shared" si="312"/>
        <v>0.11559523855224074</v>
      </c>
      <c r="AD171" s="31">
        <v>0.08</v>
      </c>
      <c r="AE171" s="127">
        <f t="shared" si="313"/>
        <v>28.932332283058713</v>
      </c>
    </row>
    <row r="172" spans="2:31" x14ac:dyDescent="0.2">
      <c r="B172" s="20" t="s">
        <v>260</v>
      </c>
      <c r="C172" s="25" t="e">
        <f t="shared" ref="C172:P172" si="325">C167/C66</f>
        <v>#DIV/0!</v>
      </c>
      <c r="D172" s="25" t="e">
        <f t="shared" si="325"/>
        <v>#DIV/0!</v>
      </c>
      <c r="E172" s="25" t="e">
        <f t="shared" si="325"/>
        <v>#DIV/0!</v>
      </c>
      <c r="F172" s="25" t="e">
        <f t="shared" si="325"/>
        <v>#DIV/0!</v>
      </c>
      <c r="G172" s="25">
        <f t="shared" si="325"/>
        <v>7.6336032388663974E-2</v>
      </c>
      <c r="H172" s="25">
        <f t="shared" si="325"/>
        <v>0.19806178073894609</v>
      </c>
      <c r="I172" s="25">
        <f t="shared" si="325"/>
        <v>0.35635359116022097</v>
      </c>
      <c r="J172" s="25">
        <f t="shared" si="325"/>
        <v>0.22446458863443594</v>
      </c>
      <c r="K172" s="25">
        <f t="shared" si="325"/>
        <v>0.37917599124300655</v>
      </c>
      <c r="L172" s="25">
        <f t="shared" si="325"/>
        <v>0.16372413176596792</v>
      </c>
      <c r="M172" s="25">
        <f t="shared" si="325"/>
        <v>0.48897723165883628</v>
      </c>
      <c r="N172" s="25">
        <f t="shared" si="325"/>
        <v>0.65018631024706353</v>
      </c>
      <c r="O172" s="25">
        <f t="shared" si="325"/>
        <v>0.54600458255763995</v>
      </c>
      <c r="P172" s="25">
        <f t="shared" si="325"/>
        <v>0.37890938251804329</v>
      </c>
      <c r="Q172" s="118">
        <f t="shared" si="309"/>
        <v>0.19484550162937819</v>
      </c>
      <c r="R172" s="128"/>
      <c r="S172" s="119">
        <f t="shared" ref="S172:AB172" si="326">S167/S66</f>
        <v>0.42407402766639929</v>
      </c>
      <c r="T172" s="119">
        <f t="shared" si="326"/>
        <v>0.47462213721413526</v>
      </c>
      <c r="U172" s="119">
        <f t="shared" si="326"/>
        <v>0.5311954008909987</v>
      </c>
      <c r="V172" s="119">
        <f t="shared" si="326"/>
        <v>0.59451199555077383</v>
      </c>
      <c r="W172" s="119">
        <f t="shared" si="326"/>
        <v>0.66537570216329911</v>
      </c>
      <c r="X172" s="119">
        <f t="shared" si="326"/>
        <v>0.74468610951937075</v>
      </c>
      <c r="Y172" s="119">
        <f t="shared" si="326"/>
        <v>0.83345003418083141</v>
      </c>
      <c r="Z172" s="119">
        <f t="shared" si="326"/>
        <v>0.93279430164792132</v>
      </c>
      <c r="AA172" s="119">
        <f t="shared" si="326"/>
        <v>1.0439800509961332</v>
      </c>
      <c r="AB172" s="119">
        <f t="shared" si="326"/>
        <v>1.1684187445746901</v>
      </c>
      <c r="AC172" s="138">
        <f t="shared" si="312"/>
        <v>0.15441383460634839</v>
      </c>
      <c r="AD172" s="31">
        <v>0.08</v>
      </c>
      <c r="AE172" s="127">
        <f t="shared" si="313"/>
        <v>9.6345625953600251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327">G167/G60</f>
        <v>-0.18622222222222223</v>
      </c>
      <c r="H173" s="182">
        <f t="shared" si="327"/>
        <v>-0.3184031158714703</v>
      </c>
      <c r="I173" s="182">
        <f t="shared" si="327"/>
        <v>-0.47055758207399689</v>
      </c>
      <c r="J173" s="182">
        <f t="shared" si="327"/>
        <v>-0.26009213759213756</v>
      </c>
      <c r="K173" s="182">
        <f t="shared" si="327"/>
        <v>-0.4502252870243339</v>
      </c>
      <c r="L173" s="182">
        <f t="shared" si="327"/>
        <v>-0.19380952380952382</v>
      </c>
      <c r="M173" s="182">
        <f t="shared" si="327"/>
        <v>-0.6455152671755725</v>
      </c>
      <c r="N173" s="182">
        <f t="shared" si="327"/>
        <v>-0.80057350887692003</v>
      </c>
      <c r="O173" s="182">
        <f t="shared" si="327"/>
        <v>-0.63247166159800938</v>
      </c>
      <c r="P173" s="182">
        <f t="shared" si="327"/>
        <v>-0.4573502722323049</v>
      </c>
      <c r="Q173" s="118">
        <f t="shared" ref="Q173:Q175" si="328">((P173/G173)^(1/($H$2-$H$1) ))-1</f>
        <v>0.1049878252884775</v>
      </c>
      <c r="R173" s="128"/>
      <c r="S173" s="135">
        <f t="shared" ref="S173:AB173" si="329">S167/S60</f>
        <v>-0.5118647912885661</v>
      </c>
      <c r="T173" s="135">
        <f t="shared" si="329"/>
        <v>-0.57287724632162274</v>
      </c>
      <c r="U173" s="135">
        <f t="shared" si="329"/>
        <v>-0.64116216809299476</v>
      </c>
      <c r="V173" s="135">
        <f t="shared" si="329"/>
        <v>-0.71758640866479362</v>
      </c>
      <c r="W173" s="135">
        <f t="shared" si="329"/>
        <v>-0.80312014576903457</v>
      </c>
      <c r="X173" s="135">
        <f t="shared" si="329"/>
        <v>-0.8988491988584687</v>
      </c>
      <c r="Y173" s="135">
        <f t="shared" si="329"/>
        <v>-1.0059888131866879</v>
      </c>
      <c r="Z173" s="135">
        <f t="shared" si="329"/>
        <v>-1.1258990869013512</v>
      </c>
      <c r="AA173" s="135">
        <f t="shared" si="329"/>
        <v>-1.2601022369918244</v>
      </c>
      <c r="AB173" s="135">
        <f t="shared" si="329"/>
        <v>-1.4103019232761176</v>
      </c>
      <c r="AC173" s="138">
        <f t="shared" ref="AC173" si="330">((AB173/G173)^(1/($AB$3-$H$1) ))-1</f>
        <v>0.11244340567323396</v>
      </c>
      <c r="AD173" s="31">
        <v>0.08</v>
      </c>
      <c r="AE173" s="127">
        <f t="shared" si="313"/>
        <v>-11.206293389691401</v>
      </c>
    </row>
    <row r="174" spans="2:31" x14ac:dyDescent="0.2">
      <c r="B174" s="20" t="s">
        <v>370</v>
      </c>
      <c r="C174" s="161" t="e">
        <f t="shared" ref="C174:P174" si="331">C52/C167</f>
        <v>#DIV/0!</v>
      </c>
      <c r="D174" s="161" t="e">
        <f t="shared" si="331"/>
        <v>#DIV/0!</v>
      </c>
      <c r="E174" s="161" t="e">
        <f t="shared" si="331"/>
        <v>#DIV/0!</v>
      </c>
      <c r="F174" s="161">
        <f t="shared" si="331"/>
        <v>0</v>
      </c>
      <c r="G174" s="161">
        <f t="shared" si="331"/>
        <v>0.49058605144523998</v>
      </c>
      <c r="H174" s="161">
        <f t="shared" si="331"/>
        <v>0.14984709480122324</v>
      </c>
      <c r="I174" s="161">
        <f t="shared" si="331"/>
        <v>7.8073089700996676E-2</v>
      </c>
      <c r="J174" s="161">
        <f t="shared" si="331"/>
        <v>8.9743286965968408E-2</v>
      </c>
      <c r="K174" s="161">
        <f t="shared" si="331"/>
        <v>6.2388034327853135E-2</v>
      </c>
      <c r="L174" s="161">
        <f t="shared" si="331"/>
        <v>0.16707616707616707</v>
      </c>
      <c r="M174" s="161">
        <f t="shared" si="331"/>
        <v>8.06541019955654E-2</v>
      </c>
      <c r="N174" s="161">
        <f t="shared" si="331"/>
        <v>7.5810902567105418E-2</v>
      </c>
      <c r="O174" s="161">
        <f t="shared" si="331"/>
        <v>0.11435315717002165</v>
      </c>
      <c r="P174" s="161">
        <f t="shared" si="331"/>
        <v>0.12901234567901235</v>
      </c>
      <c r="Q174" s="118">
        <f t="shared" si="328"/>
        <v>-0.13792265810213789</v>
      </c>
      <c r="R174" s="128"/>
      <c r="S174" s="161">
        <f t="shared" ref="S174:AB174" si="332">S52/S167</f>
        <v>0.11527229929038202</v>
      </c>
      <c r="T174" s="161">
        <f t="shared" si="332"/>
        <v>0.10299559250516781</v>
      </c>
      <c r="U174" s="161">
        <f t="shared" si="332"/>
        <v>9.2026377028949308E-2</v>
      </c>
      <c r="V174" s="161">
        <f t="shared" si="332"/>
        <v>8.2225402690405458E-2</v>
      </c>
      <c r="W174" s="161">
        <f t="shared" si="332"/>
        <v>7.3468249711411346E-2</v>
      </c>
      <c r="X174" s="161">
        <f t="shared" si="332"/>
        <v>6.5643749243542646E-2</v>
      </c>
      <c r="Y174" s="161">
        <f t="shared" si="332"/>
        <v>5.8652572120277441E-2</v>
      </c>
      <c r="Z174" s="161">
        <f t="shared" si="332"/>
        <v>5.2405967909621654E-2</v>
      </c>
      <c r="AA174" s="161">
        <f t="shared" si="332"/>
        <v>4.682463825989331E-2</v>
      </c>
      <c r="AB174" s="161">
        <f t="shared" si="332"/>
        <v>4.1837730236203033E-2</v>
      </c>
      <c r="AC174" s="138">
        <f t="shared" ref="AC174:AC175" si="333">((AB174/G174)^(1/($AB$3-$H$1) ))-1</f>
        <v>-0.12152561827807096</v>
      </c>
      <c r="AD174" s="31">
        <v>0.08</v>
      </c>
      <c r="AE174" s="127">
        <f t="shared" si="313"/>
        <v>0.26252410144212368</v>
      </c>
    </row>
    <row r="175" spans="2:31" x14ac:dyDescent="0.2">
      <c r="B175" s="20" t="s">
        <v>319</v>
      </c>
      <c r="C175" s="152" t="e">
        <f t="shared" ref="C175:P175" si="334">C43/C167</f>
        <v>#DIV/0!</v>
      </c>
      <c r="D175" s="152" t="e">
        <f t="shared" si="334"/>
        <v>#DIV/0!</v>
      </c>
      <c r="E175" s="152" t="e">
        <f t="shared" si="334"/>
        <v>#DIV/0!</v>
      </c>
      <c r="F175" s="152">
        <f t="shared" si="334"/>
        <v>0</v>
      </c>
      <c r="G175" s="152">
        <f t="shared" si="334"/>
        <v>0.1388888888888889</v>
      </c>
      <c r="H175" s="152">
        <f t="shared" si="334"/>
        <v>0.05</v>
      </c>
      <c r="I175" s="152">
        <f t="shared" si="334"/>
        <v>2.5000000000000001E-2</v>
      </c>
      <c r="J175" s="152">
        <f t="shared" si="334"/>
        <v>2.6086956521739129E-2</v>
      </c>
      <c r="K175" s="152">
        <f t="shared" si="334"/>
        <v>1.6286644951140065E-2</v>
      </c>
      <c r="L175" s="152">
        <f t="shared" si="334"/>
        <v>2.7777777777777776E-2</v>
      </c>
      <c r="M175" s="152">
        <f t="shared" si="334"/>
        <v>1.2500000000000001E-2</v>
      </c>
      <c r="N175" s="152">
        <f t="shared" si="334"/>
        <v>9.1549295774647887E-3</v>
      </c>
      <c r="O175" s="152">
        <f t="shared" si="334"/>
        <v>1.2871287128712871E-2</v>
      </c>
      <c r="P175" s="152">
        <f t="shared" si="334"/>
        <v>1.4E-2</v>
      </c>
      <c r="Q175" s="118">
        <f t="shared" si="328"/>
        <v>-0.22505051773472373</v>
      </c>
      <c r="R175" s="128"/>
      <c r="S175" s="152">
        <f t="shared" ref="S175:AB175" si="335">S43/S167</f>
        <v>1.3486238532110093E-2</v>
      </c>
      <c r="T175" s="152">
        <f t="shared" si="335"/>
        <v>1.2991330696069356E-2</v>
      </c>
      <c r="U175" s="152">
        <f t="shared" si="335"/>
        <v>1.2514584615479654E-2</v>
      </c>
      <c r="V175" s="152">
        <f t="shared" si="335"/>
        <v>1.2055333803902417E-2</v>
      </c>
      <c r="W175" s="152">
        <f t="shared" si="335"/>
        <v>1.1612936233117006E-2</v>
      </c>
      <c r="X175" s="152">
        <f t="shared" si="335"/>
        <v>1.1186773435571427E-2</v>
      </c>
      <c r="Y175" s="152">
        <f t="shared" si="335"/>
        <v>1.0776249639770641E-2</v>
      </c>
      <c r="Z175" s="152">
        <f t="shared" si="335"/>
        <v>1.0380790937393736E-2</v>
      </c>
      <c r="AA175" s="152">
        <f t="shared" si="335"/>
        <v>9.9998444809756178E-3</v>
      </c>
      <c r="AB175" s="152">
        <f t="shared" si="335"/>
        <v>9.632877711031558E-3</v>
      </c>
      <c r="AC175" s="138">
        <f t="shared" si="333"/>
        <v>-0.13103024631950189</v>
      </c>
      <c r="AD175" s="31">
        <v>0.08</v>
      </c>
      <c r="AE175" s="127">
        <f t="shared" si="313"/>
        <v>5.9790566941353235E-2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199" t="s">
        <v>350</v>
      </c>
      <c r="L178" s="20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351</v>
      </c>
      <c r="L179" s="22">
        <v>1</v>
      </c>
      <c r="M179" s="20"/>
      <c r="N179" s="20"/>
      <c r="O179" s="20"/>
      <c r="P179" s="128">
        <f>(P167-R155)/P167</f>
        <v>0.86732641088895668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348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3.0119876678721078</v>
      </c>
      <c r="N180" s="20"/>
      <c r="O180" s="20"/>
      <c r="P180" s="128">
        <f>(P167-R146)/P167</f>
        <v>3.0119876678721078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349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0.40463990646591413</v>
      </c>
      <c r="N181" s="20"/>
      <c r="O181" s="20"/>
      <c r="P181" s="128">
        <f>(P167-R139)/P167</f>
        <v>0.40463990646591413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352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-1.0848831438433377</v>
      </c>
      <c r="N182" s="20"/>
      <c r="O182" s="20"/>
      <c r="P182" s="128">
        <f>(P167-R152)/P167</f>
        <v>-1.0848831438433377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399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-0.76020226218762987</v>
      </c>
      <c r="N183" s="20"/>
      <c r="O183" s="20"/>
      <c r="P183" s="128">
        <f>(P167-R164)/P167</f>
        <v>-0.76020226218762987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8.4235366939283107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407</v>
      </c>
      <c r="AD184" s="115" t="s">
        <v>408</v>
      </c>
      <c r="AE184" s="115" t="s">
        <v>409</v>
      </c>
      <c r="AF184" s="115" t="s">
        <v>410</v>
      </c>
      <c r="AG184" s="115" t="s">
        <v>411</v>
      </c>
      <c r="AH184" s="115" t="s">
        <v>412</v>
      </c>
      <c r="AI184" s="115" t="s">
        <v>413</v>
      </c>
      <c r="AJ184" s="115" t="s">
        <v>414</v>
      </c>
      <c r="AK184" s="115" t="s">
        <v>415</v>
      </c>
      <c r="AL184" s="115" t="s">
        <v>416</v>
      </c>
      <c r="AM184" s="115" t="s">
        <v>417</v>
      </c>
      <c r="AN184" s="115" t="s">
        <v>418</v>
      </c>
      <c r="AO184" s="115" t="s">
        <v>419</v>
      </c>
      <c r="AP184" s="115" t="s">
        <v>420</v>
      </c>
      <c r="AQ184" s="115" t="s">
        <v>421</v>
      </c>
      <c r="AR184" s="115" t="s">
        <v>422</v>
      </c>
      <c r="AS184" s="115" t="s">
        <v>423</v>
      </c>
    </row>
    <row r="185" spans="2:45" x14ac:dyDescent="0.2">
      <c r="B185" s="20" t="s">
        <v>370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0.11871498116946537</v>
      </c>
      <c r="Q185" s="20"/>
      <c r="R185" s="20"/>
      <c r="S185" s="185">
        <f>P167-S186</f>
        <v>468.49651231637478</v>
      </c>
      <c r="T185" s="185">
        <f>S185-T186</f>
        <v>435.4178502485683</v>
      </c>
      <c r="U185" s="185">
        <f t="shared" ref="U185:W185" si="336">T185-U186</f>
        <v>400.68525507737149</v>
      </c>
      <c r="V185" s="185">
        <f t="shared" si="336"/>
        <v>364.21603014761484</v>
      </c>
      <c r="W185" s="185">
        <f t="shared" si="336"/>
        <v>325.9233439713704</v>
      </c>
      <c r="X185" s="185">
        <f>W185-X186</f>
        <v>285.7160234863137</v>
      </c>
      <c r="Y185" s="185">
        <f t="shared" ref="Y185:AB185" si="337">X185-Y186</f>
        <v>243.49833697700416</v>
      </c>
      <c r="Z185" s="185">
        <f t="shared" si="337"/>
        <v>199.16976614222915</v>
      </c>
      <c r="AA185" s="185">
        <f t="shared" si="337"/>
        <v>152.62476676571538</v>
      </c>
      <c r="AB185" s="185">
        <f t="shared" si="337"/>
        <v>103.75251742037594</v>
      </c>
      <c r="AC185" s="185">
        <f t="shared" ref="AC185" si="338">AB185-AC186</f>
        <v>52.436655607769517</v>
      </c>
      <c r="AD185" s="185">
        <f t="shared" ref="AD185" si="339">AC185-AD186</f>
        <v>-1.4449992954672268</v>
      </c>
      <c r="AE185" s="185">
        <f t="shared" ref="AE185" si="340">AD185-AE186</f>
        <v>-58.020736943865806</v>
      </c>
      <c r="AF185" s="185">
        <f t="shared" ref="AF185" si="341">AE185-AF186</f>
        <v>-117.42526147468432</v>
      </c>
      <c r="AG185" s="185">
        <f t="shared" ref="AG185" si="342">AF185-AG186</f>
        <v>-179.80001223204377</v>
      </c>
      <c r="AH185" s="185">
        <f t="shared" ref="AH185" si="343">AG185-AH186</f>
        <v>-245.29350052727119</v>
      </c>
      <c r="AI185" s="185">
        <f t="shared" ref="AI185" si="344">AH185-AI186</f>
        <v>-314.06166323726001</v>
      </c>
      <c r="AJ185" s="185">
        <f t="shared" ref="AJ185" si="345">AI185-AJ186</f>
        <v>-386.26823408274822</v>
      </c>
      <c r="AK185" s="185">
        <f t="shared" ref="AK185" si="346">AJ185-AK186</f>
        <v>-462.08513347051087</v>
      </c>
      <c r="AL185" s="185">
        <f t="shared" ref="AL185" si="347">AK185-AL186</f>
        <v>-541.69287782766162</v>
      </c>
      <c r="AM185" s="185">
        <f t="shared" ref="AM185" si="348">AL185-AM186</f>
        <v>-625.28100940266995</v>
      </c>
      <c r="AN185" s="185">
        <f t="shared" ref="AN185" si="349">AM185-AN186</f>
        <v>-713.04854755642873</v>
      </c>
      <c r="AO185" s="185">
        <f t="shared" ref="AO185" si="350">AN185-AO186</f>
        <v>-805.20446261787538</v>
      </c>
      <c r="AP185" s="185">
        <f t="shared" ref="AP185" si="351">AO185-AP186</f>
        <v>-901.96817343239445</v>
      </c>
      <c r="AQ185" s="185">
        <f t="shared" ref="AQ185" si="352">AP185-AQ186</f>
        <v>-1003.5700697876395</v>
      </c>
      <c r="AR185" s="185">
        <f t="shared" ref="AR185" si="353">AQ185-AR186</f>
        <v>-1110.2520609606468</v>
      </c>
      <c r="AS185" s="185">
        <f t="shared" ref="AS185" si="354">AR185-AS186</f>
        <v>-1222.2681516923044</v>
      </c>
    </row>
    <row r="186" spans="2:45" x14ac:dyDescent="0.2">
      <c r="B186" s="20" t="s">
        <v>396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7"/>
      <c r="N186" s="20"/>
      <c r="O186" s="20"/>
      <c r="P186" s="181">
        <f>P167/Q137</f>
        <v>16.664821535708349</v>
      </c>
      <c r="Q186" s="20"/>
      <c r="R186" s="20"/>
      <c r="S186" s="186">
        <f>Q137*(1+$K$186)</f>
        <v>31.503487683625206</v>
      </c>
      <c r="T186" s="186">
        <f>S186*(1+$K$186)</f>
        <v>33.078662067806469</v>
      </c>
      <c r="U186" s="186">
        <f t="shared" ref="U186:AB186" si="355">T186*(1+$K$186)</f>
        <v>34.732595171196792</v>
      </c>
      <c r="V186" s="186">
        <f t="shared" si="355"/>
        <v>36.469224929756635</v>
      </c>
      <c r="W186" s="186">
        <f t="shared" si="355"/>
        <v>38.292686176244466</v>
      </c>
      <c r="X186" s="186">
        <f t="shared" si="355"/>
        <v>40.207320485056691</v>
      </c>
      <c r="Y186" s="186">
        <f t="shared" si="355"/>
        <v>42.21768650930953</v>
      </c>
      <c r="Z186" s="186">
        <f t="shared" si="355"/>
        <v>44.328570834775007</v>
      </c>
      <c r="AA186" s="186">
        <f t="shared" si="355"/>
        <v>46.544999376513758</v>
      </c>
      <c r="AB186" s="186">
        <f t="shared" si="355"/>
        <v>48.872249345339448</v>
      </c>
      <c r="AC186" s="186">
        <f t="shared" ref="AC186" si="356">AB186*(1+$K$186)</f>
        <v>51.315861812606421</v>
      </c>
      <c r="AD186" s="186">
        <f t="shared" ref="AD186" si="357">AC186*(1+$K$186)</f>
        <v>53.881654903236743</v>
      </c>
      <c r="AE186" s="186">
        <f t="shared" ref="AE186" si="358">AD186*(1+$K$186)</f>
        <v>56.575737648398579</v>
      </c>
      <c r="AF186" s="186">
        <f t="shared" ref="AF186" si="359">AE186*(1+$K$186)</f>
        <v>59.404524530818513</v>
      </c>
      <c r="AG186" s="186">
        <f t="shared" ref="AG186" si="360">AF186*(1+$K$186)</f>
        <v>62.374750757359443</v>
      </c>
      <c r="AH186" s="186">
        <f t="shared" ref="AH186" si="361">AG186*(1+$K$186)</f>
        <v>65.493488295227422</v>
      </c>
      <c r="AI186" s="186">
        <f t="shared" ref="AI186" si="362">AH186*(1+$K$186)</f>
        <v>68.7681627099888</v>
      </c>
      <c r="AJ186" s="186">
        <f t="shared" ref="AJ186" si="363">AI186*(1+$K$186)</f>
        <v>72.206570845488244</v>
      </c>
      <c r="AK186" s="186">
        <f t="shared" ref="AK186" si="364">AJ186*(1+$K$186)</f>
        <v>75.81689938776266</v>
      </c>
      <c r="AL186" s="186">
        <f t="shared" ref="AL186" si="365">AK186*(1+$K$186)</f>
        <v>79.607744357150793</v>
      </c>
      <c r="AM186" s="186">
        <f t="shared" ref="AM186" si="366">AL186*(1+$K$186)</f>
        <v>83.588131575008333</v>
      </c>
      <c r="AN186" s="186">
        <f t="shared" ref="AN186" si="367">AM186*(1+$K$186)</f>
        <v>87.76753815375875</v>
      </c>
      <c r="AO186" s="186">
        <f t="shared" ref="AO186" si="368">AN186*(1+$K$186)</f>
        <v>92.155915061446692</v>
      </c>
      <c r="AP186" s="186">
        <f t="shared" ref="AP186" si="369">AO186*(1+$K$186)</f>
        <v>96.76371081451903</v>
      </c>
      <c r="AQ186" s="186">
        <f t="shared" ref="AQ186" si="370">AP186*(1+$K$186)</f>
        <v>101.60189635524499</v>
      </c>
      <c r="AR186" s="186">
        <f t="shared" ref="AR186" si="371">AQ186*(1+$K$186)</f>
        <v>106.68199117300725</v>
      </c>
      <c r="AS186" s="186">
        <f t="shared" ref="AS186" si="372">AR186*(1+$K$186)</f>
        <v>112.01609073165761</v>
      </c>
    </row>
    <row r="187" spans="2:45" x14ac:dyDescent="0.2">
      <c r="B187" s="20" t="s">
        <v>395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187"/>
      <c r="N187" s="20"/>
      <c r="O187" s="20"/>
      <c r="P187" s="181">
        <f>P167/P52</f>
        <v>7.751196172248803</v>
      </c>
      <c r="Q187" s="20"/>
      <c r="R187" s="20"/>
      <c r="S187" s="186">
        <f>P52*(1+$K$187)</f>
        <v>67.731481481481495</v>
      </c>
      <c r="T187" s="186">
        <f>S187*(1+$K$187)</f>
        <v>71.118055555555571</v>
      </c>
      <c r="U187" s="186">
        <f t="shared" ref="U187:AB187" si="373">T187*(1+$K$187)</f>
        <v>74.67395833333336</v>
      </c>
      <c r="V187" s="186">
        <f t="shared" si="373"/>
        <v>78.407656250000031</v>
      </c>
      <c r="W187" s="186">
        <f t="shared" si="373"/>
        <v>82.328039062500039</v>
      </c>
      <c r="X187" s="186">
        <f t="shared" si="373"/>
        <v>86.444441015625046</v>
      </c>
      <c r="Y187" s="186">
        <f t="shared" si="373"/>
        <v>90.766663066406295</v>
      </c>
      <c r="Z187" s="186">
        <f t="shared" si="373"/>
        <v>95.304996219726618</v>
      </c>
      <c r="AA187" s="186">
        <f t="shared" si="373"/>
        <v>100.07024603071295</v>
      </c>
      <c r="AB187" s="186">
        <f t="shared" si="373"/>
        <v>105.0737583322486</v>
      </c>
      <c r="AC187" s="186">
        <f t="shared" ref="AC187" si="374">AB187*(1+$K$187)</f>
        <v>110.32744624886104</v>
      </c>
      <c r="AD187" s="186">
        <f t="shared" ref="AD187" si="375">AC187*(1+$K$187)</f>
        <v>115.84381856130409</v>
      </c>
      <c r="AE187" s="186">
        <f t="shared" ref="AE187" si="376">AD187*(1+$K$187)</f>
        <v>121.6360094893693</v>
      </c>
      <c r="AF187" s="186">
        <f t="shared" ref="AF187" si="377">AE187*(1+$K$187)</f>
        <v>127.71780996383777</v>
      </c>
      <c r="AG187" s="186">
        <f t="shared" ref="AG187" si="378">AF187*(1+$K$187)</f>
        <v>134.10370046202965</v>
      </c>
      <c r="AH187" s="186">
        <f t="shared" ref="AH187" si="379">AG187*(1+$K$187)</f>
        <v>140.80888548513113</v>
      </c>
      <c r="AI187" s="186">
        <f t="shared" ref="AI187" si="380">AH187*(1+$K$187)</f>
        <v>147.8493297593877</v>
      </c>
      <c r="AJ187" s="186">
        <f t="shared" ref="AJ187" si="381">AI187*(1+$K$187)</f>
        <v>155.24179624735709</v>
      </c>
      <c r="AK187" s="186">
        <f t="shared" ref="AK187" si="382">AJ187*(1+$K$187)</f>
        <v>163.00388605972495</v>
      </c>
      <c r="AL187" s="186">
        <f t="shared" ref="AL187" si="383">AK187*(1+$K$187)</f>
        <v>171.1540803627112</v>
      </c>
      <c r="AM187" s="186">
        <f t="shared" ref="AM187" si="384">AL187*(1+$K$187)</f>
        <v>179.71178438084678</v>
      </c>
      <c r="AN187" s="186">
        <f t="shared" ref="AN187" si="385">AM187*(1+$K$187)</f>
        <v>188.69737359988912</v>
      </c>
      <c r="AO187" s="186">
        <f t="shared" ref="AO187" si="386">AN187*(1+$K$187)</f>
        <v>198.13224227988357</v>
      </c>
      <c r="AP187" s="186">
        <f t="shared" ref="AP187" si="387">AO187*(1+$K$187)</f>
        <v>208.03885439387776</v>
      </c>
      <c r="AQ187" s="186">
        <f t="shared" ref="AQ187" si="388">AP187*(1+$K$187)</f>
        <v>218.44079711357165</v>
      </c>
      <c r="AR187" s="186">
        <f t="shared" ref="AR187" si="389">AQ187*(1+$K$187)</f>
        <v>229.36283696925025</v>
      </c>
      <c r="AS187" s="186">
        <f t="shared" ref="AS187" si="390">AR187*(1+$K$187)</f>
        <v>240.83097881771278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432.26851851851848</v>
      </c>
      <c r="T188" s="185">
        <f>S188-T187</f>
        <v>361.15046296296293</v>
      </c>
      <c r="U188" s="185">
        <f t="shared" ref="U188:Z188" si="391">T188-U187</f>
        <v>286.47650462962957</v>
      </c>
      <c r="V188" s="185">
        <f t="shared" si="391"/>
        <v>208.06884837962954</v>
      </c>
      <c r="W188" s="185">
        <f t="shared" si="391"/>
        <v>125.7408093171295</v>
      </c>
      <c r="X188" s="185">
        <f t="shared" si="391"/>
        <v>39.296368301504458</v>
      </c>
      <c r="Y188" s="185">
        <f t="shared" si="391"/>
        <v>-51.470294764901837</v>
      </c>
      <c r="Z188" s="185">
        <f t="shared" si="391"/>
        <v>-146.77529098462844</v>
      </c>
      <c r="AA188" s="185">
        <f>Z188-AA187</f>
        <v>-246.84553701534139</v>
      </c>
      <c r="AB188" s="185">
        <f t="shared" ref="AB188" si="392">AA188-AB187</f>
        <v>-351.91929534758998</v>
      </c>
      <c r="AC188" s="185">
        <f t="shared" ref="AC188" si="393">AB188-AC187</f>
        <v>-462.24674159645099</v>
      </c>
      <c r="AD188" s="185">
        <f t="shared" ref="AD188" si="394">AC188-AD187</f>
        <v>-578.09056015775514</v>
      </c>
      <c r="AE188" s="185">
        <f t="shared" ref="AE188" si="395">AD188-AE187</f>
        <v>-699.72656964712439</v>
      </c>
      <c r="AF188" s="185">
        <f t="shared" ref="AF188" si="396">AE188-AF187</f>
        <v>-827.44437961096219</v>
      </c>
      <c r="AG188" s="185">
        <f t="shared" ref="AG188" si="397">AF188-AG187</f>
        <v>-961.54808007299187</v>
      </c>
      <c r="AH188" s="185">
        <f t="shared" ref="AH188" si="398">AG188-AH187</f>
        <v>-1102.356965558123</v>
      </c>
      <c r="AI188" s="185">
        <f t="shared" ref="AI188" si="399">AH188-AI187</f>
        <v>-1250.2062953175107</v>
      </c>
      <c r="AJ188" s="185">
        <f t="shared" ref="AJ188" si="400">AI188-AJ187</f>
        <v>-1405.4480915648678</v>
      </c>
      <c r="AK188" s="185">
        <f t="shared" ref="AK188" si="401">AJ188-AK187</f>
        <v>-1568.4519776245927</v>
      </c>
      <c r="AL188" s="185">
        <f t="shared" ref="AL188" si="402">AK188-AL187</f>
        <v>-1739.606057987304</v>
      </c>
      <c r="AM188" s="185">
        <f t="shared" ref="AM188" si="403">AL188-AM187</f>
        <v>-1919.3178423681507</v>
      </c>
      <c r="AN188" s="185">
        <f t="shared" ref="AN188" si="404">AM188-AN187</f>
        <v>-2108.0152159680397</v>
      </c>
      <c r="AO188" s="185">
        <f t="shared" ref="AO188" si="405">AN188-AO187</f>
        <v>-2306.1474582479232</v>
      </c>
      <c r="AP188" s="185">
        <f t="shared" ref="AP188" si="406">AO188-AP187</f>
        <v>-2514.1863126418011</v>
      </c>
      <c r="AQ188" s="185">
        <f t="shared" ref="AQ188" si="407">AP188-AQ187</f>
        <v>-2732.6271097553727</v>
      </c>
      <c r="AR188" s="185">
        <f t="shared" ref="AR188" si="408">AQ188-AR187</f>
        <v>-2961.9899467246228</v>
      </c>
      <c r="AS188" s="185">
        <f t="shared" ref="AS188" si="409">AR188-AS187</f>
        <v>-3202.8209255423353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410">C10/C7</f>
        <v>#DIV/0!</v>
      </c>
      <c r="D190" s="25" t="e">
        <f t="shared" si="410"/>
        <v>#DIV/0!</v>
      </c>
      <c r="E190" s="25" t="e">
        <f t="shared" si="410"/>
        <v>#DIV/0!</v>
      </c>
      <c r="F190" s="25" t="e">
        <f t="shared" si="410"/>
        <v>#DIV/0!</v>
      </c>
      <c r="G190" s="25">
        <f t="shared" si="410"/>
        <v>6.9847328244274811</v>
      </c>
      <c r="H190" s="25">
        <f t="shared" si="410"/>
        <v>6.6412556053811658</v>
      </c>
      <c r="I190" s="25">
        <f t="shared" si="410"/>
        <v>5.2395709177592371</v>
      </c>
      <c r="J190" s="25">
        <f t="shared" si="410"/>
        <v>8.0460405156537753</v>
      </c>
      <c r="K190" s="25">
        <f t="shared" si="410"/>
        <v>8.1375894331315362</v>
      </c>
      <c r="L190" s="25">
        <f t="shared" si="410"/>
        <v>8.687823834196891</v>
      </c>
      <c r="M190" s="25">
        <f t="shared" si="410"/>
        <v>4.802029136316337</v>
      </c>
      <c r="N190" s="25">
        <f t="shared" si="410"/>
        <v>4.126098508072757</v>
      </c>
      <c r="O190" s="25">
        <f t="shared" si="410"/>
        <v>3.0895225464190981</v>
      </c>
      <c r="P190" s="25">
        <f t="shared" si="410"/>
        <v>3.5357775657625732</v>
      </c>
      <c r="Q190" s="118">
        <f t="shared" ref="Q190:Q192" si="411">((P190/G190)^(1/($H$2-$H$1) ))-1</f>
        <v>-7.2853531096490398E-2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>
        <f>G10/G12</f>
        <v>5.683229813664596</v>
      </c>
      <c r="H191" s="112">
        <f t="shared" ref="H191:P191" si="412">H10/H12</f>
        <v>8.2277777777777779</v>
      </c>
      <c r="I191" s="112">
        <f t="shared" si="412"/>
        <v>17.444444444444443</v>
      </c>
      <c r="J191" s="112">
        <f t="shared" si="412"/>
        <v>4.8249585864163445</v>
      </c>
      <c r="K191" s="112">
        <f t="shared" si="412"/>
        <v>5.3924142961342083</v>
      </c>
      <c r="L191" s="112">
        <f t="shared" si="412"/>
        <v>3.1399812734082397</v>
      </c>
      <c r="M191" s="112">
        <f t="shared" si="412"/>
        <v>2.9253565768621237</v>
      </c>
      <c r="N191" s="112">
        <f t="shared" si="412"/>
        <v>2.9023864289821737</v>
      </c>
      <c r="O191" s="112">
        <f t="shared" si="412"/>
        <v>3.5023491824844952</v>
      </c>
      <c r="P191" s="112">
        <f t="shared" si="412"/>
        <v>4.0847110691229727</v>
      </c>
      <c r="Q191" s="118">
        <f t="shared" si="411"/>
        <v>-3.6031366426861222E-2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5.5120481927710845</v>
      </c>
      <c r="H192" s="25">
        <f t="shared" ref="H192:P192" si="413">H10/(H12+H13)</f>
        <v>8.0489130434782616</v>
      </c>
      <c r="I192" s="25">
        <f t="shared" si="413"/>
        <v>16.842911877394634</v>
      </c>
      <c r="J192" s="25">
        <f t="shared" si="413"/>
        <v>4.2938574938574936</v>
      </c>
      <c r="K192" s="25">
        <f t="shared" si="413"/>
        <v>5.3611312545322694</v>
      </c>
      <c r="L192" s="25">
        <f t="shared" si="413"/>
        <v>3.1253494874184531</v>
      </c>
      <c r="M192" s="25">
        <f t="shared" si="413"/>
        <v>2.886925242414764</v>
      </c>
      <c r="N192" s="25">
        <f t="shared" si="413"/>
        <v>2.781620281069165</v>
      </c>
      <c r="O192" s="25">
        <f t="shared" si="413"/>
        <v>2.073661956158896</v>
      </c>
      <c r="P192" s="25">
        <f t="shared" si="413"/>
        <v>2.6935936039871251</v>
      </c>
      <c r="Q192" s="118">
        <f t="shared" si="411"/>
        <v>-7.6479451741830684E-2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376</v>
      </c>
      <c r="D195" s="175"/>
      <c r="E195" s="175"/>
      <c r="F195" s="175"/>
      <c r="G195" s="175"/>
      <c r="H195" s="175"/>
      <c r="I195" s="175"/>
      <c r="J195" s="175"/>
      <c r="K195" s="20"/>
      <c r="L195" s="196" t="s">
        <v>336</v>
      </c>
      <c r="M195" s="197"/>
      <c r="N195" s="198"/>
      <c r="O195" s="23" t="s">
        <v>339</v>
      </c>
      <c r="P195" s="20"/>
      <c r="Q195" s="196" t="s">
        <v>337</v>
      </c>
      <c r="R195" s="197"/>
      <c r="S195" s="198"/>
      <c r="T195" s="23" t="s">
        <v>339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338</v>
      </c>
      <c r="D196" s="166" t="s">
        <v>0</v>
      </c>
      <c r="E196" s="166" t="s">
        <v>377</v>
      </c>
      <c r="F196" s="166" t="s">
        <v>378</v>
      </c>
      <c r="G196" s="166" t="s">
        <v>379</v>
      </c>
      <c r="H196" s="166" t="s">
        <v>380</v>
      </c>
      <c r="I196" s="166" t="s">
        <v>381</v>
      </c>
      <c r="J196" s="166" t="s">
        <v>382</v>
      </c>
      <c r="K196" s="20"/>
      <c r="L196" s="166" t="s">
        <v>338</v>
      </c>
      <c r="M196" s="166"/>
      <c r="N196" s="166" t="s">
        <v>0</v>
      </c>
      <c r="O196" s="166" t="s">
        <v>371</v>
      </c>
      <c r="P196" s="20"/>
      <c r="Q196" s="166" t="s">
        <v>338</v>
      </c>
      <c r="R196" s="166"/>
      <c r="S196" s="166" t="s">
        <v>0</v>
      </c>
      <c r="T196" s="166" t="s">
        <v>371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340</v>
      </c>
      <c r="D197" s="21">
        <v>18</v>
      </c>
      <c r="E197" s="176" t="s">
        <v>383</v>
      </c>
      <c r="F197" s="22">
        <v>1</v>
      </c>
      <c r="G197" s="22">
        <v>1</v>
      </c>
      <c r="H197" s="167">
        <f>F197/G197</f>
        <v>1</v>
      </c>
      <c r="I197" s="167">
        <f>H197*D198</f>
        <v>1</v>
      </c>
      <c r="J197" s="177">
        <f>I197+D198</f>
        <v>2</v>
      </c>
      <c r="K197" s="20"/>
      <c r="L197" s="167" t="s">
        <v>340</v>
      </c>
      <c r="M197" s="167"/>
      <c r="N197" s="21">
        <v>18</v>
      </c>
      <c r="O197" s="173">
        <f>N197</f>
        <v>18</v>
      </c>
      <c r="P197" s="20"/>
      <c r="Q197" s="167" t="s">
        <v>340</v>
      </c>
      <c r="R197" s="167"/>
      <c r="S197" s="21">
        <v>18</v>
      </c>
      <c r="T197" s="173">
        <f>S197</f>
        <v>18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341</v>
      </c>
      <c r="D198" s="21">
        <v>1</v>
      </c>
      <c r="E198" s="176" t="s">
        <v>384</v>
      </c>
      <c r="F198" s="22">
        <v>0</v>
      </c>
      <c r="G198" s="22">
        <v>1</v>
      </c>
      <c r="H198" s="167">
        <f>F198/G198</f>
        <v>0</v>
      </c>
      <c r="I198" s="167">
        <f>H198*J197</f>
        <v>0</v>
      </c>
      <c r="J198" s="167">
        <f>I198+J197</f>
        <v>2</v>
      </c>
      <c r="K198" s="20"/>
      <c r="L198" s="167" t="s">
        <v>341</v>
      </c>
      <c r="M198" s="167"/>
      <c r="N198" s="21">
        <v>1</v>
      </c>
      <c r="O198" s="173">
        <f>N198</f>
        <v>1</v>
      </c>
      <c r="P198" s="20"/>
      <c r="Q198" s="167" t="s">
        <v>341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343</v>
      </c>
      <c r="D199" s="168">
        <f>D197*D198</f>
        <v>18</v>
      </c>
      <c r="E199" s="176" t="s">
        <v>397</v>
      </c>
      <c r="F199" s="22">
        <v>0</v>
      </c>
      <c r="G199" s="22">
        <v>1</v>
      </c>
      <c r="H199" s="167">
        <f>F199/G199</f>
        <v>0</v>
      </c>
      <c r="I199" s="167">
        <f>H199*J198</f>
        <v>0</v>
      </c>
      <c r="J199" s="167">
        <f>I199+J198</f>
        <v>2</v>
      </c>
      <c r="K199" s="20"/>
      <c r="L199" s="167" t="s">
        <v>342</v>
      </c>
      <c r="M199" s="167"/>
      <c r="N199" s="168">
        <f>N197*N198</f>
        <v>18</v>
      </c>
      <c r="O199" s="173">
        <f>N199</f>
        <v>18</v>
      </c>
      <c r="P199" s="20"/>
      <c r="Q199" s="167" t="s">
        <v>343</v>
      </c>
      <c r="R199" s="167"/>
      <c r="S199" s="168">
        <f>S197*S198</f>
        <v>18</v>
      </c>
      <c r="T199" s="173">
        <f>S199</f>
        <v>18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385</v>
      </c>
      <c r="F200" s="22">
        <v>10</v>
      </c>
      <c r="G200" s="22">
        <v>1</v>
      </c>
      <c r="H200" s="167">
        <f>F200/G200</f>
        <v>10</v>
      </c>
      <c r="I200" s="167">
        <f>H200*J199</f>
        <v>20</v>
      </c>
      <c r="J200" s="167">
        <f>I200</f>
        <v>20</v>
      </c>
      <c r="K200" s="20"/>
      <c r="L200" s="167" t="s">
        <v>344</v>
      </c>
      <c r="M200" s="167"/>
      <c r="N200" s="21">
        <v>650</v>
      </c>
      <c r="O200" s="21">
        <v>750</v>
      </c>
      <c r="P200" s="20"/>
      <c r="Q200" s="167" t="s">
        <v>344</v>
      </c>
      <c r="R200" s="167"/>
      <c r="S200" s="21">
        <v>700</v>
      </c>
      <c r="T200" s="21">
        <v>750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344</v>
      </c>
      <c r="D201" s="21">
        <v>700</v>
      </c>
      <c r="E201" s="176"/>
      <c r="F201" s="167"/>
      <c r="G201" s="167"/>
      <c r="H201" s="169" t="s">
        <v>386</v>
      </c>
      <c r="I201" s="167"/>
      <c r="J201" s="167">
        <f>J200</f>
        <v>20</v>
      </c>
      <c r="K201" s="20"/>
      <c r="L201" s="167" t="s">
        <v>345</v>
      </c>
      <c r="M201" s="167"/>
      <c r="N201" s="168">
        <f>N200*N198</f>
        <v>650</v>
      </c>
      <c r="O201" s="168">
        <f>O200*O198</f>
        <v>750</v>
      </c>
      <c r="P201" s="20"/>
      <c r="Q201" s="167" t="s">
        <v>341</v>
      </c>
      <c r="R201" s="167"/>
      <c r="S201" s="21">
        <v>1</v>
      </c>
      <c r="T201" s="127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341</v>
      </c>
      <c r="D202" s="21">
        <v>1</v>
      </c>
      <c r="E202" s="176" t="s">
        <v>385</v>
      </c>
      <c r="F202" s="22">
        <v>10</v>
      </c>
      <c r="G202" s="22">
        <v>2</v>
      </c>
      <c r="H202" s="167">
        <f>F202/G202</f>
        <v>5</v>
      </c>
      <c r="I202" s="177">
        <f>H202*D198</f>
        <v>5</v>
      </c>
      <c r="J202" s="177">
        <f>I202</f>
        <v>5</v>
      </c>
      <c r="K202" s="20"/>
      <c r="L202" s="167"/>
      <c r="M202" s="167"/>
      <c r="N202" s="168"/>
      <c r="O202" s="168"/>
      <c r="P202" s="20"/>
      <c r="Q202" s="167" t="s">
        <v>343</v>
      </c>
      <c r="R202" s="167"/>
      <c r="S202" s="168">
        <f>S201*S200</f>
        <v>700</v>
      </c>
      <c r="T202" s="168">
        <f>T201*T200</f>
        <v>750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343</v>
      </c>
      <c r="D203" s="168">
        <f>D202*D201</f>
        <v>700</v>
      </c>
      <c r="E203" s="167"/>
      <c r="F203" s="167"/>
      <c r="G203" s="167"/>
      <c r="H203" s="169" t="s">
        <v>386</v>
      </c>
      <c r="I203" s="167"/>
      <c r="J203" s="167">
        <f>J202</f>
        <v>5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385</v>
      </c>
      <c r="F204" s="22">
        <v>10</v>
      </c>
      <c r="G204" s="22">
        <v>2</v>
      </c>
      <c r="H204" s="167">
        <f>F204/G204</f>
        <v>5</v>
      </c>
      <c r="I204" s="167">
        <f>H204*J203</f>
        <v>25</v>
      </c>
      <c r="J204" s="167">
        <f>I204</f>
        <v>25</v>
      </c>
      <c r="K204" s="20"/>
      <c r="L204" s="169" t="s">
        <v>346</v>
      </c>
      <c r="M204" s="169"/>
      <c r="N204" s="170">
        <f>N201/N199</f>
        <v>36.111111111111114</v>
      </c>
      <c r="O204" s="170">
        <f>O201/O199</f>
        <v>41.666666666666664</v>
      </c>
      <c r="P204" s="20"/>
      <c r="Q204" s="169" t="s">
        <v>346</v>
      </c>
      <c r="R204" s="169"/>
      <c r="S204" s="170">
        <f>S202/S199</f>
        <v>38.888888888888886</v>
      </c>
      <c r="T204" s="170">
        <f>T202/T199</f>
        <v>41.666666666666664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346</v>
      </c>
      <c r="D205" s="170">
        <f>D203/D199</f>
        <v>38.888888888888886</v>
      </c>
      <c r="E205" s="176"/>
      <c r="F205" s="167"/>
      <c r="G205" s="167"/>
      <c r="H205" s="169" t="s">
        <v>386</v>
      </c>
      <c r="I205" s="167"/>
      <c r="J205" s="167">
        <f>J204</f>
        <v>25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89" t="s">
        <v>27</v>
      </c>
      <c r="E208" s="190"/>
      <c r="F208" s="190"/>
      <c r="G208" s="191"/>
      <c r="H208" s="20"/>
      <c r="I208" s="189" t="s">
        <v>392</v>
      </c>
      <c r="J208" s="190"/>
      <c r="K208" s="191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f>D199</f>
        <v>18</v>
      </c>
      <c r="H209" s="20"/>
      <c r="I209" s="20" t="s">
        <v>28</v>
      </c>
      <c r="J209" s="127"/>
      <c r="K209" s="21">
        <f>G209</f>
        <v>18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f>D203</f>
        <v>700</v>
      </c>
      <c r="H210" s="20"/>
      <c r="I210" s="20" t="s">
        <v>29</v>
      </c>
      <c r="J210" s="20"/>
      <c r="K210" s="21">
        <f>G210</f>
        <v>700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37.888888888888886</v>
      </c>
      <c r="H212" s="20"/>
      <c r="I212" s="23" t="s">
        <v>393</v>
      </c>
      <c r="J212" s="23"/>
      <c r="K212" s="23">
        <f>(K210-K209)/K209</f>
        <v>37.888888888888886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</v>
      </c>
      <c r="H213" s="20"/>
      <c r="I213" s="23" t="s">
        <v>394</v>
      </c>
      <c r="J213" s="23"/>
      <c r="K213" s="23">
        <f>K210/K209</f>
        <v>38.888888888888886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37.888888888888886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1" t="s">
        <v>27</v>
      </c>
      <c r="K5" s="201"/>
      <c r="M5" s="201" t="s">
        <v>65</v>
      </c>
      <c r="N5" s="201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1" t="s">
        <v>36</v>
      </c>
      <c r="K14" s="201"/>
      <c r="L14" s="201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1" t="s">
        <v>27</v>
      </c>
      <c r="S5" s="201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1" t="s">
        <v>36</v>
      </c>
      <c r="S14" s="201"/>
      <c r="T14" s="201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1" t="s">
        <v>27</v>
      </c>
      <c r="C2" s="201"/>
      <c r="E2" s="201" t="s">
        <v>65</v>
      </c>
      <c r="F2" s="201"/>
      <c r="H2" s="205" t="s">
        <v>36</v>
      </c>
      <c r="I2" s="206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2" t="s">
        <v>68</v>
      </c>
      <c r="E10" s="203"/>
      <c r="F10" s="203"/>
      <c r="G10" s="203"/>
      <c r="H10" s="204"/>
      <c r="I10" s="202" t="s">
        <v>72</v>
      </c>
      <c r="J10" s="203"/>
      <c r="K10" s="203"/>
      <c r="L10" s="204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2014-06-07T03:58:21Z</dcterms:modified>
</cp:coreProperties>
</file>
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62913"/>
</workbook>
</file>

<file path=xl/calcChain.xml><?xml version="1.0" encoding="utf-8"?>
<calcChain xmlns="http://schemas.openxmlformats.org/spreadsheetml/2006/main">
  <c r="Q238" i="18" l="1"/>
  <c r="P238" i="18"/>
  <c r="O238" i="18"/>
  <c r="N238" i="18"/>
  <c r="M238" i="18"/>
  <c r="L238" i="18"/>
  <c r="K238" i="18"/>
  <c r="J238" i="18"/>
  <c r="I238" i="18"/>
  <c r="H238" i="18"/>
  <c r="G238" i="18"/>
  <c r="V255" i="18" l="1"/>
  <c r="V254" i="18"/>
  <c r="V253" i="18"/>
  <c r="V216" i="18"/>
  <c r="V215" i="18"/>
  <c r="G106" i="18"/>
  <c r="H106" i="18"/>
  <c r="I106" i="18"/>
  <c r="S174" i="18" s="1"/>
  <c r="V224" i="18" s="1"/>
  <c r="V225" i="18" s="1"/>
  <c r="V226" i="18" s="1"/>
  <c r="J106" i="18"/>
  <c r="K106" i="18"/>
  <c r="L106" i="18"/>
  <c r="M106" i="18"/>
  <c r="N106" i="18"/>
  <c r="O106" i="18"/>
  <c r="P106" i="18"/>
  <c r="Q106" i="18"/>
  <c r="R106" i="18"/>
  <c r="S106" i="18"/>
  <c r="T106" i="18"/>
  <c r="U106" i="18"/>
  <c r="T174" i="18" s="1"/>
  <c r="V229" i="18" s="1"/>
  <c r="V106" i="18"/>
  <c r="AJ110" i="18"/>
  <c r="AJ111" i="18"/>
  <c r="AJ112" i="18"/>
  <c r="AJ113" i="18"/>
  <c r="AJ114" i="18"/>
  <c r="AJ116" i="18"/>
  <c r="AJ117" i="18"/>
  <c r="AJ118" i="18"/>
  <c r="AJ119" i="18"/>
  <c r="AJ120" i="18"/>
  <c r="AJ122" i="18"/>
  <c r="AJ123" i="18"/>
  <c r="AJ124" i="18"/>
  <c r="AJ125" i="18"/>
  <c r="AJ126" i="18"/>
  <c r="AJ128" i="18"/>
  <c r="AJ129" i="18"/>
  <c r="AJ130" i="18"/>
  <c r="AJ131" i="18"/>
  <c r="AJ132" i="18"/>
  <c r="AJ133" i="18"/>
  <c r="AJ134" i="18"/>
  <c r="AJ135" i="18"/>
  <c r="AJ136" i="18"/>
  <c r="AJ138" i="18"/>
  <c r="AJ139" i="18"/>
  <c r="AJ140" i="18"/>
  <c r="AJ141" i="18"/>
  <c r="AJ143" i="18"/>
  <c r="AJ144" i="18"/>
  <c r="AJ145" i="18"/>
  <c r="AJ146" i="18"/>
  <c r="AJ147" i="18"/>
  <c r="AJ149" i="18"/>
  <c r="AJ150" i="18"/>
  <c r="AJ151" i="18"/>
  <c r="AJ153" i="18"/>
  <c r="AJ154" i="18"/>
  <c r="AJ155" i="18"/>
  <c r="AJ158" i="18"/>
  <c r="AJ159" i="18"/>
  <c r="AJ160" i="18"/>
  <c r="AJ161" i="18"/>
  <c r="AJ163" i="18"/>
  <c r="AJ164" i="18"/>
  <c r="AJ166" i="18"/>
  <c r="AJ167" i="18"/>
  <c r="AJ168" i="18"/>
  <c r="AJ170" i="18"/>
  <c r="AJ171" i="18"/>
  <c r="AJ109" i="18"/>
  <c r="AJ106" i="18"/>
  <c r="AJ90" i="18"/>
  <c r="W73" i="18"/>
  <c r="W81" i="18"/>
  <c r="W85" i="18"/>
  <c r="W91" i="18"/>
  <c r="W93" i="18"/>
  <c r="W95" i="18"/>
  <c r="W101" i="18"/>
  <c r="W105" i="18"/>
  <c r="W106" i="18"/>
  <c r="W107" i="18"/>
  <c r="W108" i="18"/>
  <c r="W115" i="18"/>
  <c r="W121" i="18"/>
  <c r="W127" i="18"/>
  <c r="W137" i="18"/>
  <c r="W142" i="18"/>
  <c r="W148" i="18"/>
  <c r="W152" i="18"/>
  <c r="W156" i="18"/>
  <c r="W157" i="18"/>
  <c r="W162" i="18"/>
  <c r="W165" i="18"/>
  <c r="W169" i="18"/>
  <c r="V171" i="18"/>
  <c r="V170" i="18"/>
  <c r="V166" i="18"/>
  <c r="V167" i="18" s="1"/>
  <c r="V164" i="18"/>
  <c r="V163" i="18"/>
  <c r="V161" i="18"/>
  <c r="V160" i="18"/>
  <c r="V159" i="18"/>
  <c r="V158" i="18"/>
  <c r="V155" i="18"/>
  <c r="V154" i="18"/>
  <c r="V153" i="18"/>
  <c r="V151" i="18"/>
  <c r="V150" i="18"/>
  <c r="V149" i="18"/>
  <c r="V141" i="18"/>
  <c r="V140" i="18"/>
  <c r="V139" i="18"/>
  <c r="V138" i="18"/>
  <c r="V136" i="18"/>
  <c r="V135" i="18"/>
  <c r="V134" i="18"/>
  <c r="V133" i="18"/>
  <c r="V132" i="18"/>
  <c r="V131" i="18"/>
  <c r="V130" i="18"/>
  <c r="V129" i="18"/>
  <c r="V128" i="18"/>
  <c r="V120" i="18"/>
  <c r="V126" i="18" s="1"/>
  <c r="V119" i="18"/>
  <c r="V125" i="18" s="1"/>
  <c r="V118" i="18"/>
  <c r="V124" i="18" s="1"/>
  <c r="V117" i="18"/>
  <c r="V123" i="18" s="1"/>
  <c r="V116" i="18"/>
  <c r="V122" i="18" s="1"/>
  <c r="V113" i="18"/>
  <c r="V112" i="18"/>
  <c r="V111" i="18"/>
  <c r="V110" i="18"/>
  <c r="V109" i="18"/>
  <c r="V104" i="18"/>
  <c r="V103" i="18"/>
  <c r="V102" i="18"/>
  <c r="V168" i="18" s="1"/>
  <c r="V100" i="18"/>
  <c r="V99" i="18"/>
  <c r="V98" i="18"/>
  <c r="V97" i="18"/>
  <c r="V94" i="18"/>
  <c r="V96" i="18" s="1"/>
  <c r="V92" i="18"/>
  <c r="V143" i="18" s="1"/>
  <c r="V144" i="18" s="1"/>
  <c r="V90" i="18"/>
  <c r="V89" i="18"/>
  <c r="V87" i="18"/>
  <c r="V86" i="18"/>
  <c r="V88" i="18" s="1"/>
  <c r="V211" i="18" s="1"/>
  <c r="V84" i="18"/>
  <c r="V213" i="18" s="1"/>
  <c r="V83" i="18"/>
  <c r="V82" i="18"/>
  <c r="V80" i="18"/>
  <c r="V79" i="18"/>
  <c r="V210" i="18" s="1"/>
  <c r="V78" i="18"/>
  <c r="V77" i="18"/>
  <c r="V76" i="18"/>
  <c r="V207" i="18" s="1"/>
  <c r="V219" i="18" s="1"/>
  <c r="V75" i="18"/>
  <c r="V209" i="18" s="1"/>
  <c r="V74" i="18"/>
  <c r="V72" i="18"/>
  <c r="V114" i="18" s="1"/>
  <c r="V71" i="18"/>
  <c r="V70" i="18"/>
  <c r="W13" i="18"/>
  <c r="W14" i="18"/>
  <c r="W15" i="18"/>
  <c r="W16" i="18"/>
  <c r="W18" i="18"/>
  <c r="W20" i="18"/>
  <c r="W21" i="18"/>
  <c r="W22" i="18"/>
  <c r="W23" i="18"/>
  <c r="W25" i="18"/>
  <c r="W27" i="18"/>
  <c r="W29" i="18"/>
  <c r="W31" i="18"/>
  <c r="W32" i="18"/>
  <c r="W33" i="18"/>
  <c r="W34" i="18"/>
  <c r="W47" i="18"/>
  <c r="W52" i="18"/>
  <c r="W53" i="18"/>
  <c r="W55" i="18"/>
  <c r="W57" i="18"/>
  <c r="W59" i="18"/>
  <c r="W61" i="18"/>
  <c r="W63" i="18"/>
  <c r="W65" i="18"/>
  <c r="W66" i="18"/>
  <c r="W67" i="18"/>
  <c r="W12" i="18"/>
  <c r="W10" i="18"/>
  <c r="W9" i="18"/>
  <c r="W7" i="18"/>
  <c r="W6" i="18"/>
  <c r="V64" i="18"/>
  <c r="V62" i="18"/>
  <c r="V60" i="18"/>
  <c r="V58" i="18"/>
  <c r="V56" i="18"/>
  <c r="V54" i="18"/>
  <c r="V50" i="18"/>
  <c r="V48" i="18"/>
  <c r="V46" i="18"/>
  <c r="V44" i="18"/>
  <c r="V39" i="18"/>
  <c r="V37" i="18"/>
  <c r="V30" i="18"/>
  <c r="V28" i="18"/>
  <c r="V26" i="18"/>
  <c r="V11" i="18"/>
  <c r="V8" i="18"/>
  <c r="C1" i="18"/>
  <c r="V230" i="18" l="1"/>
  <c r="V231" i="18" s="1"/>
  <c r="V228" i="18"/>
  <c r="V206" i="18"/>
  <c r="V208" i="18"/>
  <c r="V212" i="18"/>
  <c r="V218" i="18"/>
  <c r="V223" i="18"/>
  <c r="V220" i="18"/>
  <c r="V221" i="18" s="1"/>
  <c r="V147" i="18"/>
  <c r="V145" i="18"/>
  <c r="AJ47" i="18"/>
  <c r="X47" i="18"/>
  <c r="Y47" i="18" s="1"/>
  <c r="Z47" i="18" s="1"/>
  <c r="AA47" i="18" s="1"/>
  <c r="AB47" i="18" s="1"/>
  <c r="AC47" i="18" s="1"/>
  <c r="AD47" i="18" s="1"/>
  <c r="AE47" i="18" s="1"/>
  <c r="AF47" i="18" s="1"/>
  <c r="AG47" i="18" s="1"/>
  <c r="AH47" i="18" s="1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AJ57" i="18"/>
  <c r="X57" i="18"/>
  <c r="Y57" i="18" s="1"/>
  <c r="Z57" i="18" s="1"/>
  <c r="AA57" i="18" s="1"/>
  <c r="AB57" i="18" s="1"/>
  <c r="AC57" i="18" s="1"/>
  <c r="AD57" i="18" s="1"/>
  <c r="AE57" i="18" s="1"/>
  <c r="AF57" i="18" s="1"/>
  <c r="AG57" i="18" s="1"/>
  <c r="AH57" i="18" s="1"/>
  <c r="U58" i="18"/>
  <c r="T58" i="18"/>
  <c r="S58" i="18"/>
  <c r="R58" i="18"/>
  <c r="Q58" i="18"/>
  <c r="P58" i="18"/>
  <c r="O58" i="18"/>
  <c r="N58" i="18"/>
  <c r="M58" i="18"/>
  <c r="L58" i="18"/>
  <c r="K58" i="18"/>
  <c r="J58" i="18"/>
  <c r="I58" i="18"/>
  <c r="H58" i="18"/>
  <c r="G58" i="18"/>
  <c r="U255" i="18"/>
  <c r="U254" i="18"/>
  <c r="W254" i="18" s="1"/>
  <c r="U253" i="18"/>
  <c r="Y61" i="18"/>
  <c r="Y63" i="18"/>
  <c r="W255" i="18"/>
  <c r="W253" i="18"/>
  <c r="W205" i="18"/>
  <c r="S249" i="18"/>
  <c r="U70" i="18"/>
  <c r="U206" i="18" s="1"/>
  <c r="U71" i="18"/>
  <c r="U72" i="18"/>
  <c r="U114" i="18" s="1"/>
  <c r="U74" i="18"/>
  <c r="U75" i="18"/>
  <c r="U209" i="18" s="1"/>
  <c r="U76" i="18"/>
  <c r="U207" i="18" s="1"/>
  <c r="U77" i="18"/>
  <c r="U78" i="18"/>
  <c r="U79" i="18"/>
  <c r="U210" i="18" s="1"/>
  <c r="U80" i="18"/>
  <c r="U82" i="18"/>
  <c r="U83" i="18"/>
  <c r="U84" i="18"/>
  <c r="U213" i="18" s="1"/>
  <c r="U86" i="18"/>
  <c r="U87" i="18"/>
  <c r="U89" i="18"/>
  <c r="U90" i="18"/>
  <c r="U92" i="18"/>
  <c r="U94" i="18"/>
  <c r="U96" i="18" s="1"/>
  <c r="U97" i="18"/>
  <c r="U98" i="18"/>
  <c r="U99" i="18"/>
  <c r="U100" i="18"/>
  <c r="U102" i="18"/>
  <c r="U103" i="18"/>
  <c r="U104" i="18"/>
  <c r="U109" i="18"/>
  <c r="U110" i="18"/>
  <c r="U111" i="18"/>
  <c r="U112" i="18"/>
  <c r="U113" i="18"/>
  <c r="U116" i="18"/>
  <c r="U122" i="18" s="1"/>
  <c r="U117" i="18"/>
  <c r="U118" i="18"/>
  <c r="U124" i="18" s="1"/>
  <c r="U119" i="18"/>
  <c r="U125" i="18" s="1"/>
  <c r="U120" i="18"/>
  <c r="U126" i="18" s="1"/>
  <c r="U123" i="18"/>
  <c r="U128" i="18"/>
  <c r="U129" i="18"/>
  <c r="U130" i="18"/>
  <c r="U131" i="18"/>
  <c r="U132" i="18"/>
  <c r="U133" i="18"/>
  <c r="U134" i="18"/>
  <c r="U135" i="18"/>
  <c r="U136" i="18"/>
  <c r="U138" i="18"/>
  <c r="U139" i="18"/>
  <c r="U140" i="18"/>
  <c r="U141" i="18"/>
  <c r="U143" i="18"/>
  <c r="U144" i="18" s="1"/>
  <c r="U145" i="18" s="1"/>
  <c r="U146" i="18" s="1"/>
  <c r="U149" i="18"/>
  <c r="U150" i="18"/>
  <c r="U151" i="18"/>
  <c r="U153" i="18"/>
  <c r="U154" i="18"/>
  <c r="U155" i="18"/>
  <c r="U158" i="18"/>
  <c r="U159" i="18"/>
  <c r="U160" i="18"/>
  <c r="U161" i="18"/>
  <c r="U163" i="18"/>
  <c r="U164" i="18"/>
  <c r="U166" i="18"/>
  <c r="U167" i="18" s="1"/>
  <c r="U168" i="18"/>
  <c r="U170" i="18"/>
  <c r="U171" i="18"/>
  <c r="U208" i="18"/>
  <c r="U212" i="18"/>
  <c r="U215" i="18"/>
  <c r="U216" i="18"/>
  <c r="U224" i="18"/>
  <c r="U223" i="18" s="1"/>
  <c r="U229" i="18"/>
  <c r="U228" i="18" s="1"/>
  <c r="U8" i="18"/>
  <c r="U11" i="18"/>
  <c r="U26" i="18"/>
  <c r="U28" i="18"/>
  <c r="U30" i="18"/>
  <c r="U37" i="18"/>
  <c r="U39" i="18"/>
  <c r="U44" i="18"/>
  <c r="U46" i="18"/>
  <c r="U50" i="18"/>
  <c r="U54" i="18"/>
  <c r="U56" i="18"/>
  <c r="U60" i="18"/>
  <c r="U62" i="18"/>
  <c r="U64" i="18"/>
  <c r="P60" i="18"/>
  <c r="O60" i="18"/>
  <c r="N60" i="18"/>
  <c r="M60" i="18"/>
  <c r="L60" i="18"/>
  <c r="K60" i="18"/>
  <c r="J60" i="18"/>
  <c r="I60" i="18"/>
  <c r="H60" i="18"/>
  <c r="G60" i="18"/>
  <c r="P56" i="18"/>
  <c r="O56" i="18"/>
  <c r="N56" i="18"/>
  <c r="M56" i="18"/>
  <c r="L56" i="18"/>
  <c r="K56" i="18"/>
  <c r="J56" i="18"/>
  <c r="I56" i="18"/>
  <c r="H56" i="18"/>
  <c r="G56" i="18"/>
  <c r="P54" i="18"/>
  <c r="O54" i="18"/>
  <c r="N54" i="18"/>
  <c r="M54" i="18"/>
  <c r="L54" i="18"/>
  <c r="K54" i="18"/>
  <c r="J54" i="18"/>
  <c r="I54" i="18"/>
  <c r="H54" i="18"/>
  <c r="G54" i="18"/>
  <c r="P30" i="18"/>
  <c r="O30" i="18"/>
  <c r="N30" i="18"/>
  <c r="M30" i="18"/>
  <c r="L30" i="18"/>
  <c r="K30" i="18"/>
  <c r="J30" i="18"/>
  <c r="I30" i="18"/>
  <c r="H30" i="18"/>
  <c r="G30" i="18"/>
  <c r="P28" i="18"/>
  <c r="O28" i="18"/>
  <c r="N28" i="18"/>
  <c r="M28" i="18"/>
  <c r="L28" i="18"/>
  <c r="K28" i="18"/>
  <c r="J28" i="18"/>
  <c r="I28" i="18"/>
  <c r="H28" i="18"/>
  <c r="G28" i="18"/>
  <c r="P26" i="18"/>
  <c r="O26" i="18"/>
  <c r="N26" i="18"/>
  <c r="M26" i="18"/>
  <c r="L26" i="18"/>
  <c r="K26" i="18"/>
  <c r="J26" i="18"/>
  <c r="I26" i="18"/>
  <c r="H26" i="18"/>
  <c r="G26" i="18"/>
  <c r="P11" i="18"/>
  <c r="O11" i="18"/>
  <c r="N11" i="18"/>
  <c r="M11" i="18"/>
  <c r="L11" i="18"/>
  <c r="K11" i="18"/>
  <c r="J11" i="18"/>
  <c r="I11" i="18"/>
  <c r="H11" i="18"/>
  <c r="G11" i="18"/>
  <c r="P8" i="18"/>
  <c r="O8" i="18"/>
  <c r="N8" i="18"/>
  <c r="M8" i="18"/>
  <c r="L8" i="18"/>
  <c r="K8" i="18"/>
  <c r="J8" i="18"/>
  <c r="I8" i="18"/>
  <c r="H8" i="18"/>
  <c r="G8" i="18"/>
  <c r="U88" i="18" l="1"/>
  <c r="U211" i="18" s="1"/>
  <c r="U218" i="18"/>
  <c r="U220" i="18"/>
  <c r="U221" i="18" s="1"/>
  <c r="U219" i="18"/>
  <c r="AK57" i="18"/>
  <c r="AI57" i="18"/>
  <c r="AK47" i="18"/>
  <c r="AI47" i="18"/>
  <c r="V146" i="18"/>
  <c r="S250" i="18"/>
  <c r="U147" i="18"/>
  <c r="U230" i="18"/>
  <c r="U225" i="18"/>
  <c r="G215" i="18"/>
  <c r="W215" i="18" s="1"/>
  <c r="G216" i="18"/>
  <c r="W216" i="18" s="1"/>
  <c r="G62" i="18"/>
  <c r="G64" i="18"/>
  <c r="G70" i="18"/>
  <c r="G71" i="18"/>
  <c r="W71" i="18" s="1"/>
  <c r="G72" i="18"/>
  <c r="G74" i="18"/>
  <c r="G75" i="18"/>
  <c r="G76" i="18"/>
  <c r="W76" i="18" s="1"/>
  <c r="G77" i="18"/>
  <c r="W77" i="18" s="1"/>
  <c r="G78" i="18"/>
  <c r="W78" i="18" s="1"/>
  <c r="G79" i="18"/>
  <c r="G80" i="18"/>
  <c r="W80" i="18" s="1"/>
  <c r="G82" i="18"/>
  <c r="W82" i="18" s="1"/>
  <c r="G83" i="18"/>
  <c r="W83" i="18" s="1"/>
  <c r="G84" i="18"/>
  <c r="G86" i="18"/>
  <c r="W86" i="18" s="1"/>
  <c r="G87" i="18"/>
  <c r="W87" i="18" s="1"/>
  <c r="G89" i="18"/>
  <c r="W89" i="18" s="1"/>
  <c r="G90" i="18"/>
  <c r="G92" i="18"/>
  <c r="G94" i="18"/>
  <c r="G97" i="18"/>
  <c r="W97" i="18" s="1"/>
  <c r="G98" i="18"/>
  <c r="W98" i="18" s="1"/>
  <c r="G99" i="18"/>
  <c r="W99" i="18" s="1"/>
  <c r="G100" i="18"/>
  <c r="W100" i="18" s="1"/>
  <c r="G102" i="18"/>
  <c r="G103" i="18"/>
  <c r="W103" i="18" s="1"/>
  <c r="G104" i="18"/>
  <c r="W104" i="18" s="1"/>
  <c r="G109" i="18"/>
  <c r="W109" i="18" s="1"/>
  <c r="G110" i="18"/>
  <c r="W110" i="18" s="1"/>
  <c r="G111" i="18"/>
  <c r="W111" i="18" s="1"/>
  <c r="G112" i="18"/>
  <c r="W112" i="18" s="1"/>
  <c r="G113" i="18"/>
  <c r="W113" i="18" s="1"/>
  <c r="G116" i="18"/>
  <c r="G117" i="18"/>
  <c r="G118" i="18"/>
  <c r="G119" i="18"/>
  <c r="G120" i="18"/>
  <c r="G138" i="18"/>
  <c r="W138" i="18" s="1"/>
  <c r="G139" i="18"/>
  <c r="W139" i="18" s="1"/>
  <c r="G140" i="18"/>
  <c r="W140" i="18" s="1"/>
  <c r="G141" i="18"/>
  <c r="W141" i="18" s="1"/>
  <c r="G149" i="18"/>
  <c r="W149" i="18" s="1"/>
  <c r="G150" i="18"/>
  <c r="W150" i="18" s="1"/>
  <c r="G151" i="18"/>
  <c r="W151" i="18" s="1"/>
  <c r="G153" i="18"/>
  <c r="W153" i="18" s="1"/>
  <c r="G154" i="18"/>
  <c r="W154" i="18" s="1"/>
  <c r="G155" i="18"/>
  <c r="W155" i="18" s="1"/>
  <c r="G158" i="18"/>
  <c r="W158" i="18" s="1"/>
  <c r="G159" i="18"/>
  <c r="W159" i="18" s="1"/>
  <c r="G160" i="18"/>
  <c r="W160" i="18" s="1"/>
  <c r="G161" i="18"/>
  <c r="W161" i="18" s="1"/>
  <c r="G163" i="18"/>
  <c r="W163" i="18" s="1"/>
  <c r="G164" i="18"/>
  <c r="W164" i="18" s="1"/>
  <c r="G166" i="18"/>
  <c r="G170" i="18"/>
  <c r="W170" i="18" s="1"/>
  <c r="G171" i="18"/>
  <c r="W171" i="18" s="1"/>
  <c r="AJ236" i="18"/>
  <c r="AJ235" i="18"/>
  <c r="AJ234" i="18"/>
  <c r="AJ233" i="18"/>
  <c r="R62" i="18"/>
  <c r="Q62" i="18"/>
  <c r="P62" i="18"/>
  <c r="O62" i="18"/>
  <c r="N62" i="18"/>
  <c r="M62" i="18"/>
  <c r="L62" i="18"/>
  <c r="K62" i="18"/>
  <c r="J62" i="18"/>
  <c r="I62" i="18"/>
  <c r="H62" i="18"/>
  <c r="R60" i="18"/>
  <c r="Q60" i="18"/>
  <c r="R56" i="18"/>
  <c r="Q56" i="18"/>
  <c r="R54" i="18"/>
  <c r="Q54" i="18"/>
  <c r="R30" i="18"/>
  <c r="Q30" i="18"/>
  <c r="R28" i="18"/>
  <c r="Q28" i="18"/>
  <c r="R26" i="18"/>
  <c r="Q26" i="18"/>
  <c r="R11" i="18"/>
  <c r="Q11" i="18"/>
  <c r="R8" i="18"/>
  <c r="Q8" i="18"/>
  <c r="G126" i="18" l="1"/>
  <c r="W126" i="18" s="1"/>
  <c r="W120" i="18"/>
  <c r="G124" i="18"/>
  <c r="W124" i="18" s="1"/>
  <c r="W118" i="18"/>
  <c r="G122" i="18"/>
  <c r="W122" i="18" s="1"/>
  <c r="W116" i="18"/>
  <c r="G168" i="18"/>
  <c r="W168" i="18" s="1"/>
  <c r="W102" i="18"/>
  <c r="G143" i="18"/>
  <c r="W92" i="18"/>
  <c r="G208" i="18"/>
  <c r="W208" i="18" s="1"/>
  <c r="W74" i="18"/>
  <c r="G167" i="18"/>
  <c r="W167" i="18" s="1"/>
  <c r="W166" i="18"/>
  <c r="G125" i="18"/>
  <c r="W125" i="18" s="1"/>
  <c r="W119" i="18"/>
  <c r="G123" i="18"/>
  <c r="W123" i="18" s="1"/>
  <c r="W117" i="18"/>
  <c r="G96" i="18"/>
  <c r="W96" i="18" s="1"/>
  <c r="W94" i="18"/>
  <c r="G212" i="18"/>
  <c r="W212" i="18" s="1"/>
  <c r="W90" i="18"/>
  <c r="G213" i="18"/>
  <c r="W213" i="18" s="1"/>
  <c r="W84" i="18"/>
  <c r="G210" i="18"/>
  <c r="W210" i="18" s="1"/>
  <c r="W79" i="18"/>
  <c r="G209" i="18"/>
  <c r="W209" i="18" s="1"/>
  <c r="W75" i="18"/>
  <c r="G114" i="18"/>
  <c r="W114" i="18" s="1"/>
  <c r="W72" i="18"/>
  <c r="G206" i="18"/>
  <c r="W206" i="18" s="1"/>
  <c r="W70" i="18"/>
  <c r="U231" i="18"/>
  <c r="U226" i="18"/>
  <c r="G207" i="18"/>
  <c r="G219" i="18" s="1"/>
  <c r="W219" i="18" s="1"/>
  <c r="G88" i="18"/>
  <c r="W88" i="18" s="1"/>
  <c r="G218" i="18"/>
  <c r="W218" i="18" s="1"/>
  <c r="K124" i="20"/>
  <c r="D124" i="20"/>
  <c r="I92" i="20"/>
  <c r="I93" i="20" s="1"/>
  <c r="B92" i="20"/>
  <c r="B93" i="20" s="1"/>
  <c r="M91" i="20"/>
  <c r="N91" i="20" s="1"/>
  <c r="J92" i="20" s="1"/>
  <c r="F91" i="20"/>
  <c r="G91" i="20" s="1"/>
  <c r="C92" i="20" s="1"/>
  <c r="K82" i="20"/>
  <c r="K81" i="20"/>
  <c r="D81" i="20"/>
  <c r="D82" i="20" s="1"/>
  <c r="G80" i="20"/>
  <c r="E69" i="20"/>
  <c r="E70" i="20" s="1"/>
  <c r="H68" i="20"/>
  <c r="L55" i="20"/>
  <c r="L56" i="20" s="1"/>
  <c r="L57" i="20" s="1"/>
  <c r="L58" i="20" s="1"/>
  <c r="L59" i="20" s="1"/>
  <c r="L60" i="20" s="1"/>
  <c r="L61" i="20" s="1"/>
  <c r="L62" i="20" s="1"/>
  <c r="L63" i="20" s="1"/>
  <c r="L64" i="20" s="1"/>
  <c r="L65" i="20" s="1"/>
  <c r="L66" i="20" s="1"/>
  <c r="L67" i="20" s="1"/>
  <c r="O50" i="20"/>
  <c r="O51" i="20" s="1"/>
  <c r="O52" i="20" s="1"/>
  <c r="O53" i="20" s="1"/>
  <c r="O54" i="20" s="1"/>
  <c r="O55" i="20" s="1"/>
  <c r="O56" i="20" s="1"/>
  <c r="O57" i="20" s="1"/>
  <c r="O58" i="20" s="1"/>
  <c r="O59" i="20" s="1"/>
  <c r="O60" i="20" s="1"/>
  <c r="O61" i="20" s="1"/>
  <c r="O62" i="20" s="1"/>
  <c r="O63" i="20" s="1"/>
  <c r="O64" i="20" s="1"/>
  <c r="I50" i="20"/>
  <c r="I51" i="20" s="1"/>
  <c r="I52" i="20" s="1"/>
  <c r="I53" i="20" s="1"/>
  <c r="I54" i="20" s="1"/>
  <c r="I55" i="20" s="1"/>
  <c r="I56" i="20" s="1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E50" i="20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B50" i="20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A50" i="20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M49" i="20"/>
  <c r="N49" i="20" s="1"/>
  <c r="F49" i="20"/>
  <c r="G49" i="20" s="1"/>
  <c r="C50" i="20" s="1"/>
  <c r="H41" i="20"/>
  <c r="D41" i="20"/>
  <c r="D42" i="20" s="1"/>
  <c r="L38" i="20"/>
  <c r="L41" i="20" s="1"/>
  <c r="M28" i="20" s="1"/>
  <c r="L37" i="20"/>
  <c r="L31" i="20"/>
  <c r="L32" i="20" s="1"/>
  <c r="L33" i="20" s="1"/>
  <c r="H31" i="20"/>
  <c r="H32" i="20" s="1"/>
  <c r="C31" i="20"/>
  <c r="C32" i="20" s="1"/>
  <c r="L30" i="20"/>
  <c r="P21" i="20"/>
  <c r="L20" i="20"/>
  <c r="P19" i="20"/>
  <c r="Q19" i="20" s="1"/>
  <c r="R19" i="20" s="1"/>
  <c r="R20" i="20" s="1"/>
  <c r="H19" i="20"/>
  <c r="H20" i="20" s="1"/>
  <c r="C19" i="20"/>
  <c r="C20" i="20" s="1"/>
  <c r="P17" i="20"/>
  <c r="L17" i="20"/>
  <c r="L22" i="20" s="1"/>
  <c r="P16" i="20"/>
  <c r="P15" i="20"/>
  <c r="Q15" i="20" s="1"/>
  <c r="R15" i="20" s="1"/>
  <c r="N12" i="20"/>
  <c r="N11" i="20"/>
  <c r="Q10" i="20"/>
  <c r="N10" i="20"/>
  <c r="H10" i="20"/>
  <c r="N9" i="20"/>
  <c r="H9" i="20"/>
  <c r="C9" i="20"/>
  <c r="C10" i="20" s="1"/>
  <c r="N8" i="20"/>
  <c r="N7" i="20"/>
  <c r="N6" i="20"/>
  <c r="Q5" i="20"/>
  <c r="N5" i="20"/>
  <c r="Q21" i="20" l="1"/>
  <c r="R21" i="20" s="1"/>
  <c r="R22" i="20" s="1"/>
  <c r="G144" i="18"/>
  <c r="W143" i="18"/>
  <c r="G211" i="18"/>
  <c r="W211" i="18" s="1"/>
  <c r="G220" i="18"/>
  <c r="W207" i="18"/>
  <c r="H69" i="20"/>
  <c r="G50" i="20"/>
  <c r="C51" i="20" s="1"/>
  <c r="F50" i="20"/>
  <c r="J50" i="20"/>
  <c r="P49" i="20"/>
  <c r="Q16" i="20"/>
  <c r="R16" i="20" s="1"/>
  <c r="Q17" i="20" s="1"/>
  <c r="R17" i="20" s="1"/>
  <c r="R18" i="20" s="1"/>
  <c r="I94" i="20"/>
  <c r="M93" i="20"/>
  <c r="L40" i="20"/>
  <c r="B94" i="20"/>
  <c r="F93" i="20"/>
  <c r="F92" i="20"/>
  <c r="G92" i="20" s="1"/>
  <c r="C93" i="20" s="1"/>
  <c r="M92" i="20"/>
  <c r="N92" i="20" s="1"/>
  <c r="J93" i="20" s="1"/>
  <c r="G145" i="18" l="1"/>
  <c r="W144" i="18"/>
  <c r="G147" i="18"/>
  <c r="W147" i="18" s="1"/>
  <c r="G221" i="18"/>
  <c r="W221" i="18" s="1"/>
  <c r="W220" i="18"/>
  <c r="B95" i="20"/>
  <c r="F94" i="20"/>
  <c r="I95" i="20"/>
  <c r="M94" i="20"/>
  <c r="M50" i="20"/>
  <c r="N50" i="20" s="1"/>
  <c r="H70" i="20"/>
  <c r="F51" i="20"/>
  <c r="G51" i="20" s="1"/>
  <c r="C52" i="20" s="1"/>
  <c r="G93" i="20"/>
  <c r="C94" i="20" s="1"/>
  <c r="N93" i="20"/>
  <c r="J94" i="20" s="1"/>
  <c r="N94" i="20" l="1"/>
  <c r="J95" i="20" s="1"/>
  <c r="G146" i="18"/>
  <c r="W146" i="18" s="1"/>
  <c r="W145" i="18"/>
  <c r="J51" i="20"/>
  <c r="P50" i="20"/>
  <c r="I96" i="20"/>
  <c r="M95" i="20"/>
  <c r="N95" i="20" s="1"/>
  <c r="J96" i="20" s="1"/>
  <c r="B96" i="20"/>
  <c r="F95" i="20"/>
  <c r="H71" i="20"/>
  <c r="F52" i="20"/>
  <c r="G52" i="20" s="1"/>
  <c r="C53" i="20" s="1"/>
  <c r="G94" i="20"/>
  <c r="C95" i="20" s="1"/>
  <c r="H72" i="20" l="1"/>
  <c r="F53" i="20"/>
  <c r="G53" i="20" s="1"/>
  <c r="C54" i="20" s="1"/>
  <c r="B97" i="20"/>
  <c r="F96" i="20"/>
  <c r="I97" i="20"/>
  <c r="M96" i="20"/>
  <c r="N96" i="20" s="1"/>
  <c r="J97" i="20" s="1"/>
  <c r="N51" i="20"/>
  <c r="M51" i="20"/>
  <c r="G95" i="20"/>
  <c r="C96" i="20" s="1"/>
  <c r="J52" i="20" l="1"/>
  <c r="P51" i="20"/>
  <c r="I98" i="20"/>
  <c r="M97" i="20"/>
  <c r="N97" i="20" s="1"/>
  <c r="J98" i="20" s="1"/>
  <c r="B98" i="20"/>
  <c r="F97" i="20"/>
  <c r="H73" i="20"/>
  <c r="G54" i="20"/>
  <c r="C55" i="20" s="1"/>
  <c r="F54" i="20"/>
  <c r="G96" i="20"/>
  <c r="C97" i="20" s="1"/>
  <c r="H74" i="20" l="1"/>
  <c r="F55" i="20"/>
  <c r="G55" i="20" s="1"/>
  <c r="C56" i="20" s="1"/>
  <c r="B99" i="20"/>
  <c r="F98" i="20"/>
  <c r="I99" i="20"/>
  <c r="M98" i="20"/>
  <c r="N98" i="20" s="1"/>
  <c r="J99" i="20" s="1"/>
  <c r="N52" i="20"/>
  <c r="M52" i="20"/>
  <c r="G97" i="20"/>
  <c r="C98" i="20" s="1"/>
  <c r="G278" i="18"/>
  <c r="G280" i="18" s="1"/>
  <c r="G281" i="18" s="1"/>
  <c r="H253" i="18"/>
  <c r="I253" i="18"/>
  <c r="H254" i="18"/>
  <c r="I254" i="18"/>
  <c r="H255" i="18"/>
  <c r="I255" i="18"/>
  <c r="H215" i="18"/>
  <c r="I215" i="18"/>
  <c r="H216" i="18"/>
  <c r="I216" i="18"/>
  <c r="I64" i="18"/>
  <c r="H64" i="18"/>
  <c r="H70" i="18"/>
  <c r="I70" i="18"/>
  <c r="I206" i="18" s="1"/>
  <c r="H71" i="18"/>
  <c r="I71" i="18"/>
  <c r="H72" i="18"/>
  <c r="H114" i="18" s="1"/>
  <c r="I72" i="18"/>
  <c r="I114" i="18" s="1"/>
  <c r="H74" i="18"/>
  <c r="H208" i="18" s="1"/>
  <c r="I74" i="18"/>
  <c r="I208" i="18" s="1"/>
  <c r="H75" i="18"/>
  <c r="H209" i="18" s="1"/>
  <c r="I75" i="18"/>
  <c r="I209" i="18" s="1"/>
  <c r="H76" i="18"/>
  <c r="I76" i="18"/>
  <c r="I207" i="18" s="1"/>
  <c r="H77" i="18"/>
  <c r="I77" i="18"/>
  <c r="H78" i="18"/>
  <c r="I78" i="18"/>
  <c r="I79" i="18"/>
  <c r="I210" i="18" s="1"/>
  <c r="H80" i="18"/>
  <c r="I80" i="18"/>
  <c r="H82" i="18"/>
  <c r="I82" i="18"/>
  <c r="H83" i="18"/>
  <c r="I83" i="18"/>
  <c r="H84" i="18"/>
  <c r="I84" i="18"/>
  <c r="I213" i="18" s="1"/>
  <c r="H86" i="18"/>
  <c r="I86" i="18"/>
  <c r="H87" i="18"/>
  <c r="I87" i="18"/>
  <c r="I88" i="18" s="1"/>
  <c r="I211" i="18" s="1"/>
  <c r="H89" i="18"/>
  <c r="I89" i="18"/>
  <c r="H90" i="18"/>
  <c r="H212" i="18" s="1"/>
  <c r="I90" i="18"/>
  <c r="I212" i="18" s="1"/>
  <c r="H92" i="18"/>
  <c r="H143" i="18" s="1"/>
  <c r="H144" i="18" s="1"/>
  <c r="I92" i="18"/>
  <c r="I143" i="18" s="1"/>
  <c r="I144" i="18" s="1"/>
  <c r="I145" i="18" s="1"/>
  <c r="I146" i="18" s="1"/>
  <c r="H94" i="18"/>
  <c r="I94" i="18"/>
  <c r="H96" i="18"/>
  <c r="I96" i="18"/>
  <c r="H97" i="18"/>
  <c r="I97" i="18"/>
  <c r="H98" i="18"/>
  <c r="I98" i="18"/>
  <c r="H99" i="18"/>
  <c r="I99" i="18"/>
  <c r="H100" i="18"/>
  <c r="I100" i="18"/>
  <c r="H102" i="18"/>
  <c r="H168" i="18" s="1"/>
  <c r="I102" i="18"/>
  <c r="I168" i="18" s="1"/>
  <c r="H103" i="18"/>
  <c r="I103" i="18"/>
  <c r="I104" i="18"/>
  <c r="H109" i="18"/>
  <c r="I109" i="18"/>
  <c r="H110" i="18"/>
  <c r="I110" i="18"/>
  <c r="H111" i="18"/>
  <c r="I111" i="18"/>
  <c r="H112" i="18"/>
  <c r="I112" i="18"/>
  <c r="H113" i="18"/>
  <c r="I113" i="18"/>
  <c r="H116" i="18"/>
  <c r="H122" i="18" s="1"/>
  <c r="I116" i="18"/>
  <c r="I122" i="18" s="1"/>
  <c r="H117" i="18"/>
  <c r="H123" i="18" s="1"/>
  <c r="I117" i="18"/>
  <c r="I123" i="18" s="1"/>
  <c r="H118" i="18"/>
  <c r="H124" i="18" s="1"/>
  <c r="I118" i="18"/>
  <c r="I124" i="18" s="1"/>
  <c r="H119" i="18"/>
  <c r="H125" i="18" s="1"/>
  <c r="I119" i="18"/>
  <c r="I125" i="18" s="1"/>
  <c r="H120" i="18"/>
  <c r="I120" i="18"/>
  <c r="I126" i="18" s="1"/>
  <c r="H126" i="18"/>
  <c r="H138" i="18"/>
  <c r="I138" i="18"/>
  <c r="H139" i="18"/>
  <c r="I139" i="18"/>
  <c r="H140" i="18"/>
  <c r="I140" i="18"/>
  <c r="H141" i="18"/>
  <c r="I141" i="18"/>
  <c r="H149" i="18"/>
  <c r="I149" i="18"/>
  <c r="H150" i="18"/>
  <c r="I150" i="18"/>
  <c r="H151" i="18"/>
  <c r="I151" i="18"/>
  <c r="H153" i="18"/>
  <c r="I153" i="18"/>
  <c r="H154" i="18"/>
  <c r="I154" i="18"/>
  <c r="H155" i="18"/>
  <c r="I155" i="18"/>
  <c r="H158" i="18"/>
  <c r="I158" i="18"/>
  <c r="H159" i="18"/>
  <c r="I159" i="18"/>
  <c r="H160" i="18"/>
  <c r="I160" i="18"/>
  <c r="H161" i="18"/>
  <c r="I161" i="18"/>
  <c r="H163" i="18"/>
  <c r="I163" i="18"/>
  <c r="H164" i="18"/>
  <c r="I164" i="18"/>
  <c r="H166" i="18"/>
  <c r="H167" i="18" s="1"/>
  <c r="I166" i="18"/>
  <c r="I167" i="18" s="1"/>
  <c r="H170" i="18"/>
  <c r="I170" i="18"/>
  <c r="H171" i="18"/>
  <c r="I171" i="18"/>
  <c r="J49" i="18"/>
  <c r="I49" i="18" s="1"/>
  <c r="J45" i="18"/>
  <c r="I45" i="18" s="1"/>
  <c r="H45" i="18" s="1"/>
  <c r="G45" i="18" s="1"/>
  <c r="W45" i="18" s="1"/>
  <c r="J43" i="18"/>
  <c r="I43" i="18" s="1"/>
  <c r="J42" i="18"/>
  <c r="I42" i="18" s="1"/>
  <c r="H42" i="18" s="1"/>
  <c r="J41" i="18"/>
  <c r="I41" i="18" s="1"/>
  <c r="H41" i="18" s="1"/>
  <c r="J40" i="18"/>
  <c r="I40" i="18" s="1"/>
  <c r="H40" i="18" s="1"/>
  <c r="J38" i="18"/>
  <c r="I38" i="18" s="1"/>
  <c r="H38" i="18" s="1"/>
  <c r="G38" i="18" s="1"/>
  <c r="W38" i="18" s="1"/>
  <c r="J36" i="18"/>
  <c r="I36" i="18" s="1"/>
  <c r="H88" i="18" l="1"/>
  <c r="H211" i="18" s="1"/>
  <c r="G46" i="18"/>
  <c r="G39" i="18"/>
  <c r="I147" i="18"/>
  <c r="H145" i="18"/>
  <c r="H146" i="18" s="1"/>
  <c r="H147" i="18"/>
  <c r="G40" i="18"/>
  <c r="W40" i="18" s="1"/>
  <c r="G42" i="18"/>
  <c r="W42" i="18" s="1"/>
  <c r="G41" i="18"/>
  <c r="W41" i="18" s="1"/>
  <c r="H43" i="18"/>
  <c r="G43" i="18" s="1"/>
  <c r="W43" i="18" s="1"/>
  <c r="I129" i="18"/>
  <c r="I130" i="18"/>
  <c r="I131" i="18"/>
  <c r="I132" i="18"/>
  <c r="I135" i="18"/>
  <c r="H49" i="18"/>
  <c r="G49" i="18" s="1"/>
  <c r="W49" i="18" s="1"/>
  <c r="I133" i="18"/>
  <c r="I39" i="18"/>
  <c r="H39" i="18"/>
  <c r="H36" i="18"/>
  <c r="G36" i="18" s="1"/>
  <c r="W36" i="18" s="1"/>
  <c r="I128" i="18"/>
  <c r="I136" i="18"/>
  <c r="I46" i="18"/>
  <c r="H46" i="18"/>
  <c r="I219" i="18"/>
  <c r="I220" i="18"/>
  <c r="I221" i="18" s="1"/>
  <c r="I218" i="18"/>
  <c r="H218" i="18"/>
  <c r="H207" i="18"/>
  <c r="H213" i="18"/>
  <c r="H206" i="18"/>
  <c r="G98" i="20"/>
  <c r="C99" i="20" s="1"/>
  <c r="J53" i="20"/>
  <c r="P52" i="20"/>
  <c r="I100" i="20"/>
  <c r="M99" i="20"/>
  <c r="N99" i="20" s="1"/>
  <c r="J100" i="20" s="1"/>
  <c r="B100" i="20"/>
  <c r="F99" i="20"/>
  <c r="F56" i="20"/>
  <c r="G56" i="20" s="1"/>
  <c r="H104" i="18"/>
  <c r="H79" i="18"/>
  <c r="T133" i="18"/>
  <c r="S133" i="18"/>
  <c r="R133" i="18"/>
  <c r="Q133" i="18"/>
  <c r="P133" i="18"/>
  <c r="O133" i="18"/>
  <c r="N133" i="18"/>
  <c r="M133" i="18"/>
  <c r="L133" i="18"/>
  <c r="K133" i="18"/>
  <c r="J133" i="18"/>
  <c r="AJ49" i="18"/>
  <c r="X49" i="18"/>
  <c r="T50" i="18"/>
  <c r="S50" i="18"/>
  <c r="R50" i="18"/>
  <c r="Q50" i="18"/>
  <c r="P50" i="18"/>
  <c r="O50" i="18"/>
  <c r="N50" i="18"/>
  <c r="M50" i="18"/>
  <c r="L50" i="18"/>
  <c r="K50" i="18"/>
  <c r="J50" i="18"/>
  <c r="T134" i="18"/>
  <c r="S134" i="18"/>
  <c r="R134" i="18"/>
  <c r="Q134" i="18"/>
  <c r="P134" i="18"/>
  <c r="O134" i="18"/>
  <c r="N134" i="18"/>
  <c r="M134" i="18"/>
  <c r="L134" i="18"/>
  <c r="K134" i="18"/>
  <c r="G99" i="20" l="1"/>
  <c r="C100" i="20" s="1"/>
  <c r="Y49" i="18"/>
  <c r="Z49" i="18" s="1"/>
  <c r="AA49" i="18" s="1"/>
  <c r="AB49" i="18" s="1"/>
  <c r="AC49" i="18" s="1"/>
  <c r="AD49" i="18" s="1"/>
  <c r="AE49" i="18" s="1"/>
  <c r="AF49" i="18" s="1"/>
  <c r="AG49" i="18" s="1"/>
  <c r="AH49" i="18" s="1"/>
  <c r="G133" i="18"/>
  <c r="W133" i="18" s="1"/>
  <c r="G50" i="18"/>
  <c r="G129" i="18"/>
  <c r="W129" i="18" s="1"/>
  <c r="G131" i="18"/>
  <c r="W131" i="18" s="1"/>
  <c r="G135" i="18"/>
  <c r="W135" i="18" s="1"/>
  <c r="G44" i="18"/>
  <c r="G130" i="18"/>
  <c r="W130" i="18" s="1"/>
  <c r="G132" i="18"/>
  <c r="W132" i="18" s="1"/>
  <c r="G37" i="18"/>
  <c r="G128" i="18"/>
  <c r="W128" i="18" s="1"/>
  <c r="G136" i="18"/>
  <c r="W136" i="18" s="1"/>
  <c r="I50" i="18"/>
  <c r="H133" i="18"/>
  <c r="H50" i="18"/>
  <c r="I44" i="18"/>
  <c r="H129" i="18"/>
  <c r="H130" i="18"/>
  <c r="H131" i="18"/>
  <c r="H132" i="18"/>
  <c r="H135" i="18"/>
  <c r="H44" i="18"/>
  <c r="I37" i="18"/>
  <c r="H128" i="18"/>
  <c r="H136" i="18"/>
  <c r="H37" i="18"/>
  <c r="H219" i="18"/>
  <c r="H220" i="18"/>
  <c r="H210" i="18"/>
  <c r="H56" i="20"/>
  <c r="H75" i="20" s="1"/>
  <c r="C57" i="20"/>
  <c r="B101" i="20"/>
  <c r="F100" i="20"/>
  <c r="I101" i="20"/>
  <c r="M100" i="20"/>
  <c r="N100" i="20" s="1"/>
  <c r="J101" i="20" s="1"/>
  <c r="M53" i="20"/>
  <c r="N53" i="20" s="1"/>
  <c r="T130" i="18"/>
  <c r="S130" i="18"/>
  <c r="R130" i="18"/>
  <c r="Q130" i="18"/>
  <c r="P130" i="18"/>
  <c r="O130" i="18"/>
  <c r="N130" i="18"/>
  <c r="M130" i="18"/>
  <c r="L130" i="18"/>
  <c r="K130" i="18"/>
  <c r="K46" i="18"/>
  <c r="X51" i="18"/>
  <c r="Y51" i="18" s="1"/>
  <c r="J51" i="18"/>
  <c r="T46" i="18"/>
  <c r="S46" i="18"/>
  <c r="R46" i="18"/>
  <c r="Q46" i="18"/>
  <c r="P46" i="18"/>
  <c r="O46" i="18"/>
  <c r="N46" i="18"/>
  <c r="M46" i="18"/>
  <c r="L46" i="18"/>
  <c r="J46" i="18"/>
  <c r="T44" i="18"/>
  <c r="S44" i="18"/>
  <c r="R44" i="18"/>
  <c r="Q44" i="18"/>
  <c r="P44" i="18"/>
  <c r="O44" i="18"/>
  <c r="N44" i="18"/>
  <c r="M44" i="18"/>
  <c r="L44" i="18"/>
  <c r="J44" i="18"/>
  <c r="T39" i="18"/>
  <c r="S39" i="18"/>
  <c r="R39" i="18"/>
  <c r="Q39" i="18"/>
  <c r="P39" i="18"/>
  <c r="O39" i="18"/>
  <c r="N39" i="18"/>
  <c r="M39" i="18"/>
  <c r="L39" i="18"/>
  <c r="K39" i="18"/>
  <c r="T37" i="18"/>
  <c r="S37" i="18"/>
  <c r="R37" i="18"/>
  <c r="Q37" i="18"/>
  <c r="P37" i="18"/>
  <c r="O37" i="18"/>
  <c r="N37" i="18"/>
  <c r="M37" i="18"/>
  <c r="L37" i="18"/>
  <c r="K44" i="18"/>
  <c r="J39" i="18"/>
  <c r="J130" i="18"/>
  <c r="G100" i="20" l="1"/>
  <c r="C101" i="20" s="1"/>
  <c r="AK49" i="18"/>
  <c r="AI49" i="18"/>
  <c r="I51" i="18"/>
  <c r="J134" i="18"/>
  <c r="H221" i="18"/>
  <c r="J54" i="20"/>
  <c r="P53" i="20"/>
  <c r="H76" i="20"/>
  <c r="F57" i="20"/>
  <c r="G57" i="20" s="1"/>
  <c r="C58" i="20" s="1"/>
  <c r="I102" i="20"/>
  <c r="M101" i="20"/>
  <c r="N101" i="20" s="1"/>
  <c r="J102" i="20" s="1"/>
  <c r="B102" i="20"/>
  <c r="F101" i="20"/>
  <c r="G101" i="20" s="1"/>
  <c r="C102" i="20" s="1"/>
  <c r="J37" i="18"/>
  <c r="K37" i="18"/>
  <c r="T136" i="18"/>
  <c r="T135" i="18"/>
  <c r="T132" i="18"/>
  <c r="T131" i="18"/>
  <c r="S136" i="18"/>
  <c r="S135" i="18"/>
  <c r="S132" i="18"/>
  <c r="S131" i="18"/>
  <c r="R136" i="18"/>
  <c r="R135" i="18"/>
  <c r="R132" i="18"/>
  <c r="R131" i="18"/>
  <c r="Q136" i="18"/>
  <c r="Q135" i="18"/>
  <c r="Q132" i="18"/>
  <c r="Q131" i="18"/>
  <c r="P136" i="18"/>
  <c r="P135" i="18"/>
  <c r="P132" i="18"/>
  <c r="P131" i="18"/>
  <c r="O136" i="18"/>
  <c r="O135" i="18"/>
  <c r="O132" i="18"/>
  <c r="O131" i="18"/>
  <c r="N136" i="18"/>
  <c r="N135" i="18"/>
  <c r="N132" i="18"/>
  <c r="N131" i="18"/>
  <c r="M136" i="18"/>
  <c r="M135" i="18"/>
  <c r="M132" i="18"/>
  <c r="M131" i="18"/>
  <c r="L136" i="18"/>
  <c r="L135" i="18"/>
  <c r="L132" i="18"/>
  <c r="L131" i="18"/>
  <c r="K136" i="18"/>
  <c r="K135" i="18"/>
  <c r="K132" i="18"/>
  <c r="K131" i="18"/>
  <c r="J136" i="18"/>
  <c r="J132" i="18"/>
  <c r="J135" i="18"/>
  <c r="J131" i="18"/>
  <c r="T129" i="18"/>
  <c r="S129" i="18"/>
  <c r="R129" i="18"/>
  <c r="Q129" i="18"/>
  <c r="P129" i="18"/>
  <c r="O129" i="18"/>
  <c r="N129" i="18"/>
  <c r="M129" i="18"/>
  <c r="L129" i="18"/>
  <c r="K129" i="18"/>
  <c r="J129" i="18"/>
  <c r="T128" i="18"/>
  <c r="S128" i="18"/>
  <c r="R128" i="18"/>
  <c r="Q128" i="18"/>
  <c r="P128" i="18"/>
  <c r="O128" i="18"/>
  <c r="N128" i="18"/>
  <c r="M128" i="18"/>
  <c r="L128" i="18"/>
  <c r="K128" i="18"/>
  <c r="J128" i="18"/>
  <c r="AJ51" i="18"/>
  <c r="AJ45" i="18"/>
  <c r="AJ43" i="18"/>
  <c r="AJ42" i="18"/>
  <c r="AJ41" i="18"/>
  <c r="AJ40" i="18"/>
  <c r="AJ38" i="18"/>
  <c r="AJ36" i="18"/>
  <c r="X40" i="18"/>
  <c r="Z51" i="18"/>
  <c r="AA51" i="18" s="1"/>
  <c r="AB51" i="18" s="1"/>
  <c r="AC51" i="18" s="1"/>
  <c r="AD51" i="18" s="1"/>
  <c r="AE51" i="18" s="1"/>
  <c r="AF51" i="18" s="1"/>
  <c r="AG51" i="18" s="1"/>
  <c r="AH51" i="18" s="1"/>
  <c r="X45" i="18"/>
  <c r="AK51" i="18" l="1"/>
  <c r="AI51" i="18"/>
  <c r="Y45" i="18"/>
  <c r="Z45" i="18" s="1"/>
  <c r="AA45" i="18" s="1"/>
  <c r="AB45" i="18" s="1"/>
  <c r="AC45" i="18" s="1"/>
  <c r="AD45" i="18" s="1"/>
  <c r="AE45" i="18" s="1"/>
  <c r="AF45" i="18" s="1"/>
  <c r="AG45" i="18" s="1"/>
  <c r="AH45" i="18" s="1"/>
  <c r="Y40" i="18"/>
  <c r="Z40" i="18" s="1"/>
  <c r="AA40" i="18" s="1"/>
  <c r="AB40" i="18" s="1"/>
  <c r="AC40" i="18" s="1"/>
  <c r="AD40" i="18" s="1"/>
  <c r="AE40" i="18" s="1"/>
  <c r="AF40" i="18" s="1"/>
  <c r="AG40" i="18" s="1"/>
  <c r="AH40" i="18" s="1"/>
  <c r="H51" i="18"/>
  <c r="G51" i="18" s="1"/>
  <c r="W51" i="18" s="1"/>
  <c r="I134" i="18"/>
  <c r="B103" i="20"/>
  <c r="F102" i="20"/>
  <c r="G102" i="20" s="1"/>
  <c r="C103" i="20" s="1"/>
  <c r="I103" i="20"/>
  <c r="M102" i="20"/>
  <c r="N102" i="20" s="1"/>
  <c r="J103" i="20" s="1"/>
  <c r="H77" i="20"/>
  <c r="F58" i="20"/>
  <c r="G58" i="20" s="1"/>
  <c r="C59" i="20" s="1"/>
  <c r="M54" i="20"/>
  <c r="N54" i="20" s="1"/>
  <c r="X43" i="18"/>
  <c r="X42" i="18"/>
  <c r="X41" i="18"/>
  <c r="X38" i="18"/>
  <c r="Y38" i="18" s="1"/>
  <c r="X36" i="18"/>
  <c r="Y36" i="18" s="1"/>
  <c r="AK40" i="18" l="1"/>
  <c r="AI40" i="18"/>
  <c r="AK45" i="18"/>
  <c r="AI45" i="18"/>
  <c r="Y42" i="18"/>
  <c r="Z42" i="18" s="1"/>
  <c r="AA42" i="18" s="1"/>
  <c r="AB42" i="18" s="1"/>
  <c r="AC42" i="18" s="1"/>
  <c r="AD42" i="18" s="1"/>
  <c r="AE42" i="18" s="1"/>
  <c r="AF42" i="18" s="1"/>
  <c r="AG42" i="18" s="1"/>
  <c r="AH42" i="18" s="1"/>
  <c r="G134" i="18"/>
  <c r="W134" i="18" s="1"/>
  <c r="Y41" i="18"/>
  <c r="Z41" i="18" s="1"/>
  <c r="AA41" i="18" s="1"/>
  <c r="AB41" i="18" s="1"/>
  <c r="AC41" i="18" s="1"/>
  <c r="AD41" i="18" s="1"/>
  <c r="AE41" i="18" s="1"/>
  <c r="AF41" i="18" s="1"/>
  <c r="AG41" i="18" s="1"/>
  <c r="AH41" i="18" s="1"/>
  <c r="Y43" i="18"/>
  <c r="Z43" i="18" s="1"/>
  <c r="AA43" i="18" s="1"/>
  <c r="AB43" i="18" s="1"/>
  <c r="AC43" i="18" s="1"/>
  <c r="AD43" i="18" s="1"/>
  <c r="AE43" i="18" s="1"/>
  <c r="AF43" i="18" s="1"/>
  <c r="AG43" i="18" s="1"/>
  <c r="AH43" i="18" s="1"/>
  <c r="H134" i="18"/>
  <c r="H78" i="20"/>
  <c r="F59" i="20"/>
  <c r="G59" i="20" s="1"/>
  <c r="C60" i="20" s="1"/>
  <c r="J55" i="20"/>
  <c r="P54" i="20"/>
  <c r="I104" i="20"/>
  <c r="M103" i="20"/>
  <c r="N103" i="20" s="1"/>
  <c r="J104" i="20" s="1"/>
  <c r="B104" i="20"/>
  <c r="F103" i="20"/>
  <c r="G103" i="20" s="1"/>
  <c r="C104" i="20" s="1"/>
  <c r="Z38" i="18"/>
  <c r="Z36" i="18"/>
  <c r="B219" i="18"/>
  <c r="AJ231" i="18"/>
  <c r="AJ228" i="18"/>
  <c r="AJ230" i="18"/>
  <c r="AJ229" i="18"/>
  <c r="AJ226" i="18"/>
  <c r="AJ225" i="18"/>
  <c r="AJ224" i="18"/>
  <c r="AJ223" i="18"/>
  <c r="AJ218" i="18"/>
  <c r="AJ221" i="18"/>
  <c r="AJ220" i="18"/>
  <c r="AJ219" i="18"/>
  <c r="AJ216" i="18"/>
  <c r="AJ215" i="18"/>
  <c r="AJ212" i="18"/>
  <c r="AJ211" i="18"/>
  <c r="AJ213" i="18"/>
  <c r="AJ210" i="18"/>
  <c r="AJ209" i="18"/>
  <c r="AJ208" i="18"/>
  <c r="AJ207" i="18"/>
  <c r="AJ206" i="18"/>
  <c r="AJ205" i="18"/>
  <c r="AK228" i="18"/>
  <c r="Y131" i="18" l="1"/>
  <c r="Y130" i="18"/>
  <c r="Y132" i="18"/>
  <c r="AK42" i="18"/>
  <c r="AI42" i="18"/>
  <c r="AK43" i="18"/>
  <c r="AI43" i="18"/>
  <c r="AK41" i="18"/>
  <c r="AI41" i="18"/>
  <c r="B105" i="20"/>
  <c r="F104" i="20"/>
  <c r="G104" i="20" s="1"/>
  <c r="C105" i="20" s="1"/>
  <c r="I105" i="20"/>
  <c r="M104" i="20"/>
  <c r="N104" i="20" s="1"/>
  <c r="J105" i="20" s="1"/>
  <c r="M55" i="20"/>
  <c r="N55" i="20" s="1"/>
  <c r="H79" i="20"/>
  <c r="F60" i="20"/>
  <c r="G60" i="20" s="1"/>
  <c r="C61" i="20" s="1"/>
  <c r="AA38" i="18"/>
  <c r="Z131" i="18"/>
  <c r="AA36" i="18"/>
  <c r="Z130" i="18"/>
  <c r="Z132" i="18"/>
  <c r="AK229" i="18"/>
  <c r="T216" i="18"/>
  <c r="S216" i="18"/>
  <c r="R216" i="18"/>
  <c r="Q216" i="18"/>
  <c r="P216" i="18"/>
  <c r="O216" i="18"/>
  <c r="N216" i="18"/>
  <c r="M216" i="18"/>
  <c r="L216" i="18"/>
  <c r="K216" i="18"/>
  <c r="J216" i="18"/>
  <c r="H80" i="20" l="1"/>
  <c r="F61" i="20"/>
  <c r="G61" i="20" s="1"/>
  <c r="C62" i="20" s="1"/>
  <c r="J56" i="20"/>
  <c r="P55" i="20"/>
  <c r="I106" i="20"/>
  <c r="M105" i="20"/>
  <c r="N105" i="20" s="1"/>
  <c r="J106" i="20" s="1"/>
  <c r="B106" i="20"/>
  <c r="F105" i="20"/>
  <c r="G105" i="20" s="1"/>
  <c r="C106" i="20" s="1"/>
  <c r="AB38" i="18"/>
  <c r="AA131" i="18"/>
  <c r="AB36" i="18"/>
  <c r="AA132" i="18"/>
  <c r="AA130" i="18"/>
  <c r="T64" i="18"/>
  <c r="S64" i="18"/>
  <c r="R64" i="18"/>
  <c r="Q64" i="18"/>
  <c r="P64" i="18"/>
  <c r="O64" i="18"/>
  <c r="N64" i="18"/>
  <c r="M64" i="18"/>
  <c r="L64" i="18"/>
  <c r="K64" i="18"/>
  <c r="J64" i="18"/>
  <c r="T62" i="18"/>
  <c r="S62" i="18"/>
  <c r="T60" i="18"/>
  <c r="S60" i="18"/>
  <c r="T56" i="18"/>
  <c r="S56" i="18"/>
  <c r="T54" i="18"/>
  <c r="S54" i="18"/>
  <c r="T30" i="18"/>
  <c r="S30" i="18"/>
  <c r="T28" i="18"/>
  <c r="S28" i="18"/>
  <c r="T26" i="18"/>
  <c r="S26" i="18"/>
  <c r="T11" i="18"/>
  <c r="S11" i="18"/>
  <c r="T8" i="18"/>
  <c r="S8" i="18"/>
  <c r="B107" i="20" l="1"/>
  <c r="F106" i="20"/>
  <c r="G106" i="20" s="1"/>
  <c r="C107" i="20" s="1"/>
  <c r="I107" i="20"/>
  <c r="M106" i="20"/>
  <c r="N106" i="20" s="1"/>
  <c r="J107" i="20" s="1"/>
  <c r="M56" i="20"/>
  <c r="N56" i="20"/>
  <c r="H81" i="20"/>
  <c r="F62" i="20"/>
  <c r="G62" i="20" s="1"/>
  <c r="C63" i="20" s="1"/>
  <c r="AC38" i="18"/>
  <c r="AB131" i="18"/>
  <c r="AC36" i="18"/>
  <c r="AB132" i="18"/>
  <c r="AB130" i="18"/>
  <c r="H82" i="20" l="1"/>
  <c r="F63" i="20"/>
  <c r="G63" i="20" s="1"/>
  <c r="C64" i="20" s="1"/>
  <c r="J57" i="20"/>
  <c r="P56" i="20"/>
  <c r="I108" i="20"/>
  <c r="M107" i="20"/>
  <c r="N107" i="20" s="1"/>
  <c r="J108" i="20" s="1"/>
  <c r="B108" i="20"/>
  <c r="F107" i="20"/>
  <c r="G107" i="20" s="1"/>
  <c r="C108" i="20" s="1"/>
  <c r="AD38" i="18"/>
  <c r="AC131" i="18"/>
  <c r="AD36" i="18"/>
  <c r="AC130" i="18"/>
  <c r="AC132" i="18"/>
  <c r="G224" i="18"/>
  <c r="W224" i="18" s="1"/>
  <c r="T229" i="18" l="1"/>
  <c r="G229" i="18"/>
  <c r="W229" i="18" s="1"/>
  <c r="G223" i="18"/>
  <c r="W223" i="18" s="1"/>
  <c r="G225" i="18"/>
  <c r="Y229" i="18"/>
  <c r="Y230" i="18" s="1"/>
  <c r="Y231" i="18" s="1"/>
  <c r="H229" i="18"/>
  <c r="I229" i="18"/>
  <c r="Y224" i="18"/>
  <c r="Y225" i="18" s="1"/>
  <c r="Y226" i="18" s="1"/>
  <c r="H224" i="18"/>
  <c r="I224" i="18"/>
  <c r="B109" i="20"/>
  <c r="F108" i="20"/>
  <c r="G108" i="20" s="1"/>
  <c r="C109" i="20" s="1"/>
  <c r="I109" i="20"/>
  <c r="M108" i="20"/>
  <c r="N108" i="20" s="1"/>
  <c r="J109" i="20" s="1"/>
  <c r="M57" i="20"/>
  <c r="N57" i="20"/>
  <c r="H83" i="20"/>
  <c r="F64" i="20"/>
  <c r="G64" i="20" s="1"/>
  <c r="C65" i="20" s="1"/>
  <c r="AE38" i="18"/>
  <c r="AD131" i="18"/>
  <c r="AE36" i="18"/>
  <c r="AD130" i="18"/>
  <c r="AD132" i="18"/>
  <c r="N229" i="18"/>
  <c r="N230" i="18" s="1"/>
  <c r="N231" i="18" s="1"/>
  <c r="S229" i="18"/>
  <c r="S228" i="18" s="1"/>
  <c r="R229" i="18"/>
  <c r="M229" i="18"/>
  <c r="L229" i="18"/>
  <c r="Q229" i="18"/>
  <c r="K229" i="18"/>
  <c r="P229" i="18"/>
  <c r="J229" i="18"/>
  <c r="O229" i="18"/>
  <c r="P224" i="18"/>
  <c r="S224" i="18"/>
  <c r="S223" i="18" s="1"/>
  <c r="O224" i="18"/>
  <c r="K224" i="18"/>
  <c r="R224" i="18"/>
  <c r="N224" i="18"/>
  <c r="J224" i="18"/>
  <c r="Q224" i="18"/>
  <c r="M224" i="18"/>
  <c r="T224" i="18"/>
  <c r="L224" i="18"/>
  <c r="AJ75" i="18"/>
  <c r="AJ74" i="18"/>
  <c r="AJ72" i="18"/>
  <c r="J75" i="18"/>
  <c r="J209" i="18" s="1"/>
  <c r="K75" i="18"/>
  <c r="K209" i="18" s="1"/>
  <c r="L75" i="18"/>
  <c r="L209" i="18" s="1"/>
  <c r="M75" i="18"/>
  <c r="M209" i="18" s="1"/>
  <c r="N75" i="18"/>
  <c r="N209" i="18" s="1"/>
  <c r="O75" i="18"/>
  <c r="O209" i="18" s="1"/>
  <c r="P75" i="18"/>
  <c r="P209" i="18" s="1"/>
  <c r="Q75" i="18"/>
  <c r="Q209" i="18" s="1"/>
  <c r="R75" i="18"/>
  <c r="R209" i="18" s="1"/>
  <c r="S75" i="18"/>
  <c r="T75" i="18"/>
  <c r="J74" i="18"/>
  <c r="J208" i="18" s="1"/>
  <c r="K74" i="18"/>
  <c r="K208" i="18" s="1"/>
  <c r="L74" i="18"/>
  <c r="L208" i="18" s="1"/>
  <c r="M74" i="18"/>
  <c r="M208" i="18" s="1"/>
  <c r="N74" i="18"/>
  <c r="N208" i="18" s="1"/>
  <c r="O74" i="18"/>
  <c r="O208" i="18" s="1"/>
  <c r="P74" i="18"/>
  <c r="P208" i="18" s="1"/>
  <c r="Q74" i="18"/>
  <c r="Q208" i="18" s="1"/>
  <c r="R74" i="18"/>
  <c r="R208" i="18" s="1"/>
  <c r="S74" i="18"/>
  <c r="S208" i="18" s="1"/>
  <c r="T74" i="18"/>
  <c r="G226" i="18" l="1"/>
  <c r="W226" i="18" s="1"/>
  <c r="W225" i="18"/>
  <c r="Y228" i="18"/>
  <c r="G228" i="18"/>
  <c r="W228" i="18" s="1"/>
  <c r="G230" i="18"/>
  <c r="T223" i="18"/>
  <c r="Y223" i="18"/>
  <c r="T209" i="18"/>
  <c r="T208" i="18"/>
  <c r="H223" i="18"/>
  <c r="H225" i="18"/>
  <c r="I228" i="18"/>
  <c r="I230" i="18"/>
  <c r="I231" i="18" s="1"/>
  <c r="I223" i="18"/>
  <c r="I225" i="18"/>
  <c r="I226" i="18" s="1"/>
  <c r="H228" i="18"/>
  <c r="H230" i="18"/>
  <c r="H84" i="20"/>
  <c r="F65" i="20"/>
  <c r="G65" i="20" s="1"/>
  <c r="C66" i="20" s="1"/>
  <c r="I110" i="20"/>
  <c r="M109" i="20"/>
  <c r="N109" i="20" s="1"/>
  <c r="J110" i="20" s="1"/>
  <c r="B110" i="20"/>
  <c r="F109" i="20"/>
  <c r="G109" i="20" s="1"/>
  <c r="C110" i="20" s="1"/>
  <c r="J58" i="20"/>
  <c r="P57" i="20"/>
  <c r="AF38" i="18"/>
  <c r="AE131" i="18"/>
  <c r="AF36" i="18"/>
  <c r="AE132" i="18"/>
  <c r="AE130" i="18"/>
  <c r="N228" i="18"/>
  <c r="S230" i="18"/>
  <c r="S231" i="18" s="1"/>
  <c r="M225" i="18"/>
  <c r="M226" i="18" s="1"/>
  <c r="M223" i="18"/>
  <c r="R225" i="18"/>
  <c r="R226" i="18" s="1"/>
  <c r="R223" i="18"/>
  <c r="P225" i="18"/>
  <c r="P226" i="18" s="1"/>
  <c r="P223" i="18"/>
  <c r="O230" i="18"/>
  <c r="O231" i="18" s="1"/>
  <c r="O228" i="18"/>
  <c r="Q230" i="18"/>
  <c r="Q231" i="18" s="1"/>
  <c r="Q228" i="18"/>
  <c r="Q225" i="18"/>
  <c r="Q226" i="18" s="1"/>
  <c r="Q223" i="18"/>
  <c r="K225" i="18"/>
  <c r="K226" i="18" s="1"/>
  <c r="K223" i="18"/>
  <c r="J230" i="18"/>
  <c r="J231" i="18" s="1"/>
  <c r="J228" i="18"/>
  <c r="L230" i="18"/>
  <c r="L231" i="18" s="1"/>
  <c r="L228" i="18"/>
  <c r="L225" i="18"/>
  <c r="L226" i="18" s="1"/>
  <c r="L223" i="18"/>
  <c r="J225" i="18"/>
  <c r="J226" i="18" s="1"/>
  <c r="J223" i="18"/>
  <c r="O225" i="18"/>
  <c r="O226" i="18" s="1"/>
  <c r="O223" i="18"/>
  <c r="P230" i="18"/>
  <c r="P231" i="18" s="1"/>
  <c r="P228" i="18"/>
  <c r="M230" i="18"/>
  <c r="M231" i="18" s="1"/>
  <c r="M228" i="18"/>
  <c r="T225" i="18"/>
  <c r="T226" i="18" s="1"/>
  <c r="N225" i="18"/>
  <c r="N226" i="18" s="1"/>
  <c r="N223" i="18"/>
  <c r="K230" i="18"/>
  <c r="K231" i="18" s="1"/>
  <c r="K228" i="18"/>
  <c r="R230" i="18"/>
  <c r="R231" i="18" s="1"/>
  <c r="R228" i="18"/>
  <c r="T230" i="18"/>
  <c r="T231" i="18" s="1"/>
  <c r="T228" i="18"/>
  <c r="S225" i="18"/>
  <c r="S209" i="18"/>
  <c r="G231" i="18" l="1"/>
  <c r="W231" i="18" s="1"/>
  <c r="W230" i="18"/>
  <c r="H226" i="18"/>
  <c r="H231" i="18"/>
  <c r="M58" i="20"/>
  <c r="N58" i="20" s="1"/>
  <c r="B111" i="20"/>
  <c r="F110" i="20"/>
  <c r="G110" i="20" s="1"/>
  <c r="C111" i="20" s="1"/>
  <c r="I111" i="20"/>
  <c r="M110" i="20"/>
  <c r="N110" i="20" s="1"/>
  <c r="J111" i="20" s="1"/>
  <c r="F66" i="20"/>
  <c r="G66" i="20"/>
  <c r="AG38" i="18"/>
  <c r="AF131" i="18"/>
  <c r="AG36" i="18"/>
  <c r="AF132" i="18"/>
  <c r="AF130" i="18"/>
  <c r="S226" i="18"/>
  <c r="J151" i="18"/>
  <c r="K151" i="18"/>
  <c r="L151" i="18"/>
  <c r="M151" i="18"/>
  <c r="N151" i="18"/>
  <c r="O151" i="18"/>
  <c r="P151" i="18"/>
  <c r="Q151" i="18"/>
  <c r="R151" i="18"/>
  <c r="S151" i="18"/>
  <c r="T151" i="18"/>
  <c r="T150" i="18"/>
  <c r="J59" i="20" l="1"/>
  <c r="P58" i="20"/>
  <c r="C67" i="20"/>
  <c r="H66" i="20"/>
  <c r="H85" i="20" s="1"/>
  <c r="I112" i="20"/>
  <c r="M111" i="20"/>
  <c r="N111" i="20" s="1"/>
  <c r="J112" i="20" s="1"/>
  <c r="B112" i="20"/>
  <c r="F111" i="20"/>
  <c r="G111" i="20" s="1"/>
  <c r="C112" i="20" s="1"/>
  <c r="AH38" i="18"/>
  <c r="AG131" i="18"/>
  <c r="AH36" i="18"/>
  <c r="AG130" i="18"/>
  <c r="AG132" i="18"/>
  <c r="I266" i="18"/>
  <c r="I263" i="18"/>
  <c r="I264" i="18"/>
  <c r="I265" i="18"/>
  <c r="AK36" i="18" l="1"/>
  <c r="AI36" i="18"/>
  <c r="AK38" i="18"/>
  <c r="AI38" i="18"/>
  <c r="B113" i="20"/>
  <c r="F112" i="20"/>
  <c r="G112" i="20" s="1"/>
  <c r="C113" i="20" s="1"/>
  <c r="I113" i="20"/>
  <c r="M112" i="20"/>
  <c r="N112" i="20" s="1"/>
  <c r="J113" i="20" s="1"/>
  <c r="H86" i="20"/>
  <c r="F67" i="20"/>
  <c r="G67" i="20" s="1"/>
  <c r="C68" i="20" s="1"/>
  <c r="M59" i="20"/>
  <c r="N59" i="20" s="1"/>
  <c r="AH131" i="18"/>
  <c r="AH130" i="18"/>
  <c r="AH132" i="18"/>
  <c r="T255" i="18"/>
  <c r="T254" i="18"/>
  <c r="T253" i="18"/>
  <c r="T215" i="18"/>
  <c r="T70" i="18"/>
  <c r="T71" i="18"/>
  <c r="T72" i="18"/>
  <c r="T76" i="18"/>
  <c r="T77" i="18"/>
  <c r="T78" i="18"/>
  <c r="T79" i="18"/>
  <c r="T80" i="18"/>
  <c r="T82" i="18"/>
  <c r="T83" i="18"/>
  <c r="T84" i="18"/>
  <c r="T86" i="18"/>
  <c r="T87" i="18"/>
  <c r="T89" i="18"/>
  <c r="T90" i="18"/>
  <c r="T92" i="18"/>
  <c r="T94" i="18"/>
  <c r="T97" i="18"/>
  <c r="T98" i="18"/>
  <c r="T99" i="18"/>
  <c r="T100" i="18"/>
  <c r="T102" i="18"/>
  <c r="T103" i="18"/>
  <c r="T104" i="18"/>
  <c r="T109" i="18"/>
  <c r="T110" i="18"/>
  <c r="T111" i="18"/>
  <c r="T112" i="18"/>
  <c r="T113" i="18"/>
  <c r="T116" i="18"/>
  <c r="T117" i="18"/>
  <c r="T118" i="18"/>
  <c r="T119" i="18"/>
  <c r="T120" i="18"/>
  <c r="T138" i="18"/>
  <c r="T139" i="18"/>
  <c r="T140" i="18"/>
  <c r="T141" i="18"/>
  <c r="T149" i="18"/>
  <c r="T153" i="18"/>
  <c r="T154" i="18"/>
  <c r="T155" i="18"/>
  <c r="T158" i="18"/>
  <c r="T159" i="18"/>
  <c r="T160" i="18"/>
  <c r="T161" i="18"/>
  <c r="T163" i="18"/>
  <c r="T164" i="18"/>
  <c r="T166" i="18"/>
  <c r="T170" i="18"/>
  <c r="T171" i="18"/>
  <c r="AI132" i="18" l="1"/>
  <c r="AK132" i="18"/>
  <c r="AI131" i="18"/>
  <c r="AK131" i="18"/>
  <c r="AI130" i="18"/>
  <c r="AK130" i="18"/>
  <c r="T96" i="18"/>
  <c r="T143" i="18"/>
  <c r="T218" i="18"/>
  <c r="T114" i="18"/>
  <c r="T168" i="18"/>
  <c r="T126" i="18"/>
  <c r="T124" i="18"/>
  <c r="T123" i="18"/>
  <c r="T206" i="18"/>
  <c r="T122" i="18"/>
  <c r="T167" i="18"/>
  <c r="T212" i="18"/>
  <c r="T125" i="18"/>
  <c r="T213" i="18"/>
  <c r="T210" i="18"/>
  <c r="J60" i="20"/>
  <c r="P59" i="20"/>
  <c r="H87" i="20"/>
  <c r="F68" i="20"/>
  <c r="G68" i="20" s="1"/>
  <c r="C69" i="20" s="1"/>
  <c r="I114" i="20"/>
  <c r="M113" i="20"/>
  <c r="N113" i="20" s="1"/>
  <c r="J114" i="20" s="1"/>
  <c r="B114" i="20"/>
  <c r="F113" i="20"/>
  <c r="G113" i="20" s="1"/>
  <c r="C114" i="20" s="1"/>
  <c r="T207" i="18"/>
  <c r="T88" i="18"/>
  <c r="K72" i="18"/>
  <c r="K114" i="18" s="1"/>
  <c r="L72" i="18"/>
  <c r="L114" i="18" s="1"/>
  <c r="M72" i="18"/>
  <c r="M114" i="18" s="1"/>
  <c r="N72" i="18"/>
  <c r="N114" i="18" s="1"/>
  <c r="O72" i="18"/>
  <c r="O114" i="18" s="1"/>
  <c r="P72" i="18"/>
  <c r="P114" i="18" s="1"/>
  <c r="Q72" i="18"/>
  <c r="Q114" i="18" s="1"/>
  <c r="R72" i="18"/>
  <c r="R114" i="18" s="1"/>
  <c r="S72" i="18"/>
  <c r="S114" i="18" s="1"/>
  <c r="J72" i="18"/>
  <c r="J114" i="18" s="1"/>
  <c r="T144" i="18" l="1"/>
  <c r="T211" i="18"/>
  <c r="F69" i="20"/>
  <c r="G69" i="20" s="1"/>
  <c r="C70" i="20" s="1"/>
  <c r="H88" i="20"/>
  <c r="B115" i="20"/>
  <c r="F114" i="20"/>
  <c r="G114" i="20" s="1"/>
  <c r="C115" i="20" s="1"/>
  <c r="I115" i="20"/>
  <c r="M114" i="20"/>
  <c r="N114" i="20" s="1"/>
  <c r="J115" i="20" s="1"/>
  <c r="M60" i="20"/>
  <c r="N60" i="20" s="1"/>
  <c r="T220" i="18"/>
  <c r="T219" i="18"/>
  <c r="K250" i="18"/>
  <c r="T147" i="18" l="1"/>
  <c r="T145" i="18"/>
  <c r="T146" i="18" s="1"/>
  <c r="T221" i="18"/>
  <c r="F70" i="20"/>
  <c r="G70" i="20" s="1"/>
  <c r="C71" i="20" s="1"/>
  <c r="J61" i="20"/>
  <c r="P60" i="20"/>
  <c r="I116" i="20"/>
  <c r="M115" i="20"/>
  <c r="N115" i="20" s="1"/>
  <c r="J116" i="20" s="1"/>
  <c r="B116" i="20"/>
  <c r="F115" i="20"/>
  <c r="G115" i="20" s="1"/>
  <c r="C116" i="20" s="1"/>
  <c r="N246" i="18"/>
  <c r="N245" i="18"/>
  <c r="N244" i="18"/>
  <c r="N243" i="18"/>
  <c r="F71" i="20" l="1"/>
  <c r="G71" i="20"/>
  <c r="C72" i="20" s="1"/>
  <c r="B117" i="20"/>
  <c r="F116" i="20"/>
  <c r="G116" i="20" s="1"/>
  <c r="C117" i="20" s="1"/>
  <c r="I117" i="20"/>
  <c r="M116" i="20"/>
  <c r="N116" i="20" s="1"/>
  <c r="J117" i="20" s="1"/>
  <c r="M61" i="20"/>
  <c r="N61" i="20"/>
  <c r="AJ55" i="18"/>
  <c r="X55" i="18"/>
  <c r="Y55" i="18" s="1"/>
  <c r="J62" i="20" l="1"/>
  <c r="P61" i="20"/>
  <c r="F72" i="20"/>
  <c r="G72" i="20" s="1"/>
  <c r="C73" i="20" s="1"/>
  <c r="I118" i="20"/>
  <c r="M117" i="20"/>
  <c r="N117" i="20" s="1"/>
  <c r="J118" i="20" s="1"/>
  <c r="B118" i="20"/>
  <c r="F117" i="20"/>
  <c r="G117" i="20" s="1"/>
  <c r="C118" i="20" s="1"/>
  <c r="F73" i="20" l="1"/>
  <c r="G73" i="20"/>
  <c r="C74" i="20" s="1"/>
  <c r="B119" i="20"/>
  <c r="F118" i="20"/>
  <c r="G118" i="20" s="1"/>
  <c r="C119" i="20" s="1"/>
  <c r="I119" i="20"/>
  <c r="M118" i="20"/>
  <c r="N118" i="20" s="1"/>
  <c r="J119" i="20" s="1"/>
  <c r="M62" i="20"/>
  <c r="N62" i="20" s="1"/>
  <c r="Z55" i="18"/>
  <c r="V250" i="18"/>
  <c r="V251" i="18" s="1"/>
  <c r="J63" i="20" l="1"/>
  <c r="P62" i="20"/>
  <c r="F74" i="20"/>
  <c r="G74" i="20" s="1"/>
  <c r="C75" i="20" s="1"/>
  <c r="I120" i="20"/>
  <c r="M119" i="20"/>
  <c r="N119" i="20" s="1"/>
  <c r="J120" i="20" s="1"/>
  <c r="B120" i="20"/>
  <c r="F119" i="20"/>
  <c r="G119" i="20" s="1"/>
  <c r="C120" i="20" s="1"/>
  <c r="AA55" i="18"/>
  <c r="D262" i="18"/>
  <c r="I262" i="18"/>
  <c r="O138" i="18"/>
  <c r="M138" i="18"/>
  <c r="K138" i="18"/>
  <c r="J138" i="18"/>
  <c r="L138" i="18"/>
  <c r="N138" i="18"/>
  <c r="P138" i="18"/>
  <c r="Q138" i="18"/>
  <c r="R138" i="18"/>
  <c r="S138" i="18"/>
  <c r="K171" i="18"/>
  <c r="L171" i="18"/>
  <c r="M171" i="18"/>
  <c r="N171" i="18"/>
  <c r="O171" i="18"/>
  <c r="P171" i="18"/>
  <c r="Q171" i="18"/>
  <c r="R171" i="18"/>
  <c r="S171" i="18"/>
  <c r="K170" i="18"/>
  <c r="L170" i="18"/>
  <c r="M170" i="18"/>
  <c r="N170" i="18"/>
  <c r="O170" i="18"/>
  <c r="P170" i="18"/>
  <c r="Q170" i="18"/>
  <c r="R170" i="18"/>
  <c r="S170" i="18"/>
  <c r="H280" i="18"/>
  <c r="H281" i="18" s="1"/>
  <c r="AJ77" i="18"/>
  <c r="K77" i="18"/>
  <c r="L77" i="18"/>
  <c r="M77" i="18"/>
  <c r="N77" i="18"/>
  <c r="O77" i="18"/>
  <c r="P77" i="18"/>
  <c r="Q77" i="18"/>
  <c r="R77" i="18"/>
  <c r="S77" i="18"/>
  <c r="J77" i="18"/>
  <c r="I271" i="18"/>
  <c r="D270" i="18"/>
  <c r="I269" i="18"/>
  <c r="J269" i="18" s="1"/>
  <c r="K269" i="18" s="1"/>
  <c r="K270" i="18" s="1"/>
  <c r="I267" i="18"/>
  <c r="I261" i="18"/>
  <c r="I260" i="18"/>
  <c r="J260" i="18" s="1"/>
  <c r="K260" i="18" s="1"/>
  <c r="H277" i="18" l="1"/>
  <c r="N277" i="18" s="1"/>
  <c r="G277" i="18"/>
  <c r="H276" i="18"/>
  <c r="N276" i="18" s="1"/>
  <c r="N279" i="18" s="1"/>
  <c r="G276" i="18"/>
  <c r="F75" i="20"/>
  <c r="G75" i="20"/>
  <c r="C76" i="20" s="1"/>
  <c r="B121" i="20"/>
  <c r="F121" i="20" s="1"/>
  <c r="F120" i="20"/>
  <c r="G120" i="20" s="1"/>
  <c r="C121" i="20" s="1"/>
  <c r="I121" i="20"/>
  <c r="M121" i="20" s="1"/>
  <c r="M120" i="20"/>
  <c r="N120" i="20" s="1"/>
  <c r="J121" i="20" s="1"/>
  <c r="M63" i="20"/>
  <c r="N63" i="20"/>
  <c r="AB55" i="18"/>
  <c r="D272" i="18"/>
  <c r="J261" i="18"/>
  <c r="K261" i="18" s="1"/>
  <c r="J271" i="18"/>
  <c r="K271" i="18" s="1"/>
  <c r="K272" i="18" s="1"/>
  <c r="K113" i="18"/>
  <c r="L113" i="18"/>
  <c r="M113" i="18"/>
  <c r="N113" i="18"/>
  <c r="O113" i="18"/>
  <c r="P113" i="18"/>
  <c r="Q113" i="18"/>
  <c r="R113" i="18"/>
  <c r="S113" i="18"/>
  <c r="J113" i="18"/>
  <c r="J171" i="18"/>
  <c r="J170" i="18"/>
  <c r="AJ14" i="18"/>
  <c r="X14" i="18"/>
  <c r="Y14" i="18" s="1"/>
  <c r="P261" i="18"/>
  <c r="P264" i="18" s="1"/>
  <c r="P260" i="18"/>
  <c r="K120" i="18"/>
  <c r="K126" i="18" s="1"/>
  <c r="L120" i="18"/>
  <c r="L126" i="18" s="1"/>
  <c r="M120" i="18"/>
  <c r="M126" i="18" s="1"/>
  <c r="N120" i="18"/>
  <c r="N126" i="18" s="1"/>
  <c r="O120" i="18"/>
  <c r="O126" i="18" s="1"/>
  <c r="P120" i="18"/>
  <c r="P126" i="18" s="1"/>
  <c r="Q120" i="18"/>
  <c r="Q126" i="18" s="1"/>
  <c r="R120" i="18"/>
  <c r="R126" i="18" s="1"/>
  <c r="S120" i="18"/>
  <c r="S126" i="18" s="1"/>
  <c r="J120" i="18"/>
  <c r="J126" i="18" s="1"/>
  <c r="K117" i="18"/>
  <c r="K123" i="18" s="1"/>
  <c r="L117" i="18"/>
  <c r="L123" i="18" s="1"/>
  <c r="M117" i="18"/>
  <c r="M123" i="18" s="1"/>
  <c r="N117" i="18"/>
  <c r="N123" i="18" s="1"/>
  <c r="O117" i="18"/>
  <c r="O123" i="18" s="1"/>
  <c r="P117" i="18"/>
  <c r="P123" i="18" s="1"/>
  <c r="Q117" i="18"/>
  <c r="Q123" i="18" s="1"/>
  <c r="R117" i="18"/>
  <c r="R123" i="18" s="1"/>
  <c r="S117" i="18"/>
  <c r="S123" i="18" s="1"/>
  <c r="J117" i="18"/>
  <c r="J123" i="18" s="1"/>
  <c r="K118" i="18"/>
  <c r="K124" i="18" s="1"/>
  <c r="L118" i="18"/>
  <c r="L124" i="18" s="1"/>
  <c r="M118" i="18"/>
  <c r="M124" i="18" s="1"/>
  <c r="N118" i="18"/>
  <c r="N124" i="18" s="1"/>
  <c r="O118" i="18"/>
  <c r="O124" i="18" s="1"/>
  <c r="P118" i="18"/>
  <c r="P124" i="18" s="1"/>
  <c r="Q118" i="18"/>
  <c r="Q124" i="18" s="1"/>
  <c r="R118" i="18"/>
  <c r="R124" i="18" s="1"/>
  <c r="S118" i="18"/>
  <c r="S124" i="18" s="1"/>
  <c r="J118" i="18"/>
  <c r="J124" i="18" s="1"/>
  <c r="K166" i="18"/>
  <c r="K167" i="18" s="1"/>
  <c r="L166" i="18"/>
  <c r="L167" i="18" s="1"/>
  <c r="M166" i="18"/>
  <c r="M167" i="18" s="1"/>
  <c r="N166" i="18"/>
  <c r="N167" i="18" s="1"/>
  <c r="O166" i="18"/>
  <c r="O167" i="18" s="1"/>
  <c r="P166" i="18"/>
  <c r="P167" i="18" s="1"/>
  <c r="Q166" i="18"/>
  <c r="Q167" i="18" s="1"/>
  <c r="R166" i="18"/>
  <c r="R167" i="18" s="1"/>
  <c r="S166" i="18"/>
  <c r="S167" i="18" s="1"/>
  <c r="J166" i="18"/>
  <c r="J167" i="18" s="1"/>
  <c r="N280" i="18" l="1"/>
  <c r="H279" i="18"/>
  <c r="H282" i="18"/>
  <c r="G282" i="18"/>
  <c r="G279" i="18"/>
  <c r="J64" i="20"/>
  <c r="P63" i="20"/>
  <c r="F76" i="20"/>
  <c r="G76" i="20" s="1"/>
  <c r="C77" i="20" s="1"/>
  <c r="N121" i="20"/>
  <c r="N124" i="20" s="1"/>
  <c r="N89" i="20" s="1"/>
  <c r="G121" i="20"/>
  <c r="G124" i="20" s="1"/>
  <c r="G89" i="20" s="1"/>
  <c r="AC55" i="18"/>
  <c r="Z14" i="18"/>
  <c r="AA14" i="18" s="1"/>
  <c r="AB14" i="18" s="1"/>
  <c r="AC14" i="18" s="1"/>
  <c r="AD14" i="18" s="1"/>
  <c r="AE14" i="18" s="1"/>
  <c r="AF14" i="18" s="1"/>
  <c r="AG14" i="18" s="1"/>
  <c r="AH14" i="18" s="1"/>
  <c r="J262" i="18"/>
  <c r="K262" i="18" s="1"/>
  <c r="S112" i="18"/>
  <c r="S111" i="18"/>
  <c r="K112" i="18"/>
  <c r="L112" i="18"/>
  <c r="M112" i="18"/>
  <c r="N112" i="18"/>
  <c r="O112" i="18"/>
  <c r="P112" i="18"/>
  <c r="Q112" i="18"/>
  <c r="R112" i="18"/>
  <c r="J112" i="18"/>
  <c r="J111" i="18"/>
  <c r="K164" i="18"/>
  <c r="L164" i="18"/>
  <c r="M164" i="18"/>
  <c r="N164" i="18"/>
  <c r="O164" i="18"/>
  <c r="P164" i="18"/>
  <c r="Q164" i="18"/>
  <c r="R164" i="18"/>
  <c r="S164" i="18"/>
  <c r="J164" i="18"/>
  <c r="K163" i="18"/>
  <c r="L163" i="18"/>
  <c r="M163" i="18"/>
  <c r="N163" i="18"/>
  <c r="O163" i="18"/>
  <c r="P163" i="18"/>
  <c r="Q163" i="18"/>
  <c r="R163" i="18"/>
  <c r="S163" i="18"/>
  <c r="J163" i="18"/>
  <c r="K160" i="18"/>
  <c r="L160" i="18"/>
  <c r="M160" i="18"/>
  <c r="N160" i="18"/>
  <c r="O160" i="18"/>
  <c r="P160" i="18"/>
  <c r="Q160" i="18"/>
  <c r="R160" i="18"/>
  <c r="S160" i="18"/>
  <c r="J160" i="18"/>
  <c r="K161" i="18"/>
  <c r="L161" i="18"/>
  <c r="M161" i="18"/>
  <c r="N161" i="18"/>
  <c r="O161" i="18"/>
  <c r="P161" i="18"/>
  <c r="Q161" i="18"/>
  <c r="R161" i="18"/>
  <c r="S161" i="18"/>
  <c r="J161" i="18"/>
  <c r="K159" i="18"/>
  <c r="L159" i="18"/>
  <c r="M159" i="18"/>
  <c r="N159" i="18"/>
  <c r="O159" i="18"/>
  <c r="P159" i="18"/>
  <c r="Q159" i="18"/>
  <c r="R159" i="18"/>
  <c r="S159" i="18"/>
  <c r="J159" i="18"/>
  <c r="K158" i="18"/>
  <c r="L158" i="18"/>
  <c r="M158" i="18"/>
  <c r="N158" i="18"/>
  <c r="O158" i="18"/>
  <c r="P158" i="18"/>
  <c r="Q158" i="18"/>
  <c r="R158" i="18"/>
  <c r="S158" i="18"/>
  <c r="J158" i="18"/>
  <c r="K155" i="18"/>
  <c r="L155" i="18"/>
  <c r="M155" i="18"/>
  <c r="N155" i="18"/>
  <c r="O155" i="18"/>
  <c r="P155" i="18"/>
  <c r="Q155" i="18"/>
  <c r="R155" i="18"/>
  <c r="S155" i="18"/>
  <c r="J155" i="18"/>
  <c r="K154" i="18"/>
  <c r="L154" i="18"/>
  <c r="M154" i="18"/>
  <c r="N154" i="18"/>
  <c r="O154" i="18"/>
  <c r="P154" i="18"/>
  <c r="Q154" i="18"/>
  <c r="R154" i="18"/>
  <c r="S154" i="18"/>
  <c r="J154" i="18"/>
  <c r="K153" i="18"/>
  <c r="L153" i="18"/>
  <c r="M153" i="18"/>
  <c r="N153" i="18"/>
  <c r="O153" i="18"/>
  <c r="P153" i="18"/>
  <c r="Q153" i="18"/>
  <c r="R153" i="18"/>
  <c r="S153" i="18"/>
  <c r="J153" i="18"/>
  <c r="B155" i="18"/>
  <c r="B154" i="18"/>
  <c r="AJ32" i="18"/>
  <c r="X32" i="18"/>
  <c r="Y32" i="18" s="1"/>
  <c r="J141" i="18"/>
  <c r="K141" i="18"/>
  <c r="L141" i="18"/>
  <c r="M141" i="18"/>
  <c r="N141" i="18"/>
  <c r="O141" i="18"/>
  <c r="P141" i="18"/>
  <c r="Q141" i="18"/>
  <c r="R141" i="18"/>
  <c r="S141" i="18"/>
  <c r="O264" i="18"/>
  <c r="O262" i="18"/>
  <c r="P262" i="18" s="1"/>
  <c r="P267" i="18" s="1"/>
  <c r="K150" i="18"/>
  <c r="L150" i="18"/>
  <c r="M150" i="18"/>
  <c r="N150" i="18"/>
  <c r="O150" i="18"/>
  <c r="P150" i="18"/>
  <c r="Q150" i="18"/>
  <c r="R150" i="18"/>
  <c r="S150" i="18"/>
  <c r="J150" i="18"/>
  <c r="K149" i="18"/>
  <c r="L149" i="18"/>
  <c r="M149" i="18"/>
  <c r="N149" i="18"/>
  <c r="O149" i="18"/>
  <c r="P149" i="18"/>
  <c r="Q149" i="18"/>
  <c r="R149" i="18"/>
  <c r="S149" i="18"/>
  <c r="J149" i="18"/>
  <c r="AK14" i="18" l="1"/>
  <c r="AI14" i="18"/>
  <c r="F77" i="20"/>
  <c r="G77" i="20"/>
  <c r="C78" i="20" s="1"/>
  <c r="M64" i="20"/>
  <c r="N64" i="20" s="1"/>
  <c r="J263" i="18"/>
  <c r="K263" i="18" s="1"/>
  <c r="J264" i="18" s="1"/>
  <c r="K264" i="18" s="1"/>
  <c r="J265" i="18" s="1"/>
  <c r="K265" i="18" s="1"/>
  <c r="J266" i="18" s="1"/>
  <c r="K266" i="18" s="1"/>
  <c r="J267" i="18" s="1"/>
  <c r="K267" i="18" s="1"/>
  <c r="K268" i="18" s="1"/>
  <c r="AD55" i="18"/>
  <c r="Z32" i="18"/>
  <c r="AA32" i="18" s="1"/>
  <c r="AB32" i="18" s="1"/>
  <c r="AC32" i="18" s="1"/>
  <c r="AD32" i="18" s="1"/>
  <c r="AE32" i="18" s="1"/>
  <c r="AF32" i="18" s="1"/>
  <c r="AG32" i="18" s="1"/>
  <c r="AH32" i="18" s="1"/>
  <c r="O267" i="18"/>
  <c r="X9" i="18"/>
  <c r="Y9" i="18" s="1"/>
  <c r="X10" i="18"/>
  <c r="Y10" i="18" s="1"/>
  <c r="X12" i="18"/>
  <c r="Y12" i="18" s="1"/>
  <c r="X13" i="18"/>
  <c r="Y13" i="18" s="1"/>
  <c r="X15" i="18"/>
  <c r="Y15" i="18" s="1"/>
  <c r="X16" i="18"/>
  <c r="Y16" i="18" s="1"/>
  <c r="X18" i="18"/>
  <c r="Y18" i="18" s="1"/>
  <c r="X20" i="18"/>
  <c r="Y20" i="18" s="1"/>
  <c r="X21" i="18"/>
  <c r="Y21" i="18" s="1"/>
  <c r="X22" i="18"/>
  <c r="Y22" i="18" s="1"/>
  <c r="X23" i="18"/>
  <c r="Y23" i="18" s="1"/>
  <c r="X25" i="18"/>
  <c r="X27" i="18"/>
  <c r="Y27" i="18" s="1"/>
  <c r="X29" i="18"/>
  <c r="Y29" i="18" s="1"/>
  <c r="X31" i="18"/>
  <c r="Y31" i="18" s="1"/>
  <c r="X33" i="18"/>
  <c r="Y33" i="18" s="1"/>
  <c r="X34" i="18"/>
  <c r="Y34" i="18" s="1"/>
  <c r="X53" i="18"/>
  <c r="Y53" i="18" s="1"/>
  <c r="X59" i="18"/>
  <c r="R238" i="18" s="1"/>
  <c r="X7" i="18"/>
  <c r="Y7" i="18" s="1"/>
  <c r="X6" i="18"/>
  <c r="Y6" i="18" s="1"/>
  <c r="AJ9" i="18"/>
  <c r="AJ10" i="18"/>
  <c r="AJ12" i="18"/>
  <c r="AJ13" i="18"/>
  <c r="AJ15" i="18"/>
  <c r="AJ16" i="18"/>
  <c r="AJ18" i="18"/>
  <c r="AJ20" i="18"/>
  <c r="AJ21" i="18"/>
  <c r="AJ22" i="18"/>
  <c r="AJ23" i="18"/>
  <c r="AJ25" i="18"/>
  <c r="AJ27" i="18"/>
  <c r="AJ29" i="18"/>
  <c r="AJ31" i="18"/>
  <c r="AJ33" i="18"/>
  <c r="AJ34" i="18"/>
  <c r="AJ53" i="18"/>
  <c r="AJ59" i="18"/>
  <c r="AJ61" i="18"/>
  <c r="AJ63" i="18"/>
  <c r="AJ70" i="18"/>
  <c r="AJ71" i="18"/>
  <c r="AJ76" i="18"/>
  <c r="AJ78" i="18"/>
  <c r="AJ79" i="18"/>
  <c r="AJ80" i="18"/>
  <c r="AJ82" i="18"/>
  <c r="AJ83" i="18"/>
  <c r="AJ84" i="18"/>
  <c r="AJ86" i="18"/>
  <c r="AJ87" i="18"/>
  <c r="AJ88" i="18"/>
  <c r="AJ89" i="18"/>
  <c r="AJ92" i="18"/>
  <c r="AJ94" i="18"/>
  <c r="AJ96" i="18"/>
  <c r="AJ97" i="18"/>
  <c r="AJ98" i="18"/>
  <c r="AJ99" i="18"/>
  <c r="AJ100" i="18"/>
  <c r="AJ102" i="18"/>
  <c r="AJ103" i="18"/>
  <c r="AJ104" i="18"/>
  <c r="AJ7" i="18"/>
  <c r="AJ6" i="18"/>
  <c r="AK32" i="18" l="1"/>
  <c r="AI32" i="18"/>
  <c r="Y25" i="18"/>
  <c r="Y133" i="18" s="1"/>
  <c r="Y59" i="18"/>
  <c r="J65" i="20"/>
  <c r="P64" i="20"/>
  <c r="F78" i="20"/>
  <c r="G78" i="20" s="1"/>
  <c r="AE55" i="18"/>
  <c r="K116" i="18"/>
  <c r="K122" i="18" s="1"/>
  <c r="L116" i="18"/>
  <c r="L122" i="18" s="1"/>
  <c r="M116" i="18"/>
  <c r="M122" i="18" s="1"/>
  <c r="N116" i="18"/>
  <c r="N122" i="18" s="1"/>
  <c r="O116" i="18"/>
  <c r="O122" i="18" s="1"/>
  <c r="P116" i="18"/>
  <c r="P122" i="18" s="1"/>
  <c r="Q116" i="18"/>
  <c r="Q122" i="18" s="1"/>
  <c r="R116" i="18"/>
  <c r="R122" i="18" s="1"/>
  <c r="S116" i="18"/>
  <c r="S122" i="18" s="1"/>
  <c r="K119" i="18"/>
  <c r="K125" i="18" s="1"/>
  <c r="L119" i="18"/>
  <c r="L125" i="18" s="1"/>
  <c r="M119" i="18"/>
  <c r="M125" i="18" s="1"/>
  <c r="N119" i="18"/>
  <c r="N125" i="18" s="1"/>
  <c r="O119" i="18"/>
  <c r="O125" i="18" s="1"/>
  <c r="P119" i="18"/>
  <c r="P125" i="18" s="1"/>
  <c r="Q119" i="18"/>
  <c r="Q125" i="18" s="1"/>
  <c r="R119" i="18"/>
  <c r="R125" i="18" s="1"/>
  <c r="S119" i="18"/>
  <c r="S125" i="18" s="1"/>
  <c r="J119" i="18"/>
  <c r="J125" i="18" s="1"/>
  <c r="J116" i="18"/>
  <c r="J122" i="18" s="1"/>
  <c r="Y134" i="18" l="1"/>
  <c r="S238" i="18"/>
  <c r="Y128" i="18"/>
  <c r="Y72" i="18"/>
  <c r="Y114" i="18" s="1"/>
  <c r="Y129" i="18"/>
  <c r="Y135" i="18"/>
  <c r="Y136" i="18"/>
  <c r="G81" i="20"/>
  <c r="G82" i="20" s="1"/>
  <c r="C79" i="20"/>
  <c r="M65" i="20"/>
  <c r="N65" i="20"/>
  <c r="J66" i="20" s="1"/>
  <c r="AF55" i="18"/>
  <c r="Z31" i="18"/>
  <c r="Y151" i="18"/>
  <c r="Z29" i="18"/>
  <c r="K140" i="18"/>
  <c r="L140" i="18"/>
  <c r="M140" i="18"/>
  <c r="N140" i="18"/>
  <c r="O140" i="18"/>
  <c r="P140" i="18"/>
  <c r="Q140" i="18"/>
  <c r="R140" i="18"/>
  <c r="S140" i="18"/>
  <c r="J140" i="18"/>
  <c r="K139" i="18"/>
  <c r="L139" i="18"/>
  <c r="M139" i="18"/>
  <c r="N139" i="18"/>
  <c r="O139" i="18"/>
  <c r="P139" i="18"/>
  <c r="Q139" i="18"/>
  <c r="R139" i="18"/>
  <c r="S139" i="18"/>
  <c r="J139" i="18"/>
  <c r="M66" i="20" l="1"/>
  <c r="N66" i="20"/>
  <c r="J67" i="20" s="1"/>
  <c r="F79" i="20"/>
  <c r="G79" i="20"/>
  <c r="AG55" i="18"/>
  <c r="AA31" i="18"/>
  <c r="AA29" i="18"/>
  <c r="M67" i="20" l="1"/>
  <c r="N67" i="20"/>
  <c r="J68" i="20" s="1"/>
  <c r="AH55" i="18"/>
  <c r="AB31" i="18"/>
  <c r="AB29" i="18"/>
  <c r="J215" i="18"/>
  <c r="K215" i="18"/>
  <c r="L215" i="18"/>
  <c r="M215" i="18"/>
  <c r="N215" i="18"/>
  <c r="O215" i="18"/>
  <c r="P215" i="18"/>
  <c r="Q215" i="18"/>
  <c r="R215" i="18"/>
  <c r="S215" i="18"/>
  <c r="J92" i="18"/>
  <c r="J143" i="18" s="1"/>
  <c r="J144" i="18" s="1"/>
  <c r="J147" i="18" s="1"/>
  <c r="K92" i="18"/>
  <c r="K143" i="18" s="1"/>
  <c r="K144" i="18" s="1"/>
  <c r="K147" i="18" s="1"/>
  <c r="L92" i="18"/>
  <c r="L143" i="18" s="1"/>
  <c r="L144" i="18" s="1"/>
  <c r="L147" i="18" s="1"/>
  <c r="M92" i="18"/>
  <c r="M143" i="18" s="1"/>
  <c r="M144" i="18" s="1"/>
  <c r="M147" i="18" s="1"/>
  <c r="N92" i="18"/>
  <c r="N143" i="18" s="1"/>
  <c r="N144" i="18" s="1"/>
  <c r="N147" i="18" s="1"/>
  <c r="O92" i="18"/>
  <c r="O143" i="18" s="1"/>
  <c r="O144" i="18" s="1"/>
  <c r="O147" i="18" s="1"/>
  <c r="P92" i="18"/>
  <c r="P143" i="18" s="1"/>
  <c r="P144" i="18" s="1"/>
  <c r="P147" i="18" s="1"/>
  <c r="Q92" i="18"/>
  <c r="Q143" i="18" s="1"/>
  <c r="Q144" i="18" s="1"/>
  <c r="Q147" i="18" s="1"/>
  <c r="R92" i="18"/>
  <c r="R143" i="18" s="1"/>
  <c r="R144" i="18" s="1"/>
  <c r="R147" i="18" s="1"/>
  <c r="S92" i="18"/>
  <c r="S143" i="18" s="1"/>
  <c r="AK55" i="18" l="1"/>
  <c r="AI55" i="18"/>
  <c r="M68" i="20"/>
  <c r="N68" i="20" s="1"/>
  <c r="J69" i="20" s="1"/>
  <c r="AC31" i="18"/>
  <c r="Y92" i="18"/>
  <c r="AC29" i="18"/>
  <c r="Q145" i="18"/>
  <c r="Q146" i="18" s="1"/>
  <c r="M145" i="18"/>
  <c r="M146" i="18" s="1"/>
  <c r="O145" i="18"/>
  <c r="O146" i="18" s="1"/>
  <c r="K145" i="18"/>
  <c r="K146" i="18" s="1"/>
  <c r="P145" i="18"/>
  <c r="P146" i="18" s="1"/>
  <c r="L145" i="18"/>
  <c r="L146" i="18" s="1"/>
  <c r="R145" i="18"/>
  <c r="R146" i="18" s="1"/>
  <c r="N145" i="18"/>
  <c r="N146" i="18" s="1"/>
  <c r="J145" i="18"/>
  <c r="J146" i="18" s="1"/>
  <c r="S144" i="18"/>
  <c r="S147" i="18" s="1"/>
  <c r="Z63" i="18"/>
  <c r="M69" i="20" l="1"/>
  <c r="N69" i="20"/>
  <c r="J70" i="20" s="1"/>
  <c r="AD31" i="18"/>
  <c r="AA63" i="18"/>
  <c r="AD29" i="18"/>
  <c r="S145" i="18"/>
  <c r="Z92" i="18"/>
  <c r="J102" i="18"/>
  <c r="J168" i="18" s="1"/>
  <c r="K102" i="18"/>
  <c r="K168" i="18" s="1"/>
  <c r="L102" i="18"/>
  <c r="L168" i="18" s="1"/>
  <c r="M102" i="18"/>
  <c r="M168" i="18" s="1"/>
  <c r="N102" i="18"/>
  <c r="N168" i="18" s="1"/>
  <c r="O102" i="18"/>
  <c r="O168" i="18" s="1"/>
  <c r="P102" i="18"/>
  <c r="P168" i="18" s="1"/>
  <c r="Q102" i="18"/>
  <c r="Q168" i="18" s="1"/>
  <c r="R102" i="18"/>
  <c r="R168" i="18" s="1"/>
  <c r="J103" i="18"/>
  <c r="K103" i="18"/>
  <c r="L103" i="18"/>
  <c r="M103" i="18"/>
  <c r="N103" i="18"/>
  <c r="O103" i="18"/>
  <c r="P103" i="18"/>
  <c r="Q103" i="18"/>
  <c r="R103" i="18"/>
  <c r="J104" i="18"/>
  <c r="K104" i="18"/>
  <c r="L104" i="18"/>
  <c r="M104" i="18"/>
  <c r="N104" i="18"/>
  <c r="O104" i="18"/>
  <c r="P104" i="18"/>
  <c r="Q104" i="18"/>
  <c r="R104" i="18"/>
  <c r="S104" i="18"/>
  <c r="S103" i="18"/>
  <c r="S102" i="18"/>
  <c r="S168" i="18" s="1"/>
  <c r="K111" i="18"/>
  <c r="L111" i="18"/>
  <c r="M111" i="18"/>
  <c r="N111" i="18"/>
  <c r="O111" i="18"/>
  <c r="P111" i="18"/>
  <c r="Q111" i="18"/>
  <c r="R111" i="18"/>
  <c r="J110" i="18"/>
  <c r="K110" i="18"/>
  <c r="L110" i="18"/>
  <c r="M110" i="18"/>
  <c r="N110" i="18"/>
  <c r="O110" i="18"/>
  <c r="P110" i="18"/>
  <c r="Q110" i="18"/>
  <c r="R110" i="18"/>
  <c r="J109" i="18"/>
  <c r="K109" i="18"/>
  <c r="L109" i="18"/>
  <c r="M109" i="18"/>
  <c r="N109" i="18"/>
  <c r="O109" i="18"/>
  <c r="P109" i="18"/>
  <c r="Q109" i="18"/>
  <c r="R109" i="18"/>
  <c r="S110" i="18"/>
  <c r="M70" i="20" l="1"/>
  <c r="N70" i="20"/>
  <c r="J71" i="20" s="1"/>
  <c r="AE31" i="18"/>
  <c r="AB63" i="18"/>
  <c r="AA92" i="18"/>
  <c r="AE29" i="18"/>
  <c r="S109" i="18"/>
  <c r="K255" i="18"/>
  <c r="L255" i="18"/>
  <c r="M255" i="18"/>
  <c r="N255" i="18"/>
  <c r="O255" i="18"/>
  <c r="P255" i="18"/>
  <c r="Q255" i="18"/>
  <c r="R255" i="18"/>
  <c r="S255" i="18"/>
  <c r="J255" i="18"/>
  <c r="K254" i="18"/>
  <c r="L254" i="18"/>
  <c r="M254" i="18"/>
  <c r="N254" i="18"/>
  <c r="O254" i="18"/>
  <c r="P254" i="18"/>
  <c r="Q254" i="18"/>
  <c r="R254" i="18"/>
  <c r="S254" i="18"/>
  <c r="J254" i="18"/>
  <c r="K253" i="18"/>
  <c r="L253" i="18"/>
  <c r="M253" i="18"/>
  <c r="N253" i="18"/>
  <c r="O253" i="18"/>
  <c r="P253" i="18"/>
  <c r="Q253" i="18"/>
  <c r="R253" i="18"/>
  <c r="S253" i="18"/>
  <c r="J253" i="18"/>
  <c r="K71" i="18"/>
  <c r="L71" i="18"/>
  <c r="M71" i="18"/>
  <c r="N71" i="18"/>
  <c r="O71" i="18"/>
  <c r="P71" i="18"/>
  <c r="Q71" i="18"/>
  <c r="R71" i="18"/>
  <c r="S71" i="18"/>
  <c r="J71" i="18"/>
  <c r="J76" i="18"/>
  <c r="K70" i="18"/>
  <c r="K206" i="18" s="1"/>
  <c r="L70" i="18"/>
  <c r="L206" i="18" s="1"/>
  <c r="M70" i="18"/>
  <c r="M206" i="18" s="1"/>
  <c r="N70" i="18"/>
  <c r="N206" i="18" s="1"/>
  <c r="O70" i="18"/>
  <c r="O206" i="18" s="1"/>
  <c r="P70" i="18"/>
  <c r="P206" i="18" s="1"/>
  <c r="Q70" i="18"/>
  <c r="Q206" i="18" s="1"/>
  <c r="R70" i="18"/>
  <c r="R206" i="18" s="1"/>
  <c r="S70" i="18"/>
  <c r="S206" i="18" s="1"/>
  <c r="J70" i="18"/>
  <c r="J206" i="18" s="1"/>
  <c r="Y117" i="18"/>
  <c r="Y123" i="18" s="1"/>
  <c r="J218" i="18" l="1"/>
  <c r="M71" i="20"/>
  <c r="N71" i="20" s="1"/>
  <c r="J72" i="20" s="1"/>
  <c r="AF31" i="18"/>
  <c r="AC63" i="18"/>
  <c r="AB92" i="18"/>
  <c r="AF29" i="18"/>
  <c r="Z53" i="18"/>
  <c r="M72" i="20" l="1"/>
  <c r="N72" i="20" s="1"/>
  <c r="J73" i="20" s="1"/>
  <c r="Z117" i="18"/>
  <c r="Z123" i="18" s="1"/>
  <c r="AG31" i="18"/>
  <c r="AD63" i="18"/>
  <c r="AC92" i="18"/>
  <c r="AG29" i="18"/>
  <c r="AA53" i="18"/>
  <c r="L99" i="18"/>
  <c r="M99" i="18"/>
  <c r="N99" i="18"/>
  <c r="O99" i="18"/>
  <c r="P99" i="18"/>
  <c r="Q99" i="18"/>
  <c r="R99" i="18"/>
  <c r="S99" i="18"/>
  <c r="L100" i="18"/>
  <c r="M100" i="18"/>
  <c r="N100" i="18"/>
  <c r="O100" i="18"/>
  <c r="P100" i="18"/>
  <c r="Q100" i="18"/>
  <c r="R100" i="18"/>
  <c r="S100" i="18"/>
  <c r="L94" i="18"/>
  <c r="L96" i="18" s="1"/>
  <c r="M94" i="18"/>
  <c r="M96" i="18" s="1"/>
  <c r="N94" i="18"/>
  <c r="N96" i="18" s="1"/>
  <c r="O94" i="18"/>
  <c r="O96" i="18" s="1"/>
  <c r="P94" i="18"/>
  <c r="P96" i="18" s="1"/>
  <c r="Q94" i="18"/>
  <c r="Q96" i="18" s="1"/>
  <c r="R94" i="18"/>
  <c r="R96" i="18" s="1"/>
  <c r="S94" i="18"/>
  <c r="S96" i="18" s="1"/>
  <c r="L97" i="18"/>
  <c r="M97" i="18"/>
  <c r="N97" i="18"/>
  <c r="O97" i="18"/>
  <c r="P97" i="18"/>
  <c r="Q97" i="18"/>
  <c r="R97" i="18"/>
  <c r="S97" i="18"/>
  <c r="L98" i="18"/>
  <c r="M98" i="18"/>
  <c r="N98" i="18"/>
  <c r="O98" i="18"/>
  <c r="P98" i="18"/>
  <c r="Q98" i="18"/>
  <c r="R98" i="18"/>
  <c r="S98" i="18"/>
  <c r="J97" i="18"/>
  <c r="J98" i="18"/>
  <c r="J99" i="18"/>
  <c r="J100" i="18"/>
  <c r="K100" i="18"/>
  <c r="K99" i="18"/>
  <c r="Z22" i="18"/>
  <c r="AA22" i="18" s="1"/>
  <c r="AB22" i="18" s="1"/>
  <c r="AC22" i="18" s="1"/>
  <c r="AD22" i="18" s="1"/>
  <c r="AE22" i="18" s="1"/>
  <c r="AF22" i="18" s="1"/>
  <c r="AG22" i="18" s="1"/>
  <c r="AH22" i="18" s="1"/>
  <c r="J94" i="18"/>
  <c r="J96" i="18" s="1"/>
  <c r="K94" i="18"/>
  <c r="K96" i="18" s="1"/>
  <c r="K98" i="18"/>
  <c r="K97" i="18"/>
  <c r="AK22" i="18" l="1"/>
  <c r="AI22" i="18"/>
  <c r="M73" i="20"/>
  <c r="N73" i="20" s="1"/>
  <c r="J74" i="20" s="1"/>
  <c r="AA117" i="18"/>
  <c r="AA123" i="18" s="1"/>
  <c r="AH31" i="18"/>
  <c r="AE63" i="18"/>
  <c r="AD92" i="18"/>
  <c r="Z23" i="18"/>
  <c r="Y120" i="18"/>
  <c r="Y126" i="18" s="1"/>
  <c r="AH29" i="18"/>
  <c r="AB53" i="18"/>
  <c r="Z21" i="18"/>
  <c r="AK31" i="18" l="1"/>
  <c r="AI31" i="18"/>
  <c r="AK29" i="18"/>
  <c r="AI29" i="18"/>
  <c r="M74" i="20"/>
  <c r="N74" i="20" s="1"/>
  <c r="J75" i="20" s="1"/>
  <c r="AB117" i="18"/>
  <c r="AB123" i="18" s="1"/>
  <c r="AE92" i="18"/>
  <c r="AF63" i="18"/>
  <c r="AA23" i="18"/>
  <c r="Z120" i="18"/>
  <c r="Z126" i="18" s="1"/>
  <c r="Z20" i="18"/>
  <c r="Y94" i="18"/>
  <c r="AA21" i="18"/>
  <c r="Z9" i="18"/>
  <c r="AA9" i="18" s="1"/>
  <c r="AB9" i="18" s="1"/>
  <c r="AC9" i="18" s="1"/>
  <c r="AD9" i="18" s="1"/>
  <c r="AE9" i="18" s="1"/>
  <c r="AF9" i="18" s="1"/>
  <c r="AG9" i="18" s="1"/>
  <c r="AH9" i="18" s="1"/>
  <c r="Y113" i="18"/>
  <c r="Z33" i="18"/>
  <c r="AA33" i="18" s="1"/>
  <c r="AB33" i="18" s="1"/>
  <c r="AC33" i="18" s="1"/>
  <c r="AD33" i="18" s="1"/>
  <c r="AE33" i="18" s="1"/>
  <c r="AF33" i="18" s="1"/>
  <c r="AG33" i="18" s="1"/>
  <c r="AH33" i="18" s="1"/>
  <c r="Z34" i="18"/>
  <c r="AA34" i="18" s="1"/>
  <c r="AB34" i="18" s="1"/>
  <c r="AC34" i="18" s="1"/>
  <c r="AD34" i="18" s="1"/>
  <c r="AE34" i="18" s="1"/>
  <c r="AF34" i="18" s="1"/>
  <c r="AG34" i="18" s="1"/>
  <c r="AH34" i="18" s="1"/>
  <c r="AC53" i="18"/>
  <c r="R90" i="18"/>
  <c r="R212" i="18" s="1"/>
  <c r="R89" i="18"/>
  <c r="R87" i="18"/>
  <c r="R86" i="18"/>
  <c r="R84" i="18"/>
  <c r="R213" i="18" s="1"/>
  <c r="R83" i="18"/>
  <c r="R82" i="18"/>
  <c r="R80" i="18"/>
  <c r="R79" i="18"/>
  <c r="R210" i="18" s="1"/>
  <c r="R78" i="18"/>
  <c r="R76" i="18"/>
  <c r="AK9" i="18" l="1"/>
  <c r="AI9" i="18"/>
  <c r="R218" i="18"/>
  <c r="AK34" i="18"/>
  <c r="AI34" i="18"/>
  <c r="AK33" i="18"/>
  <c r="AI33" i="18"/>
  <c r="M75" i="20"/>
  <c r="N75" i="20" s="1"/>
  <c r="J76" i="20" s="1"/>
  <c r="AC117" i="18"/>
  <c r="AC123" i="18" s="1"/>
  <c r="AF92" i="18"/>
  <c r="AG63" i="18"/>
  <c r="Z94" i="18"/>
  <c r="Y160" i="18"/>
  <c r="Y170" i="18"/>
  <c r="Y161" i="18"/>
  <c r="Y171" i="18"/>
  <c r="AB23" i="18"/>
  <c r="AA120" i="18"/>
  <c r="AA126" i="18" s="1"/>
  <c r="Y154" i="18"/>
  <c r="Y155" i="18"/>
  <c r="Y153" i="18"/>
  <c r="Y141" i="18"/>
  <c r="S146" i="18"/>
  <c r="Y116" i="18"/>
  <c r="Y122" i="18" s="1"/>
  <c r="Y150" i="18"/>
  <c r="Y149" i="18"/>
  <c r="Z18" i="18"/>
  <c r="R207" i="18"/>
  <c r="AA20" i="18"/>
  <c r="Z27" i="18"/>
  <c r="AD53" i="18"/>
  <c r="Z25" i="18"/>
  <c r="Z133" i="18" s="1"/>
  <c r="Y109" i="18"/>
  <c r="AB21" i="18"/>
  <c r="R88" i="18"/>
  <c r="R211" i="18" s="1"/>
  <c r="J84" i="18"/>
  <c r="J213" i="18" s="1"/>
  <c r="K84" i="18"/>
  <c r="K213" i="18" s="1"/>
  <c r="L84" i="18"/>
  <c r="L213" i="18" s="1"/>
  <c r="M84" i="18"/>
  <c r="M213" i="18" s="1"/>
  <c r="N84" i="18"/>
  <c r="N213" i="18" s="1"/>
  <c r="O84" i="18"/>
  <c r="O213" i="18" s="1"/>
  <c r="P84" i="18"/>
  <c r="P213" i="18" s="1"/>
  <c r="Q84" i="18"/>
  <c r="Q213" i="18" s="1"/>
  <c r="S84" i="18"/>
  <c r="M76" i="20" l="1"/>
  <c r="N76" i="20" s="1"/>
  <c r="J77" i="20" s="1"/>
  <c r="Z128" i="18"/>
  <c r="Z129" i="18"/>
  <c r="R220" i="18"/>
  <c r="R221" i="18" s="1"/>
  <c r="R219" i="18"/>
  <c r="AD117" i="18"/>
  <c r="AD123" i="18" s="1"/>
  <c r="Z113" i="18"/>
  <c r="Z151" i="18"/>
  <c r="AH63" i="18"/>
  <c r="AG92" i="18"/>
  <c r="Z161" i="18"/>
  <c r="Z171" i="18"/>
  <c r="Z160" i="18"/>
  <c r="Z170" i="18"/>
  <c r="AC23" i="18"/>
  <c r="AB120" i="18"/>
  <c r="AB126" i="18" s="1"/>
  <c r="Z153" i="18"/>
  <c r="Z155" i="18"/>
  <c r="Z154" i="18"/>
  <c r="Z141" i="18"/>
  <c r="Z116" i="18"/>
  <c r="Z122" i="18" s="1"/>
  <c r="Z150" i="18"/>
  <c r="Z149" i="18"/>
  <c r="AA18" i="18"/>
  <c r="AB20" i="18"/>
  <c r="AA94" i="18"/>
  <c r="AA27" i="18"/>
  <c r="AA25" i="18"/>
  <c r="Z109" i="18"/>
  <c r="AE53" i="18"/>
  <c r="AC21" i="18"/>
  <c r="S213" i="18"/>
  <c r="J83" i="18"/>
  <c r="K83" i="18"/>
  <c r="L83" i="18"/>
  <c r="M83" i="18"/>
  <c r="N83" i="18"/>
  <c r="O83" i="18"/>
  <c r="P83" i="18"/>
  <c r="Q83" i="18"/>
  <c r="S83" i="18"/>
  <c r="J82" i="18"/>
  <c r="K82" i="18"/>
  <c r="L82" i="18"/>
  <c r="M82" i="18"/>
  <c r="N82" i="18"/>
  <c r="O82" i="18"/>
  <c r="P82" i="18"/>
  <c r="Q82" i="18"/>
  <c r="S82" i="18"/>
  <c r="AK63" i="18" l="1"/>
  <c r="AI63" i="18"/>
  <c r="M77" i="20"/>
  <c r="N77" i="20" s="1"/>
  <c r="J78" i="20" s="1"/>
  <c r="AA129" i="18"/>
  <c r="AA133" i="18"/>
  <c r="AA151" i="18"/>
  <c r="AA128" i="18"/>
  <c r="AE117" i="18"/>
  <c r="AE123" i="18" s="1"/>
  <c r="AH92" i="18"/>
  <c r="AK92" i="18" s="1"/>
  <c r="AA160" i="18"/>
  <c r="AA170" i="18"/>
  <c r="AA161" i="18"/>
  <c r="AA171" i="18"/>
  <c r="AA113" i="18"/>
  <c r="AD23" i="18"/>
  <c r="AC120" i="18"/>
  <c r="AC126" i="18" s="1"/>
  <c r="AA155" i="18"/>
  <c r="AA154" i="18"/>
  <c r="AA153" i="18"/>
  <c r="AA141" i="18"/>
  <c r="AA116" i="18"/>
  <c r="AA122" i="18" s="1"/>
  <c r="AA150" i="18"/>
  <c r="AA149" i="18"/>
  <c r="AB18" i="18"/>
  <c r="AC20" i="18"/>
  <c r="AB94" i="18"/>
  <c r="AB27" i="18"/>
  <c r="AB25" i="18"/>
  <c r="AB133" i="18" s="1"/>
  <c r="AA109" i="18"/>
  <c r="AF53" i="18"/>
  <c r="AD21" i="18"/>
  <c r="M78" i="20" l="1"/>
  <c r="N78" i="20" s="1"/>
  <c r="AB128" i="18"/>
  <c r="AB129" i="18"/>
  <c r="AF117" i="18"/>
  <c r="AF123" i="18" s="1"/>
  <c r="AB113" i="18"/>
  <c r="AB151" i="18"/>
  <c r="Y192" i="18"/>
  <c r="T242" i="18" s="1"/>
  <c r="Z192" i="18"/>
  <c r="S242" i="18" s="1"/>
  <c r="AI92" i="18"/>
  <c r="AB161" i="18"/>
  <c r="AB171" i="18"/>
  <c r="AB160" i="18"/>
  <c r="AB170" i="18"/>
  <c r="AE23" i="18"/>
  <c r="AD120" i="18"/>
  <c r="AD126" i="18" s="1"/>
  <c r="AB141" i="18"/>
  <c r="AB155" i="18"/>
  <c r="AB154" i="18"/>
  <c r="AB153" i="18"/>
  <c r="AB116" i="18"/>
  <c r="AB122" i="18" s="1"/>
  <c r="AB150" i="18"/>
  <c r="AB149" i="18"/>
  <c r="AC18" i="18"/>
  <c r="AD20" i="18"/>
  <c r="AC94" i="18"/>
  <c r="AC27" i="18"/>
  <c r="AC25" i="18"/>
  <c r="AB109" i="18"/>
  <c r="AG53" i="18"/>
  <c r="AE21" i="18"/>
  <c r="K76" i="18"/>
  <c r="L76" i="18"/>
  <c r="M76" i="18"/>
  <c r="N76" i="18"/>
  <c r="N218" i="18" s="1"/>
  <c r="O76" i="18"/>
  <c r="O218" i="18" s="1"/>
  <c r="P76" i="18"/>
  <c r="P218" i="18" s="1"/>
  <c r="Q76" i="18"/>
  <c r="S76" i="18"/>
  <c r="J90" i="18"/>
  <c r="K90" i="18"/>
  <c r="K212" i="18" s="1"/>
  <c r="L90" i="18"/>
  <c r="L212" i="18" s="1"/>
  <c r="M90" i="18"/>
  <c r="M212" i="18" s="1"/>
  <c r="N90" i="18"/>
  <c r="N212" i="18" s="1"/>
  <c r="O90" i="18"/>
  <c r="O212" i="18" s="1"/>
  <c r="P90" i="18"/>
  <c r="P212" i="18" s="1"/>
  <c r="Q90" i="18"/>
  <c r="S90" i="18"/>
  <c r="J89" i="18"/>
  <c r="K89" i="18"/>
  <c r="L89" i="18"/>
  <c r="M89" i="18"/>
  <c r="N89" i="18"/>
  <c r="O89" i="18"/>
  <c r="P89" i="18"/>
  <c r="Q89" i="18"/>
  <c r="S89" i="18"/>
  <c r="J87" i="18"/>
  <c r="K87" i="18"/>
  <c r="L87" i="18"/>
  <c r="M87" i="18"/>
  <c r="N87" i="18"/>
  <c r="O87" i="18"/>
  <c r="P87" i="18"/>
  <c r="Q87" i="18"/>
  <c r="S87" i="18"/>
  <c r="J86" i="18"/>
  <c r="K86" i="18"/>
  <c r="L86" i="18"/>
  <c r="M86" i="18"/>
  <c r="N86" i="18"/>
  <c r="O86" i="18"/>
  <c r="P86" i="18"/>
  <c r="Q86" i="18"/>
  <c r="S86" i="18"/>
  <c r="J80" i="18"/>
  <c r="K80" i="18"/>
  <c r="L80" i="18"/>
  <c r="M80" i="18"/>
  <c r="N80" i="18"/>
  <c r="O80" i="18"/>
  <c r="P80" i="18"/>
  <c r="Q80" i="18"/>
  <c r="S80" i="18"/>
  <c r="J79" i="18"/>
  <c r="K79" i="18"/>
  <c r="K210" i="18" s="1"/>
  <c r="L79" i="18"/>
  <c r="L210" i="18" s="1"/>
  <c r="M79" i="18"/>
  <c r="M210" i="18" s="1"/>
  <c r="N79" i="18"/>
  <c r="N210" i="18" s="1"/>
  <c r="O79" i="18"/>
  <c r="O210" i="18" s="1"/>
  <c r="P79" i="18"/>
  <c r="P210" i="18" s="1"/>
  <c r="Q79" i="18"/>
  <c r="S79" i="18"/>
  <c r="J78" i="18"/>
  <c r="K78" i="18"/>
  <c r="L78" i="18"/>
  <c r="M78" i="18"/>
  <c r="N78" i="18"/>
  <c r="O78" i="18"/>
  <c r="P78" i="18"/>
  <c r="Q78" i="18"/>
  <c r="S78" i="18"/>
  <c r="Y158" i="18"/>
  <c r="Y166" i="18"/>
  <c r="Y167" i="18" s="1"/>
  <c r="Y118" i="18"/>
  <c r="Y124" i="18" s="1"/>
  <c r="S218" i="18" l="1"/>
  <c r="U174" i="18"/>
  <c r="M218" i="18"/>
  <c r="W174" i="18"/>
  <c r="V249" i="18" s="1"/>
  <c r="V248" i="18" s="1"/>
  <c r="Q218" i="18"/>
  <c r="L218" i="18"/>
  <c r="K218" i="18"/>
  <c r="N81" i="20"/>
  <c r="N82" i="20" s="1"/>
  <c r="J79" i="20"/>
  <c r="AC129" i="18"/>
  <c r="AC133" i="18"/>
  <c r="AC151" i="18"/>
  <c r="AC128" i="18"/>
  <c r="Y215" i="18"/>
  <c r="AG117" i="18"/>
  <c r="AG123" i="18" s="1"/>
  <c r="Y138" i="18"/>
  <c r="X192" i="18"/>
  <c r="AC160" i="18"/>
  <c r="AC170" i="18"/>
  <c r="AC113" i="18"/>
  <c r="AC161" i="18"/>
  <c r="AC171" i="18"/>
  <c r="AF23" i="18"/>
  <c r="AE120" i="18"/>
  <c r="AE126" i="18" s="1"/>
  <c r="Y111" i="18"/>
  <c r="Y112" i="18"/>
  <c r="Y164" i="18"/>
  <c r="Y163" i="18"/>
  <c r="Y119" i="18"/>
  <c r="Y125" i="18" s="1"/>
  <c r="Y159" i="18"/>
  <c r="K207" i="18"/>
  <c r="AC141" i="18"/>
  <c r="AC154" i="18"/>
  <c r="AC153" i="18"/>
  <c r="AC155" i="18"/>
  <c r="Y140" i="18"/>
  <c r="AC116" i="18"/>
  <c r="AC122" i="18" s="1"/>
  <c r="AC150" i="18"/>
  <c r="AC149" i="18"/>
  <c r="Y139" i="18"/>
  <c r="AD18" i="18"/>
  <c r="S207" i="18"/>
  <c r="N207" i="18"/>
  <c r="M207" i="18"/>
  <c r="P207" i="18"/>
  <c r="L207" i="18"/>
  <c r="AE20" i="18"/>
  <c r="AD94" i="18"/>
  <c r="K88" i="18"/>
  <c r="K211" i="18" s="1"/>
  <c r="AD27" i="18"/>
  <c r="Z12" i="18"/>
  <c r="Z15" i="18"/>
  <c r="Z158" i="18" s="1"/>
  <c r="Z13" i="18"/>
  <c r="Z10" i="18"/>
  <c r="Z16" i="18"/>
  <c r="Z166" i="18" s="1"/>
  <c r="Z167" i="18" s="1"/>
  <c r="Z6" i="18"/>
  <c r="Z7" i="18"/>
  <c r="AD25" i="18"/>
  <c r="AD133" i="18" s="1"/>
  <c r="AC109" i="18"/>
  <c r="Z59" i="18"/>
  <c r="Y110" i="18"/>
  <c r="AH53" i="18"/>
  <c r="O88" i="18"/>
  <c r="O211" i="18" s="1"/>
  <c r="N88" i="18"/>
  <c r="N211" i="18" s="1"/>
  <c r="M88" i="18"/>
  <c r="M211" i="18" s="1"/>
  <c r="AF21" i="18"/>
  <c r="Z205" i="18"/>
  <c r="L88" i="18"/>
  <c r="L211" i="18" s="1"/>
  <c r="J210" i="18"/>
  <c r="J207" i="18"/>
  <c r="J212" i="18"/>
  <c r="J88" i="18"/>
  <c r="Q210" i="18"/>
  <c r="Q207" i="18"/>
  <c r="Q212" i="18"/>
  <c r="S210" i="18"/>
  <c r="O207" i="18"/>
  <c r="Q88" i="18"/>
  <c r="P88" i="18"/>
  <c r="P211" i="18" s="1"/>
  <c r="S212" i="18"/>
  <c r="S88" i="18"/>
  <c r="C6" i="12"/>
  <c r="Z134" i="18" l="1"/>
  <c r="T238" i="18"/>
  <c r="AK53" i="18"/>
  <c r="AI53" i="18"/>
  <c r="M79" i="20"/>
  <c r="N79" i="20" s="1"/>
  <c r="J80" i="20" s="1"/>
  <c r="Z136" i="18"/>
  <c r="Z135" i="18"/>
  <c r="AD128" i="18"/>
  <c r="AD129" i="18"/>
  <c r="Z215" i="18"/>
  <c r="Z224" i="18"/>
  <c r="Z229" i="18"/>
  <c r="J220" i="18"/>
  <c r="J221" i="18" s="1"/>
  <c r="J219" i="18"/>
  <c r="P220" i="18"/>
  <c r="P221" i="18" s="1"/>
  <c r="P219" i="18"/>
  <c r="N220" i="18"/>
  <c r="N221" i="18" s="1"/>
  <c r="N219" i="18"/>
  <c r="Q220" i="18"/>
  <c r="Q221" i="18" s="1"/>
  <c r="Q219" i="18"/>
  <c r="K220" i="18"/>
  <c r="K221" i="18" s="1"/>
  <c r="K219" i="18"/>
  <c r="L220" i="18"/>
  <c r="L221" i="18" s="1"/>
  <c r="L219" i="18"/>
  <c r="M220" i="18"/>
  <c r="M221" i="18" s="1"/>
  <c r="M219" i="18"/>
  <c r="S220" i="18"/>
  <c r="S221" i="18" s="1"/>
  <c r="S219" i="18"/>
  <c r="O220" i="18"/>
  <c r="O221" i="18" s="1"/>
  <c r="O219" i="18"/>
  <c r="AD113" i="18"/>
  <c r="AD151" i="18"/>
  <c r="Z118" i="18"/>
  <c r="Z124" i="18" s="1"/>
  <c r="Z72" i="18"/>
  <c r="Z114" i="18" s="1"/>
  <c r="W250" i="18"/>
  <c r="X250" i="18" s="1"/>
  <c r="Y250" i="18" s="1"/>
  <c r="Z250" i="18" s="1"/>
  <c r="AA250" i="18" s="1"/>
  <c r="AB250" i="18" s="1"/>
  <c r="AC250" i="18" s="1"/>
  <c r="AD250" i="18" s="1"/>
  <c r="AE250" i="18" s="1"/>
  <c r="AF250" i="18" s="1"/>
  <c r="AG250" i="18" s="1"/>
  <c r="AH250" i="18" s="1"/>
  <c r="AI250" i="18" s="1"/>
  <c r="AJ250" i="18" s="1"/>
  <c r="AK250" i="18" s="1"/>
  <c r="AL250" i="18" s="1"/>
  <c r="AM250" i="18" s="1"/>
  <c r="AN250" i="18" s="1"/>
  <c r="AO250" i="18" s="1"/>
  <c r="AP250" i="18" s="1"/>
  <c r="AQ250" i="18" s="1"/>
  <c r="AR250" i="18" s="1"/>
  <c r="AS250" i="18" s="1"/>
  <c r="AT250" i="18" s="1"/>
  <c r="AU250" i="18" s="1"/>
  <c r="AV250" i="18" s="1"/>
  <c r="Z138" i="18"/>
  <c r="AD160" i="18"/>
  <c r="AD170" i="18"/>
  <c r="AD161" i="18"/>
  <c r="AD171" i="18"/>
  <c r="AH117" i="18"/>
  <c r="AK117" i="18" s="1"/>
  <c r="AG23" i="18"/>
  <c r="AF120" i="18"/>
  <c r="AF126" i="18" s="1"/>
  <c r="Z164" i="18"/>
  <c r="Z163" i="18"/>
  <c r="Z119" i="18"/>
  <c r="Z125" i="18" s="1"/>
  <c r="Z159" i="18"/>
  <c r="Z112" i="18"/>
  <c r="AD153" i="18"/>
  <c r="AD154" i="18"/>
  <c r="AD155" i="18"/>
  <c r="AD141" i="18"/>
  <c r="AD116" i="18"/>
  <c r="AD122" i="18" s="1"/>
  <c r="AD150" i="18"/>
  <c r="AD149" i="18"/>
  <c r="Z139" i="18"/>
  <c r="Z140" i="18"/>
  <c r="AE18" i="18"/>
  <c r="AF20" i="18"/>
  <c r="AE94" i="18"/>
  <c r="AE27" i="18"/>
  <c r="AA15" i="18"/>
  <c r="AA158" i="18" s="1"/>
  <c r="AA13" i="18"/>
  <c r="AA12" i="18"/>
  <c r="AA16" i="18"/>
  <c r="AA166" i="18" s="1"/>
  <c r="AA167" i="18" s="1"/>
  <c r="AA10" i="18"/>
  <c r="AA7" i="18"/>
  <c r="AA6" i="18"/>
  <c r="AE25" i="18"/>
  <c r="AE133" i="18" s="1"/>
  <c r="AD109" i="18"/>
  <c r="AA59" i="18"/>
  <c r="Z111" i="18"/>
  <c r="Z110" i="18"/>
  <c r="AG21" i="18"/>
  <c r="AA205" i="18"/>
  <c r="J211" i="18"/>
  <c r="Q211" i="18"/>
  <c r="S211" i="18"/>
  <c r="AA134" i="18" l="1"/>
  <c r="U238" i="18"/>
  <c r="M80" i="20"/>
  <c r="N80" i="20" s="1"/>
  <c r="AA135" i="18"/>
  <c r="AA136" i="18"/>
  <c r="AE128" i="18"/>
  <c r="AE129" i="18"/>
  <c r="Z230" i="18"/>
  <c r="Z231" i="18" s="1"/>
  <c r="Z228" i="18"/>
  <c r="Z225" i="18"/>
  <c r="Z226" i="18" s="1"/>
  <c r="Z223" i="18"/>
  <c r="AA215" i="18"/>
  <c r="AA229" i="18"/>
  <c r="AA224" i="18"/>
  <c r="AE113" i="18"/>
  <c r="AE151" i="18"/>
  <c r="AA118" i="18"/>
  <c r="AA124" i="18" s="1"/>
  <c r="AA72" i="18"/>
  <c r="AA114" i="18" s="1"/>
  <c r="W251" i="18"/>
  <c r="X251" i="18" s="1"/>
  <c r="Y251" i="18" s="1"/>
  <c r="Z251" i="18" s="1"/>
  <c r="AA251" i="18" s="1"/>
  <c r="AB251" i="18" s="1"/>
  <c r="AC251" i="18" s="1"/>
  <c r="AD251" i="18" s="1"/>
  <c r="AE251" i="18" s="1"/>
  <c r="AF251" i="18" s="1"/>
  <c r="AG251" i="18" s="1"/>
  <c r="AH251" i="18" s="1"/>
  <c r="AI251" i="18" s="1"/>
  <c r="AJ251" i="18" s="1"/>
  <c r="AK251" i="18" s="1"/>
  <c r="AL251" i="18" s="1"/>
  <c r="AM251" i="18" s="1"/>
  <c r="AN251" i="18" s="1"/>
  <c r="AO251" i="18" s="1"/>
  <c r="AP251" i="18" s="1"/>
  <c r="AQ251" i="18" s="1"/>
  <c r="AR251" i="18" s="1"/>
  <c r="AS251" i="18" s="1"/>
  <c r="AT251" i="18" s="1"/>
  <c r="AU251" i="18" s="1"/>
  <c r="AV251" i="18" s="1"/>
  <c r="AI117" i="18"/>
  <c r="AH123" i="18"/>
  <c r="W249" i="18"/>
  <c r="X249" i="18" s="1"/>
  <c r="Y249" i="18" s="1"/>
  <c r="Z249" i="18" s="1"/>
  <c r="AA249" i="18" s="1"/>
  <c r="AB249" i="18" s="1"/>
  <c r="AC249" i="18" s="1"/>
  <c r="AD249" i="18" s="1"/>
  <c r="AE249" i="18" s="1"/>
  <c r="AF249" i="18" s="1"/>
  <c r="AA138" i="18"/>
  <c r="AE160" i="18"/>
  <c r="AE170" i="18"/>
  <c r="AE161" i="18"/>
  <c r="AE171" i="18"/>
  <c r="AH23" i="18"/>
  <c r="AG120" i="18"/>
  <c r="AG126" i="18" s="1"/>
  <c r="AA119" i="18"/>
  <c r="AA125" i="18" s="1"/>
  <c r="AA159" i="18"/>
  <c r="AA164" i="18"/>
  <c r="AA163" i="18"/>
  <c r="AA112" i="18"/>
  <c r="AE155" i="18"/>
  <c r="AE154" i="18"/>
  <c r="AE153" i="18"/>
  <c r="AE141" i="18"/>
  <c r="AE116" i="18"/>
  <c r="AE122" i="18" s="1"/>
  <c r="AE150" i="18"/>
  <c r="AE149" i="18"/>
  <c r="AA139" i="18"/>
  <c r="AA140" i="18"/>
  <c r="AF18" i="18"/>
  <c r="AG20" i="18"/>
  <c r="AF94" i="18"/>
  <c r="AF27" i="18"/>
  <c r="AB13" i="18"/>
  <c r="AB12" i="18"/>
  <c r="AB15" i="18"/>
  <c r="AB158" i="18" s="1"/>
  <c r="AB10" i="18"/>
  <c r="AB16" i="18"/>
  <c r="AB166" i="18" s="1"/>
  <c r="AB167" i="18" s="1"/>
  <c r="AB6" i="18"/>
  <c r="AB7" i="18"/>
  <c r="AB59" i="18"/>
  <c r="AA111" i="18"/>
  <c r="AA110" i="18"/>
  <c r="AF25" i="18"/>
  <c r="AF133" i="18" s="1"/>
  <c r="AE109" i="18"/>
  <c r="AH21" i="18"/>
  <c r="AB205" i="18"/>
  <c r="AB134" i="18" l="1"/>
  <c r="V238" i="18"/>
  <c r="AK23" i="18"/>
  <c r="AI23" i="18"/>
  <c r="AI123" i="18"/>
  <c r="AK123" i="18"/>
  <c r="AK21" i="18"/>
  <c r="AI21" i="18"/>
  <c r="AB136" i="18"/>
  <c r="AB135" i="18"/>
  <c r="AF128" i="18"/>
  <c r="AF129" i="18"/>
  <c r="AA225" i="18"/>
  <c r="AA226" i="18" s="1"/>
  <c r="AA223" i="18"/>
  <c r="AA230" i="18"/>
  <c r="AA231" i="18" s="1"/>
  <c r="AA228" i="18"/>
  <c r="AB215" i="18"/>
  <c r="AB224" i="18"/>
  <c r="AB229" i="18"/>
  <c r="AF113" i="18"/>
  <c r="AF151" i="18"/>
  <c r="AB118" i="18"/>
  <c r="AB124" i="18" s="1"/>
  <c r="AB72" i="18"/>
  <c r="AB114" i="18" s="1"/>
  <c r="W248" i="18"/>
  <c r="X248" i="18" s="1"/>
  <c r="Y248" i="18" s="1"/>
  <c r="Z248" i="18" s="1"/>
  <c r="AA248" i="18" s="1"/>
  <c r="AB248" i="18" s="1"/>
  <c r="AC248" i="18" s="1"/>
  <c r="AD248" i="18" s="1"/>
  <c r="AE248" i="18" s="1"/>
  <c r="AF248" i="18" s="1"/>
  <c r="AG249" i="18"/>
  <c r="AH249" i="18" s="1"/>
  <c r="AI249" i="18" s="1"/>
  <c r="AJ249" i="18" s="1"/>
  <c r="AK249" i="18" s="1"/>
  <c r="AL249" i="18" s="1"/>
  <c r="AM249" i="18" s="1"/>
  <c r="AN249" i="18" s="1"/>
  <c r="AO249" i="18" s="1"/>
  <c r="AP249" i="18" s="1"/>
  <c r="AQ249" i="18" s="1"/>
  <c r="AR249" i="18" s="1"/>
  <c r="AS249" i="18" s="1"/>
  <c r="AT249" i="18" s="1"/>
  <c r="AU249" i="18" s="1"/>
  <c r="AV249" i="18" s="1"/>
  <c r="AB138" i="18"/>
  <c r="AF160" i="18"/>
  <c r="AF170" i="18"/>
  <c r="AF161" i="18"/>
  <c r="AF171" i="18"/>
  <c r="AH120" i="18"/>
  <c r="AK120" i="18" s="1"/>
  <c r="AB112" i="18"/>
  <c r="AB163" i="18"/>
  <c r="AB164" i="18"/>
  <c r="AB119" i="18"/>
  <c r="AB125" i="18" s="1"/>
  <c r="AB159" i="18"/>
  <c r="AF155" i="18"/>
  <c r="AF154" i="18"/>
  <c r="AF153" i="18"/>
  <c r="AF141" i="18"/>
  <c r="AF116" i="18"/>
  <c r="AF122" i="18" s="1"/>
  <c r="AF150" i="18"/>
  <c r="AF149" i="18"/>
  <c r="AB140" i="18"/>
  <c r="AB139" i="18"/>
  <c r="AG18" i="18"/>
  <c r="AH20" i="18"/>
  <c r="AG94" i="18"/>
  <c r="AG27" i="18"/>
  <c r="AC12" i="18"/>
  <c r="AC15" i="18"/>
  <c r="AC158" i="18" s="1"/>
  <c r="AC13" i="18"/>
  <c r="AC16" i="18"/>
  <c r="AC166" i="18" s="1"/>
  <c r="AC167" i="18" s="1"/>
  <c r="AC10" i="18"/>
  <c r="AC7" i="18"/>
  <c r="AC6" i="18"/>
  <c r="AG25" i="18"/>
  <c r="AF109" i="18"/>
  <c r="AC59" i="18"/>
  <c r="AC134" i="18" s="1"/>
  <c r="AB110" i="18"/>
  <c r="AB111" i="18"/>
  <c r="AC20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AK20" i="18" l="1"/>
  <c r="AI20" i="18"/>
  <c r="AG129" i="18"/>
  <c r="AG133" i="18"/>
  <c r="AC136" i="18"/>
  <c r="AC135" i="18"/>
  <c r="AG151" i="18"/>
  <c r="AG128" i="18"/>
  <c r="AB230" i="18"/>
  <c r="AB231" i="18" s="1"/>
  <c r="AB228" i="18"/>
  <c r="AB225" i="18"/>
  <c r="AB226" i="18" s="1"/>
  <c r="AB223" i="18"/>
  <c r="AC215" i="18"/>
  <c r="AC229" i="18"/>
  <c r="AC224" i="18"/>
  <c r="AC118" i="18"/>
  <c r="AC124" i="18" s="1"/>
  <c r="AC72" i="18"/>
  <c r="AC114" i="18" s="1"/>
  <c r="AG248" i="18"/>
  <c r="AH248" i="18" s="1"/>
  <c r="AI248" i="18" s="1"/>
  <c r="AJ248" i="18" s="1"/>
  <c r="AK248" i="18" s="1"/>
  <c r="AL248" i="18" s="1"/>
  <c r="AM248" i="18" s="1"/>
  <c r="AN248" i="18" s="1"/>
  <c r="AO248" i="18" s="1"/>
  <c r="AP248" i="18" s="1"/>
  <c r="AQ248" i="18" s="1"/>
  <c r="AR248" i="18" s="1"/>
  <c r="AS248" i="18" s="1"/>
  <c r="AT248" i="18" s="1"/>
  <c r="AU248" i="18" s="1"/>
  <c r="AV248" i="18" s="1"/>
  <c r="AI120" i="18"/>
  <c r="AH126" i="18"/>
  <c r="AC138" i="18"/>
  <c r="AG160" i="18"/>
  <c r="AG170" i="18"/>
  <c r="AG161" i="18"/>
  <c r="AG171" i="18"/>
  <c r="AG113" i="18"/>
  <c r="AC164" i="18"/>
  <c r="AC163" i="18"/>
  <c r="AC119" i="18"/>
  <c r="AC125" i="18" s="1"/>
  <c r="AC159" i="18"/>
  <c r="AC112" i="18"/>
  <c r="AG154" i="18"/>
  <c r="AG153" i="18"/>
  <c r="AG155" i="18"/>
  <c r="AG141" i="18"/>
  <c r="AG116" i="18"/>
  <c r="AG122" i="18" s="1"/>
  <c r="AG150" i="18"/>
  <c r="AG149" i="18"/>
  <c r="AC140" i="18"/>
  <c r="AC139" i="18"/>
  <c r="AH18" i="18"/>
  <c r="AH94" i="18"/>
  <c r="AK94" i="18" s="1"/>
  <c r="AH27" i="18"/>
  <c r="AD15" i="18"/>
  <c r="AD158" i="18" s="1"/>
  <c r="AD13" i="18"/>
  <c r="AD12" i="18"/>
  <c r="AD10" i="18"/>
  <c r="AD16" i="18"/>
  <c r="AD166" i="18" s="1"/>
  <c r="AD167" i="18" s="1"/>
  <c r="AD6" i="18"/>
  <c r="AD7" i="18"/>
  <c r="AD59" i="18"/>
  <c r="AD134" i="18" s="1"/>
  <c r="AC111" i="18"/>
  <c r="AC110" i="18"/>
  <c r="AH25" i="18"/>
  <c r="AG109" i="18"/>
  <c r="AD20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H133" i="18" l="1"/>
  <c r="AK25" i="18"/>
  <c r="AI25" i="18"/>
  <c r="AI126" i="18"/>
  <c r="AK126" i="18"/>
  <c r="AH171" i="18"/>
  <c r="AK27" i="18"/>
  <c r="AI27" i="18"/>
  <c r="AK18" i="18"/>
  <c r="AI18" i="18"/>
  <c r="AD136" i="18"/>
  <c r="AD135" i="18"/>
  <c r="AH128" i="18"/>
  <c r="AH129" i="18"/>
  <c r="AC225" i="18"/>
  <c r="AC226" i="18" s="1"/>
  <c r="AC223" i="18"/>
  <c r="AC230" i="18"/>
  <c r="AC231" i="18" s="1"/>
  <c r="AC228" i="18"/>
  <c r="AD215" i="18"/>
  <c r="AD229" i="18"/>
  <c r="AD224" i="18"/>
  <c r="AH113" i="18"/>
  <c r="AH151" i="18"/>
  <c r="AD118" i="18"/>
  <c r="AD124" i="18" s="1"/>
  <c r="AD72" i="18"/>
  <c r="AD114" i="18" s="1"/>
  <c r="AD138" i="18"/>
  <c r="AH160" i="18"/>
  <c r="AH170" i="18"/>
  <c r="AD119" i="18"/>
  <c r="AD125" i="18" s="1"/>
  <c r="AD159" i="18"/>
  <c r="AD164" i="18"/>
  <c r="AD163" i="18"/>
  <c r="AH161" i="18"/>
  <c r="AD112" i="18"/>
  <c r="AH153" i="18"/>
  <c r="AH155" i="18"/>
  <c r="AH154" i="18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H141" i="18"/>
  <c r="AH116" i="18"/>
  <c r="AK116" i="18" s="1"/>
  <c r="AH150" i="18"/>
  <c r="AH149" i="18"/>
  <c r="AD140" i="18"/>
  <c r="AD139" i="18"/>
  <c r="Y194" i="18"/>
  <c r="AI94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AE12" i="18"/>
  <c r="AE15" i="18"/>
  <c r="AE158" i="18" s="1"/>
  <c r="AE13" i="18"/>
  <c r="AE10" i="18"/>
  <c r="AE16" i="18"/>
  <c r="AE166" i="18" s="1"/>
  <c r="AE167" i="18" s="1"/>
  <c r="AE7" i="18"/>
  <c r="AE6" i="18"/>
  <c r="AH109" i="18"/>
  <c r="AE59" i="18"/>
  <c r="AE134" i="18" s="1"/>
  <c r="AD111" i="18"/>
  <c r="AD110" i="18"/>
  <c r="O31" i="9"/>
  <c r="O32" i="9" s="1"/>
  <c r="AE205" i="18"/>
  <c r="P31" i="11"/>
  <c r="N32" i="11"/>
  <c r="T19" i="9"/>
  <c r="D22" i="9"/>
  <c r="AI150" i="18" l="1"/>
  <c r="AK150" i="18"/>
  <c r="AI109" i="18"/>
  <c r="AK109" i="18"/>
  <c r="AI149" i="18"/>
  <c r="AK149" i="18"/>
  <c r="AI154" i="18"/>
  <c r="AK154" i="18"/>
  <c r="AI153" i="18"/>
  <c r="AK153" i="18"/>
  <c r="AI161" i="18"/>
  <c r="AK161" i="18"/>
  <c r="AI160" i="18"/>
  <c r="AK160" i="18"/>
  <c r="AI151" i="18"/>
  <c r="AK151" i="18"/>
  <c r="AI128" i="18"/>
  <c r="AK128" i="18"/>
  <c r="AI133" i="18"/>
  <c r="AK133" i="18"/>
  <c r="AI141" i="18"/>
  <c r="AK141" i="18"/>
  <c r="AI155" i="18"/>
  <c r="AK155" i="18"/>
  <c r="AI170" i="18"/>
  <c r="AK170" i="18"/>
  <c r="AI113" i="18"/>
  <c r="AK113" i="18"/>
  <c r="AI129" i="18"/>
  <c r="AK129" i="18"/>
  <c r="AI171" i="18"/>
  <c r="AK171" i="18"/>
  <c r="AE135" i="18"/>
  <c r="AE136" i="18"/>
  <c r="AD225" i="18"/>
  <c r="AD226" i="18" s="1"/>
  <c r="AD223" i="18"/>
  <c r="AD230" i="18"/>
  <c r="AD231" i="18" s="1"/>
  <c r="AD228" i="18"/>
  <c r="AE215" i="18"/>
  <c r="AE224" i="18"/>
  <c r="AE229" i="18"/>
  <c r="AE118" i="18"/>
  <c r="AE124" i="18" s="1"/>
  <c r="AE72" i="18"/>
  <c r="AE114" i="18" s="1"/>
  <c r="AI116" i="18"/>
  <c r="AH122" i="18"/>
  <c r="AE138" i="18"/>
  <c r="AE164" i="18"/>
  <c r="AE163" i="18"/>
  <c r="AE119" i="18"/>
  <c r="AE125" i="18" s="1"/>
  <c r="AE159" i="18"/>
  <c r="AE112" i="18"/>
  <c r="AE139" i="18"/>
  <c r="AE140" i="18"/>
  <c r="Z194" i="18"/>
  <c r="X194" i="18" s="1"/>
  <c r="AF13" i="18"/>
  <c r="AF12" i="18"/>
  <c r="AF15" i="18"/>
  <c r="AF158" i="18" s="1"/>
  <c r="AF10" i="18"/>
  <c r="AF16" i="18"/>
  <c r="AF166" i="18" s="1"/>
  <c r="AF167" i="18" s="1"/>
  <c r="AF6" i="18"/>
  <c r="AF7" i="18"/>
  <c r="AF59" i="18"/>
  <c r="AF134" i="18" s="1"/>
  <c r="AE111" i="18"/>
  <c r="AE110" i="18"/>
  <c r="AF205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AI122" i="18" l="1"/>
  <c r="AK122" i="18"/>
  <c r="AF136" i="18"/>
  <c r="AF135" i="18"/>
  <c r="AE230" i="18"/>
  <c r="AE231" i="18" s="1"/>
  <c r="AE228" i="18"/>
  <c r="AE225" i="18"/>
  <c r="AE226" i="18" s="1"/>
  <c r="AE223" i="18"/>
  <c r="AF215" i="18"/>
  <c r="AF229" i="18"/>
  <c r="AF224" i="18"/>
  <c r="AF118" i="18"/>
  <c r="AF124" i="18" s="1"/>
  <c r="AF72" i="18"/>
  <c r="AF114" i="18" s="1"/>
  <c r="AF138" i="18"/>
  <c r="AF119" i="18"/>
  <c r="AF125" i="18" s="1"/>
  <c r="AF159" i="18"/>
  <c r="AF163" i="18"/>
  <c r="AF164" i="18"/>
  <c r="AF112" i="18"/>
  <c r="AF139" i="18"/>
  <c r="AF140" i="18"/>
  <c r="AG12" i="18"/>
  <c r="AG15" i="18"/>
  <c r="AG158" i="18" s="1"/>
  <c r="AG13" i="18"/>
  <c r="AG10" i="18"/>
  <c r="AG16" i="18"/>
  <c r="AG166" i="18" s="1"/>
  <c r="AG167" i="18" s="1"/>
  <c r="AG7" i="18"/>
  <c r="AG6" i="18"/>
  <c r="AG59" i="18"/>
  <c r="AG134" i="18" s="1"/>
  <c r="AF110" i="18"/>
  <c r="AF111" i="18"/>
  <c r="AG205" i="18"/>
  <c r="N34" i="11"/>
  <c r="O33" i="11"/>
  <c r="AG136" i="18" l="1"/>
  <c r="AG135" i="18"/>
  <c r="AF225" i="18"/>
  <c r="AF226" i="18" s="1"/>
  <c r="AF223" i="18"/>
  <c r="AF230" i="18"/>
  <c r="AF231" i="18" s="1"/>
  <c r="AF228" i="18"/>
  <c r="AG215" i="18"/>
  <c r="AG229" i="18"/>
  <c r="AG224" i="18"/>
  <c r="AG118" i="18"/>
  <c r="AG124" i="18" s="1"/>
  <c r="AG72" i="18"/>
  <c r="AG114" i="18" s="1"/>
  <c r="AG138" i="18"/>
  <c r="AG112" i="18"/>
  <c r="AG163" i="18"/>
  <c r="AG164" i="18"/>
  <c r="AG119" i="18"/>
  <c r="AG125" i="18" s="1"/>
  <c r="AG159" i="18"/>
  <c r="AG139" i="18"/>
  <c r="AG140" i="18"/>
  <c r="AH15" i="18"/>
  <c r="AH13" i="18"/>
  <c r="AH12" i="18"/>
  <c r="AH10" i="18"/>
  <c r="AH16" i="18"/>
  <c r="AH6" i="18"/>
  <c r="AK6" i="18" s="1"/>
  <c r="AH7" i="18"/>
  <c r="AH59" i="18"/>
  <c r="AG111" i="18"/>
  <c r="AG110" i="18"/>
  <c r="AH205" i="18"/>
  <c r="N35" i="11"/>
  <c r="O34" i="11"/>
  <c r="AK7" i="18" l="1"/>
  <c r="AI7" i="18"/>
  <c r="AK16" i="18"/>
  <c r="AI16" i="18"/>
  <c r="AH159" i="18"/>
  <c r="AK12" i="18"/>
  <c r="AI12" i="18"/>
  <c r="AK15" i="18"/>
  <c r="AI15" i="18"/>
  <c r="AH134" i="18"/>
  <c r="AK59" i="18"/>
  <c r="AI59" i="18"/>
  <c r="AI6" i="18"/>
  <c r="AK10" i="18"/>
  <c r="AI10" i="18"/>
  <c r="AK13" i="18"/>
  <c r="AI13" i="18"/>
  <c r="AH136" i="18"/>
  <c r="AH135" i="18"/>
  <c r="AG225" i="18"/>
  <c r="AG226" i="18" s="1"/>
  <c r="AG223" i="18"/>
  <c r="AG230" i="18"/>
  <c r="AG231" i="18" s="1"/>
  <c r="AG228" i="18"/>
  <c r="AH215" i="18"/>
  <c r="AI215" i="18" s="1"/>
  <c r="AK215" i="18" s="1"/>
  <c r="AK230" i="18" s="1"/>
  <c r="AH229" i="18"/>
  <c r="AH228" i="18" s="1"/>
  <c r="AI228" i="18" s="1"/>
  <c r="AH224" i="18"/>
  <c r="AH223" i="18" s="1"/>
  <c r="AI223" i="18" s="1"/>
  <c r="AH118" i="18"/>
  <c r="AH72" i="18"/>
  <c r="AK72" i="18" s="1"/>
  <c r="AH138" i="18"/>
  <c r="AH166" i="18"/>
  <c r="AK166" i="18" s="1"/>
  <c r="AH164" i="18"/>
  <c r="AH163" i="18"/>
  <c r="AH158" i="18"/>
  <c r="AH112" i="18"/>
  <c r="AH119" i="18"/>
  <c r="AK119" i="18" s="1"/>
  <c r="AH139" i="18"/>
  <c r="AH140" i="18"/>
  <c r="Y188" i="18"/>
  <c r="AH111" i="18"/>
  <c r="AH110" i="18"/>
  <c r="AI205" i="18"/>
  <c r="AK205" i="18" s="1"/>
  <c r="N36" i="11"/>
  <c r="O35" i="11"/>
  <c r="AI164" i="18" l="1"/>
  <c r="AK164" i="18"/>
  <c r="AI134" i="18"/>
  <c r="AK134" i="18"/>
  <c r="AI110" i="18"/>
  <c r="AK110" i="18"/>
  <c r="AI139" i="18"/>
  <c r="AK139" i="18"/>
  <c r="AI112" i="18"/>
  <c r="AK112" i="18"/>
  <c r="AI163" i="18"/>
  <c r="AK163" i="18"/>
  <c r="AI136" i="18"/>
  <c r="AK136" i="18"/>
  <c r="AI159" i="18"/>
  <c r="AK159" i="18"/>
  <c r="AI111" i="18"/>
  <c r="AK111" i="18"/>
  <c r="AI140" i="18"/>
  <c r="AK140" i="18"/>
  <c r="AI158" i="18"/>
  <c r="AK158" i="18"/>
  <c r="AI138" i="18"/>
  <c r="AK138" i="18"/>
  <c r="AH124" i="18"/>
  <c r="AK118" i="18"/>
  <c r="AI135" i="18"/>
  <c r="AK135" i="18"/>
  <c r="AH225" i="18"/>
  <c r="AI224" i="18"/>
  <c r="AI229" i="18"/>
  <c r="AH230" i="18"/>
  <c r="AI72" i="18"/>
  <c r="AI118" i="18"/>
  <c r="AH114" i="18"/>
  <c r="AI119" i="18"/>
  <c r="AH125" i="18"/>
  <c r="AI166" i="18"/>
  <c r="AH167" i="18"/>
  <c r="Z188" i="18"/>
  <c r="Z189" i="18" s="1"/>
  <c r="S245" i="18" s="1"/>
  <c r="Y189" i="18"/>
  <c r="T245" i="18" s="1"/>
  <c r="N37" i="11"/>
  <c r="O36" i="11"/>
  <c r="AI167" i="18" l="1"/>
  <c r="AK167" i="18"/>
  <c r="AI125" i="18"/>
  <c r="AK125" i="18"/>
  <c r="AI114" i="18"/>
  <c r="AK114" i="18"/>
  <c r="AI124" i="18"/>
  <c r="AK124" i="18"/>
  <c r="AI225" i="18"/>
  <c r="AH226" i="18"/>
  <c r="AI226" i="18" s="1"/>
  <c r="AH231" i="18"/>
  <c r="AI231" i="18" s="1"/>
  <c r="AI230" i="18"/>
  <c r="X188" i="18"/>
  <c r="X189" i="18"/>
  <c r="N38" i="11"/>
  <c r="O37" i="11"/>
  <c r="P245" i="18" l="1"/>
  <c r="N39" i="11"/>
  <c r="O38" i="11"/>
  <c r="N40" i="11" l="1"/>
  <c r="O39" i="11"/>
  <c r="N41" i="11" l="1"/>
  <c r="O40" i="11"/>
  <c r="N42" i="11" l="1"/>
  <c r="O41" i="11"/>
  <c r="Y216" i="18"/>
  <c r="Y238" i="18" s="1"/>
  <c r="Y97" i="18"/>
  <c r="Y78" i="18"/>
  <c r="Y83" i="18"/>
  <c r="Y104" i="18"/>
  <c r="Y106" i="18"/>
  <c r="Y99" i="18"/>
  <c r="Y96" i="18"/>
  <c r="Y82" i="18"/>
  <c r="Y77" i="18"/>
  <c r="Y71" i="18"/>
  <c r="Y89" i="18"/>
  <c r="Y103" i="18"/>
  <c r="Y87" i="18"/>
  <c r="Y80" i="18"/>
  <c r="Y98" i="18"/>
  <c r="Y100" i="18"/>
  <c r="Y84" i="18"/>
  <c r="Y213" i="18" s="1"/>
  <c r="Y70" i="18"/>
  <c r="Y206" i="18" s="1"/>
  <c r="Y75" i="18"/>
  <c r="Y209" i="18" s="1"/>
  <c r="Y90" i="18"/>
  <c r="Y212" i="18" s="1"/>
  <c r="Y102" i="18"/>
  <c r="Y168" i="18" s="1"/>
  <c r="Y74" i="18"/>
  <c r="Y208" i="18" s="1"/>
  <c r="Y86" i="18"/>
  <c r="Y143" i="18"/>
  <c r="Y144" i="18" s="1"/>
  <c r="Y76" i="18"/>
  <c r="Y218" i="18" s="1"/>
  <c r="Y79" i="18"/>
  <c r="Z61" i="18"/>
  <c r="Y210" i="18" l="1"/>
  <c r="Y234" i="18" s="1"/>
  <c r="Y88" i="18"/>
  <c r="Y211" i="18" s="1"/>
  <c r="Z80" i="18"/>
  <c r="Z103" i="18"/>
  <c r="Z87" i="18"/>
  <c r="Z99" i="18"/>
  <c r="Z83" i="18"/>
  <c r="Z82" i="18"/>
  <c r="Z216" i="18"/>
  <c r="Z238" i="18" s="1"/>
  <c r="Z98" i="18"/>
  <c r="Z78" i="18"/>
  <c r="Z102" i="18"/>
  <c r="Z168" i="18" s="1"/>
  <c r="Z90" i="18"/>
  <c r="Z212" i="18" s="1"/>
  <c r="Z74" i="18"/>
  <c r="Z208" i="18" s="1"/>
  <c r="Z143" i="18"/>
  <c r="Z144" i="18" s="1"/>
  <c r="Z96" i="18"/>
  <c r="Z77" i="18"/>
  <c r="Z106" i="18"/>
  <c r="Z89" i="18"/>
  <c r="Z104" i="18"/>
  <c r="Z97" i="18"/>
  <c r="Z100" i="18"/>
  <c r="Z71" i="18"/>
  <c r="Z79" i="18"/>
  <c r="Z210" i="18" s="1"/>
  <c r="Z234" i="18" s="1"/>
  <c r="Z70" i="18"/>
  <c r="Z206" i="18" s="1"/>
  <c r="Z84" i="18"/>
  <c r="Z213" i="18" s="1"/>
  <c r="Z75" i="18"/>
  <c r="Z209" i="18" s="1"/>
  <c r="Z76" i="18"/>
  <c r="Z218" i="18" s="1"/>
  <c r="AA61" i="18"/>
  <c r="Z86" i="18"/>
  <c r="Y145" i="18"/>
  <c r="Y146" i="18" s="1"/>
  <c r="Y147" i="18"/>
  <c r="Y207" i="18"/>
  <c r="Y233" i="18" l="1"/>
  <c r="Y235" i="18"/>
  <c r="Y236" i="18" s="1"/>
  <c r="Z235" i="18"/>
  <c r="Z236" i="18" s="1"/>
  <c r="Z233" i="18"/>
  <c r="Z88" i="18"/>
  <c r="Z211" i="18" s="1"/>
  <c r="Y220" i="18"/>
  <c r="Y221" i="18" s="1"/>
  <c r="Y219" i="18"/>
  <c r="AA97" i="18"/>
  <c r="AA74" i="18"/>
  <c r="AA208" i="18" s="1"/>
  <c r="AA98" i="18"/>
  <c r="AA99" i="18"/>
  <c r="AA103" i="18"/>
  <c r="AA83" i="18"/>
  <c r="AA80" i="18"/>
  <c r="AA106" i="18"/>
  <c r="AA89" i="18"/>
  <c r="AA87" i="18"/>
  <c r="AA70" i="18"/>
  <c r="AA206" i="18" s="1"/>
  <c r="AA79" i="18"/>
  <c r="AA210" i="18" s="1"/>
  <c r="AA234" i="18" s="1"/>
  <c r="AA75" i="18"/>
  <c r="AA209" i="18" s="1"/>
  <c r="AA78" i="18"/>
  <c r="AA77" i="18"/>
  <c r="AA96" i="18"/>
  <c r="AA100" i="18"/>
  <c r="AA71" i="18"/>
  <c r="AA84" i="18"/>
  <c r="AA213" i="18" s="1"/>
  <c r="AA104" i="18"/>
  <c r="AA82" i="18"/>
  <c r="AA216" i="18"/>
  <c r="AA238" i="18" s="1"/>
  <c r="AA102" i="18"/>
  <c r="AA168" i="18" s="1"/>
  <c r="AA90" i="18"/>
  <c r="AA212" i="18" s="1"/>
  <c r="AA86" i="18"/>
  <c r="AA143" i="18"/>
  <c r="AA144" i="18" s="1"/>
  <c r="AA76" i="18"/>
  <c r="AA218" i="18" s="1"/>
  <c r="AB61" i="18"/>
  <c r="Z207" i="18"/>
  <c r="Z147" i="18"/>
  <c r="Z145" i="18"/>
  <c r="Z146" i="18" s="1"/>
  <c r="AA235" i="18" l="1"/>
  <c r="AA236" i="18" s="1"/>
  <c r="AA233" i="18"/>
  <c r="Z220" i="18"/>
  <c r="Z221" i="18" s="1"/>
  <c r="Z219" i="18"/>
  <c r="AB97" i="18"/>
  <c r="AB216" i="18"/>
  <c r="AB238" i="18" s="1"/>
  <c r="AB71" i="18"/>
  <c r="AB98" i="18"/>
  <c r="AB83" i="18"/>
  <c r="AB78" i="18"/>
  <c r="AB82" i="18"/>
  <c r="AB96" i="18"/>
  <c r="AB102" i="18"/>
  <c r="AB168" i="18" s="1"/>
  <c r="AB74" i="18"/>
  <c r="AB208" i="18" s="1"/>
  <c r="AB75" i="18"/>
  <c r="AB209" i="18" s="1"/>
  <c r="AB90" i="18"/>
  <c r="AB212" i="18" s="1"/>
  <c r="AB106" i="18"/>
  <c r="AB77" i="18"/>
  <c r="AB100" i="18"/>
  <c r="AB104" i="18"/>
  <c r="AB103" i="18"/>
  <c r="AB80" i="18"/>
  <c r="AB99" i="18"/>
  <c r="AB89" i="18"/>
  <c r="AB87" i="18"/>
  <c r="AB84" i="18"/>
  <c r="AB213" i="18" s="1"/>
  <c r="AB70" i="18"/>
  <c r="AB206" i="18" s="1"/>
  <c r="AB143" i="18"/>
  <c r="AB144" i="18" s="1"/>
  <c r="AB76" i="18"/>
  <c r="AB218" i="18" s="1"/>
  <c r="AB79" i="18"/>
  <c r="AB210" i="18" s="1"/>
  <c r="AB234" i="18" s="1"/>
  <c r="AC61" i="18"/>
  <c r="AB86" i="18"/>
  <c r="AA207" i="18"/>
  <c r="AA145" i="18"/>
  <c r="AA146" i="18" s="1"/>
  <c r="AA147" i="18"/>
  <c r="AA88" i="18"/>
  <c r="AA211" i="18" s="1"/>
  <c r="AB235" i="18" l="1"/>
  <c r="AB236" i="18" s="1"/>
  <c r="AB233" i="18"/>
  <c r="AA220" i="18"/>
  <c r="AA221" i="18" s="1"/>
  <c r="AA219" i="18"/>
  <c r="AB207" i="18"/>
  <c r="AB88" i="18"/>
  <c r="AB211" i="18" s="1"/>
  <c r="AB147" i="18"/>
  <c r="AB145" i="18"/>
  <c r="AB146" i="18" s="1"/>
  <c r="AC77" i="18"/>
  <c r="AC98" i="18"/>
  <c r="AC87" i="18"/>
  <c r="AC97" i="18"/>
  <c r="AC96" i="18"/>
  <c r="AC82" i="18"/>
  <c r="AC71" i="18"/>
  <c r="AC80" i="18"/>
  <c r="AC79" i="18"/>
  <c r="AC210" i="18" s="1"/>
  <c r="AC234" i="18" s="1"/>
  <c r="AC70" i="18"/>
  <c r="AC206" i="18" s="1"/>
  <c r="AC102" i="18"/>
  <c r="AC168" i="18" s="1"/>
  <c r="AC216" i="18"/>
  <c r="AC238" i="18" s="1"/>
  <c r="AC100" i="18"/>
  <c r="AC78" i="18"/>
  <c r="AC106" i="18"/>
  <c r="AC99" i="18"/>
  <c r="AC83" i="18"/>
  <c r="AC89" i="18"/>
  <c r="AC103" i="18"/>
  <c r="AC104" i="18"/>
  <c r="AC74" i="18"/>
  <c r="AC208" i="18" s="1"/>
  <c r="AC75" i="18"/>
  <c r="AC209" i="18" s="1"/>
  <c r="AC90" i="18"/>
  <c r="AC212" i="18" s="1"/>
  <c r="AC84" i="18"/>
  <c r="AC213" i="18" s="1"/>
  <c r="AC86" i="18"/>
  <c r="AC76" i="18"/>
  <c r="AC218" i="18" s="1"/>
  <c r="AC143" i="18"/>
  <c r="AC144" i="18" s="1"/>
  <c r="AD61" i="18"/>
  <c r="AC235" i="18" l="1"/>
  <c r="AC236" i="18" s="1"/>
  <c r="AC233" i="18"/>
  <c r="AC88" i="18"/>
  <c r="AC211" i="18" s="1"/>
  <c r="AB220" i="18"/>
  <c r="AB221" i="18" s="1"/>
  <c r="AB219" i="18"/>
  <c r="AD77" i="18"/>
  <c r="AD80" i="18"/>
  <c r="AD82" i="18"/>
  <c r="AD71" i="18"/>
  <c r="AD84" i="18"/>
  <c r="AD213" i="18" s="1"/>
  <c r="AD96" i="18"/>
  <c r="AD89" i="18"/>
  <c r="AD97" i="18"/>
  <c r="AD87" i="18"/>
  <c r="AD75" i="18"/>
  <c r="AD209" i="18" s="1"/>
  <c r="AD70" i="18"/>
  <c r="AD206" i="18" s="1"/>
  <c r="AD79" i="18"/>
  <c r="AD210" i="18" s="1"/>
  <c r="AD234" i="18" s="1"/>
  <c r="AD99" i="18"/>
  <c r="AD98" i="18"/>
  <c r="AD78" i="18"/>
  <c r="AD104" i="18"/>
  <c r="AD90" i="18"/>
  <c r="AD212" i="18" s="1"/>
  <c r="AD106" i="18"/>
  <c r="AD216" i="18"/>
  <c r="AD103" i="18"/>
  <c r="AD100" i="18"/>
  <c r="AD83" i="18"/>
  <c r="AD102" i="18"/>
  <c r="AD168" i="18" s="1"/>
  <c r="AD74" i="18"/>
  <c r="AD208" i="18" s="1"/>
  <c r="AE61" i="18"/>
  <c r="AD143" i="18"/>
  <c r="AD144" i="18" s="1"/>
  <c r="AD86" i="18"/>
  <c r="AD76" i="18"/>
  <c r="AD218" i="18" s="1"/>
  <c r="AC145" i="18"/>
  <c r="AC146" i="18" s="1"/>
  <c r="AC147" i="18"/>
  <c r="AC207" i="18"/>
  <c r="AD235" i="18" l="1"/>
  <c r="AD236" i="18" s="1"/>
  <c r="AD233" i="18"/>
  <c r="AC220" i="18"/>
  <c r="AC221" i="18" s="1"/>
  <c r="AC219" i="18"/>
  <c r="AD88" i="18"/>
  <c r="AD211" i="18" s="1"/>
  <c r="AE96" i="18"/>
  <c r="AE83" i="18"/>
  <c r="AE216" i="18"/>
  <c r="AE82" i="18"/>
  <c r="AE84" i="18"/>
  <c r="AE213" i="18" s="1"/>
  <c r="AE99" i="18"/>
  <c r="AE71" i="18"/>
  <c r="AE87" i="18"/>
  <c r="AE104" i="18"/>
  <c r="AE102" i="18"/>
  <c r="AE168" i="18" s="1"/>
  <c r="AE70" i="18"/>
  <c r="AE206" i="18" s="1"/>
  <c r="AE103" i="18"/>
  <c r="AE78" i="18"/>
  <c r="AE80" i="18"/>
  <c r="AE100" i="18"/>
  <c r="AE90" i="18"/>
  <c r="AE212" i="18" s="1"/>
  <c r="AE77" i="18"/>
  <c r="AE106" i="18"/>
  <c r="AE98" i="18"/>
  <c r="AE97" i="18"/>
  <c r="AE89" i="18"/>
  <c r="AE74" i="18"/>
  <c r="AE208" i="18" s="1"/>
  <c r="AE75" i="18"/>
  <c r="AE209" i="18" s="1"/>
  <c r="AE79" i="18"/>
  <c r="AE210" i="18" s="1"/>
  <c r="AE234" i="18" s="1"/>
  <c r="AE143" i="18"/>
  <c r="AE144" i="18" s="1"/>
  <c r="AE76" i="18"/>
  <c r="AE218" i="18" s="1"/>
  <c r="AE86" i="18"/>
  <c r="AF61" i="18"/>
  <c r="AD207" i="18"/>
  <c r="AD145" i="18"/>
  <c r="AD146" i="18" s="1"/>
  <c r="AD147" i="18"/>
  <c r="AE235" i="18" l="1"/>
  <c r="AE236" i="18" s="1"/>
  <c r="AE233" i="18"/>
  <c r="AD220" i="18"/>
  <c r="AD221" i="18" s="1"/>
  <c r="AD219" i="18"/>
  <c r="AE88" i="18"/>
  <c r="AE211" i="18" s="1"/>
  <c r="AE147" i="18"/>
  <c r="AE145" i="18"/>
  <c r="AE146" i="18" s="1"/>
  <c r="AF96" i="18"/>
  <c r="AF98" i="18"/>
  <c r="AF80" i="18"/>
  <c r="AF100" i="18"/>
  <c r="AF70" i="18"/>
  <c r="AF206" i="18" s="1"/>
  <c r="AF78" i="18"/>
  <c r="AF87" i="18"/>
  <c r="AF104" i="18"/>
  <c r="AF99" i="18"/>
  <c r="AF74" i="18"/>
  <c r="AF208" i="18" s="1"/>
  <c r="AF84" i="18"/>
  <c r="AF213" i="18" s="1"/>
  <c r="AF89" i="18"/>
  <c r="AF83" i="18"/>
  <c r="AF216" i="18"/>
  <c r="AF103" i="18"/>
  <c r="AF106" i="18"/>
  <c r="AF97" i="18"/>
  <c r="AF71" i="18"/>
  <c r="AF77" i="18"/>
  <c r="AF82" i="18"/>
  <c r="AF75" i="18"/>
  <c r="AF209" i="18" s="1"/>
  <c r="AF90" i="18"/>
  <c r="AF212" i="18" s="1"/>
  <c r="AF102" i="18"/>
  <c r="AF168" i="18" s="1"/>
  <c r="AF79" i="18"/>
  <c r="AF210" i="18" s="1"/>
  <c r="AF234" i="18" s="1"/>
  <c r="AF143" i="18"/>
  <c r="AF144" i="18" s="1"/>
  <c r="AF86" i="18"/>
  <c r="AF76" i="18"/>
  <c r="AF218" i="18" s="1"/>
  <c r="AG61" i="18"/>
  <c r="AE207" i="18"/>
  <c r="AF235" i="18" l="1"/>
  <c r="AF236" i="18" s="1"/>
  <c r="AF233" i="18"/>
  <c r="AE220" i="18"/>
  <c r="AE221" i="18" s="1"/>
  <c r="AE219" i="18"/>
  <c r="AF207" i="18"/>
  <c r="AF88" i="18"/>
  <c r="AF211" i="18" s="1"/>
  <c r="AF145" i="18"/>
  <c r="AF146" i="18" s="1"/>
  <c r="AF147" i="18"/>
  <c r="AG83" i="18"/>
  <c r="AG96" i="18"/>
  <c r="AG87" i="18"/>
  <c r="AG77" i="18"/>
  <c r="AG102" i="18"/>
  <c r="AG168" i="18" s="1"/>
  <c r="AG104" i="18"/>
  <c r="AG97" i="18"/>
  <c r="AG103" i="18"/>
  <c r="AG80" i="18"/>
  <c r="AG70" i="18"/>
  <c r="AG206" i="18" s="1"/>
  <c r="AG90" i="18"/>
  <c r="AG212" i="18" s="1"/>
  <c r="AG100" i="18"/>
  <c r="AG75" i="18"/>
  <c r="AG209" i="18" s="1"/>
  <c r="AG106" i="18"/>
  <c r="AG98" i="18"/>
  <c r="AG99" i="18"/>
  <c r="AG89" i="18"/>
  <c r="AG82" i="18"/>
  <c r="AG71" i="18"/>
  <c r="AG216" i="18"/>
  <c r="AG78" i="18"/>
  <c r="AG74" i="18"/>
  <c r="AG208" i="18" s="1"/>
  <c r="AG84" i="18"/>
  <c r="AG213" i="18" s="1"/>
  <c r="AG79" i="18"/>
  <c r="AG210" i="18" s="1"/>
  <c r="AG234" i="18" s="1"/>
  <c r="AG143" i="18"/>
  <c r="AG144" i="18" s="1"/>
  <c r="AG76" i="18"/>
  <c r="AG218" i="18" s="1"/>
  <c r="AH61" i="18"/>
  <c r="AG86" i="18"/>
  <c r="AK61" i="18" l="1"/>
  <c r="AI61" i="18"/>
  <c r="AG235" i="18"/>
  <c r="AG236" i="18" s="1"/>
  <c r="AG233" i="18"/>
  <c r="AF220" i="18"/>
  <c r="AF221" i="18" s="1"/>
  <c r="AF219" i="18"/>
  <c r="AG88" i="18"/>
  <c r="AG211" i="18" s="1"/>
  <c r="AG207" i="18"/>
  <c r="AH216" i="18"/>
  <c r="AH103" i="18"/>
  <c r="AK103" i="18" s="1"/>
  <c r="AH104" i="18"/>
  <c r="AK104" i="18" s="1"/>
  <c r="AH71" i="18"/>
  <c r="AK71" i="18" s="1"/>
  <c r="AH77" i="18"/>
  <c r="AK77" i="18" s="1"/>
  <c r="AH106" i="18"/>
  <c r="AH102" i="18"/>
  <c r="AK102" i="18" s="1"/>
  <c r="AH74" i="18"/>
  <c r="AK74" i="18" s="1"/>
  <c r="AH70" i="18"/>
  <c r="AK70" i="18" s="1"/>
  <c r="AH75" i="18"/>
  <c r="AK75" i="18" s="1"/>
  <c r="AH79" i="18"/>
  <c r="AK79" i="18" s="1"/>
  <c r="AH89" i="18"/>
  <c r="AK89" i="18" s="1"/>
  <c r="AH76" i="18"/>
  <c r="AH90" i="18"/>
  <c r="AK90" i="18" s="1"/>
  <c r="AH97" i="18"/>
  <c r="AK97" i="18" s="1"/>
  <c r="AH99" i="18"/>
  <c r="AK99" i="18" s="1"/>
  <c r="AH84" i="18"/>
  <c r="AK84" i="18" s="1"/>
  <c r="AH86" i="18"/>
  <c r="AK86" i="18" s="1"/>
  <c r="AH82" i="18"/>
  <c r="AK82" i="18" s="1"/>
  <c r="AH87" i="18"/>
  <c r="AK87" i="18" s="1"/>
  <c r="AH98" i="18"/>
  <c r="AK98" i="18" s="1"/>
  <c r="AH96" i="18"/>
  <c r="AK96" i="18" s="1"/>
  <c r="AH80" i="18"/>
  <c r="AK80" i="18" s="1"/>
  <c r="AH100" i="18"/>
  <c r="AK100" i="18" s="1"/>
  <c r="AH143" i="18"/>
  <c r="AK143" i="18" s="1"/>
  <c r="AH78" i="18"/>
  <c r="AK78" i="18" s="1"/>
  <c r="AH83" i="18"/>
  <c r="AK83" i="18" s="1"/>
  <c r="AG147" i="18"/>
  <c r="AG145" i="18"/>
  <c r="AG146" i="18" s="1"/>
  <c r="AK106" i="18" l="1"/>
  <c r="AI106" i="18"/>
  <c r="AH218" i="18"/>
  <c r="AK76" i="18"/>
  <c r="AG220" i="18"/>
  <c r="AG221" i="18" s="1"/>
  <c r="AG219" i="18"/>
  <c r="AH144" i="18"/>
  <c r="AK144" i="18" s="1"/>
  <c r="AI143" i="18"/>
  <c r="AI98" i="18"/>
  <c r="Y198" i="18"/>
  <c r="Z198" i="18"/>
  <c r="Z183" i="18"/>
  <c r="S243" i="18" s="1"/>
  <c r="AH213" i="18"/>
  <c r="AI84" i="18"/>
  <c r="Y183" i="18"/>
  <c r="T243" i="18" s="1"/>
  <c r="AI76" i="18"/>
  <c r="Y175" i="18"/>
  <c r="AH207" i="18"/>
  <c r="AH219" i="18" s="1"/>
  <c r="AI219" i="18" s="1"/>
  <c r="AI70" i="18"/>
  <c r="AH206" i="18"/>
  <c r="AI104" i="18"/>
  <c r="Y202" i="18"/>
  <c r="T246" i="18" s="1"/>
  <c r="Z202" i="18"/>
  <c r="S246" i="18" s="1"/>
  <c r="AI100" i="18"/>
  <c r="AI87" i="18"/>
  <c r="Z199" i="18"/>
  <c r="AI99" i="18"/>
  <c r="Y199" i="18"/>
  <c r="AI89" i="18"/>
  <c r="Y185" i="18"/>
  <c r="Z185" i="18"/>
  <c r="AI74" i="18"/>
  <c r="AH208" i="18"/>
  <c r="AI77" i="18"/>
  <c r="AI103" i="18"/>
  <c r="AI83" i="18"/>
  <c r="Z182" i="18"/>
  <c r="Y182" i="18"/>
  <c r="AI80" i="18"/>
  <c r="Y178" i="18"/>
  <c r="Z178" i="18"/>
  <c r="Y181" i="18"/>
  <c r="AI82" i="18"/>
  <c r="Z181" i="18"/>
  <c r="AI97" i="18"/>
  <c r="Y197" i="18"/>
  <c r="Z197" i="18"/>
  <c r="AI79" i="18"/>
  <c r="Z177" i="18"/>
  <c r="AH210" i="18"/>
  <c r="AH234" i="18" s="1"/>
  <c r="Y177" i="18"/>
  <c r="AI102" i="18"/>
  <c r="AH168" i="18"/>
  <c r="AI216" i="18"/>
  <c r="AK216" i="18" s="1"/>
  <c r="AK231" i="18" s="1"/>
  <c r="Y176" i="18"/>
  <c r="T244" i="18" s="1"/>
  <c r="Z176" i="18"/>
  <c r="S244" i="18" s="1"/>
  <c r="AI78" i="18"/>
  <c r="AI96" i="18"/>
  <c r="Y196" i="18"/>
  <c r="Z196" i="18"/>
  <c r="AI86" i="18"/>
  <c r="Z179" i="18"/>
  <c r="Y179" i="18"/>
  <c r="AH88" i="18"/>
  <c r="AK88" i="18" s="1"/>
  <c r="AI90" i="18"/>
  <c r="AH212" i="18"/>
  <c r="Y186" i="18"/>
  <c r="Z186" i="18"/>
  <c r="AI75" i="18"/>
  <c r="AH209" i="18"/>
  <c r="AI71" i="18"/>
  <c r="Z175" i="18" l="1"/>
  <c r="S247" i="18" s="1"/>
  <c r="AI168" i="18"/>
  <c r="AK168" i="18"/>
  <c r="T247" i="18"/>
  <c r="T248" i="18" s="1"/>
  <c r="V234" i="18"/>
  <c r="G234" i="18"/>
  <c r="G235" i="18" s="1"/>
  <c r="G236" i="18" s="1"/>
  <c r="U234" i="18"/>
  <c r="G233" i="18"/>
  <c r="AH235" i="18"/>
  <c r="AH236" i="18" s="1"/>
  <c r="AH233" i="18"/>
  <c r="I234" i="18"/>
  <c r="K234" i="18"/>
  <c r="M234" i="18"/>
  <c r="O234" i="18"/>
  <c r="Q234" i="18"/>
  <c r="S234" i="18"/>
  <c r="H234" i="18"/>
  <c r="J234" i="18"/>
  <c r="L234" i="18"/>
  <c r="N234" i="18"/>
  <c r="P234" i="18"/>
  <c r="R234" i="18"/>
  <c r="T234" i="18"/>
  <c r="X179" i="18"/>
  <c r="Z200" i="18"/>
  <c r="AI218" i="18"/>
  <c r="AK218" i="18" s="1"/>
  <c r="AK233" i="18" s="1"/>
  <c r="X196" i="18"/>
  <c r="X181" i="18"/>
  <c r="X177" i="18"/>
  <c r="X185" i="18"/>
  <c r="AH211" i="18"/>
  <c r="AI88" i="18"/>
  <c r="AI210" i="18"/>
  <c r="AK210" i="18" s="1"/>
  <c r="Y200" i="18"/>
  <c r="X197" i="18"/>
  <c r="X182" i="18"/>
  <c r="X202" i="18"/>
  <c r="X198" i="18"/>
  <c r="AI209" i="18"/>
  <c r="AK209" i="18" s="1"/>
  <c r="X186" i="18"/>
  <c r="X176" i="18"/>
  <c r="X199" i="18"/>
  <c r="AI213" i="18"/>
  <c r="AK213" i="18" s="1"/>
  <c r="AI212" i="18"/>
  <c r="AK212" i="18" s="1"/>
  <c r="AK226" i="18" s="1"/>
  <c r="X178" i="18"/>
  <c r="AH220" i="18"/>
  <c r="AI207" i="18"/>
  <c r="AK207" i="18" s="1"/>
  <c r="AK220" i="18" s="1"/>
  <c r="AK235" i="18" s="1"/>
  <c r="AI208" i="18"/>
  <c r="AK208" i="18" s="1"/>
  <c r="AK221" i="18" s="1"/>
  <c r="AK236" i="18" s="1"/>
  <c r="AI206" i="18"/>
  <c r="AK206" i="18" s="1"/>
  <c r="AK219" i="18" s="1"/>
  <c r="AK234" i="18" s="1"/>
  <c r="X175" i="18"/>
  <c r="X183" i="18"/>
  <c r="AH147" i="18"/>
  <c r="AI144" i="18"/>
  <c r="AH145" i="18"/>
  <c r="AK145" i="18" s="1"/>
  <c r="S248" i="18" l="1"/>
  <c r="V235" i="18"/>
  <c r="V236" i="18" s="1"/>
  <c r="V233" i="18"/>
  <c r="AI147" i="18"/>
  <c r="AK147" i="18"/>
  <c r="U233" i="18"/>
  <c r="W233" i="18" s="1"/>
  <c r="W234" i="18"/>
  <c r="U235" i="18"/>
  <c r="T235" i="18"/>
  <c r="T233" i="18"/>
  <c r="P235" i="18"/>
  <c r="P236" i="18" s="1"/>
  <c r="P233" i="18"/>
  <c r="L235" i="18"/>
  <c r="L236" i="18" s="1"/>
  <c r="L233" i="18"/>
  <c r="H235" i="18"/>
  <c r="H236" i="18" s="1"/>
  <c r="H233" i="18"/>
  <c r="Q235" i="18"/>
  <c r="Q236" i="18" s="1"/>
  <c r="Q233" i="18"/>
  <c r="M235" i="18"/>
  <c r="M236" i="18" s="1"/>
  <c r="M233" i="18"/>
  <c r="I235" i="18"/>
  <c r="I236" i="18" s="1"/>
  <c r="I233" i="18"/>
  <c r="R233" i="18"/>
  <c r="R235" i="18"/>
  <c r="R236" i="18" s="1"/>
  <c r="N233" i="18"/>
  <c r="N235" i="18"/>
  <c r="N236" i="18" s="1"/>
  <c r="J233" i="18"/>
  <c r="AI233" i="18" s="1"/>
  <c r="J235" i="18"/>
  <c r="AI234" i="18"/>
  <c r="S235" i="18"/>
  <c r="S236" i="18" s="1"/>
  <c r="S233" i="18"/>
  <c r="O235" i="18"/>
  <c r="O236" i="18" s="1"/>
  <c r="O233" i="18"/>
  <c r="K235" i="18"/>
  <c r="K236" i="18" s="1"/>
  <c r="K233" i="18"/>
  <c r="AK224" i="18"/>
  <c r="AK223" i="18"/>
  <c r="AI220" i="18"/>
  <c r="AH221" i="18"/>
  <c r="AI221" i="18" s="1"/>
  <c r="X200" i="18"/>
  <c r="AI145" i="18"/>
  <c r="AH146" i="18"/>
  <c r="P243" i="18"/>
  <c r="P244" i="18"/>
  <c r="P246" i="18"/>
  <c r="AI211" i="18"/>
  <c r="AK211" i="18" s="1"/>
  <c r="AK225" i="18" s="1"/>
  <c r="AI146" i="18" l="1"/>
  <c r="AK146" i="18"/>
  <c r="U236" i="18"/>
  <c r="W236" i="18" s="1"/>
  <c r="W235" i="18"/>
  <c r="J236" i="18"/>
  <c r="AI236" i="18" s="1"/>
  <c r="AI235" i="18"/>
  <c r="T236" i="18"/>
</calcChain>
</file>

<file path=xl/comments1.xml><?xml version="1.0" encoding="utf-8"?>
<comments xmlns="http://schemas.openxmlformats.org/spreadsheetml/2006/main">
  <authors>
    <author>Author</author>
  </authors>
  <commentList>
    <comment ref="B1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S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T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Rationalized avg EPS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<sst xmlns="http://schemas.openxmlformats.org/spreadsheetml/2006/main" count="765" uniqueCount="511">
  <si>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</si>
  <si>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</si>
  <si>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</si>
  <si>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</si>
  <si>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</si>
  <si>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</si>
  <si>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</si>
  <si>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</si>
  <si>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</si>
  <si>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</si>
  <si>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</si>
  <si>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</si>
  <si>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</si>
  <si>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</si>
  <si>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</si>
  <si>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</si>
  <si>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</si>
  <si>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</si>
  <si>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</si>
  <si>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</si>
  <si>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</si>
  <si>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</si>
  <si>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</si>
  <si>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</si>
  <si>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</si>
  <si>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</si>
  <si>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</si>
  <si>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</si>
  <si>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</si>
  <si>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</si>
  <si>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</si>
  <si>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</si>
  <si>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</si>
  <si>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</si>
  <si>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</si>
  <si>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</si>
  <si>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</si>
  <si>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</si>
  <si>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</si>
  <si>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</si>
  <si>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</si>
  <si>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</si>
  <si>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</si>
  <si>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</si>
  <si>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</si>
  <si>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</si>
  <si>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</si>
  <si>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</si>
  <si>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</si>
  <si>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</si>
  <si>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</si>
  <si>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</si>
  <si>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</si>
  <si>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</si>
  <si>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</si>
  <si>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</si>
  <si>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</si>
  <si>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</si>
  <si>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</si>
  <si>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</si>
  <si>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</si>
  <si>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</si>
  <si>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</si>
  <si>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</si>
  <si>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</si>
  <si>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</si>
  <si>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</si>
  <si>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</si>
  <si>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</si>
  <si>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</si>
  <si>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</si>
  <si>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</si>
  <si>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</si>
  <si>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</si>
  <si>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</si>
  <si>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</si>
  <si>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</si>
  <si>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</si>
  <si>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</si>
  <si>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</si>
  <si>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</si>
  <si>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</si>
  <si>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</si>
  <si>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</si>
  <si>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</si>
  <si>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</si>
  <si>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</si>
  <si>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</si>
  <si>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</si>
  <si>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</si>
  <si>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</si>
  <si>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</si>
  <si>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</si>
  <si>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</si>
  <si>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</si>
  <si>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</si>
  <si>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</si>
  <si>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</si>
  <si>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</si>
  <si>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</si>
  <si>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</si>
  <si>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</si>
  <si>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</si>
  <si>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</si>
  <si>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</si>
  <si>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</si>
  <si>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</si>
  <si>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</si>
  <si>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</si>
  <si>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</si>
  <si>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</si>
  <si>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</si>
  <si>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</si>
  <si>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</si>
  <si>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</si>
  <si>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</si>
  <si>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</si>
  <si>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</si>
  <si>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</si>
  <si>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</si>
  <si>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</si>
  <si>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</si>
  <si>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</si>
  <si>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</si>
  <si>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</si>
  <si>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</si>
  <si>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</si>
  <si>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</si>
  <si>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</si>
  <si>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</si>
  <si>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</si>
  <si>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</si>
  <si>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</si>
  <si>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</si>
  <si>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</si>
  <si>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</si>
  <si>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</si>
  <si>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</si>
  <si>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</si>
  <si>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</si>
  <si>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</si>
  <si>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</si>
  <si>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</si>
  <si>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</si>
  <si>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</si>
  <si>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</si>
  <si>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</si>
  <si>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</si>
  <si>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</si>
  <si>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</si>
  <si>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</si>
  <si>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</si>
  <si>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</si>
  <si>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</si>
  <si>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</si>
  <si>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</si>
  <si>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</si>
  <si>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</si>
  <si>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</si>
  <si>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</si>
  <si>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</si>
  <si>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</si>
  <si>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</si>
  <si>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</si>
  <si>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</si>
  <si>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</si>
  <si>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</si>
  <si>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</si>
  <si>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</si>
  <si>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</si>
  <si>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</si>
  <si>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</si>
  <si>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</si>
  <si>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</si>
  <si>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</si>
  <si>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</si>
  <si>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</si>
  <si>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</si>
  <si>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</si>
  <si>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</si>
  <si>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</si>
  <si>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</si>
  <si>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</si>
  <si>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</si>
  <si>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</si>
  <si>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</si>
  <si>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</si>
  <si>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</si>
  <si>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</si>
  <si>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</si>
  <si>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</si>
  <si>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</si>
  <si>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</si>
  <si>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</si>
  <si>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</si>
  <si>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</si>
  <si>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</si>
  <si>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</si>
  <si>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</si>
  <si>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</si>
  <si>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</si>
  <si>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</si>
  <si>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</si>
  <si>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</si>
  <si>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</si>
  <si>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</si>
  <si>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</si>
  <si>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</si>
  <si>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</si>
  <si>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</si>
  <si>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</si>
  <si>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</si>
  <si>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</si>
  <si>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</si>
  <si>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</si>
  <si>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</si>
  <si>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</si>
  <si>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</si>
  <si>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</si>
  <si>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</si>
  <si>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</si>
  <si>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</si>
  <si>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</si>
  <si>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</si>
  <si>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</si>
  <si>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</si>
  <si>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</si>
  <si>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</si>
  <si>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</si>
  <si>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</si>
  <si>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</si>
  <si>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</si>
  <si>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</si>
  <si>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</si>
  <si>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</si>
  <si>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</si>
  <si>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</si>
  <si>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</si>
  <si>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</si>
  <si>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</si>
  <si>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</si>
  <si>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</si>
  <si>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</si>
  <si>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</si>
  <si>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</si>
  <si>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</si>
  <si>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</si>
  <si>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</si>
  <si>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</si>
  <si>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</si>
  <si>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</si>
  <si>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</si>
  <si>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</si>
  <si>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</si>
  <si>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</si>
  <si>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</si>
  <si>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</si>
  <si>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</si>
  <si>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</si>
  <si>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</si>
  <si>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</si>
  <si>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</si>
  <si>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</si>
  <si>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</si>
  <si>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</si>
  <si>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</si>
  <si>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</si>
  <si>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</si>
  <si>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</si>
  <si>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</si>
  <si>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</si>
  <si>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</si>
  <si>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</si>
  <si>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</si>
  <si>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</si>
  <si>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</si>
  <si>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</si>
  <si>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</si>
  <si>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</si>
  <si>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</si>
  <si>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</si>
  <si>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</si>
  <si>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Desc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</si>
  <si>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</si>
  <si>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</si>
  <si>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</si>
  <si>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</si>
  <si>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</si>
  <si>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</si>
  <si>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</si>
  <si>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</si>
  <si>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</si>
  <si>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</si>
  <si>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</si>
  <si>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</si>
  <si>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</si>
  <si>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</si>
  <si>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</si>
  <si>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</si>
  <si>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</si>
  <si>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</si>
  <si>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</si>
  <si>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</si>
  <si>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</si>
  <si>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</si>
  <si>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</si>
  <si>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</si>
  <si>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</si>
  <si>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</si>
  <si>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</si>
  <si>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</si>
  <si>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</si>
  <si>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</si>
  <si>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</si>
  <si>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</si>
  <si>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</si>
  <si>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</si>
  <si>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</si>
  <si>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</si>
  <si>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</si>
  <si>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</si>
  <si>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</si>
  <si>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</si>
  <si>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</si>
  <si>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</si>
  <si>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</si>
  <si>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</si>
  <si>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</si>
  <si>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</si>
  <si>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</si>
  <si>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</si>
  <si>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</si>
  <si>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</si>
  <si>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</si>
  <si>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</si>
  <si>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</si>
  <si>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</si>
  <si>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</si>
  <si>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</si>
  <si>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</si>
  <si>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</si>
  <si>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</si>
  <si>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</si>
  <si>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</si>
  <si>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</si>
  <si>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</si>
  <si>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</si>
  <si>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</si>
  <si>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</si>
  <si>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</si>
  <si>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</si>
  <si>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</si>
  <si>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</si>
  <si>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</si>
  <si>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</si>
  <si>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</si>
  <si>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</si>
  <si>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</si>
  <si>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</si>
  <si>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</si>
  <si>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</si>
  <si>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</si>
  <si>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</si>
  <si>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</si>
  <si>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</si>
  <si>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</si>
  <si>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</si>
  <si>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</si>
  <si>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</si>
  <si>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</si>
  <si>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</si>
  <si>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</si>
  <si>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</si>
  <si>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</si>
  <si>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</si>
  <si>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</si>
  <si>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</si>
  <si>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</si>
  <si>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</si>
  <si>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</si>
  <si>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</si>
  <si>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</si>
  <si>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</si>
  <si>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</si>
  <si>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</si>
  <si>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</si>
  <si>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</si>
  <si>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</si>
  <si>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</si>
  <si>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</si>
  <si>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</si>
  <si>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</si>
  <si>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</si>
  <si>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</si>
  <si>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</si>
  <si>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</si>
  <si>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</si>
  <si>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</si>
  <si>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</si>
  <si>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</si>
  <si>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</si>
  <si>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</si>
  <si>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</si>
  <si>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</si>
  <si>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</si>
  <si>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</si>
  <si>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</si>
  <si>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</si>
  <si>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</si>
  <si>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</si>
  <si>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</si>
  <si>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</si>
  <si>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</si>
  <si>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</si>
  <si>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</si>
  <si>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</si>
  <si>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</si>
  <si>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</si>
  <si>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</si>
  <si>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</si>
  <si>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</si>
  <si>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</si>
  <si>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</si>
  <si>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</si>
  <si>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</si>
  <si>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</si>
  <si>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</si>
  <si>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</si>
  <si>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</si>
  <si>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</si>
  <si>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</si>
  <si>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</si>
  <si>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</si>
  <si>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</si>
  <si>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</si>
  <si>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</si>
  <si>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</si>
  <si>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</si>
  <si>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</si>
  <si>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</si>
  <si>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</si>
  <si>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</si>
  <si>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</si>
  <si>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</si>
  <si>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</si>
  <si>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</si>
  <si>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</si>
  <si>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</si>
  <si>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</si>
  <si>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</si>
  <si>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</si>
  <si>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</si>
  <si>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</si>
  <si>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</si>
  <si>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</si>
  <si>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</si>
  <si>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</si>
  <si>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</si>
  <si>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</si>
  <si>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</si>
  <si>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</si>
  <si>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</si>
  <si>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</si>
  <si>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</si>
  <si>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</si>
  <si>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</si>
  <si>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</si>
  <si>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Growth rate</t>
  </si>
  <si>
    <t>Double in years</t>
  </si>
  <si>
    <t>PVAn (due)</t>
  </si>
  <si>
    <t>FVAn (due)</t>
  </si>
  <si>
    <t>In INR Cr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</si>
  <si>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</si>
  <si>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</si>
  <si>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</si>
  <si>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</si>
  <si>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</si>
  <si>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</si>
  <si>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</si>
  <si>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</si>
  <si>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</si>
  <si>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</si>
  <si>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</si>
  <si>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</si>
  <si>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</si>
  <si>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</si>
  <si>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</si>
  <si>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</si>
  <si>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</si>
  <si>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</si>
  <si>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</si>
  <si>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</si>
  <si>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</si>
  <si>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</si>
  <si>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</si>
  <si>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</si>
  <si>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</si>
  <si>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</si>
  <si>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Avg10 yrs</t>
  </si>
  <si>
    <t>Earnings Yield (rationalized EPS)</t>
  </si>
  <si>
    <t>Earnings Yield (After 10 years)</t>
  </si>
  <si>
    <t>Depreciation</t>
  </si>
  <si>
    <t>Provisions</t>
  </si>
  <si>
    <t>Required Rate of Return</t>
  </si>
  <si>
    <t>Avg 15 yrs</t>
  </si>
  <si>
    <t>Rationalized EPS average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</si>
  <si>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15 years</t>
    </r>
    <r>
      <rPr>
        <sz val="10"/>
        <color theme="1"/>
        <rFont val="Cambria"/>
        <family val="1"/>
        <scheme val="major"/>
      </rPr>
      <t>)</t>
    </r>
  </si>
  <si>
    <t>2nd highest Expenses Comp. ( Employee Cost )</t>
  </si>
  <si>
    <t>Top Expenses ( Interest )</t>
  </si>
  <si>
    <t>10x2</t>
  </si>
  <si>
    <t>Payback ratio (market cap / 5 year forward PAT)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</si>
</sst>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168" fontId="4" fillId="5" borderId="1" xfId="1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5" fillId="5" borderId="1" xfId="0" applyFont="1" applyFill="1" applyBorder="1" applyAlignment="1">
      <alignment horizontal="right"/>
    </xf>
    <xf numFmtId="0" fontId="18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2" applyNumberFormat="1" applyFon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19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180" fontId="0" fillId="0" borderId="1" xfId="0" applyNumberFormat="1" applyBorder="1"/>
    <xf numFmtId="164" fontId="0" fillId="6" borderId="1" xfId="0" applyNumberFormat="1" applyFill="1" applyBorder="1"/>
    <xf numFmtId="1" fontId="0" fillId="0" borderId="1" xfId="0" applyNumberFormat="1" applyBorder="1"/>
    <xf numFmtId="2" fontId="0" fillId="0" borderId="1" xfId="0" applyNumberFormat="1" applyBorder="1"/>
    <xf numFmtId="10" fontId="0" fillId="0" borderId="1" xfId="0" applyNumberFormat="1" applyBorder="1"/>
    <xf numFmtId="9" fontId="5" fillId="6" borderId="0" xfId="0" applyNumberFormat="1" applyFont="1" applyFill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6-4DC3-B345-81035DE8E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040960"/>
        <c:axId val="68046848"/>
      </c:lineChart>
      <c:catAx>
        <c:axId val="6804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68046848"/>
        <c:crosses val="autoZero"/>
        <c:auto val="1"/>
        <c:lblAlgn val="ctr"/>
        <c:lblOffset val="100"/>
        <c:noMultiLvlLbl val="0"/>
      </c:catAx>
      <c:valAx>
        <c:axId val="680468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0409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766" l="0.70000000000000062" r="0.70000000000000062" t="0.750000000000007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C38" sqref="C38"/>
    </sheetView>
  </sheetViews>
  <sheetFormatPr defaultRowHeight="12.75" x14ac:dyDescent="0.2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 x14ac:dyDescent="0.2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 x14ac:dyDescent="0.2">
      <c r="B4" s="88"/>
      <c r="C4" s="10"/>
      <c r="D4" s="10"/>
      <c r="E4" s="10"/>
      <c r="F4" s="10"/>
    </row>
    <row r="5" spans="2:6" x14ac:dyDescent="0.2">
      <c r="B5" s="88"/>
      <c r="C5" s="93" t="s">
        <v>105</v>
      </c>
      <c r="D5" s="10"/>
      <c r="E5" s="10"/>
      <c r="F5" s="10"/>
    </row>
    <row r="6" spans="2:6" x14ac:dyDescent="0.2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 x14ac:dyDescent="0.2">
      <c r="B7" s="88"/>
      <c r="C7" s="10"/>
      <c r="D7" s="10" t="s">
        <v>108</v>
      </c>
      <c r="E7" s="10"/>
      <c r="F7" s="10"/>
    </row>
    <row r="8" spans="2:6" x14ac:dyDescent="0.2">
      <c r="B8" s="88"/>
      <c r="C8" s="10"/>
      <c r="D8" s="10" t="s">
        <v>114</v>
      </c>
      <c r="E8" s="10"/>
      <c r="F8" s="10"/>
    </row>
    <row r="9" spans="2:6" x14ac:dyDescent="0.2">
      <c r="B9" s="88"/>
      <c r="C9" s="10"/>
      <c r="D9" s="10"/>
      <c r="E9" s="10"/>
      <c r="F9" s="10"/>
    </row>
    <row r="10" spans="2:6" x14ac:dyDescent="0.2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 x14ac:dyDescent="0.2">
      <c r="B11" s="88"/>
      <c r="C11" s="10"/>
      <c r="D11" s="10" t="s">
        <v>110</v>
      </c>
      <c r="E11" s="10"/>
      <c r="F11" s="10"/>
    </row>
    <row r="12" spans="2:6" x14ac:dyDescent="0.2">
      <c r="B12" s="88"/>
      <c r="C12" s="10"/>
      <c r="D12" s="10"/>
      <c r="E12" s="10"/>
      <c r="F12" s="10"/>
    </row>
    <row r="13" spans="2:6" x14ac:dyDescent="0.2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 x14ac:dyDescent="0.2">
      <c r="B14" s="88"/>
      <c r="C14" s="10"/>
      <c r="D14" s="10" t="s">
        <v>115</v>
      </c>
      <c r="E14" s="10" t="s">
        <v>118</v>
      </c>
      <c r="F14" s="10"/>
    </row>
    <row r="15" spans="2:6" x14ac:dyDescent="0.2">
      <c r="B15" s="88"/>
      <c r="C15" s="10"/>
      <c r="D15" s="10"/>
      <c r="E15" s="10" t="s">
        <v>119</v>
      </c>
      <c r="F15" s="10"/>
    </row>
    <row r="16" spans="2:6" x14ac:dyDescent="0.2">
      <c r="B16" s="88"/>
      <c r="C16" s="10"/>
      <c r="D16" s="10"/>
      <c r="E16" s="10"/>
      <c r="F16" s="10"/>
    </row>
    <row r="17" spans="2:6" x14ac:dyDescent="0.2">
      <c r="B17" s="88">
        <v>4</v>
      </c>
      <c r="C17" s="10" t="s">
        <v>120</v>
      </c>
      <c r="D17" s="10" t="s">
        <v>121</v>
      </c>
      <c r="E17" s="10"/>
      <c r="F17" s="10"/>
    </row>
    <row r="18" spans="2:6" x14ac:dyDescent="0.2">
      <c r="B18" s="88"/>
      <c r="C18" s="10"/>
      <c r="D18" s="10" t="s">
        <v>122</v>
      </c>
      <c r="E18" s="10"/>
      <c r="F18" s="10"/>
    </row>
    <row r="19" spans="2:6" x14ac:dyDescent="0.2">
      <c r="B19" s="88"/>
      <c r="C19" s="10"/>
      <c r="D19" s="10" t="s">
        <v>123</v>
      </c>
      <c r="E19" s="10"/>
      <c r="F19" s="10"/>
    </row>
    <row r="20" spans="2:6" x14ac:dyDescent="0.2">
      <c r="B20" s="88"/>
      <c r="C20" s="10"/>
      <c r="D20" s="10" t="s">
        <v>124</v>
      </c>
      <c r="E20" s="10"/>
      <c r="F20" s="10"/>
    </row>
    <row r="21" spans="2:6" x14ac:dyDescent="0.2">
      <c r="B21" s="88"/>
      <c r="C21" s="10"/>
      <c r="D21" s="10"/>
      <c r="E21" s="10"/>
      <c r="F21" s="10"/>
    </row>
    <row r="22" spans="2:6" x14ac:dyDescent="0.2">
      <c r="B22" s="88">
        <v>5</v>
      </c>
      <c r="C22" s="10" t="s">
        <v>125</v>
      </c>
      <c r="D22" s="10" t="s">
        <v>126</v>
      </c>
      <c r="E22" s="10"/>
      <c r="F22" s="10"/>
    </row>
    <row r="23" spans="2:6" x14ac:dyDescent="0.2">
      <c r="B23" s="88"/>
      <c r="C23" s="10"/>
      <c r="D23" s="10" t="s">
        <v>127</v>
      </c>
      <c r="E23" s="10"/>
      <c r="F23" s="10"/>
    </row>
    <row r="24" spans="2:6" ht="25.5" x14ac:dyDescent="0.2">
      <c r="B24" s="88"/>
      <c r="C24" s="10"/>
      <c r="D24" s="10" t="s">
        <v>128</v>
      </c>
      <c r="E24" s="91" t="s">
        <v>129</v>
      </c>
      <c r="F24" s="10"/>
    </row>
    <row r="25" spans="2:6" x14ac:dyDescent="0.2">
      <c r="B25" s="88"/>
      <c r="C25" s="10"/>
      <c r="D25" s="10"/>
      <c r="E25" s="10"/>
      <c r="F25" s="10"/>
    </row>
    <row r="26" spans="2:6" x14ac:dyDescent="0.2">
      <c r="B26" s="88"/>
      <c r="C26" s="10"/>
      <c r="D26" s="10"/>
      <c r="E26" s="10"/>
      <c r="F26" s="10"/>
    </row>
    <row r="27" spans="2:6" x14ac:dyDescent="0.2">
      <c r="B27" s="88"/>
      <c r="C27" s="93" t="s">
        <v>67</v>
      </c>
      <c r="D27" s="10"/>
      <c r="E27" s="10"/>
      <c r="F27" s="10"/>
    </row>
    <row r="28" spans="2:6" x14ac:dyDescent="0.2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 x14ac:dyDescent="0.2">
      <c r="B29" s="88"/>
      <c r="C29" s="10"/>
      <c r="D29" s="10" t="s">
        <v>71</v>
      </c>
      <c r="E29" s="10" t="s">
        <v>73</v>
      </c>
      <c r="F29" s="10"/>
    </row>
    <row r="30" spans="2:6" x14ac:dyDescent="0.2">
      <c r="B30" s="88"/>
      <c r="C30" s="10"/>
      <c r="D30" s="10"/>
      <c r="E30" s="10"/>
      <c r="F30" s="10"/>
    </row>
    <row r="31" spans="2:6" x14ac:dyDescent="0.2">
      <c r="B31" s="88">
        <v>2</v>
      </c>
      <c r="C31" s="10" t="s">
        <v>77</v>
      </c>
      <c r="D31" s="10" t="s">
        <v>78</v>
      </c>
      <c r="E31" s="10"/>
      <c r="F31" s="10"/>
    </row>
    <row r="32" spans="2:6" x14ac:dyDescent="0.2">
      <c r="B32" s="88"/>
      <c r="C32" s="10"/>
      <c r="D32" s="10" t="s">
        <v>13</v>
      </c>
      <c r="E32" s="10"/>
      <c r="F32" s="10"/>
    </row>
    <row r="33" spans="2:6" x14ac:dyDescent="0.2">
      <c r="B33" s="88"/>
      <c r="C33" s="10"/>
      <c r="D33" s="10" t="s">
        <v>79</v>
      </c>
      <c r="E33" s="10"/>
      <c r="F33" s="10"/>
    </row>
    <row r="34" spans="2:6" x14ac:dyDescent="0.2">
      <c r="B34" s="88"/>
      <c r="C34" s="10"/>
      <c r="D34" s="10"/>
      <c r="E34" s="10"/>
      <c r="F34" s="10"/>
    </row>
    <row r="35" spans="2:6" x14ac:dyDescent="0.2">
      <c r="B35" s="88">
        <v>3</v>
      </c>
      <c r="C35" s="10" t="s">
        <v>80</v>
      </c>
      <c r="D35" s="10" t="s">
        <v>13</v>
      </c>
      <c r="E35" s="10"/>
      <c r="F35" s="10"/>
    </row>
    <row r="36" spans="2:6" x14ac:dyDescent="0.2">
      <c r="B36" s="88"/>
      <c r="C36" s="10"/>
      <c r="D36" s="10" t="s">
        <v>81</v>
      </c>
      <c r="E36" s="10"/>
      <c r="F36" s="10"/>
    </row>
    <row r="37" spans="2:6" x14ac:dyDescent="0.2">
      <c r="B37" s="88"/>
      <c r="C37" s="10"/>
      <c r="D37" s="10" t="s">
        <v>82</v>
      </c>
      <c r="E37" s="10"/>
      <c r="F37" s="10"/>
    </row>
    <row r="38" spans="2:6" x14ac:dyDescent="0.2">
      <c r="B38" s="88"/>
      <c r="C38" s="10"/>
      <c r="D38" s="10" t="s">
        <v>83</v>
      </c>
      <c r="E38" s="10"/>
      <c r="F38" s="10"/>
    </row>
    <row r="39" spans="2:6" x14ac:dyDescent="0.2">
      <c r="B39" s="88"/>
      <c r="C39" s="10"/>
      <c r="D39" s="10"/>
      <c r="E39" s="10"/>
      <c r="F39" s="10"/>
    </row>
    <row r="40" spans="2:6" x14ac:dyDescent="0.2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 x14ac:dyDescent="0.2">
      <c r="B41" s="88"/>
      <c r="C41" s="10"/>
      <c r="D41" s="10" t="s">
        <v>85</v>
      </c>
      <c r="E41" s="10"/>
      <c r="F41" s="10"/>
    </row>
    <row r="42" spans="2:6" x14ac:dyDescent="0.2">
      <c r="B42" s="88"/>
      <c r="C42" s="10"/>
      <c r="D42" s="10" t="s">
        <v>89</v>
      </c>
      <c r="E42" s="10" t="s">
        <v>90</v>
      </c>
      <c r="F42" s="10" t="s">
        <v>87</v>
      </c>
    </row>
    <row r="43" spans="2:6" x14ac:dyDescent="0.2">
      <c r="B43" s="88"/>
      <c r="C43" s="10"/>
      <c r="D43" s="10"/>
      <c r="E43" s="91" t="s">
        <v>104</v>
      </c>
      <c r="F43" s="10"/>
    </row>
    <row r="44" spans="2:6" x14ac:dyDescent="0.2">
      <c r="B44" s="88"/>
      <c r="C44" s="10"/>
      <c r="D44" s="10"/>
      <c r="E44" s="10"/>
      <c r="F44" s="10"/>
    </row>
    <row r="45" spans="2:6" x14ac:dyDescent="0.2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 x14ac:dyDescent="0.2">
      <c r="B46" s="88"/>
      <c r="C46" s="10" t="s">
        <v>92</v>
      </c>
      <c r="D46" s="10" t="s">
        <v>94</v>
      </c>
      <c r="E46" s="10"/>
      <c r="F46" s="10"/>
    </row>
    <row r="47" spans="2:6" x14ac:dyDescent="0.2">
      <c r="B47" s="88"/>
      <c r="C47" s="10"/>
      <c r="D47" s="10" t="s">
        <v>95</v>
      </c>
      <c r="E47" s="10"/>
      <c r="F47" s="10"/>
    </row>
    <row r="48" spans="2:6" x14ac:dyDescent="0.2">
      <c r="B48" s="88"/>
      <c r="C48" s="10"/>
      <c r="D48" s="10"/>
      <c r="E48" s="10"/>
      <c r="F48" s="10"/>
    </row>
    <row r="49" spans="2:6" x14ac:dyDescent="0.2">
      <c r="B49" s="88">
        <v>6</v>
      </c>
      <c r="C49" s="10" t="s">
        <v>98</v>
      </c>
      <c r="D49" s="10" t="s">
        <v>99</v>
      </c>
      <c r="E49" s="10"/>
      <c r="F49" s="10"/>
    </row>
    <row r="50" spans="2:6" x14ac:dyDescent="0.2">
      <c r="B50" s="88"/>
      <c r="C50" s="10"/>
      <c r="D50" s="10" t="s">
        <v>100</v>
      </c>
      <c r="E50" s="10"/>
      <c r="F50" s="10"/>
    </row>
    <row r="51" spans="2:6" x14ac:dyDescent="0.2">
      <c r="B51" s="88"/>
      <c r="C51" s="10"/>
      <c r="D51" s="10"/>
      <c r="E51" s="10"/>
      <c r="F51" s="10"/>
    </row>
    <row r="52" spans="2:6" x14ac:dyDescent="0.2">
      <c r="B52" s="88">
        <v>7</v>
      </c>
      <c r="C52" s="10" t="s">
        <v>101</v>
      </c>
      <c r="D52" s="10" t="s">
        <v>103</v>
      </c>
      <c r="E52" s="10"/>
      <c r="F52" s="10"/>
    </row>
    <row r="53" spans="2:6" ht="25.5" x14ac:dyDescent="0.2">
      <c r="B53" s="88"/>
      <c r="C53" s="10"/>
      <c r="D53" s="91" t="s">
        <v>102</v>
      </c>
      <c r="E53" s="10"/>
      <c r="F53" s="10"/>
    </row>
    <row r="54" spans="2:6" x14ac:dyDescent="0.2">
      <c r="B54" s="88"/>
      <c r="C54" s="10"/>
      <c r="D54" s="10"/>
      <c r="E54" s="10"/>
      <c r="F54" s="10"/>
    </row>
    <row r="55" spans="2:6" x14ac:dyDescent="0.2">
      <c r="B55" s="88"/>
      <c r="C55" s="10"/>
      <c r="D55" s="10"/>
      <c r="E55" s="10"/>
      <c r="F55" s="10"/>
    </row>
    <row r="56" spans="2:6" x14ac:dyDescent="0.2">
      <c r="B56" s="88"/>
      <c r="C56" s="93" t="s">
        <v>130</v>
      </c>
      <c r="D56" s="10"/>
      <c r="E56" s="10"/>
      <c r="F56" s="10"/>
    </row>
    <row r="57" spans="2:6" x14ac:dyDescent="0.2">
      <c r="B57" s="88">
        <v>1</v>
      </c>
      <c r="C57" s="10" t="s">
        <v>131</v>
      </c>
      <c r="D57" s="10" t="s">
        <v>132</v>
      </c>
      <c r="E57" s="10"/>
      <c r="F57" s="10"/>
    </row>
    <row r="58" spans="2:6" x14ac:dyDescent="0.2">
      <c r="B58" s="88"/>
      <c r="C58" s="10"/>
      <c r="D58" s="10" t="s">
        <v>133</v>
      </c>
      <c r="E58" s="10"/>
      <c r="F58" s="10"/>
    </row>
    <row r="59" spans="2:6" x14ac:dyDescent="0.2">
      <c r="B59" s="88"/>
      <c r="C59" s="10"/>
      <c r="D59" s="10" t="s">
        <v>134</v>
      </c>
      <c r="E59" s="10"/>
      <c r="F59" s="10"/>
    </row>
    <row r="60" spans="2:6" x14ac:dyDescent="0.2">
      <c r="B60" s="88"/>
      <c r="C60" s="10"/>
      <c r="D60" s="10"/>
      <c r="E60" s="10"/>
      <c r="F60" s="10"/>
    </row>
    <row r="61" spans="2:6" x14ac:dyDescent="0.2">
      <c r="B61" s="88">
        <v>2</v>
      </c>
      <c r="C61" s="10" t="s">
        <v>135</v>
      </c>
      <c r="D61" s="10" t="s">
        <v>136</v>
      </c>
      <c r="E61" s="10"/>
      <c r="F61" s="10"/>
    </row>
    <row r="62" spans="2:6" x14ac:dyDescent="0.2">
      <c r="B62" s="88"/>
      <c r="C62" s="10"/>
      <c r="D62" s="10"/>
      <c r="E62" s="10"/>
      <c r="F62" s="10"/>
    </row>
    <row r="63" spans="2:6" x14ac:dyDescent="0.2">
      <c r="B63" s="88">
        <v>3</v>
      </c>
      <c r="C63" s="10" t="s">
        <v>137</v>
      </c>
      <c r="D63" s="10" t="s">
        <v>138</v>
      </c>
      <c r="E63" s="10"/>
      <c r="F63" s="10"/>
    </row>
    <row r="64" spans="2:6" x14ac:dyDescent="0.2">
      <c r="B64" s="88"/>
      <c r="C64" s="10"/>
      <c r="D64" s="10"/>
      <c r="E64" s="10"/>
      <c r="F64" s="10"/>
    </row>
    <row r="65" spans="2:6" ht="25.5" x14ac:dyDescent="0.2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 x14ac:dyDescent="0.2">
      <c r="B66" s="88"/>
      <c r="C66" s="10"/>
      <c r="D66" s="10" t="s">
        <v>141</v>
      </c>
      <c r="E66" s="10" t="s">
        <v>147</v>
      </c>
      <c r="F66" s="10"/>
    </row>
    <row r="67" spans="2:6" x14ac:dyDescent="0.2">
      <c r="B67" s="88"/>
      <c r="C67" s="10"/>
      <c r="D67" s="10" t="s">
        <v>142</v>
      </c>
      <c r="E67" s="10"/>
      <c r="F67" s="10"/>
    </row>
    <row r="68" spans="2:6" x14ac:dyDescent="0.2">
      <c r="B68" s="88"/>
      <c r="C68" s="10"/>
      <c r="D68" s="10" t="s">
        <v>143</v>
      </c>
      <c r="E68" s="10"/>
      <c r="F68" s="10"/>
    </row>
    <row r="69" spans="2:6" x14ac:dyDescent="0.2">
      <c r="B69" s="88"/>
      <c r="C69" s="10"/>
      <c r="D69" s="10" t="s">
        <v>144</v>
      </c>
      <c r="E69" s="10"/>
      <c r="F69" s="10"/>
    </row>
    <row r="70" spans="2:6" x14ac:dyDescent="0.2">
      <c r="B70" s="88"/>
      <c r="C70" s="10"/>
      <c r="D70" s="10"/>
      <c r="E70" s="10"/>
      <c r="F70" s="10"/>
    </row>
    <row r="71" spans="2:6" x14ac:dyDescent="0.2">
      <c r="B71" s="88">
        <v>5</v>
      </c>
      <c r="C71" s="10" t="s">
        <v>148</v>
      </c>
      <c r="D71" s="10" t="s">
        <v>149</v>
      </c>
      <c r="E71" s="10"/>
      <c r="F71" s="10"/>
    </row>
    <row r="72" spans="2:6" x14ac:dyDescent="0.2">
      <c r="B72" s="88"/>
      <c r="C72" s="10"/>
      <c r="D72" s="10" t="s">
        <v>150</v>
      </c>
      <c r="E72" s="10"/>
      <c r="F72" s="10"/>
    </row>
    <row r="73" spans="2:6" x14ac:dyDescent="0.2">
      <c r="B73" s="88"/>
      <c r="C73" s="10"/>
      <c r="D73" s="10" t="s">
        <v>151</v>
      </c>
      <c r="E73" s="10" t="s">
        <v>152</v>
      </c>
      <c r="F73" s="10" t="s">
        <v>153</v>
      </c>
    </row>
    <row r="74" spans="2:6" x14ac:dyDescent="0.2">
      <c r="B74" s="88"/>
      <c r="C74" s="10"/>
      <c r="D74" s="10" t="s">
        <v>154</v>
      </c>
      <c r="E74" s="10"/>
      <c r="F74" s="10"/>
    </row>
    <row r="75" spans="2:6" x14ac:dyDescent="0.2">
      <c r="B75" s="88"/>
      <c r="C75" s="10"/>
      <c r="D75" s="10"/>
      <c r="E75" s="10"/>
      <c r="F75" s="10"/>
    </row>
    <row r="76" spans="2:6" x14ac:dyDescent="0.2">
      <c r="B76" s="88">
        <v>6</v>
      </c>
      <c r="C76" s="10" t="s">
        <v>155</v>
      </c>
      <c r="D76" s="10" t="s">
        <v>156</v>
      </c>
      <c r="E76" s="10"/>
      <c r="F76" s="10"/>
    </row>
    <row r="77" spans="2:6" x14ac:dyDescent="0.2">
      <c r="B77" s="88"/>
      <c r="C77" s="10"/>
      <c r="D77" s="10" t="s">
        <v>157</v>
      </c>
      <c r="E77" s="10"/>
      <c r="F77" s="10"/>
    </row>
    <row r="78" spans="2:6" x14ac:dyDescent="0.2">
      <c r="B78" s="88"/>
      <c r="C78" s="10"/>
      <c r="D78" s="10"/>
      <c r="E78" s="10"/>
      <c r="F78" s="10"/>
    </row>
    <row r="79" spans="2:6" x14ac:dyDescent="0.2">
      <c r="B79" s="88">
        <v>7</v>
      </c>
      <c r="C79" s="10" t="s">
        <v>158</v>
      </c>
      <c r="D79" s="10" t="s">
        <v>159</v>
      </c>
      <c r="E79" s="10"/>
      <c r="F79" s="10"/>
    </row>
    <row r="80" spans="2:6" x14ac:dyDescent="0.2">
      <c r="B80" s="88"/>
      <c r="C80" s="10"/>
      <c r="D80" s="10" t="s">
        <v>160</v>
      </c>
      <c r="E80" s="10"/>
      <c r="F80" s="10"/>
    </row>
    <row r="81" spans="2:6" x14ac:dyDescent="0.2">
      <c r="B81" s="88"/>
      <c r="C81" s="10"/>
      <c r="D81" s="10"/>
      <c r="E81" s="10"/>
      <c r="F81" s="10"/>
    </row>
    <row r="82" spans="2:6" x14ac:dyDescent="0.2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 x14ac:dyDescent="0.2">
      <c r="B83" s="88"/>
      <c r="C83" s="10"/>
      <c r="D83" s="10" t="s">
        <v>163</v>
      </c>
      <c r="E83" s="10" t="s">
        <v>165</v>
      </c>
      <c r="F83" s="10"/>
    </row>
    <row r="84" spans="2:6" x14ac:dyDescent="0.2">
      <c r="B84" s="88"/>
      <c r="C84" s="10"/>
      <c r="D84" s="10"/>
      <c r="E84" s="10"/>
      <c r="F84" s="10"/>
    </row>
    <row r="85" spans="2:6" x14ac:dyDescent="0.2">
      <c r="B85" s="88">
        <v>9</v>
      </c>
      <c r="C85" s="10" t="s">
        <v>166</v>
      </c>
      <c r="D85" s="10" t="s">
        <v>167</v>
      </c>
      <c r="E85" s="13"/>
      <c r="F85" s="10"/>
    </row>
    <row r="86" spans="2:6" x14ac:dyDescent="0.2">
      <c r="B86" s="88"/>
      <c r="C86" s="10"/>
      <c r="D86" s="10" t="s">
        <v>168</v>
      </c>
      <c r="E86" s="10"/>
      <c r="F86" s="10"/>
    </row>
    <row r="87" spans="2:6" x14ac:dyDescent="0.2">
      <c r="B87" s="88"/>
      <c r="C87" s="10"/>
      <c r="D87" s="10" t="s">
        <v>169</v>
      </c>
      <c r="E87" s="10"/>
      <c r="F87" s="10"/>
    </row>
    <row r="88" spans="2:6" ht="25.5" x14ac:dyDescent="0.2">
      <c r="B88" s="88"/>
      <c r="C88" s="10"/>
      <c r="D88" s="94" t="s">
        <v>189</v>
      </c>
      <c r="E88" s="13" t="s">
        <v>190</v>
      </c>
      <c r="F88" s="10"/>
    </row>
    <row r="89" spans="2:6" x14ac:dyDescent="0.2">
      <c r="B89" s="88"/>
      <c r="C89" s="10"/>
      <c r="D89" s="10" t="s">
        <v>170</v>
      </c>
      <c r="E89" s="10"/>
      <c r="F89" s="10"/>
    </row>
    <row r="90" spans="2:6" x14ac:dyDescent="0.2">
      <c r="B90" s="88"/>
      <c r="C90" s="10"/>
      <c r="D90" s="10"/>
      <c r="E90" s="10"/>
      <c r="F90" s="10"/>
    </row>
    <row r="91" spans="2:6" x14ac:dyDescent="0.2">
      <c r="B91" s="88">
        <v>10</v>
      </c>
      <c r="C91" s="10" t="s">
        <v>89</v>
      </c>
      <c r="D91" s="10" t="s">
        <v>171</v>
      </c>
      <c r="E91" s="10"/>
      <c r="F91" s="10"/>
    </row>
    <row r="92" spans="2:6" x14ac:dyDescent="0.2">
      <c r="B92" s="88"/>
      <c r="C92" s="10"/>
      <c r="D92" s="10"/>
      <c r="E92" s="10"/>
      <c r="F92" s="10"/>
    </row>
    <row r="93" spans="2:6" x14ac:dyDescent="0.2">
      <c r="B93" s="88">
        <v>11</v>
      </c>
      <c r="C93" s="10" t="s">
        <v>172</v>
      </c>
      <c r="D93" s="10" t="s">
        <v>173</v>
      </c>
      <c r="E93" s="10"/>
      <c r="F93" s="10"/>
    </row>
    <row r="94" spans="2:6" x14ac:dyDescent="0.2">
      <c r="B94" s="88"/>
      <c r="C94" s="10"/>
      <c r="D94" s="10"/>
      <c r="E94" s="10"/>
      <c r="F94" s="10"/>
    </row>
    <row r="95" spans="2:6" x14ac:dyDescent="0.2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 x14ac:dyDescent="0.2">
      <c r="B96" s="88"/>
      <c r="C96" s="10"/>
      <c r="D96" s="10" t="s">
        <v>183</v>
      </c>
      <c r="E96" s="10" t="s">
        <v>186</v>
      </c>
      <c r="F96" s="10"/>
    </row>
    <row r="97" spans="2:6" x14ac:dyDescent="0.2">
      <c r="B97" s="88"/>
      <c r="C97" s="10"/>
      <c r="D97" s="10"/>
      <c r="E97" s="10" t="s">
        <v>184</v>
      </c>
      <c r="F97" s="10"/>
    </row>
    <row r="98" spans="2:6" x14ac:dyDescent="0.2">
      <c r="B98" s="88"/>
      <c r="C98" s="10"/>
      <c r="D98" s="10"/>
      <c r="E98" s="10"/>
      <c r="F98" s="10"/>
    </row>
    <row r="99" spans="2:6" x14ac:dyDescent="0.2">
      <c r="B99" s="88">
        <v>13</v>
      </c>
      <c r="C99" s="10" t="s">
        <v>175</v>
      </c>
      <c r="D99" s="10" t="s">
        <v>176</v>
      </c>
      <c r="E99" s="10"/>
      <c r="F99" s="10"/>
    </row>
    <row r="100" spans="2:6" x14ac:dyDescent="0.2">
      <c r="B100" s="88"/>
      <c r="C100" s="10"/>
      <c r="D100" s="10" t="s">
        <v>177</v>
      </c>
      <c r="E100" s="10"/>
      <c r="F100" s="10"/>
    </row>
    <row r="101" spans="2:6" x14ac:dyDescent="0.2">
      <c r="B101" s="88"/>
      <c r="C101" s="10"/>
      <c r="D101" s="10" t="s">
        <v>178</v>
      </c>
      <c r="E101" s="10"/>
      <c r="F101" s="10"/>
    </row>
    <row r="102" spans="2:6" x14ac:dyDescent="0.2">
      <c r="B102" s="88"/>
      <c r="C102" s="10"/>
      <c r="D102" s="10"/>
      <c r="E102" s="10"/>
      <c r="F102" s="10"/>
    </row>
    <row r="103" spans="2:6" x14ac:dyDescent="0.2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 x14ac:dyDescent="0.2">
      <c r="B104" s="88"/>
      <c r="C104" s="10"/>
      <c r="D104" s="10" t="s">
        <v>181</v>
      </c>
      <c r="E104" s="10"/>
      <c r="F104" s="10"/>
    </row>
    <row r="105" spans="2:6" x14ac:dyDescent="0.2">
      <c r="B105" s="88"/>
      <c r="C105" s="10"/>
      <c r="D105" s="10"/>
      <c r="E105" s="10"/>
      <c r="F105" s="10"/>
    </row>
    <row r="106" spans="2:6" x14ac:dyDescent="0.2">
      <c r="B106" s="88"/>
      <c r="C106" s="10"/>
      <c r="D106" s="10"/>
      <c r="E106" s="10"/>
      <c r="F106" s="10"/>
    </row>
    <row r="107" spans="2:6" x14ac:dyDescent="0.2">
      <c r="B107" s="88"/>
      <c r="C107" s="10"/>
      <c r="D107" s="10"/>
      <c r="E107" s="10"/>
      <c r="F107" s="10"/>
    </row>
    <row r="108" spans="2:6" x14ac:dyDescent="0.2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25"/>
  <sheetViews>
    <sheetView topLeftCell="G11" zoomScale="80" zoomScaleNormal="80" workbookViewId="0">
      <selection activeCell="L30" sqref="L30"/>
    </sheetView>
  </sheetViews>
  <sheetFormatPr defaultRowHeight="15" x14ac:dyDescent="0.2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 x14ac:dyDescent="0.3"/>
    <row r="3" spans="2:23" x14ac:dyDescent="0.25">
      <c r="B3" s="289" t="s">
        <v>434</v>
      </c>
      <c r="C3" s="289"/>
      <c r="D3" s="289"/>
      <c r="G3" s="289" t="s">
        <v>435</v>
      </c>
      <c r="H3" s="289"/>
      <c r="I3" s="289"/>
      <c r="P3" s="298" t="s">
        <v>436</v>
      </c>
      <c r="Q3" s="299"/>
      <c r="R3" s="299"/>
      <c r="S3" s="300"/>
      <c r="T3" s="298" t="s">
        <v>437</v>
      </c>
      <c r="U3" s="299"/>
      <c r="V3" s="299"/>
      <c r="W3" s="300"/>
    </row>
    <row r="4" spans="2:23" x14ac:dyDescent="0.25">
      <c r="B4" s="181" t="s">
        <v>438</v>
      </c>
      <c r="C4" s="301">
        <v>9500000</v>
      </c>
      <c r="D4" s="301"/>
      <c r="G4" s="181" t="s">
        <v>439</v>
      </c>
      <c r="H4" s="291">
        <v>200000</v>
      </c>
      <c r="I4" s="291"/>
      <c r="K4" s="182" t="s">
        <v>440</v>
      </c>
      <c r="L4" s="182" t="s">
        <v>78</v>
      </c>
      <c r="M4" s="182" t="s">
        <v>390</v>
      </c>
      <c r="N4" s="182" t="s">
        <v>441</v>
      </c>
      <c r="O4" s="182" t="s">
        <v>442</v>
      </c>
      <c r="P4" s="183" t="s">
        <v>443</v>
      </c>
      <c r="Q4" s="184" t="s">
        <v>284</v>
      </c>
      <c r="R4" s="184" t="s">
        <v>442</v>
      </c>
      <c r="S4" s="185" t="s">
        <v>444</v>
      </c>
      <c r="T4" s="183" t="s">
        <v>443</v>
      </c>
      <c r="U4" s="184" t="s">
        <v>284</v>
      </c>
      <c r="V4" s="184" t="s">
        <v>442</v>
      </c>
      <c r="W4" s="185" t="s">
        <v>444</v>
      </c>
    </row>
    <row r="5" spans="2:23" x14ac:dyDescent="0.25">
      <c r="B5" s="181" t="s">
        <v>445</v>
      </c>
      <c r="C5" s="292">
        <v>0.08</v>
      </c>
      <c r="D5" s="293"/>
      <c r="G5" s="181" t="s">
        <v>445</v>
      </c>
      <c r="H5" s="297">
        <v>0.12</v>
      </c>
      <c r="I5" s="297"/>
      <c r="K5" s="181" t="s">
        <v>446</v>
      </c>
      <c r="L5" s="181">
        <v>200</v>
      </c>
      <c r="M5" s="181">
        <v>560</v>
      </c>
      <c r="N5" s="186">
        <f t="shared" ref="N5:N12" si="0">(M5-L5)/L5</f>
        <v>1.8</v>
      </c>
      <c r="O5" s="187">
        <v>1</v>
      </c>
      <c r="P5" s="188">
        <v>17500</v>
      </c>
      <c r="Q5" s="189">
        <f>P5/L5</f>
        <v>87.5</v>
      </c>
      <c r="R5" s="190">
        <v>1</v>
      </c>
      <c r="S5" s="191"/>
      <c r="T5" s="188">
        <v>14000</v>
      </c>
      <c r="U5" s="192">
        <v>50</v>
      </c>
      <c r="V5" s="193">
        <v>1</v>
      </c>
      <c r="W5" s="191"/>
    </row>
    <row r="6" spans="2:23" x14ac:dyDescent="0.25">
      <c r="B6" s="181" t="s">
        <v>447</v>
      </c>
      <c r="C6" s="291">
        <v>30</v>
      </c>
      <c r="D6" s="291"/>
      <c r="G6" s="181" t="s">
        <v>447</v>
      </c>
      <c r="H6" s="291">
        <v>10</v>
      </c>
      <c r="I6" s="291"/>
      <c r="K6" s="181" t="s">
        <v>448</v>
      </c>
      <c r="L6" s="181">
        <v>450</v>
      </c>
      <c r="M6" s="181">
        <v>900</v>
      </c>
      <c r="N6" s="186">
        <f t="shared" si="0"/>
        <v>1</v>
      </c>
      <c r="O6" s="187">
        <v>5</v>
      </c>
      <c r="P6" s="188"/>
      <c r="Q6" s="194"/>
      <c r="R6" s="194"/>
      <c r="S6" s="195"/>
      <c r="T6" s="188">
        <v>18000</v>
      </c>
      <c r="U6" s="196">
        <v>400</v>
      </c>
      <c r="V6" s="196">
        <v>2</v>
      </c>
      <c r="W6" s="195" t="s">
        <v>449</v>
      </c>
    </row>
    <row r="7" spans="2:23" x14ac:dyDescent="0.25">
      <c r="B7" s="181"/>
      <c r="C7" s="290"/>
      <c r="D7" s="290"/>
      <c r="G7" s="181"/>
      <c r="H7" s="290"/>
      <c r="I7" s="290"/>
      <c r="K7" s="181" t="s">
        <v>450</v>
      </c>
      <c r="L7" s="181">
        <v>32</v>
      </c>
      <c r="M7" s="181">
        <v>70</v>
      </c>
      <c r="N7" s="186">
        <f t="shared" si="0"/>
        <v>1.1875</v>
      </c>
      <c r="O7" s="187">
        <v>3</v>
      </c>
      <c r="P7" s="197"/>
      <c r="Q7" s="198"/>
      <c r="R7" s="198"/>
      <c r="S7" s="195"/>
      <c r="T7" s="197"/>
      <c r="U7" s="194"/>
      <c r="V7" s="194"/>
      <c r="W7" s="195"/>
    </row>
    <row r="8" spans="2:23" x14ac:dyDescent="0.25">
      <c r="B8" s="181"/>
      <c r="C8" s="290"/>
      <c r="D8" s="290"/>
      <c r="G8" s="181"/>
      <c r="H8" s="290"/>
      <c r="I8" s="290"/>
      <c r="K8" s="181" t="s">
        <v>451</v>
      </c>
      <c r="L8" s="181">
        <v>260</v>
      </c>
      <c r="M8" s="181">
        <v>400</v>
      </c>
      <c r="N8" s="186">
        <f t="shared" si="0"/>
        <v>0.53846153846153844</v>
      </c>
      <c r="O8" s="187">
        <v>6</v>
      </c>
      <c r="P8" s="197"/>
      <c r="Q8" s="194"/>
      <c r="R8" s="194"/>
      <c r="S8" s="195"/>
      <c r="T8" s="197"/>
      <c r="U8" s="194"/>
      <c r="V8" s="194"/>
      <c r="W8" s="195"/>
    </row>
    <row r="9" spans="2:23" x14ac:dyDescent="0.25">
      <c r="B9" s="199" t="s">
        <v>439</v>
      </c>
      <c r="C9" s="288">
        <f>C4*(1/(1+C5)^C6)</f>
        <v>944084.6592231117</v>
      </c>
      <c r="D9" s="288"/>
      <c r="G9" s="199" t="s">
        <v>452</v>
      </c>
      <c r="H9" s="288">
        <f>H4*((1+H5)^H6)</f>
        <v>621169.64166884217</v>
      </c>
      <c r="I9" s="288"/>
      <c r="K9" s="181" t="s">
        <v>453</v>
      </c>
      <c r="L9" s="181">
        <v>300</v>
      </c>
      <c r="M9" s="181">
        <v>500</v>
      </c>
      <c r="N9" s="186">
        <f t="shared" si="0"/>
        <v>0.66666666666666663</v>
      </c>
      <c r="O9" s="187">
        <v>7</v>
      </c>
      <c r="P9" s="197"/>
      <c r="Q9" s="194"/>
      <c r="R9" s="194"/>
      <c r="S9" s="195"/>
      <c r="T9" s="197"/>
      <c r="U9" s="194"/>
      <c r="V9" s="194"/>
      <c r="W9" s="195"/>
    </row>
    <row r="10" spans="2:23" x14ac:dyDescent="0.25">
      <c r="B10" s="199" t="s">
        <v>454</v>
      </c>
      <c r="C10" s="288">
        <f>C4-C9</f>
        <v>8555915.3407768887</v>
      </c>
      <c r="D10" s="288"/>
      <c r="G10" s="199" t="s">
        <v>454</v>
      </c>
      <c r="H10" s="296">
        <f>H9-H4</f>
        <v>421169.64166884217</v>
      </c>
      <c r="I10" s="296"/>
      <c r="K10" s="181" t="s">
        <v>455</v>
      </c>
      <c r="L10" s="181">
        <v>112</v>
      </c>
      <c r="M10" s="181">
        <v>272</v>
      </c>
      <c r="N10" s="186">
        <f t="shared" si="0"/>
        <v>1.4285714285714286</v>
      </c>
      <c r="O10" s="187">
        <v>2</v>
      </c>
      <c r="P10" s="197">
        <v>7000</v>
      </c>
      <c r="Q10" s="200">
        <f>P10/L10</f>
        <v>62.5</v>
      </c>
      <c r="R10" s="200">
        <v>1</v>
      </c>
      <c r="S10" s="195"/>
      <c r="T10" s="197"/>
      <c r="U10" s="194"/>
      <c r="V10" s="194"/>
      <c r="W10" s="195"/>
    </row>
    <row r="11" spans="2:23" x14ac:dyDescent="0.25">
      <c r="K11" s="181" t="s">
        <v>456</v>
      </c>
      <c r="L11" s="181">
        <v>700</v>
      </c>
      <c r="M11" s="181">
        <v>1500</v>
      </c>
      <c r="N11" s="186">
        <f t="shared" si="0"/>
        <v>1.1428571428571428</v>
      </c>
      <c r="O11" s="187">
        <v>4</v>
      </c>
      <c r="P11" s="201">
        <v>7000</v>
      </c>
      <c r="Q11" s="192">
        <v>200</v>
      </c>
      <c r="R11" s="193">
        <v>2</v>
      </c>
      <c r="S11" s="191"/>
      <c r="T11" s="201"/>
      <c r="U11" s="192"/>
      <c r="V11" s="193"/>
      <c r="W11" s="191"/>
    </row>
    <row r="12" spans="2:23" ht="15.75" thickBot="1" x14ac:dyDescent="0.3">
      <c r="K12" s="181" t="s">
        <v>457</v>
      </c>
      <c r="L12" s="181">
        <v>488</v>
      </c>
      <c r="M12" s="181">
        <v>900</v>
      </c>
      <c r="N12" s="186">
        <f t="shared" si="0"/>
        <v>0.84426229508196726</v>
      </c>
      <c r="O12" s="187"/>
      <c r="P12" s="202"/>
      <c r="Q12" s="203"/>
      <c r="R12" s="203"/>
      <c r="S12" s="204"/>
      <c r="T12" s="202"/>
      <c r="U12" s="203"/>
      <c r="V12" s="203"/>
      <c r="W12" s="204"/>
    </row>
    <row r="13" spans="2:23" x14ac:dyDescent="0.25">
      <c r="K13" s="205" t="s">
        <v>319</v>
      </c>
    </row>
    <row r="14" spans="2:23" x14ac:dyDescent="0.25">
      <c r="B14" s="289" t="s">
        <v>458</v>
      </c>
      <c r="C14" s="289"/>
      <c r="D14" s="289"/>
      <c r="G14" s="289" t="s">
        <v>459</v>
      </c>
      <c r="H14" s="289"/>
      <c r="I14" s="289"/>
      <c r="K14" s="180" t="s">
        <v>282</v>
      </c>
      <c r="L14" s="180" t="s">
        <v>0</v>
      </c>
      <c r="M14" s="180" t="s">
        <v>320</v>
      </c>
      <c r="N14" s="180" t="s">
        <v>321</v>
      </c>
      <c r="O14" s="180" t="s">
        <v>322</v>
      </c>
      <c r="P14" s="180" t="s">
        <v>323</v>
      </c>
      <c r="Q14" s="180" t="s">
        <v>324</v>
      </c>
      <c r="R14" s="180" t="s">
        <v>325</v>
      </c>
    </row>
    <row r="15" spans="2:23" x14ac:dyDescent="0.25">
      <c r="B15" s="181" t="s">
        <v>460</v>
      </c>
      <c r="C15" s="291">
        <v>24000</v>
      </c>
      <c r="D15" s="291"/>
      <c r="G15" s="181" t="s">
        <v>460</v>
      </c>
      <c r="H15" s="291">
        <v>200000</v>
      </c>
      <c r="I15" s="291"/>
      <c r="K15" s="181" t="s">
        <v>283</v>
      </c>
      <c r="L15" s="206">
        <v>50</v>
      </c>
      <c r="M15" s="207" t="s">
        <v>326</v>
      </c>
      <c r="N15" s="208">
        <v>4</v>
      </c>
      <c r="O15" s="208">
        <v>1</v>
      </c>
      <c r="P15" s="181">
        <f>N15/O15</f>
        <v>4</v>
      </c>
      <c r="Q15" s="181">
        <f>P15*L16</f>
        <v>4</v>
      </c>
      <c r="R15" s="209">
        <f>Q15+L16</f>
        <v>5</v>
      </c>
    </row>
    <row r="16" spans="2:23" x14ac:dyDescent="0.25">
      <c r="B16" s="181" t="s">
        <v>445</v>
      </c>
      <c r="C16" s="292">
        <v>0.1</v>
      </c>
      <c r="D16" s="293"/>
      <c r="G16" s="181" t="s">
        <v>445</v>
      </c>
      <c r="H16" s="292">
        <v>0.12</v>
      </c>
      <c r="I16" s="293"/>
      <c r="K16" s="181" t="s">
        <v>284</v>
      </c>
      <c r="L16" s="206">
        <v>1</v>
      </c>
      <c r="M16" s="207" t="s">
        <v>327</v>
      </c>
      <c r="N16" s="208">
        <v>1</v>
      </c>
      <c r="O16" s="208">
        <v>1</v>
      </c>
      <c r="P16" s="181">
        <f>N16/O16</f>
        <v>1</v>
      </c>
      <c r="Q16" s="181">
        <f>P16*R15</f>
        <v>5</v>
      </c>
      <c r="R16" s="181">
        <f>Q16+R15</f>
        <v>10</v>
      </c>
    </row>
    <row r="17" spans="2:18" x14ac:dyDescent="0.25">
      <c r="B17" s="181" t="s">
        <v>447</v>
      </c>
      <c r="C17" s="291">
        <v>20</v>
      </c>
      <c r="D17" s="291"/>
      <c r="G17" s="181" t="s">
        <v>447</v>
      </c>
      <c r="H17" s="291">
        <v>10</v>
      </c>
      <c r="I17" s="291"/>
      <c r="K17" s="181" t="s">
        <v>286</v>
      </c>
      <c r="L17" s="210">
        <f>L15*L16</f>
        <v>50</v>
      </c>
      <c r="M17" s="207" t="s">
        <v>328</v>
      </c>
      <c r="N17" s="208">
        <v>0</v>
      </c>
      <c r="O17" s="208">
        <v>2</v>
      </c>
      <c r="P17" s="181">
        <f>N17/O17</f>
        <v>0</v>
      </c>
      <c r="Q17" s="181">
        <f>P17*R16</f>
        <v>0</v>
      </c>
      <c r="R17" s="181">
        <f>Q17</f>
        <v>0</v>
      </c>
    </row>
    <row r="18" spans="2:18" x14ac:dyDescent="0.25">
      <c r="B18" s="181"/>
      <c r="C18" s="290"/>
      <c r="D18" s="290"/>
      <c r="G18" s="181"/>
      <c r="H18" s="290"/>
      <c r="I18" s="290"/>
      <c r="K18" s="181" t="s">
        <v>287</v>
      </c>
      <c r="L18" s="206">
        <v>95</v>
      </c>
      <c r="M18" s="207"/>
      <c r="N18" s="181"/>
      <c r="O18" s="181"/>
      <c r="P18" s="199" t="s">
        <v>329</v>
      </c>
      <c r="Q18" s="181"/>
      <c r="R18" s="181">
        <f>R17</f>
        <v>0</v>
      </c>
    </row>
    <row r="19" spans="2:18" x14ac:dyDescent="0.25">
      <c r="B19" s="199" t="s">
        <v>461</v>
      </c>
      <c r="C19" s="284">
        <f>( ( 1-  (1/ ( (1+C16)^C17) ) ) / C16)</f>
        <v>8.5135637197585652</v>
      </c>
      <c r="D19" s="285"/>
      <c r="G19" s="199" t="s">
        <v>462</v>
      </c>
      <c r="H19" s="284">
        <f>( ((1+H16)^H17) -1 ) / H16</f>
        <v>17.548735069535095</v>
      </c>
      <c r="I19" s="285"/>
      <c r="K19" s="181" t="s">
        <v>284</v>
      </c>
      <c r="L19" s="206">
        <v>10</v>
      </c>
      <c r="M19" s="207" t="s">
        <v>328</v>
      </c>
      <c r="N19" s="208">
        <v>10</v>
      </c>
      <c r="O19" s="208">
        <v>2</v>
      </c>
      <c r="P19" s="181">
        <f>N19/O19</f>
        <v>5</v>
      </c>
      <c r="Q19" s="209">
        <f>P19*L16</f>
        <v>5</v>
      </c>
      <c r="R19" s="209">
        <f>Q19</f>
        <v>5</v>
      </c>
    </row>
    <row r="20" spans="2:18" x14ac:dyDescent="0.25">
      <c r="B20" s="199" t="s">
        <v>463</v>
      </c>
      <c r="C20" s="294">
        <f>C19 * C15</f>
        <v>204325.52927420556</v>
      </c>
      <c r="D20" s="295"/>
      <c r="G20" s="199" t="s">
        <v>464</v>
      </c>
      <c r="H20" s="284">
        <f>H19 * H15</f>
        <v>3509747.013907019</v>
      </c>
      <c r="I20" s="285"/>
      <c r="K20" s="181" t="s">
        <v>286</v>
      </c>
      <c r="L20" s="210">
        <f>L19*L18</f>
        <v>950</v>
      </c>
      <c r="M20" s="181"/>
      <c r="N20" s="181"/>
      <c r="O20" s="181"/>
      <c r="P20" s="199" t="s">
        <v>329</v>
      </c>
      <c r="Q20" s="181"/>
      <c r="R20" s="181">
        <f>R19</f>
        <v>5</v>
      </c>
    </row>
    <row r="21" spans="2:18" x14ac:dyDescent="0.25">
      <c r="B21" s="199"/>
      <c r="C21" s="286"/>
      <c r="D21" s="287"/>
      <c r="G21" s="199"/>
      <c r="H21" s="286"/>
      <c r="I21" s="287"/>
      <c r="K21" s="181"/>
      <c r="L21" s="210"/>
      <c r="M21" s="207" t="s">
        <v>328</v>
      </c>
      <c r="N21" s="208">
        <v>10</v>
      </c>
      <c r="O21" s="208">
        <v>2</v>
      </c>
      <c r="P21" s="181">
        <f>N21/O21</f>
        <v>5</v>
      </c>
      <c r="Q21" s="181">
        <f>P21*R20</f>
        <v>25</v>
      </c>
      <c r="R21" s="181">
        <f>Q21</f>
        <v>25</v>
      </c>
    </row>
    <row r="22" spans="2:18" x14ac:dyDescent="0.25">
      <c r="B22" s="199"/>
      <c r="C22" s="288"/>
      <c r="D22" s="288"/>
      <c r="G22" s="199"/>
      <c r="H22" s="288"/>
      <c r="I22" s="288"/>
      <c r="K22" s="199" t="s">
        <v>289</v>
      </c>
      <c r="L22" s="211">
        <f>L20/L17</f>
        <v>19</v>
      </c>
      <c r="M22" s="207"/>
      <c r="N22" s="181"/>
      <c r="O22" s="181"/>
      <c r="P22" s="199" t="s">
        <v>329</v>
      </c>
      <c r="Q22" s="181"/>
      <c r="R22" s="181">
        <f>R21</f>
        <v>25</v>
      </c>
    </row>
    <row r="26" spans="2:18" x14ac:dyDescent="0.25">
      <c r="B26" s="289" t="s">
        <v>465</v>
      </c>
      <c r="C26" s="289"/>
      <c r="D26" s="289"/>
      <c r="G26" s="289" t="s">
        <v>466</v>
      </c>
      <c r="H26" s="289"/>
      <c r="I26" s="289"/>
      <c r="K26" s="289" t="s">
        <v>15</v>
      </c>
      <c r="L26" s="289"/>
    </row>
    <row r="27" spans="2:18" x14ac:dyDescent="0.25">
      <c r="B27" s="181" t="s">
        <v>460</v>
      </c>
      <c r="C27" s="291">
        <v>100</v>
      </c>
      <c r="D27" s="291"/>
      <c r="G27" s="181" t="s">
        <v>460</v>
      </c>
      <c r="H27" s="291">
        <v>200000</v>
      </c>
      <c r="I27" s="291"/>
      <c r="K27" s="10" t="s">
        <v>16</v>
      </c>
      <c r="L27" s="11">
        <v>45</v>
      </c>
      <c r="M27" s="271">
        <v>2000000</v>
      </c>
    </row>
    <row r="28" spans="2:18" x14ac:dyDescent="0.25">
      <c r="B28" s="181" t="s">
        <v>445</v>
      </c>
      <c r="C28" s="292">
        <v>0.05</v>
      </c>
      <c r="D28" s="293"/>
      <c r="G28" s="181" t="s">
        <v>445</v>
      </c>
      <c r="H28" s="292">
        <v>0.12</v>
      </c>
      <c r="I28" s="293"/>
      <c r="K28" s="10" t="s">
        <v>17</v>
      </c>
      <c r="L28" s="11">
        <v>240</v>
      </c>
      <c r="M28" s="210">
        <f>L41*M27</f>
        <v>10666666.666666666</v>
      </c>
      <c r="R28">
        <v>416</v>
      </c>
    </row>
    <row r="29" spans="2:18" x14ac:dyDescent="0.25">
      <c r="B29" s="181" t="s">
        <v>447</v>
      </c>
      <c r="C29" s="291">
        <v>3</v>
      </c>
      <c r="D29" s="291"/>
      <c r="G29" s="181" t="s">
        <v>447</v>
      </c>
      <c r="H29" s="291">
        <v>11</v>
      </c>
      <c r="I29" s="291"/>
      <c r="K29" s="10" t="s">
        <v>18</v>
      </c>
      <c r="L29" s="12">
        <v>8</v>
      </c>
      <c r="M29" s="270"/>
    </row>
    <row r="30" spans="2:18" ht="15.75" thickBot="1" x14ac:dyDescent="0.3">
      <c r="B30" s="181"/>
      <c r="C30" s="290"/>
      <c r="D30" s="290"/>
      <c r="G30" s="181"/>
      <c r="H30" s="290"/>
      <c r="I30" s="290"/>
      <c r="K30" s="13" t="s">
        <v>19</v>
      </c>
      <c r="L30" s="3">
        <f>((L28/L27)^(1/L29))-1</f>
        <v>0.23274951685376255</v>
      </c>
      <c r="M30" s="3"/>
    </row>
    <row r="31" spans="2:18" x14ac:dyDescent="0.25">
      <c r="B31" s="199" t="s">
        <v>461</v>
      </c>
      <c r="C31" s="284">
        <f>( ( ( 1-  (1/ ( (1+C28)^C29) ) ) / C28) ) * (1+C28)</f>
        <v>2.859410430839004</v>
      </c>
      <c r="D31" s="285"/>
      <c r="G31" s="199" t="s">
        <v>462</v>
      </c>
      <c r="H31" s="284">
        <f>(( ((1+H28)^H29) -1 ) / H28 ) * ( 1+H28)</f>
        <v>23.133133271224832</v>
      </c>
      <c r="I31" s="285"/>
      <c r="K31" s="13" t="s">
        <v>20</v>
      </c>
      <c r="L31" s="14">
        <f>L29*12</f>
        <v>96</v>
      </c>
      <c r="M31" s="272"/>
      <c r="P31" s="213" t="s">
        <v>467</v>
      </c>
      <c r="Q31" s="214" t="s">
        <v>468</v>
      </c>
    </row>
    <row r="32" spans="2:18" x14ac:dyDescent="0.25">
      <c r="B32" s="199" t="s">
        <v>469</v>
      </c>
      <c r="C32" s="284">
        <f>C31 * C27</f>
        <v>285.94104308390041</v>
      </c>
      <c r="D32" s="285"/>
      <c r="G32" s="199" t="s">
        <v>470</v>
      </c>
      <c r="H32" s="284">
        <f>H31 * H27</f>
        <v>4626626.6542449668</v>
      </c>
      <c r="I32" s="285"/>
      <c r="K32" s="10" t="s">
        <v>18</v>
      </c>
      <c r="L32" s="15">
        <f>L31/12</f>
        <v>8</v>
      </c>
      <c r="M32" s="273"/>
      <c r="P32" s="215">
        <v>0.05</v>
      </c>
      <c r="Q32" s="216">
        <v>14</v>
      </c>
    </row>
    <row r="33" spans="2:17" x14ac:dyDescent="0.25">
      <c r="B33" s="199"/>
      <c r="C33" s="286"/>
      <c r="D33" s="287"/>
      <c r="G33" s="199"/>
      <c r="H33" s="286"/>
      <c r="I33" s="287"/>
      <c r="K33" s="13" t="s">
        <v>21</v>
      </c>
      <c r="L33" s="3">
        <f>((L28/L27)^(1/L32))-1</f>
        <v>0.23274951685376255</v>
      </c>
      <c r="M33" s="274"/>
      <c r="P33" s="215">
        <v>0.08</v>
      </c>
      <c r="Q33" s="216">
        <v>9</v>
      </c>
    </row>
    <row r="34" spans="2:17" x14ac:dyDescent="0.25">
      <c r="B34" s="199"/>
      <c r="C34" s="288"/>
      <c r="D34" s="288"/>
      <c r="G34" s="199"/>
      <c r="H34" s="288"/>
      <c r="I34" s="288"/>
      <c r="P34" s="215">
        <v>0.1</v>
      </c>
      <c r="Q34" s="216">
        <v>10</v>
      </c>
    </row>
    <row r="35" spans="2:17" x14ac:dyDescent="0.25">
      <c r="P35" s="215">
        <v>0.15</v>
      </c>
      <c r="Q35" s="216">
        <v>5</v>
      </c>
    </row>
    <row r="36" spans="2:17" x14ac:dyDescent="0.25">
      <c r="B36" s="289" t="s">
        <v>24</v>
      </c>
      <c r="C36" s="289"/>
      <c r="D36" s="289"/>
      <c r="E36" s="217"/>
      <c r="G36" s="289" t="s">
        <v>53</v>
      </c>
      <c r="H36" s="289"/>
      <c r="K36" s="289" t="s">
        <v>334</v>
      </c>
      <c r="L36" s="289"/>
      <c r="P36" s="215">
        <v>0.2</v>
      </c>
      <c r="Q36" s="216">
        <v>4</v>
      </c>
    </row>
    <row r="37" spans="2:17" x14ac:dyDescent="0.25">
      <c r="B37" s="19" t="s">
        <v>25</v>
      </c>
      <c r="C37" s="19"/>
      <c r="D37" s="218">
        <v>1000000</v>
      </c>
      <c r="E37" s="217"/>
      <c r="G37" s="19" t="s">
        <v>29</v>
      </c>
      <c r="H37" s="44">
        <v>342</v>
      </c>
      <c r="K37" s="10" t="s">
        <v>16</v>
      </c>
      <c r="L37" s="11">
        <f>L27</f>
        <v>45</v>
      </c>
      <c r="M37" s="212"/>
      <c r="P37" s="215">
        <v>0.25</v>
      </c>
      <c r="Q37" s="216">
        <v>3</v>
      </c>
    </row>
    <row r="38" spans="2:17" x14ac:dyDescent="0.25">
      <c r="B38" s="19" t="s">
        <v>26</v>
      </c>
      <c r="C38" s="19"/>
      <c r="D38" s="21">
        <v>0.66</v>
      </c>
      <c r="E38" s="217"/>
      <c r="G38" s="19" t="s">
        <v>26</v>
      </c>
      <c r="H38" s="21">
        <v>0.12</v>
      </c>
      <c r="K38" s="10" t="s">
        <v>17</v>
      </c>
      <c r="L38" s="11">
        <f>L28</f>
        <v>240</v>
      </c>
      <c r="M38" s="212"/>
      <c r="P38" s="215">
        <v>0.3</v>
      </c>
      <c r="Q38" s="216">
        <v>2.5</v>
      </c>
    </row>
    <row r="39" spans="2:17" x14ac:dyDescent="0.25">
      <c r="B39" s="19" t="s">
        <v>27</v>
      </c>
      <c r="C39" s="19"/>
      <c r="D39" s="219">
        <v>6</v>
      </c>
      <c r="E39" s="217"/>
      <c r="G39" s="19" t="s">
        <v>27</v>
      </c>
      <c r="H39" s="22">
        <v>10</v>
      </c>
      <c r="K39" s="10" t="s">
        <v>471</v>
      </c>
      <c r="L39" s="10"/>
      <c r="M39" s="212"/>
      <c r="P39" s="220">
        <v>0.4</v>
      </c>
      <c r="Q39" s="221">
        <v>2</v>
      </c>
    </row>
    <row r="40" spans="2:17" x14ac:dyDescent="0.25">
      <c r="B40" s="19" t="s">
        <v>28</v>
      </c>
      <c r="C40" s="19"/>
      <c r="D40" s="23">
        <v>500000</v>
      </c>
      <c r="E40" s="217"/>
      <c r="G40" s="19" t="s">
        <v>28</v>
      </c>
      <c r="H40" s="20">
        <v>0</v>
      </c>
      <c r="K40" s="10" t="s">
        <v>335</v>
      </c>
      <c r="L40" s="186">
        <f>(L38-L37)/L37</f>
        <v>4.333333333333333</v>
      </c>
      <c r="P40" s="220">
        <v>0.5</v>
      </c>
      <c r="Q40" s="221">
        <v>1</v>
      </c>
    </row>
    <row r="41" spans="2:17" x14ac:dyDescent="0.25">
      <c r="B41" s="24" t="s">
        <v>29</v>
      </c>
      <c r="C41" s="24"/>
      <c r="D41" s="45">
        <f>FV(D38,D39,-D40,-D37)</f>
        <v>36018262.604416013</v>
      </c>
      <c r="E41" s="217"/>
      <c r="G41" s="24" t="s">
        <v>54</v>
      </c>
      <c r="H41" s="45">
        <f>PV(H38,H39,H40,-H37)</f>
        <v>110.11484691401803</v>
      </c>
      <c r="K41" s="10" t="s">
        <v>336</v>
      </c>
      <c r="L41" s="222">
        <f>L38/L37</f>
        <v>5.333333333333333</v>
      </c>
      <c r="P41" s="220">
        <v>0.75</v>
      </c>
      <c r="Q41" s="221">
        <v>1.3</v>
      </c>
    </row>
    <row r="42" spans="2:17" ht="15.75" thickBot="1" x14ac:dyDescent="0.3">
      <c r="B42" s="223" t="s">
        <v>472</v>
      </c>
      <c r="D42" s="224">
        <f>D41/10000000</f>
        <v>3.6018262604416011</v>
      </c>
      <c r="P42" s="225">
        <v>1</v>
      </c>
      <c r="Q42" s="226">
        <v>1</v>
      </c>
    </row>
    <row r="43" spans="2:17" ht="15.75" thickBot="1" x14ac:dyDescent="0.3">
      <c r="C43" s="283" t="s">
        <v>452</v>
      </c>
      <c r="D43" s="283"/>
      <c r="E43" s="283"/>
      <c r="F43" s="283"/>
      <c r="J43" s="283" t="s">
        <v>452</v>
      </c>
      <c r="K43" s="283"/>
      <c r="L43" s="283"/>
      <c r="M43" s="283"/>
    </row>
    <row r="44" spans="2:17" ht="15.75" thickBot="1" x14ac:dyDescent="0.3">
      <c r="B44" s="227"/>
      <c r="C44" s="276" t="s">
        <v>473</v>
      </c>
      <c r="D44" s="277"/>
      <c r="E44" s="228" t="s">
        <v>474</v>
      </c>
      <c r="F44" s="228"/>
      <c r="G44" s="229"/>
      <c r="I44" s="227"/>
      <c r="J44" s="276" t="s">
        <v>475</v>
      </c>
      <c r="K44" s="277"/>
      <c r="L44" s="228" t="s">
        <v>476</v>
      </c>
      <c r="M44" s="228"/>
      <c r="N44" s="229"/>
    </row>
    <row r="45" spans="2:17" ht="15.75" thickBot="1" x14ac:dyDescent="0.3">
      <c r="B45" s="197"/>
      <c r="C45" s="194"/>
      <c r="D45" s="194"/>
      <c r="E45" s="194"/>
      <c r="F45" s="194"/>
      <c r="G45" s="195"/>
      <c r="I45" s="197"/>
      <c r="J45" s="194"/>
      <c r="K45" s="194"/>
      <c r="L45" s="194"/>
      <c r="M45" s="194"/>
      <c r="N45" s="195"/>
    </row>
    <row r="46" spans="2:17" ht="15.75" thickBot="1" x14ac:dyDescent="0.3">
      <c r="B46" s="278" t="s">
        <v>477</v>
      </c>
      <c r="C46" s="279"/>
      <c r="D46" s="279"/>
      <c r="E46" s="279"/>
      <c r="F46" s="279"/>
      <c r="G46" s="280"/>
      <c r="I46" s="278" t="s">
        <v>477</v>
      </c>
      <c r="J46" s="279"/>
      <c r="K46" s="279"/>
      <c r="L46" s="279"/>
      <c r="M46" s="279"/>
      <c r="N46" s="280"/>
    </row>
    <row r="47" spans="2:17" x14ac:dyDescent="0.25">
      <c r="B47" s="197"/>
      <c r="C47" s="194"/>
      <c r="D47" s="230">
        <v>1100000</v>
      </c>
      <c r="E47" s="194"/>
      <c r="F47" s="194"/>
      <c r="G47" s="195"/>
      <c r="I47" s="197"/>
      <c r="J47" s="194"/>
      <c r="K47" s="194"/>
      <c r="L47" s="194"/>
      <c r="M47" s="194"/>
      <c r="N47" s="195"/>
    </row>
    <row r="48" spans="2:17" ht="30" x14ac:dyDescent="0.25">
      <c r="B48" s="231" t="s">
        <v>14</v>
      </c>
      <c r="C48" s="232" t="s">
        <v>478</v>
      </c>
      <c r="D48" s="232" t="s">
        <v>479</v>
      </c>
      <c r="E48" s="232" t="s">
        <v>480</v>
      </c>
      <c r="F48" s="232" t="s">
        <v>481</v>
      </c>
      <c r="G48" s="233" t="s">
        <v>482</v>
      </c>
      <c r="I48" s="231" t="s">
        <v>14</v>
      </c>
      <c r="J48" s="232" t="s">
        <v>478</v>
      </c>
      <c r="K48" s="232" t="s">
        <v>483</v>
      </c>
      <c r="L48" s="232" t="s">
        <v>480</v>
      </c>
      <c r="M48" s="232" t="s">
        <v>481</v>
      </c>
      <c r="N48" s="233" t="s">
        <v>482</v>
      </c>
      <c r="O48" s="234" t="s">
        <v>484</v>
      </c>
      <c r="P48" s="235" t="s">
        <v>4</v>
      </c>
    </row>
    <row r="49" spans="1:16" x14ac:dyDescent="0.25">
      <c r="A49">
        <v>2013</v>
      </c>
      <c r="B49" s="236">
        <v>0</v>
      </c>
      <c r="C49" s="237">
        <v>0</v>
      </c>
      <c r="D49" s="238">
        <v>1000000</v>
      </c>
      <c r="E49" s="239">
        <v>0.5</v>
      </c>
      <c r="F49" s="240">
        <f xml:space="preserve"> (C49) * E49</f>
        <v>0</v>
      </c>
      <c r="G49" s="241">
        <f>C49+D49+F49</f>
        <v>1000000</v>
      </c>
      <c r="H49" s="212"/>
      <c r="I49" s="236">
        <v>0</v>
      </c>
      <c r="J49" s="237">
        <v>1</v>
      </c>
      <c r="K49" s="238">
        <v>0</v>
      </c>
      <c r="L49" s="239">
        <v>3</v>
      </c>
      <c r="M49" s="237">
        <f xml:space="preserve"> (J49+K49) * L49</f>
        <v>3</v>
      </c>
      <c r="N49" s="242">
        <f>J49+K49+M49</f>
        <v>4</v>
      </c>
      <c r="O49">
        <v>2015</v>
      </c>
      <c r="P49" s="243">
        <f t="shared" ref="P49:P64" si="1">N49/10000000</f>
        <v>3.9999999999999998E-7</v>
      </c>
    </row>
    <row r="50" spans="1:16" x14ac:dyDescent="0.25">
      <c r="A50">
        <f>A49+1</f>
        <v>2014</v>
      </c>
      <c r="B50" s="236">
        <f>B49+1</f>
        <v>1</v>
      </c>
      <c r="C50" s="237">
        <f t="shared" ref="C50:C79" si="2">G49</f>
        <v>1000000</v>
      </c>
      <c r="D50" s="238">
        <v>1500000</v>
      </c>
      <c r="E50" s="239">
        <f>E49</f>
        <v>0.5</v>
      </c>
      <c r="F50" s="240">
        <f t="shared" ref="F50:F79" si="3" xml:space="preserve"> (C50) * E50</f>
        <v>500000</v>
      </c>
      <c r="G50" s="241">
        <f t="shared" ref="G50:G80" si="4">C50+D50+F50</f>
        <v>3000000</v>
      </c>
      <c r="H50" s="212"/>
      <c r="I50" s="236">
        <f>I49+1</f>
        <v>1</v>
      </c>
      <c r="J50" s="237">
        <f>N49</f>
        <v>4</v>
      </c>
      <c r="K50" s="238">
        <v>0</v>
      </c>
      <c r="L50" s="239">
        <v>2</v>
      </c>
      <c r="M50" s="237">
        <f t="shared" ref="M50:M80" si="5" xml:space="preserve"> (J50+K50) * L50</f>
        <v>8</v>
      </c>
      <c r="N50" s="242">
        <f t="shared" ref="N50:N80" si="6">J50+K50+M50</f>
        <v>12</v>
      </c>
      <c r="O50">
        <f t="shared" ref="O50:O64" si="7">O49+1</f>
        <v>2016</v>
      </c>
      <c r="P50" s="243">
        <f t="shared" si="1"/>
        <v>1.1999999999999999E-6</v>
      </c>
    </row>
    <row r="51" spans="1:16" x14ac:dyDescent="0.25">
      <c r="A51">
        <f t="shared" ref="A51:B66" si="8">A50+1</f>
        <v>2015</v>
      </c>
      <c r="B51" s="236">
        <f t="shared" si="8"/>
        <v>2</v>
      </c>
      <c r="C51" s="237">
        <f t="shared" si="2"/>
        <v>3000000</v>
      </c>
      <c r="D51" s="238">
        <v>2000000</v>
      </c>
      <c r="E51" s="239">
        <f>E50</f>
        <v>0.5</v>
      </c>
      <c r="F51" s="240">
        <f t="shared" si="3"/>
        <v>1500000</v>
      </c>
      <c r="G51" s="241">
        <f t="shared" si="4"/>
        <v>6500000</v>
      </c>
      <c r="H51" s="212"/>
      <c r="I51" s="236">
        <f t="shared" ref="I51:I79" si="9">I50+1</f>
        <v>2</v>
      </c>
      <c r="J51" s="237">
        <f t="shared" ref="J51:J80" si="10">N50</f>
        <v>12</v>
      </c>
      <c r="K51" s="238">
        <v>0</v>
      </c>
      <c r="L51" s="239">
        <v>0.8</v>
      </c>
      <c r="M51" s="237">
        <f t="shared" si="5"/>
        <v>9.6000000000000014</v>
      </c>
      <c r="N51" s="242">
        <f t="shared" si="6"/>
        <v>21.6</v>
      </c>
      <c r="O51">
        <f t="shared" si="7"/>
        <v>2017</v>
      </c>
      <c r="P51" s="243">
        <f t="shared" si="1"/>
        <v>2.1600000000000001E-6</v>
      </c>
    </row>
    <row r="52" spans="1:16" x14ac:dyDescent="0.25">
      <c r="A52">
        <f t="shared" si="8"/>
        <v>2016</v>
      </c>
      <c r="B52" s="236">
        <f t="shared" si="8"/>
        <v>3</v>
      </c>
      <c r="C52" s="237">
        <f t="shared" si="2"/>
        <v>6500000</v>
      </c>
      <c r="D52" s="238">
        <v>2500000</v>
      </c>
      <c r="E52" s="239">
        <f t="shared" ref="E52:E70" si="11">E51</f>
        <v>0.5</v>
      </c>
      <c r="F52" s="240">
        <f t="shared" si="3"/>
        <v>3250000</v>
      </c>
      <c r="G52" s="241">
        <f t="shared" si="4"/>
        <v>12250000</v>
      </c>
      <c r="H52" s="212"/>
      <c r="I52" s="236">
        <f t="shared" si="9"/>
        <v>3</v>
      </c>
      <c r="J52" s="237">
        <f t="shared" si="10"/>
        <v>21.6</v>
      </c>
      <c r="K52" s="238">
        <v>0</v>
      </c>
      <c r="L52" s="244">
        <v>0.4</v>
      </c>
      <c r="M52" s="237">
        <f t="shared" si="5"/>
        <v>8.64</v>
      </c>
      <c r="N52" s="242">
        <f t="shared" si="6"/>
        <v>30.240000000000002</v>
      </c>
      <c r="O52">
        <f t="shared" si="7"/>
        <v>2018</v>
      </c>
      <c r="P52" s="243">
        <f t="shared" si="1"/>
        <v>3.0240000000000002E-6</v>
      </c>
    </row>
    <row r="53" spans="1:16" x14ac:dyDescent="0.25">
      <c r="A53">
        <f t="shared" si="8"/>
        <v>2017</v>
      </c>
      <c r="B53" s="236">
        <f t="shared" si="8"/>
        <v>4</v>
      </c>
      <c r="C53" s="237">
        <f t="shared" si="2"/>
        <v>12250000</v>
      </c>
      <c r="D53" s="238">
        <v>3000000</v>
      </c>
      <c r="E53" s="239">
        <f t="shared" si="11"/>
        <v>0.5</v>
      </c>
      <c r="F53" s="240">
        <f t="shared" si="3"/>
        <v>6125000</v>
      </c>
      <c r="G53" s="241">
        <f t="shared" si="4"/>
        <v>21375000</v>
      </c>
      <c r="H53" s="212"/>
      <c r="I53" s="236">
        <f t="shared" si="9"/>
        <v>4</v>
      </c>
      <c r="J53" s="237">
        <f t="shared" si="10"/>
        <v>30.240000000000002</v>
      </c>
      <c r="K53" s="238">
        <v>0</v>
      </c>
      <c r="L53" s="244">
        <v>0.3</v>
      </c>
      <c r="M53" s="237">
        <f t="shared" si="5"/>
        <v>9.072000000000001</v>
      </c>
      <c r="N53" s="242">
        <f t="shared" si="6"/>
        <v>39.312000000000005</v>
      </c>
      <c r="O53">
        <f t="shared" si="7"/>
        <v>2019</v>
      </c>
      <c r="P53" s="243">
        <f t="shared" si="1"/>
        <v>3.9312000000000006E-6</v>
      </c>
    </row>
    <row r="54" spans="1:16" x14ac:dyDescent="0.25">
      <c r="A54">
        <f t="shared" si="8"/>
        <v>2018</v>
      </c>
      <c r="B54" s="236">
        <f t="shared" si="8"/>
        <v>5</v>
      </c>
      <c r="C54" s="237">
        <f t="shared" si="2"/>
        <v>21375000</v>
      </c>
      <c r="D54" s="238">
        <v>3500000</v>
      </c>
      <c r="E54" s="239">
        <f t="shared" si="11"/>
        <v>0.5</v>
      </c>
      <c r="F54" s="240">
        <f t="shared" si="3"/>
        <v>10687500</v>
      </c>
      <c r="G54" s="241">
        <f t="shared" si="4"/>
        <v>35562500</v>
      </c>
      <c r="H54" s="212"/>
      <c r="I54" s="236">
        <f t="shared" si="9"/>
        <v>5</v>
      </c>
      <c r="J54" s="237">
        <f t="shared" si="10"/>
        <v>39.312000000000005</v>
      </c>
      <c r="K54" s="238">
        <v>0</v>
      </c>
      <c r="L54" s="239">
        <v>0.2</v>
      </c>
      <c r="M54" s="237">
        <f t="shared" si="5"/>
        <v>7.8624000000000009</v>
      </c>
      <c r="N54" s="242">
        <f t="shared" si="6"/>
        <v>47.174400000000006</v>
      </c>
      <c r="O54">
        <f t="shared" si="7"/>
        <v>2020</v>
      </c>
      <c r="P54" s="243">
        <f t="shared" si="1"/>
        <v>4.7174400000000002E-6</v>
      </c>
    </row>
    <row r="55" spans="1:16" x14ac:dyDescent="0.25">
      <c r="A55">
        <f t="shared" si="8"/>
        <v>2019</v>
      </c>
      <c r="B55" s="236">
        <f t="shared" si="8"/>
        <v>6</v>
      </c>
      <c r="C55" s="237">
        <f t="shared" si="2"/>
        <v>35562500</v>
      </c>
      <c r="D55" s="238">
        <v>4000000</v>
      </c>
      <c r="E55" s="239">
        <f t="shared" si="11"/>
        <v>0.5</v>
      </c>
      <c r="F55" s="240">
        <f t="shared" si="3"/>
        <v>17781250</v>
      </c>
      <c r="G55" s="241">
        <f t="shared" si="4"/>
        <v>57343750</v>
      </c>
      <c r="H55" s="212"/>
      <c r="I55" s="236">
        <f t="shared" si="9"/>
        <v>6</v>
      </c>
      <c r="J55" s="237">
        <f t="shared" si="10"/>
        <v>47.174400000000006</v>
      </c>
      <c r="K55" s="238">
        <v>0</v>
      </c>
      <c r="L55" s="239">
        <f t="shared" ref="L55:L67" si="12">L54</f>
        <v>0.2</v>
      </c>
      <c r="M55" s="237">
        <f t="shared" si="5"/>
        <v>9.4348800000000015</v>
      </c>
      <c r="N55" s="242">
        <f t="shared" si="6"/>
        <v>56.609280000000005</v>
      </c>
      <c r="O55">
        <f t="shared" si="7"/>
        <v>2021</v>
      </c>
      <c r="P55" s="243">
        <f t="shared" si="1"/>
        <v>5.6609280000000002E-6</v>
      </c>
    </row>
    <row r="56" spans="1:16" x14ac:dyDescent="0.25">
      <c r="A56">
        <f t="shared" si="8"/>
        <v>2020</v>
      </c>
      <c r="B56" s="236">
        <f t="shared" si="8"/>
        <v>7</v>
      </c>
      <c r="C56" s="237">
        <f t="shared" si="2"/>
        <v>57343750</v>
      </c>
      <c r="D56" s="238">
        <v>5000000</v>
      </c>
      <c r="E56" s="239">
        <f t="shared" si="11"/>
        <v>0.5</v>
      </c>
      <c r="F56" s="240">
        <f t="shared" si="3"/>
        <v>28671875</v>
      </c>
      <c r="G56" s="241">
        <f t="shared" si="4"/>
        <v>91015625</v>
      </c>
      <c r="H56" s="212">
        <f>G56/10000000</f>
        <v>9.1015625</v>
      </c>
      <c r="I56" s="236">
        <f t="shared" si="9"/>
        <v>7</v>
      </c>
      <c r="J56" s="237">
        <f t="shared" si="10"/>
        <v>56.609280000000005</v>
      </c>
      <c r="K56" s="238">
        <v>0</v>
      </c>
      <c r="L56" s="239">
        <f t="shared" si="12"/>
        <v>0.2</v>
      </c>
      <c r="M56" s="237">
        <f t="shared" si="5"/>
        <v>11.321856000000002</v>
      </c>
      <c r="N56" s="242">
        <f t="shared" si="6"/>
        <v>67.931136000000009</v>
      </c>
      <c r="O56">
        <f t="shared" si="7"/>
        <v>2022</v>
      </c>
      <c r="P56" s="243">
        <f t="shared" si="1"/>
        <v>6.7931136000000013E-6</v>
      </c>
    </row>
    <row r="57" spans="1:16" x14ac:dyDescent="0.25">
      <c r="A57">
        <f t="shared" si="8"/>
        <v>2021</v>
      </c>
      <c r="B57" s="236">
        <f t="shared" si="8"/>
        <v>8</v>
      </c>
      <c r="C57" s="237">
        <f t="shared" si="2"/>
        <v>91015625</v>
      </c>
      <c r="D57" s="238">
        <v>0</v>
      </c>
      <c r="E57" s="239">
        <f t="shared" si="11"/>
        <v>0.5</v>
      </c>
      <c r="F57" s="240">
        <f t="shared" si="3"/>
        <v>45507812.5</v>
      </c>
      <c r="G57" s="241">
        <f t="shared" si="4"/>
        <v>136523437.5</v>
      </c>
      <c r="H57" s="212"/>
      <c r="I57" s="236">
        <f t="shared" si="9"/>
        <v>8</v>
      </c>
      <c r="J57" s="237">
        <f t="shared" si="10"/>
        <v>67.931136000000009</v>
      </c>
      <c r="K57" s="238">
        <v>0</v>
      </c>
      <c r="L57" s="239">
        <f t="shared" si="12"/>
        <v>0.2</v>
      </c>
      <c r="M57" s="237">
        <f t="shared" si="5"/>
        <v>13.586227200000003</v>
      </c>
      <c r="N57" s="242">
        <f t="shared" si="6"/>
        <v>81.517363200000005</v>
      </c>
      <c r="O57">
        <f t="shared" si="7"/>
        <v>2023</v>
      </c>
      <c r="P57" s="243">
        <f t="shared" si="1"/>
        <v>8.1517363199999998E-6</v>
      </c>
    </row>
    <row r="58" spans="1:16" x14ac:dyDescent="0.25">
      <c r="A58">
        <f t="shared" si="8"/>
        <v>2022</v>
      </c>
      <c r="B58" s="236">
        <f t="shared" si="8"/>
        <v>9</v>
      </c>
      <c r="C58" s="237">
        <f t="shared" si="2"/>
        <v>136523437.5</v>
      </c>
      <c r="D58" s="238">
        <v>0</v>
      </c>
      <c r="E58" s="239">
        <f t="shared" si="11"/>
        <v>0.5</v>
      </c>
      <c r="F58" s="240">
        <f t="shared" si="3"/>
        <v>68261718.75</v>
      </c>
      <c r="G58" s="241">
        <f t="shared" si="4"/>
        <v>204785156.25</v>
      </c>
      <c r="H58" s="212"/>
      <c r="I58" s="236">
        <f t="shared" si="9"/>
        <v>9</v>
      </c>
      <c r="J58" s="237">
        <f t="shared" si="10"/>
        <v>81.517363200000005</v>
      </c>
      <c r="K58" s="238">
        <v>0</v>
      </c>
      <c r="L58" s="239">
        <f t="shared" si="12"/>
        <v>0.2</v>
      </c>
      <c r="M58" s="237">
        <f t="shared" si="5"/>
        <v>16.303472640000003</v>
      </c>
      <c r="N58" s="242">
        <f t="shared" si="6"/>
        <v>97.820835840000001</v>
      </c>
      <c r="O58">
        <f t="shared" si="7"/>
        <v>2024</v>
      </c>
      <c r="P58" s="243">
        <f t="shared" si="1"/>
        <v>9.7820835840000005E-6</v>
      </c>
    </row>
    <row r="59" spans="1:16" x14ac:dyDescent="0.25">
      <c r="A59">
        <f t="shared" si="8"/>
        <v>2023</v>
      </c>
      <c r="B59" s="236">
        <f t="shared" si="8"/>
        <v>10</v>
      </c>
      <c r="C59" s="237">
        <f t="shared" si="2"/>
        <v>204785156.25</v>
      </c>
      <c r="D59" s="238">
        <v>0</v>
      </c>
      <c r="E59" s="239">
        <f t="shared" si="11"/>
        <v>0.5</v>
      </c>
      <c r="F59" s="240">
        <f t="shared" si="3"/>
        <v>102392578.125</v>
      </c>
      <c r="G59" s="241">
        <f t="shared" si="4"/>
        <v>307177734.375</v>
      </c>
      <c r="H59" s="212"/>
      <c r="I59" s="236">
        <f t="shared" si="9"/>
        <v>10</v>
      </c>
      <c r="J59" s="237">
        <f t="shared" si="10"/>
        <v>97.820835840000001</v>
      </c>
      <c r="K59" s="238">
        <v>0</v>
      </c>
      <c r="L59" s="239">
        <f t="shared" si="12"/>
        <v>0.2</v>
      </c>
      <c r="M59" s="237">
        <f t="shared" si="5"/>
        <v>19.564167168000001</v>
      </c>
      <c r="N59" s="242">
        <f t="shared" si="6"/>
        <v>117.385003008</v>
      </c>
      <c r="O59">
        <f t="shared" si="7"/>
        <v>2025</v>
      </c>
      <c r="P59" s="243">
        <f t="shared" si="1"/>
        <v>1.17385003008E-5</v>
      </c>
    </row>
    <row r="60" spans="1:16" x14ac:dyDescent="0.25">
      <c r="A60">
        <f t="shared" si="8"/>
        <v>2024</v>
      </c>
      <c r="B60" s="236">
        <f t="shared" si="8"/>
        <v>11</v>
      </c>
      <c r="C60" s="237">
        <f t="shared" si="2"/>
        <v>307177734.375</v>
      </c>
      <c r="D60" s="238">
        <v>0</v>
      </c>
      <c r="E60" s="239">
        <f t="shared" si="11"/>
        <v>0.5</v>
      </c>
      <c r="F60" s="240">
        <f t="shared" si="3"/>
        <v>153588867.1875</v>
      </c>
      <c r="G60" s="241">
        <f t="shared" si="4"/>
        <v>460766601.5625</v>
      </c>
      <c r="H60" s="212"/>
      <c r="I60" s="236">
        <f t="shared" si="9"/>
        <v>11</v>
      </c>
      <c r="J60" s="237">
        <f t="shared" si="10"/>
        <v>117.385003008</v>
      </c>
      <c r="K60" s="238">
        <v>0</v>
      </c>
      <c r="L60" s="239">
        <f t="shared" si="12"/>
        <v>0.2</v>
      </c>
      <c r="M60" s="237">
        <f t="shared" si="5"/>
        <v>23.4770006016</v>
      </c>
      <c r="N60" s="242">
        <f t="shared" si="6"/>
        <v>140.86200360960001</v>
      </c>
      <c r="O60">
        <f t="shared" si="7"/>
        <v>2026</v>
      </c>
      <c r="P60" s="243">
        <f t="shared" si="1"/>
        <v>1.4086200360960001E-5</v>
      </c>
    </row>
    <row r="61" spans="1:16" x14ac:dyDescent="0.25">
      <c r="A61">
        <f t="shared" si="8"/>
        <v>2025</v>
      </c>
      <c r="B61" s="236">
        <f t="shared" si="8"/>
        <v>12</v>
      </c>
      <c r="C61" s="237">
        <f t="shared" si="2"/>
        <v>460766601.5625</v>
      </c>
      <c r="D61" s="238">
        <v>0</v>
      </c>
      <c r="E61" s="239">
        <f t="shared" si="11"/>
        <v>0.5</v>
      </c>
      <c r="F61" s="240">
        <f t="shared" si="3"/>
        <v>230383300.78125</v>
      </c>
      <c r="G61" s="241">
        <f t="shared" si="4"/>
        <v>691149902.34375</v>
      </c>
      <c r="H61" s="212"/>
      <c r="I61" s="236">
        <f t="shared" si="9"/>
        <v>12</v>
      </c>
      <c r="J61" s="237">
        <f t="shared" si="10"/>
        <v>140.86200360960001</v>
      </c>
      <c r="K61" s="238">
        <v>0</v>
      </c>
      <c r="L61" s="239">
        <f t="shared" si="12"/>
        <v>0.2</v>
      </c>
      <c r="M61" s="237">
        <f t="shared" si="5"/>
        <v>28.172400721920003</v>
      </c>
      <c r="N61" s="242">
        <f t="shared" si="6"/>
        <v>169.03440433152002</v>
      </c>
      <c r="O61">
        <f t="shared" si="7"/>
        <v>2027</v>
      </c>
      <c r="P61" s="243">
        <f t="shared" si="1"/>
        <v>1.6903440433152003E-5</v>
      </c>
    </row>
    <row r="62" spans="1:16" x14ac:dyDescent="0.25">
      <c r="A62">
        <f t="shared" si="8"/>
        <v>2026</v>
      </c>
      <c r="B62" s="236">
        <f t="shared" si="8"/>
        <v>13</v>
      </c>
      <c r="C62" s="237">
        <f t="shared" si="2"/>
        <v>691149902.34375</v>
      </c>
      <c r="D62" s="238">
        <v>0</v>
      </c>
      <c r="E62" s="239">
        <f t="shared" si="11"/>
        <v>0.5</v>
      </c>
      <c r="F62" s="240">
        <f t="shared" si="3"/>
        <v>345574951.171875</v>
      </c>
      <c r="G62" s="241">
        <f t="shared" si="4"/>
        <v>1036724853.515625</v>
      </c>
      <c r="H62" s="212"/>
      <c r="I62" s="236">
        <f t="shared" si="9"/>
        <v>13</v>
      </c>
      <c r="J62" s="237">
        <f t="shared" si="10"/>
        <v>169.03440433152002</v>
      </c>
      <c r="K62" s="238">
        <v>0</v>
      </c>
      <c r="L62" s="239">
        <f t="shared" si="12"/>
        <v>0.2</v>
      </c>
      <c r="M62" s="237">
        <f t="shared" si="5"/>
        <v>33.806880866304006</v>
      </c>
      <c r="N62" s="242">
        <f t="shared" si="6"/>
        <v>202.84128519782402</v>
      </c>
      <c r="O62">
        <f t="shared" si="7"/>
        <v>2028</v>
      </c>
      <c r="P62" s="243">
        <f t="shared" si="1"/>
        <v>2.0284128519782403E-5</v>
      </c>
    </row>
    <row r="63" spans="1:16" x14ac:dyDescent="0.25">
      <c r="A63">
        <f t="shared" si="8"/>
        <v>2027</v>
      </c>
      <c r="B63" s="236">
        <f t="shared" si="8"/>
        <v>14</v>
      </c>
      <c r="C63" s="237">
        <f t="shared" si="2"/>
        <v>1036724853.515625</v>
      </c>
      <c r="D63" s="238">
        <v>0</v>
      </c>
      <c r="E63" s="239">
        <f t="shared" si="11"/>
        <v>0.5</v>
      </c>
      <c r="F63" s="240">
        <f t="shared" si="3"/>
        <v>518362426.7578125</v>
      </c>
      <c r="G63" s="241">
        <f t="shared" si="4"/>
        <v>1555087280.2734375</v>
      </c>
      <c r="H63" s="212"/>
      <c r="I63" s="236">
        <f t="shared" si="9"/>
        <v>14</v>
      </c>
      <c r="J63" s="237">
        <f t="shared" si="10"/>
        <v>202.84128519782402</v>
      </c>
      <c r="K63" s="238">
        <v>0</v>
      </c>
      <c r="L63" s="239">
        <f t="shared" si="12"/>
        <v>0.2</v>
      </c>
      <c r="M63" s="237">
        <f t="shared" si="5"/>
        <v>40.568257039564806</v>
      </c>
      <c r="N63" s="242">
        <f t="shared" si="6"/>
        <v>243.40954223738882</v>
      </c>
      <c r="O63">
        <f t="shared" si="7"/>
        <v>2029</v>
      </c>
      <c r="P63" s="243">
        <f t="shared" si="1"/>
        <v>2.4340954223738881E-5</v>
      </c>
    </row>
    <row r="64" spans="1:16" x14ac:dyDescent="0.25">
      <c r="A64">
        <f t="shared" si="8"/>
        <v>2028</v>
      </c>
      <c r="B64" s="236">
        <f t="shared" si="8"/>
        <v>15</v>
      </c>
      <c r="C64" s="237">
        <f t="shared" si="2"/>
        <v>1555087280.2734375</v>
      </c>
      <c r="D64" s="238">
        <v>0</v>
      </c>
      <c r="E64" s="239">
        <f t="shared" si="11"/>
        <v>0.5</v>
      </c>
      <c r="F64" s="240">
        <f t="shared" si="3"/>
        <v>777543640.13671875</v>
      </c>
      <c r="G64" s="241">
        <f t="shared" si="4"/>
        <v>2332630920.4101563</v>
      </c>
      <c r="H64" s="212"/>
      <c r="I64" s="236">
        <f t="shared" si="9"/>
        <v>15</v>
      </c>
      <c r="J64" s="237">
        <f t="shared" si="10"/>
        <v>243.40954223738882</v>
      </c>
      <c r="K64" s="238">
        <v>0</v>
      </c>
      <c r="L64" s="239">
        <f t="shared" si="12"/>
        <v>0.2</v>
      </c>
      <c r="M64" s="237">
        <f t="shared" si="5"/>
        <v>48.681908447477767</v>
      </c>
      <c r="N64" s="242">
        <f t="shared" si="6"/>
        <v>292.09145068486657</v>
      </c>
      <c r="O64">
        <f t="shared" si="7"/>
        <v>2030</v>
      </c>
      <c r="P64" s="243">
        <f t="shared" si="1"/>
        <v>2.9209145068486657E-5</v>
      </c>
    </row>
    <row r="65" spans="1:14" x14ac:dyDescent="0.25">
      <c r="A65">
        <f t="shared" si="8"/>
        <v>2029</v>
      </c>
      <c r="B65" s="236">
        <f t="shared" si="8"/>
        <v>16</v>
      </c>
      <c r="C65" s="237">
        <f t="shared" si="2"/>
        <v>2332630920.4101563</v>
      </c>
      <c r="D65" s="238">
        <v>0</v>
      </c>
      <c r="E65" s="239">
        <f t="shared" si="11"/>
        <v>0.5</v>
      </c>
      <c r="F65" s="240">
        <f t="shared" si="3"/>
        <v>1166315460.2050781</v>
      </c>
      <c r="G65" s="241">
        <f t="shared" si="4"/>
        <v>3498946380.6152344</v>
      </c>
      <c r="H65" s="212"/>
      <c r="I65" s="236">
        <f t="shared" si="9"/>
        <v>16</v>
      </c>
      <c r="J65" s="237">
        <f t="shared" si="10"/>
        <v>292.09145068486657</v>
      </c>
      <c r="K65" s="238">
        <v>0</v>
      </c>
      <c r="L65" s="239">
        <f t="shared" si="12"/>
        <v>0.2</v>
      </c>
      <c r="M65" s="237">
        <f t="shared" si="5"/>
        <v>58.418290136973319</v>
      </c>
      <c r="N65" s="242">
        <f t="shared" si="6"/>
        <v>350.5097408218399</v>
      </c>
    </row>
    <row r="66" spans="1:14" x14ac:dyDescent="0.25">
      <c r="A66" s="245">
        <f t="shared" si="8"/>
        <v>2030</v>
      </c>
      <c r="B66" s="236">
        <f t="shared" si="8"/>
        <v>17</v>
      </c>
      <c r="C66" s="237">
        <f t="shared" si="2"/>
        <v>3498946380.6152344</v>
      </c>
      <c r="D66" s="238">
        <v>0</v>
      </c>
      <c r="E66" s="239">
        <f t="shared" si="11"/>
        <v>0.5</v>
      </c>
      <c r="F66" s="240">
        <f t="shared" si="3"/>
        <v>1749473190.3076172</v>
      </c>
      <c r="G66" s="246">
        <f t="shared" si="4"/>
        <v>5248419570.9228516</v>
      </c>
      <c r="H66" s="212">
        <f>G66/10000000</f>
        <v>524.84195709228516</v>
      </c>
      <c r="I66" s="236">
        <f t="shared" si="9"/>
        <v>17</v>
      </c>
      <c r="J66" s="237">
        <f t="shared" si="10"/>
        <v>350.5097408218399</v>
      </c>
      <c r="K66" s="238">
        <v>0</v>
      </c>
      <c r="L66" s="239">
        <f t="shared" si="12"/>
        <v>0.2</v>
      </c>
      <c r="M66" s="237">
        <f t="shared" si="5"/>
        <v>70.101948164367982</v>
      </c>
      <c r="N66" s="242">
        <f t="shared" si="6"/>
        <v>420.61168898620787</v>
      </c>
    </row>
    <row r="67" spans="1:14" x14ac:dyDescent="0.25">
      <c r="A67">
        <f t="shared" ref="A67:B79" si="13">A66+1</f>
        <v>2031</v>
      </c>
      <c r="B67" s="236">
        <f t="shared" si="13"/>
        <v>18</v>
      </c>
      <c r="C67" s="237">
        <f t="shared" si="2"/>
        <v>5248419570.9228516</v>
      </c>
      <c r="D67" s="238">
        <v>0</v>
      </c>
      <c r="E67" s="239">
        <v>0</v>
      </c>
      <c r="F67" s="240">
        <f t="shared" si="3"/>
        <v>0</v>
      </c>
      <c r="G67" s="241">
        <f t="shared" si="4"/>
        <v>5248419570.9228516</v>
      </c>
      <c r="H67" s="247"/>
      <c r="I67" s="236">
        <f t="shared" si="9"/>
        <v>18</v>
      </c>
      <c r="J67" s="237">
        <f t="shared" si="10"/>
        <v>420.61168898620787</v>
      </c>
      <c r="K67" s="238">
        <v>0</v>
      </c>
      <c r="L67" s="239">
        <f t="shared" si="12"/>
        <v>0.2</v>
      </c>
      <c r="M67" s="237">
        <f t="shared" si="5"/>
        <v>84.122337797241585</v>
      </c>
      <c r="N67" s="242">
        <f t="shared" si="6"/>
        <v>504.73402678344945</v>
      </c>
    </row>
    <row r="68" spans="1:14" x14ac:dyDescent="0.25">
      <c r="B68" s="236">
        <f t="shared" si="13"/>
        <v>19</v>
      </c>
      <c r="C68" s="237">
        <f t="shared" si="2"/>
        <v>5248419570.9228516</v>
      </c>
      <c r="D68" s="238">
        <v>0</v>
      </c>
      <c r="E68" s="239">
        <v>0</v>
      </c>
      <c r="F68" s="240">
        <f t="shared" si="3"/>
        <v>0</v>
      </c>
      <c r="G68" s="241">
        <f t="shared" si="4"/>
        <v>5248419570.9228516</v>
      </c>
      <c r="H68" s="248" t="e">
        <f>H49/C49</f>
        <v>#DIV/0!</v>
      </c>
      <c r="I68" s="236">
        <f t="shared" si="9"/>
        <v>19</v>
      </c>
      <c r="J68" s="237">
        <f t="shared" si="10"/>
        <v>504.73402678344945</v>
      </c>
      <c r="K68" s="238"/>
      <c r="L68" s="239"/>
      <c r="M68" s="237">
        <f t="shared" si="5"/>
        <v>0</v>
      </c>
      <c r="N68" s="242">
        <f t="shared" si="6"/>
        <v>504.73402678344945</v>
      </c>
    </row>
    <row r="69" spans="1:14" x14ac:dyDescent="0.25">
      <c r="B69" s="236">
        <f t="shared" si="13"/>
        <v>20</v>
      </c>
      <c r="C69" s="237">
        <f t="shared" si="2"/>
        <v>5248419570.9228516</v>
      </c>
      <c r="D69" s="238">
        <v>0</v>
      </c>
      <c r="E69" s="239">
        <f t="shared" si="11"/>
        <v>0</v>
      </c>
      <c r="F69" s="240">
        <f t="shared" si="3"/>
        <v>0</v>
      </c>
      <c r="G69" s="241">
        <f t="shared" si="4"/>
        <v>5248419570.9228516</v>
      </c>
      <c r="H69" s="248">
        <f t="shared" ref="H69:H88" si="14">H50/C50</f>
        <v>0</v>
      </c>
      <c r="I69" s="236">
        <f t="shared" si="9"/>
        <v>20</v>
      </c>
      <c r="J69" s="237">
        <f t="shared" si="10"/>
        <v>504.73402678344945</v>
      </c>
      <c r="K69" s="238"/>
      <c r="L69" s="239"/>
      <c r="M69" s="237">
        <f t="shared" si="5"/>
        <v>0</v>
      </c>
      <c r="N69" s="242">
        <f t="shared" si="6"/>
        <v>504.73402678344945</v>
      </c>
    </row>
    <row r="70" spans="1:14" x14ac:dyDescent="0.25">
      <c r="B70" s="236">
        <f t="shared" si="13"/>
        <v>21</v>
      </c>
      <c r="C70" s="237">
        <f t="shared" si="2"/>
        <v>5248419570.9228516</v>
      </c>
      <c r="D70" s="238"/>
      <c r="E70" s="239">
        <f t="shared" si="11"/>
        <v>0</v>
      </c>
      <c r="F70" s="240">
        <f t="shared" si="3"/>
        <v>0</v>
      </c>
      <c r="G70" s="241">
        <f t="shared" si="4"/>
        <v>5248419570.9228516</v>
      </c>
      <c r="H70" s="248">
        <f t="shared" si="14"/>
        <v>0</v>
      </c>
      <c r="I70" s="236">
        <f t="shared" si="9"/>
        <v>21</v>
      </c>
      <c r="J70" s="237">
        <f t="shared" si="10"/>
        <v>504.73402678344945</v>
      </c>
      <c r="K70" s="238"/>
      <c r="L70" s="239"/>
      <c r="M70" s="237">
        <f t="shared" si="5"/>
        <v>0</v>
      </c>
      <c r="N70" s="242">
        <f t="shared" si="6"/>
        <v>504.73402678344945</v>
      </c>
    </row>
    <row r="71" spans="1:14" x14ac:dyDescent="0.25">
      <c r="B71" s="236">
        <f t="shared" si="13"/>
        <v>22</v>
      </c>
      <c r="C71" s="237">
        <f t="shared" si="2"/>
        <v>5248419570.9228516</v>
      </c>
      <c r="D71" s="238"/>
      <c r="E71" s="239"/>
      <c r="F71" s="240">
        <f t="shared" si="3"/>
        <v>0</v>
      </c>
      <c r="G71" s="241">
        <f t="shared" si="4"/>
        <v>5248419570.9228516</v>
      </c>
      <c r="H71" s="248">
        <f t="shared" si="14"/>
        <v>0</v>
      </c>
      <c r="I71" s="236">
        <f t="shared" si="9"/>
        <v>22</v>
      </c>
      <c r="J71" s="237">
        <f t="shared" si="10"/>
        <v>504.73402678344945</v>
      </c>
      <c r="K71" s="238"/>
      <c r="L71" s="239"/>
      <c r="M71" s="237">
        <f t="shared" si="5"/>
        <v>0</v>
      </c>
      <c r="N71" s="242">
        <f t="shared" si="6"/>
        <v>504.73402678344945</v>
      </c>
    </row>
    <row r="72" spans="1:14" x14ac:dyDescent="0.25">
      <c r="B72" s="236">
        <f t="shared" si="13"/>
        <v>23</v>
      </c>
      <c r="C72" s="237">
        <f t="shared" si="2"/>
        <v>5248419570.9228516</v>
      </c>
      <c r="D72" s="238"/>
      <c r="E72" s="239"/>
      <c r="F72" s="240">
        <f t="shared" si="3"/>
        <v>0</v>
      </c>
      <c r="G72" s="241">
        <f t="shared" si="4"/>
        <v>5248419570.9228516</v>
      </c>
      <c r="H72" s="248">
        <f t="shared" si="14"/>
        <v>0</v>
      </c>
      <c r="I72" s="236">
        <f t="shared" si="9"/>
        <v>23</v>
      </c>
      <c r="J72" s="237">
        <f t="shared" si="10"/>
        <v>504.73402678344945</v>
      </c>
      <c r="K72" s="238"/>
      <c r="L72" s="239"/>
      <c r="M72" s="237">
        <f t="shared" si="5"/>
        <v>0</v>
      </c>
      <c r="N72" s="242">
        <f t="shared" si="6"/>
        <v>504.73402678344945</v>
      </c>
    </row>
    <row r="73" spans="1:14" x14ac:dyDescent="0.25">
      <c r="B73" s="236">
        <f t="shared" si="13"/>
        <v>24</v>
      </c>
      <c r="C73" s="237">
        <f t="shared" si="2"/>
        <v>5248419570.9228516</v>
      </c>
      <c r="D73" s="238"/>
      <c r="E73" s="239"/>
      <c r="F73" s="240">
        <f t="shared" si="3"/>
        <v>0</v>
      </c>
      <c r="G73" s="241">
        <f t="shared" si="4"/>
        <v>5248419570.9228516</v>
      </c>
      <c r="H73" s="248">
        <f t="shared" si="14"/>
        <v>0</v>
      </c>
      <c r="I73" s="236">
        <f t="shared" si="9"/>
        <v>24</v>
      </c>
      <c r="J73" s="237">
        <f t="shared" si="10"/>
        <v>504.73402678344945</v>
      </c>
      <c r="K73" s="238"/>
      <c r="L73" s="239"/>
      <c r="M73" s="237">
        <f t="shared" si="5"/>
        <v>0</v>
      </c>
      <c r="N73" s="242">
        <f t="shared" si="6"/>
        <v>504.73402678344945</v>
      </c>
    </row>
    <row r="74" spans="1:14" x14ac:dyDescent="0.25">
      <c r="B74" s="236">
        <f t="shared" si="13"/>
        <v>25</v>
      </c>
      <c r="C74" s="237">
        <f t="shared" si="2"/>
        <v>5248419570.9228516</v>
      </c>
      <c r="D74" s="238"/>
      <c r="E74" s="239"/>
      <c r="F74" s="240">
        <f t="shared" si="3"/>
        <v>0</v>
      </c>
      <c r="G74" s="241">
        <f t="shared" si="4"/>
        <v>5248419570.9228516</v>
      </c>
      <c r="H74" s="248">
        <f t="shared" si="14"/>
        <v>0</v>
      </c>
      <c r="I74" s="236">
        <f t="shared" si="9"/>
        <v>25</v>
      </c>
      <c r="J74" s="237">
        <f t="shared" si="10"/>
        <v>504.73402678344945</v>
      </c>
      <c r="K74" s="238"/>
      <c r="L74" s="239"/>
      <c r="M74" s="237">
        <f t="shared" si="5"/>
        <v>0</v>
      </c>
      <c r="N74" s="242">
        <f t="shared" si="6"/>
        <v>504.73402678344945</v>
      </c>
    </row>
    <row r="75" spans="1:14" x14ac:dyDescent="0.25">
      <c r="B75" s="236">
        <f t="shared" si="13"/>
        <v>26</v>
      </c>
      <c r="C75" s="237">
        <f t="shared" si="2"/>
        <v>5248419570.9228516</v>
      </c>
      <c r="D75" s="238"/>
      <c r="E75" s="239"/>
      <c r="F75" s="240">
        <f t="shared" si="3"/>
        <v>0</v>
      </c>
      <c r="G75" s="241">
        <f t="shared" si="4"/>
        <v>5248419570.9228516</v>
      </c>
      <c r="H75" s="248">
        <f t="shared" si="14"/>
        <v>1.5871934604904632E-7</v>
      </c>
      <c r="I75" s="236">
        <f t="shared" si="9"/>
        <v>26</v>
      </c>
      <c r="J75" s="237">
        <f t="shared" si="10"/>
        <v>504.73402678344945</v>
      </c>
      <c r="K75" s="238"/>
      <c r="L75" s="239"/>
      <c r="M75" s="237">
        <f t="shared" si="5"/>
        <v>0</v>
      </c>
      <c r="N75" s="242">
        <f t="shared" si="6"/>
        <v>504.73402678344945</v>
      </c>
    </row>
    <row r="76" spans="1:14" x14ac:dyDescent="0.25">
      <c r="B76" s="236">
        <f t="shared" si="13"/>
        <v>27</v>
      </c>
      <c r="C76" s="237">
        <f t="shared" si="2"/>
        <v>5248419570.9228516</v>
      </c>
      <c r="D76" s="238"/>
      <c r="E76" s="239"/>
      <c r="F76" s="240">
        <f t="shared" si="3"/>
        <v>0</v>
      </c>
      <c r="G76" s="241">
        <f t="shared" si="4"/>
        <v>5248419570.9228516</v>
      </c>
      <c r="H76" s="248">
        <f t="shared" si="14"/>
        <v>0</v>
      </c>
      <c r="I76" s="236">
        <f t="shared" si="9"/>
        <v>27</v>
      </c>
      <c r="J76" s="237">
        <f t="shared" si="10"/>
        <v>504.73402678344945</v>
      </c>
      <c r="K76" s="238"/>
      <c r="L76" s="239"/>
      <c r="M76" s="237">
        <f t="shared" si="5"/>
        <v>0</v>
      </c>
      <c r="N76" s="242">
        <f t="shared" si="6"/>
        <v>504.73402678344945</v>
      </c>
    </row>
    <row r="77" spans="1:14" x14ac:dyDescent="0.25">
      <c r="B77" s="236">
        <f t="shared" si="13"/>
        <v>28</v>
      </c>
      <c r="C77" s="237">
        <f t="shared" si="2"/>
        <v>5248419570.9228516</v>
      </c>
      <c r="D77" s="238"/>
      <c r="E77" s="239"/>
      <c r="F77" s="240">
        <f t="shared" si="3"/>
        <v>0</v>
      </c>
      <c r="G77" s="241">
        <f t="shared" si="4"/>
        <v>5248419570.9228516</v>
      </c>
      <c r="H77" s="248">
        <f t="shared" si="14"/>
        <v>0</v>
      </c>
      <c r="I77" s="236">
        <f t="shared" si="9"/>
        <v>28</v>
      </c>
      <c r="J77" s="237">
        <f t="shared" si="10"/>
        <v>504.73402678344945</v>
      </c>
      <c r="K77" s="238"/>
      <c r="L77" s="239"/>
      <c r="M77" s="237">
        <f t="shared" si="5"/>
        <v>0</v>
      </c>
      <c r="N77" s="242">
        <f t="shared" si="6"/>
        <v>504.73402678344945</v>
      </c>
    </row>
    <row r="78" spans="1:14" x14ac:dyDescent="0.25">
      <c r="B78" s="236">
        <f t="shared" si="13"/>
        <v>29</v>
      </c>
      <c r="C78" s="237">
        <f t="shared" si="2"/>
        <v>5248419570.9228516</v>
      </c>
      <c r="D78" s="238"/>
      <c r="E78" s="239"/>
      <c r="F78" s="240">
        <f t="shared" si="3"/>
        <v>0</v>
      </c>
      <c r="G78" s="241">
        <f t="shared" si="4"/>
        <v>5248419570.9228516</v>
      </c>
      <c r="H78" s="248">
        <f t="shared" si="14"/>
        <v>0</v>
      </c>
      <c r="I78" s="236">
        <f t="shared" si="9"/>
        <v>29</v>
      </c>
      <c r="J78" s="237">
        <f t="shared" si="10"/>
        <v>504.73402678344945</v>
      </c>
      <c r="K78" s="238"/>
      <c r="L78" s="239"/>
      <c r="M78" s="237">
        <f t="shared" si="5"/>
        <v>0</v>
      </c>
      <c r="N78" s="242">
        <f t="shared" si="6"/>
        <v>504.73402678344945</v>
      </c>
    </row>
    <row r="79" spans="1:14" x14ac:dyDescent="0.25">
      <c r="B79" s="236">
        <f t="shared" si="13"/>
        <v>30</v>
      </c>
      <c r="C79" s="237">
        <f t="shared" si="2"/>
        <v>5248419570.9228516</v>
      </c>
      <c r="D79" s="238"/>
      <c r="E79" s="239"/>
      <c r="F79" s="240">
        <f t="shared" si="3"/>
        <v>0</v>
      </c>
      <c r="G79" s="241">
        <f t="shared" si="4"/>
        <v>5248419570.9228516</v>
      </c>
      <c r="H79" s="248">
        <f t="shared" si="14"/>
        <v>0</v>
      </c>
      <c r="I79" s="236">
        <f t="shared" si="9"/>
        <v>30</v>
      </c>
      <c r="J79" s="237">
        <f t="shared" si="10"/>
        <v>504.73402678344945</v>
      </c>
      <c r="K79" s="238"/>
      <c r="L79" s="239"/>
      <c r="M79" s="237">
        <f t="shared" si="5"/>
        <v>0</v>
      </c>
      <c r="N79" s="242">
        <f t="shared" si="6"/>
        <v>504.73402678344945</v>
      </c>
    </row>
    <row r="80" spans="1:14" ht="15.75" thickBot="1" x14ac:dyDescent="0.3">
      <c r="B80" s="236"/>
      <c r="C80" s="249"/>
      <c r="D80" s="238"/>
      <c r="E80" s="239"/>
      <c r="F80" s="249"/>
      <c r="G80" s="241">
        <f t="shared" si="4"/>
        <v>0</v>
      </c>
      <c r="H80" s="248">
        <f t="shared" si="14"/>
        <v>0</v>
      </c>
      <c r="I80" s="236"/>
      <c r="J80" s="237">
        <f t="shared" si="10"/>
        <v>504.73402678344945</v>
      </c>
      <c r="K80" s="238"/>
      <c r="L80" s="239"/>
      <c r="M80" s="237">
        <f t="shared" si="5"/>
        <v>0</v>
      </c>
      <c r="N80" s="242">
        <f t="shared" si="6"/>
        <v>504.73402678344945</v>
      </c>
    </row>
    <row r="81" spans="2:14" ht="15.75" thickBot="1" x14ac:dyDescent="0.3">
      <c r="B81" s="281" t="s">
        <v>485</v>
      </c>
      <c r="C81" s="282"/>
      <c r="D81" s="250">
        <f>SUM(D48:D80)</f>
        <v>22500000</v>
      </c>
      <c r="E81" s="251"/>
      <c r="F81" s="251"/>
      <c r="G81" s="252">
        <f>G78</f>
        <v>5248419570.9228516</v>
      </c>
      <c r="H81" s="248">
        <f t="shared" si="14"/>
        <v>0</v>
      </c>
      <c r="I81" s="281" t="s">
        <v>485</v>
      </c>
      <c r="J81" s="282"/>
      <c r="K81" s="253">
        <f>SUM(K48:K80)</f>
        <v>0</v>
      </c>
      <c r="L81" s="251"/>
      <c r="M81" s="250"/>
      <c r="N81" s="254">
        <f>N78</f>
        <v>504.73402678344945</v>
      </c>
    </row>
    <row r="82" spans="2:14" ht="15.75" thickBot="1" x14ac:dyDescent="0.3">
      <c r="B82" s="255"/>
      <c r="C82" s="256" t="s">
        <v>486</v>
      </c>
      <c r="D82" s="257">
        <f>D81/10000000</f>
        <v>2.25</v>
      </c>
      <c r="E82" s="256"/>
      <c r="F82" s="256"/>
      <c r="G82" s="258">
        <f>G81/10000000</f>
        <v>524.84195709228516</v>
      </c>
      <c r="H82" s="248">
        <f t="shared" si="14"/>
        <v>0</v>
      </c>
      <c r="I82" s="255"/>
      <c r="J82" s="256" t="s">
        <v>486</v>
      </c>
      <c r="K82" s="257">
        <f>K81/10000000</f>
        <v>0</v>
      </c>
      <c r="L82" s="256"/>
      <c r="M82" s="256"/>
      <c r="N82" s="258">
        <f>N81/10000000</f>
        <v>5.0473402678344942E-5</v>
      </c>
    </row>
    <row r="83" spans="2:14" x14ac:dyDescent="0.25">
      <c r="G83" s="259"/>
      <c r="H83" s="248">
        <f t="shared" si="14"/>
        <v>0</v>
      </c>
    </row>
    <row r="84" spans="2:14" ht="15.75" thickBot="1" x14ac:dyDescent="0.3">
      <c r="C84" s="283" t="s">
        <v>487</v>
      </c>
      <c r="D84" s="283"/>
      <c r="E84" s="283"/>
      <c r="F84" s="283"/>
      <c r="H84" s="248">
        <f t="shared" si="14"/>
        <v>0</v>
      </c>
      <c r="J84" s="283" t="s">
        <v>487</v>
      </c>
      <c r="K84" s="283"/>
      <c r="L84" s="283"/>
      <c r="M84" s="283"/>
    </row>
    <row r="85" spans="2:14" ht="15.75" thickBot="1" x14ac:dyDescent="0.3">
      <c r="H85" s="248">
        <f t="shared" si="14"/>
        <v>1.4999999999999999E-7</v>
      </c>
    </row>
    <row r="86" spans="2:14" ht="15.75" thickBot="1" x14ac:dyDescent="0.3">
      <c r="B86" s="227"/>
      <c r="C86" s="276" t="s">
        <v>473</v>
      </c>
      <c r="D86" s="277"/>
      <c r="E86" s="228" t="s">
        <v>474</v>
      </c>
      <c r="F86" s="228"/>
      <c r="G86" s="229"/>
      <c r="H86" s="248">
        <f t="shared" si="14"/>
        <v>0</v>
      </c>
      <c r="I86" s="227"/>
      <c r="J86" s="276" t="s">
        <v>488</v>
      </c>
      <c r="K86" s="277"/>
      <c r="L86" s="228" t="s">
        <v>489</v>
      </c>
      <c r="M86" s="228"/>
      <c r="N86" s="229"/>
    </row>
    <row r="87" spans="2:14" ht="15.75" thickBot="1" x14ac:dyDescent="0.3">
      <c r="B87" s="197"/>
      <c r="C87" s="194"/>
      <c r="D87" s="194"/>
      <c r="E87" s="194"/>
      <c r="F87" s="194"/>
      <c r="G87" s="195"/>
      <c r="H87" s="248" t="e">
        <f t="shared" si="14"/>
        <v>#DIV/0!</v>
      </c>
      <c r="I87" s="197"/>
      <c r="J87" s="194"/>
      <c r="K87" s="194"/>
      <c r="L87" s="194"/>
      <c r="M87" s="194"/>
      <c r="N87" s="195"/>
    </row>
    <row r="88" spans="2:14" ht="15.75" thickBot="1" x14ac:dyDescent="0.3">
      <c r="B88" s="278" t="s">
        <v>490</v>
      </c>
      <c r="C88" s="279"/>
      <c r="D88" s="279"/>
      <c r="E88" s="279"/>
      <c r="F88" s="279"/>
      <c r="G88" s="280"/>
      <c r="H88" s="248">
        <f t="shared" si="14"/>
        <v>0</v>
      </c>
      <c r="I88" s="278" t="s">
        <v>490</v>
      </c>
      <c r="J88" s="279"/>
      <c r="K88" s="279"/>
      <c r="L88" s="279"/>
      <c r="M88" s="279"/>
      <c r="N88" s="280"/>
    </row>
    <row r="89" spans="2:14" x14ac:dyDescent="0.25">
      <c r="B89" s="260"/>
      <c r="C89" s="261"/>
      <c r="D89" s="261"/>
      <c r="E89" s="261"/>
      <c r="F89" s="261"/>
      <c r="G89" s="262">
        <f>G124</f>
        <v>1413.1902480939689</v>
      </c>
      <c r="I89" s="260"/>
      <c r="J89" s="261"/>
      <c r="K89" s="261"/>
      <c r="L89" s="261"/>
      <c r="M89" s="261"/>
      <c r="N89" s="262">
        <f>N124</f>
        <v>285.94104308390024</v>
      </c>
    </row>
    <row r="90" spans="2:14" ht="30" x14ac:dyDescent="0.25">
      <c r="B90" s="231" t="s">
        <v>14</v>
      </c>
      <c r="C90" s="232" t="s">
        <v>478</v>
      </c>
      <c r="D90" s="232" t="s">
        <v>491</v>
      </c>
      <c r="E90" s="232" t="s">
        <v>480</v>
      </c>
      <c r="F90" s="232" t="s">
        <v>492</v>
      </c>
      <c r="G90" s="233" t="s">
        <v>493</v>
      </c>
      <c r="I90" s="231" t="s">
        <v>14</v>
      </c>
      <c r="J90" s="232" t="s">
        <v>494</v>
      </c>
      <c r="K90" s="232" t="s">
        <v>495</v>
      </c>
      <c r="L90" s="232" t="s">
        <v>480</v>
      </c>
      <c r="M90" s="232" t="s">
        <v>492</v>
      </c>
      <c r="N90" s="233" t="s">
        <v>493</v>
      </c>
    </row>
    <row r="91" spans="2:14" x14ac:dyDescent="0.25">
      <c r="B91" s="236">
        <v>0</v>
      </c>
      <c r="C91" s="249">
        <v>0</v>
      </c>
      <c r="D91" s="249">
        <v>100</v>
      </c>
      <c r="E91" s="263">
        <v>0.06</v>
      </c>
      <c r="F91" s="249">
        <f>((1/(1+E91) ) ^ (B91 + 1) ) * D91</f>
        <v>94.339622641509422</v>
      </c>
      <c r="G91" s="264">
        <f>F91+C91</f>
        <v>94.339622641509422</v>
      </c>
      <c r="I91" s="236">
        <v>0</v>
      </c>
      <c r="J91" s="249">
        <v>0</v>
      </c>
      <c r="K91" s="249">
        <v>100</v>
      </c>
      <c r="L91" s="263">
        <v>0</v>
      </c>
      <c r="M91" s="249">
        <f t="shared" ref="M91:M92" si="15">((1/(1+L91) ) ^ (I91) ) * K91</f>
        <v>100</v>
      </c>
      <c r="N91" s="264">
        <f>M91+J91</f>
        <v>100</v>
      </c>
    </row>
    <row r="92" spans="2:14" x14ac:dyDescent="0.25">
      <c r="B92" s="236">
        <f>B91+1</f>
        <v>1</v>
      </c>
      <c r="C92" s="249">
        <f>G91</f>
        <v>94.339622641509422</v>
      </c>
      <c r="D92" s="249">
        <v>200</v>
      </c>
      <c r="E92" s="263">
        <v>0.06</v>
      </c>
      <c r="F92" s="249">
        <f>((1/(1+E92) ) ^ (B92 + 1) ) * D92</f>
        <v>177.99928800284795</v>
      </c>
      <c r="G92" s="264">
        <f>F92+C92</f>
        <v>272.33891064435738</v>
      </c>
      <c r="I92" s="236">
        <f>I91+1</f>
        <v>1</v>
      </c>
      <c r="J92" s="249">
        <f>N91</f>
        <v>100</v>
      </c>
      <c r="K92" s="249">
        <v>100</v>
      </c>
      <c r="L92" s="263">
        <v>0.05</v>
      </c>
      <c r="M92" s="249">
        <f t="shared" si="15"/>
        <v>95.238095238095227</v>
      </c>
      <c r="N92" s="264">
        <f>M92+J92</f>
        <v>195.23809523809524</v>
      </c>
    </row>
    <row r="93" spans="2:14" x14ac:dyDescent="0.25">
      <c r="B93" s="236">
        <f t="shared" ref="B93:B121" si="16">B92+1</f>
        <v>2</v>
      </c>
      <c r="C93" s="249">
        <f t="shared" ref="C93:C121" si="17">G92</f>
        <v>272.33891064435738</v>
      </c>
      <c r="D93" s="249">
        <v>200</v>
      </c>
      <c r="E93" s="263">
        <v>0.06</v>
      </c>
      <c r="F93" s="249">
        <f t="shared" ref="F93:F121" si="18">((1/(1+E93) ) ^ (B93 + 1) ) * D93</f>
        <v>167.9238566064603</v>
      </c>
      <c r="G93" s="264">
        <f t="shared" ref="G93:G121" si="19">F93+C93</f>
        <v>440.26276725081766</v>
      </c>
      <c r="I93" s="236">
        <f t="shared" ref="I93:I121" si="20">I92+1</f>
        <v>2</v>
      </c>
      <c r="J93" s="249">
        <f t="shared" ref="J93:J121" si="21">N92</f>
        <v>195.23809523809524</v>
      </c>
      <c r="K93" s="249">
        <v>100</v>
      </c>
      <c r="L93" s="263">
        <v>0.05</v>
      </c>
      <c r="M93" s="249">
        <f>((1/(1+L93) ) ^ (I93) ) * K93</f>
        <v>90.702947845804985</v>
      </c>
      <c r="N93" s="264">
        <f t="shared" ref="N93:N121" si="22">M93+J93</f>
        <v>285.94104308390024</v>
      </c>
    </row>
    <row r="94" spans="2:14" x14ac:dyDescent="0.25">
      <c r="B94" s="236">
        <f t="shared" si="16"/>
        <v>3</v>
      </c>
      <c r="C94" s="249">
        <f t="shared" si="17"/>
        <v>440.26276725081766</v>
      </c>
      <c r="D94" s="249">
        <v>200</v>
      </c>
      <c r="E94" s="263">
        <v>0.06</v>
      </c>
      <c r="F94" s="249">
        <f t="shared" si="18"/>
        <v>158.41873264760403</v>
      </c>
      <c r="G94" s="264">
        <f t="shared" si="19"/>
        <v>598.68149989842163</v>
      </c>
      <c r="I94" s="236">
        <f t="shared" si="20"/>
        <v>3</v>
      </c>
      <c r="J94" s="249">
        <f t="shared" si="21"/>
        <v>285.94104308390024</v>
      </c>
      <c r="K94" s="249"/>
      <c r="L94" s="263">
        <v>0.05</v>
      </c>
      <c r="M94" s="249">
        <f t="shared" ref="M94:M121" si="23">((1/(1+L94) ) ^ (I94) ) * K94</f>
        <v>0</v>
      </c>
      <c r="N94" s="264">
        <f t="shared" si="22"/>
        <v>285.94104308390024</v>
      </c>
    </row>
    <row r="95" spans="2:14" x14ac:dyDescent="0.25">
      <c r="B95" s="236">
        <f t="shared" si="16"/>
        <v>4</v>
      </c>
      <c r="C95" s="249">
        <f t="shared" si="17"/>
        <v>598.68149989842163</v>
      </c>
      <c r="D95" s="249">
        <v>200</v>
      </c>
      <c r="E95" s="263">
        <v>0.06</v>
      </c>
      <c r="F95" s="249">
        <f t="shared" si="18"/>
        <v>149.45163457321135</v>
      </c>
      <c r="G95" s="264">
        <f t="shared" si="19"/>
        <v>748.13313447163296</v>
      </c>
      <c r="I95" s="236">
        <f t="shared" si="20"/>
        <v>4</v>
      </c>
      <c r="J95" s="249">
        <f t="shared" si="21"/>
        <v>285.94104308390024</v>
      </c>
      <c r="K95" s="249"/>
      <c r="L95" s="263">
        <v>0.05</v>
      </c>
      <c r="M95" s="249">
        <f t="shared" si="23"/>
        <v>0</v>
      </c>
      <c r="N95" s="264">
        <f t="shared" si="22"/>
        <v>285.94104308390024</v>
      </c>
    </row>
    <row r="96" spans="2:14" x14ac:dyDescent="0.25">
      <c r="B96" s="236">
        <f t="shared" si="16"/>
        <v>5</v>
      </c>
      <c r="C96" s="249">
        <f t="shared" si="17"/>
        <v>748.13313447163296</v>
      </c>
      <c r="D96" s="249">
        <v>0</v>
      </c>
      <c r="E96" s="263">
        <v>0.06</v>
      </c>
      <c r="F96" s="249">
        <f t="shared" si="18"/>
        <v>0</v>
      </c>
      <c r="G96" s="264">
        <f t="shared" si="19"/>
        <v>748.13313447163296</v>
      </c>
      <c r="I96" s="236">
        <f t="shared" si="20"/>
        <v>5</v>
      </c>
      <c r="J96" s="249">
        <f t="shared" si="21"/>
        <v>285.94104308390024</v>
      </c>
      <c r="K96" s="249"/>
      <c r="L96" s="263">
        <v>0.05</v>
      </c>
      <c r="M96" s="249">
        <f t="shared" si="23"/>
        <v>0</v>
      </c>
      <c r="N96" s="264">
        <f t="shared" si="22"/>
        <v>285.94104308390024</v>
      </c>
    </row>
    <row r="97" spans="2:14" x14ac:dyDescent="0.25">
      <c r="B97" s="236">
        <f t="shared" si="16"/>
        <v>6</v>
      </c>
      <c r="C97" s="249">
        <f t="shared" si="17"/>
        <v>748.13313447163296</v>
      </c>
      <c r="D97" s="249">
        <v>1000</v>
      </c>
      <c r="E97" s="263">
        <v>0.06</v>
      </c>
      <c r="F97" s="249">
        <f t="shared" si="18"/>
        <v>665.05711362233581</v>
      </c>
      <c r="G97" s="264">
        <f t="shared" si="19"/>
        <v>1413.1902480939689</v>
      </c>
      <c r="I97" s="236">
        <f t="shared" si="20"/>
        <v>6</v>
      </c>
      <c r="J97" s="249">
        <f t="shared" si="21"/>
        <v>285.94104308390024</v>
      </c>
      <c r="K97" s="249"/>
      <c r="L97" s="263">
        <v>0.05</v>
      </c>
      <c r="M97" s="249">
        <f t="shared" si="23"/>
        <v>0</v>
      </c>
      <c r="N97" s="264">
        <f t="shared" si="22"/>
        <v>285.94104308390024</v>
      </c>
    </row>
    <row r="98" spans="2:14" x14ac:dyDescent="0.25">
      <c r="B98" s="236">
        <f t="shared" si="16"/>
        <v>7</v>
      </c>
      <c r="C98" s="249">
        <f t="shared" si="17"/>
        <v>1413.1902480939689</v>
      </c>
      <c r="D98" s="249"/>
      <c r="E98" s="263">
        <v>0.05</v>
      </c>
      <c r="F98" s="249">
        <f t="shared" si="18"/>
        <v>0</v>
      </c>
      <c r="G98" s="264">
        <f t="shared" si="19"/>
        <v>1413.1902480939689</v>
      </c>
      <c r="I98" s="236">
        <f t="shared" si="20"/>
        <v>7</v>
      </c>
      <c r="J98" s="249">
        <f t="shared" si="21"/>
        <v>285.94104308390024</v>
      </c>
      <c r="K98" s="249"/>
      <c r="L98" s="263">
        <v>0.05</v>
      </c>
      <c r="M98" s="249">
        <f t="shared" si="23"/>
        <v>0</v>
      </c>
      <c r="N98" s="264">
        <f t="shared" si="22"/>
        <v>285.94104308390024</v>
      </c>
    </row>
    <row r="99" spans="2:14" x14ac:dyDescent="0.25">
      <c r="B99" s="236">
        <f t="shared" si="16"/>
        <v>8</v>
      </c>
      <c r="C99" s="249">
        <f t="shared" si="17"/>
        <v>1413.1902480939689</v>
      </c>
      <c r="D99" s="249"/>
      <c r="E99" s="263">
        <v>0.05</v>
      </c>
      <c r="F99" s="249">
        <f t="shared" si="18"/>
        <v>0</v>
      </c>
      <c r="G99" s="264">
        <f t="shared" si="19"/>
        <v>1413.1902480939689</v>
      </c>
      <c r="I99" s="236">
        <f t="shared" si="20"/>
        <v>8</v>
      </c>
      <c r="J99" s="249">
        <f t="shared" si="21"/>
        <v>285.94104308390024</v>
      </c>
      <c r="K99" s="249"/>
      <c r="L99" s="263">
        <v>0.05</v>
      </c>
      <c r="M99" s="249">
        <f t="shared" si="23"/>
        <v>0</v>
      </c>
      <c r="N99" s="264">
        <f t="shared" si="22"/>
        <v>285.94104308390024</v>
      </c>
    </row>
    <row r="100" spans="2:14" x14ac:dyDescent="0.25">
      <c r="B100" s="236">
        <f t="shared" si="16"/>
        <v>9</v>
      </c>
      <c r="C100" s="249">
        <f t="shared" si="17"/>
        <v>1413.1902480939689</v>
      </c>
      <c r="D100" s="249"/>
      <c r="E100" s="263">
        <v>0.05</v>
      </c>
      <c r="F100" s="249">
        <f t="shared" si="18"/>
        <v>0</v>
      </c>
      <c r="G100" s="264">
        <f t="shared" si="19"/>
        <v>1413.1902480939689</v>
      </c>
      <c r="I100" s="236">
        <f t="shared" si="20"/>
        <v>9</v>
      </c>
      <c r="J100" s="249">
        <f t="shared" si="21"/>
        <v>285.94104308390024</v>
      </c>
      <c r="K100" s="249"/>
      <c r="L100" s="263">
        <v>0.05</v>
      </c>
      <c r="M100" s="249">
        <f t="shared" si="23"/>
        <v>0</v>
      </c>
      <c r="N100" s="264">
        <f t="shared" si="22"/>
        <v>285.94104308390024</v>
      </c>
    </row>
    <row r="101" spans="2:14" x14ac:dyDescent="0.25">
      <c r="B101" s="236">
        <f t="shared" si="16"/>
        <v>10</v>
      </c>
      <c r="C101" s="249">
        <f t="shared" si="17"/>
        <v>1413.1902480939689</v>
      </c>
      <c r="D101" s="249"/>
      <c r="E101" s="263">
        <v>0.05</v>
      </c>
      <c r="F101" s="249">
        <f t="shared" si="18"/>
        <v>0</v>
      </c>
      <c r="G101" s="264">
        <f t="shared" si="19"/>
        <v>1413.1902480939689</v>
      </c>
      <c r="I101" s="236">
        <f t="shared" si="20"/>
        <v>10</v>
      </c>
      <c r="J101" s="249">
        <f t="shared" si="21"/>
        <v>285.94104308390024</v>
      </c>
      <c r="K101" s="249"/>
      <c r="L101" s="263">
        <v>0.05</v>
      </c>
      <c r="M101" s="249">
        <f t="shared" si="23"/>
        <v>0</v>
      </c>
      <c r="N101" s="264">
        <f t="shared" si="22"/>
        <v>285.94104308390024</v>
      </c>
    </row>
    <row r="102" spans="2:14" x14ac:dyDescent="0.25">
      <c r="B102" s="236">
        <f t="shared" si="16"/>
        <v>11</v>
      </c>
      <c r="C102" s="249">
        <f t="shared" si="17"/>
        <v>1413.1902480939689</v>
      </c>
      <c r="D102" s="249"/>
      <c r="E102" s="263">
        <v>0.05</v>
      </c>
      <c r="F102" s="249">
        <f t="shared" si="18"/>
        <v>0</v>
      </c>
      <c r="G102" s="264">
        <f t="shared" si="19"/>
        <v>1413.1902480939689</v>
      </c>
      <c r="I102" s="236">
        <f t="shared" si="20"/>
        <v>11</v>
      </c>
      <c r="J102" s="249">
        <f t="shared" si="21"/>
        <v>285.94104308390024</v>
      </c>
      <c r="K102" s="249"/>
      <c r="L102" s="263">
        <v>0.05</v>
      </c>
      <c r="M102" s="249">
        <f t="shared" si="23"/>
        <v>0</v>
      </c>
      <c r="N102" s="264">
        <f t="shared" si="22"/>
        <v>285.94104308390024</v>
      </c>
    </row>
    <row r="103" spans="2:14" x14ac:dyDescent="0.25">
      <c r="B103" s="236">
        <f t="shared" si="16"/>
        <v>12</v>
      </c>
      <c r="C103" s="249">
        <f t="shared" si="17"/>
        <v>1413.1902480939689</v>
      </c>
      <c r="D103" s="249"/>
      <c r="E103" s="263">
        <v>0.05</v>
      </c>
      <c r="F103" s="249">
        <f t="shared" si="18"/>
        <v>0</v>
      </c>
      <c r="G103" s="264">
        <f t="shared" si="19"/>
        <v>1413.1902480939689</v>
      </c>
      <c r="I103" s="236">
        <f t="shared" si="20"/>
        <v>12</v>
      </c>
      <c r="J103" s="249">
        <f t="shared" si="21"/>
        <v>285.94104308390024</v>
      </c>
      <c r="K103" s="249"/>
      <c r="L103" s="263">
        <v>0.05</v>
      </c>
      <c r="M103" s="249">
        <f t="shared" si="23"/>
        <v>0</v>
      </c>
      <c r="N103" s="264">
        <f t="shared" si="22"/>
        <v>285.94104308390024</v>
      </c>
    </row>
    <row r="104" spans="2:14" x14ac:dyDescent="0.25">
      <c r="B104" s="236">
        <f t="shared" si="16"/>
        <v>13</v>
      </c>
      <c r="C104" s="249">
        <f t="shared" si="17"/>
        <v>1413.1902480939689</v>
      </c>
      <c r="D104" s="249"/>
      <c r="E104" s="263">
        <v>0.05</v>
      </c>
      <c r="F104" s="249">
        <f t="shared" si="18"/>
        <v>0</v>
      </c>
      <c r="G104" s="264">
        <f t="shared" si="19"/>
        <v>1413.1902480939689</v>
      </c>
      <c r="I104" s="236">
        <f t="shared" si="20"/>
        <v>13</v>
      </c>
      <c r="J104" s="249">
        <f t="shared" si="21"/>
        <v>285.94104308390024</v>
      </c>
      <c r="K104" s="249"/>
      <c r="L104" s="263">
        <v>0.05</v>
      </c>
      <c r="M104" s="249">
        <f t="shared" si="23"/>
        <v>0</v>
      </c>
      <c r="N104" s="264">
        <f t="shared" si="22"/>
        <v>285.94104308390024</v>
      </c>
    </row>
    <row r="105" spans="2:14" x14ac:dyDescent="0.25">
      <c r="B105" s="236">
        <f t="shared" si="16"/>
        <v>14</v>
      </c>
      <c r="C105" s="249">
        <f t="shared" si="17"/>
        <v>1413.1902480939689</v>
      </c>
      <c r="D105" s="249"/>
      <c r="E105" s="263">
        <v>0.05</v>
      </c>
      <c r="F105" s="249">
        <f t="shared" si="18"/>
        <v>0</v>
      </c>
      <c r="G105" s="264">
        <f t="shared" si="19"/>
        <v>1413.1902480939689</v>
      </c>
      <c r="I105" s="236">
        <f t="shared" si="20"/>
        <v>14</v>
      </c>
      <c r="J105" s="249">
        <f t="shared" si="21"/>
        <v>285.94104308390024</v>
      </c>
      <c r="K105" s="249"/>
      <c r="L105" s="263">
        <v>0.05</v>
      </c>
      <c r="M105" s="249">
        <f t="shared" si="23"/>
        <v>0</v>
      </c>
      <c r="N105" s="264">
        <f t="shared" si="22"/>
        <v>285.94104308390024</v>
      </c>
    </row>
    <row r="106" spans="2:14" x14ac:dyDescent="0.25">
      <c r="B106" s="236">
        <f t="shared" si="16"/>
        <v>15</v>
      </c>
      <c r="C106" s="249">
        <f t="shared" si="17"/>
        <v>1413.1902480939689</v>
      </c>
      <c r="D106" s="249"/>
      <c r="E106" s="263">
        <v>0.05</v>
      </c>
      <c r="F106" s="249">
        <f t="shared" si="18"/>
        <v>0</v>
      </c>
      <c r="G106" s="264">
        <f t="shared" si="19"/>
        <v>1413.1902480939689</v>
      </c>
      <c r="I106" s="236">
        <f t="shared" si="20"/>
        <v>15</v>
      </c>
      <c r="J106" s="249">
        <f t="shared" si="21"/>
        <v>285.94104308390024</v>
      </c>
      <c r="K106" s="249"/>
      <c r="L106" s="263">
        <v>0.05</v>
      </c>
      <c r="M106" s="249">
        <f t="shared" si="23"/>
        <v>0</v>
      </c>
      <c r="N106" s="264">
        <f t="shared" si="22"/>
        <v>285.94104308390024</v>
      </c>
    </row>
    <row r="107" spans="2:14" x14ac:dyDescent="0.25">
      <c r="B107" s="236">
        <f t="shared" si="16"/>
        <v>16</v>
      </c>
      <c r="C107" s="249">
        <f t="shared" si="17"/>
        <v>1413.1902480939689</v>
      </c>
      <c r="D107" s="249"/>
      <c r="E107" s="263">
        <v>0.05</v>
      </c>
      <c r="F107" s="249">
        <f t="shared" si="18"/>
        <v>0</v>
      </c>
      <c r="G107" s="264">
        <f t="shared" si="19"/>
        <v>1413.1902480939689</v>
      </c>
      <c r="I107" s="236">
        <f t="shared" si="20"/>
        <v>16</v>
      </c>
      <c r="J107" s="249">
        <f t="shared" si="21"/>
        <v>285.94104308390024</v>
      </c>
      <c r="K107" s="249"/>
      <c r="L107" s="263">
        <v>0.05</v>
      </c>
      <c r="M107" s="249">
        <f t="shared" si="23"/>
        <v>0</v>
      </c>
      <c r="N107" s="264">
        <f t="shared" si="22"/>
        <v>285.94104308390024</v>
      </c>
    </row>
    <row r="108" spans="2:14" x14ac:dyDescent="0.25">
      <c r="B108" s="236">
        <f t="shared" si="16"/>
        <v>17</v>
      </c>
      <c r="C108" s="249">
        <f t="shared" si="17"/>
        <v>1413.1902480939689</v>
      </c>
      <c r="D108" s="249"/>
      <c r="E108" s="263">
        <v>0.05</v>
      </c>
      <c r="F108" s="249">
        <f t="shared" si="18"/>
        <v>0</v>
      </c>
      <c r="G108" s="264">
        <f t="shared" si="19"/>
        <v>1413.1902480939689</v>
      </c>
      <c r="I108" s="236">
        <f t="shared" si="20"/>
        <v>17</v>
      </c>
      <c r="J108" s="249">
        <f t="shared" si="21"/>
        <v>285.94104308390024</v>
      </c>
      <c r="K108" s="249"/>
      <c r="L108" s="263">
        <v>0.05</v>
      </c>
      <c r="M108" s="249">
        <f t="shared" si="23"/>
        <v>0</v>
      </c>
      <c r="N108" s="264">
        <f t="shared" si="22"/>
        <v>285.94104308390024</v>
      </c>
    </row>
    <row r="109" spans="2:14" x14ac:dyDescent="0.25">
      <c r="B109" s="236">
        <f t="shared" si="16"/>
        <v>18</v>
      </c>
      <c r="C109" s="249">
        <f t="shared" si="17"/>
        <v>1413.1902480939689</v>
      </c>
      <c r="D109" s="249"/>
      <c r="E109" s="263">
        <v>0.05</v>
      </c>
      <c r="F109" s="249">
        <f t="shared" si="18"/>
        <v>0</v>
      </c>
      <c r="G109" s="264">
        <f t="shared" si="19"/>
        <v>1413.1902480939689</v>
      </c>
      <c r="I109" s="236">
        <f t="shared" si="20"/>
        <v>18</v>
      </c>
      <c r="J109" s="249">
        <f t="shared" si="21"/>
        <v>285.94104308390024</v>
      </c>
      <c r="K109" s="249"/>
      <c r="L109" s="263">
        <v>0.05</v>
      </c>
      <c r="M109" s="249">
        <f t="shared" si="23"/>
        <v>0</v>
      </c>
      <c r="N109" s="264">
        <f t="shared" si="22"/>
        <v>285.94104308390024</v>
      </c>
    </row>
    <row r="110" spans="2:14" x14ac:dyDescent="0.25">
      <c r="B110" s="236">
        <f t="shared" si="16"/>
        <v>19</v>
      </c>
      <c r="C110" s="249">
        <f t="shared" si="17"/>
        <v>1413.1902480939689</v>
      </c>
      <c r="D110" s="249"/>
      <c r="E110" s="263">
        <v>0.05</v>
      </c>
      <c r="F110" s="249">
        <f t="shared" si="18"/>
        <v>0</v>
      </c>
      <c r="G110" s="264">
        <f t="shared" si="19"/>
        <v>1413.1902480939689</v>
      </c>
      <c r="I110" s="236">
        <f t="shared" si="20"/>
        <v>19</v>
      </c>
      <c r="J110" s="249">
        <f t="shared" si="21"/>
        <v>285.94104308390024</v>
      </c>
      <c r="K110" s="249"/>
      <c r="L110" s="263">
        <v>0.05</v>
      </c>
      <c r="M110" s="249">
        <f t="shared" si="23"/>
        <v>0</v>
      </c>
      <c r="N110" s="264">
        <f t="shared" si="22"/>
        <v>285.94104308390024</v>
      </c>
    </row>
    <row r="111" spans="2:14" x14ac:dyDescent="0.25">
      <c r="B111" s="236">
        <f t="shared" si="16"/>
        <v>20</v>
      </c>
      <c r="C111" s="249">
        <f t="shared" si="17"/>
        <v>1413.1902480939689</v>
      </c>
      <c r="D111" s="249"/>
      <c r="E111" s="263">
        <v>0.05</v>
      </c>
      <c r="F111" s="249">
        <f t="shared" si="18"/>
        <v>0</v>
      </c>
      <c r="G111" s="264">
        <f t="shared" si="19"/>
        <v>1413.1902480939689</v>
      </c>
      <c r="I111" s="236">
        <f t="shared" si="20"/>
        <v>20</v>
      </c>
      <c r="J111" s="249">
        <f t="shared" si="21"/>
        <v>285.94104308390024</v>
      </c>
      <c r="K111" s="249"/>
      <c r="L111" s="263">
        <v>0.05</v>
      </c>
      <c r="M111" s="249">
        <f t="shared" si="23"/>
        <v>0</v>
      </c>
      <c r="N111" s="264">
        <f t="shared" si="22"/>
        <v>285.94104308390024</v>
      </c>
    </row>
    <row r="112" spans="2:14" x14ac:dyDescent="0.25">
      <c r="B112" s="236">
        <f t="shared" si="16"/>
        <v>21</v>
      </c>
      <c r="C112" s="249">
        <f t="shared" si="17"/>
        <v>1413.1902480939689</v>
      </c>
      <c r="D112" s="249"/>
      <c r="E112" s="263">
        <v>0.05</v>
      </c>
      <c r="F112" s="249">
        <f t="shared" si="18"/>
        <v>0</v>
      </c>
      <c r="G112" s="264">
        <f t="shared" si="19"/>
        <v>1413.1902480939689</v>
      </c>
      <c r="I112" s="236">
        <f t="shared" si="20"/>
        <v>21</v>
      </c>
      <c r="J112" s="249">
        <f t="shared" si="21"/>
        <v>285.94104308390024</v>
      </c>
      <c r="K112" s="249"/>
      <c r="L112" s="263">
        <v>0.05</v>
      </c>
      <c r="M112" s="249">
        <f t="shared" si="23"/>
        <v>0</v>
      </c>
      <c r="N112" s="264">
        <f t="shared" si="22"/>
        <v>285.94104308390024</v>
      </c>
    </row>
    <row r="113" spans="2:14" x14ac:dyDescent="0.25">
      <c r="B113" s="236">
        <f t="shared" si="16"/>
        <v>22</v>
      </c>
      <c r="C113" s="249">
        <f t="shared" si="17"/>
        <v>1413.1902480939689</v>
      </c>
      <c r="D113" s="249"/>
      <c r="E113" s="263">
        <v>0.05</v>
      </c>
      <c r="F113" s="249">
        <f t="shared" si="18"/>
        <v>0</v>
      </c>
      <c r="G113" s="264">
        <f t="shared" si="19"/>
        <v>1413.1902480939689</v>
      </c>
      <c r="I113" s="236">
        <f t="shared" si="20"/>
        <v>22</v>
      </c>
      <c r="J113" s="249">
        <f t="shared" si="21"/>
        <v>285.94104308390024</v>
      </c>
      <c r="K113" s="249"/>
      <c r="L113" s="263">
        <v>0.05</v>
      </c>
      <c r="M113" s="249">
        <f t="shared" si="23"/>
        <v>0</v>
      </c>
      <c r="N113" s="264">
        <f t="shared" si="22"/>
        <v>285.94104308390024</v>
      </c>
    </row>
    <row r="114" spans="2:14" x14ac:dyDescent="0.25">
      <c r="B114" s="236">
        <f t="shared" si="16"/>
        <v>23</v>
      </c>
      <c r="C114" s="249">
        <f t="shared" si="17"/>
        <v>1413.1902480939689</v>
      </c>
      <c r="D114" s="249"/>
      <c r="E114" s="263">
        <v>0.05</v>
      </c>
      <c r="F114" s="249">
        <f t="shared" si="18"/>
        <v>0</v>
      </c>
      <c r="G114" s="264">
        <f t="shared" si="19"/>
        <v>1413.1902480939689</v>
      </c>
      <c r="I114" s="236">
        <f t="shared" si="20"/>
        <v>23</v>
      </c>
      <c r="J114" s="249">
        <f t="shared" si="21"/>
        <v>285.94104308390024</v>
      </c>
      <c r="K114" s="249"/>
      <c r="L114" s="263">
        <v>0.05</v>
      </c>
      <c r="M114" s="249">
        <f t="shared" si="23"/>
        <v>0</v>
      </c>
      <c r="N114" s="264">
        <f t="shared" si="22"/>
        <v>285.94104308390024</v>
      </c>
    </row>
    <row r="115" spans="2:14" x14ac:dyDescent="0.25">
      <c r="B115" s="236">
        <f t="shared" si="16"/>
        <v>24</v>
      </c>
      <c r="C115" s="249">
        <f t="shared" si="17"/>
        <v>1413.1902480939689</v>
      </c>
      <c r="D115" s="249"/>
      <c r="E115" s="263">
        <v>0.05</v>
      </c>
      <c r="F115" s="249">
        <f t="shared" si="18"/>
        <v>0</v>
      </c>
      <c r="G115" s="264">
        <f t="shared" si="19"/>
        <v>1413.1902480939689</v>
      </c>
      <c r="I115" s="236">
        <f t="shared" si="20"/>
        <v>24</v>
      </c>
      <c r="J115" s="249">
        <f t="shared" si="21"/>
        <v>285.94104308390024</v>
      </c>
      <c r="K115" s="249"/>
      <c r="L115" s="263">
        <v>0.05</v>
      </c>
      <c r="M115" s="249">
        <f t="shared" si="23"/>
        <v>0</v>
      </c>
      <c r="N115" s="264">
        <f t="shared" si="22"/>
        <v>285.94104308390024</v>
      </c>
    </row>
    <row r="116" spans="2:14" x14ac:dyDescent="0.25">
      <c r="B116" s="236">
        <f t="shared" si="16"/>
        <v>25</v>
      </c>
      <c r="C116" s="249">
        <f t="shared" si="17"/>
        <v>1413.1902480939689</v>
      </c>
      <c r="D116" s="249"/>
      <c r="E116" s="263">
        <v>0.05</v>
      </c>
      <c r="F116" s="249">
        <f t="shared" si="18"/>
        <v>0</v>
      </c>
      <c r="G116" s="264">
        <f t="shared" si="19"/>
        <v>1413.1902480939689</v>
      </c>
      <c r="I116" s="236">
        <f t="shared" si="20"/>
        <v>25</v>
      </c>
      <c r="J116" s="249">
        <f t="shared" si="21"/>
        <v>285.94104308390024</v>
      </c>
      <c r="K116" s="249"/>
      <c r="L116" s="263">
        <v>0.05</v>
      </c>
      <c r="M116" s="249">
        <f t="shared" si="23"/>
        <v>0</v>
      </c>
      <c r="N116" s="264">
        <f t="shared" si="22"/>
        <v>285.94104308390024</v>
      </c>
    </row>
    <row r="117" spans="2:14" x14ac:dyDescent="0.25">
      <c r="B117" s="236">
        <f t="shared" si="16"/>
        <v>26</v>
      </c>
      <c r="C117" s="249">
        <f t="shared" si="17"/>
        <v>1413.1902480939689</v>
      </c>
      <c r="D117" s="249"/>
      <c r="E117" s="263">
        <v>0.05</v>
      </c>
      <c r="F117" s="249">
        <f t="shared" si="18"/>
        <v>0</v>
      </c>
      <c r="G117" s="264">
        <f t="shared" si="19"/>
        <v>1413.1902480939689</v>
      </c>
      <c r="I117" s="236">
        <f t="shared" si="20"/>
        <v>26</v>
      </c>
      <c r="J117" s="249">
        <f t="shared" si="21"/>
        <v>285.94104308390024</v>
      </c>
      <c r="K117" s="249"/>
      <c r="L117" s="263">
        <v>0.05</v>
      </c>
      <c r="M117" s="249">
        <f t="shared" si="23"/>
        <v>0</v>
      </c>
      <c r="N117" s="264">
        <f t="shared" si="22"/>
        <v>285.94104308390024</v>
      </c>
    </row>
    <row r="118" spans="2:14" x14ac:dyDescent="0.25">
      <c r="B118" s="236">
        <f t="shared" si="16"/>
        <v>27</v>
      </c>
      <c r="C118" s="249">
        <f t="shared" si="17"/>
        <v>1413.1902480939689</v>
      </c>
      <c r="D118" s="249"/>
      <c r="E118" s="263">
        <v>0.05</v>
      </c>
      <c r="F118" s="249">
        <f t="shared" si="18"/>
        <v>0</v>
      </c>
      <c r="G118" s="264">
        <f t="shared" si="19"/>
        <v>1413.1902480939689</v>
      </c>
      <c r="I118" s="236">
        <f t="shared" si="20"/>
        <v>27</v>
      </c>
      <c r="J118" s="249">
        <f t="shared" si="21"/>
        <v>285.94104308390024</v>
      </c>
      <c r="K118" s="249"/>
      <c r="L118" s="263">
        <v>0.05</v>
      </c>
      <c r="M118" s="249">
        <f t="shared" si="23"/>
        <v>0</v>
      </c>
      <c r="N118" s="264">
        <f t="shared" si="22"/>
        <v>285.94104308390024</v>
      </c>
    </row>
    <row r="119" spans="2:14" x14ac:dyDescent="0.25">
      <c r="B119" s="236">
        <f t="shared" si="16"/>
        <v>28</v>
      </c>
      <c r="C119" s="249">
        <f t="shared" si="17"/>
        <v>1413.1902480939689</v>
      </c>
      <c r="D119" s="249"/>
      <c r="E119" s="263">
        <v>0.05</v>
      </c>
      <c r="F119" s="249">
        <f t="shared" si="18"/>
        <v>0</v>
      </c>
      <c r="G119" s="264">
        <f t="shared" si="19"/>
        <v>1413.1902480939689</v>
      </c>
      <c r="I119" s="236">
        <f t="shared" si="20"/>
        <v>28</v>
      </c>
      <c r="J119" s="249">
        <f t="shared" si="21"/>
        <v>285.94104308390024</v>
      </c>
      <c r="K119" s="249"/>
      <c r="L119" s="263">
        <v>0.05</v>
      </c>
      <c r="M119" s="249">
        <f t="shared" si="23"/>
        <v>0</v>
      </c>
      <c r="N119" s="264">
        <f t="shared" si="22"/>
        <v>285.94104308390024</v>
      </c>
    </row>
    <row r="120" spans="2:14" x14ac:dyDescent="0.25">
      <c r="B120" s="236">
        <f t="shared" si="16"/>
        <v>29</v>
      </c>
      <c r="C120" s="249">
        <f t="shared" si="17"/>
        <v>1413.1902480939689</v>
      </c>
      <c r="D120" s="249"/>
      <c r="E120" s="263">
        <v>0.05</v>
      </c>
      <c r="F120" s="249">
        <f t="shared" si="18"/>
        <v>0</v>
      </c>
      <c r="G120" s="264">
        <f t="shared" si="19"/>
        <v>1413.1902480939689</v>
      </c>
      <c r="I120" s="236">
        <f t="shared" si="20"/>
        <v>29</v>
      </c>
      <c r="J120" s="249">
        <f t="shared" si="21"/>
        <v>285.94104308390024</v>
      </c>
      <c r="K120" s="249"/>
      <c r="L120" s="263">
        <v>0.05</v>
      </c>
      <c r="M120" s="249">
        <f t="shared" si="23"/>
        <v>0</v>
      </c>
      <c r="N120" s="264">
        <f t="shared" si="22"/>
        <v>285.94104308390024</v>
      </c>
    </row>
    <row r="121" spans="2:14" x14ac:dyDescent="0.25">
      <c r="B121" s="236">
        <f t="shared" si="16"/>
        <v>30</v>
      </c>
      <c r="C121" s="249">
        <f t="shared" si="17"/>
        <v>1413.1902480939689</v>
      </c>
      <c r="D121" s="249"/>
      <c r="E121" s="263">
        <v>0.05</v>
      </c>
      <c r="F121" s="249">
        <f t="shared" si="18"/>
        <v>0</v>
      </c>
      <c r="G121" s="264">
        <f t="shared" si="19"/>
        <v>1413.1902480939689</v>
      </c>
      <c r="I121" s="236">
        <f t="shared" si="20"/>
        <v>30</v>
      </c>
      <c r="J121" s="249">
        <f t="shared" si="21"/>
        <v>285.94104308390024</v>
      </c>
      <c r="K121" s="249"/>
      <c r="L121" s="263">
        <v>0.05</v>
      </c>
      <c r="M121" s="249">
        <f t="shared" si="23"/>
        <v>0</v>
      </c>
      <c r="N121" s="264">
        <f t="shared" si="22"/>
        <v>285.94104308390024</v>
      </c>
    </row>
    <row r="122" spans="2:14" x14ac:dyDescent="0.25">
      <c r="B122" s="197"/>
      <c r="C122" s="194"/>
      <c r="D122" s="194"/>
      <c r="E122" s="194"/>
      <c r="F122" s="194"/>
      <c r="G122" s="195"/>
      <c r="I122" s="197"/>
      <c r="J122" s="194"/>
      <c r="K122" s="194"/>
      <c r="L122" s="194"/>
      <c r="M122" s="194"/>
      <c r="N122" s="195"/>
    </row>
    <row r="123" spans="2:14" ht="15.75" thickBot="1" x14ac:dyDescent="0.3">
      <c r="B123" s="197"/>
      <c r="C123" s="194"/>
      <c r="D123" s="194"/>
      <c r="E123" s="194"/>
      <c r="F123" s="194"/>
      <c r="G123" s="195"/>
      <c r="I123" s="197"/>
      <c r="J123" s="194"/>
      <c r="K123" s="194"/>
      <c r="L123" s="194"/>
      <c r="M123" s="194"/>
      <c r="N123" s="195"/>
    </row>
    <row r="124" spans="2:14" ht="15.75" thickBot="1" x14ac:dyDescent="0.3">
      <c r="B124" s="281" t="s">
        <v>496</v>
      </c>
      <c r="C124" s="282"/>
      <c r="D124" s="253">
        <f>SUM(D91:D123)</f>
        <v>1900</v>
      </c>
      <c r="E124" s="251"/>
      <c r="F124" s="251"/>
      <c r="G124" s="265">
        <f>G121</f>
        <v>1413.1902480939689</v>
      </c>
      <c r="I124" s="281" t="s">
        <v>496</v>
      </c>
      <c r="J124" s="282"/>
      <c r="K124" s="253">
        <f>SUM(K91:K123)</f>
        <v>300</v>
      </c>
      <c r="L124" s="251"/>
      <c r="M124" s="251"/>
      <c r="N124" s="265">
        <f>N121</f>
        <v>285.94104308390024</v>
      </c>
    </row>
    <row r="125" spans="2:14" ht="15.75" thickBot="1" x14ac:dyDescent="0.3">
      <c r="B125" s="202"/>
      <c r="C125" s="203"/>
      <c r="D125" s="203"/>
      <c r="E125" s="203"/>
      <c r="F125" s="203"/>
      <c r="G125" s="204"/>
      <c r="I125" s="202"/>
      <c r="J125" s="203"/>
      <c r="K125" s="203"/>
      <c r="L125" s="203"/>
      <c r="M125" s="203"/>
      <c r="N125" s="204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V284"/>
  <sheetViews>
    <sheetView tabSelected="1" zoomScale="80" zoomScaleNormal="80" workbookViewId="0">
      <pane xSplit="2" ySplit="3" topLeftCell="G141" activePane="bottomRight" state="frozen"/>
      <selection pane="topRight" activeCell="C1" sqref="C1"/>
      <selection pane="bottomLeft" activeCell="A5" sqref="A5"/>
      <selection pane="bottomRight" activeCell="V192" sqref="V192"/>
    </sheetView>
  </sheetViews>
  <sheetFormatPr defaultRowHeight="12.75" x14ac:dyDescent="0.2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6" width="8.42578125" style="89" customWidth="1"/>
    <col min="7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2" width="10.7109375" style="89" customWidth="1"/>
    <col min="23" max="23" width="9.85546875" style="89" customWidth="1"/>
    <col min="24" max="24" width="10.85546875" style="89" bestFit="1" customWidth="1"/>
    <col min="25" max="26" width="9.7109375" style="89" bestFit="1" customWidth="1"/>
    <col min="27" max="33" width="8" style="89" bestFit="1" customWidth="1"/>
    <col min="34" max="34" width="11.28515625" style="89" bestFit="1" customWidth="1"/>
    <col min="35" max="35" width="9.28515625" style="89" bestFit="1" customWidth="1"/>
    <col min="36" max="36" width="9" style="89" customWidth="1"/>
    <col min="37" max="37" width="10.7109375" style="89" customWidth="1"/>
    <col min="38" max="16384" width="9.140625" style="89"/>
  </cols>
  <sheetData>
    <row r="1" spans="2:37" x14ac:dyDescent="0.2">
      <c r="B1" s="106" t="s">
        <v>503</v>
      </c>
      <c r="C1" s="275">
        <f>S2</f>
        <v>0.15</v>
      </c>
      <c r="I1" s="89" t="s">
        <v>209</v>
      </c>
      <c r="K1" s="107">
        <v>2004</v>
      </c>
      <c r="M1" s="89" t="s">
        <v>271</v>
      </c>
      <c r="O1" s="137">
        <v>0.01</v>
      </c>
      <c r="Q1" s="89" t="s">
        <v>340</v>
      </c>
      <c r="S1" s="137">
        <v>0.01</v>
      </c>
    </row>
    <row r="2" spans="2:37" x14ac:dyDescent="0.2">
      <c r="B2" s="129" t="s">
        <v>261</v>
      </c>
      <c r="C2" s="103"/>
      <c r="I2" s="89" t="s">
        <v>210</v>
      </c>
      <c r="K2" s="107">
        <v>2019</v>
      </c>
      <c r="M2" s="89" t="s">
        <v>272</v>
      </c>
      <c r="O2" s="137">
        <v>0.15</v>
      </c>
      <c r="Q2" s="89" t="s">
        <v>405</v>
      </c>
      <c r="S2" s="137">
        <v>0.15</v>
      </c>
      <c r="Y2" s="98" t="s">
        <v>5</v>
      </c>
      <c r="Z2" s="98" t="s">
        <v>6</v>
      </c>
      <c r="AA2" s="98" t="s">
        <v>7</v>
      </c>
      <c r="AB2" s="98" t="s">
        <v>8</v>
      </c>
      <c r="AC2" s="98" t="s">
        <v>9</v>
      </c>
      <c r="AD2" s="98" t="s">
        <v>192</v>
      </c>
      <c r="AE2" s="98" t="s">
        <v>193</v>
      </c>
      <c r="AF2" s="98" t="s">
        <v>194</v>
      </c>
      <c r="AG2" s="98" t="s">
        <v>195</v>
      </c>
      <c r="AH2" s="98" t="s">
        <v>196</v>
      </c>
      <c r="AJ2" s="306" t="s">
        <v>240</v>
      </c>
      <c r="AK2" s="307"/>
    </row>
    <row r="3" spans="2:37" x14ac:dyDescent="0.2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7">
        <v>2019</v>
      </c>
      <c r="W3" s="99" t="s">
        <v>1</v>
      </c>
      <c r="X3" s="99" t="s">
        <v>211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98">
        <v>2028</v>
      </c>
      <c r="AH3" s="98">
        <v>2029</v>
      </c>
      <c r="AI3" s="113" t="s">
        <v>1</v>
      </c>
      <c r="AJ3" s="308" t="s">
        <v>241</v>
      </c>
      <c r="AK3" s="309"/>
    </row>
    <row r="4" spans="2:37" x14ac:dyDescent="0.2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14"/>
      <c r="AJ4" s="10"/>
      <c r="AK4" s="10"/>
    </row>
    <row r="5" spans="2:37" x14ac:dyDescent="0.2">
      <c r="B5" s="93" t="s">
        <v>199</v>
      </c>
      <c r="C5" s="10"/>
      <c r="D5" s="10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0"/>
      <c r="X5" s="1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14"/>
      <c r="AJ5" s="10"/>
      <c r="AK5" s="130"/>
    </row>
    <row r="6" spans="2:37" x14ac:dyDescent="0.2">
      <c r="B6" s="10" t="s">
        <v>10</v>
      </c>
      <c r="C6" s="118"/>
      <c r="D6" s="118"/>
      <c r="E6" s="124"/>
      <c r="F6" s="124"/>
      <c r="G6" s="124">
        <v>117</v>
      </c>
      <c r="H6" s="124">
        <v>132</v>
      </c>
      <c r="I6" s="124">
        <v>153</v>
      </c>
      <c r="J6" s="124">
        <v>177</v>
      </c>
      <c r="K6" s="124">
        <v>199</v>
      </c>
      <c r="L6" s="124">
        <v>226</v>
      </c>
      <c r="M6" s="124">
        <v>254</v>
      </c>
      <c r="N6" s="124">
        <v>290</v>
      </c>
      <c r="O6" s="124">
        <v>327</v>
      </c>
      <c r="P6" s="124">
        <v>371</v>
      </c>
      <c r="Q6" s="124">
        <v>431</v>
      </c>
      <c r="R6" s="124">
        <v>744</v>
      </c>
      <c r="S6" s="178">
        <v>851</v>
      </c>
      <c r="T6" s="178">
        <v>1049</v>
      </c>
      <c r="U6" s="178">
        <v>1460</v>
      </c>
      <c r="V6" s="178">
        <v>1755</v>
      </c>
      <c r="W6" s="101">
        <f>((V6/G6)^(1/($K$2-$K$1) ))-1</f>
        <v>0.19786005826963615</v>
      </c>
      <c r="X6" s="21">
        <f>$O$2</f>
        <v>0.15</v>
      </c>
      <c r="Y6" s="130">
        <f>U6*(1+$X6)</f>
        <v>1678.9999999999998</v>
      </c>
      <c r="Z6" s="130">
        <f>Y6*(1+$X6)</f>
        <v>1930.8499999999997</v>
      </c>
      <c r="AA6" s="130">
        <f t="shared" ref="AA6:AH6" si="0">Z6*(1+$X6)</f>
        <v>2220.4774999999995</v>
      </c>
      <c r="AB6" s="130">
        <f t="shared" si="0"/>
        <v>2553.5491249999991</v>
      </c>
      <c r="AC6" s="130">
        <f t="shared" si="0"/>
        <v>2936.5814937499986</v>
      </c>
      <c r="AD6" s="130">
        <f t="shared" si="0"/>
        <v>3377.0687178124981</v>
      </c>
      <c r="AE6" s="130">
        <f t="shared" si="0"/>
        <v>3883.6290254843725</v>
      </c>
      <c r="AF6" s="130">
        <f t="shared" si="0"/>
        <v>4466.173379307028</v>
      </c>
      <c r="AG6" s="130">
        <f t="shared" si="0"/>
        <v>5136.0993862030818</v>
      </c>
      <c r="AH6" s="130">
        <f t="shared" si="0"/>
        <v>5906.5142941335434</v>
      </c>
      <c r="AI6" s="115">
        <f>((AH6/G6)^(1/($AH$3-$K$1) ))-1</f>
        <v>0.16983824620615406</v>
      </c>
      <c r="AJ6" s="21">
        <f>$O$1</f>
        <v>0.01</v>
      </c>
      <c r="AK6" s="123" t="e">
        <f>(AH6*(1+AJ6))/($O$1-AJ6)</f>
        <v>#DIV/0!</v>
      </c>
    </row>
    <row r="7" spans="2:37" x14ac:dyDescent="0.2">
      <c r="B7" s="10" t="s">
        <v>198</v>
      </c>
      <c r="C7" s="118"/>
      <c r="D7" s="118"/>
      <c r="E7" s="124"/>
      <c r="F7" s="124"/>
      <c r="G7" s="124">
        <v>137</v>
      </c>
      <c r="H7" s="124">
        <v>152</v>
      </c>
      <c r="I7" s="124">
        <v>173</v>
      </c>
      <c r="J7" s="124">
        <v>197</v>
      </c>
      <c r="K7" s="124">
        <v>219</v>
      </c>
      <c r="L7" s="124">
        <v>246</v>
      </c>
      <c r="M7" s="124">
        <v>275</v>
      </c>
      <c r="N7" s="124">
        <v>310</v>
      </c>
      <c r="O7" s="124">
        <v>347</v>
      </c>
      <c r="P7" s="124">
        <v>392</v>
      </c>
      <c r="Q7" s="124">
        <v>452</v>
      </c>
      <c r="R7" s="124">
        <v>771</v>
      </c>
      <c r="S7" s="178">
        <v>878</v>
      </c>
      <c r="T7" s="178">
        <v>1076</v>
      </c>
      <c r="U7" s="178">
        <v>1486</v>
      </c>
      <c r="V7" s="178">
        <v>1782</v>
      </c>
      <c r="W7" s="101">
        <f>((V7/G7)^(1/($K$2-$K$1) ))-1</f>
        <v>0.1865311443566211</v>
      </c>
      <c r="X7" s="21">
        <f>$O$2</f>
        <v>0.15</v>
      </c>
      <c r="Y7" s="130">
        <f>U7*(1+$X7)</f>
        <v>1708.8999999999999</v>
      </c>
      <c r="Z7" s="130">
        <f t="shared" ref="Z7:AH7" si="1">Y7*(1+$X7)</f>
        <v>1965.2349999999997</v>
      </c>
      <c r="AA7" s="130">
        <f t="shared" si="1"/>
        <v>2260.0202499999996</v>
      </c>
      <c r="AB7" s="130">
        <f t="shared" si="1"/>
        <v>2599.0232874999992</v>
      </c>
      <c r="AC7" s="130">
        <f t="shared" si="1"/>
        <v>2988.8767806249989</v>
      </c>
      <c r="AD7" s="130">
        <f t="shared" si="1"/>
        <v>3437.2082977187483</v>
      </c>
      <c r="AE7" s="130">
        <f t="shared" si="1"/>
        <v>3952.7895423765603</v>
      </c>
      <c r="AF7" s="130">
        <f t="shared" si="1"/>
        <v>4545.7079737330441</v>
      </c>
      <c r="AG7" s="130">
        <f t="shared" si="1"/>
        <v>5227.5641697930005</v>
      </c>
      <c r="AH7" s="130">
        <f t="shared" si="1"/>
        <v>6011.6987952619502</v>
      </c>
      <c r="AI7" s="115">
        <f t="shared" ref="AI7:AI63" si="2">((AH7/G7)^(1/($AH$3-$K$1) ))-1</f>
        <v>0.16329822607059818</v>
      </c>
      <c r="AJ7" s="21">
        <f>$O$1</f>
        <v>0.01</v>
      </c>
      <c r="AK7" s="123" t="e">
        <f>(AH7*(1+AJ7))/($O$1-AJ7)</f>
        <v>#DIV/0!</v>
      </c>
    </row>
    <row r="8" spans="2:37" x14ac:dyDescent="0.2">
      <c r="B8" s="10"/>
      <c r="C8" s="118"/>
      <c r="D8" s="118"/>
      <c r="E8" s="124"/>
      <c r="F8" s="266"/>
      <c r="G8" s="266">
        <f>(G7-F7)/G7</f>
        <v>1</v>
      </c>
      <c r="H8" s="127">
        <f>(H7-G7)/H7</f>
        <v>9.8684210526315791E-2</v>
      </c>
      <c r="I8" s="127">
        <f t="shared" ref="I8:P8" si="3">(I7-H7)/I7</f>
        <v>0.12138728323699421</v>
      </c>
      <c r="J8" s="127">
        <f t="shared" si="3"/>
        <v>0.12182741116751269</v>
      </c>
      <c r="K8" s="127">
        <f t="shared" si="3"/>
        <v>0.1004566210045662</v>
      </c>
      <c r="L8" s="127">
        <f t="shared" si="3"/>
        <v>0.10975609756097561</v>
      </c>
      <c r="M8" s="127">
        <f t="shared" si="3"/>
        <v>0.10545454545454545</v>
      </c>
      <c r="N8" s="127">
        <f t="shared" si="3"/>
        <v>0.11290322580645161</v>
      </c>
      <c r="O8" s="127">
        <f t="shared" si="3"/>
        <v>0.10662824207492795</v>
      </c>
      <c r="P8" s="127">
        <f t="shared" si="3"/>
        <v>0.11479591836734694</v>
      </c>
      <c r="Q8" s="127">
        <f t="shared" ref="Q8:R8" si="4">(Q7-P7)/Q7</f>
        <v>0.13274336283185842</v>
      </c>
      <c r="R8" s="127">
        <f t="shared" si="4"/>
        <v>0.41374837872892345</v>
      </c>
      <c r="S8" s="127">
        <f t="shared" ref="S8:V8" si="5">(S7-R7)/R7</f>
        <v>0.13878080415045396</v>
      </c>
      <c r="T8" s="127">
        <f t="shared" si="5"/>
        <v>0.2255125284738041</v>
      </c>
      <c r="U8" s="127">
        <f t="shared" si="5"/>
        <v>0.38104089219330856</v>
      </c>
      <c r="V8" s="127">
        <f t="shared" si="5"/>
        <v>0.19919246298788695</v>
      </c>
      <c r="W8" s="10"/>
      <c r="X8" s="1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14"/>
      <c r="AJ8" s="114"/>
      <c r="AK8" s="123"/>
    </row>
    <row r="9" spans="2:37" x14ac:dyDescent="0.2">
      <c r="B9" s="10" t="s">
        <v>220</v>
      </c>
      <c r="C9" s="118"/>
      <c r="D9" s="118"/>
      <c r="E9" s="124"/>
      <c r="F9" s="124"/>
      <c r="G9" s="124">
        <v>12</v>
      </c>
      <c r="H9" s="124">
        <v>12</v>
      </c>
      <c r="I9" s="124">
        <v>13</v>
      </c>
      <c r="J9" s="124">
        <v>14</v>
      </c>
      <c r="K9" s="124">
        <v>24</v>
      </c>
      <c r="L9" s="124">
        <v>22</v>
      </c>
      <c r="M9" s="124">
        <v>12</v>
      </c>
      <c r="N9" s="124">
        <v>381</v>
      </c>
      <c r="O9" s="124">
        <v>346</v>
      </c>
      <c r="P9" s="124">
        <v>536</v>
      </c>
      <c r="Q9" s="124">
        <v>673</v>
      </c>
      <c r="R9" s="124">
        <v>497</v>
      </c>
      <c r="S9" s="178">
        <v>1101</v>
      </c>
      <c r="T9" s="178">
        <v>1063</v>
      </c>
      <c r="U9" s="178">
        <v>287</v>
      </c>
      <c r="V9" s="178">
        <v>276</v>
      </c>
      <c r="W9" s="101">
        <f>((V9/G9)^(1/($K$2-$K$1) ))-1</f>
        <v>0.2324856054625426</v>
      </c>
      <c r="X9" s="21">
        <f t="shared" ref="X9:X59" si="6">$O$2</f>
        <v>0.15</v>
      </c>
      <c r="Y9" s="130">
        <f t="shared" ref="Y9:Y63" si="7">U9*(1+$X9)</f>
        <v>330.04999999999995</v>
      </c>
      <c r="Z9" s="130">
        <f t="shared" ref="Z9" si="8">Y9*(1+$X9)</f>
        <v>379.55749999999989</v>
      </c>
      <c r="AA9" s="130">
        <f t="shared" ref="AA9" si="9">Z9*(1+$X9)</f>
        <v>436.49112499999984</v>
      </c>
      <c r="AB9" s="130">
        <f t="shared" ref="AB9" si="10">AA9*(1+$X9)</f>
        <v>501.96479374999979</v>
      </c>
      <c r="AC9" s="130">
        <f t="shared" ref="AC9" si="11">AB9*(1+$X9)</f>
        <v>577.25951281249968</v>
      </c>
      <c r="AD9" s="130">
        <f t="shared" ref="AD9" si="12">AC9*(1+$X9)</f>
        <v>663.84843973437455</v>
      </c>
      <c r="AE9" s="130">
        <f t="shared" ref="AE9" si="13">AD9*(1+$X9)</f>
        <v>763.42570569453062</v>
      </c>
      <c r="AF9" s="130">
        <f t="shared" ref="AF9" si="14">AE9*(1+$X9)</f>
        <v>877.93956154871012</v>
      </c>
      <c r="AG9" s="130">
        <f t="shared" ref="AG9" si="15">AF9*(1+$X9)</f>
        <v>1009.6304957810165</v>
      </c>
      <c r="AH9" s="130">
        <f t="shared" ref="AH9" si="16">AG9*(1+$X9)</f>
        <v>1161.0750701481688</v>
      </c>
      <c r="AI9" s="115">
        <f t="shared" si="2"/>
        <v>0.20067968376882628</v>
      </c>
      <c r="AJ9" s="21">
        <f t="shared" ref="AJ9:AJ103" si="17">$O$1</f>
        <v>0.01</v>
      </c>
      <c r="AK9" s="123" t="e">
        <f>(AH9*(1+AJ9))/($O$1-AJ9)</f>
        <v>#DIV/0!</v>
      </c>
    </row>
    <row r="10" spans="2:37" x14ac:dyDescent="0.2">
      <c r="B10" s="10" t="s">
        <v>3</v>
      </c>
      <c r="C10" s="118"/>
      <c r="D10" s="118"/>
      <c r="E10" s="124"/>
      <c r="F10" s="124"/>
      <c r="G10" s="124">
        <v>1030</v>
      </c>
      <c r="H10" s="124">
        <v>1213</v>
      </c>
      <c r="I10" s="124">
        <v>1603</v>
      </c>
      <c r="J10" s="124">
        <v>1752</v>
      </c>
      <c r="K10" s="124">
        <v>1695</v>
      </c>
      <c r="L10" s="124">
        <v>1649</v>
      </c>
      <c r="M10" s="124">
        <v>1865</v>
      </c>
      <c r="N10" s="124">
        <v>1538</v>
      </c>
      <c r="O10" s="124">
        <v>1982</v>
      </c>
      <c r="P10" s="124">
        <v>3072</v>
      </c>
      <c r="Q10" s="124">
        <v>4694</v>
      </c>
      <c r="R10" s="124">
        <v>6940</v>
      </c>
      <c r="S10" s="178">
        <v>8625</v>
      </c>
      <c r="T10" s="178">
        <v>11109</v>
      </c>
      <c r="U10" s="178">
        <v>13921</v>
      </c>
      <c r="V10" s="178">
        <v>16694</v>
      </c>
      <c r="W10" s="101">
        <f>((V10/G10)^(1/($K$2-$K$1) ))-1</f>
        <v>0.20406023103561011</v>
      </c>
      <c r="X10" s="21">
        <f t="shared" si="6"/>
        <v>0.15</v>
      </c>
      <c r="Y10" s="130">
        <f t="shared" si="7"/>
        <v>16009.15</v>
      </c>
      <c r="Z10" s="130">
        <f t="shared" ref="Z10:AH10" si="18">Y10*(1+$X10)</f>
        <v>18410.522499999999</v>
      </c>
      <c r="AA10" s="130">
        <f t="shared" si="18"/>
        <v>21172.100874999996</v>
      </c>
      <c r="AB10" s="130">
        <f t="shared" si="18"/>
        <v>24347.916006249994</v>
      </c>
      <c r="AC10" s="130">
        <f t="shared" si="18"/>
        <v>28000.103407187493</v>
      </c>
      <c r="AD10" s="130">
        <f t="shared" si="18"/>
        <v>32200.118918265613</v>
      </c>
      <c r="AE10" s="130">
        <f t="shared" si="18"/>
        <v>37030.13675600545</v>
      </c>
      <c r="AF10" s="130">
        <f t="shared" si="18"/>
        <v>42584.657269406263</v>
      </c>
      <c r="AG10" s="130">
        <f t="shared" si="18"/>
        <v>48972.355859817202</v>
      </c>
      <c r="AH10" s="130">
        <f t="shared" si="18"/>
        <v>56318.209238789779</v>
      </c>
      <c r="AI10" s="115">
        <f t="shared" si="2"/>
        <v>0.17357936438536203</v>
      </c>
      <c r="AJ10" s="21">
        <f t="shared" si="17"/>
        <v>0.01</v>
      </c>
      <c r="AK10" s="123" t="e">
        <f>(AH10*(1+AJ10))/($O$1-AJ10)</f>
        <v>#DIV/0!</v>
      </c>
    </row>
    <row r="11" spans="2:37" x14ac:dyDescent="0.2">
      <c r="B11" s="10"/>
      <c r="C11" s="118"/>
      <c r="D11" s="118"/>
      <c r="E11" s="124"/>
      <c r="F11" s="266"/>
      <c r="G11" s="266">
        <f>(G10-F10)/G10</f>
        <v>1</v>
      </c>
      <c r="H11" s="266">
        <f t="shared" ref="H11:P11" si="19">(H10-G10)/H10</f>
        <v>0.1508656224237428</v>
      </c>
      <c r="I11" s="266">
        <f t="shared" si="19"/>
        <v>0.24329382407985028</v>
      </c>
      <c r="J11" s="266">
        <f t="shared" si="19"/>
        <v>8.5045662100456623E-2</v>
      </c>
      <c r="K11" s="266">
        <f t="shared" si="19"/>
        <v>-3.3628318584070796E-2</v>
      </c>
      <c r="L11" s="266">
        <f t="shared" si="19"/>
        <v>-2.7895694360218316E-2</v>
      </c>
      <c r="M11" s="266">
        <f t="shared" si="19"/>
        <v>0.11581769436997319</v>
      </c>
      <c r="N11" s="266">
        <f t="shared" si="19"/>
        <v>-0.21261378413524057</v>
      </c>
      <c r="O11" s="266">
        <f t="shared" si="19"/>
        <v>0.22401614530776992</v>
      </c>
      <c r="P11" s="266">
        <f t="shared" si="19"/>
        <v>0.35481770833333331</v>
      </c>
      <c r="Q11" s="266">
        <f t="shared" ref="Q11:R11" si="20">(Q10-P10)/Q10</f>
        <v>0.34554750745632723</v>
      </c>
      <c r="R11" s="266">
        <f t="shared" si="20"/>
        <v>0.32363112391930837</v>
      </c>
      <c r="S11" s="127">
        <f t="shared" ref="S11:V11" si="21">(S10-R10)/R10</f>
        <v>0.24279538904899137</v>
      </c>
      <c r="T11" s="127">
        <f t="shared" si="21"/>
        <v>0.28799999999999998</v>
      </c>
      <c r="U11" s="127">
        <f t="shared" si="21"/>
        <v>0.25312809433792421</v>
      </c>
      <c r="V11" s="127">
        <f t="shared" si="21"/>
        <v>0.19919546009625747</v>
      </c>
      <c r="W11" s="10"/>
      <c r="X11" s="10"/>
      <c r="Y11" s="130"/>
      <c r="Z11" s="130"/>
      <c r="AA11" s="130"/>
      <c r="AB11" s="130"/>
      <c r="AC11" s="130"/>
      <c r="AD11" s="130"/>
      <c r="AE11" s="130"/>
      <c r="AF11" s="130"/>
      <c r="AG11" s="130"/>
      <c r="AH11" s="130"/>
      <c r="AI11" s="114"/>
      <c r="AJ11" s="114"/>
      <c r="AK11" s="114"/>
    </row>
    <row r="12" spans="2:37" x14ac:dyDescent="0.2">
      <c r="B12" s="10" t="s">
        <v>2</v>
      </c>
      <c r="C12" s="118"/>
      <c r="D12" s="118"/>
      <c r="E12" s="124"/>
      <c r="F12" s="124"/>
      <c r="G12" s="124">
        <v>8</v>
      </c>
      <c r="H12" s="124">
        <v>2</v>
      </c>
      <c r="I12" s="124">
        <v>1</v>
      </c>
      <c r="J12" s="124">
        <v>3</v>
      </c>
      <c r="K12" s="124">
        <v>14</v>
      </c>
      <c r="L12" s="124">
        <v>14</v>
      </c>
      <c r="M12" s="124">
        <v>32</v>
      </c>
      <c r="N12" s="124">
        <v>34</v>
      </c>
      <c r="O12" s="124">
        <v>16</v>
      </c>
      <c r="P12" s="124">
        <v>8</v>
      </c>
      <c r="Q12" s="124">
        <v>9</v>
      </c>
      <c r="R12" s="124">
        <v>8</v>
      </c>
      <c r="S12" s="178">
        <v>17</v>
      </c>
      <c r="T12" s="178">
        <v>12</v>
      </c>
      <c r="U12" s="178">
        <v>19</v>
      </c>
      <c r="V12" s="178">
        <v>420</v>
      </c>
      <c r="W12" s="101">
        <f>((V12/G12)^(1/($K$2-$K$1) ))-1</f>
        <v>0.3021987882850774</v>
      </c>
      <c r="X12" s="21">
        <f t="shared" si="6"/>
        <v>0.15</v>
      </c>
      <c r="Y12" s="130">
        <f t="shared" si="7"/>
        <v>21.849999999999998</v>
      </c>
      <c r="Z12" s="130">
        <f t="shared" ref="Z12:AH12" si="22">Y12*(1+$X12)</f>
        <v>25.127499999999994</v>
      </c>
      <c r="AA12" s="130">
        <f t="shared" si="22"/>
        <v>28.89662499999999</v>
      </c>
      <c r="AB12" s="130">
        <f t="shared" si="22"/>
        <v>33.231118749999986</v>
      </c>
      <c r="AC12" s="130">
        <f t="shared" si="22"/>
        <v>38.215786562499979</v>
      </c>
      <c r="AD12" s="130">
        <f t="shared" si="22"/>
        <v>43.948154546874974</v>
      </c>
      <c r="AE12" s="130">
        <f t="shared" si="22"/>
        <v>50.540377728906215</v>
      </c>
      <c r="AF12" s="130">
        <f t="shared" si="22"/>
        <v>58.121434388242143</v>
      </c>
      <c r="AG12" s="130">
        <f t="shared" si="22"/>
        <v>66.839649546478455</v>
      </c>
      <c r="AH12" s="130">
        <f t="shared" si="22"/>
        <v>76.865596978450213</v>
      </c>
      <c r="AI12" s="115">
        <f t="shared" si="2"/>
        <v>9.4726624874041043E-2</v>
      </c>
      <c r="AJ12" s="21">
        <f t="shared" si="17"/>
        <v>0.01</v>
      </c>
      <c r="AK12" s="123" t="e">
        <f t="shared" ref="AK12:AK74" si="23">(AH12*(1+AJ12))/($O$1-AJ12)</f>
        <v>#DIV/0!</v>
      </c>
    </row>
    <row r="13" spans="2:37" x14ac:dyDescent="0.2">
      <c r="B13" s="10" t="s">
        <v>191</v>
      </c>
      <c r="C13" s="118"/>
      <c r="D13" s="118"/>
      <c r="E13" s="124"/>
      <c r="F13" s="124"/>
      <c r="G13" s="124">
        <v>36</v>
      </c>
      <c r="H13" s="124">
        <v>33</v>
      </c>
      <c r="I13" s="124">
        <v>33</v>
      </c>
      <c r="J13" s="124">
        <v>31</v>
      </c>
      <c r="K13" s="124">
        <v>24</v>
      </c>
      <c r="L13" s="124">
        <v>19</v>
      </c>
      <c r="M13" s="124">
        <v>17</v>
      </c>
      <c r="N13" s="124">
        <v>20</v>
      </c>
      <c r="O13" s="124">
        <v>17</v>
      </c>
      <c r="P13" s="124">
        <v>16</v>
      </c>
      <c r="Q13" s="124">
        <v>14</v>
      </c>
      <c r="R13" s="124">
        <v>14</v>
      </c>
      <c r="S13" s="178">
        <v>14</v>
      </c>
      <c r="T13" s="178">
        <v>15</v>
      </c>
      <c r="U13" s="178">
        <v>16</v>
      </c>
      <c r="V13" s="178">
        <v>16</v>
      </c>
      <c r="W13" s="101">
        <f t="shared" ref="W13:W67" si="24">((V13/G13)^(1/($K$2-$K$1) ))-1</f>
        <v>-5.2626646123717258E-2</v>
      </c>
      <c r="X13" s="21">
        <f t="shared" si="6"/>
        <v>0.15</v>
      </c>
      <c r="Y13" s="130">
        <f t="shared" si="7"/>
        <v>18.399999999999999</v>
      </c>
      <c r="Z13" s="130">
        <f t="shared" ref="Z13:AH13" si="25">Y13*(1+$X13)</f>
        <v>21.159999999999997</v>
      </c>
      <c r="AA13" s="130">
        <f t="shared" si="25"/>
        <v>24.333999999999993</v>
      </c>
      <c r="AB13" s="130">
        <f t="shared" si="25"/>
        <v>27.984099999999991</v>
      </c>
      <c r="AC13" s="130">
        <f t="shared" si="25"/>
        <v>32.18171499999999</v>
      </c>
      <c r="AD13" s="130">
        <f t="shared" si="25"/>
        <v>37.008972249999985</v>
      </c>
      <c r="AE13" s="130">
        <f t="shared" si="25"/>
        <v>42.560318087499979</v>
      </c>
      <c r="AF13" s="130">
        <f t="shared" si="25"/>
        <v>48.944365800624972</v>
      </c>
      <c r="AG13" s="130">
        <f t="shared" si="25"/>
        <v>56.286020670718713</v>
      </c>
      <c r="AH13" s="130">
        <f t="shared" si="25"/>
        <v>64.728923771326521</v>
      </c>
      <c r="AI13" s="115">
        <f t="shared" si="2"/>
        <v>2.3745098415763666E-2</v>
      </c>
      <c r="AJ13" s="21">
        <f t="shared" si="17"/>
        <v>0.01</v>
      </c>
      <c r="AK13" s="123" t="e">
        <f t="shared" si="23"/>
        <v>#DIV/0!</v>
      </c>
    </row>
    <row r="14" spans="2:37" x14ac:dyDescent="0.2">
      <c r="B14" s="10" t="s">
        <v>315</v>
      </c>
      <c r="C14" s="118"/>
      <c r="D14" s="118"/>
      <c r="E14" s="124"/>
      <c r="F14" s="124"/>
      <c r="G14" s="124">
        <v>0</v>
      </c>
      <c r="H14" s="124">
        <v>0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78">
        <v>0</v>
      </c>
      <c r="T14" s="178">
        <v>0</v>
      </c>
      <c r="U14" s="178">
        <v>0</v>
      </c>
      <c r="V14" s="178">
        <v>0</v>
      </c>
      <c r="W14" s="101" t="e">
        <f t="shared" si="24"/>
        <v>#DIV/0!</v>
      </c>
      <c r="X14" s="21">
        <f t="shared" si="6"/>
        <v>0.15</v>
      </c>
      <c r="Y14" s="130">
        <f t="shared" si="7"/>
        <v>0</v>
      </c>
      <c r="Z14" s="130">
        <f t="shared" ref="Z14" si="26">Y14*(1+$X14)</f>
        <v>0</v>
      </c>
      <c r="AA14" s="130">
        <f t="shared" ref="AA14" si="27">Z14*(1+$X14)</f>
        <v>0</v>
      </c>
      <c r="AB14" s="130">
        <f t="shared" ref="AB14" si="28">AA14*(1+$X14)</f>
        <v>0</v>
      </c>
      <c r="AC14" s="130">
        <f t="shared" ref="AC14" si="29">AB14*(1+$X14)</f>
        <v>0</v>
      </c>
      <c r="AD14" s="130">
        <f t="shared" ref="AD14" si="30">AC14*(1+$X14)</f>
        <v>0</v>
      </c>
      <c r="AE14" s="130">
        <f t="shared" ref="AE14" si="31">AD14*(1+$X14)</f>
        <v>0</v>
      </c>
      <c r="AF14" s="130">
        <f t="shared" ref="AF14" si="32">AE14*(1+$X14)</f>
        <v>0</v>
      </c>
      <c r="AG14" s="130">
        <f t="shared" ref="AG14" si="33">AF14*(1+$X14)</f>
        <v>0</v>
      </c>
      <c r="AH14" s="130">
        <f t="shared" ref="AH14" si="34">AG14*(1+$X14)</f>
        <v>0</v>
      </c>
      <c r="AI14" s="115" t="e">
        <f t="shared" si="2"/>
        <v>#DIV/0!</v>
      </c>
      <c r="AJ14" s="21">
        <f t="shared" si="17"/>
        <v>0.01</v>
      </c>
      <c r="AK14" s="123" t="e">
        <f t="shared" si="23"/>
        <v>#DIV/0!</v>
      </c>
    </row>
    <row r="15" spans="2:37" x14ac:dyDescent="0.2">
      <c r="B15" s="10" t="s">
        <v>11</v>
      </c>
      <c r="C15" s="118"/>
      <c r="D15" s="118"/>
      <c r="E15" s="124"/>
      <c r="F15" s="124"/>
      <c r="G15" s="124">
        <v>8</v>
      </c>
      <c r="H15" s="124">
        <v>2</v>
      </c>
      <c r="I15" s="124">
        <v>1</v>
      </c>
      <c r="J15" s="124">
        <v>3</v>
      </c>
      <c r="K15" s="124">
        <v>14</v>
      </c>
      <c r="L15" s="124">
        <v>14</v>
      </c>
      <c r="M15" s="124">
        <v>32</v>
      </c>
      <c r="N15" s="124">
        <v>34</v>
      </c>
      <c r="O15" s="124">
        <v>16</v>
      </c>
      <c r="P15" s="124">
        <v>8</v>
      </c>
      <c r="Q15" s="124">
        <v>9</v>
      </c>
      <c r="R15" s="124">
        <v>8</v>
      </c>
      <c r="S15" s="178">
        <v>17</v>
      </c>
      <c r="T15" s="178">
        <v>12</v>
      </c>
      <c r="U15" s="178">
        <v>19</v>
      </c>
      <c r="V15" s="178">
        <v>420</v>
      </c>
      <c r="W15" s="101">
        <f t="shared" si="24"/>
        <v>0.3021987882850774</v>
      </c>
      <c r="X15" s="21">
        <f t="shared" si="6"/>
        <v>0.15</v>
      </c>
      <c r="Y15" s="130">
        <f t="shared" si="7"/>
        <v>21.849999999999998</v>
      </c>
      <c r="Z15" s="130">
        <f t="shared" ref="Z15:AH15" si="35">Y15*(1+$X15)</f>
        <v>25.127499999999994</v>
      </c>
      <c r="AA15" s="130">
        <f t="shared" si="35"/>
        <v>28.89662499999999</v>
      </c>
      <c r="AB15" s="130">
        <f t="shared" si="35"/>
        <v>33.231118749999986</v>
      </c>
      <c r="AC15" s="130">
        <f t="shared" si="35"/>
        <v>38.215786562499979</v>
      </c>
      <c r="AD15" s="130">
        <f t="shared" si="35"/>
        <v>43.948154546874974</v>
      </c>
      <c r="AE15" s="130">
        <f t="shared" si="35"/>
        <v>50.540377728906215</v>
      </c>
      <c r="AF15" s="130">
        <f t="shared" si="35"/>
        <v>58.121434388242143</v>
      </c>
      <c r="AG15" s="130">
        <f t="shared" si="35"/>
        <v>66.839649546478455</v>
      </c>
      <c r="AH15" s="130">
        <f t="shared" si="35"/>
        <v>76.865596978450213</v>
      </c>
      <c r="AI15" s="115">
        <f t="shared" si="2"/>
        <v>9.4726624874041043E-2</v>
      </c>
      <c r="AJ15" s="21">
        <f t="shared" si="17"/>
        <v>0.01</v>
      </c>
      <c r="AK15" s="123" t="e">
        <f t="shared" si="23"/>
        <v>#DIV/0!</v>
      </c>
    </row>
    <row r="16" spans="2:37" x14ac:dyDescent="0.2">
      <c r="B16" s="10" t="s">
        <v>12</v>
      </c>
      <c r="C16" s="118"/>
      <c r="D16" s="118"/>
      <c r="E16" s="124"/>
      <c r="F16" s="124"/>
      <c r="G16" s="124">
        <v>1127</v>
      </c>
      <c r="H16" s="124">
        <v>1329</v>
      </c>
      <c r="I16" s="124">
        <v>1740</v>
      </c>
      <c r="J16" s="124">
        <v>1915</v>
      </c>
      <c r="K16" s="124">
        <v>1887</v>
      </c>
      <c r="L16" s="124">
        <v>1874</v>
      </c>
      <c r="M16" s="124">
        <v>2119</v>
      </c>
      <c r="N16" s="124">
        <v>1826</v>
      </c>
      <c r="O16" s="124">
        <v>2309</v>
      </c>
      <c r="P16" s="124">
        <v>3442</v>
      </c>
      <c r="Q16" s="124">
        <v>5124</v>
      </c>
      <c r="R16" s="124">
        <v>7688</v>
      </c>
      <c r="S16" s="178">
        <v>9479</v>
      </c>
      <c r="T16" s="178">
        <v>12160</v>
      </c>
      <c r="U16" s="178">
        <v>15382</v>
      </c>
      <c r="V16" s="178">
        <v>18450</v>
      </c>
      <c r="W16" s="101">
        <f t="shared" si="24"/>
        <v>0.20486437534655688</v>
      </c>
      <c r="X16" s="21">
        <f t="shared" si="6"/>
        <v>0.15</v>
      </c>
      <c r="Y16" s="130">
        <f t="shared" si="7"/>
        <v>17689.3</v>
      </c>
      <c r="Z16" s="130">
        <f t="shared" ref="Z16:AH16" si="36">Y16*(1+$X16)</f>
        <v>20342.694999999996</v>
      </c>
      <c r="AA16" s="130">
        <f t="shared" si="36"/>
        <v>23394.099249999992</v>
      </c>
      <c r="AB16" s="130">
        <f t="shared" si="36"/>
        <v>26903.214137499988</v>
      </c>
      <c r="AC16" s="130">
        <f t="shared" si="36"/>
        <v>30938.696258124983</v>
      </c>
      <c r="AD16" s="130">
        <f t="shared" si="36"/>
        <v>35579.50069684373</v>
      </c>
      <c r="AE16" s="130">
        <f t="shared" si="36"/>
        <v>40916.425801370286</v>
      </c>
      <c r="AF16" s="130">
        <f t="shared" si="36"/>
        <v>47053.889671575824</v>
      </c>
      <c r="AG16" s="130">
        <f t="shared" si="36"/>
        <v>54111.973122312193</v>
      </c>
      <c r="AH16" s="130">
        <f t="shared" si="36"/>
        <v>62228.769090659014</v>
      </c>
      <c r="AI16" s="115">
        <f t="shared" si="2"/>
        <v>0.17403945402152954</v>
      </c>
      <c r="AJ16" s="21">
        <f t="shared" si="17"/>
        <v>0.01</v>
      </c>
      <c r="AK16" s="123" t="e">
        <f t="shared" si="23"/>
        <v>#DIV/0!</v>
      </c>
    </row>
    <row r="17" spans="2:37" x14ac:dyDescent="0.2">
      <c r="B17" s="10"/>
      <c r="C17" s="118"/>
      <c r="D17" s="118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78"/>
      <c r="T17" s="178"/>
      <c r="U17" s="178"/>
      <c r="V17" s="178"/>
      <c r="W17" s="10"/>
      <c r="X17" s="1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14"/>
      <c r="AJ17" s="114"/>
      <c r="AK17" s="114"/>
    </row>
    <row r="18" spans="2:37" x14ac:dyDescent="0.2">
      <c r="B18" s="10" t="s">
        <v>228</v>
      </c>
      <c r="C18" s="118"/>
      <c r="D18" s="118"/>
      <c r="E18" s="124"/>
      <c r="F18" s="124"/>
      <c r="G18" s="124">
        <v>3</v>
      </c>
      <c r="H18" s="124">
        <v>3</v>
      </c>
      <c r="I18" s="124">
        <v>3</v>
      </c>
      <c r="J18" s="124">
        <v>3</v>
      </c>
      <c r="K18" s="124">
        <v>3</v>
      </c>
      <c r="L18" s="124">
        <v>2</v>
      </c>
      <c r="M18" s="124">
        <v>2</v>
      </c>
      <c r="N18" s="124">
        <v>2</v>
      </c>
      <c r="O18" s="124">
        <v>3</v>
      </c>
      <c r="P18" s="124">
        <v>6</v>
      </c>
      <c r="Q18" s="124">
        <v>7</v>
      </c>
      <c r="R18" s="124">
        <v>9</v>
      </c>
      <c r="S18" s="178">
        <v>8</v>
      </c>
      <c r="T18" s="178">
        <v>10</v>
      </c>
      <c r="U18" s="178">
        <v>9</v>
      </c>
      <c r="V18" s="178">
        <v>9</v>
      </c>
      <c r="W18" s="101">
        <f t="shared" si="24"/>
        <v>7.5989624725345761E-2</v>
      </c>
      <c r="X18" s="21">
        <f t="shared" si="6"/>
        <v>0.15</v>
      </c>
      <c r="Y18" s="130">
        <f t="shared" si="7"/>
        <v>10.35</v>
      </c>
      <c r="Z18" s="130">
        <f t="shared" ref="Z18:Z34" si="37">Y18*(1+$X18)</f>
        <v>11.902499999999998</v>
      </c>
      <c r="AA18" s="130">
        <f t="shared" ref="AA18:AA34" si="38">Z18*(1+$X18)</f>
        <v>13.687874999999996</v>
      </c>
      <c r="AB18" s="130">
        <f t="shared" ref="AB18:AB34" si="39">AA18*(1+$X18)</f>
        <v>15.741056249999994</v>
      </c>
      <c r="AC18" s="130">
        <f t="shared" ref="AC18:AC53" si="40">AB18*(1+$X18)</f>
        <v>18.102214687499991</v>
      </c>
      <c r="AD18" s="130">
        <f t="shared" ref="AD18:AD53" si="41">AC18*(1+$X18)</f>
        <v>20.817546890624989</v>
      </c>
      <c r="AE18" s="130">
        <f t="shared" ref="AE18:AE53" si="42">AD18*(1+$X18)</f>
        <v>23.940178924218735</v>
      </c>
      <c r="AF18" s="130">
        <f t="shared" ref="AF18:AF53" si="43">AE18*(1+$X18)</f>
        <v>27.531205762851542</v>
      </c>
      <c r="AG18" s="130">
        <f t="shared" ref="AG18:AG53" si="44">AF18*(1+$X18)</f>
        <v>31.660886627279272</v>
      </c>
      <c r="AH18" s="130">
        <f t="shared" ref="AH18:AH53" si="45">AG18*(1+$X18)</f>
        <v>36.410019621371163</v>
      </c>
      <c r="AI18" s="115">
        <f t="shared" si="2"/>
        <v>0.10500434655596291</v>
      </c>
      <c r="AJ18" s="21">
        <f t="shared" si="17"/>
        <v>0.01</v>
      </c>
      <c r="AK18" s="123" t="e">
        <f t="shared" si="23"/>
        <v>#DIV/0!</v>
      </c>
    </row>
    <row r="19" spans="2:37" x14ac:dyDescent="0.2">
      <c r="B19" s="10"/>
      <c r="C19" s="118"/>
      <c r="D19" s="118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  <c r="R19" s="124"/>
      <c r="S19" s="178"/>
      <c r="T19" s="178"/>
      <c r="U19" s="178"/>
      <c r="V19" s="178"/>
      <c r="W19" s="10"/>
      <c r="X19" s="10"/>
      <c r="Y19" s="130"/>
      <c r="Z19" s="130"/>
      <c r="AA19" s="130"/>
      <c r="AB19" s="130"/>
      <c r="AC19" s="130"/>
      <c r="AD19" s="130"/>
      <c r="AE19" s="130"/>
      <c r="AF19" s="130"/>
      <c r="AG19" s="130"/>
      <c r="AH19" s="130"/>
      <c r="AI19" s="114"/>
      <c r="AJ19" s="114"/>
      <c r="AK19" s="114"/>
    </row>
    <row r="20" spans="2:37" x14ac:dyDescent="0.2">
      <c r="B20" s="10" t="s">
        <v>233</v>
      </c>
      <c r="C20" s="118"/>
      <c r="D20" s="118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78"/>
      <c r="T20" s="178"/>
      <c r="U20" s="178"/>
      <c r="V20" s="178"/>
      <c r="W20" s="101" t="e">
        <f t="shared" si="24"/>
        <v>#DIV/0!</v>
      </c>
      <c r="X20" s="21">
        <f t="shared" si="6"/>
        <v>0.15</v>
      </c>
      <c r="Y20" s="130">
        <f t="shared" si="7"/>
        <v>0</v>
      </c>
      <c r="Z20" s="130">
        <f t="shared" ref="Z20:Z22" si="46">Y20*(1+$X20)</f>
        <v>0</v>
      </c>
      <c r="AA20" s="130">
        <f t="shared" ref="AA20:AA22" si="47">Z20*(1+$X20)</f>
        <v>0</v>
      </c>
      <c r="AB20" s="130">
        <f t="shared" ref="AB20:AB22" si="48">AA20*(1+$X20)</f>
        <v>0</v>
      </c>
      <c r="AC20" s="130">
        <f t="shared" ref="AC20:AC22" si="49">AB20*(1+$X20)</f>
        <v>0</v>
      </c>
      <c r="AD20" s="130">
        <f t="shared" ref="AD20:AD22" si="50">AC20*(1+$X20)</f>
        <v>0</v>
      </c>
      <c r="AE20" s="130">
        <f t="shared" ref="AE20:AE22" si="51">AD20*(1+$X20)</f>
        <v>0</v>
      </c>
      <c r="AF20" s="130">
        <f t="shared" ref="AF20:AF22" si="52">AE20*(1+$X20)</f>
        <v>0</v>
      </c>
      <c r="AG20" s="130">
        <f t="shared" ref="AG20:AG22" si="53">AF20*(1+$X20)</f>
        <v>0</v>
      </c>
      <c r="AH20" s="130">
        <f t="shared" ref="AH20:AH22" si="54">AG20*(1+$X20)</f>
        <v>0</v>
      </c>
      <c r="AI20" s="115" t="e">
        <f t="shared" si="2"/>
        <v>#DIV/0!</v>
      </c>
      <c r="AJ20" s="21">
        <f t="shared" si="17"/>
        <v>0.01</v>
      </c>
      <c r="AK20" s="123" t="e">
        <f t="shared" si="23"/>
        <v>#DIV/0!</v>
      </c>
    </row>
    <row r="21" spans="2:37" x14ac:dyDescent="0.2">
      <c r="B21" s="10" t="s">
        <v>234</v>
      </c>
      <c r="C21" s="118"/>
      <c r="D21" s="118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78"/>
      <c r="T21" s="178"/>
      <c r="U21" s="178"/>
      <c r="V21" s="178"/>
      <c r="W21" s="101" t="e">
        <f t="shared" si="24"/>
        <v>#DIV/0!</v>
      </c>
      <c r="X21" s="21">
        <f t="shared" si="6"/>
        <v>0.15</v>
      </c>
      <c r="Y21" s="130">
        <f t="shared" si="7"/>
        <v>0</v>
      </c>
      <c r="Z21" s="130">
        <f t="shared" si="46"/>
        <v>0</v>
      </c>
      <c r="AA21" s="130">
        <f t="shared" si="47"/>
        <v>0</v>
      </c>
      <c r="AB21" s="130">
        <f t="shared" si="48"/>
        <v>0</v>
      </c>
      <c r="AC21" s="130">
        <f t="shared" si="49"/>
        <v>0</v>
      </c>
      <c r="AD21" s="130">
        <f t="shared" si="50"/>
        <v>0</v>
      </c>
      <c r="AE21" s="130">
        <f t="shared" si="51"/>
        <v>0</v>
      </c>
      <c r="AF21" s="130">
        <f t="shared" si="52"/>
        <v>0</v>
      </c>
      <c r="AG21" s="130">
        <f t="shared" si="53"/>
        <v>0</v>
      </c>
      <c r="AH21" s="130">
        <f t="shared" si="54"/>
        <v>0</v>
      </c>
      <c r="AI21" s="115" t="e">
        <f t="shared" si="2"/>
        <v>#DIV/0!</v>
      </c>
      <c r="AJ21" s="21">
        <f t="shared" si="17"/>
        <v>0.01</v>
      </c>
      <c r="AK21" s="123" t="e">
        <f t="shared" si="23"/>
        <v>#DIV/0!</v>
      </c>
    </row>
    <row r="22" spans="2:37" x14ac:dyDescent="0.2">
      <c r="B22" s="10" t="s">
        <v>235</v>
      </c>
      <c r="C22" s="118"/>
      <c r="D22" s="118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4"/>
      <c r="R22" s="124"/>
      <c r="S22" s="178"/>
      <c r="T22" s="178"/>
      <c r="U22" s="178"/>
      <c r="V22" s="178"/>
      <c r="W22" s="101" t="e">
        <f t="shared" si="24"/>
        <v>#DIV/0!</v>
      </c>
      <c r="X22" s="21">
        <f t="shared" si="6"/>
        <v>0.15</v>
      </c>
      <c r="Y22" s="130">
        <f t="shared" si="7"/>
        <v>0</v>
      </c>
      <c r="Z22" s="130">
        <f t="shared" si="46"/>
        <v>0</v>
      </c>
      <c r="AA22" s="130">
        <f t="shared" si="47"/>
        <v>0</v>
      </c>
      <c r="AB22" s="130">
        <f t="shared" si="48"/>
        <v>0</v>
      </c>
      <c r="AC22" s="130">
        <f t="shared" si="49"/>
        <v>0</v>
      </c>
      <c r="AD22" s="130">
        <f t="shared" si="50"/>
        <v>0</v>
      </c>
      <c r="AE22" s="130">
        <f t="shared" si="51"/>
        <v>0</v>
      </c>
      <c r="AF22" s="130">
        <f t="shared" si="52"/>
        <v>0</v>
      </c>
      <c r="AG22" s="130">
        <f t="shared" si="53"/>
        <v>0</v>
      </c>
      <c r="AH22" s="130">
        <f t="shared" si="54"/>
        <v>0</v>
      </c>
      <c r="AI22" s="115" t="e">
        <f t="shared" si="2"/>
        <v>#DIV/0!</v>
      </c>
      <c r="AJ22" s="21">
        <f t="shared" si="17"/>
        <v>0.01</v>
      </c>
      <c r="AK22" s="123" t="e">
        <f t="shared" si="23"/>
        <v>#DIV/0!</v>
      </c>
    </row>
    <row r="23" spans="2:37" x14ac:dyDescent="0.2">
      <c r="B23" s="10" t="s">
        <v>244</v>
      </c>
      <c r="C23" s="118"/>
      <c r="D23" s="118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4"/>
      <c r="R23" s="124"/>
      <c r="S23" s="178"/>
      <c r="T23" s="178"/>
      <c r="U23" s="178"/>
      <c r="V23" s="178"/>
      <c r="W23" s="101" t="e">
        <f t="shared" si="24"/>
        <v>#DIV/0!</v>
      </c>
      <c r="X23" s="21">
        <f t="shared" si="6"/>
        <v>0.15</v>
      </c>
      <c r="Y23" s="130">
        <f t="shared" si="7"/>
        <v>0</v>
      </c>
      <c r="Z23" s="130">
        <f t="shared" ref="Z23" si="55">Y23*(1+$X23)</f>
        <v>0</v>
      </c>
      <c r="AA23" s="130">
        <f t="shared" ref="AA23" si="56">Z23*(1+$X23)</f>
        <v>0</v>
      </c>
      <c r="AB23" s="130">
        <f t="shared" ref="AB23" si="57">AA23*(1+$X23)</f>
        <v>0</v>
      </c>
      <c r="AC23" s="130">
        <f t="shared" ref="AC23" si="58">AB23*(1+$X23)</f>
        <v>0</v>
      </c>
      <c r="AD23" s="130">
        <f t="shared" ref="AD23" si="59">AC23*(1+$X23)</f>
        <v>0</v>
      </c>
      <c r="AE23" s="130">
        <f t="shared" ref="AE23" si="60">AD23*(1+$X23)</f>
        <v>0</v>
      </c>
      <c r="AF23" s="130">
        <f t="shared" ref="AF23" si="61">AE23*(1+$X23)</f>
        <v>0</v>
      </c>
      <c r="AG23" s="130">
        <f t="shared" ref="AG23" si="62">AF23*(1+$X23)</f>
        <v>0</v>
      </c>
      <c r="AH23" s="130">
        <f t="shared" ref="AH23" si="63">AG23*(1+$X23)</f>
        <v>0</v>
      </c>
      <c r="AI23" s="115" t="e">
        <f t="shared" si="2"/>
        <v>#DIV/0!</v>
      </c>
      <c r="AJ23" s="21">
        <f t="shared" si="17"/>
        <v>0.01</v>
      </c>
      <c r="AK23" s="123" t="e">
        <f t="shared" si="23"/>
        <v>#DIV/0!</v>
      </c>
    </row>
    <row r="24" spans="2:37" x14ac:dyDescent="0.2">
      <c r="B24" s="10"/>
      <c r="C24" s="118"/>
      <c r="D24" s="118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78"/>
      <c r="T24" s="178"/>
      <c r="U24" s="178"/>
      <c r="V24" s="178"/>
      <c r="W24" s="10"/>
      <c r="X24" s="1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14"/>
      <c r="AJ24" s="114"/>
      <c r="AK24" s="114"/>
    </row>
    <row r="25" spans="2:37" x14ac:dyDescent="0.2">
      <c r="B25" s="10" t="s">
        <v>68</v>
      </c>
      <c r="C25" s="118"/>
      <c r="D25" s="118"/>
      <c r="E25" s="124"/>
      <c r="F25" s="124"/>
      <c r="G25" s="124">
        <v>128</v>
      </c>
      <c r="H25" s="124">
        <v>127</v>
      </c>
      <c r="I25" s="124">
        <v>148</v>
      </c>
      <c r="J25" s="124">
        <v>190</v>
      </c>
      <c r="K25" s="124">
        <v>221</v>
      </c>
      <c r="L25" s="124">
        <v>223</v>
      </c>
      <c r="M25" s="124">
        <v>216</v>
      </c>
      <c r="N25" s="124">
        <v>229</v>
      </c>
      <c r="O25" s="124">
        <v>279</v>
      </c>
      <c r="P25" s="124">
        <v>392</v>
      </c>
      <c r="Q25" s="124">
        <v>578</v>
      </c>
      <c r="R25" s="124">
        <v>817</v>
      </c>
      <c r="S25" s="178">
        <v>1083</v>
      </c>
      <c r="T25" s="178">
        <v>1353</v>
      </c>
      <c r="U25" s="178">
        <v>1521</v>
      </c>
      <c r="V25" s="178">
        <v>1731</v>
      </c>
      <c r="W25" s="101">
        <f t="shared" si="24"/>
        <v>0.18961328781100151</v>
      </c>
      <c r="X25" s="21">
        <f t="shared" si="6"/>
        <v>0.15</v>
      </c>
      <c r="Y25" s="130">
        <f t="shared" si="7"/>
        <v>1749.1499999999999</v>
      </c>
      <c r="Z25" s="130">
        <f t="shared" si="37"/>
        <v>2011.5224999999996</v>
      </c>
      <c r="AA25" s="130">
        <f t="shared" si="38"/>
        <v>2313.2508749999993</v>
      </c>
      <c r="AB25" s="130">
        <f t="shared" si="39"/>
        <v>2660.2385062499989</v>
      </c>
      <c r="AC25" s="130">
        <f t="shared" si="40"/>
        <v>3059.2742821874986</v>
      </c>
      <c r="AD25" s="130">
        <f t="shared" si="41"/>
        <v>3518.1654245156233</v>
      </c>
      <c r="AE25" s="130">
        <f t="shared" si="42"/>
        <v>4045.8902381929665</v>
      </c>
      <c r="AF25" s="130">
        <f t="shared" si="43"/>
        <v>4652.773773921911</v>
      </c>
      <c r="AG25" s="130">
        <f t="shared" si="44"/>
        <v>5350.6898400101973</v>
      </c>
      <c r="AH25" s="130">
        <f t="shared" si="45"/>
        <v>6153.2933160117263</v>
      </c>
      <c r="AI25" s="115">
        <f t="shared" si="2"/>
        <v>0.16755112305206099</v>
      </c>
      <c r="AJ25" s="21">
        <f t="shared" si="17"/>
        <v>0.01</v>
      </c>
      <c r="AK25" s="123" t="e">
        <f t="shared" si="23"/>
        <v>#DIV/0!</v>
      </c>
    </row>
    <row r="26" spans="2:37" s="106" customFormat="1" x14ac:dyDescent="0.2">
      <c r="B26" s="13"/>
      <c r="C26" s="125"/>
      <c r="D26" s="125"/>
      <c r="E26" s="126"/>
      <c r="F26" s="266"/>
      <c r="G26" s="266">
        <f>(G25-F25)/G25</f>
        <v>1</v>
      </c>
      <c r="H26" s="266">
        <f>(H25-G25)/H25</f>
        <v>-7.874015748031496E-3</v>
      </c>
      <c r="I26" s="266">
        <f t="shared" ref="I26:P26" si="64">(I25-H25)/I25</f>
        <v>0.14189189189189189</v>
      </c>
      <c r="J26" s="266">
        <f t="shared" si="64"/>
        <v>0.22105263157894736</v>
      </c>
      <c r="K26" s="266">
        <f t="shared" si="64"/>
        <v>0.14027149321266968</v>
      </c>
      <c r="L26" s="266">
        <f t="shared" si="64"/>
        <v>8.9686098654708519E-3</v>
      </c>
      <c r="M26" s="266">
        <f t="shared" si="64"/>
        <v>-3.2407407407407406E-2</v>
      </c>
      <c r="N26" s="266">
        <f t="shared" si="64"/>
        <v>5.6768558951965066E-2</v>
      </c>
      <c r="O26" s="266">
        <f t="shared" si="64"/>
        <v>0.17921146953405018</v>
      </c>
      <c r="P26" s="266">
        <f t="shared" si="64"/>
        <v>0.28826530612244899</v>
      </c>
      <c r="Q26" s="266">
        <f t="shared" ref="Q26:R26" si="65">(Q25-P25)/Q25</f>
        <v>0.3217993079584775</v>
      </c>
      <c r="R26" s="266">
        <f t="shared" si="65"/>
        <v>0.29253365973072215</v>
      </c>
      <c r="S26" s="127">
        <f t="shared" ref="S26:V26" si="66">(S25-R25)/R25</f>
        <v>0.32558139534883723</v>
      </c>
      <c r="T26" s="127">
        <f t="shared" si="66"/>
        <v>0.24930747922437674</v>
      </c>
      <c r="U26" s="127">
        <f t="shared" si="66"/>
        <v>0.12416851441241686</v>
      </c>
      <c r="V26" s="127">
        <f t="shared" si="66"/>
        <v>0.13806706114398423</v>
      </c>
      <c r="W26" s="10"/>
      <c r="X26" s="10"/>
      <c r="Y26" s="130"/>
      <c r="Z26" s="131"/>
      <c r="AA26" s="131"/>
      <c r="AB26" s="131"/>
      <c r="AC26" s="131"/>
      <c r="AD26" s="131"/>
      <c r="AE26" s="131"/>
      <c r="AF26" s="131"/>
      <c r="AG26" s="131"/>
      <c r="AH26" s="131"/>
      <c r="AI26" s="114"/>
      <c r="AJ26" s="114"/>
      <c r="AK26" s="114"/>
    </row>
    <row r="27" spans="2:37" x14ac:dyDescent="0.2">
      <c r="B27" s="10" t="s">
        <v>218</v>
      </c>
      <c r="C27" s="118"/>
      <c r="D27" s="118"/>
      <c r="E27" s="124"/>
      <c r="F27" s="124"/>
      <c r="G27" s="124">
        <v>17</v>
      </c>
      <c r="H27" s="124">
        <v>15</v>
      </c>
      <c r="I27" s="124">
        <v>15</v>
      </c>
      <c r="J27" s="124">
        <v>17</v>
      </c>
      <c r="K27" s="124">
        <v>12</v>
      </c>
      <c r="L27" s="124">
        <v>12</v>
      </c>
      <c r="M27" s="124">
        <v>17</v>
      </c>
      <c r="N27" s="124">
        <v>17</v>
      </c>
      <c r="O27" s="124">
        <v>22</v>
      </c>
      <c r="P27" s="124">
        <v>33</v>
      </c>
      <c r="Q27" s="124">
        <v>46</v>
      </c>
      <c r="R27" s="124">
        <v>65</v>
      </c>
      <c r="S27" s="178">
        <v>82</v>
      </c>
      <c r="T27" s="178">
        <v>96</v>
      </c>
      <c r="U27" s="178">
        <v>107</v>
      </c>
      <c r="V27" s="178">
        <v>89</v>
      </c>
      <c r="W27" s="101">
        <f t="shared" si="24"/>
        <v>0.11668171706317598</v>
      </c>
      <c r="X27" s="21">
        <f t="shared" si="6"/>
        <v>0.15</v>
      </c>
      <c r="Y27" s="130">
        <f t="shared" si="7"/>
        <v>123.05</v>
      </c>
      <c r="Z27" s="130">
        <f t="shared" si="37"/>
        <v>141.50749999999999</v>
      </c>
      <c r="AA27" s="130">
        <f t="shared" si="38"/>
        <v>162.73362499999999</v>
      </c>
      <c r="AB27" s="130">
        <f t="shared" si="39"/>
        <v>187.14366874999996</v>
      </c>
      <c r="AC27" s="130">
        <f t="shared" si="40"/>
        <v>215.21521906249993</v>
      </c>
      <c r="AD27" s="130">
        <f t="shared" si="41"/>
        <v>247.49750192187489</v>
      </c>
      <c r="AE27" s="130">
        <f t="shared" si="42"/>
        <v>284.62212721015612</v>
      </c>
      <c r="AF27" s="130">
        <f t="shared" si="43"/>
        <v>327.31544629167951</v>
      </c>
      <c r="AG27" s="130">
        <f t="shared" si="44"/>
        <v>376.41276323543138</v>
      </c>
      <c r="AH27" s="130">
        <f t="shared" si="45"/>
        <v>432.87467772074604</v>
      </c>
      <c r="AI27" s="115">
        <f t="shared" si="2"/>
        <v>0.13824704207174143</v>
      </c>
      <c r="AJ27" s="21">
        <f t="shared" si="17"/>
        <v>0.01</v>
      </c>
      <c r="AK27" s="123" t="e">
        <f t="shared" si="23"/>
        <v>#DIV/0!</v>
      </c>
    </row>
    <row r="28" spans="2:37" s="106" customFormat="1" x14ac:dyDescent="0.2">
      <c r="B28" s="13"/>
      <c r="C28" s="125"/>
      <c r="D28" s="125"/>
      <c r="E28" s="126"/>
      <c r="F28" s="266"/>
      <c r="G28" s="266">
        <f t="shared" ref="G28:P28" si="67">(G27-F27)/G27</f>
        <v>1</v>
      </c>
      <c r="H28" s="266">
        <f t="shared" si="67"/>
        <v>-0.13333333333333333</v>
      </c>
      <c r="I28" s="266">
        <f t="shared" si="67"/>
        <v>0</v>
      </c>
      <c r="J28" s="266">
        <f t="shared" si="67"/>
        <v>0.11764705882352941</v>
      </c>
      <c r="K28" s="266">
        <f t="shared" si="67"/>
        <v>-0.41666666666666669</v>
      </c>
      <c r="L28" s="266">
        <f t="shared" si="67"/>
        <v>0</v>
      </c>
      <c r="M28" s="266">
        <f t="shared" si="67"/>
        <v>0.29411764705882354</v>
      </c>
      <c r="N28" s="266">
        <f t="shared" si="67"/>
        <v>0</v>
      </c>
      <c r="O28" s="266">
        <f t="shared" si="67"/>
        <v>0.22727272727272727</v>
      </c>
      <c r="P28" s="266">
        <f t="shared" si="67"/>
        <v>0.33333333333333331</v>
      </c>
      <c r="Q28" s="266">
        <f t="shared" ref="Q28:R28" si="68">(Q27-P27)/Q27</f>
        <v>0.28260869565217389</v>
      </c>
      <c r="R28" s="266">
        <f t="shared" si="68"/>
        <v>0.29230769230769232</v>
      </c>
      <c r="S28" s="127">
        <f t="shared" ref="S28:V28" si="69">(S27-R27)/R27</f>
        <v>0.26153846153846155</v>
      </c>
      <c r="T28" s="127">
        <f t="shared" si="69"/>
        <v>0.17073170731707318</v>
      </c>
      <c r="U28" s="127">
        <f t="shared" si="69"/>
        <v>0.11458333333333333</v>
      </c>
      <c r="V28" s="127">
        <f t="shared" si="69"/>
        <v>-0.16822429906542055</v>
      </c>
      <c r="W28" s="10"/>
      <c r="X28" s="10"/>
      <c r="Y28" s="130"/>
      <c r="Z28" s="131"/>
      <c r="AA28" s="131"/>
      <c r="AB28" s="131"/>
      <c r="AC28" s="131"/>
      <c r="AD28" s="131"/>
      <c r="AE28" s="131"/>
      <c r="AF28" s="131"/>
      <c r="AG28" s="131"/>
      <c r="AH28" s="131"/>
      <c r="AI28" s="114"/>
      <c r="AJ28" s="114"/>
      <c r="AK28" s="114"/>
    </row>
    <row r="29" spans="2:37" s="106" customFormat="1" x14ac:dyDescent="0.2">
      <c r="B29" s="10" t="s">
        <v>268</v>
      </c>
      <c r="C29" s="125"/>
      <c r="D29" s="125"/>
      <c r="E29" s="126"/>
      <c r="F29" s="124"/>
      <c r="G29" s="124">
        <v>88</v>
      </c>
      <c r="H29" s="124">
        <v>84</v>
      </c>
      <c r="I29" s="124">
        <v>97</v>
      </c>
      <c r="J29" s="124">
        <v>132</v>
      </c>
      <c r="K29" s="124">
        <v>170</v>
      </c>
      <c r="L29" s="124">
        <v>167</v>
      </c>
      <c r="M29" s="124">
        <v>145</v>
      </c>
      <c r="N29" s="124">
        <v>154</v>
      </c>
      <c r="O29" s="124">
        <v>195</v>
      </c>
      <c r="P29" s="124">
        <v>283</v>
      </c>
      <c r="Q29" s="124">
        <v>422</v>
      </c>
      <c r="R29" s="124">
        <v>610</v>
      </c>
      <c r="S29" s="178">
        <v>743</v>
      </c>
      <c r="T29" s="178">
        <v>884</v>
      </c>
      <c r="U29" s="178">
        <v>981</v>
      </c>
      <c r="V29" s="178">
        <v>1169</v>
      </c>
      <c r="W29" s="101">
        <f t="shared" si="24"/>
        <v>0.18819792405016855</v>
      </c>
      <c r="X29" s="21">
        <f t="shared" si="6"/>
        <v>0.15</v>
      </c>
      <c r="Y29" s="130">
        <f t="shared" si="7"/>
        <v>1128.1499999999999</v>
      </c>
      <c r="Z29" s="130">
        <f t="shared" ref="Z29" si="70">Y29*(1+$X29)</f>
        <v>1297.3724999999997</v>
      </c>
      <c r="AA29" s="130">
        <f t="shared" ref="AA29" si="71">Z29*(1+$X29)</f>
        <v>1491.9783749999995</v>
      </c>
      <c r="AB29" s="130">
        <f t="shared" ref="AB29" si="72">AA29*(1+$X29)</f>
        <v>1715.7751312499993</v>
      </c>
      <c r="AC29" s="130">
        <f t="shared" ref="AC29" si="73">AB29*(1+$X29)</f>
        <v>1973.1414009374989</v>
      </c>
      <c r="AD29" s="130">
        <f t="shared" ref="AD29" si="74">AC29*(1+$X29)</f>
        <v>2269.1126110781238</v>
      </c>
      <c r="AE29" s="130">
        <f t="shared" ref="AE29" si="75">AD29*(1+$X29)</f>
        <v>2609.4795027398422</v>
      </c>
      <c r="AF29" s="130">
        <f t="shared" ref="AF29" si="76">AE29*(1+$X29)</f>
        <v>3000.9014281508184</v>
      </c>
      <c r="AG29" s="130">
        <f t="shared" ref="AG29" si="77">AF29*(1+$X29)</f>
        <v>3451.0366423734408</v>
      </c>
      <c r="AH29" s="130">
        <f t="shared" ref="AH29" si="78">AG29*(1+$X29)</f>
        <v>3968.6921387294565</v>
      </c>
      <c r="AI29" s="115">
        <f t="shared" si="2"/>
        <v>0.16457265822958589</v>
      </c>
      <c r="AJ29" s="21">
        <f t="shared" si="17"/>
        <v>0.01</v>
      </c>
      <c r="AK29" s="123" t="e">
        <f t="shared" si="23"/>
        <v>#DIV/0!</v>
      </c>
    </row>
    <row r="30" spans="2:37" s="106" customFormat="1" x14ac:dyDescent="0.2">
      <c r="B30" s="13"/>
      <c r="C30" s="125"/>
      <c r="D30" s="125"/>
      <c r="E30" s="126"/>
      <c r="F30" s="266"/>
      <c r="G30" s="266">
        <f t="shared" ref="G30:P30" si="79">(G29-F29)/G29</f>
        <v>1</v>
      </c>
      <c r="H30" s="266">
        <f t="shared" si="79"/>
        <v>-4.7619047619047616E-2</v>
      </c>
      <c r="I30" s="266">
        <f t="shared" si="79"/>
        <v>0.13402061855670103</v>
      </c>
      <c r="J30" s="266">
        <f t="shared" si="79"/>
        <v>0.26515151515151514</v>
      </c>
      <c r="K30" s="266">
        <f t="shared" si="79"/>
        <v>0.22352941176470589</v>
      </c>
      <c r="L30" s="266">
        <f t="shared" si="79"/>
        <v>-1.7964071856287425E-2</v>
      </c>
      <c r="M30" s="266">
        <f t="shared" si="79"/>
        <v>-0.15172413793103448</v>
      </c>
      <c r="N30" s="266">
        <f t="shared" si="79"/>
        <v>5.844155844155844E-2</v>
      </c>
      <c r="O30" s="266">
        <f t="shared" si="79"/>
        <v>0.21025641025641026</v>
      </c>
      <c r="P30" s="266">
        <f t="shared" si="79"/>
        <v>0.31095406360424027</v>
      </c>
      <c r="Q30" s="266">
        <f t="shared" ref="Q30:R30" si="80">(Q29-P29)/Q29</f>
        <v>0.32938388625592419</v>
      </c>
      <c r="R30" s="266">
        <f t="shared" si="80"/>
        <v>0.30819672131147541</v>
      </c>
      <c r="S30" s="127">
        <f t="shared" ref="S30:V30" si="81">(S29-R29)/R29</f>
        <v>0.21803278688524591</v>
      </c>
      <c r="T30" s="127">
        <f t="shared" si="81"/>
        <v>0.18977119784656796</v>
      </c>
      <c r="U30" s="127">
        <f t="shared" si="81"/>
        <v>0.10972850678733032</v>
      </c>
      <c r="V30" s="127">
        <f t="shared" si="81"/>
        <v>0.19164118246687054</v>
      </c>
      <c r="W30" s="10"/>
      <c r="X30" s="10"/>
      <c r="Y30" s="130"/>
      <c r="Z30" s="131"/>
      <c r="AA30" s="131"/>
      <c r="AB30" s="131"/>
      <c r="AC30" s="131"/>
      <c r="AD30" s="131"/>
      <c r="AE30" s="131"/>
      <c r="AF30" s="131"/>
      <c r="AG30" s="131"/>
      <c r="AH30" s="131"/>
      <c r="AI30" s="114"/>
      <c r="AJ30" s="114"/>
      <c r="AK30" s="114"/>
    </row>
    <row r="31" spans="2:37" x14ac:dyDescent="0.2">
      <c r="B31" s="10" t="s">
        <v>276</v>
      </c>
      <c r="C31" s="118"/>
      <c r="D31" s="118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78">
        <v>0</v>
      </c>
      <c r="T31" s="178">
        <v>0</v>
      </c>
      <c r="U31" s="178">
        <v>0</v>
      </c>
      <c r="V31" s="178">
        <v>0</v>
      </c>
      <c r="W31" s="101" t="e">
        <f t="shared" si="24"/>
        <v>#DIV/0!</v>
      </c>
      <c r="X31" s="21">
        <f t="shared" si="6"/>
        <v>0.15</v>
      </c>
      <c r="Y31" s="130">
        <f t="shared" si="7"/>
        <v>0</v>
      </c>
      <c r="Z31" s="130">
        <f>Y31*(1+$X31)</f>
        <v>0</v>
      </c>
      <c r="AA31" s="130">
        <f t="shared" ref="AA31:AH32" si="82">Z31*(1+$X31)</f>
        <v>0</v>
      </c>
      <c r="AB31" s="130">
        <f t="shared" si="82"/>
        <v>0</v>
      </c>
      <c r="AC31" s="130">
        <f t="shared" si="82"/>
        <v>0</v>
      </c>
      <c r="AD31" s="130">
        <f t="shared" si="82"/>
        <v>0</v>
      </c>
      <c r="AE31" s="130">
        <f t="shared" si="82"/>
        <v>0</v>
      </c>
      <c r="AF31" s="130">
        <f t="shared" si="82"/>
        <v>0</v>
      </c>
      <c r="AG31" s="130">
        <f t="shared" si="82"/>
        <v>0</v>
      </c>
      <c r="AH31" s="130">
        <f t="shared" si="82"/>
        <v>0</v>
      </c>
      <c r="AI31" s="115" t="e">
        <f t="shared" si="2"/>
        <v>#DIV/0!</v>
      </c>
      <c r="AJ31" s="21">
        <f t="shared" si="17"/>
        <v>0.01</v>
      </c>
      <c r="AK31" s="123" t="e">
        <f t="shared" si="23"/>
        <v>#DIV/0!</v>
      </c>
    </row>
    <row r="32" spans="2:37" x14ac:dyDescent="0.2">
      <c r="B32" s="10" t="s">
        <v>275</v>
      </c>
      <c r="C32" s="118"/>
      <c r="D32" s="118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78"/>
      <c r="T32" s="178"/>
      <c r="U32" s="178"/>
      <c r="V32" s="178"/>
      <c r="W32" s="101" t="e">
        <f t="shared" si="24"/>
        <v>#DIV/0!</v>
      </c>
      <c r="X32" s="21">
        <f t="shared" si="6"/>
        <v>0.15</v>
      </c>
      <c r="Y32" s="130">
        <f t="shared" si="7"/>
        <v>0</v>
      </c>
      <c r="Z32" s="130">
        <f>Y32*(1+$X32)</f>
        <v>0</v>
      </c>
      <c r="AA32" s="130">
        <f t="shared" si="82"/>
        <v>0</v>
      </c>
      <c r="AB32" s="130">
        <f t="shared" si="82"/>
        <v>0</v>
      </c>
      <c r="AC32" s="130">
        <f t="shared" si="82"/>
        <v>0</v>
      </c>
      <c r="AD32" s="130">
        <f t="shared" si="82"/>
        <v>0</v>
      </c>
      <c r="AE32" s="130">
        <f t="shared" si="82"/>
        <v>0</v>
      </c>
      <c r="AF32" s="130">
        <f t="shared" si="82"/>
        <v>0</v>
      </c>
      <c r="AG32" s="130">
        <f t="shared" si="82"/>
        <v>0</v>
      </c>
      <c r="AH32" s="130">
        <f t="shared" si="82"/>
        <v>0</v>
      </c>
      <c r="AI32" s="115" t="e">
        <f t="shared" si="2"/>
        <v>#DIV/0!</v>
      </c>
      <c r="AJ32" s="21">
        <f t="shared" si="17"/>
        <v>0.01</v>
      </c>
      <c r="AK32" s="123" t="e">
        <f t="shared" si="23"/>
        <v>#DIV/0!</v>
      </c>
    </row>
    <row r="33" spans="1:37" x14ac:dyDescent="0.2">
      <c r="B33" s="10" t="s">
        <v>508</v>
      </c>
      <c r="C33" s="118"/>
      <c r="D33" s="118"/>
      <c r="E33" s="124"/>
      <c r="F33" s="124"/>
      <c r="G33" s="124">
        <v>88</v>
      </c>
      <c r="H33" s="124">
        <v>84</v>
      </c>
      <c r="I33" s="124">
        <v>97</v>
      </c>
      <c r="J33" s="124">
        <v>132</v>
      </c>
      <c r="K33" s="124">
        <v>170</v>
      </c>
      <c r="L33" s="124">
        <v>167</v>
      </c>
      <c r="M33" s="124">
        <v>145</v>
      </c>
      <c r="N33" s="124">
        <v>154</v>
      </c>
      <c r="O33" s="124">
        <v>195</v>
      </c>
      <c r="P33" s="124">
        <v>283</v>
      </c>
      <c r="Q33" s="124">
        <v>422</v>
      </c>
      <c r="R33" s="124">
        <v>610</v>
      </c>
      <c r="S33" s="178">
        <v>743</v>
      </c>
      <c r="T33" s="178">
        <v>884</v>
      </c>
      <c r="U33" s="178">
        <v>981</v>
      </c>
      <c r="V33" s="178">
        <v>1169</v>
      </c>
      <c r="W33" s="101">
        <f t="shared" si="24"/>
        <v>0.18819792405016855</v>
      </c>
      <c r="X33" s="21">
        <f t="shared" si="6"/>
        <v>0.15</v>
      </c>
      <c r="Y33" s="130">
        <f t="shared" si="7"/>
        <v>1128.1499999999999</v>
      </c>
      <c r="Z33" s="130">
        <f t="shared" si="37"/>
        <v>1297.3724999999997</v>
      </c>
      <c r="AA33" s="130">
        <f t="shared" si="38"/>
        <v>1491.9783749999995</v>
      </c>
      <c r="AB33" s="130">
        <f t="shared" si="39"/>
        <v>1715.7751312499993</v>
      </c>
      <c r="AC33" s="130">
        <f t="shared" si="40"/>
        <v>1973.1414009374989</v>
      </c>
      <c r="AD33" s="130">
        <f t="shared" si="41"/>
        <v>2269.1126110781238</v>
      </c>
      <c r="AE33" s="130">
        <f t="shared" si="42"/>
        <v>2609.4795027398422</v>
      </c>
      <c r="AF33" s="130">
        <f t="shared" si="43"/>
        <v>3000.9014281508184</v>
      </c>
      <c r="AG33" s="130">
        <f t="shared" si="44"/>
        <v>3451.0366423734408</v>
      </c>
      <c r="AH33" s="130">
        <f t="shared" si="45"/>
        <v>3968.6921387294565</v>
      </c>
      <c r="AI33" s="115">
        <f t="shared" si="2"/>
        <v>0.16457265822958589</v>
      </c>
      <c r="AJ33" s="21">
        <f t="shared" si="17"/>
        <v>0.01</v>
      </c>
      <c r="AK33" s="123" t="e">
        <f t="shared" si="23"/>
        <v>#DIV/0!</v>
      </c>
    </row>
    <row r="34" spans="1:37" x14ac:dyDescent="0.2">
      <c r="B34" s="10" t="s">
        <v>507</v>
      </c>
      <c r="C34" s="118"/>
      <c r="D34" s="118"/>
      <c r="E34" s="124"/>
      <c r="F34" s="124"/>
      <c r="G34" s="124">
        <v>4</v>
      </c>
      <c r="H34" s="124">
        <v>5</v>
      </c>
      <c r="I34" s="124">
        <v>6</v>
      </c>
      <c r="J34" s="124">
        <v>6</v>
      </c>
      <c r="K34" s="124">
        <v>6</v>
      </c>
      <c r="L34" s="124">
        <v>6</v>
      </c>
      <c r="M34" s="124">
        <v>8</v>
      </c>
      <c r="N34" s="124">
        <v>11</v>
      </c>
      <c r="O34" s="124">
        <v>11</v>
      </c>
      <c r="P34" s="124">
        <v>15</v>
      </c>
      <c r="Q34" s="124">
        <v>18</v>
      </c>
      <c r="R34" s="124">
        <v>25</v>
      </c>
      <c r="S34" s="178">
        <v>33</v>
      </c>
      <c r="T34" s="178">
        <v>39</v>
      </c>
      <c r="U34" s="178">
        <v>44</v>
      </c>
      <c r="V34" s="178">
        <v>41</v>
      </c>
      <c r="W34" s="101">
        <f t="shared" si="24"/>
        <v>0.16783527997137004</v>
      </c>
      <c r="X34" s="21">
        <f t="shared" si="6"/>
        <v>0.15</v>
      </c>
      <c r="Y34" s="130">
        <f t="shared" si="7"/>
        <v>50.599999999999994</v>
      </c>
      <c r="Z34" s="130">
        <f t="shared" si="37"/>
        <v>58.189999999999991</v>
      </c>
      <c r="AA34" s="130">
        <f t="shared" si="38"/>
        <v>66.91849999999998</v>
      </c>
      <c r="AB34" s="130">
        <f t="shared" si="39"/>
        <v>76.956274999999977</v>
      </c>
      <c r="AC34" s="130">
        <f t="shared" si="40"/>
        <v>88.499716249999963</v>
      </c>
      <c r="AD34" s="130">
        <f t="shared" si="41"/>
        <v>101.77467368749996</v>
      </c>
      <c r="AE34" s="130">
        <f t="shared" si="42"/>
        <v>117.04087474062494</v>
      </c>
      <c r="AF34" s="130">
        <f t="shared" si="43"/>
        <v>134.59700595171867</v>
      </c>
      <c r="AG34" s="130">
        <f t="shared" si="44"/>
        <v>154.78655684447645</v>
      </c>
      <c r="AH34" s="130">
        <f t="shared" si="45"/>
        <v>178.0045403711479</v>
      </c>
      <c r="AI34" s="115">
        <f t="shared" si="2"/>
        <v>0.16395139069040821</v>
      </c>
      <c r="AJ34" s="21">
        <f t="shared" si="17"/>
        <v>0.01</v>
      </c>
      <c r="AK34" s="123" t="e">
        <f t="shared" si="23"/>
        <v>#DIV/0!</v>
      </c>
    </row>
    <row r="35" spans="1:37" x14ac:dyDescent="0.2">
      <c r="B35" s="10"/>
      <c r="C35" s="118"/>
      <c r="D35" s="118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  <c r="S35" s="124"/>
      <c r="T35" s="124"/>
      <c r="U35" s="124"/>
      <c r="V35" s="124"/>
      <c r="W35" s="10"/>
      <c r="X35" s="124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14"/>
      <c r="AJ35" s="114"/>
      <c r="AK35" s="114"/>
    </row>
    <row r="36" spans="1:37" x14ac:dyDescent="0.2">
      <c r="A36" s="302" t="s">
        <v>417</v>
      </c>
      <c r="B36" s="175" t="s">
        <v>411</v>
      </c>
      <c r="C36" s="118"/>
      <c r="D36" s="118"/>
      <c r="E36" s="124"/>
      <c r="F36" s="178"/>
      <c r="G36" s="178">
        <f t="shared" ref="G36" si="83">H36</f>
        <v>0</v>
      </c>
      <c r="H36" s="178">
        <f t="shared" ref="H36:I36" si="84">I36</f>
        <v>0</v>
      </c>
      <c r="I36" s="178">
        <f t="shared" si="84"/>
        <v>0</v>
      </c>
      <c r="J36" s="178">
        <f>K36</f>
        <v>0</v>
      </c>
      <c r="K36" s="178">
        <v>0</v>
      </c>
      <c r="L36" s="178">
        <v>0</v>
      </c>
      <c r="M36" s="178">
        <v>0</v>
      </c>
      <c r="N36" s="178">
        <v>0</v>
      </c>
      <c r="O36" s="178">
        <v>0</v>
      </c>
      <c r="P36" s="178">
        <v>0</v>
      </c>
      <c r="Q36" s="178">
        <v>0</v>
      </c>
      <c r="R36" s="178">
        <v>0</v>
      </c>
      <c r="S36" s="178">
        <v>0</v>
      </c>
      <c r="T36" s="178">
        <v>0</v>
      </c>
      <c r="U36" s="178">
        <v>0</v>
      </c>
      <c r="V36" s="178">
        <v>0</v>
      </c>
      <c r="W36" s="101" t="e">
        <f t="shared" si="24"/>
        <v>#DIV/0!</v>
      </c>
      <c r="X36" s="21">
        <f t="shared" si="6"/>
        <v>0.15</v>
      </c>
      <c r="Y36" s="130">
        <f t="shared" si="7"/>
        <v>0</v>
      </c>
      <c r="Z36" s="130">
        <f t="shared" ref="Z36:Z51" si="85">Y36*(1+$X36)</f>
        <v>0</v>
      </c>
      <c r="AA36" s="130">
        <f t="shared" ref="AA36:AA51" si="86">Z36*(1+$X36)</f>
        <v>0</v>
      </c>
      <c r="AB36" s="130">
        <f t="shared" ref="AB36:AB51" si="87">AA36*(1+$X36)</f>
        <v>0</v>
      </c>
      <c r="AC36" s="130">
        <f t="shared" ref="AC36:AC51" si="88">AB36*(1+$X36)</f>
        <v>0</v>
      </c>
      <c r="AD36" s="130">
        <f t="shared" ref="AD36:AD51" si="89">AC36*(1+$X36)</f>
        <v>0</v>
      </c>
      <c r="AE36" s="130">
        <f t="shared" ref="AE36:AE51" si="90">AD36*(1+$X36)</f>
        <v>0</v>
      </c>
      <c r="AF36" s="130">
        <f t="shared" ref="AF36:AF51" si="91">AE36*(1+$X36)</f>
        <v>0</v>
      </c>
      <c r="AG36" s="130">
        <f t="shared" ref="AG36:AG51" si="92">AF36*(1+$X36)</f>
        <v>0</v>
      </c>
      <c r="AH36" s="130">
        <f t="shared" ref="AH36:AH51" si="93">AG36*(1+$X36)</f>
        <v>0</v>
      </c>
      <c r="AI36" s="115" t="e">
        <f t="shared" si="2"/>
        <v>#DIV/0!</v>
      </c>
      <c r="AJ36" s="21">
        <f t="shared" si="17"/>
        <v>0.01</v>
      </c>
      <c r="AK36" s="123" t="e">
        <f t="shared" si="23"/>
        <v>#DIV/0!</v>
      </c>
    </row>
    <row r="37" spans="1:37" x14ac:dyDescent="0.2">
      <c r="A37" s="302"/>
      <c r="B37" s="175"/>
      <c r="C37" s="118"/>
      <c r="D37" s="118"/>
      <c r="E37" s="124"/>
      <c r="F37" s="127"/>
      <c r="G37" s="127" t="e">
        <f t="shared" ref="G37" si="94">(G36-E36)/E36</f>
        <v>#DIV/0!</v>
      </c>
      <c r="H37" s="127" t="e">
        <f t="shared" ref="H37" si="95">(H36-F36)/F36</f>
        <v>#DIV/0!</v>
      </c>
      <c r="I37" s="127" t="e">
        <f t="shared" ref="I37" si="96">(I36-H36)/H36</f>
        <v>#DIV/0!</v>
      </c>
      <c r="J37" s="127" t="e">
        <f t="shared" ref="J37" si="97">(J36-I36)/I36</f>
        <v>#DIV/0!</v>
      </c>
      <c r="K37" s="127" t="e">
        <f t="shared" ref="K37" si="98">(K36-J36)/J36</f>
        <v>#DIV/0!</v>
      </c>
      <c r="L37" s="127" t="e">
        <f t="shared" ref="L37" si="99">(L36-K36)/K36</f>
        <v>#DIV/0!</v>
      </c>
      <c r="M37" s="127" t="e">
        <f t="shared" ref="M37" si="100">(M36-L36)/L36</f>
        <v>#DIV/0!</v>
      </c>
      <c r="N37" s="127" t="e">
        <f t="shared" ref="N37" si="101">(N36-M36)/M36</f>
        <v>#DIV/0!</v>
      </c>
      <c r="O37" s="127" t="e">
        <f t="shared" ref="O37" si="102">(O36-N36)/N36</f>
        <v>#DIV/0!</v>
      </c>
      <c r="P37" s="127" t="e">
        <f t="shared" ref="P37" si="103">(P36-O36)/O36</f>
        <v>#DIV/0!</v>
      </c>
      <c r="Q37" s="127" t="e">
        <f t="shared" ref="Q37" si="104">(Q36-P36)/P36</f>
        <v>#DIV/0!</v>
      </c>
      <c r="R37" s="127" t="e">
        <f t="shared" ref="R37" si="105">(R36-Q36)/Q36</f>
        <v>#DIV/0!</v>
      </c>
      <c r="S37" s="127" t="e">
        <f t="shared" ref="S37" si="106">(S36-R36)/R36</f>
        <v>#DIV/0!</v>
      </c>
      <c r="T37" s="127" t="e">
        <f t="shared" ref="T37:V37" si="107">(T36-S36)/S36</f>
        <v>#DIV/0!</v>
      </c>
      <c r="U37" s="127" t="e">
        <f t="shared" si="107"/>
        <v>#DIV/0!</v>
      </c>
      <c r="V37" s="127" t="e">
        <f t="shared" si="107"/>
        <v>#DIV/0!</v>
      </c>
      <c r="W37" s="10"/>
      <c r="X37" s="10"/>
      <c r="Y37" s="130"/>
      <c r="Z37" s="130"/>
      <c r="AA37" s="130"/>
      <c r="AB37" s="130"/>
      <c r="AC37" s="130"/>
      <c r="AD37" s="130"/>
      <c r="AE37" s="130"/>
      <c r="AF37" s="130"/>
      <c r="AG37" s="130"/>
      <c r="AH37" s="130"/>
      <c r="AI37" s="114"/>
      <c r="AJ37" s="130"/>
      <c r="AK37" s="114"/>
    </row>
    <row r="38" spans="1:37" x14ac:dyDescent="0.2">
      <c r="A38" s="302"/>
      <c r="B38" s="175" t="s">
        <v>412</v>
      </c>
      <c r="C38" s="118"/>
      <c r="D38" s="118"/>
      <c r="E38" s="124"/>
      <c r="F38" s="178"/>
      <c r="G38" s="178">
        <f t="shared" ref="G38" si="108">H38</f>
        <v>0</v>
      </c>
      <c r="H38" s="178">
        <f t="shared" ref="H38:I38" si="109">I38</f>
        <v>0</v>
      </c>
      <c r="I38" s="178">
        <f t="shared" si="109"/>
        <v>0</v>
      </c>
      <c r="J38" s="178">
        <f>K38</f>
        <v>0</v>
      </c>
      <c r="K38" s="178">
        <v>0</v>
      </c>
      <c r="L38" s="178">
        <v>0</v>
      </c>
      <c r="M38" s="178">
        <v>0</v>
      </c>
      <c r="N38" s="178">
        <v>0</v>
      </c>
      <c r="O38" s="178">
        <v>0</v>
      </c>
      <c r="P38" s="178">
        <v>0</v>
      </c>
      <c r="Q38" s="178">
        <v>0</v>
      </c>
      <c r="R38" s="178">
        <v>0</v>
      </c>
      <c r="S38" s="178">
        <v>0</v>
      </c>
      <c r="T38" s="178">
        <v>0</v>
      </c>
      <c r="U38" s="178">
        <v>1</v>
      </c>
      <c r="V38" s="178">
        <v>1</v>
      </c>
      <c r="W38" s="101" t="e">
        <f t="shared" si="24"/>
        <v>#DIV/0!</v>
      </c>
      <c r="X38" s="21">
        <f t="shared" si="6"/>
        <v>0.15</v>
      </c>
      <c r="Y38" s="130">
        <f t="shared" si="7"/>
        <v>1.1499999999999999</v>
      </c>
      <c r="Z38" s="130">
        <f t="shared" si="85"/>
        <v>1.3224999999999998</v>
      </c>
      <c r="AA38" s="130">
        <f t="shared" si="86"/>
        <v>1.5208749999999995</v>
      </c>
      <c r="AB38" s="130">
        <f t="shared" si="87"/>
        <v>1.7490062499999994</v>
      </c>
      <c r="AC38" s="130">
        <f t="shared" si="88"/>
        <v>2.0113571874999994</v>
      </c>
      <c r="AD38" s="130">
        <f t="shared" si="89"/>
        <v>2.3130607656249991</v>
      </c>
      <c r="AE38" s="130">
        <f t="shared" si="90"/>
        <v>2.6600198804687487</v>
      </c>
      <c r="AF38" s="130">
        <f t="shared" si="91"/>
        <v>3.0590228625390607</v>
      </c>
      <c r="AG38" s="130">
        <f t="shared" si="92"/>
        <v>3.5178762919199196</v>
      </c>
      <c r="AH38" s="130">
        <f t="shared" si="93"/>
        <v>4.0455577357079076</v>
      </c>
      <c r="AI38" s="115" t="e">
        <f t="shared" si="2"/>
        <v>#DIV/0!</v>
      </c>
      <c r="AJ38" s="21">
        <f t="shared" si="17"/>
        <v>0.01</v>
      </c>
      <c r="AK38" s="123" t="e">
        <f t="shared" si="23"/>
        <v>#DIV/0!</v>
      </c>
    </row>
    <row r="39" spans="1:37" x14ac:dyDescent="0.2">
      <c r="A39" s="302"/>
      <c r="B39" s="175"/>
      <c r="C39" s="118"/>
      <c r="D39" s="118"/>
      <c r="E39" s="124"/>
      <c r="F39" s="127"/>
      <c r="G39" s="127" t="e">
        <f t="shared" ref="G39" si="110">(G38-E38)/E38</f>
        <v>#DIV/0!</v>
      </c>
      <c r="H39" s="127" t="e">
        <f t="shared" ref="H39" si="111">(H38-F38)/F38</f>
        <v>#DIV/0!</v>
      </c>
      <c r="I39" s="127" t="e">
        <f t="shared" ref="I39" si="112">(I38-H38)/H38</f>
        <v>#DIV/0!</v>
      </c>
      <c r="J39" s="127" t="e">
        <f t="shared" ref="J39" si="113">(J38-I38)/I38</f>
        <v>#DIV/0!</v>
      </c>
      <c r="K39" s="127" t="e">
        <f t="shared" ref="K39" si="114">(K38-J38)/J38</f>
        <v>#DIV/0!</v>
      </c>
      <c r="L39" s="127" t="e">
        <f t="shared" ref="L39" si="115">(L38-K38)/K38</f>
        <v>#DIV/0!</v>
      </c>
      <c r="M39" s="127" t="e">
        <f t="shared" ref="M39" si="116">(M38-L38)/L38</f>
        <v>#DIV/0!</v>
      </c>
      <c r="N39" s="127" t="e">
        <f t="shared" ref="N39" si="117">(N38-M38)/M38</f>
        <v>#DIV/0!</v>
      </c>
      <c r="O39" s="127" t="e">
        <f t="shared" ref="O39" si="118">(O38-N38)/N38</f>
        <v>#DIV/0!</v>
      </c>
      <c r="P39" s="127" t="e">
        <f t="shared" ref="P39" si="119">(P38-O38)/O38</f>
        <v>#DIV/0!</v>
      </c>
      <c r="Q39" s="127" t="e">
        <f t="shared" ref="Q39" si="120">(Q38-P38)/P38</f>
        <v>#DIV/0!</v>
      </c>
      <c r="R39" s="127" t="e">
        <f t="shared" ref="R39" si="121">(R38-Q38)/Q38</f>
        <v>#DIV/0!</v>
      </c>
      <c r="S39" s="127" t="e">
        <f t="shared" ref="S39" si="122">(S38-R38)/R38</f>
        <v>#DIV/0!</v>
      </c>
      <c r="T39" s="127" t="e">
        <f t="shared" ref="T39:V39" si="123">(T38-S38)/S38</f>
        <v>#DIV/0!</v>
      </c>
      <c r="U39" s="127" t="e">
        <f t="shared" si="123"/>
        <v>#DIV/0!</v>
      </c>
      <c r="V39" s="127">
        <f t="shared" si="123"/>
        <v>0</v>
      </c>
      <c r="W39" s="10"/>
      <c r="X39" s="10"/>
      <c r="Y39" s="130"/>
      <c r="Z39" s="130"/>
      <c r="AA39" s="130"/>
      <c r="AB39" s="130"/>
      <c r="AC39" s="130"/>
      <c r="AD39" s="130"/>
      <c r="AE39" s="130"/>
      <c r="AF39" s="130"/>
      <c r="AG39" s="130"/>
      <c r="AH39" s="130"/>
      <c r="AI39" s="114"/>
      <c r="AJ39" s="130"/>
      <c r="AK39" s="114"/>
    </row>
    <row r="40" spans="1:37" x14ac:dyDescent="0.2">
      <c r="A40" s="302"/>
      <c r="B40" s="175" t="s">
        <v>416</v>
      </c>
      <c r="C40" s="118"/>
      <c r="D40" s="118"/>
      <c r="E40" s="124"/>
      <c r="F40" s="178"/>
      <c r="G40" s="178">
        <f t="shared" ref="G40:G43" si="124">H40</f>
        <v>0</v>
      </c>
      <c r="H40" s="178">
        <f t="shared" ref="H40:I40" si="125">I40</f>
        <v>0</v>
      </c>
      <c r="I40" s="178">
        <f t="shared" si="125"/>
        <v>0</v>
      </c>
      <c r="J40" s="178">
        <f>K40</f>
        <v>0</v>
      </c>
      <c r="K40" s="178">
        <v>0</v>
      </c>
      <c r="L40" s="178">
        <v>0</v>
      </c>
      <c r="M40" s="178">
        <v>0</v>
      </c>
      <c r="N40" s="178">
        <v>0</v>
      </c>
      <c r="O40" s="178">
        <v>0</v>
      </c>
      <c r="P40" s="178">
        <v>0</v>
      </c>
      <c r="Q40" s="178">
        <v>0</v>
      </c>
      <c r="R40" s="178">
        <v>0</v>
      </c>
      <c r="S40" s="178">
        <v>0</v>
      </c>
      <c r="T40" s="178">
        <v>0</v>
      </c>
      <c r="U40" s="178">
        <v>0</v>
      </c>
      <c r="V40" s="178">
        <v>0</v>
      </c>
      <c r="W40" s="101" t="e">
        <f t="shared" si="24"/>
        <v>#DIV/0!</v>
      </c>
      <c r="X40" s="21">
        <f t="shared" si="6"/>
        <v>0.15</v>
      </c>
      <c r="Y40" s="130">
        <f t="shared" si="7"/>
        <v>0</v>
      </c>
      <c r="Z40" s="130">
        <f t="shared" si="85"/>
        <v>0</v>
      </c>
      <c r="AA40" s="130">
        <f t="shared" si="86"/>
        <v>0</v>
      </c>
      <c r="AB40" s="130">
        <f t="shared" si="87"/>
        <v>0</v>
      </c>
      <c r="AC40" s="130">
        <f t="shared" si="88"/>
        <v>0</v>
      </c>
      <c r="AD40" s="130">
        <f t="shared" si="89"/>
        <v>0</v>
      </c>
      <c r="AE40" s="130">
        <f t="shared" si="90"/>
        <v>0</v>
      </c>
      <c r="AF40" s="130">
        <f t="shared" si="91"/>
        <v>0</v>
      </c>
      <c r="AG40" s="130">
        <f t="shared" si="92"/>
        <v>0</v>
      </c>
      <c r="AH40" s="130">
        <f t="shared" si="93"/>
        <v>0</v>
      </c>
      <c r="AI40" s="115" t="e">
        <f t="shared" si="2"/>
        <v>#DIV/0!</v>
      </c>
      <c r="AJ40" s="21">
        <f t="shared" si="17"/>
        <v>0.01</v>
      </c>
      <c r="AK40" s="123" t="e">
        <f t="shared" si="23"/>
        <v>#DIV/0!</v>
      </c>
    </row>
    <row r="41" spans="1:37" x14ac:dyDescent="0.2">
      <c r="A41" s="302"/>
      <c r="B41" s="175" t="s">
        <v>413</v>
      </c>
      <c r="C41" s="118"/>
      <c r="D41" s="118"/>
      <c r="E41" s="124"/>
      <c r="F41" s="178"/>
      <c r="G41" s="178">
        <f t="shared" si="124"/>
        <v>0</v>
      </c>
      <c r="H41" s="178">
        <f t="shared" ref="H41:I41" si="126">I41</f>
        <v>0</v>
      </c>
      <c r="I41" s="178">
        <f t="shared" si="126"/>
        <v>0</v>
      </c>
      <c r="J41" s="178">
        <f>K41</f>
        <v>0</v>
      </c>
      <c r="K41" s="178">
        <v>0</v>
      </c>
      <c r="L41" s="178">
        <v>0</v>
      </c>
      <c r="M41" s="178">
        <v>0</v>
      </c>
      <c r="N41" s="178">
        <v>0</v>
      </c>
      <c r="O41" s="178">
        <v>0</v>
      </c>
      <c r="P41" s="178">
        <v>0</v>
      </c>
      <c r="Q41" s="178">
        <v>0</v>
      </c>
      <c r="R41" s="178">
        <v>0</v>
      </c>
      <c r="S41" s="178">
        <v>0</v>
      </c>
      <c r="T41" s="178">
        <v>0</v>
      </c>
      <c r="U41" s="178">
        <v>0</v>
      </c>
      <c r="V41" s="178">
        <v>0</v>
      </c>
      <c r="W41" s="101" t="e">
        <f t="shared" si="24"/>
        <v>#DIV/0!</v>
      </c>
      <c r="X41" s="21">
        <f t="shared" si="6"/>
        <v>0.15</v>
      </c>
      <c r="Y41" s="130">
        <f t="shared" si="7"/>
        <v>0</v>
      </c>
      <c r="Z41" s="130">
        <f t="shared" si="85"/>
        <v>0</v>
      </c>
      <c r="AA41" s="130">
        <f t="shared" si="86"/>
        <v>0</v>
      </c>
      <c r="AB41" s="130">
        <f t="shared" si="87"/>
        <v>0</v>
      </c>
      <c r="AC41" s="130">
        <f t="shared" si="88"/>
        <v>0</v>
      </c>
      <c r="AD41" s="130">
        <f t="shared" si="89"/>
        <v>0</v>
      </c>
      <c r="AE41" s="130">
        <f t="shared" si="90"/>
        <v>0</v>
      </c>
      <c r="AF41" s="130">
        <f t="shared" si="91"/>
        <v>0</v>
      </c>
      <c r="AG41" s="130">
        <f t="shared" si="92"/>
        <v>0</v>
      </c>
      <c r="AH41" s="130">
        <f t="shared" si="93"/>
        <v>0</v>
      </c>
      <c r="AI41" s="115" t="e">
        <f t="shared" si="2"/>
        <v>#DIV/0!</v>
      </c>
      <c r="AJ41" s="21">
        <f t="shared" si="17"/>
        <v>0.01</v>
      </c>
      <c r="AK41" s="123" t="e">
        <f t="shared" si="23"/>
        <v>#DIV/0!</v>
      </c>
    </row>
    <row r="42" spans="1:37" x14ac:dyDescent="0.2">
      <c r="A42" s="302"/>
      <c r="B42" s="175" t="s">
        <v>415</v>
      </c>
      <c r="C42" s="118"/>
      <c r="D42" s="118"/>
      <c r="E42" s="124"/>
      <c r="F42" s="178"/>
      <c r="G42" s="178">
        <f t="shared" si="124"/>
        <v>0</v>
      </c>
      <c r="H42" s="178">
        <f t="shared" ref="H42:I42" si="127">I42</f>
        <v>0</v>
      </c>
      <c r="I42" s="178">
        <f t="shared" si="127"/>
        <v>0</v>
      </c>
      <c r="J42" s="178">
        <f>K42</f>
        <v>0</v>
      </c>
      <c r="K42" s="178">
        <v>0</v>
      </c>
      <c r="L42" s="178">
        <v>0</v>
      </c>
      <c r="M42" s="178">
        <v>0</v>
      </c>
      <c r="N42" s="178">
        <v>0</v>
      </c>
      <c r="O42" s="178">
        <v>0</v>
      </c>
      <c r="P42" s="178">
        <v>0</v>
      </c>
      <c r="Q42" s="178">
        <v>0</v>
      </c>
      <c r="R42" s="178">
        <v>0</v>
      </c>
      <c r="S42" s="178">
        <v>0</v>
      </c>
      <c r="T42" s="178">
        <v>0</v>
      </c>
      <c r="U42" s="178">
        <v>0</v>
      </c>
      <c r="V42" s="178">
        <v>0</v>
      </c>
      <c r="W42" s="101" t="e">
        <f t="shared" si="24"/>
        <v>#DIV/0!</v>
      </c>
      <c r="X42" s="21">
        <f t="shared" si="6"/>
        <v>0.15</v>
      </c>
      <c r="Y42" s="130">
        <f t="shared" si="7"/>
        <v>0</v>
      </c>
      <c r="Z42" s="130">
        <f t="shared" si="85"/>
        <v>0</v>
      </c>
      <c r="AA42" s="130">
        <f t="shared" si="86"/>
        <v>0</v>
      </c>
      <c r="AB42" s="130">
        <f t="shared" si="87"/>
        <v>0</v>
      </c>
      <c r="AC42" s="130">
        <f t="shared" si="88"/>
        <v>0</v>
      </c>
      <c r="AD42" s="130">
        <f t="shared" si="89"/>
        <v>0</v>
      </c>
      <c r="AE42" s="130">
        <f t="shared" si="90"/>
        <v>0</v>
      </c>
      <c r="AF42" s="130">
        <f t="shared" si="91"/>
        <v>0</v>
      </c>
      <c r="AG42" s="130">
        <f t="shared" si="92"/>
        <v>0</v>
      </c>
      <c r="AH42" s="130">
        <f t="shared" si="93"/>
        <v>0</v>
      </c>
      <c r="AI42" s="115" t="e">
        <f t="shared" si="2"/>
        <v>#DIV/0!</v>
      </c>
      <c r="AJ42" s="21">
        <f t="shared" si="17"/>
        <v>0.01</v>
      </c>
      <c r="AK42" s="123" t="e">
        <f t="shared" si="23"/>
        <v>#DIV/0!</v>
      </c>
    </row>
    <row r="43" spans="1:37" x14ac:dyDescent="0.2">
      <c r="A43" s="302"/>
      <c r="B43" s="175" t="s">
        <v>414</v>
      </c>
      <c r="C43" s="118"/>
      <c r="D43" s="118"/>
      <c r="E43" s="124"/>
      <c r="F43" s="178"/>
      <c r="G43" s="178">
        <f t="shared" si="124"/>
        <v>0</v>
      </c>
      <c r="H43" s="178">
        <f t="shared" ref="H43:I43" si="128">I43</f>
        <v>0</v>
      </c>
      <c r="I43" s="178">
        <f t="shared" si="128"/>
        <v>0</v>
      </c>
      <c r="J43" s="178">
        <f>K43</f>
        <v>0</v>
      </c>
      <c r="K43" s="178">
        <v>0</v>
      </c>
      <c r="L43" s="178">
        <v>0</v>
      </c>
      <c r="M43" s="178">
        <v>0</v>
      </c>
      <c r="N43" s="178">
        <v>0</v>
      </c>
      <c r="O43" s="178">
        <v>0</v>
      </c>
      <c r="P43" s="178">
        <v>0</v>
      </c>
      <c r="Q43" s="178">
        <v>0</v>
      </c>
      <c r="R43" s="178">
        <v>0</v>
      </c>
      <c r="S43" s="178">
        <v>0</v>
      </c>
      <c r="T43" s="178">
        <v>0</v>
      </c>
      <c r="U43" s="178">
        <v>0</v>
      </c>
      <c r="V43" s="178">
        <v>0</v>
      </c>
      <c r="W43" s="101" t="e">
        <f t="shared" si="24"/>
        <v>#DIV/0!</v>
      </c>
      <c r="X43" s="21">
        <f t="shared" si="6"/>
        <v>0.15</v>
      </c>
      <c r="Y43" s="130">
        <f t="shared" si="7"/>
        <v>0</v>
      </c>
      <c r="Z43" s="130">
        <f t="shared" si="85"/>
        <v>0</v>
      </c>
      <c r="AA43" s="130">
        <f t="shared" si="86"/>
        <v>0</v>
      </c>
      <c r="AB43" s="130">
        <f t="shared" si="87"/>
        <v>0</v>
      </c>
      <c r="AC43" s="130">
        <f t="shared" si="88"/>
        <v>0</v>
      </c>
      <c r="AD43" s="130">
        <f t="shared" si="89"/>
        <v>0</v>
      </c>
      <c r="AE43" s="130">
        <f t="shared" si="90"/>
        <v>0</v>
      </c>
      <c r="AF43" s="130">
        <f t="shared" si="91"/>
        <v>0</v>
      </c>
      <c r="AG43" s="130">
        <f t="shared" si="92"/>
        <v>0</v>
      </c>
      <c r="AH43" s="130">
        <f t="shared" si="93"/>
        <v>0</v>
      </c>
      <c r="AI43" s="115" t="e">
        <f t="shared" si="2"/>
        <v>#DIV/0!</v>
      </c>
      <c r="AJ43" s="21">
        <f t="shared" si="17"/>
        <v>0.01</v>
      </c>
      <c r="AK43" s="123" t="e">
        <f t="shared" si="23"/>
        <v>#DIV/0!</v>
      </c>
    </row>
    <row r="44" spans="1:37" x14ac:dyDescent="0.2">
      <c r="A44" s="302"/>
      <c r="B44" s="175"/>
      <c r="C44" s="118"/>
      <c r="D44" s="118"/>
      <c r="E44" s="124"/>
      <c r="F44" s="127"/>
      <c r="G44" s="127" t="e">
        <f t="shared" ref="G44" si="129">(G43-E43)/E43</f>
        <v>#DIV/0!</v>
      </c>
      <c r="H44" s="127" t="e">
        <f t="shared" ref="H44" si="130">(H43-F43)/F43</f>
        <v>#DIV/0!</v>
      </c>
      <c r="I44" s="127" t="e">
        <f t="shared" ref="I44" si="131">(I43-H43)/H43</f>
        <v>#DIV/0!</v>
      </c>
      <c r="J44" s="127" t="e">
        <f t="shared" ref="J44" si="132">(J43-I43)/I43</f>
        <v>#DIV/0!</v>
      </c>
      <c r="K44" s="127" t="e">
        <f t="shared" ref="K44" si="133">(K43-J43)/J43</f>
        <v>#DIV/0!</v>
      </c>
      <c r="L44" s="127" t="e">
        <f t="shared" ref="L44" si="134">(L43-K43)/K43</f>
        <v>#DIV/0!</v>
      </c>
      <c r="M44" s="127" t="e">
        <f t="shared" ref="M44" si="135">(M43-L43)/L43</f>
        <v>#DIV/0!</v>
      </c>
      <c r="N44" s="127" t="e">
        <f t="shared" ref="N44" si="136">(N43-M43)/M43</f>
        <v>#DIV/0!</v>
      </c>
      <c r="O44" s="127" t="e">
        <f t="shared" ref="O44" si="137">(O43-N43)/N43</f>
        <v>#DIV/0!</v>
      </c>
      <c r="P44" s="127" t="e">
        <f t="shared" ref="P44" si="138">(P43-O43)/O43</f>
        <v>#DIV/0!</v>
      </c>
      <c r="Q44" s="127" t="e">
        <f t="shared" ref="Q44" si="139">(Q43-P43)/P43</f>
        <v>#DIV/0!</v>
      </c>
      <c r="R44" s="127" t="e">
        <f t="shared" ref="R44" si="140">(R43-Q43)/Q43</f>
        <v>#DIV/0!</v>
      </c>
      <c r="S44" s="127" t="e">
        <f t="shared" ref="S44" si="141">(S43-R43)/R43</f>
        <v>#DIV/0!</v>
      </c>
      <c r="T44" s="127" t="e">
        <f t="shared" ref="T44:V44" si="142">(T43-S43)/S43</f>
        <v>#DIV/0!</v>
      </c>
      <c r="U44" s="127" t="e">
        <f t="shared" si="142"/>
        <v>#DIV/0!</v>
      </c>
      <c r="V44" s="127" t="e">
        <f t="shared" si="142"/>
        <v>#DIV/0!</v>
      </c>
      <c r="W44" s="10"/>
      <c r="X44" s="1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14"/>
      <c r="AJ44" s="130"/>
      <c r="AK44" s="114"/>
    </row>
    <row r="45" spans="1:37" x14ac:dyDescent="0.2">
      <c r="A45" s="302"/>
      <c r="B45" s="175" t="s">
        <v>191</v>
      </c>
      <c r="C45" s="118"/>
      <c r="D45" s="118"/>
      <c r="E45" s="124"/>
      <c r="F45" s="178"/>
      <c r="G45" s="178">
        <f t="shared" ref="G45" si="143">H45</f>
        <v>0</v>
      </c>
      <c r="H45" s="178">
        <f t="shared" ref="H45:I45" si="144">I45</f>
        <v>0</v>
      </c>
      <c r="I45" s="178">
        <f t="shared" si="144"/>
        <v>0</v>
      </c>
      <c r="J45" s="178">
        <f>K45</f>
        <v>0</v>
      </c>
      <c r="K45" s="178">
        <v>0</v>
      </c>
      <c r="L45" s="178">
        <v>0</v>
      </c>
      <c r="M45" s="178">
        <v>0</v>
      </c>
      <c r="N45" s="178">
        <v>0</v>
      </c>
      <c r="O45" s="178">
        <v>0</v>
      </c>
      <c r="P45" s="178">
        <v>0</v>
      </c>
      <c r="Q45" s="178">
        <v>0</v>
      </c>
      <c r="R45" s="178">
        <v>0</v>
      </c>
      <c r="S45" s="178">
        <v>0</v>
      </c>
      <c r="T45" s="178">
        <v>0</v>
      </c>
      <c r="U45" s="178"/>
      <c r="V45" s="178"/>
      <c r="W45" s="101" t="e">
        <f t="shared" si="24"/>
        <v>#DIV/0!</v>
      </c>
      <c r="X45" s="21">
        <f t="shared" si="6"/>
        <v>0.15</v>
      </c>
      <c r="Y45" s="130">
        <f t="shared" si="7"/>
        <v>0</v>
      </c>
      <c r="Z45" s="130">
        <f t="shared" si="85"/>
        <v>0</v>
      </c>
      <c r="AA45" s="130">
        <f t="shared" si="86"/>
        <v>0</v>
      </c>
      <c r="AB45" s="130">
        <f t="shared" si="87"/>
        <v>0</v>
      </c>
      <c r="AC45" s="130">
        <f t="shared" si="88"/>
        <v>0</v>
      </c>
      <c r="AD45" s="130">
        <f t="shared" si="89"/>
        <v>0</v>
      </c>
      <c r="AE45" s="130">
        <f t="shared" si="90"/>
        <v>0</v>
      </c>
      <c r="AF45" s="130">
        <f t="shared" si="91"/>
        <v>0</v>
      </c>
      <c r="AG45" s="130">
        <f t="shared" si="92"/>
        <v>0</v>
      </c>
      <c r="AH45" s="130">
        <f t="shared" si="93"/>
        <v>0</v>
      </c>
      <c r="AI45" s="115" t="e">
        <f t="shared" si="2"/>
        <v>#DIV/0!</v>
      </c>
      <c r="AJ45" s="21">
        <f t="shared" si="17"/>
        <v>0.01</v>
      </c>
      <c r="AK45" s="123" t="e">
        <f t="shared" si="23"/>
        <v>#DIV/0!</v>
      </c>
    </row>
    <row r="46" spans="1:37" x14ac:dyDescent="0.2">
      <c r="A46" s="176"/>
      <c r="B46" s="175"/>
      <c r="C46" s="118"/>
      <c r="D46" s="118"/>
      <c r="E46" s="124"/>
      <c r="F46" s="127"/>
      <c r="G46" s="127" t="e">
        <f t="shared" ref="G46" si="145">(G45-E45)/E45</f>
        <v>#DIV/0!</v>
      </c>
      <c r="H46" s="127" t="e">
        <f t="shared" ref="H46" si="146">(H45-F45)/F45</f>
        <v>#DIV/0!</v>
      </c>
      <c r="I46" s="127" t="e">
        <f t="shared" ref="I46" si="147">(I45-H45)/H45</f>
        <v>#DIV/0!</v>
      </c>
      <c r="J46" s="127" t="e">
        <f t="shared" ref="J46" si="148">(J45-I45)/I45</f>
        <v>#DIV/0!</v>
      </c>
      <c r="K46" s="127" t="e">
        <f t="shared" ref="K46" si="149">(K45-J45)/J45</f>
        <v>#DIV/0!</v>
      </c>
      <c r="L46" s="127" t="e">
        <f t="shared" ref="L46" si="150">(L45-K45)/K45</f>
        <v>#DIV/0!</v>
      </c>
      <c r="M46" s="127" t="e">
        <f t="shared" ref="M46" si="151">(M45-L45)/L45</f>
        <v>#DIV/0!</v>
      </c>
      <c r="N46" s="127" t="e">
        <f t="shared" ref="N46" si="152">(N45-M45)/M45</f>
        <v>#DIV/0!</v>
      </c>
      <c r="O46" s="127" t="e">
        <f t="shared" ref="O46" si="153">(O45-N45)/N45</f>
        <v>#DIV/0!</v>
      </c>
      <c r="P46" s="127" t="e">
        <f t="shared" ref="P46" si="154">(P45-O45)/O45</f>
        <v>#DIV/0!</v>
      </c>
      <c r="Q46" s="127" t="e">
        <f t="shared" ref="Q46" si="155">(Q45-P45)/P45</f>
        <v>#DIV/0!</v>
      </c>
      <c r="R46" s="127" t="e">
        <f t="shared" ref="R46" si="156">(R45-Q45)/Q45</f>
        <v>#DIV/0!</v>
      </c>
      <c r="S46" s="127" t="e">
        <f t="shared" ref="S46" si="157">(S45-R45)/R45</f>
        <v>#DIV/0!</v>
      </c>
      <c r="T46" s="127" t="e">
        <f t="shared" ref="T46:V46" si="158">(T45-S45)/S45</f>
        <v>#DIV/0!</v>
      </c>
      <c r="U46" s="127" t="e">
        <f t="shared" si="158"/>
        <v>#DIV/0!</v>
      </c>
      <c r="V46" s="127" t="e">
        <f t="shared" si="158"/>
        <v>#DIV/0!</v>
      </c>
      <c r="W46" s="10"/>
      <c r="X46" s="1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14"/>
      <c r="AJ46" s="130"/>
      <c r="AK46" s="114"/>
    </row>
    <row r="47" spans="1:37" x14ac:dyDescent="0.2">
      <c r="A47" s="176"/>
      <c r="B47" s="175" t="s">
        <v>502</v>
      </c>
      <c r="C47" s="118"/>
      <c r="D47" s="118"/>
      <c r="E47" s="124"/>
      <c r="F47" s="127"/>
      <c r="G47" s="127"/>
      <c r="H47" s="127"/>
      <c r="I47" s="127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01" t="e">
        <f t="shared" si="24"/>
        <v>#DIV/0!</v>
      </c>
      <c r="X47" s="21">
        <f t="shared" si="6"/>
        <v>0.15</v>
      </c>
      <c r="Y47" s="130">
        <f t="shared" ref="Y47" si="159">U47*(1+$X47)</f>
        <v>0</v>
      </c>
      <c r="Z47" s="130">
        <f t="shared" ref="Z47" si="160">Y47*(1+$X47)</f>
        <v>0</v>
      </c>
      <c r="AA47" s="130">
        <f t="shared" ref="AA47" si="161">Z47*(1+$X47)</f>
        <v>0</v>
      </c>
      <c r="AB47" s="130">
        <f t="shared" ref="AB47" si="162">AA47*(1+$X47)</f>
        <v>0</v>
      </c>
      <c r="AC47" s="130">
        <f t="shared" ref="AC47" si="163">AB47*(1+$X47)</f>
        <v>0</v>
      </c>
      <c r="AD47" s="130">
        <f t="shared" ref="AD47" si="164">AC47*(1+$X47)</f>
        <v>0</v>
      </c>
      <c r="AE47" s="130">
        <f t="shared" ref="AE47" si="165">AD47*(1+$X47)</f>
        <v>0</v>
      </c>
      <c r="AF47" s="130">
        <f t="shared" ref="AF47" si="166">AE47*(1+$X47)</f>
        <v>0</v>
      </c>
      <c r="AG47" s="130">
        <f t="shared" ref="AG47" si="167">AF47*(1+$X47)</f>
        <v>0</v>
      </c>
      <c r="AH47" s="130">
        <f t="shared" ref="AH47" si="168">AG47*(1+$X47)</f>
        <v>0</v>
      </c>
      <c r="AI47" s="115" t="e">
        <f t="shared" si="2"/>
        <v>#DIV/0!</v>
      </c>
      <c r="AJ47" s="21">
        <f t="shared" si="17"/>
        <v>0.01</v>
      </c>
      <c r="AK47" s="123" t="e">
        <f t="shared" si="23"/>
        <v>#DIV/0!</v>
      </c>
    </row>
    <row r="48" spans="1:37" x14ac:dyDescent="0.2">
      <c r="A48" s="176"/>
      <c r="B48" s="175"/>
      <c r="C48" s="118"/>
      <c r="D48" s="118"/>
      <c r="E48" s="124"/>
      <c r="F48" s="127"/>
      <c r="G48" s="127" t="e">
        <f t="shared" ref="G48" si="169">(G47-E47)/E47</f>
        <v>#DIV/0!</v>
      </c>
      <c r="H48" s="127" t="e">
        <f t="shared" ref="H48" si="170">(H47-F47)/F47</f>
        <v>#DIV/0!</v>
      </c>
      <c r="I48" s="127" t="e">
        <f t="shared" ref="I48" si="171">(I47-H47)/H47</f>
        <v>#DIV/0!</v>
      </c>
      <c r="J48" s="127" t="e">
        <f t="shared" ref="J48" si="172">(J47-I47)/I47</f>
        <v>#DIV/0!</v>
      </c>
      <c r="K48" s="127" t="e">
        <f t="shared" ref="K48" si="173">(K47-J47)/J47</f>
        <v>#DIV/0!</v>
      </c>
      <c r="L48" s="127" t="e">
        <f t="shared" ref="L48" si="174">(L47-K47)/K47</f>
        <v>#DIV/0!</v>
      </c>
      <c r="M48" s="127" t="e">
        <f t="shared" ref="M48" si="175">(M47-L47)/L47</f>
        <v>#DIV/0!</v>
      </c>
      <c r="N48" s="127" t="e">
        <f t="shared" ref="N48" si="176">(N47-M47)/M47</f>
        <v>#DIV/0!</v>
      </c>
      <c r="O48" s="127" t="e">
        <f t="shared" ref="O48" si="177">(O47-N47)/N47</f>
        <v>#DIV/0!</v>
      </c>
      <c r="P48" s="127" t="e">
        <f t="shared" ref="P48" si="178">(P47-O47)/O47</f>
        <v>#DIV/0!</v>
      </c>
      <c r="Q48" s="127" t="e">
        <f t="shared" ref="Q48" si="179">(Q47-P47)/P47</f>
        <v>#DIV/0!</v>
      </c>
      <c r="R48" s="127" t="e">
        <f t="shared" ref="R48" si="180">(R47-Q47)/Q47</f>
        <v>#DIV/0!</v>
      </c>
      <c r="S48" s="127" t="e">
        <f t="shared" ref="S48" si="181">(S47-R47)/R47</f>
        <v>#DIV/0!</v>
      </c>
      <c r="T48" s="127" t="e">
        <f t="shared" ref="T48" si="182">(T47-S47)/S47</f>
        <v>#DIV/0!</v>
      </c>
      <c r="U48" s="127" t="e">
        <f t="shared" ref="U48:V48" si="183">(U47-T47)/T47</f>
        <v>#DIV/0!</v>
      </c>
      <c r="V48" s="127" t="e">
        <f t="shared" si="183"/>
        <v>#DIV/0!</v>
      </c>
      <c r="W48" s="10"/>
      <c r="X48" s="1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14"/>
      <c r="AJ48" s="130"/>
      <c r="AK48" s="114"/>
    </row>
    <row r="49" spans="1:37" x14ac:dyDescent="0.2">
      <c r="A49" s="176"/>
      <c r="B49" s="175" t="s">
        <v>427</v>
      </c>
      <c r="C49" s="118"/>
      <c r="D49" s="118"/>
      <c r="E49" s="124"/>
      <c r="F49" s="178"/>
      <c r="G49" s="178">
        <f t="shared" ref="G49" si="184">H49</f>
        <v>0</v>
      </c>
      <c r="H49" s="178">
        <f t="shared" ref="H49:I49" si="185">I49</f>
        <v>0</v>
      </c>
      <c r="I49" s="178">
        <f t="shared" si="185"/>
        <v>0</v>
      </c>
      <c r="J49" s="178">
        <f>K49</f>
        <v>0</v>
      </c>
      <c r="K49" s="178">
        <v>0</v>
      </c>
      <c r="L49" s="178">
        <v>0</v>
      </c>
      <c r="M49" s="178">
        <v>0</v>
      </c>
      <c r="N49" s="178">
        <v>0</v>
      </c>
      <c r="O49" s="178">
        <v>0</v>
      </c>
      <c r="P49" s="178">
        <v>0</v>
      </c>
      <c r="Q49" s="178">
        <v>0</v>
      </c>
      <c r="R49" s="178">
        <v>0</v>
      </c>
      <c r="S49" s="178">
        <v>0</v>
      </c>
      <c r="T49" s="178">
        <v>0</v>
      </c>
      <c r="U49" s="178"/>
      <c r="V49" s="178"/>
      <c r="W49" s="101" t="e">
        <f t="shared" si="24"/>
        <v>#DIV/0!</v>
      </c>
      <c r="X49" s="21">
        <f t="shared" si="6"/>
        <v>0.15</v>
      </c>
      <c r="Y49" s="130">
        <f t="shared" si="7"/>
        <v>0</v>
      </c>
      <c r="Z49" s="130">
        <f t="shared" ref="Z49" si="186">Y49*(1+$X49)</f>
        <v>0</v>
      </c>
      <c r="AA49" s="130">
        <f t="shared" ref="AA49" si="187">Z49*(1+$X49)</f>
        <v>0</v>
      </c>
      <c r="AB49" s="130">
        <f t="shared" ref="AB49" si="188">AA49*(1+$X49)</f>
        <v>0</v>
      </c>
      <c r="AC49" s="130">
        <f t="shared" ref="AC49" si="189">AB49*(1+$X49)</f>
        <v>0</v>
      </c>
      <c r="AD49" s="130">
        <f t="shared" ref="AD49" si="190">AC49*(1+$X49)</f>
        <v>0</v>
      </c>
      <c r="AE49" s="130">
        <f t="shared" ref="AE49" si="191">AD49*(1+$X49)</f>
        <v>0</v>
      </c>
      <c r="AF49" s="130">
        <f t="shared" ref="AF49" si="192">AE49*(1+$X49)</f>
        <v>0</v>
      </c>
      <c r="AG49" s="130">
        <f t="shared" ref="AG49" si="193">AF49*(1+$X49)</f>
        <v>0</v>
      </c>
      <c r="AH49" s="130">
        <f t="shared" ref="AH49" si="194">AG49*(1+$X49)</f>
        <v>0</v>
      </c>
      <c r="AI49" s="115" t="e">
        <f t="shared" si="2"/>
        <v>#DIV/0!</v>
      </c>
      <c r="AJ49" s="21">
        <f t="shared" si="17"/>
        <v>0.01</v>
      </c>
      <c r="AK49" s="123" t="e">
        <f t="shared" si="23"/>
        <v>#DIV/0!</v>
      </c>
    </row>
    <row r="50" spans="1:37" x14ac:dyDescent="0.2">
      <c r="A50" s="176"/>
      <c r="B50" s="175"/>
      <c r="C50" s="118"/>
      <c r="D50" s="118"/>
      <c r="E50" s="124"/>
      <c r="F50" s="127"/>
      <c r="G50" s="127" t="e">
        <f t="shared" ref="G50" si="195">(G49-E49)/E49</f>
        <v>#DIV/0!</v>
      </c>
      <c r="H50" s="127" t="e">
        <f t="shared" ref="H50" si="196">(H49-F49)/F49</f>
        <v>#DIV/0!</v>
      </c>
      <c r="I50" s="127" t="e">
        <f t="shared" ref="I50" si="197">(I49-H49)/H49</f>
        <v>#DIV/0!</v>
      </c>
      <c r="J50" s="127" t="e">
        <f t="shared" ref="J50" si="198">(J49-I49)/I49</f>
        <v>#DIV/0!</v>
      </c>
      <c r="K50" s="127" t="e">
        <f t="shared" ref="K50" si="199">(K49-J49)/J49</f>
        <v>#DIV/0!</v>
      </c>
      <c r="L50" s="127" t="e">
        <f t="shared" ref="L50" si="200">(L49-K49)/K49</f>
        <v>#DIV/0!</v>
      </c>
      <c r="M50" s="127" t="e">
        <f t="shared" ref="M50" si="201">(M49-L49)/L49</f>
        <v>#DIV/0!</v>
      </c>
      <c r="N50" s="127" t="e">
        <f t="shared" ref="N50" si="202">(N49-M49)/M49</f>
        <v>#DIV/0!</v>
      </c>
      <c r="O50" s="127" t="e">
        <f t="shared" ref="O50" si="203">(O49-N49)/N49</f>
        <v>#DIV/0!</v>
      </c>
      <c r="P50" s="127" t="e">
        <f t="shared" ref="P50" si="204">(P49-O49)/O49</f>
        <v>#DIV/0!</v>
      </c>
      <c r="Q50" s="127" t="e">
        <f t="shared" ref="Q50" si="205">(Q49-P49)/P49</f>
        <v>#DIV/0!</v>
      </c>
      <c r="R50" s="127" t="e">
        <f t="shared" ref="R50" si="206">(R49-Q49)/Q49</f>
        <v>#DIV/0!</v>
      </c>
      <c r="S50" s="127" t="e">
        <f t="shared" ref="S50" si="207">(S49-R49)/R49</f>
        <v>#DIV/0!</v>
      </c>
      <c r="T50" s="127" t="e">
        <f t="shared" ref="T50:V50" si="208">(T49-S49)/S49</f>
        <v>#DIV/0!</v>
      </c>
      <c r="U50" s="127" t="e">
        <f t="shared" si="208"/>
        <v>#DIV/0!</v>
      </c>
      <c r="V50" s="127" t="e">
        <f t="shared" si="208"/>
        <v>#DIV/0!</v>
      </c>
      <c r="W50" s="10"/>
      <c r="X50" s="1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14"/>
      <c r="AJ50" s="130"/>
      <c r="AK50" s="114"/>
    </row>
    <row r="51" spans="1:37" x14ac:dyDescent="0.2">
      <c r="A51" s="176"/>
      <c r="B51" s="175" t="s">
        <v>418</v>
      </c>
      <c r="C51" s="118"/>
      <c r="D51" s="118"/>
      <c r="E51" s="124"/>
      <c r="F51" s="178"/>
      <c r="G51" s="178">
        <f t="shared" ref="G51" si="209">H51</f>
        <v>0</v>
      </c>
      <c r="H51" s="178">
        <f t="shared" ref="H51:I51" si="210">I51</f>
        <v>0</v>
      </c>
      <c r="I51" s="178">
        <f t="shared" si="210"/>
        <v>0</v>
      </c>
      <c r="J51" s="178">
        <f>K51</f>
        <v>0</v>
      </c>
      <c r="K51" s="178">
        <v>0</v>
      </c>
      <c r="L51" s="178">
        <v>0</v>
      </c>
      <c r="M51" s="178">
        <v>0</v>
      </c>
      <c r="N51" s="178">
        <v>0</v>
      </c>
      <c r="O51" s="178">
        <v>0</v>
      </c>
      <c r="P51" s="178">
        <v>0</v>
      </c>
      <c r="Q51" s="178">
        <v>0</v>
      </c>
      <c r="R51" s="178">
        <v>0</v>
      </c>
      <c r="S51" s="178">
        <v>0</v>
      </c>
      <c r="T51" s="178">
        <v>0</v>
      </c>
      <c r="U51" s="178"/>
      <c r="V51" s="178"/>
      <c r="W51" s="101" t="e">
        <f t="shared" si="24"/>
        <v>#DIV/0!</v>
      </c>
      <c r="X51" s="21">
        <f t="shared" si="6"/>
        <v>0.15</v>
      </c>
      <c r="Y51" s="130">
        <f t="shared" si="7"/>
        <v>0</v>
      </c>
      <c r="Z51" s="130">
        <f t="shared" si="85"/>
        <v>0</v>
      </c>
      <c r="AA51" s="130">
        <f t="shared" si="86"/>
        <v>0</v>
      </c>
      <c r="AB51" s="130">
        <f t="shared" si="87"/>
        <v>0</v>
      </c>
      <c r="AC51" s="130">
        <f t="shared" si="88"/>
        <v>0</v>
      </c>
      <c r="AD51" s="130">
        <f t="shared" si="89"/>
        <v>0</v>
      </c>
      <c r="AE51" s="130">
        <f t="shared" si="90"/>
        <v>0</v>
      </c>
      <c r="AF51" s="130">
        <f t="shared" si="91"/>
        <v>0</v>
      </c>
      <c r="AG51" s="130">
        <f t="shared" si="92"/>
        <v>0</v>
      </c>
      <c r="AH51" s="130">
        <f t="shared" si="93"/>
        <v>0</v>
      </c>
      <c r="AI51" s="115" t="e">
        <f t="shared" si="2"/>
        <v>#DIV/0!</v>
      </c>
      <c r="AJ51" s="21">
        <f t="shared" si="17"/>
        <v>0.01</v>
      </c>
      <c r="AK51" s="123" t="e">
        <f t="shared" si="23"/>
        <v>#DIV/0!</v>
      </c>
    </row>
    <row r="52" spans="1:37" x14ac:dyDescent="0.2">
      <c r="B52" s="10"/>
      <c r="C52" s="118"/>
      <c r="D52" s="118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01" t="e">
        <f t="shared" si="24"/>
        <v>#DIV/0!</v>
      </c>
      <c r="X52" s="1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14"/>
      <c r="AJ52" s="114"/>
      <c r="AK52" s="114"/>
    </row>
    <row r="53" spans="1:37" x14ac:dyDescent="0.2">
      <c r="B53" s="10" t="s">
        <v>229</v>
      </c>
      <c r="C53" s="118"/>
      <c r="D53" s="118"/>
      <c r="E53" s="124"/>
      <c r="F53" s="124"/>
      <c r="G53" s="124">
        <v>112</v>
      </c>
      <c r="H53" s="124">
        <v>111</v>
      </c>
      <c r="I53" s="124">
        <v>132</v>
      </c>
      <c r="J53" s="124">
        <v>172</v>
      </c>
      <c r="K53" s="124">
        <v>208</v>
      </c>
      <c r="L53" s="124">
        <v>210</v>
      </c>
      <c r="M53" s="124">
        <v>196</v>
      </c>
      <c r="N53" s="124">
        <v>214</v>
      </c>
      <c r="O53" s="124">
        <v>263</v>
      </c>
      <c r="P53" s="124">
        <v>359</v>
      </c>
      <c r="Q53" s="124">
        <v>531</v>
      </c>
      <c r="R53" s="124">
        <v>750</v>
      </c>
      <c r="S53" s="178">
        <v>1000</v>
      </c>
      <c r="T53" s="178">
        <v>1257</v>
      </c>
      <c r="U53" s="178">
        <v>1411</v>
      </c>
      <c r="V53" s="178">
        <v>1637</v>
      </c>
      <c r="W53" s="101">
        <f t="shared" si="24"/>
        <v>0.19579126623602772</v>
      </c>
      <c r="X53" s="21">
        <f t="shared" si="6"/>
        <v>0.15</v>
      </c>
      <c r="Y53" s="130">
        <f t="shared" si="7"/>
        <v>1622.6499999999999</v>
      </c>
      <c r="Z53" s="130">
        <f t="shared" ref="Z53" si="211">Y53*(1+$X53)</f>
        <v>1866.0474999999997</v>
      </c>
      <c r="AA53" s="130">
        <f t="shared" ref="AA53" si="212">Z53*(1+$X53)</f>
        <v>2145.9546249999994</v>
      </c>
      <c r="AB53" s="130">
        <f t="shared" ref="AB53" si="213">AA53*(1+$X53)</f>
        <v>2467.8478187499991</v>
      </c>
      <c r="AC53" s="130">
        <f t="shared" si="40"/>
        <v>2838.0249915624986</v>
      </c>
      <c r="AD53" s="130">
        <f t="shared" si="41"/>
        <v>3263.7287402968732</v>
      </c>
      <c r="AE53" s="130">
        <f t="shared" si="42"/>
        <v>3753.2880513414038</v>
      </c>
      <c r="AF53" s="130">
        <f t="shared" si="43"/>
        <v>4316.2812590426138</v>
      </c>
      <c r="AG53" s="130">
        <f t="shared" si="44"/>
        <v>4963.7234478990058</v>
      </c>
      <c r="AH53" s="130">
        <f t="shared" si="45"/>
        <v>5708.2819650838564</v>
      </c>
      <c r="AI53" s="115">
        <f t="shared" si="2"/>
        <v>0.17028461530664907</v>
      </c>
      <c r="AJ53" s="21">
        <f t="shared" si="17"/>
        <v>0.01</v>
      </c>
      <c r="AK53" s="123" t="e">
        <f t="shared" si="23"/>
        <v>#DIV/0!</v>
      </c>
    </row>
    <row r="54" spans="1:37" s="106" customFormat="1" x14ac:dyDescent="0.2">
      <c r="B54" s="13"/>
      <c r="C54" s="125"/>
      <c r="D54" s="125"/>
      <c r="E54" s="126"/>
      <c r="F54" s="266"/>
      <c r="G54" s="266">
        <f t="shared" ref="G54:P54" si="214">(G53-F53)/G53</f>
        <v>1</v>
      </c>
      <c r="H54" s="266">
        <f t="shared" si="214"/>
        <v>-9.0090090090090089E-3</v>
      </c>
      <c r="I54" s="266">
        <f t="shared" si="214"/>
        <v>0.15909090909090909</v>
      </c>
      <c r="J54" s="266">
        <f t="shared" si="214"/>
        <v>0.23255813953488372</v>
      </c>
      <c r="K54" s="266">
        <f t="shared" si="214"/>
        <v>0.17307692307692307</v>
      </c>
      <c r="L54" s="266">
        <f t="shared" si="214"/>
        <v>9.5238095238095247E-3</v>
      </c>
      <c r="M54" s="266">
        <f t="shared" si="214"/>
        <v>-7.1428571428571425E-2</v>
      </c>
      <c r="N54" s="266">
        <f t="shared" si="214"/>
        <v>8.4112149532710276E-2</v>
      </c>
      <c r="O54" s="266">
        <f t="shared" si="214"/>
        <v>0.18631178707224336</v>
      </c>
      <c r="P54" s="266">
        <f t="shared" si="214"/>
        <v>0.26740947075208915</v>
      </c>
      <c r="Q54" s="266">
        <f t="shared" ref="Q54:R54" si="215">(Q53-P53)/Q53</f>
        <v>0.3239171374764595</v>
      </c>
      <c r="R54" s="266">
        <f t="shared" si="215"/>
        <v>0.29199999999999998</v>
      </c>
      <c r="S54" s="127">
        <f t="shared" ref="S54:V54" si="216">(S53-R53)/R53</f>
        <v>0.33333333333333331</v>
      </c>
      <c r="T54" s="127">
        <f t="shared" si="216"/>
        <v>0.25700000000000001</v>
      </c>
      <c r="U54" s="127">
        <f t="shared" si="216"/>
        <v>0.12251392203659507</v>
      </c>
      <c r="V54" s="127">
        <f t="shared" si="216"/>
        <v>0.16017009213323885</v>
      </c>
      <c r="W54" s="10"/>
      <c r="X54" s="10"/>
      <c r="Y54" s="130"/>
      <c r="Z54" s="131"/>
      <c r="AA54" s="131"/>
      <c r="AB54" s="131"/>
      <c r="AC54" s="131"/>
      <c r="AD54" s="131"/>
      <c r="AE54" s="131"/>
      <c r="AF54" s="131"/>
      <c r="AG54" s="131"/>
      <c r="AH54" s="131"/>
      <c r="AI54" s="114"/>
      <c r="AJ54" s="114"/>
      <c r="AK54" s="114"/>
    </row>
    <row r="55" spans="1:37" s="106" customFormat="1" x14ac:dyDescent="0.2">
      <c r="B55" s="10" t="s">
        <v>342</v>
      </c>
      <c r="C55" s="125"/>
      <c r="D55" s="125"/>
      <c r="E55" s="126"/>
      <c r="F55" s="124"/>
      <c r="G55" s="124">
        <v>23</v>
      </c>
      <c r="H55" s="124">
        <v>28</v>
      </c>
      <c r="I55" s="124">
        <v>35</v>
      </c>
      <c r="J55" s="124">
        <v>40</v>
      </c>
      <c r="K55" s="124">
        <v>37</v>
      </c>
      <c r="L55" s="124">
        <v>43</v>
      </c>
      <c r="M55" s="124">
        <v>54</v>
      </c>
      <c r="N55" s="124">
        <v>58</v>
      </c>
      <c r="O55" s="124">
        <v>61</v>
      </c>
      <c r="P55" s="124">
        <v>75</v>
      </c>
      <c r="Q55" s="124">
        <v>106</v>
      </c>
      <c r="R55" s="124">
        <v>137</v>
      </c>
      <c r="S55" s="178">
        <v>254</v>
      </c>
      <c r="T55" s="178">
        <v>370</v>
      </c>
      <c r="U55" s="178">
        <v>431</v>
      </c>
      <c r="V55" s="178">
        <v>469</v>
      </c>
      <c r="W55" s="101">
        <f t="shared" si="24"/>
        <v>0.22263361978844176</v>
      </c>
      <c r="X55" s="21">
        <f t="shared" si="6"/>
        <v>0.15</v>
      </c>
      <c r="Y55" s="130">
        <f t="shared" si="7"/>
        <v>495.65</v>
      </c>
      <c r="Z55" s="130">
        <f t="shared" ref="Z55" si="217">Y55*(1+$X55)</f>
        <v>569.99749999999995</v>
      </c>
      <c r="AA55" s="130">
        <f t="shared" ref="AA55" si="218">Z55*(1+$X55)</f>
        <v>655.49712499999987</v>
      </c>
      <c r="AB55" s="130">
        <f t="shared" ref="AB55" si="219">AA55*(1+$X55)</f>
        <v>753.82169374999978</v>
      </c>
      <c r="AC55" s="130">
        <f t="shared" ref="AC55" si="220">AB55*(1+$X55)</f>
        <v>866.89494781249971</v>
      </c>
      <c r="AD55" s="130">
        <f t="shared" ref="AD55" si="221">AC55*(1+$X55)</f>
        <v>996.9291899843746</v>
      </c>
      <c r="AE55" s="130">
        <f t="shared" ref="AE55" si="222">AD55*(1+$X55)</f>
        <v>1146.4685684820306</v>
      </c>
      <c r="AF55" s="130">
        <f t="shared" ref="AF55" si="223">AE55*(1+$X55)</f>
        <v>1318.438853754335</v>
      </c>
      <c r="AG55" s="130">
        <f t="shared" ref="AG55" si="224">AF55*(1+$X55)</f>
        <v>1516.2046818174852</v>
      </c>
      <c r="AH55" s="130">
        <f t="shared" ref="AH55" si="225">AG55*(1+$X55)</f>
        <v>1743.6353840901079</v>
      </c>
      <c r="AI55" s="115">
        <f t="shared" si="2"/>
        <v>0.18901987335987402</v>
      </c>
      <c r="AJ55" s="21">
        <f t="shared" si="17"/>
        <v>0.01</v>
      </c>
      <c r="AK55" s="123" t="e">
        <f t="shared" si="23"/>
        <v>#DIV/0!</v>
      </c>
    </row>
    <row r="56" spans="1:37" s="106" customFormat="1" x14ac:dyDescent="0.2">
      <c r="B56" s="13"/>
      <c r="C56" s="125"/>
      <c r="D56" s="125"/>
      <c r="E56" s="126"/>
      <c r="F56" s="266"/>
      <c r="G56" s="266">
        <f t="shared" ref="G56:P56" si="226">(G55-F55)/G55</f>
        <v>1</v>
      </c>
      <c r="H56" s="266">
        <f t="shared" si="226"/>
        <v>0.17857142857142858</v>
      </c>
      <c r="I56" s="266">
        <f t="shared" si="226"/>
        <v>0.2</v>
      </c>
      <c r="J56" s="266">
        <f t="shared" si="226"/>
        <v>0.125</v>
      </c>
      <c r="K56" s="266">
        <f t="shared" si="226"/>
        <v>-8.1081081081081086E-2</v>
      </c>
      <c r="L56" s="266">
        <f t="shared" si="226"/>
        <v>0.13953488372093023</v>
      </c>
      <c r="M56" s="266">
        <f t="shared" si="226"/>
        <v>0.20370370370370369</v>
      </c>
      <c r="N56" s="266">
        <f t="shared" si="226"/>
        <v>6.8965517241379309E-2</v>
      </c>
      <c r="O56" s="266">
        <f t="shared" si="226"/>
        <v>4.9180327868852458E-2</v>
      </c>
      <c r="P56" s="266">
        <f t="shared" si="226"/>
        <v>0.18666666666666668</v>
      </c>
      <c r="Q56" s="266">
        <f t="shared" ref="Q56:R56" si="227">(Q55-P55)/Q55</f>
        <v>0.29245283018867924</v>
      </c>
      <c r="R56" s="266">
        <f t="shared" si="227"/>
        <v>0.22627737226277372</v>
      </c>
      <c r="S56" s="127">
        <f t="shared" ref="S56:V56" si="228">(S55-R55)/R55</f>
        <v>0.85401459854014594</v>
      </c>
      <c r="T56" s="127">
        <f t="shared" si="228"/>
        <v>0.45669291338582679</v>
      </c>
      <c r="U56" s="127">
        <f t="shared" si="228"/>
        <v>0.16486486486486487</v>
      </c>
      <c r="V56" s="127">
        <f t="shared" si="228"/>
        <v>8.8167053364269138E-2</v>
      </c>
      <c r="W56" s="10"/>
      <c r="X56" s="10"/>
      <c r="Y56" s="130"/>
      <c r="Z56" s="131"/>
      <c r="AA56" s="131"/>
      <c r="AB56" s="131"/>
      <c r="AC56" s="131"/>
      <c r="AD56" s="131"/>
      <c r="AE56" s="131"/>
      <c r="AF56" s="131"/>
      <c r="AG56" s="131"/>
      <c r="AH56" s="131"/>
      <c r="AI56" s="114"/>
      <c r="AJ56" s="114"/>
      <c r="AK56" s="114"/>
    </row>
    <row r="57" spans="1:37" s="106" customFormat="1" x14ac:dyDescent="0.2">
      <c r="B57" s="10" t="s">
        <v>501</v>
      </c>
      <c r="C57" s="125"/>
      <c r="D57" s="125"/>
      <c r="E57" s="126"/>
      <c r="F57" s="266"/>
      <c r="G57" s="124">
        <v>0.56999999999999995</v>
      </c>
      <c r="H57" s="124">
        <v>0.49</v>
      </c>
      <c r="I57" s="124">
        <v>0.45</v>
      </c>
      <c r="J57" s="124">
        <v>0.41</v>
      </c>
      <c r="K57" s="124">
        <v>0.35</v>
      </c>
      <c r="L57" s="124">
        <v>0.28999999999999998</v>
      </c>
      <c r="M57" s="124">
        <v>0.28000000000000003</v>
      </c>
      <c r="N57" s="124">
        <v>0.34</v>
      </c>
      <c r="O57" s="124">
        <v>0.55000000000000004</v>
      </c>
      <c r="P57" s="124">
        <v>1.1599999999999999</v>
      </c>
      <c r="Q57" s="124">
        <v>2</v>
      </c>
      <c r="R57" s="124">
        <v>3</v>
      </c>
      <c r="S57" s="178">
        <v>3</v>
      </c>
      <c r="T57" s="178">
        <v>3</v>
      </c>
      <c r="U57" s="178">
        <v>3</v>
      </c>
      <c r="V57" s="178">
        <v>3</v>
      </c>
      <c r="W57" s="101">
        <f t="shared" si="24"/>
        <v>0.11707695691496167</v>
      </c>
      <c r="X57" s="21">
        <f t="shared" si="6"/>
        <v>0.15</v>
      </c>
      <c r="Y57" s="130">
        <f t="shared" ref="Y57" si="229">U57*(1+$X57)</f>
        <v>3.4499999999999997</v>
      </c>
      <c r="Z57" s="130">
        <f t="shared" ref="Z57" si="230">Y57*(1+$X57)</f>
        <v>3.9674999999999994</v>
      </c>
      <c r="AA57" s="130">
        <f t="shared" ref="AA57" si="231">Z57*(1+$X57)</f>
        <v>4.5626249999999988</v>
      </c>
      <c r="AB57" s="130">
        <f t="shared" ref="AB57" si="232">AA57*(1+$X57)</f>
        <v>5.2470187499999978</v>
      </c>
      <c r="AC57" s="130">
        <f t="shared" ref="AC57" si="233">AB57*(1+$X57)</f>
        <v>6.0340715624999968</v>
      </c>
      <c r="AD57" s="130">
        <f t="shared" ref="AD57" si="234">AC57*(1+$X57)</f>
        <v>6.9391822968749954</v>
      </c>
      <c r="AE57" s="130">
        <f t="shared" ref="AE57" si="235">AD57*(1+$X57)</f>
        <v>7.9800596414062444</v>
      </c>
      <c r="AF57" s="130">
        <f t="shared" ref="AF57" si="236">AE57*(1+$X57)</f>
        <v>9.17706858761718</v>
      </c>
      <c r="AG57" s="130">
        <f t="shared" ref="AG57" si="237">AF57*(1+$X57)</f>
        <v>10.553628875759756</v>
      </c>
      <c r="AH57" s="130">
        <f t="shared" ref="AH57" si="238">AG57*(1+$X57)</f>
        <v>12.136673207123719</v>
      </c>
      <c r="AI57" s="115">
        <f t="shared" si="2"/>
        <v>0.13013153117798137</v>
      </c>
      <c r="AJ57" s="21">
        <f t="shared" si="17"/>
        <v>0.01</v>
      </c>
      <c r="AK57" s="123" t="e">
        <f t="shared" si="23"/>
        <v>#DIV/0!</v>
      </c>
    </row>
    <row r="58" spans="1:37" s="106" customFormat="1" x14ac:dyDescent="0.2">
      <c r="B58" s="13"/>
      <c r="C58" s="125"/>
      <c r="D58" s="125"/>
      <c r="E58" s="126"/>
      <c r="F58" s="266"/>
      <c r="G58" s="266">
        <f t="shared" ref="G58" si="239">(G57-F57)/G57</f>
        <v>1</v>
      </c>
      <c r="H58" s="266">
        <f t="shared" ref="H58" si="240">(H57-G57)/H57</f>
        <v>-0.16326530612244891</v>
      </c>
      <c r="I58" s="266">
        <f t="shared" ref="I58" si="241">(I57-H57)/I57</f>
        <v>-8.8888888888888837E-2</v>
      </c>
      <c r="J58" s="266">
        <f t="shared" ref="J58" si="242">(J57-I57)/J57</f>
        <v>-9.7560975609756184E-2</v>
      </c>
      <c r="K58" s="266">
        <f t="shared" ref="K58" si="243">(K57-J57)/K57</f>
        <v>-0.17142857142857143</v>
      </c>
      <c r="L58" s="266">
        <f t="shared" ref="L58" si="244">(L57-K57)/L57</f>
        <v>-0.20689655172413793</v>
      </c>
      <c r="M58" s="266">
        <f t="shared" ref="M58" si="245">(M57-L57)/M57</f>
        <v>-3.5714285714285546E-2</v>
      </c>
      <c r="N58" s="266">
        <f t="shared" ref="N58" si="246">(N57-M57)/N57</f>
        <v>0.1764705882352941</v>
      </c>
      <c r="O58" s="266">
        <f t="shared" ref="O58" si="247">(O57-N57)/O57</f>
        <v>0.38181818181818183</v>
      </c>
      <c r="P58" s="266">
        <f t="shared" ref="P58" si="248">(P57-O57)/P57</f>
        <v>0.52586206896551713</v>
      </c>
      <c r="Q58" s="266">
        <f t="shared" ref="Q58" si="249">(Q57-P57)/Q57</f>
        <v>0.42000000000000004</v>
      </c>
      <c r="R58" s="266">
        <f t="shared" ref="R58" si="250">(R57-Q57)/R57</f>
        <v>0.33333333333333331</v>
      </c>
      <c r="S58" s="127">
        <f t="shared" ref="S58" si="251">(S57-R57)/R57</f>
        <v>0</v>
      </c>
      <c r="T58" s="127">
        <f t="shared" ref="T58" si="252">(T57-S57)/S57</f>
        <v>0</v>
      </c>
      <c r="U58" s="127">
        <f t="shared" ref="U58:V58" si="253">(U57-T57)/T57</f>
        <v>0</v>
      </c>
      <c r="V58" s="127">
        <f t="shared" si="253"/>
        <v>0</v>
      </c>
      <c r="W58" s="10"/>
      <c r="X58" s="10"/>
      <c r="Y58" s="130"/>
      <c r="Z58" s="131"/>
      <c r="AA58" s="131"/>
      <c r="AB58" s="131"/>
      <c r="AC58" s="131"/>
      <c r="AD58" s="131"/>
      <c r="AE58" s="131"/>
      <c r="AF58" s="131"/>
      <c r="AG58" s="131"/>
      <c r="AH58" s="131"/>
      <c r="AI58" s="114"/>
      <c r="AJ58" s="114"/>
      <c r="AK58" s="114"/>
    </row>
    <row r="59" spans="1:37" x14ac:dyDescent="0.2">
      <c r="B59" s="10" t="s">
        <v>343</v>
      </c>
      <c r="C59" s="118"/>
      <c r="D59" s="118"/>
      <c r="E59" s="124"/>
      <c r="F59" s="124"/>
      <c r="G59" s="124">
        <v>20</v>
      </c>
      <c r="H59" s="124">
        <v>21</v>
      </c>
      <c r="I59" s="124">
        <v>27</v>
      </c>
      <c r="J59" s="124">
        <v>30</v>
      </c>
      <c r="K59" s="124">
        <v>28</v>
      </c>
      <c r="L59" s="124">
        <v>31</v>
      </c>
      <c r="M59" s="124">
        <v>39</v>
      </c>
      <c r="N59" s="124">
        <v>42</v>
      </c>
      <c r="O59" s="124">
        <v>43</v>
      </c>
      <c r="P59" s="124">
        <v>54</v>
      </c>
      <c r="Q59" s="124">
        <v>75</v>
      </c>
      <c r="R59" s="124">
        <v>86</v>
      </c>
      <c r="S59" s="178">
        <v>157</v>
      </c>
      <c r="T59" s="178">
        <v>235</v>
      </c>
      <c r="U59" s="178">
        <v>286</v>
      </c>
      <c r="V59" s="178">
        <v>296</v>
      </c>
      <c r="W59" s="101">
        <f t="shared" si="24"/>
        <v>0.19678861108190193</v>
      </c>
      <c r="X59" s="21">
        <f t="shared" si="6"/>
        <v>0.15</v>
      </c>
      <c r="Y59" s="130">
        <f t="shared" si="7"/>
        <v>328.9</v>
      </c>
      <c r="Z59" s="130">
        <f t="shared" ref="Z59:AH59" si="254">Y59*(1+$X59)</f>
        <v>378.23499999999996</v>
      </c>
      <c r="AA59" s="130">
        <f t="shared" si="254"/>
        <v>434.97024999999991</v>
      </c>
      <c r="AB59" s="130">
        <f t="shared" si="254"/>
        <v>500.21578749999986</v>
      </c>
      <c r="AC59" s="130">
        <f t="shared" si="254"/>
        <v>575.24815562499975</v>
      </c>
      <c r="AD59" s="130">
        <f t="shared" si="254"/>
        <v>661.53537896874968</v>
      </c>
      <c r="AE59" s="130">
        <f t="shared" si="254"/>
        <v>760.76568581406207</v>
      </c>
      <c r="AF59" s="130">
        <f t="shared" si="254"/>
        <v>874.88053868617135</v>
      </c>
      <c r="AG59" s="130">
        <f t="shared" si="254"/>
        <v>1006.112619489097</v>
      </c>
      <c r="AH59" s="130">
        <f t="shared" si="254"/>
        <v>1157.0295124124616</v>
      </c>
      <c r="AI59" s="115">
        <f t="shared" si="2"/>
        <v>0.17623088200333492</v>
      </c>
      <c r="AJ59" s="21">
        <f t="shared" si="17"/>
        <v>0.01</v>
      </c>
      <c r="AK59" s="123" t="e">
        <f t="shared" si="23"/>
        <v>#DIV/0!</v>
      </c>
    </row>
    <row r="60" spans="1:37" s="106" customFormat="1" x14ac:dyDescent="0.2">
      <c r="B60" s="13"/>
      <c r="C60" s="125"/>
      <c r="D60" s="125"/>
      <c r="E60" s="126"/>
      <c r="F60" s="266"/>
      <c r="G60" s="266">
        <f>(G59-F59)/G59</f>
        <v>1</v>
      </c>
      <c r="H60" s="266">
        <f t="shared" ref="H60:P60" si="255">(H59-G59)/H59</f>
        <v>4.7619047619047616E-2</v>
      </c>
      <c r="I60" s="266">
        <f t="shared" si="255"/>
        <v>0.22222222222222221</v>
      </c>
      <c r="J60" s="266">
        <f t="shared" si="255"/>
        <v>0.1</v>
      </c>
      <c r="K60" s="266">
        <f t="shared" si="255"/>
        <v>-7.1428571428571425E-2</v>
      </c>
      <c r="L60" s="266">
        <f t="shared" si="255"/>
        <v>9.6774193548387094E-2</v>
      </c>
      <c r="M60" s="266">
        <f t="shared" si="255"/>
        <v>0.20512820512820512</v>
      </c>
      <c r="N60" s="266">
        <f t="shared" si="255"/>
        <v>7.1428571428571425E-2</v>
      </c>
      <c r="O60" s="266">
        <f t="shared" si="255"/>
        <v>2.3255813953488372E-2</v>
      </c>
      <c r="P60" s="266">
        <f t="shared" si="255"/>
        <v>0.20370370370370369</v>
      </c>
      <c r="Q60" s="266">
        <f t="shared" ref="Q60:R60" si="256">(Q59-P59)/Q59</f>
        <v>0.28000000000000003</v>
      </c>
      <c r="R60" s="266">
        <f t="shared" si="256"/>
        <v>0.12790697674418605</v>
      </c>
      <c r="S60" s="127">
        <f t="shared" ref="S60:V60" si="257">(S59-R59)/R59</f>
        <v>0.82558139534883723</v>
      </c>
      <c r="T60" s="127">
        <f t="shared" si="257"/>
        <v>0.49681528662420382</v>
      </c>
      <c r="U60" s="127">
        <f t="shared" si="257"/>
        <v>0.21702127659574469</v>
      </c>
      <c r="V60" s="127">
        <f t="shared" si="257"/>
        <v>3.4965034965034968E-2</v>
      </c>
      <c r="W60" s="10"/>
      <c r="X60" s="10"/>
      <c r="Y60" s="130"/>
      <c r="Z60" s="131"/>
      <c r="AA60" s="131"/>
      <c r="AB60" s="131"/>
      <c r="AC60" s="131"/>
      <c r="AD60" s="131"/>
      <c r="AE60" s="131"/>
      <c r="AF60" s="131"/>
      <c r="AG60" s="131"/>
      <c r="AH60" s="131"/>
      <c r="AI60" s="114"/>
      <c r="AJ60" s="114"/>
      <c r="AK60" s="114"/>
    </row>
    <row r="61" spans="1:37" x14ac:dyDescent="0.2">
      <c r="B61" s="10" t="s">
        <v>197</v>
      </c>
      <c r="C61" s="119"/>
      <c r="D61" s="119"/>
      <c r="E61" s="122"/>
      <c r="F61" s="124"/>
      <c r="G61" s="268">
        <v>2.04</v>
      </c>
      <c r="H61" s="268">
        <v>2.04</v>
      </c>
      <c r="I61" s="268">
        <v>2.04</v>
      </c>
      <c r="J61" s="268">
        <v>2.04</v>
      </c>
      <c r="K61" s="268">
        <v>2.04</v>
      </c>
      <c r="L61" s="268">
        <v>2.04</v>
      </c>
      <c r="M61" s="268">
        <v>2.04</v>
      </c>
      <c r="N61" s="268">
        <v>2.04</v>
      </c>
      <c r="O61" s="268">
        <v>2.04</v>
      </c>
      <c r="P61" s="268">
        <v>2.04</v>
      </c>
      <c r="Q61" s="122">
        <v>2.04</v>
      </c>
      <c r="R61" s="122">
        <v>2.66</v>
      </c>
      <c r="S61" s="122">
        <v>2.66</v>
      </c>
      <c r="T61" s="122">
        <v>2.66</v>
      </c>
      <c r="U61" s="122">
        <v>13.31</v>
      </c>
      <c r="V61" s="122">
        <v>13.31</v>
      </c>
      <c r="W61" s="101">
        <f t="shared" si="24"/>
        <v>0.13319119808733104</v>
      </c>
      <c r="X61" s="21">
        <v>0.02</v>
      </c>
      <c r="Y61" s="130">
        <f t="shared" si="7"/>
        <v>13.5762</v>
      </c>
      <c r="Z61" s="130">
        <f>Y61*(1+$X61)</f>
        <v>13.847723999999999</v>
      </c>
      <c r="AA61" s="130">
        <f t="shared" ref="AA61:AH61" si="258">Z61*(1+$X61)</f>
        <v>14.12467848</v>
      </c>
      <c r="AB61" s="130">
        <f t="shared" si="258"/>
        <v>14.4071720496</v>
      </c>
      <c r="AC61" s="130">
        <f t="shared" si="258"/>
        <v>14.695315490592</v>
      </c>
      <c r="AD61" s="130">
        <f t="shared" si="258"/>
        <v>14.98922180040384</v>
      </c>
      <c r="AE61" s="130">
        <f t="shared" si="258"/>
        <v>15.289006236411916</v>
      </c>
      <c r="AF61" s="130">
        <f t="shared" si="258"/>
        <v>15.594786361140155</v>
      </c>
      <c r="AG61" s="130">
        <f t="shared" si="258"/>
        <v>15.906682088362958</v>
      </c>
      <c r="AH61" s="130">
        <f t="shared" si="258"/>
        <v>16.224815730130217</v>
      </c>
      <c r="AI61" s="115">
        <f t="shared" si="2"/>
        <v>8.6480620474598258E-2</v>
      </c>
      <c r="AJ61" s="21">
        <f t="shared" si="17"/>
        <v>0.01</v>
      </c>
      <c r="AK61" s="123" t="e">
        <f t="shared" si="23"/>
        <v>#DIV/0!</v>
      </c>
    </row>
    <row r="62" spans="1:37" x14ac:dyDescent="0.2">
      <c r="B62" s="10"/>
      <c r="C62" s="119"/>
      <c r="D62" s="119"/>
      <c r="E62" s="120"/>
      <c r="F62" s="266"/>
      <c r="G62" s="266">
        <f t="shared" ref="G62" si="259">(G61-E61)/G61</f>
        <v>1</v>
      </c>
      <c r="H62" s="266">
        <f>(H61-F61)/H61</f>
        <v>1</v>
      </c>
      <c r="I62" s="266">
        <f t="shared" ref="I62:R62" si="260">(I61-H61)/I61</f>
        <v>0</v>
      </c>
      <c r="J62" s="266">
        <f t="shared" si="260"/>
        <v>0</v>
      </c>
      <c r="K62" s="266">
        <f t="shared" si="260"/>
        <v>0</v>
      </c>
      <c r="L62" s="266">
        <f t="shared" si="260"/>
        <v>0</v>
      </c>
      <c r="M62" s="266">
        <f t="shared" si="260"/>
        <v>0</v>
      </c>
      <c r="N62" s="266">
        <f t="shared" si="260"/>
        <v>0</v>
      </c>
      <c r="O62" s="266">
        <f t="shared" si="260"/>
        <v>0</v>
      </c>
      <c r="P62" s="266">
        <f t="shared" si="260"/>
        <v>0</v>
      </c>
      <c r="Q62" s="266">
        <f t="shared" si="260"/>
        <v>0</v>
      </c>
      <c r="R62" s="266">
        <f t="shared" si="260"/>
        <v>0.23308270676691731</v>
      </c>
      <c r="S62" s="127">
        <f t="shared" ref="S62:V62" si="261">(S61-R61)/R61</f>
        <v>0</v>
      </c>
      <c r="T62" s="127">
        <f t="shared" si="261"/>
        <v>0</v>
      </c>
      <c r="U62" s="127">
        <f t="shared" si="261"/>
        <v>4.003759398496241</v>
      </c>
      <c r="V62" s="127">
        <f t="shared" si="261"/>
        <v>0</v>
      </c>
      <c r="W62" s="10"/>
      <c r="X62" s="10"/>
      <c r="Y62" s="130"/>
      <c r="Z62" s="130"/>
      <c r="AA62" s="130"/>
      <c r="AB62" s="130"/>
      <c r="AC62" s="130"/>
      <c r="AD62" s="130"/>
      <c r="AE62" s="130"/>
      <c r="AF62" s="130"/>
      <c r="AG62" s="130"/>
      <c r="AH62" s="130"/>
      <c r="AI62" s="114"/>
      <c r="AJ62" s="114"/>
      <c r="AK62" s="114"/>
    </row>
    <row r="63" spans="1:37" x14ac:dyDescent="0.2">
      <c r="B63" s="10" t="s">
        <v>232</v>
      </c>
      <c r="C63" s="122"/>
      <c r="D63" s="122"/>
      <c r="E63" s="122"/>
      <c r="F63" s="124"/>
      <c r="G63" s="269">
        <v>0.1</v>
      </c>
      <c r="H63" s="269">
        <v>0</v>
      </c>
      <c r="I63" s="269">
        <v>0</v>
      </c>
      <c r="J63" s="269">
        <v>0</v>
      </c>
      <c r="K63" s="269">
        <v>0</v>
      </c>
      <c r="L63" s="269">
        <v>0</v>
      </c>
      <c r="M63" s="269">
        <v>0</v>
      </c>
      <c r="N63" s="269">
        <v>0</v>
      </c>
      <c r="O63" s="269">
        <v>0</v>
      </c>
      <c r="P63" s="269">
        <v>0</v>
      </c>
      <c r="Q63" s="124">
        <v>0</v>
      </c>
      <c r="R63" s="124">
        <v>0</v>
      </c>
      <c r="S63" s="178">
        <v>0</v>
      </c>
      <c r="T63" s="178">
        <v>0</v>
      </c>
      <c r="U63" s="178">
        <v>0</v>
      </c>
      <c r="V63" s="178">
        <v>1</v>
      </c>
      <c r="W63" s="101">
        <f t="shared" si="24"/>
        <v>0.16591440117983169</v>
      </c>
      <c r="X63" s="21">
        <v>0.02</v>
      </c>
      <c r="Y63" s="130">
        <f t="shared" si="7"/>
        <v>0</v>
      </c>
      <c r="Z63" s="130">
        <f t="shared" ref="Z63" si="262">Y63*(1+$X63)</f>
        <v>0</v>
      </c>
      <c r="AA63" s="130">
        <f t="shared" ref="AA63" si="263">Z63*(1+$X63)</f>
        <v>0</v>
      </c>
      <c r="AB63" s="130">
        <f t="shared" ref="AB63" si="264">AA63*(1+$X63)</f>
        <v>0</v>
      </c>
      <c r="AC63" s="130">
        <f t="shared" ref="AC63" si="265">AB63*(1+$X63)</f>
        <v>0</v>
      </c>
      <c r="AD63" s="130">
        <f t="shared" ref="AD63" si="266">AC63*(1+$X63)</f>
        <v>0</v>
      </c>
      <c r="AE63" s="130">
        <f t="shared" ref="AE63" si="267">AD63*(1+$X63)</f>
        <v>0</v>
      </c>
      <c r="AF63" s="130">
        <f t="shared" ref="AF63" si="268">AE63*(1+$X63)</f>
        <v>0</v>
      </c>
      <c r="AG63" s="130">
        <f t="shared" ref="AG63" si="269">AF63*(1+$X63)</f>
        <v>0</v>
      </c>
      <c r="AH63" s="130">
        <f t="shared" ref="AH63" si="270">AG63*(1+$X63)</f>
        <v>0</v>
      </c>
      <c r="AI63" s="115">
        <f t="shared" si="2"/>
        <v>-1</v>
      </c>
      <c r="AJ63" s="21">
        <f t="shared" si="17"/>
        <v>0.01</v>
      </c>
      <c r="AK63" s="123" t="e">
        <f t="shared" si="23"/>
        <v>#DIV/0!</v>
      </c>
    </row>
    <row r="64" spans="1:37" x14ac:dyDescent="0.2">
      <c r="B64" s="10"/>
      <c r="C64" s="122"/>
      <c r="D64" s="122"/>
      <c r="E64" s="122"/>
      <c r="F64" s="127"/>
      <c r="G64" s="127" t="e">
        <f t="shared" ref="G64" si="271">(G63-E63)/E63</f>
        <v>#DIV/0!</v>
      </c>
      <c r="H64" s="127" t="e">
        <f t="shared" ref="H64" si="272">(H63-F63)/F63</f>
        <v>#DIV/0!</v>
      </c>
      <c r="I64" s="127" t="e">
        <f t="shared" ref="I64" si="273">(I63-H63)/H63</f>
        <v>#DIV/0!</v>
      </c>
      <c r="J64" s="127" t="e">
        <f t="shared" ref="J64:V64" si="274">(J63-I63)/I63</f>
        <v>#DIV/0!</v>
      </c>
      <c r="K64" s="127" t="e">
        <f t="shared" si="274"/>
        <v>#DIV/0!</v>
      </c>
      <c r="L64" s="127" t="e">
        <f t="shared" si="274"/>
        <v>#DIV/0!</v>
      </c>
      <c r="M64" s="127" t="e">
        <f t="shared" si="274"/>
        <v>#DIV/0!</v>
      </c>
      <c r="N64" s="127" t="e">
        <f t="shared" si="274"/>
        <v>#DIV/0!</v>
      </c>
      <c r="O64" s="127" t="e">
        <f t="shared" si="274"/>
        <v>#DIV/0!</v>
      </c>
      <c r="P64" s="127" t="e">
        <f t="shared" si="274"/>
        <v>#DIV/0!</v>
      </c>
      <c r="Q64" s="127" t="e">
        <f t="shared" si="274"/>
        <v>#DIV/0!</v>
      </c>
      <c r="R64" s="127" t="e">
        <f t="shared" si="274"/>
        <v>#DIV/0!</v>
      </c>
      <c r="S64" s="127" t="e">
        <f t="shared" si="274"/>
        <v>#DIV/0!</v>
      </c>
      <c r="T64" s="127" t="e">
        <f t="shared" si="274"/>
        <v>#DIV/0!</v>
      </c>
      <c r="U64" s="127" t="e">
        <f t="shared" si="274"/>
        <v>#DIV/0!</v>
      </c>
      <c r="V64" s="127" t="e">
        <f t="shared" si="274"/>
        <v>#DIV/0!</v>
      </c>
      <c r="W64" s="10"/>
      <c r="X64" s="10"/>
      <c r="Y64" s="130"/>
      <c r="Z64" s="130"/>
      <c r="AA64" s="130"/>
      <c r="AB64" s="130"/>
      <c r="AC64" s="130"/>
      <c r="AD64" s="130"/>
      <c r="AE64" s="130"/>
      <c r="AF64" s="130"/>
      <c r="AG64" s="130"/>
      <c r="AH64" s="130"/>
      <c r="AI64" s="116"/>
      <c r="AJ64" s="114"/>
      <c r="AK64" s="123"/>
    </row>
    <row r="65" spans="2:37" x14ac:dyDescent="0.2">
      <c r="B65" s="10" t="s">
        <v>368</v>
      </c>
      <c r="C65" s="10"/>
      <c r="D65" s="10"/>
      <c r="E65" s="108"/>
      <c r="F65" s="124"/>
      <c r="G65" s="124">
        <v>0</v>
      </c>
      <c r="H65" s="124">
        <v>0</v>
      </c>
      <c r="I65" s="124">
        <v>0</v>
      </c>
      <c r="J65" s="124">
        <v>0</v>
      </c>
      <c r="K65" s="124">
        <v>0</v>
      </c>
      <c r="L65" s="124">
        <v>0</v>
      </c>
      <c r="M65" s="124">
        <v>0</v>
      </c>
      <c r="N65" s="124">
        <v>0</v>
      </c>
      <c r="O65" s="124">
        <v>0</v>
      </c>
      <c r="P65" s="124">
        <v>0</v>
      </c>
      <c r="Q65" s="124">
        <v>0</v>
      </c>
      <c r="R65" s="124">
        <v>0</v>
      </c>
      <c r="S65" s="124">
        <v>0</v>
      </c>
      <c r="T65" s="124">
        <v>0</v>
      </c>
      <c r="U65" s="124" t="s">
        <v>509</v>
      </c>
      <c r="V65" s="124">
        <v>0</v>
      </c>
      <c r="W65" s="101" t="e">
        <f t="shared" si="24"/>
        <v>#DIV/0!</v>
      </c>
      <c r="X65" s="109"/>
      <c r="Y65" s="130"/>
      <c r="Z65" s="130"/>
      <c r="AA65" s="130"/>
      <c r="AB65" s="130"/>
      <c r="AC65" s="130"/>
      <c r="AD65" s="130"/>
      <c r="AE65" s="130"/>
      <c r="AF65" s="130"/>
      <c r="AG65" s="130"/>
      <c r="AH65" s="130"/>
      <c r="AI65" s="116"/>
      <c r="AJ65" s="114"/>
      <c r="AK65" s="123"/>
    </row>
    <row r="66" spans="2:37" x14ac:dyDescent="0.2">
      <c r="B66" s="10" t="s">
        <v>366</v>
      </c>
      <c r="C66" s="10"/>
      <c r="D66" s="10"/>
      <c r="E66" s="108"/>
      <c r="F66" s="124"/>
      <c r="G66" s="124">
        <v>0</v>
      </c>
      <c r="H66" s="124">
        <v>0</v>
      </c>
      <c r="I66" s="124">
        <v>0</v>
      </c>
      <c r="J66" s="124">
        <v>0</v>
      </c>
      <c r="K66" s="124">
        <v>0</v>
      </c>
      <c r="L66" s="124">
        <v>0</v>
      </c>
      <c r="M66" s="124">
        <v>0</v>
      </c>
      <c r="N66" s="124">
        <v>0</v>
      </c>
      <c r="O66" s="124">
        <v>0</v>
      </c>
      <c r="P66" s="124">
        <v>0</v>
      </c>
      <c r="Q66" s="124">
        <v>0</v>
      </c>
      <c r="R66" s="124">
        <v>0</v>
      </c>
      <c r="S66" s="124">
        <v>0</v>
      </c>
      <c r="T66" s="124">
        <v>0</v>
      </c>
      <c r="U66" s="124">
        <v>0</v>
      </c>
      <c r="V66" s="124"/>
      <c r="W66" s="101" t="e">
        <f t="shared" si="24"/>
        <v>#DIV/0!</v>
      </c>
      <c r="X66" s="109"/>
      <c r="Y66" s="130"/>
      <c r="Z66" s="130"/>
      <c r="AA66" s="130"/>
      <c r="AB66" s="130"/>
      <c r="AC66" s="130"/>
      <c r="AD66" s="130"/>
      <c r="AE66" s="130"/>
      <c r="AF66" s="130"/>
      <c r="AG66" s="130"/>
      <c r="AH66" s="130"/>
      <c r="AI66" s="116"/>
      <c r="AJ66" s="114"/>
      <c r="AK66" s="123"/>
    </row>
    <row r="67" spans="2:37" x14ac:dyDescent="0.2">
      <c r="B67" s="10" t="s">
        <v>367</v>
      </c>
      <c r="C67" s="10"/>
      <c r="D67" s="10"/>
      <c r="E67" s="108"/>
      <c r="F67" s="124"/>
      <c r="G67" s="124">
        <v>0</v>
      </c>
      <c r="H67" s="124">
        <v>0</v>
      </c>
      <c r="I67" s="124">
        <v>0</v>
      </c>
      <c r="J67" s="124">
        <v>0</v>
      </c>
      <c r="K67" s="124">
        <v>0</v>
      </c>
      <c r="L67" s="124">
        <v>0</v>
      </c>
      <c r="M67" s="124">
        <v>0</v>
      </c>
      <c r="N67" s="124">
        <v>0</v>
      </c>
      <c r="O67" s="124">
        <v>0</v>
      </c>
      <c r="P67" s="124">
        <v>0</v>
      </c>
      <c r="Q67" s="124">
        <v>0</v>
      </c>
      <c r="R67" s="124">
        <v>0</v>
      </c>
      <c r="S67" s="124">
        <v>0</v>
      </c>
      <c r="T67" s="124">
        <v>0</v>
      </c>
      <c r="U67" s="124">
        <v>0</v>
      </c>
      <c r="V67" s="124"/>
      <c r="W67" s="101" t="e">
        <f t="shared" si="24"/>
        <v>#DIV/0!</v>
      </c>
      <c r="X67" s="109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16"/>
      <c r="AJ67" s="114"/>
      <c r="AK67" s="123"/>
    </row>
    <row r="68" spans="2:37" x14ac:dyDescent="0.2">
      <c r="B68" s="10"/>
      <c r="C68" s="10"/>
      <c r="D68" s="10"/>
      <c r="E68" s="108"/>
      <c r="F68" s="108"/>
      <c r="G68" s="108"/>
      <c r="H68" s="108"/>
      <c r="I68" s="108"/>
      <c r="J68" s="108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16"/>
      <c r="AJ68" s="114"/>
      <c r="AK68" s="123"/>
    </row>
    <row r="69" spans="2:37" x14ac:dyDescent="0.2">
      <c r="B69" s="93" t="s">
        <v>200</v>
      </c>
      <c r="C69" s="10"/>
      <c r="D69" s="10"/>
      <c r="E69" s="108"/>
      <c r="F69" s="108"/>
      <c r="G69" s="108"/>
      <c r="H69" s="108"/>
      <c r="I69" s="108"/>
      <c r="J69" s="108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30"/>
      <c r="Z69" s="130"/>
      <c r="AA69" s="130"/>
      <c r="AB69" s="130"/>
      <c r="AC69" s="130"/>
      <c r="AD69" s="130"/>
      <c r="AE69" s="130"/>
      <c r="AF69" s="130"/>
      <c r="AG69" s="130"/>
      <c r="AH69" s="130"/>
      <c r="AI69" s="116"/>
      <c r="AJ69" s="114"/>
      <c r="AK69" s="123"/>
    </row>
    <row r="70" spans="2:37" x14ac:dyDescent="0.2">
      <c r="B70" s="10" t="s">
        <v>252</v>
      </c>
      <c r="C70" s="111"/>
      <c r="D70" s="111"/>
      <c r="E70" s="111"/>
      <c r="F70" s="111"/>
      <c r="G70" s="111">
        <f t="shared" ref="G70" si="275">G25/G61</f>
        <v>62.745098039215684</v>
      </c>
      <c r="H70" s="111">
        <f t="shared" ref="H70:I70" si="276">H25/H61</f>
        <v>62.254901960784309</v>
      </c>
      <c r="I70" s="111">
        <f t="shared" si="276"/>
        <v>72.549019607843135</v>
      </c>
      <c r="J70" s="111">
        <f t="shared" ref="J70:S70" si="277">J25/J61</f>
        <v>93.137254901960787</v>
      </c>
      <c r="K70" s="111">
        <f t="shared" si="277"/>
        <v>108.33333333333333</v>
      </c>
      <c r="L70" s="111">
        <f t="shared" si="277"/>
        <v>109.31372549019608</v>
      </c>
      <c r="M70" s="111">
        <f t="shared" si="277"/>
        <v>105.88235294117646</v>
      </c>
      <c r="N70" s="111">
        <f t="shared" si="277"/>
        <v>112.25490196078431</v>
      </c>
      <c r="O70" s="111">
        <f t="shared" si="277"/>
        <v>136.76470588235293</v>
      </c>
      <c r="P70" s="111">
        <f t="shared" si="277"/>
        <v>192.15686274509804</v>
      </c>
      <c r="Q70" s="111">
        <f t="shared" si="277"/>
        <v>283.33333333333331</v>
      </c>
      <c r="R70" s="111">
        <f t="shared" si="277"/>
        <v>307.14285714285711</v>
      </c>
      <c r="S70" s="111">
        <f t="shared" si="277"/>
        <v>407.14285714285711</v>
      </c>
      <c r="T70" s="111">
        <f t="shared" ref="T70:U70" si="278">T25/T61</f>
        <v>508.64661654135335</v>
      </c>
      <c r="U70" s="111">
        <f t="shared" si="278"/>
        <v>114.27498121712998</v>
      </c>
      <c r="V70" s="111">
        <f t="shared" ref="V70" si="279">V25/V61</f>
        <v>130.05259203606312</v>
      </c>
      <c r="W70" s="101">
        <f t="shared" ref="W70:W133" si="280">((V70/G70)^(1/($K$2-$K$1) ))-1</f>
        <v>4.979044120612941E-2</v>
      </c>
      <c r="X70" s="109"/>
      <c r="Y70" s="133">
        <f t="shared" ref="Y70:AH70" si="281">Y25/Y61</f>
        <v>128.83943960754848</v>
      </c>
      <c r="Z70" s="133">
        <f t="shared" si="281"/>
        <v>145.26015249870662</v>
      </c>
      <c r="AA70" s="133">
        <f t="shared" si="281"/>
        <v>163.77370134658096</v>
      </c>
      <c r="AB70" s="133">
        <f t="shared" si="281"/>
        <v>184.646820145655</v>
      </c>
      <c r="AC70" s="133">
        <f t="shared" si="281"/>
        <v>208.18023839951297</v>
      </c>
      <c r="AD70" s="133">
        <f t="shared" si="281"/>
        <v>234.71301388180385</v>
      </c>
      <c r="AE70" s="133">
        <f t="shared" si="281"/>
        <v>264.62741761183764</v>
      </c>
      <c r="AF70" s="133">
        <f t="shared" si="281"/>
        <v>298.35444142511102</v>
      </c>
      <c r="AG70" s="133">
        <f t="shared" si="281"/>
        <v>336.38000748909576</v>
      </c>
      <c r="AH70" s="133">
        <f t="shared" si="281"/>
        <v>379.25196922790207</v>
      </c>
      <c r="AI70" s="115">
        <f t="shared" ref="AI70" si="282">((AH70/J70)^(1/($AH$3-$K$1) ))-1</f>
        <v>5.777226717869155E-2</v>
      </c>
      <c r="AJ70" s="21">
        <f t="shared" si="17"/>
        <v>0.01</v>
      </c>
      <c r="AK70" s="123" t="e">
        <f t="shared" si="23"/>
        <v>#DIV/0!</v>
      </c>
    </row>
    <row r="71" spans="2:37" x14ac:dyDescent="0.2">
      <c r="B71" s="10" t="s">
        <v>253</v>
      </c>
      <c r="C71" s="111"/>
      <c r="D71" s="111"/>
      <c r="E71" s="111"/>
      <c r="F71" s="111"/>
      <c r="G71" s="111">
        <f t="shared" ref="G71" si="283">G27/G61</f>
        <v>8.3333333333333339</v>
      </c>
      <c r="H71" s="111">
        <f t="shared" ref="H71:I71" si="284">H27/H61</f>
        <v>7.3529411764705879</v>
      </c>
      <c r="I71" s="111">
        <f t="shared" si="284"/>
        <v>7.3529411764705879</v>
      </c>
      <c r="J71" s="111">
        <f t="shared" ref="J71:S71" si="285">J27/J61</f>
        <v>8.3333333333333339</v>
      </c>
      <c r="K71" s="111">
        <f t="shared" si="285"/>
        <v>5.8823529411764701</v>
      </c>
      <c r="L71" s="111">
        <f t="shared" si="285"/>
        <v>5.8823529411764701</v>
      </c>
      <c r="M71" s="111">
        <f t="shared" si="285"/>
        <v>8.3333333333333339</v>
      </c>
      <c r="N71" s="111">
        <f t="shared" si="285"/>
        <v>8.3333333333333339</v>
      </c>
      <c r="O71" s="111">
        <f t="shared" si="285"/>
        <v>10.784313725490195</v>
      </c>
      <c r="P71" s="111">
        <f t="shared" si="285"/>
        <v>16.176470588235293</v>
      </c>
      <c r="Q71" s="111">
        <f t="shared" si="285"/>
        <v>22.549019607843135</v>
      </c>
      <c r="R71" s="111">
        <f t="shared" si="285"/>
        <v>24.436090225563909</v>
      </c>
      <c r="S71" s="111">
        <f t="shared" si="285"/>
        <v>30.82706766917293</v>
      </c>
      <c r="T71" s="111">
        <f t="shared" ref="T71:U71" si="286">T27/T61</f>
        <v>36.090225563909776</v>
      </c>
      <c r="U71" s="111">
        <f t="shared" si="286"/>
        <v>8.0390683696468823</v>
      </c>
      <c r="V71" s="111">
        <f t="shared" ref="V71" si="287">V27/V61</f>
        <v>6.6867017280240422</v>
      </c>
      <c r="W71" s="101">
        <f t="shared" si="280"/>
        <v>-1.4569016289590619E-2</v>
      </c>
      <c r="X71" s="109"/>
      <c r="Y71" s="133">
        <f t="shared" ref="Y71:AH71" si="288">Y27/Y61</f>
        <v>9.0636555147979543</v>
      </c>
      <c r="Z71" s="133">
        <f t="shared" si="288"/>
        <v>10.218827296095734</v>
      </c>
      <c r="AA71" s="133">
        <f t="shared" si="288"/>
        <v>11.521226853441268</v>
      </c>
      <c r="AB71" s="133">
        <f t="shared" si="288"/>
        <v>12.9896185112328</v>
      </c>
      <c r="AC71" s="133">
        <f t="shared" si="288"/>
        <v>14.645158125409528</v>
      </c>
      <c r="AD71" s="133">
        <f t="shared" si="288"/>
        <v>16.511697886491131</v>
      </c>
      <c r="AE71" s="133">
        <f t="shared" si="288"/>
        <v>18.616129970063533</v>
      </c>
      <c r="AF71" s="133">
        <f t="shared" si="288"/>
        <v>20.988773985855939</v>
      </c>
      <c r="AG71" s="133">
        <f t="shared" si="288"/>
        <v>23.663813807582674</v>
      </c>
      <c r="AH71" s="133">
        <f t="shared" si="288"/>
        <v>26.679790077176541</v>
      </c>
      <c r="AI71" s="115">
        <f t="shared" ref="AI71" si="289">((AH71/J71)^(1/($AH$3-$K$1) ))-1</f>
        <v>4.764596866396964E-2</v>
      </c>
      <c r="AJ71" s="21">
        <f t="shared" si="17"/>
        <v>0.01</v>
      </c>
      <c r="AK71" s="123" t="e">
        <f t="shared" si="23"/>
        <v>#DIV/0!</v>
      </c>
    </row>
    <row r="72" spans="2:37" x14ac:dyDescent="0.2">
      <c r="B72" s="10" t="s">
        <v>369</v>
      </c>
      <c r="C72" s="111"/>
      <c r="D72" s="111"/>
      <c r="E72" s="111"/>
      <c r="F72" s="111"/>
      <c r="G72" s="111">
        <f t="shared" ref="G72" si="290">G55-G59</f>
        <v>3</v>
      </c>
      <c r="H72" s="111">
        <f t="shared" ref="H72:I72" si="291">H55-H59</f>
        <v>7</v>
      </c>
      <c r="I72" s="111">
        <f t="shared" si="291"/>
        <v>8</v>
      </c>
      <c r="J72" s="111">
        <f>J55-J59</f>
        <v>10</v>
      </c>
      <c r="K72" s="111">
        <f t="shared" ref="K72:S72" si="292">K55-K59</f>
        <v>9</v>
      </c>
      <c r="L72" s="111">
        <f t="shared" si="292"/>
        <v>12</v>
      </c>
      <c r="M72" s="111">
        <f t="shared" si="292"/>
        <v>15</v>
      </c>
      <c r="N72" s="111">
        <f t="shared" si="292"/>
        <v>16</v>
      </c>
      <c r="O72" s="111">
        <f t="shared" si="292"/>
        <v>18</v>
      </c>
      <c r="P72" s="111">
        <f t="shared" si="292"/>
        <v>21</v>
      </c>
      <c r="Q72" s="111">
        <f t="shared" si="292"/>
        <v>31</v>
      </c>
      <c r="R72" s="111">
        <f t="shared" si="292"/>
        <v>51</v>
      </c>
      <c r="S72" s="111">
        <f t="shared" si="292"/>
        <v>97</v>
      </c>
      <c r="T72" s="111">
        <f t="shared" ref="T72:U72" si="293">T55-T59</f>
        <v>135</v>
      </c>
      <c r="U72" s="111">
        <f t="shared" si="293"/>
        <v>145</v>
      </c>
      <c r="V72" s="111">
        <f t="shared" ref="V72" si="294">V55-V59</f>
        <v>173</v>
      </c>
      <c r="W72" s="101">
        <f t="shared" si="280"/>
        <v>0.31037316276561788</v>
      </c>
      <c r="X72" s="109"/>
      <c r="Y72" s="111">
        <f t="shared" ref="Y72:AH72" si="295">Y55-Y59</f>
        <v>166.75</v>
      </c>
      <c r="Z72" s="111">
        <f t="shared" si="295"/>
        <v>191.76249999999999</v>
      </c>
      <c r="AA72" s="111">
        <f t="shared" si="295"/>
        <v>220.52687499999996</v>
      </c>
      <c r="AB72" s="111">
        <f t="shared" si="295"/>
        <v>253.60590624999992</v>
      </c>
      <c r="AC72" s="111">
        <f t="shared" si="295"/>
        <v>291.64679218749995</v>
      </c>
      <c r="AD72" s="111">
        <f t="shared" si="295"/>
        <v>335.39381101562492</v>
      </c>
      <c r="AE72" s="111">
        <f t="shared" si="295"/>
        <v>385.70288266796854</v>
      </c>
      <c r="AF72" s="111">
        <f t="shared" si="295"/>
        <v>443.55831506816367</v>
      </c>
      <c r="AG72" s="111">
        <f t="shared" si="295"/>
        <v>510.09206232838812</v>
      </c>
      <c r="AH72" s="111">
        <f t="shared" si="295"/>
        <v>586.60587167764629</v>
      </c>
      <c r="AI72" s="115">
        <f t="shared" ref="AI72" si="296">((AH72/J72)^(1/($AH$3-$K$1) ))-1</f>
        <v>0.17688453566578244</v>
      </c>
      <c r="AJ72" s="21">
        <f t="shared" si="17"/>
        <v>0.01</v>
      </c>
      <c r="AK72" s="123" t="e">
        <f t="shared" si="23"/>
        <v>#DIV/0!</v>
      </c>
    </row>
    <row r="73" spans="2:37" x14ac:dyDescent="0.2">
      <c r="B73" s="10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01" t="e">
        <f t="shared" si="280"/>
        <v>#DIV/0!</v>
      </c>
      <c r="X73" s="10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02"/>
      <c r="AJ73" s="114"/>
      <c r="AK73" s="123"/>
    </row>
    <row r="74" spans="2:37" x14ac:dyDescent="0.2">
      <c r="B74" s="10" t="s">
        <v>401</v>
      </c>
      <c r="C74" s="111"/>
      <c r="D74" s="111"/>
      <c r="E74" s="111"/>
      <c r="F74" s="15"/>
      <c r="G74" s="15">
        <f t="shared" ref="G74" si="297">G53/G61</f>
        <v>54.901960784313722</v>
      </c>
      <c r="H74" s="15">
        <f t="shared" ref="H74:I74" si="298">H53/H61</f>
        <v>54.411764705882355</v>
      </c>
      <c r="I74" s="15">
        <f t="shared" si="298"/>
        <v>64.705882352941174</v>
      </c>
      <c r="J74" s="15">
        <f t="shared" ref="J74:S74" si="299">J53/J61</f>
        <v>84.313725490196077</v>
      </c>
      <c r="K74" s="15">
        <f t="shared" si="299"/>
        <v>101.96078431372548</v>
      </c>
      <c r="L74" s="15">
        <f t="shared" si="299"/>
        <v>102.94117647058823</v>
      </c>
      <c r="M74" s="15">
        <f t="shared" si="299"/>
        <v>96.078431372549019</v>
      </c>
      <c r="N74" s="15">
        <f t="shared" si="299"/>
        <v>104.90196078431373</v>
      </c>
      <c r="O74" s="15">
        <f t="shared" si="299"/>
        <v>128.92156862745097</v>
      </c>
      <c r="P74" s="15">
        <f t="shared" si="299"/>
        <v>175.98039215686273</v>
      </c>
      <c r="Q74" s="15">
        <f t="shared" si="299"/>
        <v>260.29411764705884</v>
      </c>
      <c r="R74" s="15">
        <f t="shared" si="299"/>
        <v>281.95488721804509</v>
      </c>
      <c r="S74" s="15">
        <f t="shared" si="299"/>
        <v>375.93984962406012</v>
      </c>
      <c r="T74" s="15">
        <f>T53/T61</f>
        <v>472.55639097744358</v>
      </c>
      <c r="U74" s="15">
        <f>U53/U61</f>
        <v>106.01051840721261</v>
      </c>
      <c r="V74" s="15">
        <f>V53/V61</f>
        <v>122.99023290758828</v>
      </c>
      <c r="W74" s="101">
        <f t="shared" si="280"/>
        <v>5.5242282374198703E-2</v>
      </c>
      <c r="X74" s="109"/>
      <c r="Y74" s="96">
        <f>Y53/Y61</f>
        <v>119.52166291009266</v>
      </c>
      <c r="Z74" s="96">
        <f t="shared" ref="Z74:AH74" si="300">Z53/Z61</f>
        <v>134.75481602608485</v>
      </c>
      <c r="AA74" s="96">
        <f t="shared" si="300"/>
        <v>151.92944944117406</v>
      </c>
      <c r="AB74" s="96">
        <f t="shared" si="300"/>
        <v>171.29300672289233</v>
      </c>
      <c r="AC74" s="96">
        <f t="shared" si="300"/>
        <v>193.12446836404524</v>
      </c>
      <c r="AD74" s="96">
        <f t="shared" si="300"/>
        <v>217.73837119475687</v>
      </c>
      <c r="AE74" s="96">
        <f t="shared" si="300"/>
        <v>245.48934007251998</v>
      </c>
      <c r="AF74" s="96">
        <f t="shared" si="300"/>
        <v>276.77719714058622</v>
      </c>
      <c r="AG74" s="96">
        <f t="shared" si="300"/>
        <v>312.05272226634719</v>
      </c>
      <c r="AH74" s="96">
        <f t="shared" si="300"/>
        <v>351.82414765323455</v>
      </c>
      <c r="AI74" s="115">
        <f t="shared" ref="AI74:AI75" si="301">((AH74/J74)^(1/($AH$3-$K$1) ))-1</f>
        <v>5.8807708812386617E-2</v>
      </c>
      <c r="AJ74" s="21">
        <f t="shared" si="17"/>
        <v>0.01</v>
      </c>
      <c r="AK74" s="123" t="e">
        <f t="shared" si="23"/>
        <v>#DIV/0!</v>
      </c>
    </row>
    <row r="75" spans="2:37" x14ac:dyDescent="0.2">
      <c r="B75" s="10" t="s">
        <v>402</v>
      </c>
      <c r="C75" s="111"/>
      <c r="D75" s="111"/>
      <c r="E75" s="111"/>
      <c r="F75" s="15"/>
      <c r="G75" s="15">
        <f t="shared" ref="G75" si="302">G55/G61</f>
        <v>11.274509803921568</v>
      </c>
      <c r="H75" s="15">
        <f t="shared" ref="H75:I75" si="303">H55/H61</f>
        <v>13.725490196078431</v>
      </c>
      <c r="I75" s="15">
        <f t="shared" si="303"/>
        <v>17.156862745098039</v>
      </c>
      <c r="J75" s="15">
        <f t="shared" ref="J75:S75" si="304">J55/J61</f>
        <v>19.607843137254903</v>
      </c>
      <c r="K75" s="15">
        <f t="shared" si="304"/>
        <v>18.137254901960784</v>
      </c>
      <c r="L75" s="15">
        <f t="shared" si="304"/>
        <v>21.078431372549019</v>
      </c>
      <c r="M75" s="15">
        <f t="shared" si="304"/>
        <v>26.470588235294116</v>
      </c>
      <c r="N75" s="15">
        <f t="shared" si="304"/>
        <v>28.431372549019606</v>
      </c>
      <c r="O75" s="15">
        <f t="shared" si="304"/>
        <v>29.901960784313726</v>
      </c>
      <c r="P75" s="15">
        <f t="shared" si="304"/>
        <v>36.764705882352942</v>
      </c>
      <c r="Q75" s="15">
        <f t="shared" si="304"/>
        <v>51.96078431372549</v>
      </c>
      <c r="R75" s="15">
        <f t="shared" si="304"/>
        <v>51.503759398496236</v>
      </c>
      <c r="S75" s="15">
        <f t="shared" si="304"/>
        <v>95.488721804511272</v>
      </c>
      <c r="T75" s="15">
        <f>T55/T61</f>
        <v>139.09774436090225</v>
      </c>
      <c r="U75" s="15">
        <f>U55/U61</f>
        <v>32.381667918858</v>
      </c>
      <c r="V75" s="15">
        <f>V55/V61</f>
        <v>35.236664162283994</v>
      </c>
      <c r="W75" s="101">
        <f t="shared" si="280"/>
        <v>7.8929682697921777E-2</v>
      </c>
      <c r="X75" s="109"/>
      <c r="Y75" s="96">
        <f>Y55/Y61</f>
        <v>36.508743241849707</v>
      </c>
      <c r="Z75" s="96">
        <f t="shared" ref="Z75:AH75" si="305">Z55/Z61</f>
        <v>41.161818360908981</v>
      </c>
      <c r="AA75" s="96">
        <f t="shared" si="305"/>
        <v>46.40793246573071</v>
      </c>
      <c r="AB75" s="96">
        <f t="shared" si="305"/>
        <v>52.322668956461087</v>
      </c>
      <c r="AC75" s="96">
        <f t="shared" si="305"/>
        <v>58.991244411696321</v>
      </c>
      <c r="AD75" s="96">
        <f t="shared" si="305"/>
        <v>66.509736346520356</v>
      </c>
      <c r="AE75" s="96">
        <f t="shared" si="305"/>
        <v>74.98646744950824</v>
      </c>
      <c r="AF75" s="96">
        <f t="shared" si="305"/>
        <v>84.543566242092609</v>
      </c>
      <c r="AG75" s="96">
        <f t="shared" si="305"/>
        <v>95.318726645496568</v>
      </c>
      <c r="AH75" s="96">
        <f t="shared" si="305"/>
        <v>107.46719180619711</v>
      </c>
      <c r="AI75" s="115">
        <f t="shared" si="301"/>
        <v>7.0419083365482305E-2</v>
      </c>
      <c r="AJ75" s="21">
        <f t="shared" si="17"/>
        <v>0.01</v>
      </c>
      <c r="AK75" s="123" t="e">
        <f t="shared" ref="AK75:AK138" si="306">(AH75*(1+AJ75))/($O$1-AJ75)</f>
        <v>#DIV/0!</v>
      </c>
    </row>
    <row r="76" spans="2:37" x14ac:dyDescent="0.2">
      <c r="B76" s="10" t="s">
        <v>214</v>
      </c>
      <c r="C76" s="15"/>
      <c r="D76" s="15"/>
      <c r="E76" s="15"/>
      <c r="F76" s="111"/>
      <c r="G76" s="111">
        <f t="shared" ref="G76" si="307">G59/G61</f>
        <v>9.8039215686274517</v>
      </c>
      <c r="H76" s="111">
        <f t="shared" ref="H76:I76" si="308">H59/H61</f>
        <v>10.294117647058822</v>
      </c>
      <c r="I76" s="111">
        <f t="shared" si="308"/>
        <v>13.235294117647058</v>
      </c>
      <c r="J76" s="111">
        <f t="shared" ref="J76:S76" si="309">J59/J61</f>
        <v>14.705882352941176</v>
      </c>
      <c r="K76" s="111">
        <f t="shared" si="309"/>
        <v>13.725490196078431</v>
      </c>
      <c r="L76" s="111">
        <f t="shared" si="309"/>
        <v>15.196078431372548</v>
      </c>
      <c r="M76" s="111">
        <f t="shared" si="309"/>
        <v>19.117647058823529</v>
      </c>
      <c r="N76" s="111">
        <f t="shared" si="309"/>
        <v>20.588235294117645</v>
      </c>
      <c r="O76" s="111">
        <f t="shared" si="309"/>
        <v>21.078431372549019</v>
      </c>
      <c r="P76" s="111">
        <f t="shared" si="309"/>
        <v>26.470588235294116</v>
      </c>
      <c r="Q76" s="111">
        <f t="shared" si="309"/>
        <v>36.764705882352942</v>
      </c>
      <c r="R76" s="111">
        <f t="shared" si="309"/>
        <v>32.330827067669169</v>
      </c>
      <c r="S76" s="111">
        <f t="shared" si="309"/>
        <v>59.022556390977442</v>
      </c>
      <c r="T76" s="111">
        <f t="shared" ref="T76:U76" si="310">T59/T61</f>
        <v>88.345864661654133</v>
      </c>
      <c r="U76" s="111">
        <f t="shared" si="310"/>
        <v>21.487603305785122</v>
      </c>
      <c r="V76" s="111">
        <f t="shared" ref="V76" si="311">V59/V61</f>
        <v>22.2389181066867</v>
      </c>
      <c r="W76" s="101">
        <f t="shared" si="280"/>
        <v>5.6122402911277902E-2</v>
      </c>
      <c r="X76" s="109"/>
      <c r="Y76" s="133">
        <f t="shared" ref="Y76:AH76" si="312">Y59/Y61</f>
        <v>24.226219413385188</v>
      </c>
      <c r="Z76" s="133">
        <f t="shared" si="312"/>
        <v>27.313874828816633</v>
      </c>
      <c r="AA76" s="133">
        <f t="shared" si="312"/>
        <v>30.795054954057964</v>
      </c>
      <c r="AB76" s="133">
        <f t="shared" si="312"/>
        <v>34.719914899182996</v>
      </c>
      <c r="AC76" s="133">
        <f t="shared" si="312"/>
        <v>39.145002092216117</v>
      </c>
      <c r="AD76" s="133">
        <f t="shared" si="312"/>
        <v>44.134070986322094</v>
      </c>
      <c r="AE76" s="133">
        <f t="shared" si="312"/>
        <v>49.759001602225887</v>
      </c>
      <c r="AF76" s="133">
        <f t="shared" si="312"/>
        <v>56.10083513976447</v>
      </c>
      <c r="AG76" s="133">
        <f t="shared" si="312"/>
        <v>63.250941579146222</v>
      </c>
      <c r="AH76" s="133">
        <f t="shared" si="312"/>
        <v>71.312336094135446</v>
      </c>
      <c r="AI76" s="115">
        <f t="shared" ref="AI76:AI90" si="313">((AH76/J76)^(1/($AH$3-$K$1) ))-1</f>
        <v>6.5189662559220984E-2</v>
      </c>
      <c r="AJ76" s="21">
        <f t="shared" si="17"/>
        <v>0.01</v>
      </c>
      <c r="AK76" s="123" t="e">
        <f t="shared" si="306"/>
        <v>#DIV/0!</v>
      </c>
    </row>
    <row r="77" spans="2:37" x14ac:dyDescent="0.2">
      <c r="B77" s="10" t="s">
        <v>330</v>
      </c>
      <c r="C77" s="111"/>
      <c r="D77" s="111"/>
      <c r="E77" s="111"/>
      <c r="F77" s="111"/>
      <c r="G77" s="111">
        <f t="shared" ref="G77" si="314">G20/G61</f>
        <v>0</v>
      </c>
      <c r="H77" s="111">
        <f t="shared" ref="H77:I77" si="315">H20/H61</f>
        <v>0</v>
      </c>
      <c r="I77" s="111">
        <f t="shared" si="315"/>
        <v>0</v>
      </c>
      <c r="J77" s="111">
        <f>J20/J61</f>
        <v>0</v>
      </c>
      <c r="K77" s="111">
        <f t="shared" ref="K77:S77" si="316">K20/K61</f>
        <v>0</v>
      </c>
      <c r="L77" s="111">
        <f t="shared" si="316"/>
        <v>0</v>
      </c>
      <c r="M77" s="111">
        <f t="shared" si="316"/>
        <v>0</v>
      </c>
      <c r="N77" s="111">
        <f t="shared" si="316"/>
        <v>0</v>
      </c>
      <c r="O77" s="111">
        <f t="shared" si="316"/>
        <v>0</v>
      </c>
      <c r="P77" s="111">
        <f t="shared" si="316"/>
        <v>0</v>
      </c>
      <c r="Q77" s="111">
        <f t="shared" si="316"/>
        <v>0</v>
      </c>
      <c r="R77" s="111">
        <f t="shared" si="316"/>
        <v>0</v>
      </c>
      <c r="S77" s="111">
        <f t="shared" si="316"/>
        <v>0</v>
      </c>
      <c r="T77" s="111">
        <f t="shared" ref="T77:U77" si="317">T20/T61</f>
        <v>0</v>
      </c>
      <c r="U77" s="111">
        <f t="shared" si="317"/>
        <v>0</v>
      </c>
      <c r="V77" s="111">
        <f t="shared" ref="V77" si="318">V20/V61</f>
        <v>0</v>
      </c>
      <c r="W77" s="101" t="e">
        <f t="shared" si="280"/>
        <v>#DIV/0!</v>
      </c>
      <c r="X77" s="109"/>
      <c r="Y77" s="111">
        <f t="shared" ref="Y77:AH77" si="319">Y20/Y61</f>
        <v>0</v>
      </c>
      <c r="Z77" s="111">
        <f t="shared" si="319"/>
        <v>0</v>
      </c>
      <c r="AA77" s="111">
        <f t="shared" si="319"/>
        <v>0</v>
      </c>
      <c r="AB77" s="111">
        <f t="shared" si="319"/>
        <v>0</v>
      </c>
      <c r="AC77" s="111">
        <f t="shared" si="319"/>
        <v>0</v>
      </c>
      <c r="AD77" s="111">
        <f t="shared" si="319"/>
        <v>0</v>
      </c>
      <c r="AE77" s="111">
        <f t="shared" si="319"/>
        <v>0</v>
      </c>
      <c r="AF77" s="111">
        <f t="shared" si="319"/>
        <v>0</v>
      </c>
      <c r="AG77" s="111">
        <f t="shared" si="319"/>
        <v>0</v>
      </c>
      <c r="AH77" s="111">
        <f t="shared" si="319"/>
        <v>0</v>
      </c>
      <c r="AI77" s="115" t="e">
        <f t="shared" ref="AI77" si="320">((AH77/J77)^(1/($AH$3-$K$1) ))-1</f>
        <v>#DIV/0!</v>
      </c>
      <c r="AJ77" s="21">
        <f t="shared" si="17"/>
        <v>0.01</v>
      </c>
      <c r="AK77" s="123" t="e">
        <f t="shared" si="306"/>
        <v>#DIV/0!</v>
      </c>
    </row>
    <row r="78" spans="2:37" x14ac:dyDescent="0.2">
      <c r="B78" s="10" t="s">
        <v>202</v>
      </c>
      <c r="C78" s="15"/>
      <c r="D78" s="15"/>
      <c r="E78" s="15"/>
      <c r="F78" s="111"/>
      <c r="G78" s="111">
        <f t="shared" ref="G78" si="321">G7/G61</f>
        <v>67.156862745098039</v>
      </c>
      <c r="H78" s="111">
        <f t="shared" ref="H78:I78" si="322">H7/H61</f>
        <v>74.509803921568633</v>
      </c>
      <c r="I78" s="111">
        <f t="shared" si="322"/>
        <v>84.803921568627445</v>
      </c>
      <c r="J78" s="111">
        <f t="shared" ref="J78:S78" si="323">J7/J61</f>
        <v>96.568627450980387</v>
      </c>
      <c r="K78" s="111">
        <f t="shared" si="323"/>
        <v>107.35294117647058</v>
      </c>
      <c r="L78" s="111">
        <f t="shared" si="323"/>
        <v>120.58823529411764</v>
      </c>
      <c r="M78" s="111">
        <f t="shared" si="323"/>
        <v>134.80392156862746</v>
      </c>
      <c r="N78" s="111">
        <f t="shared" si="323"/>
        <v>151.9607843137255</v>
      </c>
      <c r="O78" s="111">
        <f t="shared" si="323"/>
        <v>170.09803921568627</v>
      </c>
      <c r="P78" s="111">
        <f t="shared" si="323"/>
        <v>192.15686274509804</v>
      </c>
      <c r="Q78" s="111">
        <f t="shared" si="323"/>
        <v>221.56862745098039</v>
      </c>
      <c r="R78" s="111">
        <f t="shared" si="323"/>
        <v>289.84962406015035</v>
      </c>
      <c r="S78" s="111">
        <f t="shared" si="323"/>
        <v>330.0751879699248</v>
      </c>
      <c r="T78" s="111">
        <f t="shared" ref="T78:U78" si="324">T7/T61</f>
        <v>404.51127819548873</v>
      </c>
      <c r="U78" s="111">
        <f t="shared" si="324"/>
        <v>111.64537941397445</v>
      </c>
      <c r="V78" s="111">
        <f t="shared" ref="V78" si="325">V7/V61</f>
        <v>133.88429752066116</v>
      </c>
      <c r="W78" s="101">
        <f t="shared" si="280"/>
        <v>4.7070561754557039E-2</v>
      </c>
      <c r="X78" s="109"/>
      <c r="Y78" s="133">
        <f t="shared" ref="Y78:AH78" si="326">Y7/Y61</f>
        <v>125.87469247653982</v>
      </c>
      <c r="Z78" s="133">
        <f t="shared" si="326"/>
        <v>141.91754543923605</v>
      </c>
      <c r="AA78" s="133">
        <f t="shared" si="326"/>
        <v>160.00507574031516</v>
      </c>
      <c r="AB78" s="133">
        <f t="shared" si="326"/>
        <v>180.39787951113962</v>
      </c>
      <c r="AC78" s="133">
        <f t="shared" si="326"/>
        <v>203.38976611550055</v>
      </c>
      <c r="AD78" s="133">
        <f t="shared" si="326"/>
        <v>229.31199120865253</v>
      </c>
      <c r="AE78" s="133">
        <f t="shared" si="326"/>
        <v>258.53802930387297</v>
      </c>
      <c r="AF78" s="133">
        <f t="shared" si="326"/>
        <v>291.48895460730773</v>
      </c>
      <c r="AG78" s="133">
        <f t="shared" si="326"/>
        <v>328.63950764549401</v>
      </c>
      <c r="AH78" s="133">
        <f t="shared" si="326"/>
        <v>370.52493509050788</v>
      </c>
      <c r="AI78" s="115">
        <f t="shared" si="313"/>
        <v>5.5259462712595075E-2</v>
      </c>
      <c r="AJ78" s="21">
        <f t="shared" si="17"/>
        <v>0.01</v>
      </c>
      <c r="AK78" s="123" t="e">
        <f t="shared" si="306"/>
        <v>#DIV/0!</v>
      </c>
    </row>
    <row r="79" spans="2:37" x14ac:dyDescent="0.2">
      <c r="B79" s="10" t="s">
        <v>203</v>
      </c>
      <c r="C79" s="108"/>
      <c r="D79" s="108"/>
      <c r="E79" s="108"/>
      <c r="F79" s="121"/>
      <c r="G79" s="121">
        <f t="shared" ref="G79" si="327">G6/G61</f>
        <v>57.352941176470587</v>
      </c>
      <c r="H79" s="121">
        <f t="shared" ref="H79:I79" si="328">H6/H61</f>
        <v>64.705882352941174</v>
      </c>
      <c r="I79" s="121">
        <f t="shared" si="328"/>
        <v>75</v>
      </c>
      <c r="J79" s="121">
        <f t="shared" ref="J79:S79" si="329">J6/J61</f>
        <v>86.764705882352942</v>
      </c>
      <c r="K79" s="121">
        <f t="shared" si="329"/>
        <v>97.549019607843135</v>
      </c>
      <c r="L79" s="121">
        <f t="shared" si="329"/>
        <v>110.78431372549019</v>
      </c>
      <c r="M79" s="121">
        <f t="shared" si="329"/>
        <v>124.50980392156862</v>
      </c>
      <c r="N79" s="121">
        <f t="shared" si="329"/>
        <v>142.15686274509804</v>
      </c>
      <c r="O79" s="121">
        <f t="shared" si="329"/>
        <v>160.29411764705881</v>
      </c>
      <c r="P79" s="121">
        <f t="shared" si="329"/>
        <v>181.8627450980392</v>
      </c>
      <c r="Q79" s="121">
        <f t="shared" si="329"/>
        <v>211.27450980392157</v>
      </c>
      <c r="R79" s="121">
        <f t="shared" si="329"/>
        <v>279.69924812030075</v>
      </c>
      <c r="S79" s="121">
        <f t="shared" si="329"/>
        <v>319.92481203007515</v>
      </c>
      <c r="T79" s="121">
        <f t="shared" ref="T79:U79" si="330">T6/T61</f>
        <v>394.36090225563908</v>
      </c>
      <c r="U79" s="121">
        <f t="shared" si="330"/>
        <v>109.69196093163035</v>
      </c>
      <c r="V79" s="121">
        <f t="shared" ref="V79" si="331">V6/V61</f>
        <v>131.85574755822688</v>
      </c>
      <c r="W79" s="101">
        <f t="shared" si="280"/>
        <v>5.7067916068759938E-2</v>
      </c>
      <c r="X79" s="109"/>
      <c r="Y79" s="132">
        <f t="shared" ref="Y79:AH79" si="332">Y6/Y61</f>
        <v>123.67230889350479</v>
      </c>
      <c r="Z79" s="132">
        <f t="shared" si="332"/>
        <v>139.43446590934363</v>
      </c>
      <c r="AA79" s="132">
        <f t="shared" si="332"/>
        <v>157.20552528994625</v>
      </c>
      <c r="AB79" s="132">
        <f t="shared" si="332"/>
        <v>177.24152361121389</v>
      </c>
      <c r="AC79" s="132">
        <f t="shared" si="332"/>
        <v>199.83112956166269</v>
      </c>
      <c r="AD79" s="132">
        <f t="shared" si="332"/>
        <v>225.29980293716869</v>
      </c>
      <c r="AE79" s="132">
        <f t="shared" si="332"/>
        <v>254.01448370367058</v>
      </c>
      <c r="AF79" s="132">
        <f t="shared" si="332"/>
        <v>286.38887868551092</v>
      </c>
      <c r="AG79" s="132">
        <f t="shared" si="332"/>
        <v>322.88942204738976</v>
      </c>
      <c r="AH79" s="132">
        <f t="shared" si="332"/>
        <v>364.04199544558639</v>
      </c>
      <c r="AI79" s="115">
        <f t="shared" si="313"/>
        <v>5.9039931105449472E-2</v>
      </c>
      <c r="AJ79" s="21">
        <f t="shared" si="17"/>
        <v>0.01</v>
      </c>
      <c r="AK79" s="123" t="e">
        <f t="shared" si="306"/>
        <v>#DIV/0!</v>
      </c>
    </row>
    <row r="80" spans="2:37" x14ac:dyDescent="0.2">
      <c r="B80" s="10" t="s">
        <v>204</v>
      </c>
      <c r="C80" s="108"/>
      <c r="D80" s="108"/>
      <c r="E80" s="108"/>
      <c r="F80" s="121"/>
      <c r="G80" s="121">
        <f t="shared" ref="G80" si="333">G10/G61</f>
        <v>504.9019607843137</v>
      </c>
      <c r="H80" s="121">
        <f t="shared" ref="H80:I80" si="334">H10/H61</f>
        <v>594.60784313725492</v>
      </c>
      <c r="I80" s="121">
        <f t="shared" si="334"/>
        <v>785.78431372549016</v>
      </c>
      <c r="J80" s="121">
        <f t="shared" ref="J80:S80" si="335">J10/J61</f>
        <v>858.82352941176464</v>
      </c>
      <c r="K80" s="121">
        <f t="shared" si="335"/>
        <v>830.88235294117646</v>
      </c>
      <c r="L80" s="121">
        <f t="shared" si="335"/>
        <v>808.33333333333337</v>
      </c>
      <c r="M80" s="121">
        <f t="shared" si="335"/>
        <v>914.21568627450984</v>
      </c>
      <c r="N80" s="121">
        <f t="shared" si="335"/>
        <v>753.92156862745094</v>
      </c>
      <c r="O80" s="121">
        <f t="shared" si="335"/>
        <v>971.56862745098033</v>
      </c>
      <c r="P80" s="121">
        <f t="shared" si="335"/>
        <v>1505.8823529411764</v>
      </c>
      <c r="Q80" s="121">
        <f t="shared" si="335"/>
        <v>2300.9803921568628</v>
      </c>
      <c r="R80" s="121">
        <f t="shared" si="335"/>
        <v>2609.0225563909771</v>
      </c>
      <c r="S80" s="121">
        <f t="shared" si="335"/>
        <v>3242.4812030075186</v>
      </c>
      <c r="T80" s="121">
        <f t="shared" ref="T80:U80" si="336">T10/T61</f>
        <v>4176.3157894736842</v>
      </c>
      <c r="U80" s="121">
        <f t="shared" si="336"/>
        <v>1045.9053343350863</v>
      </c>
      <c r="V80" s="121">
        <f t="shared" ref="V80" si="337">V10/V61</f>
        <v>1254.244928625094</v>
      </c>
      <c r="W80" s="101">
        <f t="shared" si="280"/>
        <v>6.2539342935151954E-2</v>
      </c>
      <c r="X80" s="109"/>
      <c r="Y80" s="132">
        <f t="shared" ref="Y80:AH80" si="338">Y10/Y61</f>
        <v>1179.2069945934797</v>
      </c>
      <c r="Z80" s="132">
        <f t="shared" si="338"/>
        <v>1329.4980821397075</v>
      </c>
      <c r="AA80" s="132">
        <f t="shared" si="338"/>
        <v>1498.9439161379053</v>
      </c>
      <c r="AB80" s="132">
        <f t="shared" si="338"/>
        <v>1689.9857878025402</v>
      </c>
      <c r="AC80" s="132">
        <f t="shared" si="338"/>
        <v>1905.3761333067855</v>
      </c>
      <c r="AD80" s="132">
        <f t="shared" si="338"/>
        <v>2148.2181895125523</v>
      </c>
      <c r="AE80" s="132">
        <f t="shared" si="338"/>
        <v>2422.0107038621909</v>
      </c>
      <c r="AF80" s="132">
        <f t="shared" si="338"/>
        <v>2730.6983425897247</v>
      </c>
      <c r="AG80" s="132">
        <f t="shared" si="338"/>
        <v>3078.728523508023</v>
      </c>
      <c r="AH80" s="132">
        <f t="shared" si="338"/>
        <v>3471.1154921904176</v>
      </c>
      <c r="AI80" s="115">
        <f t="shared" si="313"/>
        <v>5.7456729113603888E-2</v>
      </c>
      <c r="AJ80" s="21">
        <f t="shared" si="17"/>
        <v>0.01</v>
      </c>
      <c r="AK80" s="123" t="e">
        <f t="shared" si="306"/>
        <v>#DIV/0!</v>
      </c>
    </row>
    <row r="81" spans="2:37" x14ac:dyDescent="0.2">
      <c r="B81" s="10"/>
      <c r="C81" s="108"/>
      <c r="D81" s="108"/>
      <c r="E81" s="108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01" t="e">
        <f t="shared" si="280"/>
        <v>#DIV/0!</v>
      </c>
      <c r="X81" s="10"/>
      <c r="Y81" s="132"/>
      <c r="Z81" s="132"/>
      <c r="AA81" s="132"/>
      <c r="AB81" s="132"/>
      <c r="AC81" s="132"/>
      <c r="AD81" s="132"/>
      <c r="AE81" s="132"/>
      <c r="AF81" s="132"/>
      <c r="AG81" s="132"/>
      <c r="AH81" s="132"/>
      <c r="AI81" s="116"/>
      <c r="AJ81" s="114"/>
      <c r="AK81" s="123"/>
    </row>
    <row r="82" spans="2:37" x14ac:dyDescent="0.2">
      <c r="B82" s="10" t="s">
        <v>221</v>
      </c>
      <c r="C82" s="108"/>
      <c r="D82" s="108"/>
      <c r="E82" s="108"/>
      <c r="F82" s="121"/>
      <c r="G82" s="121">
        <f t="shared" ref="G82" si="339">(G7-G10)/G61</f>
        <v>-437.74509803921569</v>
      </c>
      <c r="H82" s="121">
        <f t="shared" ref="H82:I82" si="340">(H7-H10)/H61</f>
        <v>-520.0980392156863</v>
      </c>
      <c r="I82" s="121">
        <f t="shared" si="340"/>
        <v>-700.98039215686276</v>
      </c>
      <c r="J82" s="121">
        <f t="shared" ref="J82:S82" si="341">(J7-J10)/J61</f>
        <v>-762.25490196078431</v>
      </c>
      <c r="K82" s="121">
        <f t="shared" si="341"/>
        <v>-723.52941176470586</v>
      </c>
      <c r="L82" s="121">
        <f t="shared" si="341"/>
        <v>-687.74509803921569</v>
      </c>
      <c r="M82" s="121">
        <f t="shared" si="341"/>
        <v>-779.41176470588232</v>
      </c>
      <c r="N82" s="121">
        <f t="shared" si="341"/>
        <v>-601.96078431372553</v>
      </c>
      <c r="O82" s="121">
        <f t="shared" si="341"/>
        <v>-801.47058823529414</v>
      </c>
      <c r="P82" s="121">
        <f t="shared" si="341"/>
        <v>-1313.7254901960785</v>
      </c>
      <c r="Q82" s="121">
        <f t="shared" si="341"/>
        <v>-2079.4117647058824</v>
      </c>
      <c r="R82" s="121">
        <f t="shared" si="341"/>
        <v>-2319.1729323308268</v>
      </c>
      <c r="S82" s="121">
        <f t="shared" si="341"/>
        <v>-2912.406015037594</v>
      </c>
      <c r="T82" s="121">
        <f t="shared" ref="T82:U82" si="342">(T7-T10)/T61</f>
        <v>-3771.8045112781952</v>
      </c>
      <c r="U82" s="121">
        <f t="shared" si="342"/>
        <v>-934.2599549211119</v>
      </c>
      <c r="V82" s="121">
        <f t="shared" ref="V82" si="343">(V7-V10)/V61</f>
        <v>-1120.3606311044327</v>
      </c>
      <c r="W82" s="101">
        <f t="shared" si="280"/>
        <v>6.465550295896616E-2</v>
      </c>
      <c r="X82" s="109"/>
      <c r="Y82" s="132">
        <f t="shared" ref="Y82:AH82" si="344">(Y7-Y10)/Y61</f>
        <v>-1053.3323021169399</v>
      </c>
      <c r="Z82" s="132">
        <f t="shared" si="344"/>
        <v>-1187.5805367004714</v>
      </c>
      <c r="AA82" s="132">
        <f t="shared" si="344"/>
        <v>-1338.93884039759</v>
      </c>
      <c r="AB82" s="132">
        <f t="shared" si="344"/>
        <v>-1509.5879082914005</v>
      </c>
      <c r="AC82" s="132">
        <f t="shared" si="344"/>
        <v>-1701.9863671912849</v>
      </c>
      <c r="AD82" s="132">
        <f t="shared" si="344"/>
        <v>-1918.9061983038994</v>
      </c>
      <c r="AE82" s="132">
        <f t="shared" si="344"/>
        <v>-2163.472674558318</v>
      </c>
      <c r="AF82" s="132">
        <f t="shared" si="344"/>
        <v>-2439.209387982417</v>
      </c>
      <c r="AG82" s="132">
        <f t="shared" si="344"/>
        <v>-2750.0890158625284</v>
      </c>
      <c r="AH82" s="132">
        <f t="shared" si="344"/>
        <v>-3100.5905570999098</v>
      </c>
      <c r="AI82" s="115">
        <f t="shared" si="313"/>
        <v>5.7727431765716819E-2</v>
      </c>
      <c r="AJ82" s="21">
        <f t="shared" si="17"/>
        <v>0.01</v>
      </c>
      <c r="AK82" s="123" t="e">
        <f t="shared" si="306"/>
        <v>#DIV/0!</v>
      </c>
    </row>
    <row r="83" spans="2:37" x14ac:dyDescent="0.2">
      <c r="B83" s="10" t="s">
        <v>222</v>
      </c>
      <c r="C83" s="108"/>
      <c r="D83" s="108"/>
      <c r="E83" s="108"/>
      <c r="F83" s="121"/>
      <c r="G83" s="121">
        <f t="shared" ref="G83" si="345">(G7-G10-G9)/G61</f>
        <v>-443.62745098039215</v>
      </c>
      <c r="H83" s="121">
        <f t="shared" ref="H83:I83" si="346">(H7-H10-H9)/H61</f>
        <v>-525.98039215686276</v>
      </c>
      <c r="I83" s="121">
        <f t="shared" si="346"/>
        <v>-707.35294117647061</v>
      </c>
      <c r="J83" s="121">
        <f t="shared" ref="J83:S83" si="347">(J7-J10-J9)/J61</f>
        <v>-769.11764705882354</v>
      </c>
      <c r="K83" s="121">
        <f t="shared" si="347"/>
        <v>-735.29411764705878</v>
      </c>
      <c r="L83" s="121">
        <f t="shared" si="347"/>
        <v>-698.52941176470586</v>
      </c>
      <c r="M83" s="121">
        <f t="shared" si="347"/>
        <v>-785.29411764705878</v>
      </c>
      <c r="N83" s="121">
        <f t="shared" si="347"/>
        <v>-788.72549019607845</v>
      </c>
      <c r="O83" s="121">
        <f t="shared" si="347"/>
        <v>-971.07843137254895</v>
      </c>
      <c r="P83" s="121">
        <f t="shared" si="347"/>
        <v>-1576.4705882352941</v>
      </c>
      <c r="Q83" s="121">
        <f t="shared" si="347"/>
        <v>-2409.3137254901962</v>
      </c>
      <c r="R83" s="121">
        <f t="shared" si="347"/>
        <v>-2506.0150375939847</v>
      </c>
      <c r="S83" s="121">
        <f t="shared" si="347"/>
        <v>-3326.3157894736842</v>
      </c>
      <c r="T83" s="121">
        <f t="shared" ref="T83:U83" si="348">(T7-T10-T9)/T61</f>
        <v>-4171.4285714285716</v>
      </c>
      <c r="U83" s="121">
        <f t="shared" si="348"/>
        <v>-955.82268970698715</v>
      </c>
      <c r="V83" s="121">
        <f t="shared" ref="V83" si="349">(V7-V10-V9)/V61</f>
        <v>-1141.0969196093163</v>
      </c>
      <c r="W83" s="101">
        <f t="shared" si="280"/>
        <v>6.5009809808462382E-2</v>
      </c>
      <c r="X83" s="109"/>
      <c r="Y83" s="132">
        <f t="shared" ref="Y83:AH83" si="350">(Y7-Y10-Y9)/Y61</f>
        <v>-1077.643228591211</v>
      </c>
      <c r="Z83" s="132">
        <f t="shared" si="350"/>
        <v>-1214.98991458813</v>
      </c>
      <c r="AA83" s="132">
        <f t="shared" si="350"/>
        <v>-1369.84157036897</v>
      </c>
      <c r="AB83" s="132">
        <f t="shared" si="350"/>
        <v>-1544.4292214944269</v>
      </c>
      <c r="AC83" s="132">
        <f t="shared" si="350"/>
        <v>-1741.2682399201872</v>
      </c>
      <c r="AD83" s="132">
        <f t="shared" si="350"/>
        <v>-1963.1945842237401</v>
      </c>
      <c r="AE83" s="132">
        <f t="shared" si="350"/>
        <v>-2213.4056586836282</v>
      </c>
      <c r="AF83" s="132">
        <f t="shared" si="350"/>
        <v>-2495.5063798884044</v>
      </c>
      <c r="AG83" s="132">
        <f t="shared" si="350"/>
        <v>-2813.5611145800631</v>
      </c>
      <c r="AH83" s="132">
        <f t="shared" si="350"/>
        <v>-3172.152237026542</v>
      </c>
      <c r="AI83" s="115">
        <f t="shared" si="313"/>
        <v>5.8313777157862567E-2</v>
      </c>
      <c r="AJ83" s="21">
        <f t="shared" si="17"/>
        <v>0.01</v>
      </c>
      <c r="AK83" s="123" t="e">
        <f t="shared" si="306"/>
        <v>#DIV/0!</v>
      </c>
    </row>
    <row r="84" spans="2:37" x14ac:dyDescent="0.2">
      <c r="B84" s="10" t="s">
        <v>227</v>
      </c>
      <c r="C84" s="108"/>
      <c r="D84" s="108"/>
      <c r="E84" s="108"/>
      <c r="F84" s="121"/>
      <c r="G84" s="121">
        <f t="shared" ref="G84" si="351">(G7+G15-G10-G9)/G61</f>
        <v>-439.70588235294116</v>
      </c>
      <c r="H84" s="121">
        <f t="shared" ref="H84:I84" si="352">(H7+H15-H10-H9)/H61</f>
        <v>-525</v>
      </c>
      <c r="I84" s="121">
        <f t="shared" si="352"/>
        <v>-706.86274509803923</v>
      </c>
      <c r="J84" s="121">
        <f t="shared" ref="J84:S84" si="353">(J7+J15-J10-J9)/J61</f>
        <v>-767.64705882352939</v>
      </c>
      <c r="K84" s="121">
        <f t="shared" si="353"/>
        <v>-728.43137254901956</v>
      </c>
      <c r="L84" s="121">
        <f t="shared" si="353"/>
        <v>-691.66666666666663</v>
      </c>
      <c r="M84" s="121">
        <f t="shared" si="353"/>
        <v>-769.60784313725492</v>
      </c>
      <c r="N84" s="121">
        <f t="shared" si="353"/>
        <v>-772.05882352941171</v>
      </c>
      <c r="O84" s="121">
        <f t="shared" si="353"/>
        <v>-963.23529411764707</v>
      </c>
      <c r="P84" s="121">
        <f t="shared" si="353"/>
        <v>-1572.5490196078431</v>
      </c>
      <c r="Q84" s="121">
        <f t="shared" si="353"/>
        <v>-2404.9019607843138</v>
      </c>
      <c r="R84" s="121">
        <f t="shared" si="353"/>
        <v>-2503.0075187969924</v>
      </c>
      <c r="S84" s="121">
        <f t="shared" si="353"/>
        <v>-3319.9248120300749</v>
      </c>
      <c r="T84" s="121">
        <f t="shared" ref="T84:U84" si="354">(T7+T15-T10-T9)/T61</f>
        <v>-4166.9172932330821</v>
      </c>
      <c r="U84" s="121">
        <f t="shared" si="354"/>
        <v>-954.39519158527423</v>
      </c>
      <c r="V84" s="121">
        <f t="shared" ref="V84" si="355">(V7+V15-V10-V9)/V61</f>
        <v>-1109.54169797145</v>
      </c>
      <c r="W84" s="101">
        <f t="shared" si="280"/>
        <v>6.365003039154904E-2</v>
      </c>
      <c r="X84" s="109"/>
      <c r="Y84" s="132">
        <f t="shared" ref="Y84:AH84" si="356">(Y7+Y15-Y10-Y9)/Y61</f>
        <v>-1076.0337944343778</v>
      </c>
      <c r="Z84" s="132">
        <f t="shared" si="356"/>
        <v>-1213.1753564701319</v>
      </c>
      <c r="AA84" s="132">
        <f t="shared" si="356"/>
        <v>-1367.7957450398544</v>
      </c>
      <c r="AB84" s="132">
        <f t="shared" si="356"/>
        <v>-1542.1226537214045</v>
      </c>
      <c r="AC84" s="132">
        <f t="shared" si="356"/>
        <v>-1738.6676978231519</v>
      </c>
      <c r="AD84" s="132">
        <f t="shared" si="356"/>
        <v>-1960.2626004868866</v>
      </c>
      <c r="AE84" s="132">
        <f t="shared" si="356"/>
        <v>-2210.0999907450187</v>
      </c>
      <c r="AF84" s="132">
        <f t="shared" si="356"/>
        <v>-2491.7794013301677</v>
      </c>
      <c r="AG84" s="132">
        <f t="shared" si="356"/>
        <v>-2809.3591289506794</v>
      </c>
      <c r="AH84" s="132">
        <f t="shared" si="356"/>
        <v>-3167.4147042090995</v>
      </c>
      <c r="AI84" s="115">
        <f t="shared" si="313"/>
        <v>5.8331526666656419E-2</v>
      </c>
      <c r="AJ84" s="21">
        <f t="shared" si="17"/>
        <v>0.01</v>
      </c>
      <c r="AK84" s="123" t="e">
        <f t="shared" si="306"/>
        <v>#DIV/0!</v>
      </c>
    </row>
    <row r="85" spans="2:37" x14ac:dyDescent="0.2">
      <c r="B85" s="10"/>
      <c r="C85" s="108"/>
      <c r="D85" s="108"/>
      <c r="E85" s="108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01" t="e">
        <f t="shared" si="280"/>
        <v>#DIV/0!</v>
      </c>
      <c r="X85" s="10"/>
      <c r="Y85" s="130"/>
      <c r="Z85" s="130"/>
      <c r="AA85" s="130"/>
      <c r="AB85" s="130"/>
      <c r="AC85" s="130"/>
      <c r="AD85" s="130"/>
      <c r="AE85" s="130"/>
      <c r="AF85" s="130"/>
      <c r="AG85" s="130"/>
      <c r="AH85" s="130"/>
      <c r="AI85" s="116"/>
      <c r="AJ85" s="114"/>
      <c r="AK85" s="123"/>
    </row>
    <row r="86" spans="2:37" x14ac:dyDescent="0.2">
      <c r="B86" s="10" t="s">
        <v>205</v>
      </c>
      <c r="C86" s="108"/>
      <c r="D86" s="108"/>
      <c r="E86" s="108"/>
      <c r="F86" s="121"/>
      <c r="G86" s="121">
        <f t="shared" ref="G86" si="357">G12/G61</f>
        <v>3.9215686274509802</v>
      </c>
      <c r="H86" s="121">
        <f t="shared" ref="H86:I86" si="358">H12/H61</f>
        <v>0.98039215686274506</v>
      </c>
      <c r="I86" s="121">
        <f t="shared" si="358"/>
        <v>0.49019607843137253</v>
      </c>
      <c r="J86" s="121">
        <f t="shared" ref="J86:S86" si="359">J12/J61</f>
        <v>1.4705882352941175</v>
      </c>
      <c r="K86" s="121">
        <f t="shared" si="359"/>
        <v>6.8627450980392153</v>
      </c>
      <c r="L86" s="121">
        <f t="shared" si="359"/>
        <v>6.8627450980392153</v>
      </c>
      <c r="M86" s="121">
        <f t="shared" si="359"/>
        <v>15.686274509803921</v>
      </c>
      <c r="N86" s="121">
        <f t="shared" si="359"/>
        <v>16.666666666666668</v>
      </c>
      <c r="O86" s="121">
        <f t="shared" si="359"/>
        <v>7.8431372549019605</v>
      </c>
      <c r="P86" s="121">
        <f t="shared" si="359"/>
        <v>3.9215686274509802</v>
      </c>
      <c r="Q86" s="121">
        <f t="shared" si="359"/>
        <v>4.4117647058823533</v>
      </c>
      <c r="R86" s="121">
        <f t="shared" si="359"/>
        <v>3.007518796992481</v>
      </c>
      <c r="S86" s="121">
        <f t="shared" si="359"/>
        <v>6.3909774436090219</v>
      </c>
      <c r="T86" s="121">
        <f t="shared" ref="T86:U86" si="360">T12/T61</f>
        <v>4.511278195488722</v>
      </c>
      <c r="U86" s="121">
        <f t="shared" si="360"/>
        <v>1.4274981217129976</v>
      </c>
      <c r="V86" s="121">
        <f t="shared" ref="V86" si="361">V12/V61</f>
        <v>31.555221637866264</v>
      </c>
      <c r="W86" s="101">
        <f t="shared" si="280"/>
        <v>0.14914304883677865</v>
      </c>
      <c r="X86" s="109"/>
      <c r="Y86" s="132">
        <f t="shared" ref="Y86:AH86" si="362">Y12/Y61</f>
        <v>1.6094341568332815</v>
      </c>
      <c r="Z86" s="132">
        <f t="shared" si="362"/>
        <v>1.8145581179983075</v>
      </c>
      <c r="AA86" s="132">
        <f t="shared" si="362"/>
        <v>2.0458253291157384</v>
      </c>
      <c r="AB86" s="132">
        <f t="shared" si="362"/>
        <v>2.3065677730226462</v>
      </c>
      <c r="AC86" s="132">
        <f t="shared" si="362"/>
        <v>2.6005420970353361</v>
      </c>
      <c r="AD86" s="132">
        <f t="shared" si="362"/>
        <v>2.9319837368535651</v>
      </c>
      <c r="AE86" s="132">
        <f t="shared" si="362"/>
        <v>3.3056679386094112</v>
      </c>
      <c r="AF86" s="132">
        <f t="shared" si="362"/>
        <v>3.7269785582361008</v>
      </c>
      <c r="AG86" s="132">
        <f t="shared" si="362"/>
        <v>4.2019856293838389</v>
      </c>
      <c r="AH86" s="132">
        <f t="shared" si="362"/>
        <v>4.7375328174425624</v>
      </c>
      <c r="AI86" s="115">
        <f t="shared" si="313"/>
        <v>4.7906286549864951E-2</v>
      </c>
      <c r="AJ86" s="21">
        <f t="shared" si="17"/>
        <v>0.01</v>
      </c>
      <c r="AK86" s="123" t="e">
        <f t="shared" si="306"/>
        <v>#DIV/0!</v>
      </c>
    </row>
    <row r="87" spans="2:37" x14ac:dyDescent="0.2">
      <c r="B87" s="10" t="s">
        <v>212</v>
      </c>
      <c r="C87" s="108"/>
      <c r="D87" s="108"/>
      <c r="E87" s="108"/>
      <c r="F87" s="121"/>
      <c r="G87" s="121">
        <f t="shared" ref="G87" si="363">G13/G61</f>
        <v>17.647058823529413</v>
      </c>
      <c r="H87" s="121">
        <f t="shared" ref="H87:I87" si="364">H13/H61</f>
        <v>16.176470588235293</v>
      </c>
      <c r="I87" s="121">
        <f t="shared" si="364"/>
        <v>16.176470588235293</v>
      </c>
      <c r="J87" s="121">
        <f t="shared" ref="J87:S87" si="365">J13/J61</f>
        <v>15.196078431372548</v>
      </c>
      <c r="K87" s="121">
        <f t="shared" si="365"/>
        <v>11.76470588235294</v>
      </c>
      <c r="L87" s="121">
        <f t="shared" si="365"/>
        <v>9.3137254901960791</v>
      </c>
      <c r="M87" s="121">
        <f t="shared" si="365"/>
        <v>8.3333333333333339</v>
      </c>
      <c r="N87" s="121">
        <f t="shared" si="365"/>
        <v>9.8039215686274517</v>
      </c>
      <c r="O87" s="121">
        <f t="shared" si="365"/>
        <v>8.3333333333333339</v>
      </c>
      <c r="P87" s="121">
        <f t="shared" si="365"/>
        <v>7.8431372549019605</v>
      </c>
      <c r="Q87" s="121">
        <f t="shared" si="365"/>
        <v>6.8627450980392153</v>
      </c>
      <c r="R87" s="121">
        <f t="shared" si="365"/>
        <v>5.2631578947368416</v>
      </c>
      <c r="S87" s="121">
        <f t="shared" si="365"/>
        <v>5.2631578947368416</v>
      </c>
      <c r="T87" s="121">
        <f t="shared" ref="T87:U87" si="366">T13/T61</f>
        <v>5.6390977443609023</v>
      </c>
      <c r="U87" s="121">
        <f t="shared" si="366"/>
        <v>1.2021036814425243</v>
      </c>
      <c r="V87" s="121">
        <f t="shared" ref="V87" si="367">V13/V61</f>
        <v>1.2021036814425243</v>
      </c>
      <c r="W87" s="101">
        <f t="shared" si="280"/>
        <v>-0.16397748634536069</v>
      </c>
      <c r="X87" s="109"/>
      <c r="Y87" s="132">
        <f t="shared" ref="Y87:AH87" si="368">Y13/Y61</f>
        <v>1.3553129741753951</v>
      </c>
      <c r="Z87" s="132">
        <f t="shared" si="368"/>
        <v>1.5280489414722591</v>
      </c>
      <c r="AA87" s="132">
        <f t="shared" si="368"/>
        <v>1.7228002771500956</v>
      </c>
      <c r="AB87" s="132">
        <f t="shared" si="368"/>
        <v>1.9423728614927549</v>
      </c>
      <c r="AC87" s="132">
        <f t="shared" si="368"/>
        <v>2.1899301869771257</v>
      </c>
      <c r="AD87" s="132">
        <f t="shared" si="368"/>
        <v>2.4690389362977396</v>
      </c>
      <c r="AE87" s="132">
        <f t="shared" si="368"/>
        <v>2.7837203693552945</v>
      </c>
      <c r="AF87" s="132">
        <f t="shared" si="368"/>
        <v>3.1385082595672431</v>
      </c>
      <c r="AG87" s="132">
        <f t="shared" si="368"/>
        <v>3.5385142142179702</v>
      </c>
      <c r="AH87" s="132">
        <f t="shared" si="368"/>
        <v>3.9895013199516329</v>
      </c>
      <c r="AI87" s="115">
        <f t="shared" si="313"/>
        <v>-5.2089173704130909E-2</v>
      </c>
      <c r="AJ87" s="21">
        <f t="shared" si="17"/>
        <v>0.01</v>
      </c>
      <c r="AK87" s="123" t="e">
        <f t="shared" si="306"/>
        <v>#DIV/0!</v>
      </c>
    </row>
    <row r="88" spans="2:37" x14ac:dyDescent="0.2">
      <c r="B88" s="10" t="s">
        <v>213</v>
      </c>
      <c r="C88" s="108"/>
      <c r="D88" s="108"/>
      <c r="E88" s="108"/>
      <c r="F88" s="121"/>
      <c r="G88" s="121">
        <f t="shared" ref="G88" si="369">(G86+G87)</f>
        <v>21.568627450980394</v>
      </c>
      <c r="H88" s="121">
        <f t="shared" ref="H88:I88" si="370">(H86+H87)</f>
        <v>17.156862745098039</v>
      </c>
      <c r="I88" s="121">
        <f t="shared" si="370"/>
        <v>16.666666666666664</v>
      </c>
      <c r="J88" s="121">
        <f t="shared" ref="J88:S88" si="371">(J86+J87)</f>
        <v>16.666666666666664</v>
      </c>
      <c r="K88" s="121">
        <f t="shared" si="371"/>
        <v>18.627450980392155</v>
      </c>
      <c r="L88" s="121">
        <f t="shared" si="371"/>
        <v>16.176470588235293</v>
      </c>
      <c r="M88" s="121">
        <f t="shared" si="371"/>
        <v>24.019607843137255</v>
      </c>
      <c r="N88" s="121">
        <f t="shared" si="371"/>
        <v>26.47058823529412</v>
      </c>
      <c r="O88" s="121">
        <f t="shared" si="371"/>
        <v>16.176470588235293</v>
      </c>
      <c r="P88" s="121">
        <f t="shared" si="371"/>
        <v>11.76470588235294</v>
      </c>
      <c r="Q88" s="121">
        <f t="shared" si="371"/>
        <v>11.274509803921568</v>
      </c>
      <c r="R88" s="121">
        <f t="shared" ref="R88" si="372">(R86+R87)</f>
        <v>8.2706766917293226</v>
      </c>
      <c r="S88" s="121">
        <f t="shared" si="371"/>
        <v>11.654135338345863</v>
      </c>
      <c r="T88" s="121">
        <f t="shared" ref="T88:U88" si="373">(T86+T87)</f>
        <v>10.150375939849624</v>
      </c>
      <c r="U88" s="121">
        <f t="shared" si="373"/>
        <v>2.6296018031555217</v>
      </c>
      <c r="V88" s="121">
        <f t="shared" ref="V88" si="374">(V86+V87)</f>
        <v>32.757325319308791</v>
      </c>
      <c r="W88" s="101">
        <f t="shared" si="280"/>
        <v>2.8250813205813685E-2</v>
      </c>
      <c r="X88" s="109"/>
      <c r="Y88" s="132">
        <f t="shared" ref="Y88:AH88" si="375">(Y86+Y87)</f>
        <v>2.9647471310086768</v>
      </c>
      <c r="Z88" s="132">
        <f t="shared" si="375"/>
        <v>3.3426070594705664</v>
      </c>
      <c r="AA88" s="132">
        <f t="shared" si="375"/>
        <v>3.7686256062658341</v>
      </c>
      <c r="AB88" s="132">
        <f t="shared" si="375"/>
        <v>4.2489406345154013</v>
      </c>
      <c r="AC88" s="132">
        <f t="shared" si="375"/>
        <v>4.7904722840124618</v>
      </c>
      <c r="AD88" s="132">
        <f t="shared" si="375"/>
        <v>5.4010226731513047</v>
      </c>
      <c r="AE88" s="132">
        <f t="shared" si="375"/>
        <v>6.0893883079647058</v>
      </c>
      <c r="AF88" s="132">
        <f t="shared" si="375"/>
        <v>6.8654868178033439</v>
      </c>
      <c r="AG88" s="132">
        <f t="shared" si="375"/>
        <v>7.7404998436018086</v>
      </c>
      <c r="AH88" s="132">
        <f t="shared" si="375"/>
        <v>8.7270341373941953</v>
      </c>
      <c r="AI88" s="115">
        <f t="shared" si="313"/>
        <v>-2.5547403829247806E-2</v>
      </c>
      <c r="AJ88" s="21">
        <f t="shared" si="17"/>
        <v>0.01</v>
      </c>
      <c r="AK88" s="123" t="e">
        <f t="shared" si="306"/>
        <v>#DIV/0!</v>
      </c>
    </row>
    <row r="89" spans="2:37" x14ac:dyDescent="0.2">
      <c r="B89" s="10" t="s">
        <v>206</v>
      </c>
      <c r="C89" s="108"/>
      <c r="D89" s="108"/>
      <c r="E89" s="108"/>
      <c r="F89" s="121"/>
      <c r="G89" s="121">
        <f t="shared" ref="G89" si="376">G15/G61</f>
        <v>3.9215686274509802</v>
      </c>
      <c r="H89" s="121">
        <f t="shared" ref="H89:I89" si="377">H15/H61</f>
        <v>0.98039215686274506</v>
      </c>
      <c r="I89" s="121">
        <f t="shared" si="377"/>
        <v>0.49019607843137253</v>
      </c>
      <c r="J89" s="121">
        <f t="shared" ref="J89:S89" si="378">J15/J61</f>
        <v>1.4705882352941175</v>
      </c>
      <c r="K89" s="121">
        <f t="shared" si="378"/>
        <v>6.8627450980392153</v>
      </c>
      <c r="L89" s="121">
        <f t="shared" si="378"/>
        <v>6.8627450980392153</v>
      </c>
      <c r="M89" s="121">
        <f t="shared" si="378"/>
        <v>15.686274509803921</v>
      </c>
      <c r="N89" s="121">
        <f t="shared" si="378"/>
        <v>16.666666666666668</v>
      </c>
      <c r="O89" s="121">
        <f t="shared" si="378"/>
        <v>7.8431372549019605</v>
      </c>
      <c r="P89" s="121">
        <f t="shared" si="378"/>
        <v>3.9215686274509802</v>
      </c>
      <c r="Q89" s="121">
        <f t="shared" si="378"/>
        <v>4.4117647058823533</v>
      </c>
      <c r="R89" s="121">
        <f t="shared" si="378"/>
        <v>3.007518796992481</v>
      </c>
      <c r="S89" s="121">
        <f t="shared" si="378"/>
        <v>6.3909774436090219</v>
      </c>
      <c r="T89" s="121">
        <f t="shared" ref="T89:U89" si="379">T15/T61</f>
        <v>4.511278195488722</v>
      </c>
      <c r="U89" s="121">
        <f t="shared" si="379"/>
        <v>1.4274981217129976</v>
      </c>
      <c r="V89" s="121">
        <f t="shared" ref="V89" si="380">V15/V61</f>
        <v>31.555221637866264</v>
      </c>
      <c r="W89" s="101">
        <f t="shared" si="280"/>
        <v>0.14914304883677865</v>
      </c>
      <c r="X89" s="109"/>
      <c r="Y89" s="132">
        <f t="shared" ref="Y89:AH89" si="381">Y15/Y61</f>
        <v>1.6094341568332815</v>
      </c>
      <c r="Z89" s="132">
        <f t="shared" si="381"/>
        <v>1.8145581179983075</v>
      </c>
      <c r="AA89" s="132">
        <f t="shared" si="381"/>
        <v>2.0458253291157384</v>
      </c>
      <c r="AB89" s="132">
        <f t="shared" si="381"/>
        <v>2.3065677730226462</v>
      </c>
      <c r="AC89" s="132">
        <f t="shared" si="381"/>
        <v>2.6005420970353361</v>
      </c>
      <c r="AD89" s="132">
        <f t="shared" si="381"/>
        <v>2.9319837368535651</v>
      </c>
      <c r="AE89" s="132">
        <f t="shared" si="381"/>
        <v>3.3056679386094112</v>
      </c>
      <c r="AF89" s="132">
        <f t="shared" si="381"/>
        <v>3.7269785582361008</v>
      </c>
      <c r="AG89" s="132">
        <f t="shared" si="381"/>
        <v>4.2019856293838389</v>
      </c>
      <c r="AH89" s="132">
        <f t="shared" si="381"/>
        <v>4.7375328174425624</v>
      </c>
      <c r="AI89" s="115">
        <f t="shared" si="313"/>
        <v>4.7906286549864951E-2</v>
      </c>
      <c r="AJ89" s="21">
        <f t="shared" si="17"/>
        <v>0.01</v>
      </c>
      <c r="AK89" s="123" t="e">
        <f t="shared" si="306"/>
        <v>#DIV/0!</v>
      </c>
    </row>
    <row r="90" spans="2:37" x14ac:dyDescent="0.2">
      <c r="B90" s="10" t="s">
        <v>207</v>
      </c>
      <c r="C90" s="108"/>
      <c r="D90" s="108"/>
      <c r="E90" s="108"/>
      <c r="F90" s="121"/>
      <c r="G90" s="121">
        <f t="shared" ref="G90" si="382">G16/G61</f>
        <v>552.45098039215691</v>
      </c>
      <c r="H90" s="121">
        <f t="shared" ref="H90:I90" si="383">H16/H61</f>
        <v>651.47058823529414</v>
      </c>
      <c r="I90" s="121">
        <f t="shared" si="383"/>
        <v>852.94117647058818</v>
      </c>
      <c r="J90" s="121">
        <f t="shared" ref="J90:S90" si="384">J16/J61</f>
        <v>938.72549019607845</v>
      </c>
      <c r="K90" s="121">
        <f t="shared" si="384"/>
        <v>925</v>
      </c>
      <c r="L90" s="121">
        <f t="shared" si="384"/>
        <v>918.62745098039215</v>
      </c>
      <c r="M90" s="121">
        <f t="shared" si="384"/>
        <v>1038.7254901960785</v>
      </c>
      <c r="N90" s="121">
        <f t="shared" si="384"/>
        <v>895.0980392156863</v>
      </c>
      <c r="O90" s="121">
        <f t="shared" si="384"/>
        <v>1131.8627450980391</v>
      </c>
      <c r="P90" s="121">
        <f t="shared" si="384"/>
        <v>1687.2549019607843</v>
      </c>
      <c r="Q90" s="121">
        <f t="shared" si="384"/>
        <v>2511.7647058823527</v>
      </c>
      <c r="R90" s="121">
        <f t="shared" si="384"/>
        <v>2890.2255639097743</v>
      </c>
      <c r="S90" s="121">
        <f t="shared" si="384"/>
        <v>3563.5338345864661</v>
      </c>
      <c r="T90" s="121">
        <f t="shared" ref="T90:U90" si="385">T16/T61</f>
        <v>4571.4285714285716</v>
      </c>
      <c r="U90" s="121">
        <f t="shared" si="385"/>
        <v>1155.6724267468069</v>
      </c>
      <c r="V90" s="121">
        <f t="shared" ref="V90" si="386">V16/V61</f>
        <v>1386.175807663411</v>
      </c>
      <c r="W90" s="101">
        <f t="shared" si="280"/>
        <v>6.3248971029955303E-2</v>
      </c>
      <c r="X90" s="109"/>
      <c r="Y90" s="132">
        <f t="shared" ref="Y90:AH90" si="387">Y16/Y61</f>
        <v>1302.9640105478704</v>
      </c>
      <c r="Z90" s="132">
        <f t="shared" si="387"/>
        <v>1469.0280511078931</v>
      </c>
      <c r="AA90" s="132">
        <f t="shared" si="387"/>
        <v>1656.2571164451731</v>
      </c>
      <c r="AB90" s="132">
        <f t="shared" si="387"/>
        <v>1867.3487097175971</v>
      </c>
      <c r="AC90" s="132">
        <f t="shared" si="387"/>
        <v>2105.3441335051339</v>
      </c>
      <c r="AD90" s="132">
        <f t="shared" si="387"/>
        <v>2373.6723073832391</v>
      </c>
      <c r="AE90" s="132">
        <f t="shared" si="387"/>
        <v>2676.1991700889457</v>
      </c>
      <c r="AF90" s="132">
        <f t="shared" si="387"/>
        <v>3017.283378041458</v>
      </c>
      <c r="AG90" s="132">
        <f t="shared" si="387"/>
        <v>3401.8391026938007</v>
      </c>
      <c r="AH90" s="132">
        <f t="shared" si="387"/>
        <v>3835.4068314685001</v>
      </c>
      <c r="AI90" s="115">
        <f t="shared" si="313"/>
        <v>5.7915336401832329E-2</v>
      </c>
      <c r="AJ90" s="21">
        <f t="shared" si="17"/>
        <v>0.01</v>
      </c>
      <c r="AK90" s="123" t="e">
        <f t="shared" si="306"/>
        <v>#DIV/0!</v>
      </c>
    </row>
    <row r="91" spans="2:37" x14ac:dyDescent="0.2">
      <c r="B91" s="10"/>
      <c r="C91" s="108"/>
      <c r="D91" s="108"/>
      <c r="E91" s="108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01" t="e">
        <f t="shared" si="280"/>
        <v>#DIV/0!</v>
      </c>
      <c r="X91" s="10"/>
      <c r="Y91" s="130"/>
      <c r="Z91" s="130"/>
      <c r="AA91" s="130"/>
      <c r="AB91" s="130"/>
      <c r="AC91" s="130"/>
      <c r="AD91" s="130"/>
      <c r="AE91" s="130"/>
      <c r="AF91" s="130"/>
      <c r="AG91" s="130"/>
      <c r="AH91" s="130"/>
      <c r="AI91" s="116"/>
      <c r="AJ91" s="116"/>
      <c r="AK91" s="116"/>
    </row>
    <row r="92" spans="2:37" x14ac:dyDescent="0.2">
      <c r="B92" s="10" t="s">
        <v>232</v>
      </c>
      <c r="C92" s="134"/>
      <c r="D92" s="134"/>
      <c r="E92" s="134"/>
      <c r="F92" s="134"/>
      <c r="G92" s="134">
        <f t="shared" ref="G92" si="388">G63</f>
        <v>0.1</v>
      </c>
      <c r="H92" s="134">
        <f t="shared" ref="H92:I92" si="389">H63</f>
        <v>0</v>
      </c>
      <c r="I92" s="134">
        <f t="shared" si="389"/>
        <v>0</v>
      </c>
      <c r="J92" s="134">
        <f t="shared" ref="J92:S92" si="390">J63</f>
        <v>0</v>
      </c>
      <c r="K92" s="134">
        <f t="shared" si="390"/>
        <v>0</v>
      </c>
      <c r="L92" s="134">
        <f t="shared" si="390"/>
        <v>0</v>
      </c>
      <c r="M92" s="134">
        <f t="shared" si="390"/>
        <v>0</v>
      </c>
      <c r="N92" s="134">
        <f t="shared" si="390"/>
        <v>0</v>
      </c>
      <c r="O92" s="134">
        <f t="shared" si="390"/>
        <v>0</v>
      </c>
      <c r="P92" s="134">
        <f t="shared" si="390"/>
        <v>0</v>
      </c>
      <c r="Q92" s="134">
        <f t="shared" si="390"/>
        <v>0</v>
      </c>
      <c r="R92" s="134">
        <f t="shared" si="390"/>
        <v>0</v>
      </c>
      <c r="S92" s="134">
        <f t="shared" si="390"/>
        <v>0</v>
      </c>
      <c r="T92" s="134">
        <f t="shared" ref="T92:U92" si="391">T63</f>
        <v>0</v>
      </c>
      <c r="U92" s="134">
        <f t="shared" si="391"/>
        <v>0</v>
      </c>
      <c r="V92" s="134">
        <f t="shared" ref="V92" si="392">V63</f>
        <v>1</v>
      </c>
      <c r="W92" s="101">
        <f t="shared" si="280"/>
        <v>0.16591440117983169</v>
      </c>
      <c r="X92" s="109"/>
      <c r="Y92" s="134">
        <f t="shared" ref="Y92:AH92" si="393">Y63</f>
        <v>0</v>
      </c>
      <c r="Z92" s="134">
        <f t="shared" si="393"/>
        <v>0</v>
      </c>
      <c r="AA92" s="134">
        <f t="shared" si="393"/>
        <v>0</v>
      </c>
      <c r="AB92" s="134">
        <f t="shared" si="393"/>
        <v>0</v>
      </c>
      <c r="AC92" s="134">
        <f t="shared" si="393"/>
        <v>0</v>
      </c>
      <c r="AD92" s="134">
        <f t="shared" si="393"/>
        <v>0</v>
      </c>
      <c r="AE92" s="134">
        <f t="shared" si="393"/>
        <v>0</v>
      </c>
      <c r="AF92" s="134">
        <f t="shared" si="393"/>
        <v>0</v>
      </c>
      <c r="AG92" s="134">
        <f t="shared" si="393"/>
        <v>0</v>
      </c>
      <c r="AH92" s="134">
        <f t="shared" si="393"/>
        <v>0</v>
      </c>
      <c r="AI92" s="115" t="e">
        <f t="shared" ref="AI92" si="394">((AH92/J92)^(1/($AH$3-$K$1) ))-1</f>
        <v>#DIV/0!</v>
      </c>
      <c r="AJ92" s="21">
        <f t="shared" si="17"/>
        <v>0.01</v>
      </c>
      <c r="AK92" s="123" t="e">
        <f t="shared" si="306"/>
        <v>#DIV/0!</v>
      </c>
    </row>
    <row r="93" spans="2:37" x14ac:dyDescent="0.2">
      <c r="B93" s="10"/>
      <c r="C93" s="108"/>
      <c r="D93" s="108"/>
      <c r="E93" s="108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01" t="e">
        <f t="shared" si="280"/>
        <v>#DIV/0!</v>
      </c>
      <c r="X93" s="10"/>
      <c r="Y93" s="130"/>
      <c r="Z93" s="130"/>
      <c r="AA93" s="130"/>
      <c r="AB93" s="130"/>
      <c r="AC93" s="130"/>
      <c r="AD93" s="130"/>
      <c r="AE93" s="130"/>
      <c r="AF93" s="130"/>
      <c r="AG93" s="130"/>
      <c r="AH93" s="130"/>
      <c r="AI93" s="116"/>
      <c r="AJ93" s="114"/>
      <c r="AK93" s="116"/>
    </row>
    <row r="94" spans="2:37" x14ac:dyDescent="0.2">
      <c r="B94" s="10" t="s">
        <v>262</v>
      </c>
      <c r="C94" s="108"/>
      <c r="D94" s="108"/>
      <c r="E94" s="108"/>
      <c r="F94" s="121"/>
      <c r="G94" s="121">
        <f t="shared" ref="G94" si="395">G20+G21</f>
        <v>0</v>
      </c>
      <c r="H94" s="121">
        <f t="shared" ref="H94:I94" si="396">H20+H21</f>
        <v>0</v>
      </c>
      <c r="I94" s="121">
        <f t="shared" si="396"/>
        <v>0</v>
      </c>
      <c r="J94" s="121">
        <f t="shared" ref="J94:S94" si="397">J20+J21</f>
        <v>0</v>
      </c>
      <c r="K94" s="121">
        <f t="shared" si="397"/>
        <v>0</v>
      </c>
      <c r="L94" s="121">
        <f t="shared" si="397"/>
        <v>0</v>
      </c>
      <c r="M94" s="121">
        <f t="shared" si="397"/>
        <v>0</v>
      </c>
      <c r="N94" s="121">
        <f t="shared" si="397"/>
        <v>0</v>
      </c>
      <c r="O94" s="121">
        <f t="shared" si="397"/>
        <v>0</v>
      </c>
      <c r="P94" s="121">
        <f t="shared" si="397"/>
        <v>0</v>
      </c>
      <c r="Q94" s="121">
        <f t="shared" si="397"/>
        <v>0</v>
      </c>
      <c r="R94" s="121">
        <f t="shared" si="397"/>
        <v>0</v>
      </c>
      <c r="S94" s="121">
        <f t="shared" si="397"/>
        <v>0</v>
      </c>
      <c r="T94" s="121">
        <f t="shared" ref="T94:U94" si="398">T20+T21</f>
        <v>0</v>
      </c>
      <c r="U94" s="121">
        <f t="shared" si="398"/>
        <v>0</v>
      </c>
      <c r="V94" s="121">
        <f t="shared" ref="V94" si="399">V20+V21</f>
        <v>0</v>
      </c>
      <c r="W94" s="101" t="e">
        <f t="shared" si="280"/>
        <v>#DIV/0!</v>
      </c>
      <c r="X94" s="109"/>
      <c r="Y94" s="121">
        <f t="shared" ref="Y94:AH94" si="400">Y20+Y21</f>
        <v>0</v>
      </c>
      <c r="Z94" s="121">
        <f t="shared" si="400"/>
        <v>0</v>
      </c>
      <c r="AA94" s="121">
        <f t="shared" si="400"/>
        <v>0</v>
      </c>
      <c r="AB94" s="121">
        <f t="shared" si="400"/>
        <v>0</v>
      </c>
      <c r="AC94" s="121">
        <f t="shared" si="400"/>
        <v>0</v>
      </c>
      <c r="AD94" s="121">
        <f t="shared" si="400"/>
        <v>0</v>
      </c>
      <c r="AE94" s="121">
        <f t="shared" si="400"/>
        <v>0</v>
      </c>
      <c r="AF94" s="121">
        <f t="shared" si="400"/>
        <v>0</v>
      </c>
      <c r="AG94" s="121">
        <f t="shared" si="400"/>
        <v>0</v>
      </c>
      <c r="AH94" s="121">
        <f t="shared" si="400"/>
        <v>0</v>
      </c>
      <c r="AI94" s="115" t="e">
        <f t="shared" ref="AI94:AI99" si="401">((AH94/J94)^(1/($AH$3-$K$1) ))-1</f>
        <v>#DIV/0!</v>
      </c>
      <c r="AJ94" s="21">
        <f t="shared" si="17"/>
        <v>0.01</v>
      </c>
      <c r="AK94" s="123" t="e">
        <f t="shared" si="306"/>
        <v>#DIV/0!</v>
      </c>
    </row>
    <row r="95" spans="2:37" x14ac:dyDescent="0.2">
      <c r="B95" s="10"/>
      <c r="C95" s="108"/>
      <c r="D95" s="108"/>
      <c r="E95" s="108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01" t="e">
        <f t="shared" si="280"/>
        <v>#DIV/0!</v>
      </c>
      <c r="X95" s="10"/>
      <c r="Y95" s="123"/>
      <c r="Z95" s="123"/>
      <c r="AA95" s="123"/>
      <c r="AB95" s="123"/>
      <c r="AC95" s="123"/>
      <c r="AD95" s="123"/>
      <c r="AE95" s="123"/>
      <c r="AF95" s="123"/>
      <c r="AG95" s="123"/>
      <c r="AH95" s="123"/>
      <c r="AI95" s="116"/>
      <c r="AJ95" s="114"/>
      <c r="AK95" s="116"/>
    </row>
    <row r="96" spans="2:37" x14ac:dyDescent="0.2">
      <c r="B96" s="10" t="s">
        <v>263</v>
      </c>
      <c r="C96" s="108"/>
      <c r="D96" s="108"/>
      <c r="E96" s="108"/>
      <c r="F96" s="121"/>
      <c r="G96" s="121">
        <f t="shared" ref="G96" si="402">G94/G61</f>
        <v>0</v>
      </c>
      <c r="H96" s="121">
        <f t="shared" ref="H96:I96" si="403">H94/H61</f>
        <v>0</v>
      </c>
      <c r="I96" s="121">
        <f t="shared" si="403"/>
        <v>0</v>
      </c>
      <c r="J96" s="121">
        <f t="shared" ref="J96:S96" si="404">J94/J61</f>
        <v>0</v>
      </c>
      <c r="K96" s="121">
        <f t="shared" si="404"/>
        <v>0</v>
      </c>
      <c r="L96" s="121">
        <f t="shared" si="404"/>
        <v>0</v>
      </c>
      <c r="M96" s="121">
        <f t="shared" si="404"/>
        <v>0</v>
      </c>
      <c r="N96" s="121">
        <f t="shared" si="404"/>
        <v>0</v>
      </c>
      <c r="O96" s="121">
        <f t="shared" si="404"/>
        <v>0</v>
      </c>
      <c r="P96" s="121">
        <f t="shared" si="404"/>
        <v>0</v>
      </c>
      <c r="Q96" s="121">
        <f t="shared" si="404"/>
        <v>0</v>
      </c>
      <c r="R96" s="121">
        <f t="shared" si="404"/>
        <v>0</v>
      </c>
      <c r="S96" s="121">
        <f t="shared" si="404"/>
        <v>0</v>
      </c>
      <c r="T96" s="121">
        <f t="shared" ref="T96:U96" si="405">T94/T61</f>
        <v>0</v>
      </c>
      <c r="U96" s="121">
        <f t="shared" si="405"/>
        <v>0</v>
      </c>
      <c r="V96" s="121">
        <f t="shared" ref="V96" si="406">V94/V61</f>
        <v>0</v>
      </c>
      <c r="W96" s="101" t="e">
        <f t="shared" si="280"/>
        <v>#DIV/0!</v>
      </c>
      <c r="X96" s="109"/>
      <c r="Y96" s="123">
        <f t="shared" ref="Y96:AH96" si="407">Y94/Y61</f>
        <v>0</v>
      </c>
      <c r="Z96" s="123">
        <f t="shared" si="407"/>
        <v>0</v>
      </c>
      <c r="AA96" s="123">
        <f t="shared" si="407"/>
        <v>0</v>
      </c>
      <c r="AB96" s="123">
        <f t="shared" si="407"/>
        <v>0</v>
      </c>
      <c r="AC96" s="123">
        <f t="shared" si="407"/>
        <v>0</v>
      </c>
      <c r="AD96" s="123">
        <f t="shared" si="407"/>
        <v>0</v>
      </c>
      <c r="AE96" s="123">
        <f t="shared" si="407"/>
        <v>0</v>
      </c>
      <c r="AF96" s="123">
        <f t="shared" si="407"/>
        <v>0</v>
      </c>
      <c r="AG96" s="123">
        <f t="shared" si="407"/>
        <v>0</v>
      </c>
      <c r="AH96" s="123">
        <f t="shared" si="407"/>
        <v>0</v>
      </c>
      <c r="AI96" s="115" t="e">
        <f t="shared" si="401"/>
        <v>#DIV/0!</v>
      </c>
      <c r="AJ96" s="21">
        <f t="shared" si="17"/>
        <v>0.01</v>
      </c>
      <c r="AK96" s="123" t="e">
        <f t="shared" si="306"/>
        <v>#DIV/0!</v>
      </c>
    </row>
    <row r="97" spans="2:37" x14ac:dyDescent="0.2">
      <c r="B97" s="10" t="s">
        <v>236</v>
      </c>
      <c r="C97" s="108"/>
      <c r="D97" s="108"/>
      <c r="E97" s="108"/>
      <c r="F97" s="121"/>
      <c r="G97" s="121">
        <f t="shared" ref="G97" si="408">G20/G61</f>
        <v>0</v>
      </c>
      <c r="H97" s="121">
        <f t="shared" ref="H97:I97" si="409">H20/H61</f>
        <v>0</v>
      </c>
      <c r="I97" s="121">
        <f t="shared" si="409"/>
        <v>0</v>
      </c>
      <c r="J97" s="121">
        <f t="shared" ref="J97:S97" si="410">J20/J61</f>
        <v>0</v>
      </c>
      <c r="K97" s="121">
        <f t="shared" si="410"/>
        <v>0</v>
      </c>
      <c r="L97" s="121">
        <f t="shared" si="410"/>
        <v>0</v>
      </c>
      <c r="M97" s="121">
        <f t="shared" si="410"/>
        <v>0</v>
      </c>
      <c r="N97" s="121">
        <f t="shared" si="410"/>
        <v>0</v>
      </c>
      <c r="O97" s="121">
        <f t="shared" si="410"/>
        <v>0</v>
      </c>
      <c r="P97" s="121">
        <f t="shared" si="410"/>
        <v>0</v>
      </c>
      <c r="Q97" s="121">
        <f t="shared" si="410"/>
        <v>0</v>
      </c>
      <c r="R97" s="121">
        <f t="shared" si="410"/>
        <v>0</v>
      </c>
      <c r="S97" s="121">
        <f t="shared" si="410"/>
        <v>0</v>
      </c>
      <c r="T97" s="121">
        <f t="shared" ref="T97:U97" si="411">T20/T61</f>
        <v>0</v>
      </c>
      <c r="U97" s="121">
        <f t="shared" si="411"/>
        <v>0</v>
      </c>
      <c r="V97" s="121">
        <f t="shared" ref="V97" si="412">V20/V61</f>
        <v>0</v>
      </c>
      <c r="W97" s="101" t="e">
        <f t="shared" si="280"/>
        <v>#DIV/0!</v>
      </c>
      <c r="X97" s="109"/>
      <c r="Y97" s="123">
        <f t="shared" ref="Y97:AH97" si="413">Y20/Y61</f>
        <v>0</v>
      </c>
      <c r="Z97" s="123">
        <f t="shared" si="413"/>
        <v>0</v>
      </c>
      <c r="AA97" s="123">
        <f t="shared" si="413"/>
        <v>0</v>
      </c>
      <c r="AB97" s="123">
        <f t="shared" si="413"/>
        <v>0</v>
      </c>
      <c r="AC97" s="123">
        <f t="shared" si="413"/>
        <v>0</v>
      </c>
      <c r="AD97" s="123">
        <f t="shared" si="413"/>
        <v>0</v>
      </c>
      <c r="AE97" s="123">
        <f t="shared" si="413"/>
        <v>0</v>
      </c>
      <c r="AF97" s="123">
        <f t="shared" si="413"/>
        <v>0</v>
      </c>
      <c r="AG97" s="123">
        <f t="shared" si="413"/>
        <v>0</v>
      </c>
      <c r="AH97" s="123">
        <f t="shared" si="413"/>
        <v>0</v>
      </c>
      <c r="AI97" s="115" t="e">
        <f t="shared" si="401"/>
        <v>#DIV/0!</v>
      </c>
      <c r="AJ97" s="21">
        <f t="shared" si="17"/>
        <v>0.01</v>
      </c>
      <c r="AK97" s="123" t="e">
        <f t="shared" si="306"/>
        <v>#DIV/0!</v>
      </c>
    </row>
    <row r="98" spans="2:37" x14ac:dyDescent="0.2">
      <c r="B98" s="10" t="s">
        <v>237</v>
      </c>
      <c r="C98" s="108"/>
      <c r="D98" s="108"/>
      <c r="E98" s="108"/>
      <c r="F98" s="121"/>
      <c r="G98" s="121">
        <f t="shared" ref="G98" si="414">G21/G61</f>
        <v>0</v>
      </c>
      <c r="H98" s="121">
        <f t="shared" ref="H98:I98" si="415">H21/H61</f>
        <v>0</v>
      </c>
      <c r="I98" s="121">
        <f t="shared" si="415"/>
        <v>0</v>
      </c>
      <c r="J98" s="121">
        <f t="shared" ref="J98:S98" si="416">J21/J61</f>
        <v>0</v>
      </c>
      <c r="K98" s="121">
        <f t="shared" si="416"/>
        <v>0</v>
      </c>
      <c r="L98" s="121">
        <f t="shared" si="416"/>
        <v>0</v>
      </c>
      <c r="M98" s="121">
        <f t="shared" si="416"/>
        <v>0</v>
      </c>
      <c r="N98" s="121">
        <f t="shared" si="416"/>
        <v>0</v>
      </c>
      <c r="O98" s="121">
        <f t="shared" si="416"/>
        <v>0</v>
      </c>
      <c r="P98" s="121">
        <f t="shared" si="416"/>
        <v>0</v>
      </c>
      <c r="Q98" s="121">
        <f t="shared" si="416"/>
        <v>0</v>
      </c>
      <c r="R98" s="121">
        <f t="shared" si="416"/>
        <v>0</v>
      </c>
      <c r="S98" s="121">
        <f t="shared" si="416"/>
        <v>0</v>
      </c>
      <c r="T98" s="121">
        <f t="shared" ref="T98:U98" si="417">T21/T61</f>
        <v>0</v>
      </c>
      <c r="U98" s="121">
        <f t="shared" si="417"/>
        <v>0</v>
      </c>
      <c r="V98" s="121">
        <f t="shared" ref="V98" si="418">V21/V61</f>
        <v>0</v>
      </c>
      <c r="W98" s="101" t="e">
        <f t="shared" si="280"/>
        <v>#DIV/0!</v>
      </c>
      <c r="X98" s="109"/>
      <c r="Y98" s="123">
        <f t="shared" ref="Y98:AH98" si="419">Y21/Y61</f>
        <v>0</v>
      </c>
      <c r="Z98" s="123">
        <f t="shared" si="419"/>
        <v>0</v>
      </c>
      <c r="AA98" s="123">
        <f t="shared" si="419"/>
        <v>0</v>
      </c>
      <c r="AB98" s="123">
        <f t="shared" si="419"/>
        <v>0</v>
      </c>
      <c r="AC98" s="123">
        <f t="shared" si="419"/>
        <v>0</v>
      </c>
      <c r="AD98" s="123">
        <f t="shared" si="419"/>
        <v>0</v>
      </c>
      <c r="AE98" s="123">
        <f t="shared" si="419"/>
        <v>0</v>
      </c>
      <c r="AF98" s="123">
        <f t="shared" si="419"/>
        <v>0</v>
      </c>
      <c r="AG98" s="123">
        <f t="shared" si="419"/>
        <v>0</v>
      </c>
      <c r="AH98" s="123">
        <f t="shared" si="419"/>
        <v>0</v>
      </c>
      <c r="AI98" s="115" t="e">
        <f t="shared" si="401"/>
        <v>#DIV/0!</v>
      </c>
      <c r="AJ98" s="21">
        <f t="shared" si="17"/>
        <v>0.01</v>
      </c>
      <c r="AK98" s="123" t="e">
        <f t="shared" si="306"/>
        <v>#DIV/0!</v>
      </c>
    </row>
    <row r="99" spans="2:37" x14ac:dyDescent="0.2">
      <c r="B99" s="10" t="s">
        <v>238</v>
      </c>
      <c r="C99" s="108"/>
      <c r="D99" s="108"/>
      <c r="E99" s="108"/>
      <c r="F99" s="121"/>
      <c r="G99" s="121">
        <f t="shared" ref="G99" si="420">G22/G61</f>
        <v>0</v>
      </c>
      <c r="H99" s="121">
        <f t="shared" ref="H99:I99" si="421">H22/H61</f>
        <v>0</v>
      </c>
      <c r="I99" s="121">
        <f t="shared" si="421"/>
        <v>0</v>
      </c>
      <c r="J99" s="121">
        <f t="shared" ref="J99:S99" si="422">J22/J61</f>
        <v>0</v>
      </c>
      <c r="K99" s="121">
        <f t="shared" si="422"/>
        <v>0</v>
      </c>
      <c r="L99" s="121">
        <f t="shared" si="422"/>
        <v>0</v>
      </c>
      <c r="M99" s="121">
        <f t="shared" si="422"/>
        <v>0</v>
      </c>
      <c r="N99" s="121">
        <f t="shared" si="422"/>
        <v>0</v>
      </c>
      <c r="O99" s="121">
        <f t="shared" si="422"/>
        <v>0</v>
      </c>
      <c r="P99" s="121">
        <f t="shared" si="422"/>
        <v>0</v>
      </c>
      <c r="Q99" s="121">
        <f t="shared" si="422"/>
        <v>0</v>
      </c>
      <c r="R99" s="121">
        <f t="shared" si="422"/>
        <v>0</v>
      </c>
      <c r="S99" s="121">
        <f t="shared" si="422"/>
        <v>0</v>
      </c>
      <c r="T99" s="121">
        <f t="shared" ref="T99:U99" si="423">T22/T61</f>
        <v>0</v>
      </c>
      <c r="U99" s="121">
        <f t="shared" si="423"/>
        <v>0</v>
      </c>
      <c r="V99" s="121">
        <f t="shared" ref="V99" si="424">V22/V61</f>
        <v>0</v>
      </c>
      <c r="W99" s="101" t="e">
        <f t="shared" si="280"/>
        <v>#DIV/0!</v>
      </c>
      <c r="X99" s="109"/>
      <c r="Y99" s="123">
        <f t="shared" ref="Y99:AH99" si="425">Y22/Y61</f>
        <v>0</v>
      </c>
      <c r="Z99" s="123">
        <f t="shared" si="425"/>
        <v>0</v>
      </c>
      <c r="AA99" s="123">
        <f t="shared" si="425"/>
        <v>0</v>
      </c>
      <c r="AB99" s="123">
        <f t="shared" si="425"/>
        <v>0</v>
      </c>
      <c r="AC99" s="123">
        <f t="shared" si="425"/>
        <v>0</v>
      </c>
      <c r="AD99" s="123">
        <f t="shared" si="425"/>
        <v>0</v>
      </c>
      <c r="AE99" s="123">
        <f t="shared" si="425"/>
        <v>0</v>
      </c>
      <c r="AF99" s="123">
        <f t="shared" si="425"/>
        <v>0</v>
      </c>
      <c r="AG99" s="123">
        <f t="shared" si="425"/>
        <v>0</v>
      </c>
      <c r="AH99" s="123">
        <f t="shared" si="425"/>
        <v>0</v>
      </c>
      <c r="AI99" s="115" t="e">
        <f t="shared" si="401"/>
        <v>#DIV/0!</v>
      </c>
      <c r="AJ99" s="21">
        <f t="shared" si="17"/>
        <v>0.01</v>
      </c>
      <c r="AK99" s="123" t="e">
        <f t="shared" si="306"/>
        <v>#DIV/0!</v>
      </c>
    </row>
    <row r="100" spans="2:37" x14ac:dyDescent="0.2">
      <c r="B100" s="10" t="s">
        <v>245</v>
      </c>
      <c r="C100" s="108"/>
      <c r="D100" s="108"/>
      <c r="E100" s="108"/>
      <c r="F100" s="121"/>
      <c r="G100" s="121">
        <f t="shared" ref="G100" si="426">G23/G61</f>
        <v>0</v>
      </c>
      <c r="H100" s="121">
        <f t="shared" ref="H100:I100" si="427">H23/H61</f>
        <v>0</v>
      </c>
      <c r="I100" s="121">
        <f t="shared" si="427"/>
        <v>0</v>
      </c>
      <c r="J100" s="121">
        <f t="shared" ref="J100:S100" si="428">J23/J61</f>
        <v>0</v>
      </c>
      <c r="K100" s="121">
        <f t="shared" si="428"/>
        <v>0</v>
      </c>
      <c r="L100" s="121">
        <f t="shared" si="428"/>
        <v>0</v>
      </c>
      <c r="M100" s="121">
        <f t="shared" si="428"/>
        <v>0</v>
      </c>
      <c r="N100" s="121">
        <f t="shared" si="428"/>
        <v>0</v>
      </c>
      <c r="O100" s="121">
        <f t="shared" si="428"/>
        <v>0</v>
      </c>
      <c r="P100" s="121">
        <f t="shared" si="428"/>
        <v>0</v>
      </c>
      <c r="Q100" s="121">
        <f t="shared" si="428"/>
        <v>0</v>
      </c>
      <c r="R100" s="121">
        <f t="shared" si="428"/>
        <v>0</v>
      </c>
      <c r="S100" s="121">
        <f t="shared" si="428"/>
        <v>0</v>
      </c>
      <c r="T100" s="121">
        <f t="shared" ref="T100:U100" si="429">T23/T61</f>
        <v>0</v>
      </c>
      <c r="U100" s="121">
        <f t="shared" si="429"/>
        <v>0</v>
      </c>
      <c r="V100" s="121">
        <f t="shared" ref="V100" si="430">V23/V61</f>
        <v>0</v>
      </c>
      <c r="W100" s="101" t="e">
        <f t="shared" si="280"/>
        <v>#DIV/0!</v>
      </c>
      <c r="X100" s="109"/>
      <c r="Y100" s="123">
        <f t="shared" ref="Y100:AH100" si="431">Y23/Y61</f>
        <v>0</v>
      </c>
      <c r="Z100" s="123">
        <f t="shared" si="431"/>
        <v>0</v>
      </c>
      <c r="AA100" s="123">
        <f t="shared" si="431"/>
        <v>0</v>
      </c>
      <c r="AB100" s="123">
        <f t="shared" si="431"/>
        <v>0</v>
      </c>
      <c r="AC100" s="123">
        <f t="shared" si="431"/>
        <v>0</v>
      </c>
      <c r="AD100" s="123">
        <f t="shared" si="431"/>
        <v>0</v>
      </c>
      <c r="AE100" s="123">
        <f t="shared" si="431"/>
        <v>0</v>
      </c>
      <c r="AF100" s="123">
        <f t="shared" si="431"/>
        <v>0</v>
      </c>
      <c r="AG100" s="123">
        <f t="shared" si="431"/>
        <v>0</v>
      </c>
      <c r="AH100" s="123">
        <f t="shared" si="431"/>
        <v>0</v>
      </c>
      <c r="AI100" s="115" t="e">
        <f t="shared" ref="AI100" si="432">((AH100/J100)^(1/($AH$3-$K$1) ))-1</f>
        <v>#DIV/0!</v>
      </c>
      <c r="AJ100" s="21">
        <f t="shared" si="17"/>
        <v>0.01</v>
      </c>
      <c r="AK100" s="123" t="e">
        <f t="shared" si="306"/>
        <v>#DIV/0!</v>
      </c>
    </row>
    <row r="101" spans="2:37" x14ac:dyDescent="0.2">
      <c r="B101" s="10"/>
      <c r="C101" s="108"/>
      <c r="D101" s="108"/>
      <c r="E101" s="108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01" t="e">
        <f t="shared" si="280"/>
        <v>#DIV/0!</v>
      </c>
      <c r="X101" s="10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16"/>
      <c r="AJ101" s="114"/>
      <c r="AK101" s="116"/>
    </row>
    <row r="102" spans="2:37" x14ac:dyDescent="0.2">
      <c r="B102" s="10" t="s">
        <v>429</v>
      </c>
      <c r="C102" s="121"/>
      <c r="D102" s="121"/>
      <c r="E102" s="121"/>
      <c r="F102" s="121"/>
      <c r="G102" s="121">
        <f t="shared" ref="G102" si="433">G53/G61</f>
        <v>54.901960784313722</v>
      </c>
      <c r="H102" s="121">
        <f t="shared" ref="H102:I102" si="434">H53/H61</f>
        <v>54.411764705882355</v>
      </c>
      <c r="I102" s="121">
        <f t="shared" si="434"/>
        <v>64.705882352941174</v>
      </c>
      <c r="J102" s="121">
        <f t="shared" ref="J102:S102" si="435">J53/J61</f>
        <v>84.313725490196077</v>
      </c>
      <c r="K102" s="121">
        <f t="shared" si="435"/>
        <v>101.96078431372548</v>
      </c>
      <c r="L102" s="121">
        <f t="shared" si="435"/>
        <v>102.94117647058823</v>
      </c>
      <c r="M102" s="121">
        <f t="shared" si="435"/>
        <v>96.078431372549019</v>
      </c>
      <c r="N102" s="121">
        <f t="shared" si="435"/>
        <v>104.90196078431373</v>
      </c>
      <c r="O102" s="121">
        <f t="shared" si="435"/>
        <v>128.92156862745097</v>
      </c>
      <c r="P102" s="121">
        <f t="shared" si="435"/>
        <v>175.98039215686273</v>
      </c>
      <c r="Q102" s="121">
        <f t="shared" si="435"/>
        <v>260.29411764705884</v>
      </c>
      <c r="R102" s="121">
        <f t="shared" si="435"/>
        <v>281.95488721804509</v>
      </c>
      <c r="S102" s="121">
        <f t="shared" si="435"/>
        <v>375.93984962406012</v>
      </c>
      <c r="T102" s="121">
        <f t="shared" ref="T102:U102" si="436">T53/T61</f>
        <v>472.55639097744358</v>
      </c>
      <c r="U102" s="121">
        <f t="shared" si="436"/>
        <v>106.01051840721261</v>
      </c>
      <c r="V102" s="121">
        <f t="shared" ref="V102" si="437">V53/V61</f>
        <v>122.99023290758828</v>
      </c>
      <c r="W102" s="101">
        <f t="shared" si="280"/>
        <v>5.5242282374198703E-2</v>
      </c>
      <c r="X102" s="109"/>
      <c r="Y102" s="121">
        <f t="shared" ref="Y102:AH102" si="438">Y53/Y61</f>
        <v>119.52166291009266</v>
      </c>
      <c r="Z102" s="121">
        <f t="shared" si="438"/>
        <v>134.75481602608485</v>
      </c>
      <c r="AA102" s="121">
        <f t="shared" si="438"/>
        <v>151.92944944117406</v>
      </c>
      <c r="AB102" s="121">
        <f t="shared" si="438"/>
        <v>171.29300672289233</v>
      </c>
      <c r="AC102" s="121">
        <f t="shared" si="438"/>
        <v>193.12446836404524</v>
      </c>
      <c r="AD102" s="121">
        <f t="shared" si="438"/>
        <v>217.73837119475687</v>
      </c>
      <c r="AE102" s="121">
        <f t="shared" si="438"/>
        <v>245.48934007251998</v>
      </c>
      <c r="AF102" s="121">
        <f t="shared" si="438"/>
        <v>276.77719714058622</v>
      </c>
      <c r="AG102" s="121">
        <f t="shared" si="438"/>
        <v>312.05272226634719</v>
      </c>
      <c r="AH102" s="121">
        <f t="shared" si="438"/>
        <v>351.82414765323455</v>
      </c>
      <c r="AI102" s="115">
        <f t="shared" ref="AI102:AI104" si="439">((AH102/J102)^(1/($AH$3-$K$1) ))-1</f>
        <v>5.8807708812386617E-2</v>
      </c>
      <c r="AJ102" s="21">
        <f t="shared" si="17"/>
        <v>0.01</v>
      </c>
      <c r="AK102" s="123" t="e">
        <f t="shared" si="306"/>
        <v>#DIV/0!</v>
      </c>
    </row>
    <row r="103" spans="2:37" x14ac:dyDescent="0.2">
      <c r="B103" s="10" t="s">
        <v>430</v>
      </c>
      <c r="C103" s="121"/>
      <c r="D103" s="121"/>
      <c r="E103" s="121"/>
      <c r="F103" s="121"/>
      <c r="G103" s="121">
        <f t="shared" ref="G103" si="440">G59/G61</f>
        <v>9.8039215686274517</v>
      </c>
      <c r="H103" s="121">
        <f t="shared" ref="H103:I103" si="441">H59/H61</f>
        <v>10.294117647058822</v>
      </c>
      <c r="I103" s="121">
        <f t="shared" si="441"/>
        <v>13.235294117647058</v>
      </c>
      <c r="J103" s="121">
        <f t="shared" ref="J103:S103" si="442">J59/J61</f>
        <v>14.705882352941176</v>
      </c>
      <c r="K103" s="121">
        <f t="shared" si="442"/>
        <v>13.725490196078431</v>
      </c>
      <c r="L103" s="121">
        <f t="shared" si="442"/>
        <v>15.196078431372548</v>
      </c>
      <c r="M103" s="121">
        <f t="shared" si="442"/>
        <v>19.117647058823529</v>
      </c>
      <c r="N103" s="121">
        <f t="shared" si="442"/>
        <v>20.588235294117645</v>
      </c>
      <c r="O103" s="121">
        <f t="shared" si="442"/>
        <v>21.078431372549019</v>
      </c>
      <c r="P103" s="121">
        <f t="shared" si="442"/>
        <v>26.470588235294116</v>
      </c>
      <c r="Q103" s="121">
        <f t="shared" si="442"/>
        <v>36.764705882352942</v>
      </c>
      <c r="R103" s="121">
        <f t="shared" si="442"/>
        <v>32.330827067669169</v>
      </c>
      <c r="S103" s="121">
        <f t="shared" si="442"/>
        <v>59.022556390977442</v>
      </c>
      <c r="T103" s="121">
        <f t="shared" ref="T103:U103" si="443">T59/T61</f>
        <v>88.345864661654133</v>
      </c>
      <c r="U103" s="121">
        <f t="shared" si="443"/>
        <v>21.487603305785122</v>
      </c>
      <c r="V103" s="121">
        <f t="shared" ref="V103" si="444">V59/V61</f>
        <v>22.2389181066867</v>
      </c>
      <c r="W103" s="101">
        <f t="shared" si="280"/>
        <v>5.6122402911277902E-2</v>
      </c>
      <c r="X103" s="109"/>
      <c r="Y103" s="121">
        <f t="shared" ref="Y103:AH103" si="445">Y59/Y61</f>
        <v>24.226219413385188</v>
      </c>
      <c r="Z103" s="121">
        <f t="shared" si="445"/>
        <v>27.313874828816633</v>
      </c>
      <c r="AA103" s="121">
        <f t="shared" si="445"/>
        <v>30.795054954057964</v>
      </c>
      <c r="AB103" s="121">
        <f t="shared" si="445"/>
        <v>34.719914899182996</v>
      </c>
      <c r="AC103" s="121">
        <f t="shared" si="445"/>
        <v>39.145002092216117</v>
      </c>
      <c r="AD103" s="121">
        <f t="shared" si="445"/>
        <v>44.134070986322094</v>
      </c>
      <c r="AE103" s="121">
        <f t="shared" si="445"/>
        <v>49.759001602225887</v>
      </c>
      <c r="AF103" s="121">
        <f t="shared" si="445"/>
        <v>56.10083513976447</v>
      </c>
      <c r="AG103" s="121">
        <f t="shared" si="445"/>
        <v>63.250941579146222</v>
      </c>
      <c r="AH103" s="121">
        <f t="shared" si="445"/>
        <v>71.312336094135446</v>
      </c>
      <c r="AI103" s="115">
        <f t="shared" si="439"/>
        <v>6.5189662559220984E-2</v>
      </c>
      <c r="AJ103" s="21">
        <f t="shared" si="17"/>
        <v>0.01</v>
      </c>
      <c r="AK103" s="123" t="e">
        <f t="shared" si="306"/>
        <v>#DIV/0!</v>
      </c>
    </row>
    <row r="104" spans="2:37" x14ac:dyDescent="0.2">
      <c r="B104" s="10" t="s">
        <v>259</v>
      </c>
      <c r="C104" s="121"/>
      <c r="D104" s="121"/>
      <c r="E104" s="121"/>
      <c r="F104" s="121"/>
      <c r="G104" s="121">
        <f t="shared" ref="G104" si="446">G6/G61</f>
        <v>57.352941176470587</v>
      </c>
      <c r="H104" s="121">
        <f t="shared" ref="H104:I104" si="447">H6/H61</f>
        <v>64.705882352941174</v>
      </c>
      <c r="I104" s="121">
        <f t="shared" si="447"/>
        <v>75</v>
      </c>
      <c r="J104" s="121">
        <f t="shared" ref="J104:S104" si="448">J6/J61</f>
        <v>86.764705882352942</v>
      </c>
      <c r="K104" s="121">
        <f t="shared" si="448"/>
        <v>97.549019607843135</v>
      </c>
      <c r="L104" s="121">
        <f t="shared" si="448"/>
        <v>110.78431372549019</v>
      </c>
      <c r="M104" s="121">
        <f t="shared" si="448"/>
        <v>124.50980392156862</v>
      </c>
      <c r="N104" s="121">
        <f t="shared" si="448"/>
        <v>142.15686274509804</v>
      </c>
      <c r="O104" s="121">
        <f t="shared" si="448"/>
        <v>160.29411764705881</v>
      </c>
      <c r="P104" s="121">
        <f t="shared" si="448"/>
        <v>181.8627450980392</v>
      </c>
      <c r="Q104" s="121">
        <f t="shared" si="448"/>
        <v>211.27450980392157</v>
      </c>
      <c r="R104" s="121">
        <f t="shared" si="448"/>
        <v>279.69924812030075</v>
      </c>
      <c r="S104" s="121">
        <f t="shared" si="448"/>
        <v>319.92481203007515</v>
      </c>
      <c r="T104" s="121">
        <f t="shared" ref="T104:U104" si="449">T6/T61</f>
        <v>394.36090225563908</v>
      </c>
      <c r="U104" s="121">
        <f t="shared" si="449"/>
        <v>109.69196093163035</v>
      </c>
      <c r="V104" s="121">
        <f t="shared" ref="V104" si="450">V6/V61</f>
        <v>131.85574755822688</v>
      </c>
      <c r="W104" s="101">
        <f t="shared" si="280"/>
        <v>5.7067916068759938E-2</v>
      </c>
      <c r="X104" s="109"/>
      <c r="Y104" s="121">
        <f t="shared" ref="Y104:AH104" si="451">Y6/Y61</f>
        <v>123.67230889350479</v>
      </c>
      <c r="Z104" s="121">
        <f t="shared" si="451"/>
        <v>139.43446590934363</v>
      </c>
      <c r="AA104" s="121">
        <f t="shared" si="451"/>
        <v>157.20552528994625</v>
      </c>
      <c r="AB104" s="121">
        <f t="shared" si="451"/>
        <v>177.24152361121389</v>
      </c>
      <c r="AC104" s="121">
        <f t="shared" si="451"/>
        <v>199.83112956166269</v>
      </c>
      <c r="AD104" s="121">
        <f t="shared" si="451"/>
        <v>225.29980293716869</v>
      </c>
      <c r="AE104" s="121">
        <f t="shared" si="451"/>
        <v>254.01448370367058</v>
      </c>
      <c r="AF104" s="121">
        <f t="shared" si="451"/>
        <v>286.38887868551092</v>
      </c>
      <c r="AG104" s="121">
        <f t="shared" si="451"/>
        <v>322.88942204738976</v>
      </c>
      <c r="AH104" s="121">
        <f t="shared" si="451"/>
        <v>364.04199544558639</v>
      </c>
      <c r="AI104" s="115">
        <f t="shared" si="439"/>
        <v>5.9039931105449472E-2</v>
      </c>
      <c r="AJ104" s="21">
        <f t="shared" ref="AJ104:AJ106" si="452">$O$1</f>
        <v>0.01</v>
      </c>
      <c r="AK104" s="123" t="e">
        <f t="shared" si="306"/>
        <v>#DIV/0!</v>
      </c>
    </row>
    <row r="105" spans="2:37" x14ac:dyDescent="0.2">
      <c r="B105" s="10"/>
      <c r="C105" s="108"/>
      <c r="D105" s="108"/>
      <c r="E105" s="108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01" t="e">
        <f t="shared" si="280"/>
        <v>#DIV/0!</v>
      </c>
      <c r="X105" s="10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16"/>
      <c r="AJ105" s="10"/>
      <c r="AK105" s="116"/>
    </row>
    <row r="106" spans="2:37" x14ac:dyDescent="0.2">
      <c r="B106" s="10" t="s">
        <v>406</v>
      </c>
      <c r="C106" s="108"/>
      <c r="D106" s="108"/>
      <c r="E106" s="108"/>
      <c r="F106" s="121"/>
      <c r="G106" s="121">
        <f t="shared" ref="G106:U106" si="453">G59/$V$61</f>
        <v>1.5026296018031555</v>
      </c>
      <c r="H106" s="121">
        <f t="shared" si="453"/>
        <v>1.5777610818933132</v>
      </c>
      <c r="I106" s="121">
        <f t="shared" si="453"/>
        <v>2.0285499624342598</v>
      </c>
      <c r="J106" s="121">
        <f t="shared" si="453"/>
        <v>2.2539444027047333</v>
      </c>
      <c r="K106" s="121">
        <f t="shared" si="453"/>
        <v>2.1036814425244175</v>
      </c>
      <c r="L106" s="121">
        <f t="shared" si="453"/>
        <v>2.329075882794891</v>
      </c>
      <c r="M106" s="121">
        <f t="shared" si="453"/>
        <v>2.9301277235161534</v>
      </c>
      <c r="N106" s="121">
        <f t="shared" si="453"/>
        <v>3.1555221637866264</v>
      </c>
      <c r="O106" s="121">
        <f t="shared" si="453"/>
        <v>3.2306536438767841</v>
      </c>
      <c r="P106" s="121">
        <f t="shared" si="453"/>
        <v>4.0570999248685196</v>
      </c>
      <c r="Q106" s="121">
        <f t="shared" si="453"/>
        <v>5.6348610067618328</v>
      </c>
      <c r="R106" s="121">
        <f t="shared" si="453"/>
        <v>6.4613072877535682</v>
      </c>
      <c r="S106" s="121">
        <f t="shared" si="453"/>
        <v>11.79564237415477</v>
      </c>
      <c r="T106" s="121">
        <f t="shared" si="453"/>
        <v>17.655897821187075</v>
      </c>
      <c r="U106" s="121">
        <f t="shared" si="453"/>
        <v>21.487603305785122</v>
      </c>
      <c r="V106" s="121">
        <f>V59/$V$61</f>
        <v>22.2389181066867</v>
      </c>
      <c r="W106" s="101">
        <f t="shared" si="280"/>
        <v>0.19678861108190193</v>
      </c>
      <c r="X106" s="109"/>
      <c r="Y106" s="121">
        <f t="shared" ref="Y106:AH106" si="454">Y59/Y61</f>
        <v>24.226219413385188</v>
      </c>
      <c r="Z106" s="121">
        <f t="shared" si="454"/>
        <v>27.313874828816633</v>
      </c>
      <c r="AA106" s="121">
        <f t="shared" si="454"/>
        <v>30.795054954057964</v>
      </c>
      <c r="AB106" s="121">
        <f t="shared" si="454"/>
        <v>34.719914899182996</v>
      </c>
      <c r="AC106" s="121">
        <f t="shared" si="454"/>
        <v>39.145002092216117</v>
      </c>
      <c r="AD106" s="121">
        <f t="shared" si="454"/>
        <v>44.134070986322094</v>
      </c>
      <c r="AE106" s="121">
        <f t="shared" si="454"/>
        <v>49.759001602225887</v>
      </c>
      <c r="AF106" s="121">
        <f t="shared" si="454"/>
        <v>56.10083513976447</v>
      </c>
      <c r="AG106" s="121">
        <f t="shared" si="454"/>
        <v>63.250941579146222</v>
      </c>
      <c r="AH106" s="121">
        <f t="shared" si="454"/>
        <v>71.312336094135446</v>
      </c>
      <c r="AI106" s="115">
        <f t="shared" ref="AI106" si="455">((AH106/J106)^(1/($AH$3-$K$1) ))-1</f>
        <v>0.14817704133500786</v>
      </c>
      <c r="AJ106" s="21">
        <f t="shared" si="452"/>
        <v>0.01</v>
      </c>
      <c r="AK106" s="123" t="e">
        <f t="shared" si="306"/>
        <v>#DIV/0!</v>
      </c>
    </row>
    <row r="107" spans="2:37" x14ac:dyDescent="0.2">
      <c r="B107" s="10"/>
      <c r="C107" s="108"/>
      <c r="D107" s="108"/>
      <c r="E107" s="108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01" t="e">
        <f t="shared" si="280"/>
        <v>#DIV/0!</v>
      </c>
      <c r="X107" s="10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16"/>
      <c r="AJ107" s="10"/>
      <c r="AK107" s="116"/>
    </row>
    <row r="108" spans="2:37" x14ac:dyDescent="0.2">
      <c r="B108" s="93" t="s">
        <v>258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21"/>
      <c r="V108" s="121"/>
      <c r="W108" s="101" t="e">
        <f t="shared" si="280"/>
        <v>#DIV/0!</v>
      </c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16"/>
    </row>
    <row r="109" spans="2:37" x14ac:dyDescent="0.2">
      <c r="B109" s="10" t="s">
        <v>257</v>
      </c>
      <c r="C109" s="128"/>
      <c r="D109" s="128"/>
      <c r="E109" s="128"/>
      <c r="F109" s="128"/>
      <c r="G109" s="128">
        <f t="shared" ref="G109" si="456">G53/G25</f>
        <v>0.875</v>
      </c>
      <c r="H109" s="128">
        <f t="shared" ref="H109:I109" si="457">H53/H25</f>
        <v>0.87401574803149606</v>
      </c>
      <c r="I109" s="128">
        <f t="shared" si="457"/>
        <v>0.89189189189189189</v>
      </c>
      <c r="J109" s="128">
        <f t="shared" ref="J109:S109" si="458">J53/J25</f>
        <v>0.90526315789473688</v>
      </c>
      <c r="K109" s="128">
        <f t="shared" si="458"/>
        <v>0.94117647058823528</v>
      </c>
      <c r="L109" s="128">
        <f t="shared" si="458"/>
        <v>0.94170403587443952</v>
      </c>
      <c r="M109" s="128">
        <f t="shared" si="458"/>
        <v>0.90740740740740744</v>
      </c>
      <c r="N109" s="128">
        <f t="shared" si="458"/>
        <v>0.93449781659388642</v>
      </c>
      <c r="O109" s="128">
        <f t="shared" si="458"/>
        <v>0.94265232974910396</v>
      </c>
      <c r="P109" s="128">
        <f t="shared" si="458"/>
        <v>0.91581632653061229</v>
      </c>
      <c r="Q109" s="128">
        <f t="shared" si="458"/>
        <v>0.91868512110726641</v>
      </c>
      <c r="R109" s="128">
        <f t="shared" si="458"/>
        <v>0.91799265605875158</v>
      </c>
      <c r="S109" s="128">
        <f t="shared" si="458"/>
        <v>0.92336103416435822</v>
      </c>
      <c r="T109" s="128">
        <f t="shared" ref="T109:U109" si="459">T53/T25</f>
        <v>0.92904656319290468</v>
      </c>
      <c r="U109" s="128">
        <f t="shared" si="459"/>
        <v>0.92767915844838922</v>
      </c>
      <c r="V109" s="128">
        <f t="shared" ref="V109" si="460">V53/V25</f>
        <v>0.94569612940496828</v>
      </c>
      <c r="W109" s="101">
        <f t="shared" si="280"/>
        <v>5.1932661549149994E-3</v>
      </c>
      <c r="X109" s="128"/>
      <c r="Y109" s="128">
        <f t="shared" ref="Y109:AH109" si="461">Y53/Y25</f>
        <v>0.92767915844838922</v>
      </c>
      <c r="Z109" s="128">
        <f t="shared" si="461"/>
        <v>0.92767915844838922</v>
      </c>
      <c r="AA109" s="128">
        <f t="shared" si="461"/>
        <v>0.92767915844838922</v>
      </c>
      <c r="AB109" s="128">
        <f t="shared" si="461"/>
        <v>0.92767915844838922</v>
      </c>
      <c r="AC109" s="128">
        <f t="shared" si="461"/>
        <v>0.92767915844838922</v>
      </c>
      <c r="AD109" s="128">
        <f t="shared" si="461"/>
        <v>0.92767915844838911</v>
      </c>
      <c r="AE109" s="128">
        <f t="shared" si="461"/>
        <v>0.92767915844838911</v>
      </c>
      <c r="AF109" s="128">
        <f t="shared" si="461"/>
        <v>0.92767915844838911</v>
      </c>
      <c r="AG109" s="128">
        <f t="shared" si="461"/>
        <v>0.92767915844838911</v>
      </c>
      <c r="AH109" s="128">
        <f t="shared" si="461"/>
        <v>0.92767915844838922</v>
      </c>
      <c r="AI109" s="115">
        <f t="shared" ref="AI109:AI158" si="462">((AH109/J109)^(1/($AH$3-$K$1) ))-1</f>
        <v>9.7888899702081034E-4</v>
      </c>
      <c r="AJ109" s="21">
        <f t="shared" ref="AJ109:AJ171" si="463">$O$1</f>
        <v>0.01</v>
      </c>
      <c r="AK109" s="123" t="e">
        <f t="shared" si="306"/>
        <v>#DIV/0!</v>
      </c>
    </row>
    <row r="110" spans="2:37" x14ac:dyDescent="0.2">
      <c r="B110" s="10" t="s">
        <v>219</v>
      </c>
      <c r="C110" s="128"/>
      <c r="D110" s="128"/>
      <c r="E110" s="128"/>
      <c r="F110" s="128"/>
      <c r="G110" s="128">
        <f t="shared" ref="G110" si="464">G59/G25</f>
        <v>0.15625</v>
      </c>
      <c r="H110" s="128">
        <f t="shared" ref="H110:I110" si="465">H59/H25</f>
        <v>0.16535433070866143</v>
      </c>
      <c r="I110" s="128">
        <f t="shared" si="465"/>
        <v>0.18243243243243243</v>
      </c>
      <c r="J110" s="128">
        <f t="shared" ref="J110:S110" si="466">J59/J25</f>
        <v>0.15789473684210525</v>
      </c>
      <c r="K110" s="128">
        <f t="shared" si="466"/>
        <v>0.12669683257918551</v>
      </c>
      <c r="L110" s="128">
        <f t="shared" si="466"/>
        <v>0.13901345291479822</v>
      </c>
      <c r="M110" s="128">
        <f t="shared" si="466"/>
        <v>0.18055555555555555</v>
      </c>
      <c r="N110" s="128">
        <f t="shared" si="466"/>
        <v>0.18340611353711792</v>
      </c>
      <c r="O110" s="128">
        <f t="shared" si="466"/>
        <v>0.15412186379928317</v>
      </c>
      <c r="P110" s="128">
        <f t="shared" si="466"/>
        <v>0.13775510204081631</v>
      </c>
      <c r="Q110" s="128">
        <f t="shared" si="466"/>
        <v>0.12975778546712802</v>
      </c>
      <c r="R110" s="128">
        <f t="shared" si="466"/>
        <v>0.10526315789473684</v>
      </c>
      <c r="S110" s="128">
        <f t="shared" si="466"/>
        <v>0.14496768236380425</v>
      </c>
      <c r="T110" s="128">
        <f t="shared" ref="T110:U110" si="467">T59/T25</f>
        <v>0.1736881005173688</v>
      </c>
      <c r="U110" s="128">
        <f t="shared" si="467"/>
        <v>0.18803418803418803</v>
      </c>
      <c r="V110" s="128">
        <f t="shared" ref="V110" si="468">V59/V25</f>
        <v>0.170999422299249</v>
      </c>
      <c r="W110" s="101">
        <f t="shared" si="280"/>
        <v>6.0316435134173396E-3</v>
      </c>
      <c r="X110" s="128"/>
      <c r="Y110" s="128">
        <f t="shared" ref="Y110:AH110" si="469">Y59/Y25</f>
        <v>0.18803418803418803</v>
      </c>
      <c r="Z110" s="128">
        <f t="shared" si="469"/>
        <v>0.18803418803418806</v>
      </c>
      <c r="AA110" s="128">
        <f t="shared" si="469"/>
        <v>0.18803418803418806</v>
      </c>
      <c r="AB110" s="128">
        <f t="shared" si="469"/>
        <v>0.18803418803418806</v>
      </c>
      <c r="AC110" s="128">
        <f t="shared" si="469"/>
        <v>0.18803418803418803</v>
      </c>
      <c r="AD110" s="128">
        <f t="shared" si="469"/>
        <v>0.18803418803418803</v>
      </c>
      <c r="AE110" s="128">
        <f t="shared" si="469"/>
        <v>0.18803418803418803</v>
      </c>
      <c r="AF110" s="128">
        <f t="shared" si="469"/>
        <v>0.18803418803418803</v>
      </c>
      <c r="AG110" s="128">
        <f t="shared" si="469"/>
        <v>0.18803418803418806</v>
      </c>
      <c r="AH110" s="128">
        <f t="shared" si="469"/>
        <v>0.18803418803418806</v>
      </c>
      <c r="AI110" s="115">
        <f t="shared" si="462"/>
        <v>7.0122800631871041E-3</v>
      </c>
      <c r="AJ110" s="21">
        <f t="shared" si="463"/>
        <v>0.01</v>
      </c>
      <c r="AK110" s="123" t="e">
        <f t="shared" si="306"/>
        <v>#DIV/0!</v>
      </c>
    </row>
    <row r="111" spans="2:37" x14ac:dyDescent="0.2">
      <c r="B111" s="10" t="s">
        <v>301</v>
      </c>
      <c r="C111" s="128"/>
      <c r="D111" s="128"/>
      <c r="E111" s="128"/>
      <c r="F111" s="128"/>
      <c r="G111" s="128">
        <f t="shared" ref="G111" si="470">G59/G7</f>
        <v>0.145985401459854</v>
      </c>
      <c r="H111" s="128">
        <f t="shared" ref="H111:I111" si="471">H59/H7</f>
        <v>0.13815789473684212</v>
      </c>
      <c r="I111" s="128">
        <f t="shared" si="471"/>
        <v>0.15606936416184972</v>
      </c>
      <c r="J111" s="128">
        <f>J59/J7</f>
        <v>0.15228426395939088</v>
      </c>
      <c r="K111" s="128">
        <f t="shared" ref="K111:R111" si="472">K59/K7</f>
        <v>0.12785388127853881</v>
      </c>
      <c r="L111" s="128">
        <f t="shared" si="472"/>
        <v>0.12601626016260162</v>
      </c>
      <c r="M111" s="128">
        <f t="shared" si="472"/>
        <v>0.14181818181818182</v>
      </c>
      <c r="N111" s="128">
        <f t="shared" si="472"/>
        <v>0.13548387096774195</v>
      </c>
      <c r="O111" s="128">
        <f t="shared" si="472"/>
        <v>0.1239193083573487</v>
      </c>
      <c r="P111" s="128">
        <f t="shared" si="472"/>
        <v>0.13775510204081631</v>
      </c>
      <c r="Q111" s="128">
        <f t="shared" si="472"/>
        <v>0.16592920353982302</v>
      </c>
      <c r="R111" s="128">
        <f t="shared" si="472"/>
        <v>0.11154345006485085</v>
      </c>
      <c r="S111" s="128">
        <f t="shared" ref="S111:T111" si="473">S59/S7</f>
        <v>0.17881548974943051</v>
      </c>
      <c r="T111" s="128">
        <f t="shared" si="473"/>
        <v>0.21840148698884759</v>
      </c>
      <c r="U111" s="128">
        <f t="shared" ref="U111:V111" si="474">U59/U7</f>
        <v>0.19246298788694483</v>
      </c>
      <c r="V111" s="128">
        <f t="shared" si="474"/>
        <v>0.16610549943883277</v>
      </c>
      <c r="W111" s="101">
        <f t="shared" si="280"/>
        <v>8.6449199197740079E-3</v>
      </c>
      <c r="X111" s="10"/>
      <c r="Y111" s="128">
        <f t="shared" ref="Y111" si="475">Y59/Y7</f>
        <v>0.19246298788694483</v>
      </c>
      <c r="Z111" s="128">
        <f t="shared" ref="Z111:AH111" si="476">Z59/Z7</f>
        <v>0.19246298788694483</v>
      </c>
      <c r="AA111" s="128">
        <f t="shared" si="476"/>
        <v>0.19246298788694483</v>
      </c>
      <c r="AB111" s="128">
        <f t="shared" si="476"/>
        <v>0.19246298788694483</v>
      </c>
      <c r="AC111" s="128">
        <f t="shared" si="476"/>
        <v>0.1924629878869448</v>
      </c>
      <c r="AD111" s="128">
        <f t="shared" si="476"/>
        <v>0.19246298788694483</v>
      </c>
      <c r="AE111" s="128">
        <f t="shared" si="476"/>
        <v>0.19246298788694483</v>
      </c>
      <c r="AF111" s="128">
        <f t="shared" si="476"/>
        <v>0.19246298788694483</v>
      </c>
      <c r="AG111" s="128">
        <f t="shared" si="476"/>
        <v>0.19246298788694483</v>
      </c>
      <c r="AH111" s="128">
        <f t="shared" si="476"/>
        <v>0.19246298788694483</v>
      </c>
      <c r="AI111" s="115">
        <f t="shared" si="462"/>
        <v>9.4101973945817097E-3</v>
      </c>
      <c r="AJ111" s="21">
        <f t="shared" si="463"/>
        <v>0.01</v>
      </c>
      <c r="AK111" s="123" t="e">
        <f t="shared" si="306"/>
        <v>#DIV/0!</v>
      </c>
    </row>
    <row r="112" spans="2:37" x14ac:dyDescent="0.2">
      <c r="B112" s="10" t="s">
        <v>302</v>
      </c>
      <c r="C112" s="128"/>
      <c r="D112" s="128"/>
      <c r="E112" s="128"/>
      <c r="F112" s="128"/>
      <c r="G112" s="128">
        <f t="shared" ref="G112" si="477">(G59)/(G7+G10)</f>
        <v>1.713796058269066E-2</v>
      </c>
      <c r="H112" s="128">
        <f t="shared" ref="H112:I112" si="478">(H59)/(H7+H10)</f>
        <v>1.5384615384615385E-2</v>
      </c>
      <c r="I112" s="128">
        <f t="shared" si="478"/>
        <v>1.5202702702702704E-2</v>
      </c>
      <c r="J112" s="128">
        <f>(J59)/(J7+J10)</f>
        <v>1.5392508978963571E-2</v>
      </c>
      <c r="K112" s="128">
        <f t="shared" ref="K112:R112" si="479">(K59)/(K7+K10)</f>
        <v>1.4629049111807733E-2</v>
      </c>
      <c r="L112" s="128">
        <f t="shared" si="479"/>
        <v>1.6358839050131926E-2</v>
      </c>
      <c r="M112" s="128">
        <f t="shared" si="479"/>
        <v>1.8224299065420561E-2</v>
      </c>
      <c r="N112" s="128">
        <f t="shared" si="479"/>
        <v>2.2727272727272728E-2</v>
      </c>
      <c r="O112" s="128">
        <f t="shared" si="479"/>
        <v>1.8462859596393301E-2</v>
      </c>
      <c r="P112" s="128">
        <f t="shared" si="479"/>
        <v>1.558891454965358E-2</v>
      </c>
      <c r="Q112" s="128">
        <f t="shared" si="479"/>
        <v>1.4574426739214923E-2</v>
      </c>
      <c r="R112" s="128">
        <f t="shared" si="479"/>
        <v>1.1152898456750097E-2</v>
      </c>
      <c r="S112" s="128">
        <f t="shared" ref="S112:T112" si="480">(S59)/(S7+S10)</f>
        <v>1.6521098600441965E-2</v>
      </c>
      <c r="T112" s="128">
        <f t="shared" si="480"/>
        <v>1.928600738613049E-2</v>
      </c>
      <c r="U112" s="128">
        <f t="shared" ref="U112:V112" si="481">(U59)/(U7+U10)</f>
        <v>1.85629908483157E-2</v>
      </c>
      <c r="V112" s="128">
        <f t="shared" si="481"/>
        <v>1.6020783719419788E-2</v>
      </c>
      <c r="W112" s="101">
        <f t="shared" si="280"/>
        <v>-4.4838546062163642E-3</v>
      </c>
      <c r="X112" s="10"/>
      <c r="Y112" s="128">
        <f t="shared" ref="Y112:AH112" si="482">(Y59)/(Y7+Y10)</f>
        <v>1.85629908483157E-2</v>
      </c>
      <c r="Z112" s="128">
        <f t="shared" si="482"/>
        <v>1.85629908483157E-2</v>
      </c>
      <c r="AA112" s="128">
        <f t="shared" si="482"/>
        <v>1.8562990848315697E-2</v>
      </c>
      <c r="AB112" s="128">
        <f t="shared" si="482"/>
        <v>1.85629908483157E-2</v>
      </c>
      <c r="AC112" s="128">
        <f t="shared" si="482"/>
        <v>1.8562990848315697E-2</v>
      </c>
      <c r="AD112" s="128">
        <f t="shared" si="482"/>
        <v>1.8562990848315697E-2</v>
      </c>
      <c r="AE112" s="128">
        <f t="shared" si="482"/>
        <v>1.85629908483157E-2</v>
      </c>
      <c r="AF112" s="128">
        <f t="shared" si="482"/>
        <v>1.85629908483157E-2</v>
      </c>
      <c r="AG112" s="128">
        <f t="shared" si="482"/>
        <v>1.85629908483157E-2</v>
      </c>
      <c r="AH112" s="128">
        <f t="shared" si="482"/>
        <v>1.85629908483157E-2</v>
      </c>
      <c r="AI112" s="115">
        <f t="shared" si="462"/>
        <v>7.5196878351333485E-3</v>
      </c>
      <c r="AJ112" s="21">
        <f t="shared" si="463"/>
        <v>0.01</v>
      </c>
      <c r="AK112" s="123" t="e">
        <f t="shared" si="306"/>
        <v>#DIV/0!</v>
      </c>
    </row>
    <row r="113" spans="1:37" x14ac:dyDescent="0.2">
      <c r="B113" s="10" t="s">
        <v>318</v>
      </c>
      <c r="C113" s="128"/>
      <c r="D113" s="128"/>
      <c r="E113" s="128"/>
      <c r="F113" s="128"/>
      <c r="G113" s="128">
        <f t="shared" ref="G113" si="483">G20/G25</f>
        <v>0</v>
      </c>
      <c r="H113" s="128">
        <f t="shared" ref="H113:I113" si="484">H20/H25</f>
        <v>0</v>
      </c>
      <c r="I113" s="128">
        <f t="shared" si="484"/>
        <v>0</v>
      </c>
      <c r="J113" s="128">
        <f>J20/J25</f>
        <v>0</v>
      </c>
      <c r="K113" s="128">
        <f t="shared" ref="K113:S113" si="485">K20/K25</f>
        <v>0</v>
      </c>
      <c r="L113" s="128">
        <f t="shared" si="485"/>
        <v>0</v>
      </c>
      <c r="M113" s="128">
        <f t="shared" si="485"/>
        <v>0</v>
      </c>
      <c r="N113" s="128">
        <f t="shared" si="485"/>
        <v>0</v>
      </c>
      <c r="O113" s="128">
        <f t="shared" si="485"/>
        <v>0</v>
      </c>
      <c r="P113" s="128">
        <f t="shared" si="485"/>
        <v>0</v>
      </c>
      <c r="Q113" s="128">
        <f t="shared" si="485"/>
        <v>0</v>
      </c>
      <c r="R113" s="128">
        <f t="shared" si="485"/>
        <v>0</v>
      </c>
      <c r="S113" s="128">
        <f t="shared" si="485"/>
        <v>0</v>
      </c>
      <c r="T113" s="128">
        <f t="shared" ref="T113:U113" si="486">T20/T25</f>
        <v>0</v>
      </c>
      <c r="U113" s="128">
        <f t="shared" si="486"/>
        <v>0</v>
      </c>
      <c r="V113" s="128">
        <f t="shared" ref="V113" si="487">V20/V25</f>
        <v>0</v>
      </c>
      <c r="W113" s="101" t="e">
        <f t="shared" si="280"/>
        <v>#DIV/0!</v>
      </c>
      <c r="X113" s="10"/>
      <c r="Y113" s="128">
        <f t="shared" ref="Y113:AH113" si="488">Y20/Y25</f>
        <v>0</v>
      </c>
      <c r="Z113" s="128">
        <f t="shared" si="488"/>
        <v>0</v>
      </c>
      <c r="AA113" s="128">
        <f t="shared" si="488"/>
        <v>0</v>
      </c>
      <c r="AB113" s="128">
        <f t="shared" si="488"/>
        <v>0</v>
      </c>
      <c r="AC113" s="128">
        <f t="shared" si="488"/>
        <v>0</v>
      </c>
      <c r="AD113" s="128">
        <f t="shared" si="488"/>
        <v>0</v>
      </c>
      <c r="AE113" s="128">
        <f t="shared" si="488"/>
        <v>0</v>
      </c>
      <c r="AF113" s="128">
        <f t="shared" si="488"/>
        <v>0</v>
      </c>
      <c r="AG113" s="128">
        <f t="shared" si="488"/>
        <v>0</v>
      </c>
      <c r="AH113" s="128">
        <f t="shared" si="488"/>
        <v>0</v>
      </c>
      <c r="AI113" s="115" t="e">
        <f t="shared" si="462"/>
        <v>#DIV/0!</v>
      </c>
      <c r="AJ113" s="21">
        <f t="shared" si="463"/>
        <v>0.01</v>
      </c>
      <c r="AK113" s="123" t="e">
        <f t="shared" si="306"/>
        <v>#DIV/0!</v>
      </c>
    </row>
    <row r="114" spans="1:37" x14ac:dyDescent="0.2">
      <c r="B114" s="10" t="s">
        <v>370</v>
      </c>
      <c r="C114" s="128"/>
      <c r="D114" s="128"/>
      <c r="E114" s="128"/>
      <c r="F114" s="128"/>
      <c r="G114" s="128">
        <f t="shared" ref="G114" si="489">G72/G25</f>
        <v>2.34375E-2</v>
      </c>
      <c r="H114" s="128">
        <f t="shared" ref="H114:I114" si="490">H72/H25</f>
        <v>5.5118110236220472E-2</v>
      </c>
      <c r="I114" s="128">
        <f t="shared" si="490"/>
        <v>5.4054054054054057E-2</v>
      </c>
      <c r="J114" s="128">
        <f>J72/J25</f>
        <v>5.2631578947368418E-2</v>
      </c>
      <c r="K114" s="128">
        <f t="shared" ref="K114:S114" si="491">K72/K25</f>
        <v>4.072398190045249E-2</v>
      </c>
      <c r="L114" s="128">
        <f t="shared" si="491"/>
        <v>5.3811659192825115E-2</v>
      </c>
      <c r="M114" s="128">
        <f t="shared" si="491"/>
        <v>6.9444444444444448E-2</v>
      </c>
      <c r="N114" s="128">
        <f t="shared" si="491"/>
        <v>6.9868995633187769E-2</v>
      </c>
      <c r="O114" s="128">
        <f t="shared" si="491"/>
        <v>6.4516129032258063E-2</v>
      </c>
      <c r="P114" s="128">
        <f t="shared" si="491"/>
        <v>5.3571428571428568E-2</v>
      </c>
      <c r="Q114" s="128">
        <f t="shared" si="491"/>
        <v>5.3633217993079588E-2</v>
      </c>
      <c r="R114" s="128">
        <f t="shared" si="491"/>
        <v>6.2423500611995107E-2</v>
      </c>
      <c r="S114" s="128">
        <f t="shared" si="491"/>
        <v>8.9566020313942757E-2</v>
      </c>
      <c r="T114" s="128">
        <f t="shared" ref="T114:U114" si="492">T72/T25</f>
        <v>9.9778270509977826E-2</v>
      </c>
      <c r="U114" s="128">
        <f t="shared" si="492"/>
        <v>9.5332018408941482E-2</v>
      </c>
      <c r="V114" s="128">
        <f t="shared" ref="V114" si="493">V72/V25</f>
        <v>9.9942229924898901E-2</v>
      </c>
      <c r="W114" s="101">
        <f t="shared" si="280"/>
        <v>0.10151187465031231</v>
      </c>
      <c r="X114" s="10"/>
      <c r="Y114" s="128">
        <f t="shared" ref="Y114:AH114" si="494">Y72/Y25</f>
        <v>9.5332018408941496E-2</v>
      </c>
      <c r="Z114" s="128">
        <f t="shared" si="494"/>
        <v>9.5332018408941496E-2</v>
      </c>
      <c r="AA114" s="128">
        <f t="shared" si="494"/>
        <v>9.5332018408941496E-2</v>
      </c>
      <c r="AB114" s="128">
        <f t="shared" si="494"/>
        <v>9.5332018408941496E-2</v>
      </c>
      <c r="AC114" s="128">
        <f t="shared" si="494"/>
        <v>9.533201840894151E-2</v>
      </c>
      <c r="AD114" s="128">
        <f t="shared" si="494"/>
        <v>9.533201840894151E-2</v>
      </c>
      <c r="AE114" s="128">
        <f t="shared" si="494"/>
        <v>9.5332018408941482E-2</v>
      </c>
      <c r="AF114" s="128">
        <f t="shared" si="494"/>
        <v>9.5332018408941469E-2</v>
      </c>
      <c r="AG114" s="128">
        <f t="shared" si="494"/>
        <v>9.5332018408941455E-2</v>
      </c>
      <c r="AH114" s="128">
        <f t="shared" si="494"/>
        <v>9.5332018408941455E-2</v>
      </c>
      <c r="AI114" s="115">
        <f t="shared" si="462"/>
        <v>2.4046542426813478E-2</v>
      </c>
      <c r="AJ114" s="21">
        <f t="shared" si="463"/>
        <v>0.01</v>
      </c>
      <c r="AK114" s="123" t="e">
        <f t="shared" si="306"/>
        <v>#DIV/0!</v>
      </c>
    </row>
    <row r="115" spans="1:37" x14ac:dyDescent="0.2">
      <c r="B115" s="10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1"/>
      <c r="V115" s="121"/>
      <c r="W115" s="101" t="e">
        <f t="shared" si="280"/>
        <v>#DIV/0!</v>
      </c>
      <c r="X115" s="10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3"/>
      <c r="AJ115" s="123"/>
      <c r="AK115" s="123"/>
    </row>
    <row r="116" spans="1:37" x14ac:dyDescent="0.2">
      <c r="B116" s="10" t="s">
        <v>267</v>
      </c>
      <c r="C116" s="128"/>
      <c r="D116" s="128"/>
      <c r="E116" s="128"/>
      <c r="F116" s="128"/>
      <c r="G116" s="128">
        <f t="shared" ref="G116" si="495">G29/G25</f>
        <v>0.6875</v>
      </c>
      <c r="H116" s="128">
        <f t="shared" ref="H116:I116" si="496">H29/H25</f>
        <v>0.66141732283464572</v>
      </c>
      <c r="I116" s="128">
        <f t="shared" si="496"/>
        <v>0.65540540540540537</v>
      </c>
      <c r="J116" s="128">
        <f>J29/J25</f>
        <v>0.69473684210526321</v>
      </c>
      <c r="K116" s="128">
        <f t="shared" ref="K116:S116" si="497">K29/K25</f>
        <v>0.76923076923076927</v>
      </c>
      <c r="L116" s="128">
        <f t="shared" si="497"/>
        <v>0.7488789237668162</v>
      </c>
      <c r="M116" s="128">
        <f t="shared" si="497"/>
        <v>0.67129629629629628</v>
      </c>
      <c r="N116" s="128">
        <f t="shared" si="497"/>
        <v>0.67248908296943233</v>
      </c>
      <c r="O116" s="128">
        <f t="shared" si="497"/>
        <v>0.69892473118279574</v>
      </c>
      <c r="P116" s="128">
        <f t="shared" si="497"/>
        <v>0.72193877551020413</v>
      </c>
      <c r="Q116" s="128">
        <f t="shared" si="497"/>
        <v>0.73010380622837368</v>
      </c>
      <c r="R116" s="128">
        <f t="shared" si="497"/>
        <v>0.74663402692778458</v>
      </c>
      <c r="S116" s="128">
        <f t="shared" si="497"/>
        <v>0.68605724838411819</v>
      </c>
      <c r="T116" s="128">
        <f t="shared" ref="T116:U116" si="498">T29/T25</f>
        <v>0.65336289726533625</v>
      </c>
      <c r="U116" s="128">
        <f t="shared" si="498"/>
        <v>0.6449704142011834</v>
      </c>
      <c r="V116" s="128">
        <f t="shared" ref="V116" si="499">V29/V25</f>
        <v>0.67533217793183131</v>
      </c>
      <c r="W116" s="101">
        <f t="shared" si="280"/>
        <v>-1.1897679484039747E-3</v>
      </c>
      <c r="X116" s="10"/>
      <c r="Y116" s="128">
        <f t="shared" ref="Y116:AH116" si="500">Y29/Y25</f>
        <v>0.6449704142011834</v>
      </c>
      <c r="Z116" s="128">
        <f t="shared" si="500"/>
        <v>0.6449704142011834</v>
      </c>
      <c r="AA116" s="128">
        <f t="shared" si="500"/>
        <v>0.6449704142011834</v>
      </c>
      <c r="AB116" s="128">
        <f t="shared" si="500"/>
        <v>0.6449704142011834</v>
      </c>
      <c r="AC116" s="128">
        <f t="shared" si="500"/>
        <v>0.6449704142011834</v>
      </c>
      <c r="AD116" s="128">
        <f t="shared" si="500"/>
        <v>0.6449704142011834</v>
      </c>
      <c r="AE116" s="128">
        <f t="shared" si="500"/>
        <v>0.6449704142011834</v>
      </c>
      <c r="AF116" s="128">
        <f t="shared" si="500"/>
        <v>0.64497041420118351</v>
      </c>
      <c r="AG116" s="128">
        <f t="shared" si="500"/>
        <v>0.6449704142011834</v>
      </c>
      <c r="AH116" s="128">
        <f t="shared" si="500"/>
        <v>0.6449704142011834</v>
      </c>
      <c r="AI116" s="115">
        <f t="shared" si="462"/>
        <v>-2.9687318992726031E-3</v>
      </c>
      <c r="AJ116" s="21">
        <f t="shared" si="463"/>
        <v>0.01</v>
      </c>
      <c r="AK116" s="123" t="e">
        <f t="shared" si="306"/>
        <v>#DIV/0!</v>
      </c>
    </row>
    <row r="117" spans="1:37" x14ac:dyDescent="0.2">
      <c r="B117" s="10" t="s">
        <v>311</v>
      </c>
      <c r="C117" s="128"/>
      <c r="D117" s="128"/>
      <c r="E117" s="128"/>
      <c r="F117" s="128"/>
      <c r="G117" s="128">
        <f t="shared" ref="G117" si="501">G29/G53</f>
        <v>0.7857142857142857</v>
      </c>
      <c r="H117" s="128">
        <f t="shared" ref="H117:I117" si="502">H29/H53</f>
        <v>0.7567567567567568</v>
      </c>
      <c r="I117" s="128">
        <f t="shared" si="502"/>
        <v>0.73484848484848486</v>
      </c>
      <c r="J117" s="128">
        <f>J29/J53</f>
        <v>0.76744186046511631</v>
      </c>
      <c r="K117" s="128">
        <f t="shared" ref="K117:S117" si="503">K29/K53</f>
        <v>0.81730769230769229</v>
      </c>
      <c r="L117" s="128">
        <f t="shared" si="503"/>
        <v>0.79523809523809519</v>
      </c>
      <c r="M117" s="128">
        <f t="shared" si="503"/>
        <v>0.73979591836734693</v>
      </c>
      <c r="N117" s="128">
        <f t="shared" si="503"/>
        <v>0.71962616822429903</v>
      </c>
      <c r="O117" s="128">
        <f t="shared" si="503"/>
        <v>0.7414448669201521</v>
      </c>
      <c r="P117" s="128">
        <f t="shared" si="503"/>
        <v>0.78830083565459608</v>
      </c>
      <c r="Q117" s="128">
        <f t="shared" si="503"/>
        <v>0.79472693032015063</v>
      </c>
      <c r="R117" s="128">
        <f t="shared" si="503"/>
        <v>0.81333333333333335</v>
      </c>
      <c r="S117" s="128">
        <f t="shared" si="503"/>
        <v>0.74299999999999999</v>
      </c>
      <c r="T117" s="128">
        <f t="shared" ref="T117:U117" si="504">T29/T53</f>
        <v>0.70326173428798722</v>
      </c>
      <c r="U117" s="128">
        <f t="shared" si="504"/>
        <v>0.69525159461374908</v>
      </c>
      <c r="V117" s="128">
        <f t="shared" ref="V117" si="505">V29/V53</f>
        <v>0.71411117898594989</v>
      </c>
      <c r="W117" s="101">
        <f t="shared" si="280"/>
        <v>-6.350056569455087E-3</v>
      </c>
      <c r="X117" s="10"/>
      <c r="Y117" s="128">
        <f t="shared" ref="Y117:AH117" si="506">Y29/Y53</f>
        <v>0.69525159461374908</v>
      </c>
      <c r="Z117" s="128">
        <f t="shared" si="506"/>
        <v>0.69525159461374908</v>
      </c>
      <c r="AA117" s="128">
        <f t="shared" si="506"/>
        <v>0.69525159461374908</v>
      </c>
      <c r="AB117" s="128">
        <f t="shared" si="506"/>
        <v>0.69525159461374908</v>
      </c>
      <c r="AC117" s="128">
        <f t="shared" si="506"/>
        <v>0.69525159461374908</v>
      </c>
      <c r="AD117" s="128">
        <f t="shared" si="506"/>
        <v>0.69525159461374908</v>
      </c>
      <c r="AE117" s="128">
        <f t="shared" si="506"/>
        <v>0.69525159461374919</v>
      </c>
      <c r="AF117" s="128">
        <f t="shared" si="506"/>
        <v>0.69525159461374919</v>
      </c>
      <c r="AG117" s="128">
        <f t="shared" si="506"/>
        <v>0.69525159461374919</v>
      </c>
      <c r="AH117" s="128">
        <f t="shared" si="506"/>
        <v>0.69525159461374908</v>
      </c>
      <c r="AI117" s="115">
        <f t="shared" ref="AI117" si="507">((AH117/J117)^(1/($AH$3-$K$1) ))-1</f>
        <v>-3.9437603926383291E-3</v>
      </c>
      <c r="AJ117" s="21">
        <f t="shared" si="463"/>
        <v>0.01</v>
      </c>
      <c r="AK117" s="123" t="e">
        <f t="shared" si="306"/>
        <v>#DIV/0!</v>
      </c>
    </row>
    <row r="118" spans="1:37" ht="12" customHeight="1" x14ac:dyDescent="0.2">
      <c r="B118" s="10" t="s">
        <v>310</v>
      </c>
      <c r="C118" s="128"/>
      <c r="D118" s="128"/>
      <c r="E118" s="128"/>
      <c r="F118" s="144"/>
      <c r="G118" s="144">
        <f t="shared" ref="G118" si="508">G29/G59</f>
        <v>4.4000000000000004</v>
      </c>
      <c r="H118" s="144">
        <f t="shared" ref="H118:I118" si="509">H29/H59</f>
        <v>4</v>
      </c>
      <c r="I118" s="144">
        <f t="shared" si="509"/>
        <v>3.5925925925925926</v>
      </c>
      <c r="J118" s="144">
        <f t="shared" ref="J118:S118" si="510">J29/J59</f>
        <v>4.4000000000000004</v>
      </c>
      <c r="K118" s="144">
        <f t="shared" si="510"/>
        <v>6.0714285714285712</v>
      </c>
      <c r="L118" s="144">
        <f t="shared" si="510"/>
        <v>5.387096774193548</v>
      </c>
      <c r="M118" s="144">
        <f t="shared" si="510"/>
        <v>3.7179487179487181</v>
      </c>
      <c r="N118" s="144">
        <f t="shared" si="510"/>
        <v>3.6666666666666665</v>
      </c>
      <c r="O118" s="144">
        <f t="shared" si="510"/>
        <v>4.5348837209302326</v>
      </c>
      <c r="P118" s="144">
        <f t="shared" si="510"/>
        <v>5.2407407407407405</v>
      </c>
      <c r="Q118" s="144">
        <f t="shared" si="510"/>
        <v>5.6266666666666669</v>
      </c>
      <c r="R118" s="144">
        <f t="shared" si="510"/>
        <v>7.0930232558139537</v>
      </c>
      <c r="S118" s="144">
        <f t="shared" si="510"/>
        <v>4.7324840764331206</v>
      </c>
      <c r="T118" s="144">
        <f t="shared" ref="T118:U118" si="511">T29/T59</f>
        <v>3.7617021276595746</v>
      </c>
      <c r="U118" s="144">
        <f t="shared" si="511"/>
        <v>3.43006993006993</v>
      </c>
      <c r="V118" s="144">
        <f t="shared" ref="V118" si="512">V29/V59</f>
        <v>3.9493243243243241</v>
      </c>
      <c r="W118" s="101">
        <f t="shared" si="280"/>
        <v>-7.1781156272595625E-3</v>
      </c>
      <c r="X118" s="10"/>
      <c r="Y118" s="144">
        <f t="shared" ref="Y118:AH118" si="513">Y29/Y59</f>
        <v>3.43006993006993</v>
      </c>
      <c r="Z118" s="144">
        <f t="shared" si="513"/>
        <v>3.4300699300699296</v>
      </c>
      <c r="AA118" s="144">
        <f t="shared" si="513"/>
        <v>3.4300699300699296</v>
      </c>
      <c r="AB118" s="144">
        <f t="shared" si="513"/>
        <v>3.4300699300699296</v>
      </c>
      <c r="AC118" s="144">
        <f t="shared" si="513"/>
        <v>3.4300699300699296</v>
      </c>
      <c r="AD118" s="144">
        <f t="shared" si="513"/>
        <v>3.43006993006993</v>
      </c>
      <c r="AE118" s="144">
        <f t="shared" si="513"/>
        <v>3.43006993006993</v>
      </c>
      <c r="AF118" s="144">
        <f t="shared" si="513"/>
        <v>3.43006993006993</v>
      </c>
      <c r="AG118" s="144">
        <f t="shared" si="513"/>
        <v>3.4300699300699296</v>
      </c>
      <c r="AH118" s="144">
        <f t="shared" si="513"/>
        <v>3.4300699300699291</v>
      </c>
      <c r="AI118" s="115">
        <f t="shared" ref="AI118" si="514">((AH118/J118)^(1/($AH$3-$K$1) ))-1</f>
        <v>-9.9115096807295133E-3</v>
      </c>
      <c r="AJ118" s="21">
        <f t="shared" si="463"/>
        <v>0.01</v>
      </c>
      <c r="AK118" s="123" t="e">
        <f t="shared" si="306"/>
        <v>#DIV/0!</v>
      </c>
    </row>
    <row r="119" spans="1:37" ht="12" customHeight="1" x14ac:dyDescent="0.2">
      <c r="B119" s="10" t="s">
        <v>269</v>
      </c>
      <c r="C119" s="128"/>
      <c r="D119" s="128"/>
      <c r="E119" s="128"/>
      <c r="F119" s="144"/>
      <c r="G119" s="144">
        <f t="shared" ref="G119" si="515">G29/G12</f>
        <v>11</v>
      </c>
      <c r="H119" s="144">
        <f t="shared" ref="H119:I119" si="516">H29/H12</f>
        <v>42</v>
      </c>
      <c r="I119" s="144">
        <f t="shared" si="516"/>
        <v>97</v>
      </c>
      <c r="J119" s="144">
        <f t="shared" ref="J119:S119" si="517">J29/J12</f>
        <v>44</v>
      </c>
      <c r="K119" s="144">
        <f t="shared" si="517"/>
        <v>12.142857142857142</v>
      </c>
      <c r="L119" s="144">
        <f t="shared" si="517"/>
        <v>11.928571428571429</v>
      </c>
      <c r="M119" s="144">
        <f t="shared" si="517"/>
        <v>4.53125</v>
      </c>
      <c r="N119" s="144">
        <f t="shared" si="517"/>
        <v>4.5294117647058822</v>
      </c>
      <c r="O119" s="144">
        <f t="shared" si="517"/>
        <v>12.1875</v>
      </c>
      <c r="P119" s="144">
        <f t="shared" si="517"/>
        <v>35.375</v>
      </c>
      <c r="Q119" s="144">
        <f t="shared" si="517"/>
        <v>46.888888888888886</v>
      </c>
      <c r="R119" s="144">
        <f t="shared" si="517"/>
        <v>76.25</v>
      </c>
      <c r="S119" s="144">
        <f t="shared" si="517"/>
        <v>43.705882352941174</v>
      </c>
      <c r="T119" s="144">
        <f t="shared" ref="T119:U119" si="518">T29/T12</f>
        <v>73.666666666666671</v>
      </c>
      <c r="U119" s="144">
        <f t="shared" si="518"/>
        <v>51.631578947368418</v>
      </c>
      <c r="V119" s="144">
        <f t="shared" ref="V119" si="519">V29/V12</f>
        <v>2.7833333333333332</v>
      </c>
      <c r="W119" s="101">
        <f t="shared" si="280"/>
        <v>-8.7544901178292056E-2</v>
      </c>
      <c r="X119" s="10"/>
      <c r="Y119" s="128">
        <f t="shared" ref="Y119:AH119" si="520">Y29/Y12</f>
        <v>51.631578947368418</v>
      </c>
      <c r="Z119" s="128">
        <f t="shared" si="520"/>
        <v>51.631578947368425</v>
      </c>
      <c r="AA119" s="128">
        <f t="shared" si="520"/>
        <v>51.631578947368418</v>
      </c>
      <c r="AB119" s="128">
        <f t="shared" si="520"/>
        <v>51.631578947368418</v>
      </c>
      <c r="AC119" s="128">
        <f t="shared" si="520"/>
        <v>51.631578947368425</v>
      </c>
      <c r="AD119" s="128">
        <f t="shared" si="520"/>
        <v>51.631578947368425</v>
      </c>
      <c r="AE119" s="128">
        <f t="shared" si="520"/>
        <v>51.631578947368425</v>
      </c>
      <c r="AF119" s="128">
        <f t="shared" si="520"/>
        <v>51.631578947368432</v>
      </c>
      <c r="AG119" s="128">
        <f t="shared" si="520"/>
        <v>51.631578947368432</v>
      </c>
      <c r="AH119" s="128">
        <f t="shared" si="520"/>
        <v>51.631578947368432</v>
      </c>
      <c r="AI119" s="115">
        <f t="shared" si="462"/>
        <v>6.4182632010263418E-3</v>
      </c>
      <c r="AJ119" s="21">
        <f t="shared" si="463"/>
        <v>0.01</v>
      </c>
      <c r="AK119" s="123" t="e">
        <f t="shared" si="306"/>
        <v>#DIV/0!</v>
      </c>
    </row>
    <row r="120" spans="1:37" ht="12" customHeight="1" x14ac:dyDescent="0.2">
      <c r="B120" s="10" t="s">
        <v>312</v>
      </c>
      <c r="C120" s="128"/>
      <c r="D120" s="128"/>
      <c r="E120" s="128"/>
      <c r="F120" s="144"/>
      <c r="G120" s="144" t="e">
        <f t="shared" ref="G120" si="521">G29/G23</f>
        <v>#DIV/0!</v>
      </c>
      <c r="H120" s="144" t="e">
        <f t="shared" ref="H120:I120" si="522">H29/H23</f>
        <v>#DIV/0!</v>
      </c>
      <c r="I120" s="144" t="e">
        <f t="shared" si="522"/>
        <v>#DIV/0!</v>
      </c>
      <c r="J120" s="144" t="e">
        <f>J29/J23</f>
        <v>#DIV/0!</v>
      </c>
      <c r="K120" s="144" t="e">
        <f t="shared" ref="K120:S120" si="523">K29/K23</f>
        <v>#DIV/0!</v>
      </c>
      <c r="L120" s="144" t="e">
        <f t="shared" si="523"/>
        <v>#DIV/0!</v>
      </c>
      <c r="M120" s="144" t="e">
        <f t="shared" si="523"/>
        <v>#DIV/0!</v>
      </c>
      <c r="N120" s="144" t="e">
        <f t="shared" si="523"/>
        <v>#DIV/0!</v>
      </c>
      <c r="O120" s="144" t="e">
        <f t="shared" si="523"/>
        <v>#DIV/0!</v>
      </c>
      <c r="P120" s="144" t="e">
        <f t="shared" si="523"/>
        <v>#DIV/0!</v>
      </c>
      <c r="Q120" s="144" t="e">
        <f t="shared" si="523"/>
        <v>#DIV/0!</v>
      </c>
      <c r="R120" s="144" t="e">
        <f t="shared" si="523"/>
        <v>#DIV/0!</v>
      </c>
      <c r="S120" s="144" t="e">
        <f t="shared" si="523"/>
        <v>#DIV/0!</v>
      </c>
      <c r="T120" s="144" t="e">
        <f t="shared" ref="T120:U120" si="524">T29/T23</f>
        <v>#DIV/0!</v>
      </c>
      <c r="U120" s="144" t="e">
        <f t="shared" si="524"/>
        <v>#DIV/0!</v>
      </c>
      <c r="V120" s="144" t="e">
        <f t="shared" ref="V120" si="525">V29/V23</f>
        <v>#DIV/0!</v>
      </c>
      <c r="W120" s="101" t="e">
        <f t="shared" si="280"/>
        <v>#DIV/0!</v>
      </c>
      <c r="X120" s="10"/>
      <c r="Y120" s="144" t="e">
        <f t="shared" ref="Y120:AH120" si="526">Y29/Y23</f>
        <v>#DIV/0!</v>
      </c>
      <c r="Z120" s="144" t="e">
        <f t="shared" si="526"/>
        <v>#DIV/0!</v>
      </c>
      <c r="AA120" s="144" t="e">
        <f t="shared" si="526"/>
        <v>#DIV/0!</v>
      </c>
      <c r="AB120" s="144" t="e">
        <f t="shared" si="526"/>
        <v>#DIV/0!</v>
      </c>
      <c r="AC120" s="144" t="e">
        <f t="shared" si="526"/>
        <v>#DIV/0!</v>
      </c>
      <c r="AD120" s="144" t="e">
        <f t="shared" si="526"/>
        <v>#DIV/0!</v>
      </c>
      <c r="AE120" s="144" t="e">
        <f t="shared" si="526"/>
        <v>#DIV/0!</v>
      </c>
      <c r="AF120" s="144" t="e">
        <f t="shared" si="526"/>
        <v>#DIV/0!</v>
      </c>
      <c r="AG120" s="144" t="e">
        <f t="shared" si="526"/>
        <v>#DIV/0!</v>
      </c>
      <c r="AH120" s="144" t="e">
        <f t="shared" si="526"/>
        <v>#DIV/0!</v>
      </c>
      <c r="AI120" s="115" t="e">
        <f t="shared" ref="AI120" si="527">((AH120/J120)^(1/($AH$3-$K$1) ))-1</f>
        <v>#DIV/0!</v>
      </c>
      <c r="AJ120" s="21">
        <f t="shared" si="463"/>
        <v>0.01</v>
      </c>
      <c r="AK120" s="123" t="e">
        <f t="shared" si="306"/>
        <v>#DIV/0!</v>
      </c>
    </row>
    <row r="121" spans="1:37" ht="12" customHeight="1" x14ac:dyDescent="0.2">
      <c r="B121" s="10"/>
      <c r="C121" s="128"/>
      <c r="D121" s="128"/>
      <c r="E121" s="128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21"/>
      <c r="V121" s="121"/>
      <c r="W121" s="101" t="e">
        <f t="shared" si="280"/>
        <v>#DIV/0!</v>
      </c>
      <c r="X121" s="10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3"/>
      <c r="AK121" s="123"/>
    </row>
    <row r="122" spans="1:37" ht="12" customHeight="1" x14ac:dyDescent="0.2">
      <c r="B122" s="10" t="s">
        <v>344</v>
      </c>
      <c r="C122" s="128"/>
      <c r="D122" s="128"/>
      <c r="E122" s="128"/>
      <c r="F122" s="108"/>
      <c r="G122" s="108">
        <f t="shared" ref="G122" si="528">1/G116</f>
        <v>1.4545454545454546</v>
      </c>
      <c r="H122" s="108">
        <f t="shared" ref="H122:I122" si="529">1/H116</f>
        <v>1.5119047619047619</v>
      </c>
      <c r="I122" s="108">
        <f t="shared" si="529"/>
        <v>1.5257731958762888</v>
      </c>
      <c r="J122" s="108">
        <f>1/J116</f>
        <v>1.4393939393939392</v>
      </c>
      <c r="K122" s="108">
        <f t="shared" ref="K122:S122" si="530">1/K116</f>
        <v>1.2999999999999998</v>
      </c>
      <c r="L122" s="108">
        <f t="shared" si="530"/>
        <v>1.3353293413173652</v>
      </c>
      <c r="M122" s="108">
        <f t="shared" si="530"/>
        <v>1.4896551724137932</v>
      </c>
      <c r="N122" s="108">
        <f t="shared" si="530"/>
        <v>1.4870129870129869</v>
      </c>
      <c r="O122" s="108">
        <f t="shared" si="530"/>
        <v>1.4307692307692306</v>
      </c>
      <c r="P122" s="108">
        <f t="shared" si="530"/>
        <v>1.3851590106007066</v>
      </c>
      <c r="Q122" s="108">
        <f t="shared" si="530"/>
        <v>1.3696682464454977</v>
      </c>
      <c r="R122" s="108">
        <f t="shared" si="530"/>
        <v>1.339344262295082</v>
      </c>
      <c r="S122" s="108">
        <f t="shared" si="530"/>
        <v>1.4576043068640645</v>
      </c>
      <c r="T122" s="108">
        <f t="shared" ref="T122:U122" si="531">1/T116</f>
        <v>1.5305429864253395</v>
      </c>
      <c r="U122" s="108">
        <f t="shared" si="531"/>
        <v>1.5504587155963303</v>
      </c>
      <c r="V122" s="108">
        <f t="shared" ref="V122" si="532">1/V116</f>
        <v>1.4807527801539777</v>
      </c>
      <c r="W122" s="101">
        <f t="shared" si="280"/>
        <v>1.1911851823545039E-3</v>
      </c>
      <c r="X122" s="10"/>
      <c r="Y122" s="108">
        <f t="shared" ref="Y122:AH122" si="533">1/Y116</f>
        <v>1.5504587155963303</v>
      </c>
      <c r="Z122" s="108">
        <f t="shared" si="533"/>
        <v>1.5504587155963303</v>
      </c>
      <c r="AA122" s="108">
        <f t="shared" si="533"/>
        <v>1.5504587155963303</v>
      </c>
      <c r="AB122" s="108">
        <f t="shared" si="533"/>
        <v>1.5504587155963303</v>
      </c>
      <c r="AC122" s="108">
        <f t="shared" si="533"/>
        <v>1.5504587155963303</v>
      </c>
      <c r="AD122" s="108">
        <f t="shared" si="533"/>
        <v>1.5504587155963303</v>
      </c>
      <c r="AE122" s="108">
        <f t="shared" si="533"/>
        <v>1.5504587155963303</v>
      </c>
      <c r="AF122" s="108">
        <f t="shared" si="533"/>
        <v>1.5504587155963301</v>
      </c>
      <c r="AG122" s="108">
        <f t="shared" si="533"/>
        <v>1.5504587155963303</v>
      </c>
      <c r="AH122" s="108">
        <f t="shared" si="533"/>
        <v>1.5504587155963303</v>
      </c>
      <c r="AI122" s="115">
        <f t="shared" si="462"/>
        <v>2.9775715107991374E-3</v>
      </c>
      <c r="AJ122" s="21">
        <f t="shared" si="463"/>
        <v>0.01</v>
      </c>
      <c r="AK122" s="123" t="e">
        <f t="shared" si="306"/>
        <v>#DIV/0!</v>
      </c>
    </row>
    <row r="123" spans="1:37" ht="12" customHeight="1" x14ac:dyDescent="0.2">
      <c r="B123" s="10" t="s">
        <v>345</v>
      </c>
      <c r="C123" s="128"/>
      <c r="D123" s="128"/>
      <c r="E123" s="128"/>
      <c r="F123" s="108"/>
      <c r="G123" s="108">
        <f t="shared" ref="G123" si="534">1/G117</f>
        <v>1.2727272727272727</v>
      </c>
      <c r="H123" s="108">
        <f t="shared" ref="H123:I123" si="535">1/H117</f>
        <v>1.3214285714285714</v>
      </c>
      <c r="I123" s="108">
        <f t="shared" si="535"/>
        <v>1.3608247422680413</v>
      </c>
      <c r="J123" s="108">
        <f t="shared" ref="J123:S126" si="536">1/J117</f>
        <v>1.303030303030303</v>
      </c>
      <c r="K123" s="108">
        <f t="shared" si="536"/>
        <v>1.223529411764706</v>
      </c>
      <c r="L123" s="108">
        <f t="shared" si="536"/>
        <v>1.2574850299401199</v>
      </c>
      <c r="M123" s="108">
        <f t="shared" si="536"/>
        <v>1.3517241379310345</v>
      </c>
      <c r="N123" s="108">
        <f t="shared" si="536"/>
        <v>1.3896103896103897</v>
      </c>
      <c r="O123" s="108">
        <f t="shared" si="536"/>
        <v>1.3487179487179486</v>
      </c>
      <c r="P123" s="108">
        <f t="shared" si="536"/>
        <v>1.2685512367491167</v>
      </c>
      <c r="Q123" s="108">
        <f t="shared" si="536"/>
        <v>1.2582938388625593</v>
      </c>
      <c r="R123" s="108">
        <f t="shared" si="536"/>
        <v>1.2295081967213115</v>
      </c>
      <c r="S123" s="108">
        <f t="shared" si="536"/>
        <v>1.3458950201884252</v>
      </c>
      <c r="T123" s="108">
        <f t="shared" ref="T123:U123" si="537">1/T117</f>
        <v>1.4219457013574661</v>
      </c>
      <c r="U123" s="108">
        <f t="shared" si="537"/>
        <v>1.4383282364933743</v>
      </c>
      <c r="V123" s="108">
        <f t="shared" ref="V123" si="538">1/V117</f>
        <v>1.4003421727972627</v>
      </c>
      <c r="W123" s="101">
        <f t="shared" si="280"/>
        <v>6.3906374789612919E-3</v>
      </c>
      <c r="X123" s="10"/>
      <c r="Y123" s="108">
        <f t="shared" ref="Y123:AH123" si="539">1/Y117</f>
        <v>1.4383282364933743</v>
      </c>
      <c r="Z123" s="108">
        <f t="shared" si="539"/>
        <v>1.4383282364933743</v>
      </c>
      <c r="AA123" s="108">
        <f t="shared" si="539"/>
        <v>1.4383282364933743</v>
      </c>
      <c r="AB123" s="108">
        <f t="shared" si="539"/>
        <v>1.4383282364933743</v>
      </c>
      <c r="AC123" s="108">
        <f t="shared" si="539"/>
        <v>1.4383282364933743</v>
      </c>
      <c r="AD123" s="108">
        <f t="shared" si="539"/>
        <v>1.4383282364933743</v>
      </c>
      <c r="AE123" s="108">
        <f t="shared" si="539"/>
        <v>1.438328236493374</v>
      </c>
      <c r="AF123" s="108">
        <f t="shared" si="539"/>
        <v>1.438328236493374</v>
      </c>
      <c r="AG123" s="108">
        <f t="shared" si="539"/>
        <v>1.438328236493374</v>
      </c>
      <c r="AH123" s="108">
        <f t="shared" si="539"/>
        <v>1.4383282364933743</v>
      </c>
      <c r="AI123" s="115">
        <f t="shared" si="462"/>
        <v>3.9593752198097132E-3</v>
      </c>
      <c r="AJ123" s="21">
        <f t="shared" si="463"/>
        <v>0.01</v>
      </c>
      <c r="AK123" s="123" t="e">
        <f t="shared" si="306"/>
        <v>#DIV/0!</v>
      </c>
    </row>
    <row r="124" spans="1:37" ht="12" customHeight="1" x14ac:dyDescent="0.2">
      <c r="B124" s="10" t="s">
        <v>346</v>
      </c>
      <c r="C124" s="128"/>
      <c r="D124" s="128"/>
      <c r="E124" s="128"/>
      <c r="F124" s="108"/>
      <c r="G124" s="108">
        <f t="shared" ref="G124" si="540">1/G118</f>
        <v>0.22727272727272727</v>
      </c>
      <c r="H124" s="108">
        <f t="shared" ref="H124:I124" si="541">1/H118</f>
        <v>0.25</v>
      </c>
      <c r="I124" s="108">
        <f t="shared" si="541"/>
        <v>0.27835051546391754</v>
      </c>
      <c r="J124" s="108">
        <f t="shared" si="536"/>
        <v>0.22727272727272727</v>
      </c>
      <c r="K124" s="108">
        <f t="shared" si="536"/>
        <v>0.16470588235294117</v>
      </c>
      <c r="L124" s="108">
        <f t="shared" si="536"/>
        <v>0.18562874251497008</v>
      </c>
      <c r="M124" s="108">
        <f t="shared" si="536"/>
        <v>0.26896551724137929</v>
      </c>
      <c r="N124" s="108">
        <f t="shared" si="536"/>
        <v>0.27272727272727276</v>
      </c>
      <c r="O124" s="108">
        <f t="shared" si="536"/>
        <v>0.22051282051282051</v>
      </c>
      <c r="P124" s="108">
        <f t="shared" si="536"/>
        <v>0.19081272084805653</v>
      </c>
      <c r="Q124" s="108">
        <f t="shared" si="536"/>
        <v>0.17772511848341233</v>
      </c>
      <c r="R124" s="108">
        <f t="shared" si="536"/>
        <v>0.14098360655737704</v>
      </c>
      <c r="S124" s="108">
        <f t="shared" si="536"/>
        <v>0.21130551816958279</v>
      </c>
      <c r="T124" s="108">
        <f t="shared" ref="T124:U124" si="542">1/T118</f>
        <v>0.26583710407239819</v>
      </c>
      <c r="U124" s="108">
        <f t="shared" si="542"/>
        <v>0.29153924566768602</v>
      </c>
      <c r="V124" s="108">
        <f t="shared" ref="V124" si="543">1/V118</f>
        <v>0.25320786997433703</v>
      </c>
      <c r="W124" s="101">
        <f t="shared" si="280"/>
        <v>7.2300135001501786E-3</v>
      </c>
      <c r="X124" s="10"/>
      <c r="Y124" s="108">
        <f t="shared" ref="Y124:AH124" si="544">1/Y118</f>
        <v>0.29153924566768602</v>
      </c>
      <c r="Z124" s="108">
        <f t="shared" si="544"/>
        <v>0.29153924566768608</v>
      </c>
      <c r="AA124" s="108">
        <f t="shared" si="544"/>
        <v>0.29153924566768608</v>
      </c>
      <c r="AB124" s="108">
        <f t="shared" si="544"/>
        <v>0.29153924566768608</v>
      </c>
      <c r="AC124" s="108">
        <f t="shared" si="544"/>
        <v>0.29153924566768608</v>
      </c>
      <c r="AD124" s="108">
        <f t="shared" si="544"/>
        <v>0.29153924566768602</v>
      </c>
      <c r="AE124" s="108">
        <f t="shared" si="544"/>
        <v>0.29153924566768602</v>
      </c>
      <c r="AF124" s="108">
        <f t="shared" si="544"/>
        <v>0.29153924566768602</v>
      </c>
      <c r="AG124" s="108">
        <f t="shared" si="544"/>
        <v>0.29153924566768608</v>
      </c>
      <c r="AH124" s="108">
        <f t="shared" si="544"/>
        <v>0.29153924566768613</v>
      </c>
      <c r="AI124" s="115">
        <f t="shared" si="462"/>
        <v>1.0010731139328044E-2</v>
      </c>
      <c r="AJ124" s="21">
        <f t="shared" si="463"/>
        <v>0.01</v>
      </c>
      <c r="AK124" s="123" t="e">
        <f t="shared" si="306"/>
        <v>#DIV/0!</v>
      </c>
    </row>
    <row r="125" spans="1:37" ht="12" customHeight="1" x14ac:dyDescent="0.2">
      <c r="B125" s="10" t="s">
        <v>347</v>
      </c>
      <c r="C125" s="128"/>
      <c r="D125" s="128"/>
      <c r="E125" s="128"/>
      <c r="F125" s="108"/>
      <c r="G125" s="108">
        <f t="shared" ref="G125" si="545">1/G119</f>
        <v>9.0909090909090912E-2</v>
      </c>
      <c r="H125" s="108">
        <f t="shared" ref="H125:I125" si="546">1/H119</f>
        <v>2.3809523809523808E-2</v>
      </c>
      <c r="I125" s="108">
        <f t="shared" si="546"/>
        <v>1.0309278350515464E-2</v>
      </c>
      <c r="J125" s="108">
        <f t="shared" si="536"/>
        <v>2.2727272727272728E-2</v>
      </c>
      <c r="K125" s="108">
        <f t="shared" si="536"/>
        <v>8.2352941176470587E-2</v>
      </c>
      <c r="L125" s="108">
        <f t="shared" si="536"/>
        <v>8.3832335329341312E-2</v>
      </c>
      <c r="M125" s="108">
        <f t="shared" si="536"/>
        <v>0.22068965517241379</v>
      </c>
      <c r="N125" s="108">
        <f t="shared" si="536"/>
        <v>0.2207792207792208</v>
      </c>
      <c r="O125" s="108">
        <f t="shared" si="536"/>
        <v>8.2051282051282051E-2</v>
      </c>
      <c r="P125" s="108">
        <f t="shared" si="536"/>
        <v>2.8268551236749116E-2</v>
      </c>
      <c r="Q125" s="108">
        <f t="shared" si="536"/>
        <v>2.132701421800948E-2</v>
      </c>
      <c r="R125" s="108">
        <f t="shared" si="536"/>
        <v>1.3114754098360656E-2</v>
      </c>
      <c r="S125" s="108">
        <f t="shared" si="536"/>
        <v>2.2880215343203232E-2</v>
      </c>
      <c r="T125" s="108">
        <f t="shared" ref="T125:U125" si="547">1/T119</f>
        <v>1.3574660633484162E-2</v>
      </c>
      <c r="U125" s="108">
        <f t="shared" si="547"/>
        <v>1.9367991845056068E-2</v>
      </c>
      <c r="V125" s="108">
        <f t="shared" ref="V125" si="548">1/V119</f>
        <v>0.3592814371257485</v>
      </c>
      <c r="W125" s="101">
        <f t="shared" si="280"/>
        <v>9.5944338840719512E-2</v>
      </c>
      <c r="X125" s="10"/>
      <c r="Y125" s="108">
        <f t="shared" ref="Y125:AH125" si="549">1/Y119</f>
        <v>1.9367991845056068E-2</v>
      </c>
      <c r="Z125" s="108">
        <f t="shared" si="549"/>
        <v>1.9367991845056064E-2</v>
      </c>
      <c r="AA125" s="108">
        <f t="shared" si="549"/>
        <v>1.9367991845056068E-2</v>
      </c>
      <c r="AB125" s="108">
        <f t="shared" si="549"/>
        <v>1.9367991845056068E-2</v>
      </c>
      <c r="AC125" s="108">
        <f t="shared" si="549"/>
        <v>1.9367991845056064E-2</v>
      </c>
      <c r="AD125" s="108">
        <f t="shared" si="549"/>
        <v>1.9367991845056064E-2</v>
      </c>
      <c r="AE125" s="108">
        <f t="shared" si="549"/>
        <v>1.9367991845056064E-2</v>
      </c>
      <c r="AF125" s="108">
        <f t="shared" si="549"/>
        <v>1.9367991845056061E-2</v>
      </c>
      <c r="AG125" s="108">
        <f t="shared" si="549"/>
        <v>1.9367991845056061E-2</v>
      </c>
      <c r="AH125" s="108">
        <f t="shared" si="549"/>
        <v>1.9367991845056061E-2</v>
      </c>
      <c r="AI125" s="115">
        <f t="shared" si="462"/>
        <v>-6.3773318069689777E-3</v>
      </c>
      <c r="AJ125" s="21">
        <f t="shared" si="463"/>
        <v>0.01</v>
      </c>
      <c r="AK125" s="123" t="e">
        <f t="shared" si="306"/>
        <v>#DIV/0!</v>
      </c>
    </row>
    <row r="126" spans="1:37" ht="12" customHeight="1" x14ac:dyDescent="0.2">
      <c r="B126" s="10" t="s">
        <v>348</v>
      </c>
      <c r="C126" s="128"/>
      <c r="D126" s="128"/>
      <c r="E126" s="128"/>
      <c r="F126" s="108"/>
      <c r="G126" s="108" t="e">
        <f t="shared" ref="G126" si="550">1/G120</f>
        <v>#DIV/0!</v>
      </c>
      <c r="H126" s="108" t="e">
        <f t="shared" ref="H126:I126" si="551">1/H120</f>
        <v>#DIV/0!</v>
      </c>
      <c r="I126" s="108" t="e">
        <f t="shared" si="551"/>
        <v>#DIV/0!</v>
      </c>
      <c r="J126" s="108" t="e">
        <f t="shared" si="536"/>
        <v>#DIV/0!</v>
      </c>
      <c r="K126" s="108" t="e">
        <f t="shared" si="536"/>
        <v>#DIV/0!</v>
      </c>
      <c r="L126" s="108" t="e">
        <f t="shared" si="536"/>
        <v>#DIV/0!</v>
      </c>
      <c r="M126" s="108" t="e">
        <f t="shared" si="536"/>
        <v>#DIV/0!</v>
      </c>
      <c r="N126" s="108" t="e">
        <f t="shared" si="536"/>
        <v>#DIV/0!</v>
      </c>
      <c r="O126" s="108" t="e">
        <f t="shared" si="536"/>
        <v>#DIV/0!</v>
      </c>
      <c r="P126" s="108" t="e">
        <f t="shared" si="536"/>
        <v>#DIV/0!</v>
      </c>
      <c r="Q126" s="108" t="e">
        <f t="shared" si="536"/>
        <v>#DIV/0!</v>
      </c>
      <c r="R126" s="108" t="e">
        <f t="shared" si="536"/>
        <v>#DIV/0!</v>
      </c>
      <c r="S126" s="108" t="e">
        <f t="shared" si="536"/>
        <v>#DIV/0!</v>
      </c>
      <c r="T126" s="108" t="e">
        <f t="shared" ref="T126:U126" si="552">1/T120</f>
        <v>#DIV/0!</v>
      </c>
      <c r="U126" s="108" t="e">
        <f t="shared" si="552"/>
        <v>#DIV/0!</v>
      </c>
      <c r="V126" s="108" t="e">
        <f t="shared" ref="V126" si="553">1/V120</f>
        <v>#DIV/0!</v>
      </c>
      <c r="W126" s="101" t="e">
        <f t="shared" si="280"/>
        <v>#DIV/0!</v>
      </c>
      <c r="X126" s="10"/>
      <c r="Y126" s="108" t="e">
        <f t="shared" ref="Y126:AH126" si="554">1/Y120</f>
        <v>#DIV/0!</v>
      </c>
      <c r="Z126" s="108" t="e">
        <f t="shared" si="554"/>
        <v>#DIV/0!</v>
      </c>
      <c r="AA126" s="108" t="e">
        <f t="shared" si="554"/>
        <v>#DIV/0!</v>
      </c>
      <c r="AB126" s="108" t="e">
        <f t="shared" si="554"/>
        <v>#DIV/0!</v>
      </c>
      <c r="AC126" s="108" t="e">
        <f t="shared" si="554"/>
        <v>#DIV/0!</v>
      </c>
      <c r="AD126" s="108" t="e">
        <f t="shared" si="554"/>
        <v>#DIV/0!</v>
      </c>
      <c r="AE126" s="108" t="e">
        <f t="shared" si="554"/>
        <v>#DIV/0!</v>
      </c>
      <c r="AF126" s="108" t="e">
        <f t="shared" si="554"/>
        <v>#DIV/0!</v>
      </c>
      <c r="AG126" s="108" t="e">
        <f t="shared" si="554"/>
        <v>#DIV/0!</v>
      </c>
      <c r="AH126" s="108" t="e">
        <f t="shared" si="554"/>
        <v>#DIV/0!</v>
      </c>
      <c r="AI126" s="115" t="e">
        <f t="shared" si="462"/>
        <v>#DIV/0!</v>
      </c>
      <c r="AJ126" s="21">
        <f t="shared" si="463"/>
        <v>0.01</v>
      </c>
      <c r="AK126" s="123" t="e">
        <f t="shared" si="306"/>
        <v>#DIV/0!</v>
      </c>
    </row>
    <row r="127" spans="1:37" ht="12" customHeight="1" x14ac:dyDescent="0.2">
      <c r="B127" s="10"/>
      <c r="C127" s="128"/>
      <c r="D127" s="128"/>
      <c r="E127" s="128"/>
      <c r="F127" s="144"/>
      <c r="G127" s="144"/>
      <c r="H127" s="144"/>
      <c r="I127" s="144"/>
      <c r="J127" s="144"/>
      <c r="K127" s="144"/>
      <c r="L127" s="144"/>
      <c r="M127" s="144"/>
      <c r="N127" s="144"/>
      <c r="O127" s="144"/>
      <c r="P127" s="144"/>
      <c r="Q127" s="144"/>
      <c r="R127" s="144"/>
      <c r="S127" s="144"/>
      <c r="T127" s="144"/>
      <c r="U127" s="121"/>
      <c r="V127" s="121"/>
      <c r="W127" s="101" t="e">
        <f t="shared" si="280"/>
        <v>#DIV/0!</v>
      </c>
      <c r="X127" s="10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3"/>
      <c r="AK127" s="123"/>
    </row>
    <row r="128" spans="1:37" ht="12" customHeight="1" x14ac:dyDescent="0.2">
      <c r="A128" s="302" t="s">
        <v>417</v>
      </c>
      <c r="B128" s="175" t="s">
        <v>424</v>
      </c>
      <c r="C128" s="128"/>
      <c r="D128" s="128"/>
      <c r="E128" s="128"/>
      <c r="F128" s="144"/>
      <c r="G128" s="144" t="e">
        <f t="shared" ref="G128" si="555">G25/(G36+G38)</f>
        <v>#DIV/0!</v>
      </c>
      <c r="H128" s="144" t="e">
        <f t="shared" ref="H128:I128" si="556">H25/(H36+H38)</f>
        <v>#DIV/0!</v>
      </c>
      <c r="I128" s="144" t="e">
        <f t="shared" si="556"/>
        <v>#DIV/0!</v>
      </c>
      <c r="J128" s="144" t="e">
        <f t="shared" ref="J128:T128" si="557">J25/(J36+J38)</f>
        <v>#DIV/0!</v>
      </c>
      <c r="K128" s="144" t="e">
        <f t="shared" si="557"/>
        <v>#DIV/0!</v>
      </c>
      <c r="L128" s="144" t="e">
        <f t="shared" si="557"/>
        <v>#DIV/0!</v>
      </c>
      <c r="M128" s="144" t="e">
        <f t="shared" si="557"/>
        <v>#DIV/0!</v>
      </c>
      <c r="N128" s="144" t="e">
        <f t="shared" si="557"/>
        <v>#DIV/0!</v>
      </c>
      <c r="O128" s="144" t="e">
        <f t="shared" si="557"/>
        <v>#DIV/0!</v>
      </c>
      <c r="P128" s="144" t="e">
        <f t="shared" si="557"/>
        <v>#DIV/0!</v>
      </c>
      <c r="Q128" s="144" t="e">
        <f t="shared" si="557"/>
        <v>#DIV/0!</v>
      </c>
      <c r="R128" s="144" t="e">
        <f t="shared" si="557"/>
        <v>#DIV/0!</v>
      </c>
      <c r="S128" s="144" t="e">
        <f t="shared" si="557"/>
        <v>#DIV/0!</v>
      </c>
      <c r="T128" s="144" t="e">
        <f t="shared" si="557"/>
        <v>#DIV/0!</v>
      </c>
      <c r="U128" s="144">
        <f t="shared" ref="U128:V128" si="558">U25/(U36+U38)</f>
        <v>1521</v>
      </c>
      <c r="V128" s="144">
        <f t="shared" si="558"/>
        <v>1731</v>
      </c>
      <c r="W128" s="101" t="e">
        <f t="shared" si="280"/>
        <v>#DIV/0!</v>
      </c>
      <c r="X128" s="10"/>
      <c r="Y128" s="144">
        <f t="shared" ref="Y128:AH128" si="559">Y25/(Y36+Y38)</f>
        <v>1521</v>
      </c>
      <c r="Z128" s="144">
        <f t="shared" si="559"/>
        <v>1521</v>
      </c>
      <c r="AA128" s="144">
        <f t="shared" si="559"/>
        <v>1521</v>
      </c>
      <c r="AB128" s="144">
        <f t="shared" si="559"/>
        <v>1520.9999999999998</v>
      </c>
      <c r="AC128" s="144">
        <f t="shared" si="559"/>
        <v>1520.9999999999998</v>
      </c>
      <c r="AD128" s="144">
        <f t="shared" si="559"/>
        <v>1520.9999999999998</v>
      </c>
      <c r="AE128" s="144">
        <f t="shared" si="559"/>
        <v>1521</v>
      </c>
      <c r="AF128" s="144">
        <f t="shared" si="559"/>
        <v>1520.9999999999998</v>
      </c>
      <c r="AG128" s="144">
        <f t="shared" si="559"/>
        <v>1520.9999999999998</v>
      </c>
      <c r="AH128" s="144">
        <f t="shared" si="559"/>
        <v>1520.9999999999998</v>
      </c>
      <c r="AI128" s="115" t="e">
        <f t="shared" ref="AI128:AI136" si="560">((AH128/J128)^(1/($AH$3-$K$1) ))-1</f>
        <v>#DIV/0!</v>
      </c>
      <c r="AJ128" s="21">
        <f t="shared" si="463"/>
        <v>0.01</v>
      </c>
      <c r="AK128" s="123" t="e">
        <f t="shared" si="306"/>
        <v>#DIV/0!</v>
      </c>
    </row>
    <row r="129" spans="1:37" ht="12" customHeight="1" x14ac:dyDescent="0.2">
      <c r="A129" s="302"/>
      <c r="B129" s="175" t="s">
        <v>419</v>
      </c>
      <c r="C129" s="128"/>
      <c r="D129" s="128"/>
      <c r="E129" s="128"/>
      <c r="F129" s="144"/>
      <c r="G129" s="144" t="e">
        <f t="shared" ref="G129" si="561">G25/G43</f>
        <v>#DIV/0!</v>
      </c>
      <c r="H129" s="144" t="e">
        <f t="shared" ref="H129:I129" si="562">H25/H43</f>
        <v>#DIV/0!</v>
      </c>
      <c r="I129" s="144" t="e">
        <f t="shared" si="562"/>
        <v>#DIV/0!</v>
      </c>
      <c r="J129" s="144" t="e">
        <f t="shared" ref="J129:T129" si="563">J25/J43</f>
        <v>#DIV/0!</v>
      </c>
      <c r="K129" s="144" t="e">
        <f t="shared" si="563"/>
        <v>#DIV/0!</v>
      </c>
      <c r="L129" s="144" t="e">
        <f t="shared" si="563"/>
        <v>#DIV/0!</v>
      </c>
      <c r="M129" s="144" t="e">
        <f t="shared" si="563"/>
        <v>#DIV/0!</v>
      </c>
      <c r="N129" s="144" t="e">
        <f t="shared" si="563"/>
        <v>#DIV/0!</v>
      </c>
      <c r="O129" s="144" t="e">
        <f t="shared" si="563"/>
        <v>#DIV/0!</v>
      </c>
      <c r="P129" s="144" t="e">
        <f t="shared" si="563"/>
        <v>#DIV/0!</v>
      </c>
      <c r="Q129" s="144" t="e">
        <f t="shared" si="563"/>
        <v>#DIV/0!</v>
      </c>
      <c r="R129" s="144" t="e">
        <f t="shared" si="563"/>
        <v>#DIV/0!</v>
      </c>
      <c r="S129" s="144" t="e">
        <f t="shared" si="563"/>
        <v>#DIV/0!</v>
      </c>
      <c r="T129" s="144" t="e">
        <f t="shared" si="563"/>
        <v>#DIV/0!</v>
      </c>
      <c r="U129" s="144" t="e">
        <f t="shared" ref="U129:V129" si="564">U25/U43</f>
        <v>#DIV/0!</v>
      </c>
      <c r="V129" s="144" t="e">
        <f t="shared" si="564"/>
        <v>#DIV/0!</v>
      </c>
      <c r="W129" s="101" t="e">
        <f t="shared" si="280"/>
        <v>#DIV/0!</v>
      </c>
      <c r="X129" s="10"/>
      <c r="Y129" s="144" t="e">
        <f t="shared" ref="Y129:AH129" si="565">Y25/Y43</f>
        <v>#DIV/0!</v>
      </c>
      <c r="Z129" s="144" t="e">
        <f t="shared" si="565"/>
        <v>#DIV/0!</v>
      </c>
      <c r="AA129" s="144" t="e">
        <f t="shared" si="565"/>
        <v>#DIV/0!</v>
      </c>
      <c r="AB129" s="144" t="e">
        <f t="shared" si="565"/>
        <v>#DIV/0!</v>
      </c>
      <c r="AC129" s="144" t="e">
        <f t="shared" si="565"/>
        <v>#DIV/0!</v>
      </c>
      <c r="AD129" s="144" t="e">
        <f t="shared" si="565"/>
        <v>#DIV/0!</v>
      </c>
      <c r="AE129" s="144" t="e">
        <f t="shared" si="565"/>
        <v>#DIV/0!</v>
      </c>
      <c r="AF129" s="144" t="e">
        <f t="shared" si="565"/>
        <v>#DIV/0!</v>
      </c>
      <c r="AG129" s="144" t="e">
        <f t="shared" si="565"/>
        <v>#DIV/0!</v>
      </c>
      <c r="AH129" s="144" t="e">
        <f t="shared" si="565"/>
        <v>#DIV/0!</v>
      </c>
      <c r="AI129" s="115" t="e">
        <f t="shared" si="560"/>
        <v>#DIV/0!</v>
      </c>
      <c r="AJ129" s="21">
        <f t="shared" si="463"/>
        <v>0.01</v>
      </c>
      <c r="AK129" s="123" t="e">
        <f t="shared" si="306"/>
        <v>#DIV/0!</v>
      </c>
    </row>
    <row r="130" spans="1:37" ht="12" customHeight="1" x14ac:dyDescent="0.2">
      <c r="A130" s="302"/>
      <c r="B130" s="175" t="s">
        <v>425</v>
      </c>
      <c r="C130" s="128"/>
      <c r="D130" s="128"/>
      <c r="E130" s="128"/>
      <c r="F130" s="144"/>
      <c r="G130" s="144" t="e">
        <f t="shared" ref="G130" si="566">G43/(G36)</f>
        <v>#DIV/0!</v>
      </c>
      <c r="H130" s="144" t="e">
        <f t="shared" ref="H130:I130" si="567">H43/(H36)</f>
        <v>#DIV/0!</v>
      </c>
      <c r="I130" s="144" t="e">
        <f t="shared" si="567"/>
        <v>#DIV/0!</v>
      </c>
      <c r="J130" s="144" t="e">
        <f t="shared" ref="J130:T130" si="568">J43/(J36)</f>
        <v>#DIV/0!</v>
      </c>
      <c r="K130" s="144" t="e">
        <f t="shared" si="568"/>
        <v>#DIV/0!</v>
      </c>
      <c r="L130" s="144" t="e">
        <f t="shared" si="568"/>
        <v>#DIV/0!</v>
      </c>
      <c r="M130" s="144" t="e">
        <f t="shared" si="568"/>
        <v>#DIV/0!</v>
      </c>
      <c r="N130" s="144" t="e">
        <f t="shared" si="568"/>
        <v>#DIV/0!</v>
      </c>
      <c r="O130" s="144" t="e">
        <f t="shared" si="568"/>
        <v>#DIV/0!</v>
      </c>
      <c r="P130" s="144" t="e">
        <f t="shared" si="568"/>
        <v>#DIV/0!</v>
      </c>
      <c r="Q130" s="144" t="e">
        <f t="shared" si="568"/>
        <v>#DIV/0!</v>
      </c>
      <c r="R130" s="144" t="e">
        <f t="shared" si="568"/>
        <v>#DIV/0!</v>
      </c>
      <c r="S130" s="144" t="e">
        <f t="shared" si="568"/>
        <v>#DIV/0!</v>
      </c>
      <c r="T130" s="144" t="e">
        <f t="shared" si="568"/>
        <v>#DIV/0!</v>
      </c>
      <c r="U130" s="144" t="e">
        <f t="shared" ref="U130:V130" si="569">U43/(U36)</f>
        <v>#DIV/0!</v>
      </c>
      <c r="V130" s="144" t="e">
        <f t="shared" si="569"/>
        <v>#DIV/0!</v>
      </c>
      <c r="W130" s="101" t="e">
        <f t="shared" si="280"/>
        <v>#DIV/0!</v>
      </c>
      <c r="X130" s="10"/>
      <c r="Y130" s="144">
        <f t="shared" ref="Y130:AH130" si="570">Y43/(Y36+Y38)</f>
        <v>0</v>
      </c>
      <c r="Z130" s="144">
        <f t="shared" si="570"/>
        <v>0</v>
      </c>
      <c r="AA130" s="144">
        <f t="shared" si="570"/>
        <v>0</v>
      </c>
      <c r="AB130" s="144">
        <f t="shared" si="570"/>
        <v>0</v>
      </c>
      <c r="AC130" s="144">
        <f t="shared" si="570"/>
        <v>0</v>
      </c>
      <c r="AD130" s="144">
        <f t="shared" si="570"/>
        <v>0</v>
      </c>
      <c r="AE130" s="144">
        <f t="shared" si="570"/>
        <v>0</v>
      </c>
      <c r="AF130" s="144">
        <f t="shared" si="570"/>
        <v>0</v>
      </c>
      <c r="AG130" s="144">
        <f t="shared" si="570"/>
        <v>0</v>
      </c>
      <c r="AH130" s="144">
        <f t="shared" si="570"/>
        <v>0</v>
      </c>
      <c r="AI130" s="115" t="e">
        <f t="shared" si="560"/>
        <v>#DIV/0!</v>
      </c>
      <c r="AJ130" s="21">
        <f t="shared" si="463"/>
        <v>0.01</v>
      </c>
      <c r="AK130" s="123" t="e">
        <f t="shared" si="306"/>
        <v>#DIV/0!</v>
      </c>
    </row>
    <row r="131" spans="1:37" ht="12" customHeight="1" x14ac:dyDescent="0.2">
      <c r="A131" s="302"/>
      <c r="B131" s="175" t="s">
        <v>423</v>
      </c>
      <c r="C131" s="128"/>
      <c r="D131" s="128"/>
      <c r="E131" s="128"/>
      <c r="F131" s="144"/>
      <c r="G131" s="144" t="e">
        <f t="shared" ref="G131" si="571">G43/G38</f>
        <v>#DIV/0!</v>
      </c>
      <c r="H131" s="144" t="e">
        <f t="shared" ref="H131:I131" si="572">H43/H38</f>
        <v>#DIV/0!</v>
      </c>
      <c r="I131" s="144" t="e">
        <f t="shared" si="572"/>
        <v>#DIV/0!</v>
      </c>
      <c r="J131" s="144" t="e">
        <f t="shared" ref="J131:T131" si="573">J43/J38</f>
        <v>#DIV/0!</v>
      </c>
      <c r="K131" s="144" t="e">
        <f t="shared" si="573"/>
        <v>#DIV/0!</v>
      </c>
      <c r="L131" s="144" t="e">
        <f t="shared" si="573"/>
        <v>#DIV/0!</v>
      </c>
      <c r="M131" s="144" t="e">
        <f t="shared" si="573"/>
        <v>#DIV/0!</v>
      </c>
      <c r="N131" s="144" t="e">
        <f t="shared" si="573"/>
        <v>#DIV/0!</v>
      </c>
      <c r="O131" s="144" t="e">
        <f t="shared" si="573"/>
        <v>#DIV/0!</v>
      </c>
      <c r="P131" s="144" t="e">
        <f t="shared" si="573"/>
        <v>#DIV/0!</v>
      </c>
      <c r="Q131" s="144" t="e">
        <f t="shared" si="573"/>
        <v>#DIV/0!</v>
      </c>
      <c r="R131" s="144" t="e">
        <f t="shared" si="573"/>
        <v>#DIV/0!</v>
      </c>
      <c r="S131" s="144" t="e">
        <f t="shared" si="573"/>
        <v>#DIV/0!</v>
      </c>
      <c r="T131" s="144" t="e">
        <f t="shared" si="573"/>
        <v>#DIV/0!</v>
      </c>
      <c r="U131" s="144">
        <f t="shared" ref="U131:V131" si="574">U43/U38</f>
        <v>0</v>
      </c>
      <c r="V131" s="144">
        <f t="shared" si="574"/>
        <v>0</v>
      </c>
      <c r="W131" s="101" t="e">
        <f t="shared" si="280"/>
        <v>#DIV/0!</v>
      </c>
      <c r="X131" s="10"/>
      <c r="Y131" s="144">
        <f t="shared" ref="Y131:AH131" si="575">Y43/Y38</f>
        <v>0</v>
      </c>
      <c r="Z131" s="144">
        <f t="shared" si="575"/>
        <v>0</v>
      </c>
      <c r="AA131" s="144">
        <f t="shared" si="575"/>
        <v>0</v>
      </c>
      <c r="AB131" s="144">
        <f t="shared" si="575"/>
        <v>0</v>
      </c>
      <c r="AC131" s="144">
        <f t="shared" si="575"/>
        <v>0</v>
      </c>
      <c r="AD131" s="144">
        <f t="shared" si="575"/>
        <v>0</v>
      </c>
      <c r="AE131" s="144">
        <f t="shared" si="575"/>
        <v>0</v>
      </c>
      <c r="AF131" s="144">
        <f t="shared" si="575"/>
        <v>0</v>
      </c>
      <c r="AG131" s="144">
        <f t="shared" si="575"/>
        <v>0</v>
      </c>
      <c r="AH131" s="144">
        <f t="shared" si="575"/>
        <v>0</v>
      </c>
      <c r="AI131" s="115" t="e">
        <f t="shared" si="560"/>
        <v>#DIV/0!</v>
      </c>
      <c r="AJ131" s="21">
        <f t="shared" si="463"/>
        <v>0.01</v>
      </c>
      <c r="AK131" s="123" t="e">
        <f t="shared" si="306"/>
        <v>#DIV/0!</v>
      </c>
    </row>
    <row r="132" spans="1:37" ht="12" customHeight="1" x14ac:dyDescent="0.2">
      <c r="A132" s="302"/>
      <c r="B132" s="175" t="s">
        <v>422</v>
      </c>
      <c r="C132" s="128"/>
      <c r="D132" s="128"/>
      <c r="E132" s="128"/>
      <c r="F132" s="144"/>
      <c r="G132" s="144" t="e">
        <f t="shared" ref="G132" si="576">G43/(G36+G38)</f>
        <v>#DIV/0!</v>
      </c>
      <c r="H132" s="144" t="e">
        <f t="shared" ref="H132:I132" si="577">H43/(H36+H38)</f>
        <v>#DIV/0!</v>
      </c>
      <c r="I132" s="144" t="e">
        <f t="shared" si="577"/>
        <v>#DIV/0!</v>
      </c>
      <c r="J132" s="144" t="e">
        <f t="shared" ref="J132:T132" si="578">J43/(J36+J38)</f>
        <v>#DIV/0!</v>
      </c>
      <c r="K132" s="144" t="e">
        <f t="shared" si="578"/>
        <v>#DIV/0!</v>
      </c>
      <c r="L132" s="144" t="e">
        <f t="shared" si="578"/>
        <v>#DIV/0!</v>
      </c>
      <c r="M132" s="144" t="e">
        <f t="shared" si="578"/>
        <v>#DIV/0!</v>
      </c>
      <c r="N132" s="144" t="e">
        <f t="shared" si="578"/>
        <v>#DIV/0!</v>
      </c>
      <c r="O132" s="144" t="e">
        <f t="shared" si="578"/>
        <v>#DIV/0!</v>
      </c>
      <c r="P132" s="144" t="e">
        <f t="shared" si="578"/>
        <v>#DIV/0!</v>
      </c>
      <c r="Q132" s="144" t="e">
        <f t="shared" si="578"/>
        <v>#DIV/0!</v>
      </c>
      <c r="R132" s="144" t="e">
        <f t="shared" si="578"/>
        <v>#DIV/0!</v>
      </c>
      <c r="S132" s="144" t="e">
        <f t="shared" si="578"/>
        <v>#DIV/0!</v>
      </c>
      <c r="T132" s="144" t="e">
        <f t="shared" si="578"/>
        <v>#DIV/0!</v>
      </c>
      <c r="U132" s="144">
        <f t="shared" ref="U132:V132" si="579">U43/(U36+U38)</f>
        <v>0</v>
      </c>
      <c r="V132" s="144">
        <f t="shared" si="579"/>
        <v>0</v>
      </c>
      <c r="W132" s="101" t="e">
        <f t="shared" si="280"/>
        <v>#DIV/0!</v>
      </c>
      <c r="X132" s="10"/>
      <c r="Y132" s="144">
        <f t="shared" ref="Y132:AH132" si="580">Y43/(Y36+Y38)</f>
        <v>0</v>
      </c>
      <c r="Z132" s="144">
        <f t="shared" si="580"/>
        <v>0</v>
      </c>
      <c r="AA132" s="144">
        <f t="shared" si="580"/>
        <v>0</v>
      </c>
      <c r="AB132" s="144">
        <f t="shared" si="580"/>
        <v>0</v>
      </c>
      <c r="AC132" s="144">
        <f t="shared" si="580"/>
        <v>0</v>
      </c>
      <c r="AD132" s="144">
        <f t="shared" si="580"/>
        <v>0</v>
      </c>
      <c r="AE132" s="144">
        <f t="shared" si="580"/>
        <v>0</v>
      </c>
      <c r="AF132" s="144">
        <f t="shared" si="580"/>
        <v>0</v>
      </c>
      <c r="AG132" s="144">
        <f t="shared" si="580"/>
        <v>0</v>
      </c>
      <c r="AH132" s="144">
        <f t="shared" si="580"/>
        <v>0</v>
      </c>
      <c r="AI132" s="115" t="e">
        <f>((AH132/J132)^(1/($AH$3-$K$1) ))-1</f>
        <v>#DIV/0!</v>
      </c>
      <c r="AJ132" s="21">
        <f t="shared" si="463"/>
        <v>0.01</v>
      </c>
      <c r="AK132" s="123" t="e">
        <f t="shared" si="306"/>
        <v>#DIV/0!</v>
      </c>
    </row>
    <row r="133" spans="1:37" ht="12" customHeight="1" x14ac:dyDescent="0.2">
      <c r="A133" s="302"/>
      <c r="B133" s="175" t="s">
        <v>428</v>
      </c>
      <c r="C133" s="128"/>
      <c r="D133" s="128"/>
      <c r="E133" s="128"/>
      <c r="F133" s="144"/>
      <c r="G133" s="144">
        <f t="shared" ref="G133" si="581">G49/G25</f>
        <v>0</v>
      </c>
      <c r="H133" s="144">
        <f t="shared" ref="H133:I133" si="582">H49/H25</f>
        <v>0</v>
      </c>
      <c r="I133" s="144">
        <f t="shared" si="582"/>
        <v>0</v>
      </c>
      <c r="J133" s="144">
        <f t="shared" ref="J133:T133" si="583">J49/J25</f>
        <v>0</v>
      </c>
      <c r="K133" s="144">
        <f t="shared" si="583"/>
        <v>0</v>
      </c>
      <c r="L133" s="144">
        <f t="shared" si="583"/>
        <v>0</v>
      </c>
      <c r="M133" s="144">
        <f t="shared" si="583"/>
        <v>0</v>
      </c>
      <c r="N133" s="144">
        <f t="shared" si="583"/>
        <v>0</v>
      </c>
      <c r="O133" s="144">
        <f t="shared" si="583"/>
        <v>0</v>
      </c>
      <c r="P133" s="144">
        <f t="shared" si="583"/>
        <v>0</v>
      </c>
      <c r="Q133" s="144">
        <f t="shared" si="583"/>
        <v>0</v>
      </c>
      <c r="R133" s="144">
        <f t="shared" si="583"/>
        <v>0</v>
      </c>
      <c r="S133" s="144">
        <f t="shared" si="583"/>
        <v>0</v>
      </c>
      <c r="T133" s="144">
        <f t="shared" si="583"/>
        <v>0</v>
      </c>
      <c r="U133" s="144">
        <f t="shared" ref="U133:V133" si="584">U49/U25</f>
        <v>0</v>
      </c>
      <c r="V133" s="144">
        <f t="shared" si="584"/>
        <v>0</v>
      </c>
      <c r="W133" s="101" t="e">
        <f t="shared" si="280"/>
        <v>#DIV/0!</v>
      </c>
      <c r="X133" s="10"/>
      <c r="Y133" s="144">
        <f t="shared" ref="Y133:AH133" si="585">Y49/Y25</f>
        <v>0</v>
      </c>
      <c r="Z133" s="144">
        <f t="shared" si="585"/>
        <v>0</v>
      </c>
      <c r="AA133" s="144">
        <f t="shared" si="585"/>
        <v>0</v>
      </c>
      <c r="AB133" s="144">
        <f t="shared" si="585"/>
        <v>0</v>
      </c>
      <c r="AC133" s="144">
        <f t="shared" si="585"/>
        <v>0</v>
      </c>
      <c r="AD133" s="144">
        <f t="shared" si="585"/>
        <v>0</v>
      </c>
      <c r="AE133" s="144">
        <f t="shared" si="585"/>
        <v>0</v>
      </c>
      <c r="AF133" s="144">
        <f t="shared" si="585"/>
        <v>0</v>
      </c>
      <c r="AG133" s="144">
        <f t="shared" si="585"/>
        <v>0</v>
      </c>
      <c r="AH133" s="144">
        <f t="shared" si="585"/>
        <v>0</v>
      </c>
      <c r="AI133" s="115" t="e">
        <f>((AH133/J133)^(1/($AH$3-$K$1) ))-1</f>
        <v>#DIV/0!</v>
      </c>
      <c r="AJ133" s="21">
        <f t="shared" si="463"/>
        <v>0.01</v>
      </c>
      <c r="AK133" s="123" t="e">
        <f t="shared" si="306"/>
        <v>#DIV/0!</v>
      </c>
    </row>
    <row r="134" spans="1:37" ht="12" customHeight="1" x14ac:dyDescent="0.2">
      <c r="A134" s="302"/>
      <c r="B134" s="175" t="s">
        <v>426</v>
      </c>
      <c r="C134" s="128"/>
      <c r="D134" s="128"/>
      <c r="E134" s="128"/>
      <c r="F134" s="179"/>
      <c r="G134" s="179" t="e">
        <f t="shared" ref="G134" si="586">G59/G51</f>
        <v>#DIV/0!</v>
      </c>
      <c r="H134" s="179" t="e">
        <f t="shared" ref="H134:I134" si="587">H59/H51</f>
        <v>#DIV/0!</v>
      </c>
      <c r="I134" s="179" t="e">
        <f t="shared" si="587"/>
        <v>#DIV/0!</v>
      </c>
      <c r="J134" s="179" t="e">
        <f t="shared" ref="J134:T134" si="588">J59/J51</f>
        <v>#DIV/0!</v>
      </c>
      <c r="K134" s="179" t="e">
        <f t="shared" si="588"/>
        <v>#DIV/0!</v>
      </c>
      <c r="L134" s="179" t="e">
        <f t="shared" si="588"/>
        <v>#DIV/0!</v>
      </c>
      <c r="M134" s="179" t="e">
        <f t="shared" si="588"/>
        <v>#DIV/0!</v>
      </c>
      <c r="N134" s="179" t="e">
        <f t="shared" si="588"/>
        <v>#DIV/0!</v>
      </c>
      <c r="O134" s="179" t="e">
        <f t="shared" si="588"/>
        <v>#DIV/0!</v>
      </c>
      <c r="P134" s="179" t="e">
        <f t="shared" si="588"/>
        <v>#DIV/0!</v>
      </c>
      <c r="Q134" s="179" t="e">
        <f t="shared" si="588"/>
        <v>#DIV/0!</v>
      </c>
      <c r="R134" s="179" t="e">
        <f t="shared" si="588"/>
        <v>#DIV/0!</v>
      </c>
      <c r="S134" s="179" t="e">
        <f t="shared" si="588"/>
        <v>#DIV/0!</v>
      </c>
      <c r="T134" s="179" t="e">
        <f t="shared" si="588"/>
        <v>#DIV/0!</v>
      </c>
      <c r="U134" s="179" t="e">
        <f t="shared" ref="U134:V134" si="589">U59/U51</f>
        <v>#DIV/0!</v>
      </c>
      <c r="V134" s="179" t="e">
        <f t="shared" si="589"/>
        <v>#DIV/0!</v>
      </c>
      <c r="W134" s="101" t="e">
        <f t="shared" ref="W134:W171" si="590">((V134/G134)^(1/($K$2-$K$1) ))-1</f>
        <v>#DIV/0!</v>
      </c>
      <c r="X134" s="10"/>
      <c r="Y134" s="179" t="e">
        <f t="shared" ref="Y134:AH134" si="591">Y59/Y51</f>
        <v>#DIV/0!</v>
      </c>
      <c r="Z134" s="179" t="e">
        <f t="shared" si="591"/>
        <v>#DIV/0!</v>
      </c>
      <c r="AA134" s="179" t="e">
        <f t="shared" si="591"/>
        <v>#DIV/0!</v>
      </c>
      <c r="AB134" s="179" t="e">
        <f t="shared" si="591"/>
        <v>#DIV/0!</v>
      </c>
      <c r="AC134" s="179" t="e">
        <f t="shared" si="591"/>
        <v>#DIV/0!</v>
      </c>
      <c r="AD134" s="179" t="e">
        <f t="shared" si="591"/>
        <v>#DIV/0!</v>
      </c>
      <c r="AE134" s="179" t="e">
        <f t="shared" si="591"/>
        <v>#DIV/0!</v>
      </c>
      <c r="AF134" s="179" t="e">
        <f t="shared" si="591"/>
        <v>#DIV/0!</v>
      </c>
      <c r="AG134" s="179" t="e">
        <f t="shared" si="591"/>
        <v>#DIV/0!</v>
      </c>
      <c r="AH134" s="179" t="e">
        <f t="shared" si="591"/>
        <v>#DIV/0!</v>
      </c>
      <c r="AI134" s="115" t="e">
        <f>((AH134/J134)^(1/($AH$3-$K$1) ))-1</f>
        <v>#DIV/0!</v>
      </c>
      <c r="AJ134" s="21">
        <f t="shared" si="463"/>
        <v>0.01</v>
      </c>
      <c r="AK134" s="123" t="e">
        <f t="shared" si="306"/>
        <v>#DIV/0!</v>
      </c>
    </row>
    <row r="135" spans="1:37" ht="12" customHeight="1" x14ac:dyDescent="0.2">
      <c r="A135" s="302"/>
      <c r="B135" s="175" t="s">
        <v>420</v>
      </c>
      <c r="C135" s="128"/>
      <c r="D135" s="128"/>
      <c r="E135" s="128"/>
      <c r="F135" s="144"/>
      <c r="G135" s="144" t="e">
        <f t="shared" ref="G135" si="592">G59/G43</f>
        <v>#DIV/0!</v>
      </c>
      <c r="H135" s="144" t="e">
        <f t="shared" ref="H135:I135" si="593">H59/H43</f>
        <v>#DIV/0!</v>
      </c>
      <c r="I135" s="144" t="e">
        <f t="shared" si="593"/>
        <v>#DIV/0!</v>
      </c>
      <c r="J135" s="144" t="e">
        <f t="shared" ref="J135:T135" si="594">J59/J43</f>
        <v>#DIV/0!</v>
      </c>
      <c r="K135" s="144" t="e">
        <f t="shared" si="594"/>
        <v>#DIV/0!</v>
      </c>
      <c r="L135" s="144" t="e">
        <f t="shared" si="594"/>
        <v>#DIV/0!</v>
      </c>
      <c r="M135" s="144" t="e">
        <f t="shared" si="594"/>
        <v>#DIV/0!</v>
      </c>
      <c r="N135" s="144" t="e">
        <f t="shared" si="594"/>
        <v>#DIV/0!</v>
      </c>
      <c r="O135" s="144" t="e">
        <f t="shared" si="594"/>
        <v>#DIV/0!</v>
      </c>
      <c r="P135" s="144" t="e">
        <f t="shared" si="594"/>
        <v>#DIV/0!</v>
      </c>
      <c r="Q135" s="144" t="e">
        <f t="shared" si="594"/>
        <v>#DIV/0!</v>
      </c>
      <c r="R135" s="144" t="e">
        <f t="shared" si="594"/>
        <v>#DIV/0!</v>
      </c>
      <c r="S135" s="144" t="e">
        <f t="shared" si="594"/>
        <v>#DIV/0!</v>
      </c>
      <c r="T135" s="144" t="e">
        <f t="shared" si="594"/>
        <v>#DIV/0!</v>
      </c>
      <c r="U135" s="144" t="e">
        <f t="shared" ref="U135:V135" si="595">U59/U43</f>
        <v>#DIV/0!</v>
      </c>
      <c r="V135" s="144" t="e">
        <f t="shared" si="595"/>
        <v>#DIV/0!</v>
      </c>
      <c r="W135" s="101" t="e">
        <f t="shared" si="590"/>
        <v>#DIV/0!</v>
      </c>
      <c r="X135" s="10"/>
      <c r="Y135" s="144" t="e">
        <f t="shared" ref="Y135:AH135" si="596">Y59/Y43</f>
        <v>#DIV/0!</v>
      </c>
      <c r="Z135" s="144" t="e">
        <f t="shared" si="596"/>
        <v>#DIV/0!</v>
      </c>
      <c r="AA135" s="144" t="e">
        <f t="shared" si="596"/>
        <v>#DIV/0!</v>
      </c>
      <c r="AB135" s="144" t="e">
        <f t="shared" si="596"/>
        <v>#DIV/0!</v>
      </c>
      <c r="AC135" s="144" t="e">
        <f t="shared" si="596"/>
        <v>#DIV/0!</v>
      </c>
      <c r="AD135" s="144" t="e">
        <f t="shared" si="596"/>
        <v>#DIV/0!</v>
      </c>
      <c r="AE135" s="144" t="e">
        <f t="shared" si="596"/>
        <v>#DIV/0!</v>
      </c>
      <c r="AF135" s="144" t="e">
        <f t="shared" si="596"/>
        <v>#DIV/0!</v>
      </c>
      <c r="AG135" s="144" t="e">
        <f t="shared" si="596"/>
        <v>#DIV/0!</v>
      </c>
      <c r="AH135" s="144" t="e">
        <f t="shared" si="596"/>
        <v>#DIV/0!</v>
      </c>
      <c r="AI135" s="115" t="e">
        <f t="shared" si="560"/>
        <v>#DIV/0!</v>
      </c>
      <c r="AJ135" s="21">
        <f t="shared" si="463"/>
        <v>0.01</v>
      </c>
      <c r="AK135" s="123" t="e">
        <f t="shared" si="306"/>
        <v>#DIV/0!</v>
      </c>
    </row>
    <row r="136" spans="1:37" ht="12" customHeight="1" x14ac:dyDescent="0.2">
      <c r="A136" s="302"/>
      <c r="B136" s="175" t="s">
        <v>421</v>
      </c>
      <c r="C136" s="128"/>
      <c r="D136" s="128"/>
      <c r="E136" s="128"/>
      <c r="F136" s="144"/>
      <c r="G136" s="144" t="e">
        <f t="shared" ref="G136" si="597">G59/(G36+G38)</f>
        <v>#DIV/0!</v>
      </c>
      <c r="H136" s="144" t="e">
        <f t="shared" ref="H136:I136" si="598">H59/(H36+H38)</f>
        <v>#DIV/0!</v>
      </c>
      <c r="I136" s="144" t="e">
        <f t="shared" si="598"/>
        <v>#DIV/0!</v>
      </c>
      <c r="J136" s="144" t="e">
        <f t="shared" ref="J136:T136" si="599">J59/(J36+J38)</f>
        <v>#DIV/0!</v>
      </c>
      <c r="K136" s="144" t="e">
        <f t="shared" si="599"/>
        <v>#DIV/0!</v>
      </c>
      <c r="L136" s="144" t="e">
        <f t="shared" si="599"/>
        <v>#DIV/0!</v>
      </c>
      <c r="M136" s="144" t="e">
        <f t="shared" si="599"/>
        <v>#DIV/0!</v>
      </c>
      <c r="N136" s="144" t="e">
        <f t="shared" si="599"/>
        <v>#DIV/0!</v>
      </c>
      <c r="O136" s="144" t="e">
        <f t="shared" si="599"/>
        <v>#DIV/0!</v>
      </c>
      <c r="P136" s="144" t="e">
        <f t="shared" si="599"/>
        <v>#DIV/0!</v>
      </c>
      <c r="Q136" s="144" t="e">
        <f t="shared" si="599"/>
        <v>#DIV/0!</v>
      </c>
      <c r="R136" s="144" t="e">
        <f t="shared" si="599"/>
        <v>#DIV/0!</v>
      </c>
      <c r="S136" s="144" t="e">
        <f t="shared" si="599"/>
        <v>#DIV/0!</v>
      </c>
      <c r="T136" s="144" t="e">
        <f t="shared" si="599"/>
        <v>#DIV/0!</v>
      </c>
      <c r="U136" s="144">
        <f t="shared" ref="U136:V136" si="600">U59/(U36+U38)</f>
        <v>286</v>
      </c>
      <c r="V136" s="144">
        <f t="shared" si="600"/>
        <v>296</v>
      </c>
      <c r="W136" s="101" t="e">
        <f t="shared" si="590"/>
        <v>#DIV/0!</v>
      </c>
      <c r="X136" s="10"/>
      <c r="Y136" s="144">
        <f t="shared" ref="Y136:AH136" si="601">Y59/(Y36+Y38)</f>
        <v>286</v>
      </c>
      <c r="Z136" s="144">
        <f t="shared" si="601"/>
        <v>286</v>
      </c>
      <c r="AA136" s="144">
        <f t="shared" si="601"/>
        <v>286</v>
      </c>
      <c r="AB136" s="144">
        <f t="shared" si="601"/>
        <v>286</v>
      </c>
      <c r="AC136" s="144">
        <f t="shared" si="601"/>
        <v>285.99999999999994</v>
      </c>
      <c r="AD136" s="144">
        <f t="shared" si="601"/>
        <v>286</v>
      </c>
      <c r="AE136" s="144">
        <f t="shared" si="601"/>
        <v>286</v>
      </c>
      <c r="AF136" s="144">
        <f t="shared" si="601"/>
        <v>286</v>
      </c>
      <c r="AG136" s="144">
        <f t="shared" si="601"/>
        <v>286</v>
      </c>
      <c r="AH136" s="144">
        <f t="shared" si="601"/>
        <v>286</v>
      </c>
      <c r="AI136" s="115" t="e">
        <f t="shared" si="560"/>
        <v>#DIV/0!</v>
      </c>
      <c r="AJ136" s="21">
        <f t="shared" si="463"/>
        <v>0.01</v>
      </c>
      <c r="AK136" s="123" t="e">
        <f t="shared" si="306"/>
        <v>#DIV/0!</v>
      </c>
    </row>
    <row r="137" spans="1:37" ht="12" customHeight="1" x14ac:dyDescent="0.2">
      <c r="B137" s="10"/>
      <c r="C137" s="128"/>
      <c r="D137" s="128"/>
      <c r="E137" s="128"/>
      <c r="F137" s="144"/>
      <c r="G137" s="144"/>
      <c r="H137" s="144"/>
      <c r="I137" s="144"/>
      <c r="J137" s="144"/>
      <c r="K137" s="144"/>
      <c r="L137" s="144"/>
      <c r="M137" s="144"/>
      <c r="N137" s="144"/>
      <c r="O137" s="144"/>
      <c r="P137" s="144"/>
      <c r="Q137" s="144"/>
      <c r="R137" s="144"/>
      <c r="S137" s="144"/>
      <c r="T137" s="144"/>
      <c r="U137" s="121"/>
      <c r="V137" s="121"/>
      <c r="W137" s="101" t="e">
        <f t="shared" si="590"/>
        <v>#DIV/0!</v>
      </c>
      <c r="X137" s="10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77"/>
      <c r="AJ137" s="123"/>
      <c r="AK137" s="123"/>
    </row>
    <row r="138" spans="1:37" x14ac:dyDescent="0.2">
      <c r="B138" s="10" t="s">
        <v>270</v>
      </c>
      <c r="C138" s="128"/>
      <c r="D138" s="128"/>
      <c r="E138" s="128"/>
      <c r="F138" s="136"/>
      <c r="G138" s="136">
        <f t="shared" ref="G138" si="602">G10-(G12+G13)</f>
        <v>986</v>
      </c>
      <c r="H138" s="136">
        <f t="shared" ref="H138:I138" si="603">H10-(H12+H13)</f>
        <v>1178</v>
      </c>
      <c r="I138" s="136">
        <f t="shared" si="603"/>
        <v>1569</v>
      </c>
      <c r="J138" s="136">
        <f t="shared" ref="J138:T138" si="604">J10-(J12+J13)</f>
        <v>1718</v>
      </c>
      <c r="K138" s="136">
        <f t="shared" si="604"/>
        <v>1657</v>
      </c>
      <c r="L138" s="136">
        <f t="shared" si="604"/>
        <v>1616</v>
      </c>
      <c r="M138" s="136">
        <f t="shared" si="604"/>
        <v>1816</v>
      </c>
      <c r="N138" s="136">
        <f t="shared" si="604"/>
        <v>1484</v>
      </c>
      <c r="O138" s="136">
        <f t="shared" si="604"/>
        <v>1949</v>
      </c>
      <c r="P138" s="136">
        <f t="shared" si="604"/>
        <v>3048</v>
      </c>
      <c r="Q138" s="136">
        <f t="shared" si="604"/>
        <v>4671</v>
      </c>
      <c r="R138" s="136">
        <f t="shared" si="604"/>
        <v>6918</v>
      </c>
      <c r="S138" s="136">
        <f t="shared" si="604"/>
        <v>8594</v>
      </c>
      <c r="T138" s="136">
        <f t="shared" si="604"/>
        <v>11082</v>
      </c>
      <c r="U138" s="136">
        <f t="shared" ref="U138:V138" si="605">U10-(U12+U13)</f>
        <v>13886</v>
      </c>
      <c r="V138" s="136">
        <f t="shared" si="605"/>
        <v>16258</v>
      </c>
      <c r="W138" s="101">
        <f t="shared" si="590"/>
        <v>0.20544115215052283</v>
      </c>
      <c r="X138" s="10"/>
      <c r="Y138" s="136">
        <f t="shared" ref="Y138:AH138" si="606">Y10-(Y12+Y13)</f>
        <v>15968.9</v>
      </c>
      <c r="Z138" s="136">
        <f t="shared" si="606"/>
        <v>18364.235000000001</v>
      </c>
      <c r="AA138" s="136">
        <f t="shared" si="606"/>
        <v>21118.870249999996</v>
      </c>
      <c r="AB138" s="136">
        <f t="shared" si="606"/>
        <v>24286.700787499994</v>
      </c>
      <c r="AC138" s="136">
        <f t="shared" si="606"/>
        <v>27929.705905624993</v>
      </c>
      <c r="AD138" s="136">
        <f t="shared" si="606"/>
        <v>32119.161791468738</v>
      </c>
      <c r="AE138" s="136">
        <f t="shared" si="606"/>
        <v>36937.036060189042</v>
      </c>
      <c r="AF138" s="136">
        <f t="shared" si="606"/>
        <v>42477.591469217397</v>
      </c>
      <c r="AG138" s="136">
        <f t="shared" si="606"/>
        <v>48849.230189600006</v>
      </c>
      <c r="AH138" s="136">
        <f t="shared" si="606"/>
        <v>56176.61471804</v>
      </c>
      <c r="AI138" s="115">
        <f t="shared" si="462"/>
        <v>0.14969143564442677</v>
      </c>
      <c r="AJ138" s="21">
        <f t="shared" si="463"/>
        <v>0.01</v>
      </c>
      <c r="AK138" s="123" t="e">
        <f t="shared" si="306"/>
        <v>#DIV/0!</v>
      </c>
    </row>
    <row r="139" spans="1:37" ht="12" customHeight="1" x14ac:dyDescent="0.2">
      <c r="B139" s="10" t="s">
        <v>265</v>
      </c>
      <c r="C139" s="10"/>
      <c r="D139" s="10"/>
      <c r="E139" s="10"/>
      <c r="F139" s="128"/>
      <c r="G139" s="128">
        <f t="shared" ref="G139" si="607">G59/G18</f>
        <v>6.666666666666667</v>
      </c>
      <c r="H139" s="128">
        <f t="shared" ref="H139:I139" si="608">H59/H18</f>
        <v>7</v>
      </c>
      <c r="I139" s="128">
        <f t="shared" si="608"/>
        <v>9</v>
      </c>
      <c r="J139" s="128">
        <f t="shared" ref="J139:T139" si="609">J59/J18</f>
        <v>10</v>
      </c>
      <c r="K139" s="128">
        <f t="shared" si="609"/>
        <v>9.3333333333333339</v>
      </c>
      <c r="L139" s="128">
        <f t="shared" si="609"/>
        <v>15.5</v>
      </c>
      <c r="M139" s="128">
        <f t="shared" si="609"/>
        <v>19.5</v>
      </c>
      <c r="N139" s="128">
        <f t="shared" si="609"/>
        <v>21</v>
      </c>
      <c r="O139" s="128">
        <f t="shared" si="609"/>
        <v>14.333333333333334</v>
      </c>
      <c r="P139" s="128">
        <f t="shared" si="609"/>
        <v>9</v>
      </c>
      <c r="Q139" s="128">
        <f t="shared" si="609"/>
        <v>10.714285714285714</v>
      </c>
      <c r="R139" s="128">
        <f t="shared" si="609"/>
        <v>9.5555555555555554</v>
      </c>
      <c r="S139" s="128">
        <f t="shared" si="609"/>
        <v>19.625</v>
      </c>
      <c r="T139" s="128">
        <f t="shared" si="609"/>
        <v>23.5</v>
      </c>
      <c r="U139" s="128">
        <f t="shared" ref="U139:V139" si="610">U59/U18</f>
        <v>31.777777777777779</v>
      </c>
      <c r="V139" s="128">
        <f t="shared" si="610"/>
        <v>32.888888888888886</v>
      </c>
      <c r="W139" s="101">
        <f t="shared" si="590"/>
        <v>0.11226779848122681</v>
      </c>
      <c r="X139" s="10"/>
      <c r="Y139" s="128">
        <f t="shared" ref="Y139:AH139" si="611">Y59/Y18</f>
        <v>31.777777777777775</v>
      </c>
      <c r="Z139" s="128">
        <f t="shared" si="611"/>
        <v>31.777777777777779</v>
      </c>
      <c r="AA139" s="128">
        <f t="shared" si="611"/>
        <v>31.777777777777779</v>
      </c>
      <c r="AB139" s="128">
        <f t="shared" si="611"/>
        <v>31.777777777777779</v>
      </c>
      <c r="AC139" s="128">
        <f t="shared" si="611"/>
        <v>31.777777777777779</v>
      </c>
      <c r="AD139" s="128">
        <f t="shared" si="611"/>
        <v>31.777777777777779</v>
      </c>
      <c r="AE139" s="128">
        <f t="shared" si="611"/>
        <v>31.777777777777779</v>
      </c>
      <c r="AF139" s="128">
        <f t="shared" si="611"/>
        <v>31.777777777777782</v>
      </c>
      <c r="AG139" s="128">
        <f t="shared" si="611"/>
        <v>31.777777777777782</v>
      </c>
      <c r="AH139" s="128">
        <f t="shared" si="611"/>
        <v>31.777777777777782</v>
      </c>
      <c r="AI139" s="115">
        <f t="shared" si="462"/>
        <v>4.7333369418432802E-2</v>
      </c>
      <c r="AJ139" s="21">
        <f t="shared" si="463"/>
        <v>0.01</v>
      </c>
      <c r="AK139" s="123" t="e">
        <f t="shared" ref="AK139:AK171" si="612">(AH139*(1+AJ139))/($O$1-AJ139)</f>
        <v>#DIV/0!</v>
      </c>
    </row>
    <row r="140" spans="1:37" x14ac:dyDescent="0.2">
      <c r="B140" s="10" t="s">
        <v>266</v>
      </c>
      <c r="C140" s="10"/>
      <c r="D140" s="10"/>
      <c r="E140" s="10"/>
      <c r="F140" s="128"/>
      <c r="G140" s="128">
        <f t="shared" ref="G140" si="613">G59/G25</f>
        <v>0.15625</v>
      </c>
      <c r="H140" s="128">
        <f t="shared" ref="H140:I140" si="614">H59/H25</f>
        <v>0.16535433070866143</v>
      </c>
      <c r="I140" s="128">
        <f t="shared" si="614"/>
        <v>0.18243243243243243</v>
      </c>
      <c r="J140" s="128">
        <f t="shared" ref="J140:T140" si="615">J59/J25</f>
        <v>0.15789473684210525</v>
      </c>
      <c r="K140" s="128">
        <f t="shared" si="615"/>
        <v>0.12669683257918551</v>
      </c>
      <c r="L140" s="128">
        <f t="shared" si="615"/>
        <v>0.13901345291479822</v>
      </c>
      <c r="M140" s="128">
        <f t="shared" si="615"/>
        <v>0.18055555555555555</v>
      </c>
      <c r="N140" s="128">
        <f t="shared" si="615"/>
        <v>0.18340611353711792</v>
      </c>
      <c r="O140" s="128">
        <f t="shared" si="615"/>
        <v>0.15412186379928317</v>
      </c>
      <c r="P140" s="128">
        <f t="shared" si="615"/>
        <v>0.13775510204081631</v>
      </c>
      <c r="Q140" s="128">
        <f t="shared" si="615"/>
        <v>0.12975778546712802</v>
      </c>
      <c r="R140" s="128">
        <f t="shared" si="615"/>
        <v>0.10526315789473684</v>
      </c>
      <c r="S140" s="128">
        <f t="shared" si="615"/>
        <v>0.14496768236380425</v>
      </c>
      <c r="T140" s="128">
        <f t="shared" si="615"/>
        <v>0.1736881005173688</v>
      </c>
      <c r="U140" s="128">
        <f t="shared" ref="U140:V140" si="616">U59/U25</f>
        <v>0.18803418803418803</v>
      </c>
      <c r="V140" s="128">
        <f t="shared" si="616"/>
        <v>0.170999422299249</v>
      </c>
      <c r="W140" s="101">
        <f t="shared" si="590"/>
        <v>6.0316435134173396E-3</v>
      </c>
      <c r="X140" s="10"/>
      <c r="Y140" s="128">
        <f t="shared" ref="Y140:AH140" si="617">Y59/Y25</f>
        <v>0.18803418803418803</v>
      </c>
      <c r="Z140" s="128">
        <f t="shared" si="617"/>
        <v>0.18803418803418806</v>
      </c>
      <c r="AA140" s="128">
        <f t="shared" si="617"/>
        <v>0.18803418803418806</v>
      </c>
      <c r="AB140" s="128">
        <f t="shared" si="617"/>
        <v>0.18803418803418806</v>
      </c>
      <c r="AC140" s="128">
        <f t="shared" si="617"/>
        <v>0.18803418803418803</v>
      </c>
      <c r="AD140" s="128">
        <f t="shared" si="617"/>
        <v>0.18803418803418803</v>
      </c>
      <c r="AE140" s="128">
        <f t="shared" si="617"/>
        <v>0.18803418803418803</v>
      </c>
      <c r="AF140" s="128">
        <f t="shared" si="617"/>
        <v>0.18803418803418803</v>
      </c>
      <c r="AG140" s="128">
        <f t="shared" si="617"/>
        <v>0.18803418803418806</v>
      </c>
      <c r="AH140" s="128">
        <f t="shared" si="617"/>
        <v>0.18803418803418806</v>
      </c>
      <c r="AI140" s="115">
        <f t="shared" si="462"/>
        <v>7.0122800631871041E-3</v>
      </c>
      <c r="AJ140" s="21">
        <f t="shared" si="463"/>
        <v>0.01</v>
      </c>
      <c r="AK140" s="123" t="e">
        <f t="shared" si="612"/>
        <v>#DIV/0!</v>
      </c>
    </row>
    <row r="141" spans="1:37" x14ac:dyDescent="0.2">
      <c r="B141" s="10" t="s">
        <v>290</v>
      </c>
      <c r="C141" s="10"/>
      <c r="D141" s="10"/>
      <c r="E141" s="128"/>
      <c r="F141" s="128"/>
      <c r="G141" s="128">
        <f t="shared" ref="G141" si="618">G25/G18</f>
        <v>42.666666666666664</v>
      </c>
      <c r="H141" s="128">
        <f t="shared" ref="H141:I141" si="619">H25/H18</f>
        <v>42.333333333333336</v>
      </c>
      <c r="I141" s="128">
        <f t="shared" si="619"/>
        <v>49.333333333333336</v>
      </c>
      <c r="J141" s="128">
        <f t="shared" ref="J141:T141" si="620">J25/J18</f>
        <v>63.333333333333336</v>
      </c>
      <c r="K141" s="128">
        <f t="shared" si="620"/>
        <v>73.666666666666671</v>
      </c>
      <c r="L141" s="128">
        <f t="shared" si="620"/>
        <v>111.5</v>
      </c>
      <c r="M141" s="128">
        <f t="shared" si="620"/>
        <v>108</v>
      </c>
      <c r="N141" s="128">
        <f t="shared" si="620"/>
        <v>114.5</v>
      </c>
      <c r="O141" s="128">
        <f t="shared" si="620"/>
        <v>93</v>
      </c>
      <c r="P141" s="128">
        <f t="shared" si="620"/>
        <v>65.333333333333329</v>
      </c>
      <c r="Q141" s="128">
        <f t="shared" si="620"/>
        <v>82.571428571428569</v>
      </c>
      <c r="R141" s="128">
        <f t="shared" si="620"/>
        <v>90.777777777777771</v>
      </c>
      <c r="S141" s="128">
        <f t="shared" si="620"/>
        <v>135.375</v>
      </c>
      <c r="T141" s="128">
        <f t="shared" si="620"/>
        <v>135.30000000000001</v>
      </c>
      <c r="U141" s="128">
        <f t="shared" ref="U141:V141" si="621">U25/U18</f>
        <v>169</v>
      </c>
      <c r="V141" s="128">
        <f t="shared" si="621"/>
        <v>192.33333333333334</v>
      </c>
      <c r="W141" s="101">
        <f t="shared" si="590"/>
        <v>0.10559921812876127</v>
      </c>
      <c r="X141" s="10"/>
      <c r="Y141" s="128">
        <f t="shared" ref="Y141:AH141" si="622">Y25/Y18</f>
        <v>169</v>
      </c>
      <c r="Z141" s="128">
        <f t="shared" si="622"/>
        <v>169</v>
      </c>
      <c r="AA141" s="128">
        <f t="shared" si="622"/>
        <v>169</v>
      </c>
      <c r="AB141" s="128">
        <f t="shared" si="622"/>
        <v>169</v>
      </c>
      <c r="AC141" s="128">
        <f t="shared" si="622"/>
        <v>169</v>
      </c>
      <c r="AD141" s="128">
        <f t="shared" si="622"/>
        <v>169</v>
      </c>
      <c r="AE141" s="128">
        <f t="shared" si="622"/>
        <v>169.00000000000003</v>
      </c>
      <c r="AF141" s="128">
        <f t="shared" si="622"/>
        <v>169.00000000000003</v>
      </c>
      <c r="AG141" s="128">
        <f t="shared" si="622"/>
        <v>169</v>
      </c>
      <c r="AH141" s="128">
        <f t="shared" si="622"/>
        <v>169</v>
      </c>
      <c r="AI141" s="115">
        <f t="shared" si="462"/>
        <v>4.0040315449495489E-2</v>
      </c>
      <c r="AJ141" s="21">
        <f t="shared" si="463"/>
        <v>0.01</v>
      </c>
      <c r="AK141" s="123" t="e">
        <f t="shared" si="612"/>
        <v>#DIV/0!</v>
      </c>
    </row>
    <row r="142" spans="1:37" x14ac:dyDescent="0.2">
      <c r="B142" s="10"/>
      <c r="C142" s="10"/>
      <c r="D142" s="10"/>
      <c r="E142" s="10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1"/>
      <c r="V142" s="121"/>
      <c r="W142" s="101" t="e">
        <f t="shared" si="590"/>
        <v>#DIV/0!</v>
      </c>
      <c r="X142" s="10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09"/>
      <c r="AJ142" s="123"/>
      <c r="AK142" s="123"/>
    </row>
    <row r="143" spans="1:37" x14ac:dyDescent="0.2">
      <c r="B143" s="10" t="s">
        <v>278</v>
      </c>
      <c r="C143" s="10"/>
      <c r="D143" s="10"/>
      <c r="E143" s="138"/>
      <c r="F143" s="138"/>
      <c r="G143" s="138">
        <f t="shared" ref="G143" si="623">G92*G61</f>
        <v>0.20400000000000001</v>
      </c>
      <c r="H143" s="138">
        <f t="shared" ref="H143:I143" si="624">H92*H61</f>
        <v>0</v>
      </c>
      <c r="I143" s="138">
        <f t="shared" si="624"/>
        <v>0</v>
      </c>
      <c r="J143" s="138">
        <f t="shared" ref="J143:T143" si="625">J92*J61</f>
        <v>0</v>
      </c>
      <c r="K143" s="138">
        <f t="shared" si="625"/>
        <v>0</v>
      </c>
      <c r="L143" s="138">
        <f t="shared" si="625"/>
        <v>0</v>
      </c>
      <c r="M143" s="138">
        <f t="shared" si="625"/>
        <v>0</v>
      </c>
      <c r="N143" s="138">
        <f t="shared" si="625"/>
        <v>0</v>
      </c>
      <c r="O143" s="138">
        <f t="shared" si="625"/>
        <v>0</v>
      </c>
      <c r="P143" s="138">
        <f t="shared" si="625"/>
        <v>0</v>
      </c>
      <c r="Q143" s="138">
        <f t="shared" si="625"/>
        <v>0</v>
      </c>
      <c r="R143" s="138">
        <f t="shared" si="625"/>
        <v>0</v>
      </c>
      <c r="S143" s="138">
        <f t="shared" si="625"/>
        <v>0</v>
      </c>
      <c r="T143" s="138">
        <f t="shared" si="625"/>
        <v>0</v>
      </c>
      <c r="U143" s="138">
        <f t="shared" ref="U143:V143" si="626">U92*U61</f>
        <v>0</v>
      </c>
      <c r="V143" s="138">
        <f t="shared" si="626"/>
        <v>13.31</v>
      </c>
      <c r="W143" s="101">
        <f t="shared" si="590"/>
        <v>0.32120393714024642</v>
      </c>
      <c r="X143" s="10"/>
      <c r="Y143" s="138">
        <f t="shared" ref="Y143:AH143" si="627">Y92*Y61</f>
        <v>0</v>
      </c>
      <c r="Z143" s="138">
        <f t="shared" si="627"/>
        <v>0</v>
      </c>
      <c r="AA143" s="138">
        <f t="shared" si="627"/>
        <v>0</v>
      </c>
      <c r="AB143" s="138">
        <f t="shared" si="627"/>
        <v>0</v>
      </c>
      <c r="AC143" s="138">
        <f t="shared" si="627"/>
        <v>0</v>
      </c>
      <c r="AD143" s="138">
        <f t="shared" si="627"/>
        <v>0</v>
      </c>
      <c r="AE143" s="138">
        <f t="shared" si="627"/>
        <v>0</v>
      </c>
      <c r="AF143" s="138">
        <f t="shared" si="627"/>
        <v>0</v>
      </c>
      <c r="AG143" s="138">
        <f t="shared" si="627"/>
        <v>0</v>
      </c>
      <c r="AH143" s="138">
        <f t="shared" si="627"/>
        <v>0</v>
      </c>
      <c r="AI143" s="115" t="e">
        <f t="shared" si="462"/>
        <v>#DIV/0!</v>
      </c>
      <c r="AJ143" s="21">
        <f t="shared" si="463"/>
        <v>0.01</v>
      </c>
      <c r="AK143" s="123" t="e">
        <f t="shared" si="612"/>
        <v>#DIV/0!</v>
      </c>
    </row>
    <row r="144" spans="1:37" x14ac:dyDescent="0.2">
      <c r="B144" s="10" t="s">
        <v>279</v>
      </c>
      <c r="C144" s="10"/>
      <c r="D144" s="10"/>
      <c r="E144" s="138"/>
      <c r="F144" s="138"/>
      <c r="G144" s="138">
        <f t="shared" ref="G144" si="628">(G143*0.17)+G143</f>
        <v>0.23868</v>
      </c>
      <c r="H144" s="138">
        <f t="shared" ref="H144:I144" si="629">(H143*0.17)+H143</f>
        <v>0</v>
      </c>
      <c r="I144" s="138">
        <f t="shared" si="629"/>
        <v>0</v>
      </c>
      <c r="J144" s="138">
        <f t="shared" ref="J144:S144" si="630">(J143*0.17)+J143</f>
        <v>0</v>
      </c>
      <c r="K144" s="138">
        <f t="shared" si="630"/>
        <v>0</v>
      </c>
      <c r="L144" s="138">
        <f t="shared" si="630"/>
        <v>0</v>
      </c>
      <c r="M144" s="138">
        <f t="shared" si="630"/>
        <v>0</v>
      </c>
      <c r="N144" s="138">
        <f t="shared" si="630"/>
        <v>0</v>
      </c>
      <c r="O144" s="138">
        <f t="shared" si="630"/>
        <v>0</v>
      </c>
      <c r="P144" s="138">
        <f t="shared" si="630"/>
        <v>0</v>
      </c>
      <c r="Q144" s="138">
        <f t="shared" si="630"/>
        <v>0</v>
      </c>
      <c r="R144" s="138">
        <f t="shared" si="630"/>
        <v>0</v>
      </c>
      <c r="S144" s="138">
        <f t="shared" si="630"/>
        <v>0</v>
      </c>
      <c r="T144" s="138">
        <f t="shared" ref="T144:U144" si="631">(T143*0.17)+T143</f>
        <v>0</v>
      </c>
      <c r="U144" s="138">
        <f t="shared" si="631"/>
        <v>0</v>
      </c>
      <c r="V144" s="138">
        <f t="shared" ref="V144" si="632">(V143*0.17)+V143</f>
        <v>15.572700000000001</v>
      </c>
      <c r="W144" s="101">
        <f t="shared" si="590"/>
        <v>0.32120393714024642</v>
      </c>
      <c r="X144" s="10"/>
      <c r="Y144" s="138">
        <f t="shared" ref="Y144:AH144" si="633">(Y143*0.17)+Y143</f>
        <v>0</v>
      </c>
      <c r="Z144" s="138">
        <f t="shared" si="633"/>
        <v>0</v>
      </c>
      <c r="AA144" s="138">
        <f t="shared" si="633"/>
        <v>0</v>
      </c>
      <c r="AB144" s="138">
        <f t="shared" si="633"/>
        <v>0</v>
      </c>
      <c r="AC144" s="138">
        <f t="shared" si="633"/>
        <v>0</v>
      </c>
      <c r="AD144" s="138">
        <f t="shared" si="633"/>
        <v>0</v>
      </c>
      <c r="AE144" s="138">
        <f t="shared" si="633"/>
        <v>0</v>
      </c>
      <c r="AF144" s="138">
        <f t="shared" si="633"/>
        <v>0</v>
      </c>
      <c r="AG144" s="138">
        <f t="shared" si="633"/>
        <v>0</v>
      </c>
      <c r="AH144" s="138">
        <f t="shared" si="633"/>
        <v>0</v>
      </c>
      <c r="AI144" s="115" t="e">
        <f t="shared" si="462"/>
        <v>#DIV/0!</v>
      </c>
      <c r="AJ144" s="21">
        <f t="shared" si="463"/>
        <v>0.01</v>
      </c>
      <c r="AK144" s="123" t="e">
        <f t="shared" si="612"/>
        <v>#DIV/0!</v>
      </c>
    </row>
    <row r="145" spans="2:37" x14ac:dyDescent="0.2">
      <c r="B145" s="10" t="s">
        <v>280</v>
      </c>
      <c r="C145" s="10"/>
      <c r="D145" s="10"/>
      <c r="E145" s="10"/>
      <c r="F145" s="128"/>
      <c r="G145" s="128">
        <f t="shared" ref="G145" si="634">G144/G59</f>
        <v>1.1934E-2</v>
      </c>
      <c r="H145" s="128">
        <f t="shared" ref="H145:I145" si="635">H144/H59</f>
        <v>0</v>
      </c>
      <c r="I145" s="128">
        <f t="shared" si="635"/>
        <v>0</v>
      </c>
      <c r="J145" s="128">
        <f t="shared" ref="J145:T145" si="636">J144/J59</f>
        <v>0</v>
      </c>
      <c r="K145" s="128">
        <f t="shared" si="636"/>
        <v>0</v>
      </c>
      <c r="L145" s="128">
        <f t="shared" si="636"/>
        <v>0</v>
      </c>
      <c r="M145" s="128">
        <f t="shared" si="636"/>
        <v>0</v>
      </c>
      <c r="N145" s="128">
        <f t="shared" si="636"/>
        <v>0</v>
      </c>
      <c r="O145" s="128">
        <f t="shared" si="636"/>
        <v>0</v>
      </c>
      <c r="P145" s="128">
        <f t="shared" si="636"/>
        <v>0</v>
      </c>
      <c r="Q145" s="128">
        <f t="shared" si="636"/>
        <v>0</v>
      </c>
      <c r="R145" s="128">
        <f t="shared" si="636"/>
        <v>0</v>
      </c>
      <c r="S145" s="128">
        <f t="shared" si="636"/>
        <v>0</v>
      </c>
      <c r="T145" s="128">
        <f t="shared" si="636"/>
        <v>0</v>
      </c>
      <c r="U145" s="128">
        <f t="shared" ref="U145:V145" si="637">U144/U59</f>
        <v>0</v>
      </c>
      <c r="V145" s="128">
        <f t="shared" si="637"/>
        <v>5.2610472972972978E-2</v>
      </c>
      <c r="W145" s="101">
        <f t="shared" si="590"/>
        <v>0.10395764540729768</v>
      </c>
      <c r="X145" s="10"/>
      <c r="Y145" s="128">
        <f t="shared" ref="Y145:AH145" si="638">Y144/Y59</f>
        <v>0</v>
      </c>
      <c r="Z145" s="128">
        <f t="shared" si="638"/>
        <v>0</v>
      </c>
      <c r="AA145" s="128">
        <f t="shared" si="638"/>
        <v>0</v>
      </c>
      <c r="AB145" s="128">
        <f t="shared" si="638"/>
        <v>0</v>
      </c>
      <c r="AC145" s="128">
        <f t="shared" si="638"/>
        <v>0</v>
      </c>
      <c r="AD145" s="128">
        <f t="shared" si="638"/>
        <v>0</v>
      </c>
      <c r="AE145" s="128">
        <f t="shared" si="638"/>
        <v>0</v>
      </c>
      <c r="AF145" s="128">
        <f t="shared" si="638"/>
        <v>0</v>
      </c>
      <c r="AG145" s="128">
        <f t="shared" si="638"/>
        <v>0</v>
      </c>
      <c r="AH145" s="128">
        <f t="shared" si="638"/>
        <v>0</v>
      </c>
      <c r="AI145" s="115" t="e">
        <f t="shared" si="462"/>
        <v>#DIV/0!</v>
      </c>
      <c r="AJ145" s="21">
        <f t="shared" si="463"/>
        <v>0.01</v>
      </c>
      <c r="AK145" s="123" t="e">
        <f t="shared" si="612"/>
        <v>#DIV/0!</v>
      </c>
    </row>
    <row r="146" spans="2:37" x14ac:dyDescent="0.2">
      <c r="B146" s="10" t="s">
        <v>273</v>
      </c>
      <c r="C146" s="10"/>
      <c r="D146" s="10"/>
      <c r="E146" s="10"/>
      <c r="F146" s="128"/>
      <c r="G146" s="128">
        <f t="shared" ref="G146" si="639">1-G145</f>
        <v>0.988066</v>
      </c>
      <c r="H146" s="128">
        <f t="shared" ref="H146:I146" si="640">1-H145</f>
        <v>1</v>
      </c>
      <c r="I146" s="128">
        <f t="shared" si="640"/>
        <v>1</v>
      </c>
      <c r="J146" s="128">
        <f>1-J145</f>
        <v>1</v>
      </c>
      <c r="K146" s="128">
        <f t="shared" ref="K146:S146" si="641">1-K145</f>
        <v>1</v>
      </c>
      <c r="L146" s="128">
        <f t="shared" si="641"/>
        <v>1</v>
      </c>
      <c r="M146" s="128">
        <f t="shared" si="641"/>
        <v>1</v>
      </c>
      <c r="N146" s="128">
        <f t="shared" si="641"/>
        <v>1</v>
      </c>
      <c r="O146" s="128">
        <f t="shared" si="641"/>
        <v>1</v>
      </c>
      <c r="P146" s="128">
        <f t="shared" si="641"/>
        <v>1</v>
      </c>
      <c r="Q146" s="128">
        <f t="shared" si="641"/>
        <v>1</v>
      </c>
      <c r="R146" s="128">
        <f t="shared" si="641"/>
        <v>1</v>
      </c>
      <c r="S146" s="128">
        <f t="shared" si="641"/>
        <v>1</v>
      </c>
      <c r="T146" s="128">
        <f t="shared" ref="T146:U146" si="642">1-T145</f>
        <v>1</v>
      </c>
      <c r="U146" s="128">
        <f t="shared" si="642"/>
        <v>1</v>
      </c>
      <c r="V146" s="128">
        <f t="shared" ref="V146" si="643">1-V145</f>
        <v>0.94738952702702706</v>
      </c>
      <c r="W146" s="101">
        <f t="shared" si="590"/>
        <v>-2.7986870957825705E-3</v>
      </c>
      <c r="X146" s="10"/>
      <c r="Y146" s="128">
        <f t="shared" ref="Y146:AH146" si="644">1-Y145</f>
        <v>1</v>
      </c>
      <c r="Z146" s="128">
        <f t="shared" si="644"/>
        <v>1</v>
      </c>
      <c r="AA146" s="128">
        <f t="shared" si="644"/>
        <v>1</v>
      </c>
      <c r="AB146" s="128">
        <f t="shared" si="644"/>
        <v>1</v>
      </c>
      <c r="AC146" s="128">
        <f t="shared" si="644"/>
        <v>1</v>
      </c>
      <c r="AD146" s="128">
        <f t="shared" si="644"/>
        <v>1</v>
      </c>
      <c r="AE146" s="128">
        <f t="shared" si="644"/>
        <v>1</v>
      </c>
      <c r="AF146" s="128">
        <f t="shared" si="644"/>
        <v>1</v>
      </c>
      <c r="AG146" s="128">
        <f t="shared" si="644"/>
        <v>1</v>
      </c>
      <c r="AH146" s="128">
        <f t="shared" si="644"/>
        <v>1</v>
      </c>
      <c r="AI146" s="115">
        <f t="shared" si="462"/>
        <v>0</v>
      </c>
      <c r="AJ146" s="21">
        <f t="shared" si="463"/>
        <v>0.01</v>
      </c>
      <c r="AK146" s="123" t="e">
        <f t="shared" si="612"/>
        <v>#DIV/0!</v>
      </c>
    </row>
    <row r="147" spans="2:37" x14ac:dyDescent="0.2">
      <c r="B147" s="10" t="s">
        <v>392</v>
      </c>
      <c r="C147" s="10"/>
      <c r="D147" s="10"/>
      <c r="E147" s="10"/>
      <c r="F147" s="128"/>
      <c r="G147" s="128" t="e">
        <f t="shared" ref="G147" si="645">G144/G20</f>
        <v>#DIV/0!</v>
      </c>
      <c r="H147" s="128" t="e">
        <f t="shared" ref="H147:I147" si="646">H144/H20</f>
        <v>#DIV/0!</v>
      </c>
      <c r="I147" s="128" t="e">
        <f t="shared" si="646"/>
        <v>#DIV/0!</v>
      </c>
      <c r="J147" s="128" t="e">
        <f t="shared" ref="J147:T147" si="647">J144/J20</f>
        <v>#DIV/0!</v>
      </c>
      <c r="K147" s="128" t="e">
        <f t="shared" si="647"/>
        <v>#DIV/0!</v>
      </c>
      <c r="L147" s="128" t="e">
        <f t="shared" si="647"/>
        <v>#DIV/0!</v>
      </c>
      <c r="M147" s="128" t="e">
        <f t="shared" si="647"/>
        <v>#DIV/0!</v>
      </c>
      <c r="N147" s="128" t="e">
        <f t="shared" si="647"/>
        <v>#DIV/0!</v>
      </c>
      <c r="O147" s="128" t="e">
        <f t="shared" si="647"/>
        <v>#DIV/0!</v>
      </c>
      <c r="P147" s="128" t="e">
        <f t="shared" si="647"/>
        <v>#DIV/0!</v>
      </c>
      <c r="Q147" s="128" t="e">
        <f t="shared" si="647"/>
        <v>#DIV/0!</v>
      </c>
      <c r="R147" s="128" t="e">
        <f t="shared" si="647"/>
        <v>#DIV/0!</v>
      </c>
      <c r="S147" s="128" t="e">
        <f t="shared" si="647"/>
        <v>#DIV/0!</v>
      </c>
      <c r="T147" s="128" t="e">
        <f t="shared" si="647"/>
        <v>#DIV/0!</v>
      </c>
      <c r="U147" s="128" t="e">
        <f t="shared" ref="U147:V147" si="648">U144/U20</f>
        <v>#DIV/0!</v>
      </c>
      <c r="V147" s="128" t="e">
        <f t="shared" si="648"/>
        <v>#DIV/0!</v>
      </c>
      <c r="W147" s="101" t="e">
        <f t="shared" si="590"/>
        <v>#DIV/0!</v>
      </c>
      <c r="X147" s="10"/>
      <c r="Y147" s="128" t="e">
        <f t="shared" ref="Y147:AH147" si="649">Y144/Y20</f>
        <v>#DIV/0!</v>
      </c>
      <c r="Z147" s="128" t="e">
        <f t="shared" si="649"/>
        <v>#DIV/0!</v>
      </c>
      <c r="AA147" s="128" t="e">
        <f t="shared" si="649"/>
        <v>#DIV/0!</v>
      </c>
      <c r="AB147" s="128" t="e">
        <f t="shared" si="649"/>
        <v>#DIV/0!</v>
      </c>
      <c r="AC147" s="128" t="e">
        <f t="shared" si="649"/>
        <v>#DIV/0!</v>
      </c>
      <c r="AD147" s="128" t="e">
        <f t="shared" si="649"/>
        <v>#DIV/0!</v>
      </c>
      <c r="AE147" s="128" t="e">
        <f t="shared" si="649"/>
        <v>#DIV/0!</v>
      </c>
      <c r="AF147" s="128" t="e">
        <f t="shared" si="649"/>
        <v>#DIV/0!</v>
      </c>
      <c r="AG147" s="128" t="e">
        <f t="shared" si="649"/>
        <v>#DIV/0!</v>
      </c>
      <c r="AH147" s="128" t="e">
        <f t="shared" si="649"/>
        <v>#DIV/0!</v>
      </c>
      <c r="AI147" s="115" t="e">
        <f t="shared" si="462"/>
        <v>#DIV/0!</v>
      </c>
      <c r="AJ147" s="21">
        <f t="shared" si="463"/>
        <v>0.01</v>
      </c>
      <c r="AK147" s="123" t="e">
        <f t="shared" si="612"/>
        <v>#DIV/0!</v>
      </c>
    </row>
    <row r="148" spans="2:37" x14ac:dyDescent="0.2">
      <c r="B148" s="10"/>
      <c r="C148" s="10"/>
      <c r="D148" s="10"/>
      <c r="E148" s="10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1"/>
      <c r="V148" s="121"/>
      <c r="W148" s="101" t="e">
        <f t="shared" si="590"/>
        <v>#DIV/0!</v>
      </c>
      <c r="X148" s="10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09"/>
      <c r="AJ148" s="123"/>
      <c r="AK148" s="123"/>
    </row>
    <row r="149" spans="2:37" x14ac:dyDescent="0.2">
      <c r="B149" s="10" t="s">
        <v>277</v>
      </c>
      <c r="C149" s="128"/>
      <c r="D149" s="128"/>
      <c r="E149" s="128"/>
      <c r="F149" s="128"/>
      <c r="G149" s="128">
        <f t="shared" ref="G149" si="650">G31/G25</f>
        <v>0</v>
      </c>
      <c r="H149" s="128">
        <f t="shared" ref="H149:I149" si="651">H31/H25</f>
        <v>0</v>
      </c>
      <c r="I149" s="128">
        <f t="shared" si="651"/>
        <v>0</v>
      </c>
      <c r="J149" s="128">
        <f t="shared" ref="J149:T149" si="652">J31/J25</f>
        <v>0</v>
      </c>
      <c r="K149" s="128">
        <f t="shared" si="652"/>
        <v>0</v>
      </c>
      <c r="L149" s="128">
        <f t="shared" si="652"/>
        <v>0</v>
      </c>
      <c r="M149" s="128">
        <f t="shared" si="652"/>
        <v>0</v>
      </c>
      <c r="N149" s="128">
        <f t="shared" si="652"/>
        <v>0</v>
      </c>
      <c r="O149" s="128">
        <f t="shared" si="652"/>
        <v>0</v>
      </c>
      <c r="P149" s="128">
        <f t="shared" si="652"/>
        <v>0</v>
      </c>
      <c r="Q149" s="128">
        <f t="shared" si="652"/>
        <v>0</v>
      </c>
      <c r="R149" s="128">
        <f t="shared" si="652"/>
        <v>0</v>
      </c>
      <c r="S149" s="128">
        <f t="shared" si="652"/>
        <v>0</v>
      </c>
      <c r="T149" s="128">
        <f t="shared" si="652"/>
        <v>0</v>
      </c>
      <c r="U149" s="128">
        <f t="shared" ref="U149:V149" si="653">U31/U25</f>
        <v>0</v>
      </c>
      <c r="V149" s="128">
        <f t="shared" si="653"/>
        <v>0</v>
      </c>
      <c r="W149" s="101" t="e">
        <f t="shared" si="590"/>
        <v>#DIV/0!</v>
      </c>
      <c r="X149" s="10"/>
      <c r="Y149" s="128">
        <f t="shared" ref="Y149:AH149" si="654">Y31/Y25</f>
        <v>0</v>
      </c>
      <c r="Z149" s="128">
        <f t="shared" si="654"/>
        <v>0</v>
      </c>
      <c r="AA149" s="128">
        <f t="shared" si="654"/>
        <v>0</v>
      </c>
      <c r="AB149" s="128">
        <f t="shared" si="654"/>
        <v>0</v>
      </c>
      <c r="AC149" s="128">
        <f t="shared" si="654"/>
        <v>0</v>
      </c>
      <c r="AD149" s="128">
        <f t="shared" si="654"/>
        <v>0</v>
      </c>
      <c r="AE149" s="128">
        <f t="shared" si="654"/>
        <v>0</v>
      </c>
      <c r="AF149" s="128">
        <f t="shared" si="654"/>
        <v>0</v>
      </c>
      <c r="AG149" s="128">
        <f t="shared" si="654"/>
        <v>0</v>
      </c>
      <c r="AH149" s="128">
        <f t="shared" si="654"/>
        <v>0</v>
      </c>
      <c r="AI149" s="115" t="e">
        <f t="shared" si="462"/>
        <v>#DIV/0!</v>
      </c>
      <c r="AJ149" s="21">
        <f t="shared" si="463"/>
        <v>0.01</v>
      </c>
      <c r="AK149" s="123" t="e">
        <f t="shared" si="612"/>
        <v>#DIV/0!</v>
      </c>
    </row>
    <row r="150" spans="2:37" x14ac:dyDescent="0.2">
      <c r="B150" s="10" t="s">
        <v>274</v>
      </c>
      <c r="C150" s="128"/>
      <c r="D150" s="128"/>
      <c r="E150" s="128"/>
      <c r="F150" s="128"/>
      <c r="G150" s="128">
        <f t="shared" ref="G150" si="655">G32/G25</f>
        <v>0</v>
      </c>
      <c r="H150" s="128">
        <f t="shared" ref="H150:I150" si="656">H32/H25</f>
        <v>0</v>
      </c>
      <c r="I150" s="128">
        <f t="shared" si="656"/>
        <v>0</v>
      </c>
      <c r="J150" s="128">
        <f t="shared" ref="J150:T150" si="657">J32/J25</f>
        <v>0</v>
      </c>
      <c r="K150" s="128">
        <f t="shared" si="657"/>
        <v>0</v>
      </c>
      <c r="L150" s="128">
        <f t="shared" si="657"/>
        <v>0</v>
      </c>
      <c r="M150" s="128">
        <f t="shared" si="657"/>
        <v>0</v>
      </c>
      <c r="N150" s="128">
        <f t="shared" si="657"/>
        <v>0</v>
      </c>
      <c r="O150" s="128">
        <f t="shared" si="657"/>
        <v>0</v>
      </c>
      <c r="P150" s="128">
        <f t="shared" si="657"/>
        <v>0</v>
      </c>
      <c r="Q150" s="128">
        <f t="shared" si="657"/>
        <v>0</v>
      </c>
      <c r="R150" s="128">
        <f t="shared" si="657"/>
        <v>0</v>
      </c>
      <c r="S150" s="128">
        <f t="shared" si="657"/>
        <v>0</v>
      </c>
      <c r="T150" s="128">
        <f t="shared" si="657"/>
        <v>0</v>
      </c>
      <c r="U150" s="128">
        <f t="shared" ref="U150:V150" si="658">U32/U25</f>
        <v>0</v>
      </c>
      <c r="V150" s="128">
        <f t="shared" si="658"/>
        <v>0</v>
      </c>
      <c r="W150" s="101" t="e">
        <f t="shared" si="590"/>
        <v>#DIV/0!</v>
      </c>
      <c r="X150" s="10"/>
      <c r="Y150" s="128">
        <f t="shared" ref="Y150:AH150" si="659">Y32/Y25</f>
        <v>0</v>
      </c>
      <c r="Z150" s="128">
        <f t="shared" si="659"/>
        <v>0</v>
      </c>
      <c r="AA150" s="128">
        <f t="shared" si="659"/>
        <v>0</v>
      </c>
      <c r="AB150" s="128">
        <f t="shared" si="659"/>
        <v>0</v>
      </c>
      <c r="AC150" s="128">
        <f t="shared" si="659"/>
        <v>0</v>
      </c>
      <c r="AD150" s="128">
        <f t="shared" si="659"/>
        <v>0</v>
      </c>
      <c r="AE150" s="128">
        <f t="shared" si="659"/>
        <v>0</v>
      </c>
      <c r="AF150" s="128">
        <f t="shared" si="659"/>
        <v>0</v>
      </c>
      <c r="AG150" s="128">
        <f t="shared" si="659"/>
        <v>0</v>
      </c>
      <c r="AH150" s="128">
        <f t="shared" si="659"/>
        <v>0</v>
      </c>
      <c r="AI150" s="115" t="e">
        <f t="shared" si="462"/>
        <v>#DIV/0!</v>
      </c>
      <c r="AJ150" s="21">
        <f t="shared" si="463"/>
        <v>0.01</v>
      </c>
      <c r="AK150" s="123" t="e">
        <f t="shared" si="612"/>
        <v>#DIV/0!</v>
      </c>
    </row>
    <row r="151" spans="2:37" x14ac:dyDescent="0.2">
      <c r="B151" s="10" t="s">
        <v>399</v>
      </c>
      <c r="C151" s="128"/>
      <c r="D151" s="128"/>
      <c r="E151" s="128"/>
      <c r="F151" s="128"/>
      <c r="G151" s="128">
        <f t="shared" ref="G151" si="660">(G31+G32)/G25</f>
        <v>0</v>
      </c>
      <c r="H151" s="128">
        <f t="shared" ref="H151:I151" si="661">(H31+H32)/H25</f>
        <v>0</v>
      </c>
      <c r="I151" s="128">
        <f t="shared" si="661"/>
        <v>0</v>
      </c>
      <c r="J151" s="128">
        <f t="shared" ref="J151:T151" si="662">(J31+J32)/J25</f>
        <v>0</v>
      </c>
      <c r="K151" s="128">
        <f t="shared" si="662"/>
        <v>0</v>
      </c>
      <c r="L151" s="128">
        <f t="shared" si="662"/>
        <v>0</v>
      </c>
      <c r="M151" s="128">
        <f t="shared" si="662"/>
        <v>0</v>
      </c>
      <c r="N151" s="128">
        <f t="shared" si="662"/>
        <v>0</v>
      </c>
      <c r="O151" s="128">
        <f t="shared" si="662"/>
        <v>0</v>
      </c>
      <c r="P151" s="128">
        <f t="shared" si="662"/>
        <v>0</v>
      </c>
      <c r="Q151" s="128">
        <f t="shared" si="662"/>
        <v>0</v>
      </c>
      <c r="R151" s="128">
        <f t="shared" si="662"/>
        <v>0</v>
      </c>
      <c r="S151" s="128">
        <f t="shared" si="662"/>
        <v>0</v>
      </c>
      <c r="T151" s="128">
        <f t="shared" si="662"/>
        <v>0</v>
      </c>
      <c r="U151" s="128">
        <f t="shared" ref="U151:V151" si="663">(U31+U32)/U25</f>
        <v>0</v>
      </c>
      <c r="V151" s="128">
        <f t="shared" si="663"/>
        <v>0</v>
      </c>
      <c r="W151" s="101" t="e">
        <f t="shared" si="590"/>
        <v>#DIV/0!</v>
      </c>
      <c r="X151" s="10"/>
      <c r="Y151" s="128">
        <f t="shared" ref="Y151:AH151" si="664">(Y31+Y32)/Y25</f>
        <v>0</v>
      </c>
      <c r="Z151" s="128">
        <f t="shared" si="664"/>
        <v>0</v>
      </c>
      <c r="AA151" s="128">
        <f t="shared" si="664"/>
        <v>0</v>
      </c>
      <c r="AB151" s="128">
        <f t="shared" si="664"/>
        <v>0</v>
      </c>
      <c r="AC151" s="128">
        <f t="shared" si="664"/>
        <v>0</v>
      </c>
      <c r="AD151" s="128">
        <f t="shared" si="664"/>
        <v>0</v>
      </c>
      <c r="AE151" s="128">
        <f t="shared" si="664"/>
        <v>0</v>
      </c>
      <c r="AF151" s="128">
        <f t="shared" si="664"/>
        <v>0</v>
      </c>
      <c r="AG151" s="128">
        <f t="shared" si="664"/>
        <v>0</v>
      </c>
      <c r="AH151" s="128">
        <f t="shared" si="664"/>
        <v>0</v>
      </c>
      <c r="AI151" s="115" t="e">
        <f t="shared" si="462"/>
        <v>#DIV/0!</v>
      </c>
      <c r="AJ151" s="21">
        <f t="shared" si="463"/>
        <v>0.01</v>
      </c>
      <c r="AK151" s="123" t="e">
        <f t="shared" si="612"/>
        <v>#DIV/0!</v>
      </c>
    </row>
    <row r="152" spans="2:37" x14ac:dyDescent="0.2">
      <c r="B152" s="10"/>
      <c r="C152" s="10"/>
      <c r="D152" s="10"/>
      <c r="E152" s="10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1"/>
      <c r="V152" s="121"/>
      <c r="W152" s="101" t="e">
        <f t="shared" si="590"/>
        <v>#DIV/0!</v>
      </c>
      <c r="X152" s="10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09"/>
      <c r="AJ152" s="123"/>
      <c r="AK152" s="123"/>
    </row>
    <row r="153" spans="2:37" x14ac:dyDescent="0.2">
      <c r="B153" s="10" t="s">
        <v>296</v>
      </c>
      <c r="C153" s="10"/>
      <c r="D153" s="10"/>
      <c r="E153" s="10"/>
      <c r="F153" s="128"/>
      <c r="G153" s="128">
        <f t="shared" ref="G153" si="665">G27/G25</f>
        <v>0.1328125</v>
      </c>
      <c r="H153" s="128">
        <f t="shared" ref="H153:I153" si="666">H27/H25</f>
        <v>0.11811023622047244</v>
      </c>
      <c r="I153" s="128">
        <f t="shared" si="666"/>
        <v>0.10135135135135136</v>
      </c>
      <c r="J153" s="128">
        <f t="shared" ref="J153:T153" si="667">J27/J25</f>
        <v>8.9473684210526316E-2</v>
      </c>
      <c r="K153" s="128">
        <f t="shared" si="667"/>
        <v>5.4298642533936653E-2</v>
      </c>
      <c r="L153" s="128">
        <f t="shared" si="667"/>
        <v>5.3811659192825115E-2</v>
      </c>
      <c r="M153" s="128">
        <f t="shared" si="667"/>
        <v>7.8703703703703706E-2</v>
      </c>
      <c r="N153" s="128">
        <f t="shared" si="667"/>
        <v>7.4235807860262015E-2</v>
      </c>
      <c r="O153" s="128">
        <f t="shared" si="667"/>
        <v>7.8853046594982074E-2</v>
      </c>
      <c r="P153" s="128">
        <f t="shared" si="667"/>
        <v>8.4183673469387751E-2</v>
      </c>
      <c r="Q153" s="128">
        <f t="shared" si="667"/>
        <v>7.9584775086505188E-2</v>
      </c>
      <c r="R153" s="128">
        <f t="shared" si="667"/>
        <v>7.9559363525091797E-2</v>
      </c>
      <c r="S153" s="128">
        <f t="shared" si="667"/>
        <v>7.5715604801477376E-2</v>
      </c>
      <c r="T153" s="128">
        <f t="shared" si="667"/>
        <v>7.0953436807095344E-2</v>
      </c>
      <c r="U153" s="128">
        <f t="shared" ref="U153:V153" si="668">U27/U25</f>
        <v>7.0348454963839582E-2</v>
      </c>
      <c r="V153" s="128">
        <f t="shared" si="668"/>
        <v>5.1415366839976891E-2</v>
      </c>
      <c r="W153" s="101">
        <f t="shared" si="590"/>
        <v>-6.130695705494893E-2</v>
      </c>
      <c r="X153" s="10"/>
      <c r="Y153" s="128">
        <f t="shared" ref="Y153:AH153" si="669">Y27/Y25</f>
        <v>7.0348454963839582E-2</v>
      </c>
      <c r="Z153" s="128">
        <f t="shared" si="669"/>
        <v>7.0348454963839596E-2</v>
      </c>
      <c r="AA153" s="128">
        <f t="shared" si="669"/>
        <v>7.0348454963839596E-2</v>
      </c>
      <c r="AB153" s="128">
        <f t="shared" si="669"/>
        <v>7.0348454963839596E-2</v>
      </c>
      <c r="AC153" s="128">
        <f t="shared" si="669"/>
        <v>7.0348454963839582E-2</v>
      </c>
      <c r="AD153" s="128">
        <f t="shared" si="669"/>
        <v>7.0348454963839582E-2</v>
      </c>
      <c r="AE153" s="128">
        <f t="shared" si="669"/>
        <v>7.0348454963839582E-2</v>
      </c>
      <c r="AF153" s="128">
        <f t="shared" si="669"/>
        <v>7.0348454963839582E-2</v>
      </c>
      <c r="AG153" s="128">
        <f t="shared" si="669"/>
        <v>7.0348454963839582E-2</v>
      </c>
      <c r="AH153" s="128">
        <f t="shared" si="669"/>
        <v>7.0348454963839582E-2</v>
      </c>
      <c r="AI153" s="115">
        <f t="shared" si="462"/>
        <v>-9.5732312416648702E-3</v>
      </c>
      <c r="AJ153" s="21">
        <f t="shared" si="463"/>
        <v>0.01</v>
      </c>
      <c r="AK153" s="123" t="e">
        <f t="shared" si="612"/>
        <v>#DIV/0!</v>
      </c>
    </row>
    <row r="154" spans="2:37" x14ac:dyDescent="0.2">
      <c r="B154" s="10" t="str">
        <f>B33</f>
        <v>Top Expenses ( Interest )</v>
      </c>
      <c r="C154" s="10"/>
      <c r="D154" s="10"/>
      <c r="E154" s="10"/>
      <c r="F154" s="128"/>
      <c r="G154" s="128">
        <f t="shared" ref="G154" si="670">G33/G25</f>
        <v>0.6875</v>
      </c>
      <c r="H154" s="128">
        <f t="shared" ref="H154:I154" si="671">H33/H25</f>
        <v>0.66141732283464572</v>
      </c>
      <c r="I154" s="128">
        <f t="shared" si="671"/>
        <v>0.65540540540540537</v>
      </c>
      <c r="J154" s="128">
        <f t="shared" ref="J154:T154" si="672">J33/J25</f>
        <v>0.69473684210526321</v>
      </c>
      <c r="K154" s="128">
        <f t="shared" si="672"/>
        <v>0.76923076923076927</v>
      </c>
      <c r="L154" s="128">
        <f t="shared" si="672"/>
        <v>0.7488789237668162</v>
      </c>
      <c r="M154" s="128">
        <f t="shared" si="672"/>
        <v>0.67129629629629628</v>
      </c>
      <c r="N154" s="128">
        <f t="shared" si="672"/>
        <v>0.67248908296943233</v>
      </c>
      <c r="O154" s="128">
        <f t="shared" si="672"/>
        <v>0.69892473118279574</v>
      </c>
      <c r="P154" s="128">
        <f t="shared" si="672"/>
        <v>0.72193877551020413</v>
      </c>
      <c r="Q154" s="128">
        <f t="shared" si="672"/>
        <v>0.73010380622837368</v>
      </c>
      <c r="R154" s="128">
        <f t="shared" si="672"/>
        <v>0.74663402692778458</v>
      </c>
      <c r="S154" s="128">
        <f t="shared" si="672"/>
        <v>0.68605724838411819</v>
      </c>
      <c r="T154" s="128">
        <f t="shared" si="672"/>
        <v>0.65336289726533625</v>
      </c>
      <c r="U154" s="128">
        <f t="shared" ref="U154:V154" si="673">U33/U25</f>
        <v>0.6449704142011834</v>
      </c>
      <c r="V154" s="128">
        <f t="shared" si="673"/>
        <v>0.67533217793183131</v>
      </c>
      <c r="W154" s="101">
        <f t="shared" si="590"/>
        <v>-1.1897679484039747E-3</v>
      </c>
      <c r="X154" s="10"/>
      <c r="Y154" s="128">
        <f t="shared" ref="Y154:AH154" si="674">Y33/Y25</f>
        <v>0.6449704142011834</v>
      </c>
      <c r="Z154" s="128">
        <f t="shared" si="674"/>
        <v>0.6449704142011834</v>
      </c>
      <c r="AA154" s="128">
        <f t="shared" si="674"/>
        <v>0.6449704142011834</v>
      </c>
      <c r="AB154" s="128">
        <f t="shared" si="674"/>
        <v>0.6449704142011834</v>
      </c>
      <c r="AC154" s="128">
        <f t="shared" si="674"/>
        <v>0.6449704142011834</v>
      </c>
      <c r="AD154" s="128">
        <f t="shared" si="674"/>
        <v>0.6449704142011834</v>
      </c>
      <c r="AE154" s="128">
        <f t="shared" si="674"/>
        <v>0.6449704142011834</v>
      </c>
      <c r="AF154" s="128">
        <f t="shared" si="674"/>
        <v>0.64497041420118351</v>
      </c>
      <c r="AG154" s="128">
        <f t="shared" si="674"/>
        <v>0.6449704142011834</v>
      </c>
      <c r="AH154" s="128">
        <f t="shared" si="674"/>
        <v>0.6449704142011834</v>
      </c>
      <c r="AI154" s="115">
        <f t="shared" si="462"/>
        <v>-2.9687318992726031E-3</v>
      </c>
      <c r="AJ154" s="21">
        <f t="shared" si="463"/>
        <v>0.01</v>
      </c>
      <c r="AK154" s="123" t="e">
        <f t="shared" si="612"/>
        <v>#DIV/0!</v>
      </c>
    </row>
    <row r="155" spans="2:37" x14ac:dyDescent="0.2">
      <c r="B155" s="10" t="str">
        <f>B34</f>
        <v>2nd highest Expenses Comp. ( Employee Cost )</v>
      </c>
      <c r="C155" s="10"/>
      <c r="D155" s="10"/>
      <c r="E155" s="10"/>
      <c r="F155" s="128"/>
      <c r="G155" s="128">
        <f t="shared" ref="G155" si="675">G34/G25</f>
        <v>3.125E-2</v>
      </c>
      <c r="H155" s="128">
        <f t="shared" ref="H155:I155" si="676">H34/H25</f>
        <v>3.937007874015748E-2</v>
      </c>
      <c r="I155" s="128">
        <f t="shared" si="676"/>
        <v>4.0540540540540543E-2</v>
      </c>
      <c r="J155" s="128">
        <f t="shared" ref="J155:T155" si="677">J34/J25</f>
        <v>3.1578947368421054E-2</v>
      </c>
      <c r="K155" s="128">
        <f t="shared" si="677"/>
        <v>2.7149321266968326E-2</v>
      </c>
      <c r="L155" s="128">
        <f t="shared" si="677"/>
        <v>2.6905829596412557E-2</v>
      </c>
      <c r="M155" s="128">
        <f t="shared" si="677"/>
        <v>3.7037037037037035E-2</v>
      </c>
      <c r="N155" s="128">
        <f t="shared" si="677"/>
        <v>4.8034934497816595E-2</v>
      </c>
      <c r="O155" s="128">
        <f t="shared" si="677"/>
        <v>3.9426523297491037E-2</v>
      </c>
      <c r="P155" s="128">
        <f t="shared" si="677"/>
        <v>3.826530612244898E-2</v>
      </c>
      <c r="Q155" s="128">
        <f t="shared" si="677"/>
        <v>3.1141868512110725E-2</v>
      </c>
      <c r="R155" s="128">
        <f t="shared" si="677"/>
        <v>3.0599755201958383E-2</v>
      </c>
      <c r="S155" s="128">
        <f t="shared" si="677"/>
        <v>3.0470914127423823E-2</v>
      </c>
      <c r="T155" s="128">
        <f t="shared" si="677"/>
        <v>2.8824833702882482E-2</v>
      </c>
      <c r="U155" s="128">
        <f t="shared" ref="U155:V155" si="678">U34/U25</f>
        <v>2.8928336620644313E-2</v>
      </c>
      <c r="V155" s="128">
        <f t="shared" si="678"/>
        <v>2.3685730791450029E-2</v>
      </c>
      <c r="W155" s="101">
        <f t="shared" si="590"/>
        <v>-1.8306796051097529E-2</v>
      </c>
      <c r="X155" s="10"/>
      <c r="Y155" s="128">
        <f t="shared" ref="Y155:AH155" si="679">Y34/Y25</f>
        <v>2.8928336620644313E-2</v>
      </c>
      <c r="Z155" s="128">
        <f t="shared" si="679"/>
        <v>2.8928336620644313E-2</v>
      </c>
      <c r="AA155" s="128">
        <f t="shared" si="679"/>
        <v>2.8928336620644313E-2</v>
      </c>
      <c r="AB155" s="128">
        <f t="shared" si="679"/>
        <v>2.8928336620644316E-2</v>
      </c>
      <c r="AC155" s="128">
        <f t="shared" si="679"/>
        <v>2.8928336620644316E-2</v>
      </c>
      <c r="AD155" s="128">
        <f t="shared" si="679"/>
        <v>2.8928336620644316E-2</v>
      </c>
      <c r="AE155" s="128">
        <f t="shared" si="679"/>
        <v>2.8928336620644316E-2</v>
      </c>
      <c r="AF155" s="128">
        <f t="shared" si="679"/>
        <v>2.8928336620644316E-2</v>
      </c>
      <c r="AG155" s="128">
        <f t="shared" si="679"/>
        <v>2.8928336620644313E-2</v>
      </c>
      <c r="AH155" s="128">
        <f t="shared" si="679"/>
        <v>2.8928336620644313E-2</v>
      </c>
      <c r="AI155" s="115">
        <f t="shared" si="462"/>
        <v>-3.5006207067583839E-3</v>
      </c>
      <c r="AJ155" s="21">
        <f t="shared" si="463"/>
        <v>0.01</v>
      </c>
      <c r="AK155" s="123" t="e">
        <f t="shared" si="612"/>
        <v>#DIV/0!</v>
      </c>
    </row>
    <row r="156" spans="2:37" x14ac:dyDescent="0.2"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21"/>
      <c r="V156" s="121"/>
      <c r="W156" s="101" t="e">
        <f t="shared" si="590"/>
        <v>#DIV/0!</v>
      </c>
      <c r="X156" s="10"/>
      <c r="Y156" s="102"/>
      <c r="Z156" s="102"/>
      <c r="AA156" s="102"/>
      <c r="AB156" s="102"/>
      <c r="AC156" s="102"/>
      <c r="AD156" s="102"/>
      <c r="AE156" s="102"/>
      <c r="AF156" s="102"/>
      <c r="AG156" s="102"/>
      <c r="AH156" s="102"/>
      <c r="AI156" s="116"/>
      <c r="AJ156" s="123"/>
      <c r="AK156" s="123"/>
    </row>
    <row r="157" spans="2:37" x14ac:dyDescent="0.2">
      <c r="B157" s="93" t="s">
        <v>304</v>
      </c>
      <c r="C157" s="10"/>
      <c r="D157" s="10"/>
      <c r="E157" s="10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21"/>
      <c r="V157" s="121"/>
      <c r="W157" s="101" t="e">
        <f t="shared" si="590"/>
        <v>#DIV/0!</v>
      </c>
      <c r="X157" s="10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0"/>
      <c r="AJ157" s="123"/>
      <c r="AK157" s="123"/>
    </row>
    <row r="158" spans="2:37" x14ac:dyDescent="0.2">
      <c r="B158" s="10" t="s">
        <v>307</v>
      </c>
      <c r="C158" s="10"/>
      <c r="D158" s="10"/>
      <c r="E158" s="10"/>
      <c r="F158" s="15"/>
      <c r="G158" s="15">
        <f t="shared" ref="G158" si="680">G15/G9</f>
        <v>0.66666666666666663</v>
      </c>
      <c r="H158" s="15">
        <f t="shared" ref="H158:I158" si="681">H15/H9</f>
        <v>0.16666666666666666</v>
      </c>
      <c r="I158" s="15">
        <f t="shared" si="681"/>
        <v>7.6923076923076927E-2</v>
      </c>
      <c r="J158" s="15">
        <f t="shared" ref="J158:T158" si="682">J15/J9</f>
        <v>0.21428571428571427</v>
      </c>
      <c r="K158" s="15">
        <f t="shared" si="682"/>
        <v>0.58333333333333337</v>
      </c>
      <c r="L158" s="15">
        <f t="shared" si="682"/>
        <v>0.63636363636363635</v>
      </c>
      <c r="M158" s="15">
        <f t="shared" si="682"/>
        <v>2.6666666666666665</v>
      </c>
      <c r="N158" s="15">
        <f t="shared" si="682"/>
        <v>8.9238845144356954E-2</v>
      </c>
      <c r="O158" s="15">
        <f t="shared" si="682"/>
        <v>4.6242774566473986E-2</v>
      </c>
      <c r="P158" s="15">
        <f t="shared" si="682"/>
        <v>1.4925373134328358E-2</v>
      </c>
      <c r="Q158" s="15">
        <f t="shared" si="682"/>
        <v>1.3372956909361069E-2</v>
      </c>
      <c r="R158" s="15">
        <f t="shared" si="682"/>
        <v>1.6096579476861168E-2</v>
      </c>
      <c r="S158" s="15">
        <f t="shared" si="682"/>
        <v>1.5440508628519528E-2</v>
      </c>
      <c r="T158" s="15">
        <f t="shared" si="682"/>
        <v>1.1288805268109126E-2</v>
      </c>
      <c r="U158" s="15">
        <f t="shared" ref="U158:V158" si="683">U15/U9</f>
        <v>6.6202090592334492E-2</v>
      </c>
      <c r="V158" s="15">
        <f t="shared" si="683"/>
        <v>1.5217391304347827</v>
      </c>
      <c r="W158" s="101">
        <f t="shared" si="590"/>
        <v>5.6563080748007533E-2</v>
      </c>
      <c r="X158" s="10"/>
      <c r="Y158" s="10">
        <f t="shared" ref="Y158:AH158" si="684">Y15/Y9</f>
        <v>6.6202090592334492E-2</v>
      </c>
      <c r="Z158" s="10">
        <f t="shared" si="684"/>
        <v>6.6202090592334492E-2</v>
      </c>
      <c r="AA158" s="10">
        <f t="shared" si="684"/>
        <v>6.6202090592334492E-2</v>
      </c>
      <c r="AB158" s="10">
        <f t="shared" si="684"/>
        <v>6.6202090592334492E-2</v>
      </c>
      <c r="AC158" s="10">
        <f t="shared" si="684"/>
        <v>6.6202090592334492E-2</v>
      </c>
      <c r="AD158" s="10">
        <f t="shared" si="684"/>
        <v>6.6202090592334506E-2</v>
      </c>
      <c r="AE158" s="10">
        <f t="shared" si="684"/>
        <v>6.6202090592334506E-2</v>
      </c>
      <c r="AF158" s="10">
        <f t="shared" si="684"/>
        <v>6.6202090592334506E-2</v>
      </c>
      <c r="AG158" s="10">
        <f t="shared" si="684"/>
        <v>6.6202090592334506E-2</v>
      </c>
      <c r="AH158" s="10">
        <f t="shared" si="684"/>
        <v>6.6202090592334506E-2</v>
      </c>
      <c r="AI158" s="115">
        <f t="shared" si="462"/>
        <v>-4.5897268027583982E-2</v>
      </c>
      <c r="AJ158" s="21">
        <f t="shared" si="463"/>
        <v>0.01</v>
      </c>
      <c r="AK158" s="123" t="e">
        <f t="shared" si="612"/>
        <v>#DIV/0!</v>
      </c>
    </row>
    <row r="159" spans="2:37" x14ac:dyDescent="0.2">
      <c r="B159" s="10" t="s">
        <v>297</v>
      </c>
      <c r="C159" s="10"/>
      <c r="D159" s="10"/>
      <c r="E159" s="10"/>
      <c r="F159" s="15"/>
      <c r="G159" s="15">
        <f t="shared" ref="G159" si="685">G12/G9</f>
        <v>0.66666666666666663</v>
      </c>
      <c r="H159" s="15">
        <f t="shared" ref="H159:I159" si="686">H12/H9</f>
        <v>0.16666666666666666</v>
      </c>
      <c r="I159" s="15">
        <f t="shared" si="686"/>
        <v>7.6923076923076927E-2</v>
      </c>
      <c r="J159" s="15">
        <f t="shared" ref="J159:T159" si="687">J12/J9</f>
        <v>0.21428571428571427</v>
      </c>
      <c r="K159" s="15">
        <f t="shared" si="687"/>
        <v>0.58333333333333337</v>
      </c>
      <c r="L159" s="15">
        <f t="shared" si="687"/>
        <v>0.63636363636363635</v>
      </c>
      <c r="M159" s="15">
        <f t="shared" si="687"/>
        <v>2.6666666666666665</v>
      </c>
      <c r="N159" s="15">
        <f t="shared" si="687"/>
        <v>8.9238845144356954E-2</v>
      </c>
      <c r="O159" s="15">
        <f t="shared" si="687"/>
        <v>4.6242774566473986E-2</v>
      </c>
      <c r="P159" s="15">
        <f t="shared" si="687"/>
        <v>1.4925373134328358E-2</v>
      </c>
      <c r="Q159" s="15">
        <f t="shared" si="687"/>
        <v>1.3372956909361069E-2</v>
      </c>
      <c r="R159" s="15">
        <f t="shared" si="687"/>
        <v>1.6096579476861168E-2</v>
      </c>
      <c r="S159" s="15">
        <f t="shared" si="687"/>
        <v>1.5440508628519528E-2</v>
      </c>
      <c r="T159" s="15">
        <f t="shared" si="687"/>
        <v>1.1288805268109126E-2</v>
      </c>
      <c r="U159" s="15">
        <f t="shared" ref="U159:V159" si="688">U12/U9</f>
        <v>6.6202090592334492E-2</v>
      </c>
      <c r="V159" s="15">
        <f t="shared" si="688"/>
        <v>1.5217391304347827</v>
      </c>
      <c r="W159" s="101">
        <f t="shared" si="590"/>
        <v>5.6563080748007533E-2</v>
      </c>
      <c r="X159" s="109"/>
      <c r="Y159" s="10">
        <f t="shared" ref="Y159:AH159" si="689">Y12/Y9</f>
        <v>6.6202090592334492E-2</v>
      </c>
      <c r="Z159" s="10">
        <f t="shared" si="689"/>
        <v>6.6202090592334492E-2</v>
      </c>
      <c r="AA159" s="10">
        <f t="shared" si="689"/>
        <v>6.6202090592334492E-2</v>
      </c>
      <c r="AB159" s="10">
        <f t="shared" si="689"/>
        <v>6.6202090592334492E-2</v>
      </c>
      <c r="AC159" s="10">
        <f t="shared" si="689"/>
        <v>6.6202090592334492E-2</v>
      </c>
      <c r="AD159" s="10">
        <f t="shared" si="689"/>
        <v>6.6202090592334506E-2</v>
      </c>
      <c r="AE159" s="10">
        <f t="shared" si="689"/>
        <v>6.6202090592334506E-2</v>
      </c>
      <c r="AF159" s="10">
        <f t="shared" si="689"/>
        <v>6.6202090592334506E-2</v>
      </c>
      <c r="AG159" s="10">
        <f t="shared" si="689"/>
        <v>6.6202090592334506E-2</v>
      </c>
      <c r="AH159" s="10">
        <f t="shared" si="689"/>
        <v>6.6202090592334506E-2</v>
      </c>
      <c r="AI159" s="101">
        <f t="shared" ref="AI159" si="690">((AH159/Y159)^(1/($K$2-$K$1) ))-1</f>
        <v>0</v>
      </c>
      <c r="AJ159" s="21">
        <f t="shared" si="463"/>
        <v>0.01</v>
      </c>
      <c r="AK159" s="123" t="e">
        <f t="shared" si="612"/>
        <v>#DIV/0!</v>
      </c>
    </row>
    <row r="160" spans="2:37" x14ac:dyDescent="0.2">
      <c r="B160" s="10" t="s">
        <v>299</v>
      </c>
      <c r="C160" s="10"/>
      <c r="D160" s="10"/>
      <c r="E160" s="10"/>
      <c r="F160" s="15"/>
      <c r="G160" s="15">
        <f t="shared" ref="G160" si="691">G25/360</f>
        <v>0.35555555555555557</v>
      </c>
      <c r="H160" s="15">
        <f t="shared" ref="H160:I160" si="692">H25/360</f>
        <v>0.3527777777777778</v>
      </c>
      <c r="I160" s="15">
        <f t="shared" si="692"/>
        <v>0.41111111111111109</v>
      </c>
      <c r="J160" s="15">
        <f t="shared" ref="J160:T160" si="693">J25/360</f>
        <v>0.52777777777777779</v>
      </c>
      <c r="K160" s="15">
        <f t="shared" si="693"/>
        <v>0.61388888888888893</v>
      </c>
      <c r="L160" s="15">
        <f t="shared" si="693"/>
        <v>0.61944444444444446</v>
      </c>
      <c r="M160" s="15">
        <f t="shared" si="693"/>
        <v>0.6</v>
      </c>
      <c r="N160" s="15">
        <f t="shared" si="693"/>
        <v>0.63611111111111107</v>
      </c>
      <c r="O160" s="15">
        <f t="shared" si="693"/>
        <v>0.77500000000000002</v>
      </c>
      <c r="P160" s="15">
        <f t="shared" si="693"/>
        <v>1.0888888888888888</v>
      </c>
      <c r="Q160" s="15">
        <f t="shared" si="693"/>
        <v>1.6055555555555556</v>
      </c>
      <c r="R160" s="15">
        <f t="shared" si="693"/>
        <v>2.2694444444444444</v>
      </c>
      <c r="S160" s="15">
        <f t="shared" si="693"/>
        <v>3.0083333333333333</v>
      </c>
      <c r="T160" s="15">
        <f t="shared" si="693"/>
        <v>3.7583333333333333</v>
      </c>
      <c r="U160" s="15">
        <f t="shared" ref="U160:V160" si="694">U25/360</f>
        <v>4.2249999999999996</v>
      </c>
      <c r="V160" s="15">
        <f t="shared" si="694"/>
        <v>4.8083333333333336</v>
      </c>
      <c r="W160" s="101">
        <f t="shared" si="590"/>
        <v>0.18961328781100151</v>
      </c>
      <c r="X160" s="109"/>
      <c r="Y160" s="15">
        <f t="shared" ref="Y160:AH160" si="695">Y25/360</f>
        <v>4.8587499999999997</v>
      </c>
      <c r="Z160" s="15">
        <f t="shared" si="695"/>
        <v>5.5875624999999989</v>
      </c>
      <c r="AA160" s="15">
        <f t="shared" si="695"/>
        <v>6.4256968749999981</v>
      </c>
      <c r="AB160" s="15">
        <f t="shared" si="695"/>
        <v>7.3895514062499972</v>
      </c>
      <c r="AC160" s="15">
        <f t="shared" si="695"/>
        <v>8.4979841171874959</v>
      </c>
      <c r="AD160" s="15">
        <f t="shared" si="695"/>
        <v>9.7726817347656194</v>
      </c>
      <c r="AE160" s="15">
        <f t="shared" si="695"/>
        <v>11.238583994980463</v>
      </c>
      <c r="AF160" s="15">
        <f t="shared" si="695"/>
        <v>12.92437159422753</v>
      </c>
      <c r="AG160" s="15">
        <f t="shared" si="695"/>
        <v>14.863027333361659</v>
      </c>
      <c r="AH160" s="15">
        <f t="shared" si="695"/>
        <v>17.092481433365908</v>
      </c>
      <c r="AI160" s="101">
        <f t="shared" ref="AI160:AI171" si="696">((AH160/Y160)^(1/($K$2-$K$1) ))-1</f>
        <v>8.7473553892344347E-2</v>
      </c>
      <c r="AJ160" s="21">
        <f t="shared" si="463"/>
        <v>0.01</v>
      </c>
      <c r="AK160" s="123" t="e">
        <f t="shared" si="612"/>
        <v>#DIV/0!</v>
      </c>
    </row>
    <row r="161" spans="2:37" x14ac:dyDescent="0.2">
      <c r="B161" s="10" t="s">
        <v>298</v>
      </c>
      <c r="C161" s="10"/>
      <c r="D161" s="10"/>
      <c r="E161" s="10"/>
      <c r="F161" s="15"/>
      <c r="G161" s="15">
        <f t="shared" ref="G161" si="697">G27/360</f>
        <v>4.7222222222222221E-2</v>
      </c>
      <c r="H161" s="15">
        <f t="shared" ref="H161:I161" si="698">H27/360</f>
        <v>4.1666666666666664E-2</v>
      </c>
      <c r="I161" s="15">
        <f t="shared" si="698"/>
        <v>4.1666666666666664E-2</v>
      </c>
      <c r="J161" s="15">
        <f t="shared" ref="J161:T161" si="699">J27/360</f>
        <v>4.7222222222222221E-2</v>
      </c>
      <c r="K161" s="15">
        <f t="shared" si="699"/>
        <v>3.3333333333333333E-2</v>
      </c>
      <c r="L161" s="15">
        <f t="shared" si="699"/>
        <v>3.3333333333333333E-2</v>
      </c>
      <c r="M161" s="15">
        <f t="shared" si="699"/>
        <v>4.7222222222222221E-2</v>
      </c>
      <c r="N161" s="15">
        <f t="shared" si="699"/>
        <v>4.7222222222222221E-2</v>
      </c>
      <c r="O161" s="15">
        <f t="shared" si="699"/>
        <v>6.1111111111111109E-2</v>
      </c>
      <c r="P161" s="15">
        <f t="shared" si="699"/>
        <v>9.166666666666666E-2</v>
      </c>
      <c r="Q161" s="15">
        <f t="shared" si="699"/>
        <v>0.12777777777777777</v>
      </c>
      <c r="R161" s="15">
        <f t="shared" si="699"/>
        <v>0.18055555555555555</v>
      </c>
      <c r="S161" s="15">
        <f t="shared" si="699"/>
        <v>0.22777777777777777</v>
      </c>
      <c r="T161" s="15">
        <f t="shared" si="699"/>
        <v>0.26666666666666666</v>
      </c>
      <c r="U161" s="15">
        <f t="shared" ref="U161:V161" si="700">U27/360</f>
        <v>0.29722222222222222</v>
      </c>
      <c r="V161" s="15">
        <f t="shared" si="700"/>
        <v>0.24722222222222223</v>
      </c>
      <c r="W161" s="101">
        <f t="shared" si="590"/>
        <v>0.11668171706317598</v>
      </c>
      <c r="X161" s="109"/>
      <c r="Y161" s="15">
        <f t="shared" ref="Y161:AH161" si="701">Y27/360</f>
        <v>0.34180555555555553</v>
      </c>
      <c r="Z161" s="15">
        <f t="shared" si="701"/>
        <v>0.39307638888888885</v>
      </c>
      <c r="AA161" s="15">
        <f t="shared" si="701"/>
        <v>0.45203784722222218</v>
      </c>
      <c r="AB161" s="15">
        <f t="shared" si="701"/>
        <v>0.51984352430555547</v>
      </c>
      <c r="AC161" s="15">
        <f t="shared" si="701"/>
        <v>0.59782005295138874</v>
      </c>
      <c r="AD161" s="15">
        <f t="shared" si="701"/>
        <v>0.6874930608940969</v>
      </c>
      <c r="AE161" s="15">
        <f t="shared" si="701"/>
        <v>0.79061702002821144</v>
      </c>
      <c r="AF161" s="15">
        <f t="shared" si="701"/>
        <v>0.9092095730324431</v>
      </c>
      <c r="AG161" s="15">
        <f t="shared" si="701"/>
        <v>1.0455910089873095</v>
      </c>
      <c r="AH161" s="15">
        <f t="shared" si="701"/>
        <v>1.2024296603354057</v>
      </c>
      <c r="AI161" s="101">
        <f t="shared" si="696"/>
        <v>8.7473553892344347E-2</v>
      </c>
      <c r="AJ161" s="21">
        <f t="shared" si="463"/>
        <v>0.01</v>
      </c>
      <c r="AK161" s="123" t="e">
        <f t="shared" si="612"/>
        <v>#DIV/0!</v>
      </c>
    </row>
    <row r="162" spans="2:37" x14ac:dyDescent="0.2">
      <c r="B162" s="10"/>
      <c r="C162" s="10"/>
      <c r="D162" s="10"/>
      <c r="E162" s="10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21"/>
      <c r="V162" s="121"/>
      <c r="W162" s="101" t="e">
        <f t="shared" si="590"/>
        <v>#DIV/0!</v>
      </c>
      <c r="X162" s="10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09"/>
      <c r="AJ162" s="123"/>
      <c r="AK162" s="123"/>
    </row>
    <row r="163" spans="2:37" x14ac:dyDescent="0.2">
      <c r="B163" s="10" t="s">
        <v>308</v>
      </c>
      <c r="C163" s="10"/>
      <c r="D163" s="10"/>
      <c r="E163" s="10"/>
      <c r="F163" s="15"/>
      <c r="G163" s="15">
        <f t="shared" ref="G163" si="702">G10/G7</f>
        <v>7.5182481751824817</v>
      </c>
      <c r="H163" s="15">
        <f t="shared" ref="H163:I163" si="703">H10/H7</f>
        <v>7.9802631578947372</v>
      </c>
      <c r="I163" s="15">
        <f t="shared" si="703"/>
        <v>9.2658959537572247</v>
      </c>
      <c r="J163" s="15">
        <f t="shared" ref="J163:T163" si="704">J10/J7</f>
        <v>8.8934010152284255</v>
      </c>
      <c r="K163" s="15">
        <f t="shared" si="704"/>
        <v>7.7397260273972606</v>
      </c>
      <c r="L163" s="15">
        <f t="shared" si="704"/>
        <v>6.7032520325203251</v>
      </c>
      <c r="M163" s="15">
        <f t="shared" si="704"/>
        <v>6.7818181818181822</v>
      </c>
      <c r="N163" s="15">
        <f t="shared" si="704"/>
        <v>4.9612903225806448</v>
      </c>
      <c r="O163" s="15">
        <f t="shared" si="704"/>
        <v>5.7118155619596545</v>
      </c>
      <c r="P163" s="15">
        <f t="shared" si="704"/>
        <v>7.8367346938775508</v>
      </c>
      <c r="Q163" s="15">
        <f t="shared" si="704"/>
        <v>10.38495575221239</v>
      </c>
      <c r="R163" s="15">
        <f t="shared" si="704"/>
        <v>9.0012970168612192</v>
      </c>
      <c r="S163" s="15">
        <f t="shared" si="704"/>
        <v>9.8234624145785876</v>
      </c>
      <c r="T163" s="15">
        <f t="shared" si="704"/>
        <v>10.324349442379182</v>
      </c>
      <c r="U163" s="15">
        <f t="shared" ref="U163:V163" si="705">U10/U7</f>
        <v>9.3681022880215341</v>
      </c>
      <c r="V163" s="15">
        <f t="shared" si="705"/>
        <v>9.368125701459034</v>
      </c>
      <c r="W163" s="101">
        <f t="shared" si="590"/>
        <v>1.4773389440606577E-2</v>
      </c>
      <c r="X163" s="109"/>
      <c r="Y163" s="15">
        <f t="shared" ref="Y163:AH163" si="706">Y10/Y7</f>
        <v>9.3681022880215341</v>
      </c>
      <c r="Z163" s="15">
        <f t="shared" si="706"/>
        <v>9.3681022880215359</v>
      </c>
      <c r="AA163" s="15">
        <f t="shared" si="706"/>
        <v>9.3681022880215341</v>
      </c>
      <c r="AB163" s="15">
        <f t="shared" si="706"/>
        <v>9.3681022880215341</v>
      </c>
      <c r="AC163" s="15">
        <f t="shared" si="706"/>
        <v>9.3681022880215359</v>
      </c>
      <c r="AD163" s="15">
        <f t="shared" si="706"/>
        <v>9.3681022880215359</v>
      </c>
      <c r="AE163" s="15">
        <f t="shared" si="706"/>
        <v>9.3681022880215341</v>
      </c>
      <c r="AF163" s="15">
        <f t="shared" si="706"/>
        <v>9.3681022880215341</v>
      </c>
      <c r="AG163" s="15">
        <f t="shared" si="706"/>
        <v>9.3681022880215341</v>
      </c>
      <c r="AH163" s="15">
        <f t="shared" si="706"/>
        <v>9.3681022880215341</v>
      </c>
      <c r="AI163" s="101">
        <f t="shared" si="696"/>
        <v>0</v>
      </c>
      <c r="AJ163" s="21">
        <f t="shared" si="463"/>
        <v>0.01</v>
      </c>
      <c r="AK163" s="123" t="e">
        <f t="shared" si="612"/>
        <v>#DIV/0!</v>
      </c>
    </row>
    <row r="164" spans="2:37" x14ac:dyDescent="0.2">
      <c r="B164" s="10" t="s">
        <v>300</v>
      </c>
      <c r="C164" s="10"/>
      <c r="D164" s="10"/>
      <c r="E164" s="10"/>
      <c r="F164" s="15"/>
      <c r="G164" s="15">
        <f t="shared" ref="G164" si="707">G10/(G10+G7)</f>
        <v>0.88260497000856897</v>
      </c>
      <c r="H164" s="15">
        <f t="shared" ref="H164:I164" si="708">H10/(H10+H7)</f>
        <v>0.8886446886446886</v>
      </c>
      <c r="I164" s="15">
        <f t="shared" si="708"/>
        <v>0.90259009009009006</v>
      </c>
      <c r="J164" s="15">
        <f t="shared" ref="J164:T164" si="709">J10/(J10+J7)</f>
        <v>0.89892252437147258</v>
      </c>
      <c r="K164" s="15">
        <f t="shared" si="709"/>
        <v>0.88557993730407525</v>
      </c>
      <c r="L164" s="15">
        <f t="shared" si="709"/>
        <v>0.87018469656992081</v>
      </c>
      <c r="M164" s="15">
        <f t="shared" si="709"/>
        <v>0.87149532710280375</v>
      </c>
      <c r="N164" s="15">
        <f t="shared" si="709"/>
        <v>0.83225108225108224</v>
      </c>
      <c r="O164" s="15">
        <f t="shared" si="709"/>
        <v>0.85100901674538432</v>
      </c>
      <c r="P164" s="15">
        <f t="shared" si="709"/>
        <v>0.88683602771362591</v>
      </c>
      <c r="Q164" s="15">
        <f t="shared" si="709"/>
        <v>0.91216478818499802</v>
      </c>
      <c r="R164" s="15">
        <f t="shared" si="709"/>
        <v>0.90001296848657764</v>
      </c>
      <c r="S164" s="15">
        <f t="shared" si="709"/>
        <v>0.90760812375039457</v>
      </c>
      <c r="T164" s="15">
        <f t="shared" si="709"/>
        <v>0.91169470660648333</v>
      </c>
      <c r="U164" s="15">
        <f t="shared" ref="U164:V164" si="710">U10/(U10+U7)</f>
        <v>0.90355033426364639</v>
      </c>
      <c r="V164" s="15">
        <f t="shared" si="710"/>
        <v>0.90355055206754709</v>
      </c>
      <c r="W164" s="101">
        <f t="shared" si="590"/>
        <v>1.5648452226866283E-3</v>
      </c>
      <c r="X164" s="109"/>
      <c r="Y164" s="15">
        <f t="shared" ref="Y164:AH164" si="711">Y10/(Y10+Y7)</f>
        <v>0.90355033426364639</v>
      </c>
      <c r="Z164" s="15">
        <f t="shared" si="711"/>
        <v>0.90355033426364639</v>
      </c>
      <c r="AA164" s="15">
        <f t="shared" si="711"/>
        <v>0.90355033426364628</v>
      </c>
      <c r="AB164" s="15">
        <f t="shared" si="711"/>
        <v>0.90355033426364639</v>
      </c>
      <c r="AC164" s="15">
        <f t="shared" si="711"/>
        <v>0.90355033426364639</v>
      </c>
      <c r="AD164" s="15">
        <f t="shared" si="711"/>
        <v>0.90355033426364639</v>
      </c>
      <c r="AE164" s="15">
        <f t="shared" si="711"/>
        <v>0.90355033426364639</v>
      </c>
      <c r="AF164" s="15">
        <f t="shared" si="711"/>
        <v>0.90355033426364639</v>
      </c>
      <c r="AG164" s="15">
        <f t="shared" si="711"/>
        <v>0.90355033426364628</v>
      </c>
      <c r="AH164" s="15">
        <f t="shared" si="711"/>
        <v>0.90355033426364639</v>
      </c>
      <c r="AI164" s="101">
        <f t="shared" si="696"/>
        <v>0</v>
      </c>
      <c r="AJ164" s="21">
        <f t="shared" si="463"/>
        <v>0.01</v>
      </c>
      <c r="AK164" s="123" t="e">
        <f t="shared" si="612"/>
        <v>#DIV/0!</v>
      </c>
    </row>
    <row r="165" spans="2:37" x14ac:dyDescent="0.2">
      <c r="B165" s="10"/>
      <c r="C165" s="10"/>
      <c r="D165" s="10"/>
      <c r="E165" s="10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21"/>
      <c r="V165" s="121"/>
      <c r="W165" s="101" t="e">
        <f t="shared" si="590"/>
        <v>#DIV/0!</v>
      </c>
      <c r="X165" s="10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14"/>
      <c r="AJ165" s="123"/>
      <c r="AK165" s="123"/>
    </row>
    <row r="166" spans="2:37" x14ac:dyDescent="0.2">
      <c r="B166" s="10" t="s">
        <v>305</v>
      </c>
      <c r="C166" s="10"/>
      <c r="D166" s="10"/>
      <c r="E166" s="10"/>
      <c r="F166" s="15"/>
      <c r="G166" s="15">
        <f t="shared" ref="G166" si="712">G16</f>
        <v>1127</v>
      </c>
      <c r="H166" s="15">
        <f t="shared" ref="H166:I166" si="713">H16</f>
        <v>1329</v>
      </c>
      <c r="I166" s="15">
        <f t="shared" si="713"/>
        <v>1740</v>
      </c>
      <c r="J166" s="15">
        <f t="shared" ref="J166:T166" si="714">J16</f>
        <v>1915</v>
      </c>
      <c r="K166" s="15">
        <f t="shared" si="714"/>
        <v>1887</v>
      </c>
      <c r="L166" s="15">
        <f t="shared" si="714"/>
        <v>1874</v>
      </c>
      <c r="M166" s="15">
        <f t="shared" si="714"/>
        <v>2119</v>
      </c>
      <c r="N166" s="15">
        <f t="shared" si="714"/>
        <v>1826</v>
      </c>
      <c r="O166" s="15">
        <f t="shared" si="714"/>
        <v>2309</v>
      </c>
      <c r="P166" s="15">
        <f t="shared" si="714"/>
        <v>3442</v>
      </c>
      <c r="Q166" s="15">
        <f t="shared" si="714"/>
        <v>5124</v>
      </c>
      <c r="R166" s="15">
        <f t="shared" si="714"/>
        <v>7688</v>
      </c>
      <c r="S166" s="15">
        <f t="shared" si="714"/>
        <v>9479</v>
      </c>
      <c r="T166" s="15">
        <f t="shared" si="714"/>
        <v>12160</v>
      </c>
      <c r="U166" s="15">
        <f t="shared" ref="U166:V166" si="715">U16</f>
        <v>15382</v>
      </c>
      <c r="V166" s="15">
        <f t="shared" si="715"/>
        <v>18450</v>
      </c>
      <c r="W166" s="101">
        <f t="shared" si="590"/>
        <v>0.20486437534655688</v>
      </c>
      <c r="X166" s="109"/>
      <c r="Y166" s="15">
        <f t="shared" ref="Y166:AH166" si="716">Y16</f>
        <v>17689.3</v>
      </c>
      <c r="Z166" s="15">
        <f t="shared" si="716"/>
        <v>20342.694999999996</v>
      </c>
      <c r="AA166" s="15">
        <f t="shared" si="716"/>
        <v>23394.099249999992</v>
      </c>
      <c r="AB166" s="15">
        <f t="shared" si="716"/>
        <v>26903.214137499988</v>
      </c>
      <c r="AC166" s="15">
        <f t="shared" si="716"/>
        <v>30938.696258124983</v>
      </c>
      <c r="AD166" s="15">
        <f t="shared" si="716"/>
        <v>35579.50069684373</v>
      </c>
      <c r="AE166" s="15">
        <f t="shared" si="716"/>
        <v>40916.425801370286</v>
      </c>
      <c r="AF166" s="15">
        <f t="shared" si="716"/>
        <v>47053.889671575824</v>
      </c>
      <c r="AG166" s="15">
        <f t="shared" si="716"/>
        <v>54111.973122312193</v>
      </c>
      <c r="AH166" s="15">
        <f t="shared" si="716"/>
        <v>62228.769090659014</v>
      </c>
      <c r="AI166" s="101">
        <f t="shared" si="696"/>
        <v>8.7473553892344347E-2</v>
      </c>
      <c r="AJ166" s="21">
        <f t="shared" si="463"/>
        <v>0.01</v>
      </c>
      <c r="AK166" s="123" t="e">
        <f t="shared" si="612"/>
        <v>#DIV/0!</v>
      </c>
    </row>
    <row r="167" spans="2:37" x14ac:dyDescent="0.2">
      <c r="B167" s="10" t="s">
        <v>306</v>
      </c>
      <c r="C167" s="10"/>
      <c r="D167" s="10"/>
      <c r="E167" s="10"/>
      <c r="F167" s="102"/>
      <c r="G167" s="102">
        <f t="shared" ref="G167" si="717">G166*365/G25</f>
        <v>3213.7109375</v>
      </c>
      <c r="H167" s="102">
        <f t="shared" ref="H167:I167" si="718">H166*365/H25</f>
        <v>3819.5669291338581</v>
      </c>
      <c r="I167" s="102">
        <f t="shared" si="718"/>
        <v>4291.2162162162158</v>
      </c>
      <c r="J167" s="102">
        <f t="shared" ref="J167:T167" si="719">J166*365/J25</f>
        <v>3678.8157894736842</v>
      </c>
      <c r="K167" s="102">
        <f t="shared" si="719"/>
        <v>3116.5384615384614</v>
      </c>
      <c r="L167" s="102">
        <f t="shared" si="719"/>
        <v>3067.3094170403588</v>
      </c>
      <c r="M167" s="102">
        <f t="shared" si="719"/>
        <v>3580.7175925925926</v>
      </c>
      <c r="N167" s="102">
        <f t="shared" si="719"/>
        <v>2910.4366812227076</v>
      </c>
      <c r="O167" s="102">
        <f t="shared" si="719"/>
        <v>3020.7347670250897</v>
      </c>
      <c r="P167" s="102">
        <f t="shared" si="719"/>
        <v>3204.9234693877552</v>
      </c>
      <c r="Q167" s="102">
        <f t="shared" si="719"/>
        <v>3235.7439446366784</v>
      </c>
      <c r="R167" s="102">
        <f t="shared" si="719"/>
        <v>3434.6634026927786</v>
      </c>
      <c r="S167" s="102">
        <f t="shared" si="719"/>
        <v>3194.6768236380426</v>
      </c>
      <c r="T167" s="102">
        <f t="shared" si="719"/>
        <v>3280.4138950480415</v>
      </c>
      <c r="U167" s="102">
        <f t="shared" ref="U167:V167" si="720">U166*365/U25</f>
        <v>3691.275476660092</v>
      </c>
      <c r="V167" s="102">
        <f t="shared" si="720"/>
        <v>3890.3812824956672</v>
      </c>
      <c r="W167" s="101">
        <f t="shared" si="590"/>
        <v>1.2820206105480514E-2</v>
      </c>
      <c r="X167" s="109"/>
      <c r="Y167" s="102">
        <f t="shared" ref="Y167:AH167" si="721">Y166*365/Y25</f>
        <v>3691.2754766600924</v>
      </c>
      <c r="Z167" s="102">
        <f t="shared" si="721"/>
        <v>3691.2754766600924</v>
      </c>
      <c r="AA167" s="102">
        <f t="shared" si="721"/>
        <v>3691.275476660092</v>
      </c>
      <c r="AB167" s="102">
        <f t="shared" si="721"/>
        <v>3691.275476660092</v>
      </c>
      <c r="AC167" s="102">
        <f t="shared" si="721"/>
        <v>3691.275476660092</v>
      </c>
      <c r="AD167" s="102">
        <f t="shared" si="721"/>
        <v>3691.275476660092</v>
      </c>
      <c r="AE167" s="102">
        <f t="shared" si="721"/>
        <v>3691.275476660092</v>
      </c>
      <c r="AF167" s="102">
        <f t="shared" si="721"/>
        <v>3691.2754766600915</v>
      </c>
      <c r="AG167" s="102">
        <f t="shared" si="721"/>
        <v>3691.2754766600915</v>
      </c>
      <c r="AH167" s="102">
        <f t="shared" si="721"/>
        <v>3691.275476660092</v>
      </c>
      <c r="AI167" s="101">
        <f t="shared" si="696"/>
        <v>0</v>
      </c>
      <c r="AJ167" s="21">
        <f t="shared" si="463"/>
        <v>0.01</v>
      </c>
      <c r="AK167" s="123" t="e">
        <f t="shared" si="612"/>
        <v>#DIV/0!</v>
      </c>
    </row>
    <row r="168" spans="2:37" x14ac:dyDescent="0.2">
      <c r="B168" s="10" t="s">
        <v>309</v>
      </c>
      <c r="C168" s="10"/>
      <c r="D168" s="10"/>
      <c r="E168" s="10"/>
      <c r="F168" s="111"/>
      <c r="G168" s="111">
        <f t="shared" ref="G168" si="722">G102/G29</f>
        <v>0.62388591800356508</v>
      </c>
      <c r="H168" s="111">
        <f t="shared" ref="H168:I168" si="723">H102/H29</f>
        <v>0.64775910364145661</v>
      </c>
      <c r="I168" s="111">
        <f t="shared" si="723"/>
        <v>0.66707095209217704</v>
      </c>
      <c r="J168" s="111">
        <f t="shared" ref="J168:T168" si="724">J102/J29</f>
        <v>0.63874034462269758</v>
      </c>
      <c r="K168" s="111">
        <f t="shared" si="724"/>
        <v>0.59976931949250289</v>
      </c>
      <c r="L168" s="111">
        <f t="shared" si="724"/>
        <v>0.61641423036280374</v>
      </c>
      <c r="M168" s="111">
        <f t="shared" si="724"/>
        <v>0.66260987153482087</v>
      </c>
      <c r="N168" s="111">
        <f t="shared" si="724"/>
        <v>0.68118156353450476</v>
      </c>
      <c r="O168" s="111">
        <f t="shared" si="724"/>
        <v>0.66113624937154347</v>
      </c>
      <c r="P168" s="111">
        <f t="shared" si="724"/>
        <v>0.62183884154368463</v>
      </c>
      <c r="Q168" s="111">
        <f t="shared" si="724"/>
        <v>0.61681070532478399</v>
      </c>
      <c r="R168" s="111">
        <f t="shared" si="724"/>
        <v>0.46222112658695919</v>
      </c>
      <c r="S168" s="111">
        <f t="shared" si="724"/>
        <v>0.50597557149940797</v>
      </c>
      <c r="T168" s="111">
        <f t="shared" si="724"/>
        <v>0.53456605314190453</v>
      </c>
      <c r="U168" s="111">
        <f t="shared" ref="U168:V168" si="725">U102/U29</f>
        <v>0.10806372926321367</v>
      </c>
      <c r="V168" s="111">
        <f t="shared" si="725"/>
        <v>0.10520978007492582</v>
      </c>
      <c r="W168" s="101">
        <f t="shared" si="590"/>
        <v>-0.11189688096977035</v>
      </c>
      <c r="X168" s="109"/>
      <c r="Y168" s="111">
        <f t="shared" ref="Y168:AH168" si="726">Y102/Y29</f>
        <v>0.10594483261099381</v>
      </c>
      <c r="Z168" s="111">
        <f t="shared" si="726"/>
        <v>0.10386748295195472</v>
      </c>
      <c r="AA168" s="111">
        <f t="shared" si="726"/>
        <v>0.10183086563917129</v>
      </c>
      <c r="AB168" s="111">
        <f t="shared" si="726"/>
        <v>9.9834181999187546E-2</v>
      </c>
      <c r="AC168" s="111">
        <f t="shared" si="726"/>
        <v>9.7876649018811324E-2</v>
      </c>
      <c r="AD168" s="111">
        <f t="shared" si="726"/>
        <v>9.5957499038050301E-2</v>
      </c>
      <c r="AE168" s="111">
        <f t="shared" si="726"/>
        <v>9.4075979449068925E-2</v>
      </c>
      <c r="AF168" s="111">
        <f t="shared" si="726"/>
        <v>9.2231352401047961E-2</v>
      </c>
      <c r="AG168" s="111">
        <f t="shared" si="726"/>
        <v>9.0422894510831325E-2</v>
      </c>
      <c r="AH168" s="111">
        <f t="shared" si="726"/>
        <v>8.8649896579246407E-2</v>
      </c>
      <c r="AI168" s="101">
        <f t="shared" si="696"/>
        <v>-1.1811269178039319E-2</v>
      </c>
      <c r="AJ168" s="21">
        <f t="shared" si="463"/>
        <v>0.01</v>
      </c>
      <c r="AK168" s="123" t="e">
        <f t="shared" si="612"/>
        <v>#DIV/0!</v>
      </c>
    </row>
    <row r="169" spans="2:37" x14ac:dyDescent="0.2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21"/>
      <c r="V169" s="121"/>
      <c r="W169" s="101" t="e">
        <f t="shared" si="590"/>
        <v>#DIV/0!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14"/>
      <c r="AJ169" s="123"/>
      <c r="AK169" s="123"/>
    </row>
    <row r="170" spans="2:37" x14ac:dyDescent="0.2">
      <c r="B170" s="10" t="s">
        <v>316</v>
      </c>
      <c r="C170" s="10"/>
      <c r="D170" s="10"/>
      <c r="E170" s="10"/>
      <c r="F170" s="153"/>
      <c r="G170" s="153" t="e">
        <f t="shared" ref="G170" si="727">G25/G14</f>
        <v>#DIV/0!</v>
      </c>
      <c r="H170" s="153" t="e">
        <f t="shared" ref="H170:I170" si="728">H25/H14</f>
        <v>#DIV/0!</v>
      </c>
      <c r="I170" s="153" t="e">
        <f t="shared" si="728"/>
        <v>#DIV/0!</v>
      </c>
      <c r="J170" s="153" t="e">
        <f t="shared" ref="J170:T170" si="729">J25/J14</f>
        <v>#DIV/0!</v>
      </c>
      <c r="K170" s="153" t="e">
        <f t="shared" si="729"/>
        <v>#DIV/0!</v>
      </c>
      <c r="L170" s="153" t="e">
        <f t="shared" si="729"/>
        <v>#DIV/0!</v>
      </c>
      <c r="M170" s="153" t="e">
        <f t="shared" si="729"/>
        <v>#DIV/0!</v>
      </c>
      <c r="N170" s="153" t="e">
        <f t="shared" si="729"/>
        <v>#DIV/0!</v>
      </c>
      <c r="O170" s="153" t="e">
        <f t="shared" si="729"/>
        <v>#DIV/0!</v>
      </c>
      <c r="P170" s="153" t="e">
        <f t="shared" si="729"/>
        <v>#DIV/0!</v>
      </c>
      <c r="Q170" s="153" t="e">
        <f t="shared" si="729"/>
        <v>#DIV/0!</v>
      </c>
      <c r="R170" s="153" t="e">
        <f t="shared" si="729"/>
        <v>#DIV/0!</v>
      </c>
      <c r="S170" s="153" t="e">
        <f t="shared" si="729"/>
        <v>#DIV/0!</v>
      </c>
      <c r="T170" s="153" t="e">
        <f t="shared" si="729"/>
        <v>#DIV/0!</v>
      </c>
      <c r="U170" s="153" t="e">
        <f t="shared" ref="U170:V170" si="730">U25/U14</f>
        <v>#DIV/0!</v>
      </c>
      <c r="V170" s="153" t="e">
        <f t="shared" si="730"/>
        <v>#DIV/0!</v>
      </c>
      <c r="W170" s="101" t="e">
        <f t="shared" si="590"/>
        <v>#DIV/0!</v>
      </c>
      <c r="X170" s="109"/>
      <c r="Y170" s="10" t="e">
        <f t="shared" ref="Y170:AH170" si="731">Y25/Y14</f>
        <v>#DIV/0!</v>
      </c>
      <c r="Z170" s="10" t="e">
        <f t="shared" si="731"/>
        <v>#DIV/0!</v>
      </c>
      <c r="AA170" s="10" t="e">
        <f t="shared" si="731"/>
        <v>#DIV/0!</v>
      </c>
      <c r="AB170" s="10" t="e">
        <f t="shared" si="731"/>
        <v>#DIV/0!</v>
      </c>
      <c r="AC170" s="10" t="e">
        <f t="shared" si="731"/>
        <v>#DIV/0!</v>
      </c>
      <c r="AD170" s="10" t="e">
        <f t="shared" si="731"/>
        <v>#DIV/0!</v>
      </c>
      <c r="AE170" s="10" t="e">
        <f t="shared" si="731"/>
        <v>#DIV/0!</v>
      </c>
      <c r="AF170" s="10" t="e">
        <f t="shared" si="731"/>
        <v>#DIV/0!</v>
      </c>
      <c r="AG170" s="10" t="e">
        <f t="shared" si="731"/>
        <v>#DIV/0!</v>
      </c>
      <c r="AH170" s="10" t="e">
        <f t="shared" si="731"/>
        <v>#DIV/0!</v>
      </c>
      <c r="AI170" s="101" t="e">
        <f t="shared" si="696"/>
        <v>#DIV/0!</v>
      </c>
      <c r="AJ170" s="21">
        <f t="shared" si="463"/>
        <v>0.01</v>
      </c>
      <c r="AK170" s="123" t="e">
        <f t="shared" si="612"/>
        <v>#DIV/0!</v>
      </c>
    </row>
    <row r="171" spans="2:37" x14ac:dyDescent="0.2">
      <c r="B171" s="10" t="s">
        <v>317</v>
      </c>
      <c r="C171" s="10"/>
      <c r="D171" s="10"/>
      <c r="E171" s="10"/>
      <c r="F171" s="153"/>
      <c r="G171" s="153" t="e">
        <f t="shared" ref="G171" si="732">G27/G14</f>
        <v>#DIV/0!</v>
      </c>
      <c r="H171" s="153" t="e">
        <f t="shared" ref="H171:I171" si="733">H27/H14</f>
        <v>#DIV/0!</v>
      </c>
      <c r="I171" s="153" t="e">
        <f t="shared" si="733"/>
        <v>#DIV/0!</v>
      </c>
      <c r="J171" s="153" t="e">
        <f t="shared" ref="J171:T171" si="734">J27/J14</f>
        <v>#DIV/0!</v>
      </c>
      <c r="K171" s="153" t="e">
        <f t="shared" si="734"/>
        <v>#DIV/0!</v>
      </c>
      <c r="L171" s="153" t="e">
        <f t="shared" si="734"/>
        <v>#DIV/0!</v>
      </c>
      <c r="M171" s="153" t="e">
        <f t="shared" si="734"/>
        <v>#DIV/0!</v>
      </c>
      <c r="N171" s="153" t="e">
        <f t="shared" si="734"/>
        <v>#DIV/0!</v>
      </c>
      <c r="O171" s="153" t="e">
        <f t="shared" si="734"/>
        <v>#DIV/0!</v>
      </c>
      <c r="P171" s="153" t="e">
        <f t="shared" si="734"/>
        <v>#DIV/0!</v>
      </c>
      <c r="Q171" s="153" t="e">
        <f t="shared" si="734"/>
        <v>#DIV/0!</v>
      </c>
      <c r="R171" s="153" t="e">
        <f t="shared" si="734"/>
        <v>#DIV/0!</v>
      </c>
      <c r="S171" s="153" t="e">
        <f t="shared" si="734"/>
        <v>#DIV/0!</v>
      </c>
      <c r="T171" s="153" t="e">
        <f t="shared" si="734"/>
        <v>#DIV/0!</v>
      </c>
      <c r="U171" s="153" t="e">
        <f t="shared" ref="U171:V171" si="735">U27/U14</f>
        <v>#DIV/0!</v>
      </c>
      <c r="V171" s="153" t="e">
        <f t="shared" si="735"/>
        <v>#DIV/0!</v>
      </c>
      <c r="W171" s="101" t="e">
        <f t="shared" si="590"/>
        <v>#DIV/0!</v>
      </c>
      <c r="X171" s="109"/>
      <c r="Y171" s="10" t="e">
        <f t="shared" ref="Y171:AH171" si="736">Y27/Y14</f>
        <v>#DIV/0!</v>
      </c>
      <c r="Z171" s="10" t="e">
        <f t="shared" si="736"/>
        <v>#DIV/0!</v>
      </c>
      <c r="AA171" s="10" t="e">
        <f t="shared" si="736"/>
        <v>#DIV/0!</v>
      </c>
      <c r="AB171" s="10" t="e">
        <f t="shared" si="736"/>
        <v>#DIV/0!</v>
      </c>
      <c r="AC171" s="10" t="e">
        <f t="shared" si="736"/>
        <v>#DIV/0!</v>
      </c>
      <c r="AD171" s="10" t="e">
        <f t="shared" si="736"/>
        <v>#DIV/0!</v>
      </c>
      <c r="AE171" s="10" t="e">
        <f t="shared" si="736"/>
        <v>#DIV/0!</v>
      </c>
      <c r="AF171" s="10" t="e">
        <f t="shared" si="736"/>
        <v>#DIV/0!</v>
      </c>
      <c r="AG171" s="10" t="e">
        <f t="shared" si="736"/>
        <v>#DIV/0!</v>
      </c>
      <c r="AH171" s="10" t="e">
        <f t="shared" si="736"/>
        <v>#DIV/0!</v>
      </c>
      <c r="AI171" s="101" t="e">
        <f t="shared" si="696"/>
        <v>#DIV/0!</v>
      </c>
      <c r="AJ171" s="21">
        <f t="shared" si="463"/>
        <v>0.01</v>
      </c>
      <c r="AK171" s="123" t="e">
        <f t="shared" si="612"/>
        <v>#DIV/0!</v>
      </c>
    </row>
    <row r="172" spans="2:37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69" t="s">
        <v>505</v>
      </c>
      <c r="T172" s="169"/>
      <c r="U172" s="10"/>
      <c r="V172" s="10"/>
      <c r="W172" s="109"/>
      <c r="X172" s="109"/>
      <c r="Y172" s="102"/>
      <c r="Z172" s="102"/>
      <c r="AA172" s="102"/>
      <c r="AB172" s="102"/>
      <c r="AC172" s="102"/>
      <c r="AD172" s="102"/>
      <c r="AE172" s="102"/>
      <c r="AF172" s="102"/>
      <c r="AG172" s="102"/>
      <c r="AH172" s="102"/>
      <c r="AI172" s="114"/>
      <c r="AJ172" s="10"/>
      <c r="AK172" s="10"/>
    </row>
    <row r="173" spans="2:37" x14ac:dyDescent="0.2">
      <c r="B173" s="93" t="s">
        <v>201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3" t="s">
        <v>504</v>
      </c>
      <c r="T173" s="13" t="s">
        <v>409</v>
      </c>
      <c r="U173" s="13" t="s">
        <v>409</v>
      </c>
      <c r="V173" s="13"/>
      <c r="W173" s="13" t="s">
        <v>498</v>
      </c>
      <c r="X173" s="10"/>
      <c r="Y173" s="105" t="s">
        <v>54</v>
      </c>
      <c r="Z173" s="10"/>
      <c r="AA173" s="10"/>
      <c r="AB173" s="10"/>
      <c r="AC173" s="10"/>
      <c r="AD173" s="10"/>
      <c r="AE173" s="10"/>
      <c r="AF173" s="10"/>
      <c r="AG173" s="10"/>
      <c r="AH173" s="10"/>
      <c r="AI173" s="114"/>
      <c r="AJ173" s="10"/>
      <c r="AK173" s="10"/>
    </row>
    <row r="174" spans="2:37" x14ac:dyDescent="0.2">
      <c r="B174" s="13" t="s">
        <v>230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11">
        <f>AVERAGE(G106:V106)</f>
        <v>6.9027047332832456</v>
      </c>
      <c r="T174" s="111">
        <f>AVERAGE(R106:V106)</f>
        <v>15.927873779113446</v>
      </c>
      <c r="U174" s="111">
        <f>AVERAGE(R76:V76)</f>
        <v>44.685153906554511</v>
      </c>
      <c r="V174" s="111"/>
      <c r="W174" s="111">
        <f>AVERAGE(M76:V76)</f>
        <v>34.744537737590989</v>
      </c>
      <c r="X174" s="10"/>
      <c r="Y174" s="167" t="s">
        <v>371</v>
      </c>
      <c r="Z174" s="168" t="s">
        <v>372</v>
      </c>
      <c r="AA174" s="10"/>
      <c r="AB174" s="10"/>
      <c r="AC174" s="10"/>
      <c r="AD174" s="10"/>
      <c r="AE174" s="10"/>
      <c r="AF174" s="10"/>
      <c r="AG174" s="10"/>
      <c r="AH174" s="10"/>
      <c r="AI174" s="114"/>
      <c r="AJ174" s="10"/>
      <c r="AK174" s="10"/>
    </row>
    <row r="175" spans="2:37" x14ac:dyDescent="0.2">
      <c r="B175" s="10" t="s">
        <v>13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17" t="e">
        <f>Y175+Z175</f>
        <v>#DIV/0!</v>
      </c>
      <c r="Y175" s="111">
        <f>PV($C$1, ($AH$3-$Y$3), 0, -AH76)</f>
        <v>20.271416666336485</v>
      </c>
      <c r="Z175" s="111" t="e">
        <f>PV($C$1, ($AH$3-$Y$3), 0, -AK76)</f>
        <v>#DIV/0!</v>
      </c>
      <c r="AA175" s="10"/>
      <c r="AB175" s="10"/>
      <c r="AC175" s="10"/>
      <c r="AD175" s="10"/>
      <c r="AE175" s="10"/>
      <c r="AF175" s="10"/>
      <c r="AG175" s="10"/>
      <c r="AH175" s="10"/>
      <c r="AI175" s="114"/>
      <c r="AJ175" s="10"/>
      <c r="AK175" s="10"/>
    </row>
    <row r="176" spans="2:37" x14ac:dyDescent="0.2">
      <c r="B176" s="10" t="s">
        <v>223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17" t="e">
        <f t="shared" ref="X176:X194" si="737">Y176+Z176</f>
        <v>#DIV/0!</v>
      </c>
      <c r="Y176" s="111">
        <f>PV($C$1, ($AH$3-$Y$3), 0, -AH78)</f>
        <v>105.3263117698462</v>
      </c>
      <c r="Z176" s="111" t="e">
        <f>PV($C$1, ($AH$3-$Y$3), 0, -AK78)</f>
        <v>#DIV/0!</v>
      </c>
      <c r="AA176" s="10"/>
      <c r="AB176" s="10"/>
      <c r="AC176" s="10"/>
      <c r="AD176" s="10"/>
      <c r="AE176" s="10"/>
      <c r="AF176" s="10"/>
      <c r="AG176" s="10"/>
      <c r="AH176" s="10"/>
      <c r="AI176" s="114"/>
      <c r="AJ176" s="10"/>
      <c r="AK176" s="10"/>
    </row>
    <row r="177" spans="2:37" x14ac:dyDescent="0.2">
      <c r="B177" s="10" t="s">
        <v>224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17" t="e">
        <f t="shared" si="737"/>
        <v>#DIV/0!</v>
      </c>
      <c r="Y177" s="111">
        <f>PV($C$1, ($AH$3-$Y$3), 0, -AH79)</f>
        <v>103.48345570927013</v>
      </c>
      <c r="Z177" s="111" t="e">
        <f>PV($C$1, ($AH$3-$Y$3), 0, -AK79)</f>
        <v>#DIV/0!</v>
      </c>
      <c r="AA177" s="10"/>
      <c r="AB177" s="10"/>
      <c r="AC177" s="10"/>
      <c r="AD177" s="10"/>
      <c r="AE177" s="10"/>
      <c r="AF177" s="10"/>
      <c r="AG177" s="10"/>
      <c r="AH177" s="10"/>
      <c r="AI177" s="114"/>
      <c r="AJ177" s="10"/>
      <c r="AK177" s="10"/>
    </row>
    <row r="178" spans="2:37" x14ac:dyDescent="0.2">
      <c r="B178" s="10" t="s">
        <v>225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17" t="e">
        <f t="shared" si="737"/>
        <v>#DIV/0!</v>
      </c>
      <c r="Y178" s="111">
        <f>PV($C$1, ($AH$3-$Y$3), 0, -AH80)</f>
        <v>986.70766227996569</v>
      </c>
      <c r="Z178" s="111" t="e">
        <f>PV($C$1, ($AH$3-$Y$3), 0, -AK80)</f>
        <v>#DIV/0!</v>
      </c>
      <c r="AA178" s="10"/>
      <c r="AB178" s="10"/>
      <c r="AC178" s="10"/>
      <c r="AD178" s="10"/>
      <c r="AE178" s="10"/>
      <c r="AF178" s="10"/>
      <c r="AG178" s="10"/>
      <c r="AH178" s="10"/>
      <c r="AI178" s="114"/>
      <c r="AJ178" s="10"/>
      <c r="AK178" s="10"/>
    </row>
    <row r="179" spans="2:37" x14ac:dyDescent="0.2">
      <c r="B179" s="10" t="s">
        <v>226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17" t="e">
        <f t="shared" si="737"/>
        <v>#DIV/0!</v>
      </c>
      <c r="Y179" s="111">
        <f>PV($C$1, ($AH$3-$Y$3), 0, -AH86)</f>
        <v>1.3467025058055702</v>
      </c>
      <c r="Z179" s="111" t="e">
        <f>PV($C$1, ($AH$3-$Y$3), 0, -AK86)</f>
        <v>#DIV/0!</v>
      </c>
      <c r="AA179" s="10"/>
      <c r="AB179" s="10"/>
      <c r="AC179" s="10"/>
      <c r="AD179" s="10"/>
      <c r="AE179" s="10"/>
      <c r="AF179" s="10"/>
      <c r="AG179" s="10"/>
      <c r="AH179" s="10"/>
      <c r="AI179" s="114"/>
      <c r="AJ179" s="10"/>
      <c r="AK179" s="10"/>
    </row>
    <row r="180" spans="2:37" x14ac:dyDescent="0.2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17"/>
      <c r="Y180" s="111"/>
      <c r="Z180" s="10"/>
      <c r="AA180" s="10"/>
      <c r="AB180" s="10"/>
      <c r="AC180" s="10"/>
      <c r="AD180" s="10"/>
      <c r="AE180" s="10"/>
      <c r="AF180" s="10"/>
      <c r="AG180" s="10"/>
      <c r="AH180" s="10"/>
      <c r="AI180" s="114"/>
      <c r="AJ180" s="10"/>
      <c r="AK180" s="10"/>
    </row>
    <row r="181" spans="2:37" x14ac:dyDescent="0.2">
      <c r="B181" s="10" t="s">
        <v>221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17" t="e">
        <f t="shared" si="737"/>
        <v>#DIV/0!</v>
      </c>
      <c r="Y181" s="111">
        <f>PV($C$1, ($AH$3-$Y$3), 0, -AH82)</f>
        <v>-881.38135051011955</v>
      </c>
      <c r="Z181" s="111" t="e">
        <f>PV($C$1, ($AH$3-$Y$3), 0, -$AK$82)</f>
        <v>#DIV/0!</v>
      </c>
      <c r="AA181" s="10"/>
      <c r="AB181" s="10"/>
      <c r="AC181" s="10"/>
      <c r="AD181" s="10"/>
      <c r="AE181" s="10"/>
      <c r="AF181" s="10"/>
      <c r="AG181" s="10"/>
      <c r="AH181" s="10"/>
      <c r="AI181" s="114"/>
      <c r="AJ181" s="10"/>
      <c r="AK181" s="10"/>
    </row>
    <row r="182" spans="2:37" x14ac:dyDescent="0.2">
      <c r="B182" s="10" t="s">
        <v>222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17" t="e">
        <f t="shared" si="737"/>
        <v>#DIV/0!</v>
      </c>
      <c r="Y182" s="111">
        <f>PV($C$1, ($AH$3-$Y$3), 0, -AH83)</f>
        <v>-901.7236462557089</v>
      </c>
      <c r="Z182" s="111" t="e">
        <f>PV($C$1, ($AH$3-$Y$3), 0, -$AK$83)</f>
        <v>#DIV/0!</v>
      </c>
      <c r="AA182" s="10"/>
      <c r="AB182" s="10"/>
      <c r="AC182" s="10"/>
      <c r="AD182" s="10"/>
      <c r="AE182" s="10"/>
      <c r="AF182" s="10"/>
      <c r="AG182" s="10"/>
      <c r="AH182" s="10"/>
      <c r="AI182" s="114"/>
      <c r="AJ182" s="10"/>
      <c r="AK182" s="10"/>
    </row>
    <row r="183" spans="2:37" x14ac:dyDescent="0.2">
      <c r="B183" s="10" t="s">
        <v>227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17" t="e">
        <f t="shared" si="737"/>
        <v>#DIV/0!</v>
      </c>
      <c r="Y183" s="111">
        <f>PV($C$1, ($AH$3-$Y$3), 0, -AH84)</f>
        <v>-900.37694374990326</v>
      </c>
      <c r="Z183" s="111" t="e">
        <f>PV($C$1, ($AH$3-$Y$3), 0, -$AK$84)</f>
        <v>#DIV/0!</v>
      </c>
      <c r="AA183" s="10"/>
      <c r="AB183" s="10"/>
      <c r="AC183" s="10"/>
      <c r="AD183" s="10"/>
      <c r="AE183" s="10"/>
      <c r="AF183" s="10"/>
      <c r="AG183" s="10"/>
      <c r="AH183" s="10"/>
      <c r="AI183" s="114"/>
      <c r="AJ183" s="10"/>
      <c r="AK183" s="10"/>
    </row>
    <row r="184" spans="2:37" x14ac:dyDescent="0.2"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17"/>
      <c r="Y184" s="111"/>
      <c r="Z184" s="10"/>
      <c r="AA184" s="10"/>
      <c r="AB184" s="10"/>
      <c r="AC184" s="10"/>
      <c r="AD184" s="10"/>
      <c r="AE184" s="10"/>
      <c r="AF184" s="10"/>
      <c r="AG184" s="10"/>
      <c r="AH184" s="10"/>
      <c r="AI184" s="114"/>
      <c r="AJ184" s="10"/>
      <c r="AK184" s="10"/>
    </row>
    <row r="185" spans="2:37" x14ac:dyDescent="0.2">
      <c r="B185" s="10" t="s">
        <v>206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17" t="e">
        <f t="shared" si="737"/>
        <v>#DIV/0!</v>
      </c>
      <c r="Y185" s="111">
        <f>PV($C$1, ($AH$3-$Y$3), 0, -AH89)</f>
        <v>1.3467025058055702</v>
      </c>
      <c r="Z185" s="111" t="e">
        <f>PV($C$1, ($AH$3-$Y$3), 0, -AK89)</f>
        <v>#DIV/0!</v>
      </c>
      <c r="AA185" s="10"/>
      <c r="AB185" s="10"/>
      <c r="AC185" s="10"/>
      <c r="AD185" s="10"/>
      <c r="AE185" s="10"/>
      <c r="AF185" s="10"/>
      <c r="AG185" s="10"/>
      <c r="AH185" s="10"/>
      <c r="AI185" s="114"/>
      <c r="AJ185" s="10"/>
      <c r="AK185" s="10"/>
    </row>
    <row r="186" spans="2:37" x14ac:dyDescent="0.2">
      <c r="B186" s="10" t="s">
        <v>207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17" t="e">
        <f t="shared" si="737"/>
        <v>#DIV/0!</v>
      </c>
      <c r="Y186" s="111">
        <f>PV($C$1, ($AH$3-$Y$3), 0, -AH90)</f>
        <v>1090.2619970684884</v>
      </c>
      <c r="Z186" s="111" t="e">
        <f>PV($C$1, ($AH$3-$Y$3), 0, -AK90)</f>
        <v>#DIV/0!</v>
      </c>
      <c r="AA186" s="10"/>
      <c r="AB186" s="10"/>
      <c r="AC186" s="10"/>
      <c r="AD186" s="10"/>
      <c r="AE186" s="10"/>
      <c r="AF186" s="10"/>
      <c r="AG186" s="10"/>
      <c r="AH186" s="10"/>
      <c r="AI186" s="114"/>
      <c r="AJ186" s="10"/>
      <c r="AK186" s="10"/>
    </row>
    <row r="187" spans="2:37" x14ac:dyDescent="0.2"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17"/>
      <c r="Y187" s="111"/>
      <c r="Z187" s="111"/>
      <c r="AA187" s="10"/>
      <c r="AB187" s="10"/>
      <c r="AC187" s="10"/>
      <c r="AD187" s="10"/>
      <c r="AE187" s="10"/>
      <c r="AF187" s="10"/>
      <c r="AG187" s="10"/>
      <c r="AH187" s="10"/>
      <c r="AI187" s="114"/>
      <c r="AJ187" s="10"/>
      <c r="AK187" s="10"/>
    </row>
    <row r="188" spans="2:37" x14ac:dyDescent="0.2">
      <c r="B188" s="10" t="s">
        <v>242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17" t="e">
        <f t="shared" ref="X188" si="738">Y188+Z188</f>
        <v>#DIV/0!</v>
      </c>
      <c r="Y188" s="111">
        <f>PV($C$1, ($AH$3-$Y$3), 0, -AH12)</f>
        <v>21.849999999999994</v>
      </c>
      <c r="Z188" s="111" t="e">
        <f>PV($C$1, ($AH$3-$Y$3), 0, -AK12)</f>
        <v>#DIV/0!</v>
      </c>
      <c r="AA188" s="10"/>
      <c r="AB188" s="10"/>
      <c r="AC188" s="10"/>
      <c r="AD188" s="10"/>
      <c r="AE188" s="10"/>
      <c r="AF188" s="10"/>
      <c r="AG188" s="10"/>
      <c r="AH188" s="10"/>
      <c r="AI188" s="114"/>
      <c r="AJ188" s="10"/>
      <c r="AK188" s="10"/>
    </row>
    <row r="189" spans="2:37" x14ac:dyDescent="0.2">
      <c r="B189" s="10" t="s">
        <v>243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17" t="e">
        <f>Y189+Z189</f>
        <v>#DIV/0!</v>
      </c>
      <c r="Y189" s="117">
        <f>Y188/S61</f>
        <v>8.2142857142857117</v>
      </c>
      <c r="Z189" s="117" t="e">
        <f>Z188/S61</f>
        <v>#DIV/0!</v>
      </c>
      <c r="AA189" s="10"/>
      <c r="AB189" s="10"/>
      <c r="AC189" s="10"/>
      <c r="AD189" s="10"/>
      <c r="AE189" s="10"/>
      <c r="AF189" s="10"/>
      <c r="AG189" s="10"/>
      <c r="AH189" s="10"/>
      <c r="AI189" s="114"/>
      <c r="AJ189" s="10"/>
      <c r="AK189" s="10"/>
    </row>
    <row r="190" spans="2:37" x14ac:dyDescent="0.2"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17"/>
      <c r="Y190" s="117"/>
      <c r="Z190" s="117"/>
      <c r="AA190" s="10"/>
      <c r="AB190" s="10"/>
      <c r="AC190" s="10"/>
      <c r="AD190" s="10"/>
      <c r="AE190" s="10"/>
      <c r="AF190" s="10"/>
      <c r="AG190" s="10"/>
      <c r="AH190" s="10"/>
      <c r="AI190" s="114"/>
      <c r="AJ190" s="10"/>
      <c r="AK190" s="10"/>
    </row>
    <row r="191" spans="2:37" x14ac:dyDescent="0.2">
      <c r="B191" s="93" t="s">
        <v>246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17"/>
      <c r="Y191" s="111"/>
      <c r="Z191" s="111"/>
      <c r="AA191" s="10"/>
      <c r="AB191" s="10"/>
      <c r="AC191" s="10"/>
      <c r="AD191" s="10"/>
      <c r="AE191" s="10"/>
      <c r="AF191" s="10"/>
      <c r="AG191" s="10"/>
      <c r="AH191" s="10"/>
      <c r="AI191" s="114"/>
      <c r="AJ191" s="10"/>
      <c r="AK191" s="10"/>
    </row>
    <row r="192" spans="2:37" x14ac:dyDescent="0.2">
      <c r="B192" s="10" t="s">
        <v>232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17" t="e">
        <f t="shared" ref="X192" si="739">Y192+Z192</f>
        <v>#DIV/0!</v>
      </c>
      <c r="Y192" s="111">
        <f>PV($C$1, ($AH$3-$Y$3), 0, -AH92)+PV($C$1, ($AG$3-$Y$3), 0, -AH92)+PV($C$1, ($AF$3-$Y$3), 0, -AH92)+PV($C$1, ($AE$3-$Y$3), 0, -AH92)+PV($C$1, ($AD$3-$Y$3), 0, -AH92)+PV($C$1, ($AC$3-$Y$3), 0, -AH92)+PV($C$1, ($AB$3-$Y$3), 0, -AH92)+PV($C$1, ($AA$3-$Y$3), 0, -AH92)+PV($C$1, ($Z$3-$Y$3), 0, -AH92)+PV($C$1, ($Y$3-$Y$3), 0, -AH92)</f>
        <v>0</v>
      </c>
      <c r="Z192" s="111" t="e">
        <f>PV($C$1, ($AH$3-$Y$3), 0, -AK92)</f>
        <v>#DIV/0!</v>
      </c>
      <c r="AA192" s="10"/>
      <c r="AB192" s="10"/>
      <c r="AC192" s="10"/>
      <c r="AD192" s="10"/>
      <c r="AE192" s="10"/>
      <c r="AF192" s="10"/>
      <c r="AG192" s="10"/>
      <c r="AH192" s="10"/>
      <c r="AI192" s="114"/>
      <c r="AJ192" s="10"/>
      <c r="AK192" s="10"/>
    </row>
    <row r="193" spans="2:37" x14ac:dyDescent="0.2">
      <c r="B193" s="1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17"/>
      <c r="Y193" s="111"/>
      <c r="Z193" s="111"/>
      <c r="AA193" s="10"/>
      <c r="AB193" s="10"/>
      <c r="AC193" s="10"/>
      <c r="AD193" s="10"/>
      <c r="AE193" s="10"/>
      <c r="AF193" s="10"/>
      <c r="AG193" s="10"/>
      <c r="AH193" s="10"/>
      <c r="AI193" s="114"/>
      <c r="AJ193" s="10"/>
      <c r="AK193" s="10"/>
    </row>
    <row r="194" spans="2:37" x14ac:dyDescent="0.2">
      <c r="B194" s="10" t="s">
        <v>239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17" t="e">
        <f t="shared" si="737"/>
        <v>#DIV/0!</v>
      </c>
      <c r="Y194" s="111">
        <f>PV($C$1, ($AH$3-$Y$3), 0, -AH94)+PV($C$1, ($AG$3-$Y$3), 0, -AH94)+PV($C$1, ($AF$3-$Y$3), 0, -AH94)+PV($C$1, ($AE$3-$Y$3), 0, -AH94)+PV($C$1, ($AD$3-$Y$3), 0, -AH94)+PV($C$1, ($AC$3-$Y$3), 0, -AH94)+PV($C$1, ($AB$3-$Y$3), 0, -AH94)+PV($C$1, ($AA$3-$Y$3), 0, -AH94)+PV($C$1, ($Z$3-$Y$3), 0, -AH94)+PV($C$1, ($Y$3-$Y$3), 0, -AH94)</f>
        <v>0</v>
      </c>
      <c r="Z194" s="111" t="e">
        <f>PV($C$1, ($AH$3-$Y$3), 0, -AK94)</f>
        <v>#DIV/0!</v>
      </c>
      <c r="AA194" s="10"/>
      <c r="AB194" s="10"/>
      <c r="AC194" s="10"/>
      <c r="AD194" s="10"/>
      <c r="AE194" s="10"/>
      <c r="AF194" s="10"/>
      <c r="AG194" s="10"/>
      <c r="AH194" s="10"/>
      <c r="AI194" s="114"/>
      <c r="AJ194" s="10"/>
      <c r="AK194" s="10"/>
    </row>
    <row r="195" spans="2:37" x14ac:dyDescent="0.2"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17"/>
      <c r="Y195" s="111"/>
      <c r="Z195" s="111"/>
      <c r="AA195" s="10"/>
      <c r="AB195" s="10"/>
      <c r="AC195" s="10"/>
      <c r="AD195" s="10"/>
      <c r="AE195" s="10"/>
      <c r="AF195" s="10"/>
      <c r="AG195" s="10"/>
      <c r="AH195" s="10"/>
      <c r="AI195" s="114"/>
      <c r="AJ195" s="10"/>
      <c r="AK195" s="10"/>
    </row>
    <row r="196" spans="2:37" x14ac:dyDescent="0.2">
      <c r="B196" s="10" t="s">
        <v>400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17" t="e">
        <f t="shared" ref="X196:X199" si="740">Y196+Z196</f>
        <v>#DIV/0!</v>
      </c>
      <c r="Y196" s="111">
        <f>PV($C$1, ($AH$3-$Y$3), 0, -AH96)+PV($C$1, ($AG$3-$Y$3), 0, -AH96)+PV($C$1, ($AF$3-$Y$3), 0, -AH96)+PV($C$1, ($AE$3-$Y$3), 0, -AH96)+PV($C$1, ($AD$3-$Y$3), 0, -AH96)+PV($C$1, ($AC$3-$Y$3), 0, -AH96)+PV($C$1, ($AB$3-$Y$3), 0, -AH96)+PV($C$1, ($AA$3-$Y$3), 0, -AH96)+PV($C$1, ($Z$3-$Y$3), 0, -AH96)+PV($C$1, ($Y$3-$Y$3), 0, -AH96)</f>
        <v>0</v>
      </c>
      <c r="Z196" s="111" t="e">
        <f>PV($C$1, ($AH$3-$Y$3), 0, -AK96)</f>
        <v>#DIV/0!</v>
      </c>
      <c r="AA196" s="10"/>
      <c r="AB196" s="10"/>
      <c r="AC196" s="10"/>
      <c r="AD196" s="10"/>
      <c r="AE196" s="10"/>
      <c r="AF196" s="10"/>
      <c r="AG196" s="10"/>
      <c r="AH196" s="10"/>
      <c r="AI196" s="114"/>
      <c r="AJ196" s="10"/>
      <c r="AK196" s="10"/>
    </row>
    <row r="197" spans="2:37" x14ac:dyDescent="0.2">
      <c r="B197" s="10" t="s">
        <v>236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17" t="e">
        <f t="shared" si="740"/>
        <v>#DIV/0!</v>
      </c>
      <c r="Y197" s="111">
        <f>PV($C$1, ($AH$3-$Y$3), 0, -AH97)+PV($C$1, ($AG$3-$Y$3), 0, -AH97)+PV($C$1, ($AF$3-$Y$3), 0, -AH97)+PV($C$1, ($AE$3-$Y$3), 0, -AH97)+PV($C$1, ($AD$3-$Y$3), 0, -AH97)+PV($C$1, ($AC$3-$Y$3), 0, -AH97)+PV($C$1, ($AB$3-$Y$3), 0, -AH97)+PV($C$1, ($AA$3-$Y$3), 0, -AH97)+PV($C$1, ($Z$3-$Y$3), 0, -AH97)+PV($C$1, ($Y$3-$Y$3), 0, -AH97)</f>
        <v>0</v>
      </c>
      <c r="Z197" s="111" t="e">
        <f>PV($C$1, ($AH$3-$Y$3), 0, -AK97)</f>
        <v>#DIV/0!</v>
      </c>
      <c r="AA197" s="10"/>
      <c r="AB197" s="10"/>
      <c r="AC197" s="10"/>
      <c r="AD197" s="10"/>
      <c r="AE197" s="10"/>
      <c r="AF197" s="10"/>
      <c r="AG197" s="10"/>
      <c r="AH197" s="10"/>
      <c r="AI197" s="114"/>
      <c r="AJ197" s="10"/>
      <c r="AK197" s="10"/>
    </row>
    <row r="198" spans="2:37" x14ac:dyDescent="0.2">
      <c r="B198" s="10" t="s">
        <v>237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17" t="e">
        <f t="shared" si="740"/>
        <v>#DIV/0!</v>
      </c>
      <c r="Y198" s="111">
        <f>PV($C$1, ($AH$3-$Y$3), 0, -AH98)+PV($C$1, ($AG$3-$Y$3), 0, -AH98)+PV($C$1, ($AF$3-$Y$3), 0, -AH98)+PV($C$1, ($AE$3-$Y$3), 0, -AH98)+PV($C$1, ($AD$3-$Y$3), 0, -AH98)+PV($C$1, ($AC$3-$Y$3), 0, -AH98)+PV($C$1, ($AB$3-$Y$3), 0, -AH98)+PV($C$1, ($AA$3-$Y$3), 0, -AH98)+PV($C$1, ($Z$3-$Y$3), 0, -AH98)+PV($C$1, ($Y$3-$Y$3), 0, -AH98)</f>
        <v>0</v>
      </c>
      <c r="Z198" s="111" t="e">
        <f>PV($C$1, ($AH$3-$Y$3), 0, -AK98)</f>
        <v>#DIV/0!</v>
      </c>
      <c r="AA198" s="10"/>
      <c r="AB198" s="10"/>
      <c r="AC198" s="10"/>
      <c r="AD198" s="10"/>
      <c r="AE198" s="10"/>
      <c r="AF198" s="10"/>
      <c r="AG198" s="10"/>
      <c r="AH198" s="10"/>
      <c r="AI198" s="114"/>
      <c r="AJ198" s="10"/>
      <c r="AK198" s="10"/>
    </row>
    <row r="199" spans="2:37" x14ac:dyDescent="0.2">
      <c r="B199" s="10" t="s">
        <v>238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17" t="e">
        <f t="shared" si="740"/>
        <v>#DIV/0!</v>
      </c>
      <c r="Y199" s="111">
        <f>PV($C$1, ($AH$3-$Y$3), 0, -AH99)+PV($C$1, ($AG$3-$Y$3), 0, -AH99)+PV($C$1, ($AF$3-$Y$3), 0, -AH99)+PV($C$1, ($AE$3-$Y$3), 0, -AH99)+PV($C$1, ($AD$3-$Y$3), 0, -AH99)+PV($C$1, ($AC$3-$Y$3), 0, -AH99)+PV($C$1, ($AB$3-$Y$3), 0, -AH99)+PV($C$1, ($AA$3-$Y$3), 0, -AH99)+PV($C$1, ($Z$3-$Y$3), 0, -AH99)+PV($C$1, ($Y$3-$Y$3), 0, -AH99)</f>
        <v>0</v>
      </c>
      <c r="Z199" s="111" t="e">
        <f>PV($C$1, ($AH$3-$Y$3), 0, -AK99)</f>
        <v>#DIV/0!</v>
      </c>
      <c r="AA199" s="10"/>
      <c r="AB199" s="10"/>
      <c r="AC199" s="10"/>
      <c r="AD199" s="10"/>
      <c r="AE199" s="10"/>
      <c r="AF199" s="10"/>
      <c r="AG199" s="10"/>
      <c r="AH199" s="10"/>
      <c r="AI199" s="114"/>
      <c r="AJ199" s="10"/>
      <c r="AK199" s="10"/>
    </row>
    <row r="200" spans="2:37" x14ac:dyDescent="0.2">
      <c r="B200" s="10" t="s">
        <v>398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95" t="e">
        <f>X197+X198+X199</f>
        <v>#DIV/0!</v>
      </c>
      <c r="Y200" s="95">
        <f t="shared" ref="Y200:Z200" si="741">Y197+Y198+Y199</f>
        <v>0</v>
      </c>
      <c r="Z200" s="95" t="e">
        <f t="shared" si="741"/>
        <v>#DIV/0!</v>
      </c>
      <c r="AA200" s="10"/>
      <c r="AB200" s="10"/>
      <c r="AC200" s="10"/>
      <c r="AD200" s="10"/>
      <c r="AE200" s="10"/>
      <c r="AF200" s="10"/>
      <c r="AG200" s="10"/>
      <c r="AH200" s="10"/>
      <c r="AI200" s="114"/>
      <c r="AJ200" s="10"/>
      <c r="AK200" s="10"/>
    </row>
    <row r="201" spans="2:37" x14ac:dyDescent="0.2"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17"/>
      <c r="Y201" s="111"/>
      <c r="Z201" s="111"/>
      <c r="AA201" s="10"/>
      <c r="AB201" s="10"/>
      <c r="AC201" s="10"/>
      <c r="AD201" s="10"/>
      <c r="AE201" s="10"/>
      <c r="AF201" s="10"/>
      <c r="AG201" s="10"/>
      <c r="AH201" s="10"/>
      <c r="AI201" s="114"/>
      <c r="AJ201" s="10"/>
      <c r="AK201" s="10"/>
    </row>
    <row r="202" spans="2:37" x14ac:dyDescent="0.2">
      <c r="B202" s="10" t="s">
        <v>247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17" t="e">
        <f>Y202+Z202</f>
        <v>#DIV/0!</v>
      </c>
      <c r="Y202" s="111">
        <f>PV($C$1, ($AH$3-$Y$3), 0, -AH100)+PV($C$1, ($AG$3-$Y$3), 0, -AH100)+PV($C$1, ($AF$3-$Y$3), 0, -AH100)+PV($C$1, ($AE$3-$Y$3), 0, -AH100)+PV($C$1, ($AD$3-$Y$3), 0, -AH100)+PV($C$1, ($AC$3-$Y$3), 0, -AH100)+PV($C$1, ($AB$3-$Y$3), 0, -AH100)+PV($C$1, ($AA$3-$Y$3), 0, -AH100)+PV($C$1, ($Z$3-$Y$3), 0, -AH100)+PV($C$1, ($Y$3-$Y$3), 0, -AH100)</f>
        <v>0</v>
      </c>
      <c r="Z202" s="111" t="e">
        <f>PV($C$1, ($AH$3-$Y$3), 0, -AK100)</f>
        <v>#DIV/0!</v>
      </c>
      <c r="AA202" s="10"/>
      <c r="AB202" s="10"/>
      <c r="AC202" s="10"/>
      <c r="AD202" s="10"/>
      <c r="AE202" s="10"/>
      <c r="AF202" s="10"/>
      <c r="AG202" s="10"/>
      <c r="AH202" s="10"/>
      <c r="AI202" s="114"/>
      <c r="AJ202" s="10"/>
      <c r="AK202" s="10"/>
    </row>
    <row r="203" spans="2:37" x14ac:dyDescent="0.2"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56">
        <v>41729</v>
      </c>
      <c r="U203" s="10">
        <v>349.1</v>
      </c>
      <c r="V203" s="10"/>
      <c r="W203" s="10"/>
      <c r="X203" s="10"/>
      <c r="Y203" s="104"/>
      <c r="Z203" s="10"/>
      <c r="AA203" s="10"/>
      <c r="AB203" s="10"/>
      <c r="AC203" s="10"/>
      <c r="AD203" s="10"/>
      <c r="AE203" s="10"/>
      <c r="AF203" s="10"/>
      <c r="AG203" s="10"/>
      <c r="AH203" s="10"/>
      <c r="AI203" s="114"/>
      <c r="AJ203" s="10"/>
      <c r="AK203" s="10"/>
    </row>
    <row r="204" spans="2:37" x14ac:dyDescent="0.2">
      <c r="B204" s="93" t="s">
        <v>208</v>
      </c>
      <c r="C204" s="10"/>
      <c r="D204" s="10"/>
      <c r="E204" s="10"/>
      <c r="F204" s="174"/>
      <c r="G204" s="174"/>
      <c r="H204" s="169">
        <v>0</v>
      </c>
      <c r="I204" s="169">
        <v>0</v>
      </c>
      <c r="J204" s="169">
        <v>0</v>
      </c>
      <c r="K204" s="169">
        <v>0</v>
      </c>
      <c r="L204" s="169">
        <v>0</v>
      </c>
      <c r="M204" s="169">
        <v>0</v>
      </c>
      <c r="N204" s="169">
        <v>0</v>
      </c>
      <c r="O204" s="169">
        <v>0</v>
      </c>
      <c r="P204" s="169">
        <v>0</v>
      </c>
      <c r="Q204" s="169">
        <v>0</v>
      </c>
      <c r="R204" s="169">
        <v>0</v>
      </c>
      <c r="S204" s="169">
        <v>0</v>
      </c>
      <c r="T204" s="13" t="s">
        <v>332</v>
      </c>
      <c r="U204" s="10">
        <v>398</v>
      </c>
      <c r="V204" s="10">
        <v>250</v>
      </c>
      <c r="W204" s="13" t="s">
        <v>333</v>
      </c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14"/>
      <c r="AJ204" s="10"/>
      <c r="AK204" s="10"/>
    </row>
    <row r="205" spans="2:37" x14ac:dyDescent="0.2">
      <c r="B205" s="10" t="s">
        <v>183</v>
      </c>
      <c r="C205" s="12">
        <v>0</v>
      </c>
      <c r="D205" s="12">
        <v>0</v>
      </c>
      <c r="E205" s="12">
        <v>0</v>
      </c>
      <c r="F205" s="12">
        <v>0</v>
      </c>
      <c r="G205" s="12">
        <v>40</v>
      </c>
      <c r="H205" s="12">
        <v>44</v>
      </c>
      <c r="I205" s="12">
        <v>49</v>
      </c>
      <c r="J205" s="12">
        <v>61</v>
      </c>
      <c r="K205" s="12">
        <v>67</v>
      </c>
      <c r="L205" s="12">
        <v>51</v>
      </c>
      <c r="M205" s="12">
        <v>80</v>
      </c>
      <c r="N205" s="12">
        <v>107</v>
      </c>
      <c r="O205" s="12">
        <v>112</v>
      </c>
      <c r="P205" s="12">
        <v>135</v>
      </c>
      <c r="Q205" s="12">
        <v>190</v>
      </c>
      <c r="R205" s="12">
        <v>607</v>
      </c>
      <c r="S205" s="12">
        <v>1154</v>
      </c>
      <c r="T205" s="12">
        <v>2121</v>
      </c>
      <c r="U205" s="12">
        <v>484</v>
      </c>
      <c r="V205" s="12">
        <v>398</v>
      </c>
      <c r="W205" s="101">
        <f t="shared" ref="W205:W236" si="742">((U205/G205)^(1/($K$2-$K$1) ))-1</f>
        <v>0.18082541342286174</v>
      </c>
      <c r="X205" s="21">
        <v>0.1</v>
      </c>
      <c r="Y205" s="170">
        <v>400</v>
      </c>
      <c r="Z205" s="102">
        <f t="shared" ref="Z205:AH205" si="743">Y205*(1+$X205)</f>
        <v>440.00000000000006</v>
      </c>
      <c r="AA205" s="102">
        <f t="shared" si="743"/>
        <v>484.00000000000011</v>
      </c>
      <c r="AB205" s="102">
        <f t="shared" si="743"/>
        <v>532.4000000000002</v>
      </c>
      <c r="AC205" s="102">
        <f t="shared" si="743"/>
        <v>585.64000000000033</v>
      </c>
      <c r="AD205" s="102">
        <f t="shared" si="743"/>
        <v>644.20400000000041</v>
      </c>
      <c r="AE205" s="102">
        <f t="shared" si="743"/>
        <v>708.62440000000049</v>
      </c>
      <c r="AF205" s="102">
        <f t="shared" si="743"/>
        <v>779.4868400000006</v>
      </c>
      <c r="AG205" s="102">
        <f t="shared" si="743"/>
        <v>857.43552400000078</v>
      </c>
      <c r="AH205" s="102">
        <f t="shared" si="743"/>
        <v>943.17907640000089</v>
      </c>
      <c r="AI205" s="115">
        <f t="shared" ref="AI205:AI212" si="744">((AH205/J205)^(1/($AH$3-$K$1) ))-1</f>
        <v>0.11575944767510626</v>
      </c>
      <c r="AJ205" s="21">
        <f t="shared" ref="AJ205:AJ212" si="745">$O$1</f>
        <v>0.01</v>
      </c>
      <c r="AK205" s="108">
        <f t="shared" ref="AK205:AK216" si="746">(AH205*(1+AI205))/($C$1-AJ205)</f>
        <v>7516.8640381627283</v>
      </c>
    </row>
    <row r="206" spans="2:37" x14ac:dyDescent="0.2">
      <c r="B206" s="10" t="s">
        <v>303</v>
      </c>
      <c r="C206" s="15"/>
      <c r="D206" s="15"/>
      <c r="E206" s="15"/>
      <c r="F206" s="15"/>
      <c r="G206" s="15">
        <f t="shared" ref="G206" si="747">G205/G70</f>
        <v>0.63750000000000007</v>
      </c>
      <c r="H206" s="15">
        <f t="shared" ref="H206:I206" si="748">H205/H70</f>
        <v>0.70677165354330718</v>
      </c>
      <c r="I206" s="15">
        <f t="shared" si="748"/>
        <v>0.67540540540540539</v>
      </c>
      <c r="J206" s="15">
        <f t="shared" ref="J206:T206" si="749">J205/J70</f>
        <v>0.65494736842105261</v>
      </c>
      <c r="K206" s="15">
        <f t="shared" si="749"/>
        <v>0.61846153846153851</v>
      </c>
      <c r="L206" s="15">
        <f t="shared" si="749"/>
        <v>0.46654708520179372</v>
      </c>
      <c r="M206" s="15">
        <f t="shared" si="749"/>
        <v>0.75555555555555565</v>
      </c>
      <c r="N206" s="15">
        <f t="shared" si="749"/>
        <v>0.95318777292576418</v>
      </c>
      <c r="O206" s="15">
        <f t="shared" si="749"/>
        <v>0.81892473118279574</v>
      </c>
      <c r="P206" s="15">
        <f t="shared" si="749"/>
        <v>0.70255102040816331</v>
      </c>
      <c r="Q206" s="15">
        <f t="shared" si="749"/>
        <v>0.67058823529411771</v>
      </c>
      <c r="R206" s="15">
        <f t="shared" si="749"/>
        <v>1.9762790697674422</v>
      </c>
      <c r="S206" s="15">
        <f t="shared" si="749"/>
        <v>2.8343859649122809</v>
      </c>
      <c r="T206" s="15">
        <f t="shared" si="749"/>
        <v>4.1698891352549889</v>
      </c>
      <c r="U206" s="15">
        <f t="shared" ref="U206:V206" si="750">U205/U70</f>
        <v>4.2353977646285337</v>
      </c>
      <c r="V206" s="15">
        <f t="shared" si="750"/>
        <v>3.0603004043905258</v>
      </c>
      <c r="W206" s="101">
        <f t="shared" si="742"/>
        <v>0.13456034719134791</v>
      </c>
      <c r="X206" s="109"/>
      <c r="Y206" s="15">
        <f t="shared" ref="Y206:AH206" si="751">Y205/Y70</f>
        <v>3.1046393962781926</v>
      </c>
      <c r="Z206" s="15">
        <f t="shared" si="751"/>
        <v>3.0290481761948982</v>
      </c>
      <c r="AA206" s="15">
        <f t="shared" si="751"/>
        <v>2.9552974379918928</v>
      </c>
      <c r="AB206" s="15">
        <f t="shared" si="751"/>
        <v>2.8833423699364387</v>
      </c>
      <c r="AC206" s="15">
        <f t="shared" si="751"/>
        <v>2.8131392513640736</v>
      </c>
      <c r="AD206" s="15">
        <f t="shared" si="751"/>
        <v>2.7446454261134705</v>
      </c>
      <c r="AE206" s="15">
        <f t="shared" si="751"/>
        <v>2.6778192766080995</v>
      </c>
      <c r="AF206" s="15">
        <f t="shared" si="751"/>
        <v>2.6126201985689463</v>
      </c>
      <c r="AG206" s="15">
        <f t="shared" si="751"/>
        <v>2.5490085763429202</v>
      </c>
      <c r="AH206" s="15">
        <f t="shared" si="751"/>
        <v>2.4869457588319621</v>
      </c>
      <c r="AI206" s="115">
        <f t="shared" ref="AI206" si="752">((AH206/J206)^(1/($AH$3-$K$1) ))-1</f>
        <v>5.4820099085296503E-2</v>
      </c>
      <c r="AJ206" s="21">
        <f t="shared" si="745"/>
        <v>0.01</v>
      </c>
      <c r="AK206" s="108">
        <f t="shared" ref="AK206" si="753">(AH206*(1+AI206))/($C$1-AJ206)</f>
        <v>18.737716941077775</v>
      </c>
    </row>
    <row r="207" spans="2:37" x14ac:dyDescent="0.2">
      <c r="B207" s="10" t="s">
        <v>331</v>
      </c>
      <c r="C207" s="15"/>
      <c r="D207" s="15"/>
      <c r="E207" s="15"/>
      <c r="F207" s="15"/>
      <c r="G207" s="15">
        <f t="shared" ref="G207" si="754">G205/G76</f>
        <v>4.08</v>
      </c>
      <c r="H207" s="15">
        <f t="shared" ref="H207:I207" si="755">H205/H76</f>
        <v>4.2742857142857149</v>
      </c>
      <c r="I207" s="15">
        <f t="shared" si="755"/>
        <v>3.7022222222222223</v>
      </c>
      <c r="J207" s="15">
        <f t="shared" ref="J207:T207" si="756">J205/J76</f>
        <v>4.1480000000000006</v>
      </c>
      <c r="K207" s="15">
        <f t="shared" si="756"/>
        <v>4.8814285714285717</v>
      </c>
      <c r="L207" s="15">
        <f t="shared" si="756"/>
        <v>3.3561290322580648</v>
      </c>
      <c r="M207" s="15">
        <f t="shared" si="756"/>
        <v>4.1846153846153848</v>
      </c>
      <c r="N207" s="15">
        <f t="shared" si="756"/>
        <v>5.1971428571428575</v>
      </c>
      <c r="O207" s="15">
        <f t="shared" si="756"/>
        <v>5.3134883720930235</v>
      </c>
      <c r="P207" s="15">
        <f t="shared" si="756"/>
        <v>5.1000000000000005</v>
      </c>
      <c r="Q207" s="15">
        <f t="shared" si="756"/>
        <v>5.1680000000000001</v>
      </c>
      <c r="R207" s="15">
        <f t="shared" si="756"/>
        <v>18.7746511627907</v>
      </c>
      <c r="S207" s="15">
        <f t="shared" si="756"/>
        <v>19.551847133757963</v>
      </c>
      <c r="T207" s="15">
        <f t="shared" si="756"/>
        <v>24.007914893617023</v>
      </c>
      <c r="U207" s="15">
        <f t="shared" ref="U207:V207" si="757">U205/U76</f>
        <v>22.524615384615387</v>
      </c>
      <c r="V207" s="15">
        <f t="shared" si="757"/>
        <v>17.896554054054054</v>
      </c>
      <c r="W207" s="101">
        <f t="shared" si="742"/>
        <v>0.12064093235481055</v>
      </c>
      <c r="X207" s="109"/>
      <c r="Y207" s="102">
        <f t="shared" ref="Y207:AH207" si="758">Y205/Y76</f>
        <v>16.511036789297659</v>
      </c>
      <c r="Z207" s="102">
        <f t="shared" si="758"/>
        <v>16.109028937036502</v>
      </c>
      <c r="AA207" s="102">
        <f t="shared" si="758"/>
        <v>15.71680910204779</v>
      </c>
      <c r="AB207" s="102">
        <f t="shared" si="758"/>
        <v>15.33413896738924</v>
      </c>
      <c r="AC207" s="102">
        <f t="shared" si="758"/>
        <v>14.960786018618027</v>
      </c>
      <c r="AD207" s="102">
        <f t="shared" si="758"/>
        <v>14.596523402512545</v>
      </c>
      <c r="AE207" s="102">
        <f t="shared" si="758"/>
        <v>14.241129789233982</v>
      </c>
      <c r="AF207" s="102">
        <f t="shared" si="758"/>
        <v>13.89438923784394</v>
      </c>
      <c r="AG207" s="102">
        <f t="shared" si="758"/>
        <v>13.556091065096437</v>
      </c>
      <c r="AH207" s="102">
        <f t="shared" si="758"/>
        <v>13.226029717424524</v>
      </c>
      <c r="AI207" s="115">
        <f t="shared" si="744"/>
        <v>4.7474911645674966E-2</v>
      </c>
      <c r="AJ207" s="21">
        <f t="shared" si="745"/>
        <v>0.01</v>
      </c>
      <c r="AK207" s="108">
        <f t="shared" si="746"/>
        <v>98.95667364058805</v>
      </c>
    </row>
    <row r="208" spans="2:37" x14ac:dyDescent="0.2">
      <c r="B208" s="10" t="s">
        <v>403</v>
      </c>
      <c r="C208" s="15"/>
      <c r="D208" s="15"/>
      <c r="E208" s="15"/>
      <c r="F208" s="15"/>
      <c r="G208" s="15">
        <f t="shared" ref="G208" si="759">G205/G74</f>
        <v>0.72857142857142865</v>
      </c>
      <c r="H208" s="15">
        <f t="shared" ref="H208:I208" si="760">H205/H74</f>
        <v>0.8086486486486486</v>
      </c>
      <c r="I208" s="15">
        <f t="shared" si="760"/>
        <v>0.75727272727272732</v>
      </c>
      <c r="J208" s="15">
        <f t="shared" ref="J208:T208" si="761">J205/J74</f>
        <v>0.7234883720930233</v>
      </c>
      <c r="K208" s="15">
        <f t="shared" si="761"/>
        <v>0.65711538461538466</v>
      </c>
      <c r="L208" s="15">
        <f t="shared" si="761"/>
        <v>0.49542857142857144</v>
      </c>
      <c r="M208" s="15">
        <f t="shared" si="761"/>
        <v>0.83265306122448979</v>
      </c>
      <c r="N208" s="15">
        <f t="shared" si="761"/>
        <v>1.02</v>
      </c>
      <c r="O208" s="15">
        <f t="shared" si="761"/>
        <v>0.86874524714828905</v>
      </c>
      <c r="P208" s="15">
        <f t="shared" si="761"/>
        <v>0.76713091922005572</v>
      </c>
      <c r="Q208" s="15">
        <f t="shared" si="761"/>
        <v>0.72994350282485876</v>
      </c>
      <c r="R208" s="15">
        <f t="shared" si="761"/>
        <v>2.1528266666666669</v>
      </c>
      <c r="S208" s="15">
        <f t="shared" si="761"/>
        <v>3.0696400000000001</v>
      </c>
      <c r="T208" s="15">
        <f t="shared" si="761"/>
        <v>4.4883532219570412</v>
      </c>
      <c r="U208" s="15">
        <f t="shared" ref="U208:V208" si="762">U205/U74</f>
        <v>4.5655846917080085</v>
      </c>
      <c r="V208" s="15">
        <f t="shared" si="762"/>
        <v>3.2360293219303604</v>
      </c>
      <c r="W208" s="101">
        <f t="shared" si="742"/>
        <v>0.13014703806411432</v>
      </c>
      <c r="X208" s="109"/>
      <c r="Y208" s="15">
        <f t="shared" ref="Y208:AH208" si="763">Y205/Y74</f>
        <v>3.346673651126244</v>
      </c>
      <c r="Z208" s="15">
        <f t="shared" si="763"/>
        <v>3.265189423098823</v>
      </c>
      <c r="AA208" s="15">
        <f t="shared" si="763"/>
        <v>3.1856891588842444</v>
      </c>
      <c r="AB208" s="15">
        <f t="shared" si="763"/>
        <v>3.1081245532766282</v>
      </c>
      <c r="AC208" s="15">
        <f t="shared" si="763"/>
        <v>3.0324484771968505</v>
      </c>
      <c r="AD208" s="15">
        <f t="shared" si="763"/>
        <v>2.9586149490564062</v>
      </c>
      <c r="AE208" s="15">
        <f t="shared" si="763"/>
        <v>2.8865791068185112</v>
      </c>
      <c r="AF208" s="15">
        <f t="shared" si="763"/>
        <v>2.8162971807394523</v>
      </c>
      <c r="AG208" s="15">
        <f t="shared" si="763"/>
        <v>2.747726466773623</v>
      </c>
      <c r="AH208" s="15">
        <f t="shared" si="763"/>
        <v>2.6808253006260916</v>
      </c>
      <c r="AI208" s="115">
        <f t="shared" ref="AI208:AI209" si="764">((AH208/J208)^(1/($AH$3-$K$1) ))-1</f>
        <v>5.3788557061602349E-2</v>
      </c>
      <c r="AJ208" s="21">
        <f t="shared" si="745"/>
        <v>0.01</v>
      </c>
      <c r="AK208" s="108">
        <f t="shared" ref="AK208:AK209" si="765">(AH208*(1+AI208))/($C$1-AJ208)</f>
        <v>20.178735894864328</v>
      </c>
    </row>
    <row r="209" spans="2:37" x14ac:dyDescent="0.2">
      <c r="B209" s="10" t="s">
        <v>404</v>
      </c>
      <c r="C209" s="15"/>
      <c r="D209" s="15"/>
      <c r="E209" s="15"/>
      <c r="F209" s="15"/>
      <c r="G209" s="15">
        <f t="shared" ref="G209" si="766">G205/G75</f>
        <v>3.5478260869565221</v>
      </c>
      <c r="H209" s="15">
        <f t="shared" ref="H209:I209" si="767">H205/H75</f>
        <v>3.205714285714286</v>
      </c>
      <c r="I209" s="15">
        <f t="shared" si="767"/>
        <v>2.8559999999999999</v>
      </c>
      <c r="J209" s="15">
        <f t="shared" ref="J209:T209" si="768">J205/J75</f>
        <v>3.1109999999999998</v>
      </c>
      <c r="K209" s="15">
        <f t="shared" si="768"/>
        <v>3.6940540540540541</v>
      </c>
      <c r="L209" s="15">
        <f t="shared" si="768"/>
        <v>2.4195348837209303</v>
      </c>
      <c r="M209" s="15">
        <f t="shared" si="768"/>
        <v>3.0222222222222226</v>
      </c>
      <c r="N209" s="15">
        <f t="shared" si="768"/>
        <v>3.7634482758620691</v>
      </c>
      <c r="O209" s="15">
        <f t="shared" si="768"/>
        <v>3.7455737704918031</v>
      </c>
      <c r="P209" s="15">
        <f t="shared" si="768"/>
        <v>3.6719999999999997</v>
      </c>
      <c r="Q209" s="15">
        <f t="shared" si="768"/>
        <v>3.6566037735849055</v>
      </c>
      <c r="R209" s="15">
        <f t="shared" si="768"/>
        <v>11.785547445255476</v>
      </c>
      <c r="S209" s="15">
        <f t="shared" si="768"/>
        <v>12.085196850393702</v>
      </c>
      <c r="T209" s="15">
        <f t="shared" si="768"/>
        <v>15.24827027027027</v>
      </c>
      <c r="U209" s="15">
        <f t="shared" ref="U209:V209" si="769">U205/U75</f>
        <v>14.946728538283063</v>
      </c>
      <c r="V209" s="15">
        <f t="shared" si="769"/>
        <v>11.295053304904052</v>
      </c>
      <c r="W209" s="101">
        <f t="shared" si="742"/>
        <v>0.10062385527384432</v>
      </c>
      <c r="X209" s="109"/>
      <c r="Y209" s="15">
        <f t="shared" ref="Y209:AH210" si="770">Y205/Y75</f>
        <v>10.956279632805407</v>
      </c>
      <c r="Z209" s="15">
        <f t="shared" si="770"/>
        <v>10.689518041745799</v>
      </c>
      <c r="AA209" s="15">
        <f t="shared" si="770"/>
        <v>10.429251515511991</v>
      </c>
      <c r="AB209" s="15">
        <f t="shared" si="770"/>
        <v>10.17532191339518</v>
      </c>
      <c r="AC209" s="15">
        <f t="shared" si="770"/>
        <v>9.927574945069038</v>
      </c>
      <c r="AD209" s="15">
        <f t="shared" si="770"/>
        <v>9.6858600768412728</v>
      </c>
      <c r="AE209" s="15">
        <f t="shared" si="770"/>
        <v>9.4500304401877475</v>
      </c>
      <c r="AF209" s="15">
        <f t="shared" si="770"/>
        <v>9.2199427425136129</v>
      </c>
      <c r="AG209" s="15">
        <f t="shared" si="770"/>
        <v>8.995457180087195</v>
      </c>
      <c r="AH209" s="15">
        <f t="shared" si="770"/>
        <v>8.7764373530937689</v>
      </c>
      <c r="AI209" s="115">
        <f t="shared" si="764"/>
        <v>4.2357582197684929E-2</v>
      </c>
      <c r="AJ209" s="21">
        <f t="shared" si="745"/>
        <v>0.01</v>
      </c>
      <c r="AK209" s="108">
        <f t="shared" si="765"/>
        <v>65.344185854859077</v>
      </c>
    </row>
    <row r="210" spans="2:37" x14ac:dyDescent="0.2">
      <c r="B210" s="10" t="s">
        <v>215</v>
      </c>
      <c r="C210" s="15"/>
      <c r="D210" s="15"/>
      <c r="E210" s="15"/>
      <c r="F210" s="15"/>
      <c r="G210" s="15">
        <f t="shared" ref="G210" si="771">G205/G79</f>
        <v>0.6974358974358974</v>
      </c>
      <c r="H210" s="15">
        <f t="shared" ref="H210:I210" si="772">H205/H79</f>
        <v>0.68</v>
      </c>
      <c r="I210" s="15">
        <f t="shared" si="772"/>
        <v>0.65333333333333332</v>
      </c>
      <c r="J210" s="15">
        <f t="shared" ref="J210:T210" si="773">J205/J79</f>
        <v>0.70305084745762714</v>
      </c>
      <c r="K210" s="15">
        <f t="shared" si="773"/>
        <v>0.68683417085427134</v>
      </c>
      <c r="L210" s="15">
        <f t="shared" si="773"/>
        <v>0.46035398230088498</v>
      </c>
      <c r="M210" s="15">
        <f t="shared" si="773"/>
        <v>0.64251968503937007</v>
      </c>
      <c r="N210" s="15">
        <f t="shared" si="773"/>
        <v>0.75268965517241382</v>
      </c>
      <c r="O210" s="15">
        <f t="shared" si="773"/>
        <v>0.69871559633027525</v>
      </c>
      <c r="P210" s="15">
        <f t="shared" si="773"/>
        <v>0.74231805929919148</v>
      </c>
      <c r="Q210" s="15">
        <f t="shared" si="773"/>
        <v>0.89930394431554517</v>
      </c>
      <c r="R210" s="15">
        <f t="shared" si="773"/>
        <v>2.170188172043011</v>
      </c>
      <c r="S210" s="15">
        <f t="shared" si="773"/>
        <v>3.6070975323149241</v>
      </c>
      <c r="T210" s="15">
        <f t="shared" si="773"/>
        <v>5.3783222116301239</v>
      </c>
      <c r="U210" s="15">
        <f t="shared" ref="U210:V210" si="774">U205/U79</f>
        <v>4.4123561643835618</v>
      </c>
      <c r="V210" s="15">
        <f t="shared" si="774"/>
        <v>3.0184501424501429</v>
      </c>
      <c r="W210" s="101">
        <f t="shared" si="742"/>
        <v>0.13086583669213425</v>
      </c>
      <c r="X210" s="109"/>
      <c r="Y210" s="15">
        <f t="shared" si="770"/>
        <v>0.12815203822363028</v>
      </c>
      <c r="Z210" s="102">
        <f t="shared" ref="Z210:AH210" si="775">Z205/Z79</f>
        <v>3.1556042986249588</v>
      </c>
      <c r="AA210" s="102">
        <f t="shared" si="775"/>
        <v>3.0787721939627861</v>
      </c>
      <c r="AB210" s="102">
        <f t="shared" si="775"/>
        <v>3.0038107840228236</v>
      </c>
      <c r="AC210" s="102">
        <f t="shared" si="775"/>
        <v>2.9306745214553125</v>
      </c>
      <c r="AD210" s="102">
        <f t="shared" si="775"/>
        <v>2.8593189678894446</v>
      </c>
      <c r="AE210" s="102">
        <f t="shared" si="775"/>
        <v>2.7897007669321363</v>
      </c>
      <c r="AF210" s="102">
        <f t="shared" si="775"/>
        <v>2.7217776178242241</v>
      </c>
      <c r="AG210" s="102">
        <f t="shared" si="775"/>
        <v>2.6555082497380695</v>
      </c>
      <c r="AH210" s="102">
        <f t="shared" si="775"/>
        <v>2.5908523967009693</v>
      </c>
      <c r="AI210" s="115">
        <f t="shared" si="744"/>
        <v>5.3557486270089605E-2</v>
      </c>
      <c r="AJ210" s="21">
        <f t="shared" si="745"/>
        <v>0.01</v>
      </c>
      <c r="AK210" s="108">
        <f t="shared" si="746"/>
        <v>19.497228131179362</v>
      </c>
    </row>
    <row r="211" spans="2:37" x14ac:dyDescent="0.2">
      <c r="B211" s="10" t="s">
        <v>216</v>
      </c>
      <c r="C211" s="15"/>
      <c r="D211" s="15"/>
      <c r="E211" s="15"/>
      <c r="F211" s="15"/>
      <c r="G211" s="15">
        <f t="shared" ref="G211" si="776">G205/G88</f>
        <v>1.8545454545454545</v>
      </c>
      <c r="H211" s="15">
        <f t="shared" ref="H211:I211" si="777">H205/H88</f>
        <v>2.5645714285714285</v>
      </c>
      <c r="I211" s="15">
        <f t="shared" si="777"/>
        <v>2.9400000000000004</v>
      </c>
      <c r="J211" s="15">
        <f t="shared" ref="J211:T211" si="778">J205/J88</f>
        <v>3.6600000000000006</v>
      </c>
      <c r="K211" s="15">
        <f t="shared" si="778"/>
        <v>3.5968421052631583</v>
      </c>
      <c r="L211" s="15">
        <f t="shared" si="778"/>
        <v>3.1527272727272728</v>
      </c>
      <c r="M211" s="15">
        <f t="shared" si="778"/>
        <v>3.3306122448979592</v>
      </c>
      <c r="N211" s="15">
        <f t="shared" si="778"/>
        <v>4.0422222222222217</v>
      </c>
      <c r="O211" s="15">
        <f t="shared" si="778"/>
        <v>6.9236363636363638</v>
      </c>
      <c r="P211" s="15">
        <f t="shared" si="778"/>
        <v>11.475000000000001</v>
      </c>
      <c r="Q211" s="15">
        <f t="shared" si="778"/>
        <v>16.85217391304348</v>
      </c>
      <c r="R211" s="15">
        <f t="shared" si="778"/>
        <v>73.391818181818195</v>
      </c>
      <c r="S211" s="15">
        <f t="shared" si="778"/>
        <v>99.020645161290332</v>
      </c>
      <c r="T211" s="15">
        <f t="shared" si="778"/>
        <v>208.95777777777778</v>
      </c>
      <c r="U211" s="15">
        <f t="shared" ref="U211:V211" si="779">U205/U88</f>
        <v>184.05828571428574</v>
      </c>
      <c r="V211" s="15">
        <f t="shared" si="779"/>
        <v>12.149954128440367</v>
      </c>
      <c r="W211" s="101">
        <f t="shared" si="742"/>
        <v>0.35867168914098513</v>
      </c>
      <c r="X211" s="109"/>
      <c r="Y211" s="102">
        <f t="shared" ref="Y211:AH211" si="780">Y205/Y88</f>
        <v>134.91875776397515</v>
      </c>
      <c r="Z211" s="102">
        <f t="shared" si="780"/>
        <v>131.63377931406973</v>
      </c>
      <c r="AA211" s="102">
        <f t="shared" si="780"/>
        <v>128.42878294816197</v>
      </c>
      <c r="AB211" s="102">
        <f t="shared" si="780"/>
        <v>125.30182127638065</v>
      </c>
      <c r="AC211" s="102">
        <f t="shared" si="780"/>
        <v>122.25099432356446</v>
      </c>
      <c r="AD211" s="102">
        <f t="shared" si="780"/>
        <v>119.27444837481681</v>
      </c>
      <c r="AE211" s="102">
        <f t="shared" si="780"/>
        <v>116.37037484916912</v>
      </c>
      <c r="AF211" s="102">
        <f t="shared" si="780"/>
        <v>113.53700920066763</v>
      </c>
      <c r="AG211" s="102">
        <f t="shared" si="780"/>
        <v>110.77262984621662</v>
      </c>
      <c r="AH211" s="102">
        <f t="shared" si="780"/>
        <v>108.07555711952614</v>
      </c>
      <c r="AI211" s="115">
        <f t="shared" si="744"/>
        <v>0.14501151934905709</v>
      </c>
      <c r="AJ211" s="21">
        <f t="shared" si="745"/>
        <v>0.01</v>
      </c>
      <c r="AK211" s="108">
        <f t="shared" si="746"/>
        <v>883.91255615660316</v>
      </c>
    </row>
    <row r="212" spans="2:37" x14ac:dyDescent="0.2">
      <c r="B212" s="10" t="s">
        <v>217</v>
      </c>
      <c r="C212" s="15"/>
      <c r="D212" s="15"/>
      <c r="E212" s="15"/>
      <c r="F212" s="15"/>
      <c r="G212" s="15">
        <f t="shared" ref="G212" si="781">G205/G90</f>
        <v>7.2404614019520849E-2</v>
      </c>
      <c r="H212" s="15">
        <f t="shared" ref="H212:I212" si="782">H205/H90</f>
        <v>6.7539503386004507E-2</v>
      </c>
      <c r="I212" s="15">
        <f t="shared" si="782"/>
        <v>5.7448275862068972E-2</v>
      </c>
      <c r="J212" s="15">
        <f t="shared" ref="J212:T212" si="783">J205/J90</f>
        <v>6.4981723237597905E-2</v>
      </c>
      <c r="K212" s="15">
        <f t="shared" si="783"/>
        <v>7.2432432432432428E-2</v>
      </c>
      <c r="L212" s="15">
        <f t="shared" si="783"/>
        <v>5.5517609391675563E-2</v>
      </c>
      <c r="M212" s="15">
        <f t="shared" si="783"/>
        <v>7.7017461066540824E-2</v>
      </c>
      <c r="N212" s="15">
        <f t="shared" si="783"/>
        <v>0.11953997809419496</v>
      </c>
      <c r="O212" s="15">
        <f t="shared" si="783"/>
        <v>9.8951927241229976E-2</v>
      </c>
      <c r="P212" s="15">
        <f t="shared" si="783"/>
        <v>8.00116211504939E-2</v>
      </c>
      <c r="Q212" s="15">
        <f t="shared" si="783"/>
        <v>7.5644028103044506E-2</v>
      </c>
      <c r="R212" s="15">
        <f t="shared" si="783"/>
        <v>0.21001821019771072</v>
      </c>
      <c r="S212" s="15">
        <f t="shared" si="783"/>
        <v>0.32383584766325563</v>
      </c>
      <c r="T212" s="15">
        <f t="shared" si="783"/>
        <v>0.46396874999999999</v>
      </c>
      <c r="U212" s="15">
        <f t="shared" ref="U212:V212" si="784">U205/U90</f>
        <v>0.41880379664542972</v>
      </c>
      <c r="V212" s="15">
        <f t="shared" si="784"/>
        <v>0.28712086720867208</v>
      </c>
      <c r="W212" s="101">
        <f t="shared" si="742"/>
        <v>0.12412936077322967</v>
      </c>
      <c r="X212" s="109"/>
      <c r="Y212" s="102">
        <f t="shared" ref="Y212:AH212" si="785">Y205/Y90</f>
        <v>0.30699236261468799</v>
      </c>
      <c r="Z212" s="102">
        <f t="shared" si="785"/>
        <v>0.29951776595972174</v>
      </c>
      <c r="AA212" s="102">
        <f t="shared" si="785"/>
        <v>0.29222515948418082</v>
      </c>
      <c r="AB212" s="102">
        <f t="shared" si="785"/>
        <v>0.28511011212282689</v>
      </c>
      <c r="AC212" s="102">
        <f t="shared" si="785"/>
        <v>0.2781683006972277</v>
      </c>
      <c r="AD212" s="102">
        <f t="shared" si="785"/>
        <v>0.2713955072889474</v>
      </c>
      <c r="AE212" s="102">
        <f t="shared" si="785"/>
        <v>0.26478761667669481</v>
      </c>
      <c r="AF212" s="102">
        <f t="shared" si="785"/>
        <v>0.25834061383587098</v>
      </c>
      <c r="AG212" s="102">
        <f t="shared" si="785"/>
        <v>0.25205058149899762</v>
      </c>
      <c r="AH212" s="102">
        <f t="shared" si="785"/>
        <v>0.24591369777554384</v>
      </c>
      <c r="AI212" s="115">
        <f t="shared" si="744"/>
        <v>5.4677448452550514E-2</v>
      </c>
      <c r="AJ212" s="21">
        <f t="shared" si="745"/>
        <v>0.01</v>
      </c>
      <c r="AK212" s="108">
        <f t="shared" si="746"/>
        <v>1.8525687950674448</v>
      </c>
    </row>
    <row r="213" spans="2:37" x14ac:dyDescent="0.2">
      <c r="B213" s="10" t="s">
        <v>231</v>
      </c>
      <c r="C213" s="15"/>
      <c r="D213" s="15"/>
      <c r="E213" s="15"/>
      <c r="F213" s="15"/>
      <c r="G213" s="155">
        <f t="shared" ref="G213" si="786">G205/G84</f>
        <v>-9.0969899665551843E-2</v>
      </c>
      <c r="H213" s="155">
        <f t="shared" ref="H213:I213" si="787">H205/H84</f>
        <v>-8.3809523809523806E-2</v>
      </c>
      <c r="I213" s="155">
        <f t="shared" si="787"/>
        <v>-6.9320388349514567E-2</v>
      </c>
      <c r="J213" s="155">
        <f t="shared" ref="J213:T213" si="788">J205/J84</f>
        <v>-7.9463601532567055E-2</v>
      </c>
      <c r="K213" s="155">
        <f t="shared" si="788"/>
        <v>-9.1978465679676991E-2</v>
      </c>
      <c r="L213" s="155">
        <f t="shared" si="788"/>
        <v>-7.3734939759036153E-2</v>
      </c>
      <c r="M213" s="155">
        <f t="shared" si="788"/>
        <v>-0.10394904458598726</v>
      </c>
      <c r="N213" s="155">
        <f t="shared" si="788"/>
        <v>-0.13859047619047621</v>
      </c>
      <c r="O213" s="155">
        <f t="shared" si="788"/>
        <v>-0.11627480916030535</v>
      </c>
      <c r="P213" s="155">
        <f t="shared" si="788"/>
        <v>-8.5847880299251875E-2</v>
      </c>
      <c r="Q213" s="155">
        <f t="shared" si="788"/>
        <v>-7.9005299633102322E-2</v>
      </c>
      <c r="R213" s="155">
        <f t="shared" si="788"/>
        <v>-0.24250826073896065</v>
      </c>
      <c r="S213" s="155">
        <f t="shared" si="788"/>
        <v>-0.3475982334956404</v>
      </c>
      <c r="T213" s="155">
        <f t="shared" si="788"/>
        <v>-0.50900938289426212</v>
      </c>
      <c r="U213" s="155">
        <f t="shared" ref="U213:V213" si="789">U205/U84</f>
        <v>-0.50712745020861216</v>
      </c>
      <c r="V213" s="155">
        <f t="shared" si="789"/>
        <v>-0.35870666305525462</v>
      </c>
      <c r="W213" s="101">
        <f t="shared" si="742"/>
        <v>0.1213674876147659</v>
      </c>
      <c r="X213" s="109"/>
      <c r="Y213" s="112">
        <f t="shared" ref="Y213:AH213" si="790">Y205/Y84</f>
        <v>-0.37173553662435099</v>
      </c>
      <c r="Z213" s="112">
        <f t="shared" si="790"/>
        <v>-0.36268458442827983</v>
      </c>
      <c r="AA213" s="112">
        <f t="shared" si="790"/>
        <v>-0.35385400324220007</v>
      </c>
      <c r="AB213" s="112">
        <f t="shared" si="790"/>
        <v>-0.34523842751108569</v>
      </c>
      <c r="AC213" s="112">
        <f t="shared" si="790"/>
        <v>-0.33683262231951155</v>
      </c>
      <c r="AD213" s="112">
        <f t="shared" si="790"/>
        <v>-0.32863148021086264</v>
      </c>
      <c r="AE213" s="112">
        <f t="shared" si="790"/>
        <v>-0.32063001808398955</v>
      </c>
      <c r="AF213" s="112">
        <f t="shared" si="790"/>
        <v>-0.31282337416542294</v>
      </c>
      <c r="AG213" s="112">
        <f t="shared" si="790"/>
        <v>-0.30520680505530834</v>
      </c>
      <c r="AH213" s="112">
        <f t="shared" si="790"/>
        <v>-0.29777568284526601</v>
      </c>
      <c r="AI213" s="115">
        <f t="shared" ref="AI213" si="791">((AH213/J213)^(1/($AH$3-$K$1) ))-1</f>
        <v>5.4262695158790342E-2</v>
      </c>
      <c r="AJ213" s="21">
        <f t="shared" ref="AJ213:AJ216" si="792">$O$1</f>
        <v>0.01</v>
      </c>
      <c r="AK213" s="108">
        <f t="shared" si="746"/>
        <v>-2.242384242494281</v>
      </c>
    </row>
    <row r="214" spans="2:37" x14ac:dyDescent="0.2">
      <c r="B214" s="10"/>
      <c r="C214" s="15"/>
      <c r="D214" s="15"/>
      <c r="E214" s="15"/>
      <c r="F214" s="1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09"/>
      <c r="Y214" s="112"/>
      <c r="Z214" s="112"/>
      <c r="AA214" s="112"/>
      <c r="AB214" s="112"/>
      <c r="AC214" s="112"/>
      <c r="AD214" s="112"/>
      <c r="AE214" s="112"/>
      <c r="AF214" s="112"/>
      <c r="AG214" s="112"/>
      <c r="AH214" s="112"/>
      <c r="AI214" s="112"/>
      <c r="AJ214" s="112"/>
      <c r="AK214" s="108"/>
    </row>
    <row r="215" spans="2:37" x14ac:dyDescent="0.2">
      <c r="B215" s="10" t="s">
        <v>264</v>
      </c>
      <c r="C215" s="128"/>
      <c r="D215" s="128"/>
      <c r="E215" s="128"/>
      <c r="F215" s="128"/>
      <c r="G215" s="128">
        <f t="shared" ref="G215" si="793">G63/G205</f>
        <v>2.5000000000000001E-3</v>
      </c>
      <c r="H215" s="128">
        <f t="shared" ref="H215:I215" si="794">H63/H205</f>
        <v>0</v>
      </c>
      <c r="I215" s="128">
        <f t="shared" si="794"/>
        <v>0</v>
      </c>
      <c r="J215" s="128">
        <f t="shared" ref="J215:T215" si="795">J63/J205</f>
        <v>0</v>
      </c>
      <c r="K215" s="128">
        <f t="shared" si="795"/>
        <v>0</v>
      </c>
      <c r="L215" s="128">
        <f t="shared" si="795"/>
        <v>0</v>
      </c>
      <c r="M215" s="128">
        <f t="shared" si="795"/>
        <v>0</v>
      </c>
      <c r="N215" s="128">
        <f t="shared" si="795"/>
        <v>0</v>
      </c>
      <c r="O215" s="128">
        <f t="shared" si="795"/>
        <v>0</v>
      </c>
      <c r="P215" s="128">
        <f t="shared" si="795"/>
        <v>0</v>
      </c>
      <c r="Q215" s="128">
        <f t="shared" si="795"/>
        <v>0</v>
      </c>
      <c r="R215" s="128">
        <f t="shared" si="795"/>
        <v>0</v>
      </c>
      <c r="S215" s="128">
        <f t="shared" si="795"/>
        <v>0</v>
      </c>
      <c r="T215" s="128">
        <f t="shared" si="795"/>
        <v>0</v>
      </c>
      <c r="U215" s="128">
        <f t="shared" ref="U215:V215" si="796">U63/U205</f>
        <v>0</v>
      </c>
      <c r="V215" s="128">
        <f t="shared" si="796"/>
        <v>2.5125628140703518E-3</v>
      </c>
      <c r="W215" s="101">
        <f t="shared" si="742"/>
        <v>-1</v>
      </c>
      <c r="X215" s="109"/>
      <c r="Y215" s="128">
        <f t="shared" ref="Y215:AH215" si="797">Y63/Y205</f>
        <v>0</v>
      </c>
      <c r="Z215" s="128">
        <f t="shared" si="797"/>
        <v>0</v>
      </c>
      <c r="AA215" s="128">
        <f t="shared" si="797"/>
        <v>0</v>
      </c>
      <c r="AB215" s="128">
        <f t="shared" si="797"/>
        <v>0</v>
      </c>
      <c r="AC215" s="128">
        <f t="shared" si="797"/>
        <v>0</v>
      </c>
      <c r="AD215" s="128">
        <f t="shared" si="797"/>
        <v>0</v>
      </c>
      <c r="AE215" s="128">
        <f t="shared" si="797"/>
        <v>0</v>
      </c>
      <c r="AF215" s="128">
        <f t="shared" si="797"/>
        <v>0</v>
      </c>
      <c r="AG215" s="128">
        <f t="shared" si="797"/>
        <v>0</v>
      </c>
      <c r="AH215" s="128">
        <f t="shared" si="797"/>
        <v>0</v>
      </c>
      <c r="AI215" s="115" t="e">
        <f t="shared" ref="AI215:AI220" si="798">((AH215/J215)^(1/($AH$3-$K$1) ))-1</f>
        <v>#DIV/0!</v>
      </c>
      <c r="AJ215" s="21">
        <f t="shared" si="792"/>
        <v>0.01</v>
      </c>
      <c r="AK215" s="108" t="e">
        <f t="shared" si="746"/>
        <v>#DIV/0!</v>
      </c>
    </row>
    <row r="216" spans="2:37" x14ac:dyDescent="0.2">
      <c r="B216" s="10" t="s">
        <v>132</v>
      </c>
      <c r="C216" s="128"/>
      <c r="D216" s="128"/>
      <c r="E216" s="128"/>
      <c r="F216" s="128"/>
      <c r="G216" s="138">
        <f t="shared" ref="G216" si="799">G205*G61</f>
        <v>81.599999999999994</v>
      </c>
      <c r="H216" s="138">
        <f t="shared" ref="H216:I216" si="800">H205*H61</f>
        <v>89.76</v>
      </c>
      <c r="I216" s="138">
        <f t="shared" si="800"/>
        <v>99.960000000000008</v>
      </c>
      <c r="J216" s="138">
        <f t="shared" ref="J216:T216" si="801">J205*J61</f>
        <v>124.44</v>
      </c>
      <c r="K216" s="138">
        <f t="shared" si="801"/>
        <v>136.68</v>
      </c>
      <c r="L216" s="138">
        <f t="shared" si="801"/>
        <v>104.04</v>
      </c>
      <c r="M216" s="138">
        <f t="shared" si="801"/>
        <v>163.19999999999999</v>
      </c>
      <c r="N216" s="138">
        <f t="shared" si="801"/>
        <v>218.28</v>
      </c>
      <c r="O216" s="138">
        <f t="shared" si="801"/>
        <v>228.48000000000002</v>
      </c>
      <c r="P216" s="138">
        <f t="shared" si="801"/>
        <v>275.39999999999998</v>
      </c>
      <c r="Q216" s="138">
        <f t="shared" si="801"/>
        <v>387.6</v>
      </c>
      <c r="R216" s="138">
        <f t="shared" si="801"/>
        <v>1614.6200000000001</v>
      </c>
      <c r="S216" s="138">
        <f t="shared" si="801"/>
        <v>3069.6400000000003</v>
      </c>
      <c r="T216" s="138">
        <f t="shared" si="801"/>
        <v>5641.8600000000006</v>
      </c>
      <c r="U216" s="138">
        <f t="shared" ref="U216:V216" si="802">U205*U61</f>
        <v>6442.04</v>
      </c>
      <c r="V216" s="138">
        <f t="shared" si="802"/>
        <v>5297.38</v>
      </c>
      <c r="W216" s="101">
        <f t="shared" si="742"/>
        <v>0.33810096496862063</v>
      </c>
      <c r="X216" s="109"/>
      <c r="Y216" s="138">
        <f t="shared" ref="Y216:AH216" si="803">Y205*Y61</f>
        <v>5430.48</v>
      </c>
      <c r="Z216" s="138">
        <f t="shared" si="803"/>
        <v>6092.9985600000009</v>
      </c>
      <c r="AA216" s="138">
        <f t="shared" si="803"/>
        <v>6836.3443843200021</v>
      </c>
      <c r="AB216" s="138">
        <f t="shared" si="803"/>
        <v>7670.378399207043</v>
      </c>
      <c r="AC216" s="138">
        <f t="shared" si="803"/>
        <v>8606.1645639103044</v>
      </c>
      <c r="AD216" s="138">
        <f t="shared" si="803"/>
        <v>9656.1166407073615</v>
      </c>
      <c r="AE216" s="138">
        <f t="shared" si="803"/>
        <v>10834.162870873661</v>
      </c>
      <c r="AF216" s="138">
        <f t="shared" si="803"/>
        <v>12155.930741120248</v>
      </c>
      <c r="AG216" s="138">
        <f t="shared" si="803"/>
        <v>13638.95429153692</v>
      </c>
      <c r="AH216" s="138">
        <f t="shared" si="803"/>
        <v>15302.906715104424</v>
      </c>
      <c r="AI216" s="115">
        <f t="shared" si="798"/>
        <v>0.21225101701044435</v>
      </c>
      <c r="AJ216" s="21">
        <f t="shared" si="792"/>
        <v>0.01</v>
      </c>
      <c r="AK216" s="108">
        <f t="shared" si="746"/>
        <v>132506.88734715214</v>
      </c>
    </row>
    <row r="217" spans="2:37" x14ac:dyDescent="0.2">
      <c r="B217" s="10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55"/>
      <c r="V217" s="155"/>
      <c r="W217" s="155"/>
      <c r="X217" s="109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12"/>
      <c r="AI217" s="112"/>
      <c r="AJ217" s="112"/>
      <c r="AK217" s="108"/>
    </row>
    <row r="218" spans="2:37" x14ac:dyDescent="0.2">
      <c r="B218" s="10" t="s">
        <v>313</v>
      </c>
      <c r="C218" s="135"/>
      <c r="D218" s="135"/>
      <c r="E218" s="135"/>
      <c r="F218" s="135"/>
      <c r="G218" s="135">
        <f t="shared" ref="G218" si="804">G76/G205</f>
        <v>0.24509803921568629</v>
      </c>
      <c r="H218" s="135">
        <f t="shared" ref="H218:I218" si="805">H76/H205</f>
        <v>0.23395721925133686</v>
      </c>
      <c r="I218" s="135">
        <f t="shared" si="805"/>
        <v>0.27010804321728688</v>
      </c>
      <c r="J218" s="135">
        <f t="shared" ref="J218:T218" si="806">J76/J205</f>
        <v>0.24108003857280616</v>
      </c>
      <c r="K218" s="135">
        <f t="shared" si="806"/>
        <v>0.20485806262803627</v>
      </c>
      <c r="L218" s="135">
        <f t="shared" si="806"/>
        <v>0.29796232218377544</v>
      </c>
      <c r="M218" s="135">
        <f t="shared" si="806"/>
        <v>0.2389705882352941</v>
      </c>
      <c r="N218" s="135">
        <f t="shared" si="806"/>
        <v>0.19241341396371631</v>
      </c>
      <c r="O218" s="135">
        <f t="shared" si="806"/>
        <v>0.18820028011204482</v>
      </c>
      <c r="P218" s="135">
        <f t="shared" si="806"/>
        <v>0.19607843137254902</v>
      </c>
      <c r="Q218" s="135">
        <f t="shared" si="806"/>
        <v>0.19349845201238391</v>
      </c>
      <c r="R218" s="135">
        <f t="shared" si="806"/>
        <v>5.3263306536522517E-2</v>
      </c>
      <c r="S218" s="135">
        <f t="shared" si="806"/>
        <v>5.1146062730483055E-2</v>
      </c>
      <c r="T218" s="135">
        <f t="shared" si="806"/>
        <v>4.1652930062071727E-2</v>
      </c>
      <c r="U218" s="135">
        <f t="shared" ref="U218:V218" si="807">U76/U205</f>
        <v>4.4395874598729589E-2</v>
      </c>
      <c r="V218" s="135">
        <f t="shared" si="807"/>
        <v>5.5876678660016832E-2</v>
      </c>
      <c r="W218" s="101">
        <f t="shared" si="742"/>
        <v>-0.10765351226401032</v>
      </c>
      <c r="X218" s="109"/>
      <c r="Y218" s="135">
        <f t="shared" ref="Y218:AH218" si="808">Y76/Y205</f>
        <v>6.0565548533462972E-2</v>
      </c>
      <c r="Z218" s="135">
        <f t="shared" si="808"/>
        <v>6.2076988247310519E-2</v>
      </c>
      <c r="AA218" s="135">
        <f t="shared" si="808"/>
        <v>6.3626146599293304E-2</v>
      </c>
      <c r="AB218" s="135">
        <f t="shared" si="808"/>
        <v>6.5213964874498459E-2</v>
      </c>
      <c r="AC218" s="135">
        <f t="shared" si="808"/>
        <v>6.684140784819359E-2</v>
      </c>
      <c r="AD218" s="135">
        <f t="shared" si="808"/>
        <v>6.8509464372034423E-2</v>
      </c>
      <c r="AE218" s="135">
        <f t="shared" si="808"/>
        <v>7.0219147974901586E-2</v>
      </c>
      <c r="AF218" s="135">
        <f t="shared" si="808"/>
        <v>7.197149747873155E-2</v>
      </c>
      <c r="AG218" s="135">
        <f t="shared" si="808"/>
        <v>7.3767577629715933E-2</v>
      </c>
      <c r="AH218" s="135">
        <f t="shared" si="808"/>
        <v>7.5608479745252519E-2</v>
      </c>
      <c r="AI218" s="115">
        <f t="shared" ref="AI218" si="809">((AH218/J218)^(1/($AH$3-$K$1) ))-1</f>
        <v>-4.5323196878374494E-2</v>
      </c>
      <c r="AJ218" s="21">
        <f t="shared" ref="AJ218" si="810">$O$1</f>
        <v>0.01</v>
      </c>
      <c r="AK218" s="108">
        <f t="shared" ref="AK218" si="811">(AH218*(1+AI218))/($C$1-AJ218)</f>
        <v>0.5155832980863132</v>
      </c>
    </row>
    <row r="219" spans="2:37" x14ac:dyDescent="0.2">
      <c r="B219" s="10" t="str">
        <f>B207</f>
        <v>P/E (how many years it will take to recover invested amount)</v>
      </c>
      <c r="C219" s="128"/>
      <c r="D219" s="128"/>
      <c r="E219" s="128"/>
      <c r="F219" s="128"/>
      <c r="G219" s="154">
        <f t="shared" ref="G219" si="812">G207</f>
        <v>4.08</v>
      </c>
      <c r="H219" s="154">
        <f t="shared" ref="H219:I219" si="813">H207</f>
        <v>4.2742857142857149</v>
      </c>
      <c r="I219" s="154">
        <f t="shared" si="813"/>
        <v>3.7022222222222223</v>
      </c>
      <c r="J219" s="154">
        <f t="shared" ref="J219:T219" si="814">J207</f>
        <v>4.1480000000000006</v>
      </c>
      <c r="K219" s="154">
        <f t="shared" si="814"/>
        <v>4.8814285714285717</v>
      </c>
      <c r="L219" s="154">
        <f t="shared" si="814"/>
        <v>3.3561290322580648</v>
      </c>
      <c r="M219" s="154">
        <f t="shared" si="814"/>
        <v>4.1846153846153848</v>
      </c>
      <c r="N219" s="154">
        <f t="shared" si="814"/>
        <v>5.1971428571428575</v>
      </c>
      <c r="O219" s="154">
        <f t="shared" si="814"/>
        <v>5.3134883720930235</v>
      </c>
      <c r="P219" s="154">
        <f t="shared" si="814"/>
        <v>5.1000000000000005</v>
      </c>
      <c r="Q219" s="154">
        <f t="shared" si="814"/>
        <v>5.1680000000000001</v>
      </c>
      <c r="R219" s="154">
        <f t="shared" si="814"/>
        <v>18.7746511627907</v>
      </c>
      <c r="S219" s="154">
        <f t="shared" si="814"/>
        <v>19.551847133757963</v>
      </c>
      <c r="T219" s="154">
        <f t="shared" si="814"/>
        <v>24.007914893617023</v>
      </c>
      <c r="U219" s="154">
        <f t="shared" ref="U219:V219" si="815">U207</f>
        <v>22.524615384615387</v>
      </c>
      <c r="V219" s="154">
        <f t="shared" si="815"/>
        <v>17.896554054054054</v>
      </c>
      <c r="W219" s="101">
        <f t="shared" si="742"/>
        <v>0.12064093235481055</v>
      </c>
      <c r="X219" s="109"/>
      <c r="Y219" s="128">
        <f t="shared" ref="Y219:AH219" si="816">Y207</f>
        <v>16.511036789297659</v>
      </c>
      <c r="Z219" s="128">
        <f t="shared" si="816"/>
        <v>16.109028937036502</v>
      </c>
      <c r="AA219" s="128">
        <f t="shared" si="816"/>
        <v>15.71680910204779</v>
      </c>
      <c r="AB219" s="128">
        <f t="shared" si="816"/>
        <v>15.33413896738924</v>
      </c>
      <c r="AC219" s="128">
        <f t="shared" si="816"/>
        <v>14.960786018618027</v>
      </c>
      <c r="AD219" s="128">
        <f t="shared" si="816"/>
        <v>14.596523402512545</v>
      </c>
      <c r="AE219" s="128">
        <f t="shared" si="816"/>
        <v>14.241129789233982</v>
      </c>
      <c r="AF219" s="128">
        <f t="shared" si="816"/>
        <v>13.89438923784394</v>
      </c>
      <c r="AG219" s="128">
        <f t="shared" si="816"/>
        <v>13.556091065096437</v>
      </c>
      <c r="AH219" s="128">
        <f t="shared" si="816"/>
        <v>13.226029717424524</v>
      </c>
      <c r="AI219" s="115">
        <f t="shared" ref="AI219" si="817">((AH219/J219)^(1/($AH$3-$K$1) ))-1</f>
        <v>4.7474911645674966E-2</v>
      </c>
      <c r="AJ219" s="21">
        <f t="shared" ref="AJ219:AJ221" si="818">$O$1</f>
        <v>0.01</v>
      </c>
      <c r="AK219" s="154">
        <f>(AK206)/($O$2*100)</f>
        <v>1.2491811294051849</v>
      </c>
    </row>
    <row r="220" spans="2:37" x14ac:dyDescent="0.2">
      <c r="B220" s="10" t="s">
        <v>431</v>
      </c>
      <c r="C220" s="154"/>
      <c r="D220" s="154"/>
      <c r="E220" s="154"/>
      <c r="F220" s="154"/>
      <c r="G220" s="154">
        <f t="shared" ref="G220" si="819">(G207)/($O$2*100)</f>
        <v>0.27200000000000002</v>
      </c>
      <c r="H220" s="154">
        <f t="shared" ref="H220:I220" si="820">(H207)/($O$2*100)</f>
        <v>0.28495238095238101</v>
      </c>
      <c r="I220" s="154">
        <f t="shared" si="820"/>
        <v>0.24681481481481482</v>
      </c>
      <c r="J220" s="154">
        <f t="shared" ref="J220:T220" si="821">(J207)/($O$2*100)</f>
        <v>0.27653333333333335</v>
      </c>
      <c r="K220" s="154">
        <f t="shared" si="821"/>
        <v>0.32542857142857146</v>
      </c>
      <c r="L220" s="154">
        <f t="shared" si="821"/>
        <v>0.22374193548387097</v>
      </c>
      <c r="M220" s="154">
        <f t="shared" si="821"/>
        <v>0.27897435897435902</v>
      </c>
      <c r="N220" s="154">
        <f t="shared" si="821"/>
        <v>0.34647619047619049</v>
      </c>
      <c r="O220" s="154">
        <f t="shared" si="821"/>
        <v>0.35423255813953491</v>
      </c>
      <c r="P220" s="154">
        <f t="shared" si="821"/>
        <v>0.34</v>
      </c>
      <c r="Q220" s="154">
        <f t="shared" si="821"/>
        <v>0.34453333333333336</v>
      </c>
      <c r="R220" s="154">
        <f t="shared" si="821"/>
        <v>1.2516434108527135</v>
      </c>
      <c r="S220" s="154">
        <f t="shared" si="821"/>
        <v>1.3034564755838642</v>
      </c>
      <c r="T220" s="154">
        <f t="shared" si="821"/>
        <v>1.6005276595744682</v>
      </c>
      <c r="U220" s="154">
        <f t="shared" ref="U220:V220" si="822">(U207)/($O$2*100)</f>
        <v>1.5016410256410258</v>
      </c>
      <c r="V220" s="154">
        <f t="shared" si="822"/>
        <v>1.1931036036036036</v>
      </c>
      <c r="W220" s="101">
        <f t="shared" si="742"/>
        <v>0.12064093235481055</v>
      </c>
      <c r="X220" s="109"/>
      <c r="Y220" s="154">
        <f t="shared" ref="Y220:AH220" si="823">(Y207)/($O$2*100)</f>
        <v>1.1007357859531772</v>
      </c>
      <c r="Z220" s="154">
        <f t="shared" si="823"/>
        <v>1.0739352624691001</v>
      </c>
      <c r="AA220" s="154">
        <f t="shared" si="823"/>
        <v>1.0477872734698528</v>
      </c>
      <c r="AB220" s="154">
        <f t="shared" si="823"/>
        <v>1.0222759311592826</v>
      </c>
      <c r="AC220" s="154">
        <f t="shared" si="823"/>
        <v>0.99738573457453517</v>
      </c>
      <c r="AD220" s="154">
        <f t="shared" si="823"/>
        <v>0.97310156016750304</v>
      </c>
      <c r="AE220" s="154">
        <f t="shared" si="823"/>
        <v>0.94940865261559881</v>
      </c>
      <c r="AF220" s="154">
        <f t="shared" si="823"/>
        <v>0.92629261585626266</v>
      </c>
      <c r="AG220" s="154">
        <f t="shared" si="823"/>
        <v>0.90373940433976252</v>
      </c>
      <c r="AH220" s="154">
        <f t="shared" si="823"/>
        <v>0.88173531449496823</v>
      </c>
      <c r="AI220" s="115">
        <f t="shared" si="798"/>
        <v>4.7474911645674966E-2</v>
      </c>
      <c r="AJ220" s="21">
        <f t="shared" si="818"/>
        <v>0.01</v>
      </c>
      <c r="AK220" s="154">
        <f>(AK207)/($O$2*100)</f>
        <v>6.597111576039203</v>
      </c>
    </row>
    <row r="221" spans="2:37" x14ac:dyDescent="0.2">
      <c r="B221" s="10" t="s">
        <v>432</v>
      </c>
      <c r="C221" s="128"/>
      <c r="D221" s="128"/>
      <c r="E221" s="128"/>
      <c r="F221" s="128"/>
      <c r="G221" s="128">
        <f t="shared" ref="G221" si="824">G220-1</f>
        <v>-0.72799999999999998</v>
      </c>
      <c r="H221" s="128">
        <f t="shared" ref="H221:I221" si="825">H220-1</f>
        <v>-0.71504761904761893</v>
      </c>
      <c r="I221" s="128">
        <f t="shared" si="825"/>
        <v>-0.75318518518518518</v>
      </c>
      <c r="J221" s="128">
        <f t="shared" ref="J221:S221" si="826">J220-1</f>
        <v>-0.7234666666666667</v>
      </c>
      <c r="K221" s="128">
        <f t="shared" si="826"/>
        <v>-0.6745714285714286</v>
      </c>
      <c r="L221" s="128">
        <f t="shared" si="826"/>
        <v>-0.776258064516129</v>
      </c>
      <c r="M221" s="128">
        <f t="shared" si="826"/>
        <v>-0.72102564102564104</v>
      </c>
      <c r="N221" s="128">
        <f t="shared" si="826"/>
        <v>-0.65352380952380951</v>
      </c>
      <c r="O221" s="128">
        <f t="shared" si="826"/>
        <v>-0.64576744186046509</v>
      </c>
      <c r="P221" s="128">
        <f t="shared" si="826"/>
        <v>-0.65999999999999992</v>
      </c>
      <c r="Q221" s="128">
        <f t="shared" si="826"/>
        <v>-0.65546666666666664</v>
      </c>
      <c r="R221" s="128">
        <f t="shared" si="826"/>
        <v>0.25164341085271347</v>
      </c>
      <c r="S221" s="128">
        <f t="shared" si="826"/>
        <v>0.30345647558386424</v>
      </c>
      <c r="T221" s="128">
        <f>T220-1</f>
        <v>0.60052765957446819</v>
      </c>
      <c r="U221" s="128">
        <f>U220-1</f>
        <v>0.50164102564102575</v>
      </c>
      <c r="V221" s="128">
        <f>V220-1</f>
        <v>0.19310360360360357</v>
      </c>
      <c r="W221" s="101">
        <f t="shared" si="742"/>
        <v>-1.9754779221561807</v>
      </c>
      <c r="X221" s="109"/>
      <c r="Y221" s="128">
        <f t="shared" ref="Y221:AH221" si="827">Y220-1</f>
        <v>0.10073578595317723</v>
      </c>
      <c r="Z221" s="128">
        <f t="shared" si="827"/>
        <v>7.3935262469100094E-2</v>
      </c>
      <c r="AA221" s="128">
        <f t="shared" si="827"/>
        <v>4.7787273469852787E-2</v>
      </c>
      <c r="AB221" s="128">
        <f t="shared" si="827"/>
        <v>2.2275931159282614E-2</v>
      </c>
      <c r="AC221" s="128">
        <f t="shared" si="827"/>
        <v>-2.6142654254648345E-3</v>
      </c>
      <c r="AD221" s="128">
        <f t="shared" si="827"/>
        <v>-2.6898439832496956E-2</v>
      </c>
      <c r="AE221" s="128">
        <f t="shared" si="827"/>
        <v>-5.0591347384401186E-2</v>
      </c>
      <c r="AF221" s="128">
        <f t="shared" si="827"/>
        <v>-7.3707384143737342E-2</v>
      </c>
      <c r="AG221" s="128">
        <f t="shared" si="827"/>
        <v>-9.626059566023748E-2</v>
      </c>
      <c r="AH221" s="128">
        <f t="shared" si="827"/>
        <v>-0.11826468550503177</v>
      </c>
      <c r="AI221" s="115">
        <f t="shared" ref="AI221" si="828">((AH221/J221)^(1/($AH$3-$K$1) ))-1</f>
        <v>-6.9883256909195501E-2</v>
      </c>
      <c r="AJ221" s="21">
        <f t="shared" si="818"/>
        <v>0.01</v>
      </c>
      <c r="AK221" s="154">
        <f>(AK208)/($O$2*100)</f>
        <v>1.3452490596576219</v>
      </c>
    </row>
    <row r="222" spans="2:37" x14ac:dyDescent="0.2">
      <c r="B222" s="10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55"/>
      <c r="V222" s="155"/>
      <c r="W222" s="155"/>
      <c r="X222" s="109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12"/>
      <c r="AI222" s="114"/>
      <c r="AJ222" s="10"/>
      <c r="AK222" s="108"/>
    </row>
    <row r="223" spans="2:37" x14ac:dyDescent="0.2">
      <c r="B223" s="10" t="s">
        <v>499</v>
      </c>
      <c r="C223" s="128"/>
      <c r="D223" s="128"/>
      <c r="E223" s="128"/>
      <c r="F223" s="128"/>
      <c r="G223" s="128">
        <f t="shared" ref="G223:S223" si="829">1/G224</f>
        <v>0.17256761833208115</v>
      </c>
      <c r="H223" s="128">
        <f t="shared" si="829"/>
        <v>0.15687965302916468</v>
      </c>
      <c r="I223" s="128">
        <f t="shared" si="829"/>
        <v>0.14087152516904583</v>
      </c>
      <c r="J223" s="128">
        <f t="shared" si="829"/>
        <v>0.11315909398824993</v>
      </c>
      <c r="K223" s="128">
        <f t="shared" si="829"/>
        <v>0.10302544378034695</v>
      </c>
      <c r="L223" s="128">
        <f t="shared" si="829"/>
        <v>0.13534715163300481</v>
      </c>
      <c r="M223" s="128">
        <f t="shared" si="829"/>
        <v>8.6283809166040573E-2</v>
      </c>
      <c r="N223" s="128">
        <f t="shared" si="829"/>
        <v>6.4511259189563047E-2</v>
      </c>
      <c r="O223" s="128">
        <f t="shared" si="829"/>
        <v>6.1631292261457547E-2</v>
      </c>
      <c r="P223" s="128">
        <f t="shared" si="829"/>
        <v>5.1131146172468486E-2</v>
      </c>
      <c r="Q223" s="128">
        <f t="shared" si="829"/>
        <v>3.6330024912017082E-2</v>
      </c>
      <c r="R223" s="128">
        <f t="shared" si="829"/>
        <v>1.1371836463399088E-2</v>
      </c>
      <c r="S223" s="128">
        <f t="shared" si="829"/>
        <v>5.9815465626371278E-3</v>
      </c>
      <c r="T223" s="128">
        <f>1/T224</f>
        <v>3.2544576771726757E-3</v>
      </c>
      <c r="U223" s="128">
        <f>1/U224</f>
        <v>1.426178663901497E-2</v>
      </c>
      <c r="V223" s="128">
        <f>1/V224</f>
        <v>1.7343479229354888E-2</v>
      </c>
      <c r="W223" s="101">
        <f t="shared" si="742"/>
        <v>-0.15313475757495987</v>
      </c>
      <c r="X223" s="109"/>
      <c r="Y223" s="128">
        <f t="shared" ref="Y223:AH223" si="830">1/Y224</f>
        <v>1.7256761833208113E-2</v>
      </c>
      <c r="Z223" s="128">
        <f t="shared" si="830"/>
        <v>1.5687965302916464E-2</v>
      </c>
      <c r="AA223" s="128">
        <f t="shared" si="830"/>
        <v>1.4261786639014966E-2</v>
      </c>
      <c r="AB223" s="128">
        <f t="shared" si="830"/>
        <v>1.2965260580922696E-2</v>
      </c>
      <c r="AC223" s="128">
        <f t="shared" si="830"/>
        <v>1.1786600528111538E-2</v>
      </c>
      <c r="AD223" s="128">
        <f t="shared" si="830"/>
        <v>1.0715091389192308E-2</v>
      </c>
      <c r="AE223" s="128">
        <f t="shared" si="830"/>
        <v>9.740992171993007E-3</v>
      </c>
      <c r="AF223" s="128">
        <f t="shared" si="830"/>
        <v>8.8554474290845515E-3</v>
      </c>
      <c r="AG223" s="128">
        <f t="shared" si="830"/>
        <v>8.0504067537132268E-3</v>
      </c>
      <c r="AH223" s="128">
        <f t="shared" si="830"/>
        <v>7.3185515942847511E-3</v>
      </c>
      <c r="AI223" s="115">
        <f t="shared" ref="AI223" si="831">((AH223/J223)^(1/($AH$3-$K$1) ))-1</f>
        <v>-0.10374946671194463</v>
      </c>
      <c r="AJ223" s="21">
        <f t="shared" ref="AJ223:AJ226" si="832">$O$1</f>
        <v>0.01</v>
      </c>
      <c r="AK223" s="154">
        <f>(AK210)/($O$2*100)</f>
        <v>1.2998152087452908</v>
      </c>
    </row>
    <row r="224" spans="2:37" x14ac:dyDescent="0.2">
      <c r="B224" s="10" t="s">
        <v>506</v>
      </c>
      <c r="C224" s="110"/>
      <c r="D224" s="110"/>
      <c r="E224" s="110"/>
      <c r="F224" s="110"/>
      <c r="G224" s="112">
        <f t="shared" ref="G224:U224" si="833">G205/$S$174</f>
        <v>5.7948299319727887</v>
      </c>
      <c r="H224" s="112">
        <f t="shared" si="833"/>
        <v>6.3743129251700683</v>
      </c>
      <c r="I224" s="112">
        <f t="shared" si="833"/>
        <v>7.0986666666666665</v>
      </c>
      <c r="J224" s="112">
        <f t="shared" si="833"/>
        <v>8.8371156462585034</v>
      </c>
      <c r="K224" s="112">
        <f t="shared" si="833"/>
        <v>9.7063401360544219</v>
      </c>
      <c r="L224" s="112">
        <f t="shared" si="833"/>
        <v>7.3884081632653062</v>
      </c>
      <c r="M224" s="112">
        <f t="shared" si="833"/>
        <v>11.589659863945577</v>
      </c>
      <c r="N224" s="112">
        <f t="shared" si="833"/>
        <v>15.501170068027211</v>
      </c>
      <c r="O224" s="112">
        <f t="shared" si="833"/>
        <v>16.225523809523811</v>
      </c>
      <c r="P224" s="112">
        <f t="shared" si="833"/>
        <v>19.557551020408162</v>
      </c>
      <c r="Q224" s="112">
        <f t="shared" si="833"/>
        <v>27.525442176870747</v>
      </c>
      <c r="R224" s="112">
        <f t="shared" si="833"/>
        <v>87.936544217687072</v>
      </c>
      <c r="S224" s="112">
        <f t="shared" si="833"/>
        <v>167.18084353741497</v>
      </c>
      <c r="T224" s="112">
        <f t="shared" si="833"/>
        <v>307.27085714285715</v>
      </c>
      <c r="U224" s="112">
        <f t="shared" si="833"/>
        <v>70.117442176870753</v>
      </c>
      <c r="V224" s="112">
        <f>V205/$S$174</f>
        <v>57.65855782312925</v>
      </c>
      <c r="W224" s="101">
        <f t="shared" si="742"/>
        <v>0.18082541342286174</v>
      </c>
      <c r="X224" s="109"/>
      <c r="Y224" s="112">
        <f t="shared" ref="Y224:AH224" si="834">Y205/$S$174</f>
        <v>57.948299319727894</v>
      </c>
      <c r="Z224" s="112">
        <f t="shared" si="834"/>
        <v>63.743129251700687</v>
      </c>
      <c r="AA224" s="112">
        <f t="shared" si="834"/>
        <v>70.117442176870767</v>
      </c>
      <c r="AB224" s="112">
        <f t="shared" si="834"/>
        <v>77.129186394557848</v>
      </c>
      <c r="AC224" s="112">
        <f t="shared" si="834"/>
        <v>84.842105034013656</v>
      </c>
      <c r="AD224" s="112">
        <f t="shared" si="834"/>
        <v>93.326315537415027</v>
      </c>
      <c r="AE224" s="112">
        <f t="shared" si="834"/>
        <v>102.65894709115653</v>
      </c>
      <c r="AF224" s="112">
        <f t="shared" si="834"/>
        <v>112.92484180027219</v>
      </c>
      <c r="AG224" s="112">
        <f t="shared" si="834"/>
        <v>124.21732598029944</v>
      </c>
      <c r="AH224" s="112">
        <f t="shared" si="834"/>
        <v>136.63905857832938</v>
      </c>
      <c r="AI224" s="115">
        <f t="shared" ref="AI224:AI226" si="835">((AH224/J224)^(1/($AH$3-$K$1) ))-1</f>
        <v>0.11575944767510626</v>
      </c>
      <c r="AJ224" s="21">
        <f t="shared" si="832"/>
        <v>0.01</v>
      </c>
      <c r="AK224" s="154">
        <f>(AK210)/($O$2*100)</f>
        <v>1.2998152087452908</v>
      </c>
    </row>
    <row r="225" spans="2:37" x14ac:dyDescent="0.2">
      <c r="B225" s="10" t="s">
        <v>431</v>
      </c>
      <c r="C225" s="110"/>
      <c r="D225" s="110"/>
      <c r="E225" s="110"/>
      <c r="F225" s="110"/>
      <c r="G225" s="154">
        <f t="shared" ref="G225" si="836">(G224)/($O$2*100)</f>
        <v>0.38632199546485257</v>
      </c>
      <c r="H225" s="154">
        <f t="shared" ref="H225:I225" si="837">(H224)/($O$2*100)</f>
        <v>0.42495419501133791</v>
      </c>
      <c r="I225" s="154">
        <f t="shared" si="837"/>
        <v>0.47324444444444441</v>
      </c>
      <c r="J225" s="154">
        <f t="shared" ref="J225:T225" si="838">(J224)/($O$2*100)</f>
        <v>0.58914104308390025</v>
      </c>
      <c r="K225" s="154">
        <f t="shared" si="838"/>
        <v>0.64708934240362814</v>
      </c>
      <c r="L225" s="154">
        <f t="shared" si="838"/>
        <v>0.49256054421768708</v>
      </c>
      <c r="M225" s="154">
        <f t="shared" si="838"/>
        <v>0.77264399092970515</v>
      </c>
      <c r="N225" s="154">
        <f t="shared" si="838"/>
        <v>1.0334113378684806</v>
      </c>
      <c r="O225" s="154">
        <f t="shared" si="838"/>
        <v>1.0817015873015874</v>
      </c>
      <c r="P225" s="154">
        <f t="shared" si="838"/>
        <v>1.3038367346938775</v>
      </c>
      <c r="Q225" s="154">
        <f t="shared" si="838"/>
        <v>1.8350294784580499</v>
      </c>
      <c r="R225" s="154">
        <f t="shared" si="838"/>
        <v>5.8624362811791384</v>
      </c>
      <c r="S225" s="154">
        <f t="shared" si="838"/>
        <v>11.145389569160999</v>
      </c>
      <c r="T225" s="154">
        <f t="shared" si="838"/>
        <v>20.48472380952381</v>
      </c>
      <c r="U225" s="154">
        <f t="shared" ref="U225:V225" si="839">(U224)/($O$2*100)</f>
        <v>4.6744961451247171</v>
      </c>
      <c r="V225" s="154">
        <f t="shared" si="839"/>
        <v>3.8439038548752835</v>
      </c>
      <c r="W225" s="101">
        <f t="shared" si="742"/>
        <v>0.18082541342286174</v>
      </c>
      <c r="X225" s="109"/>
      <c r="Y225" s="154">
        <f t="shared" ref="Y225:AH225" si="840">(Y224)/($O$2*100)</f>
        <v>3.8632199546485264</v>
      </c>
      <c r="Z225" s="154">
        <f t="shared" si="840"/>
        <v>4.2495419501133789</v>
      </c>
      <c r="AA225" s="154">
        <f t="shared" si="840"/>
        <v>4.674496145124718</v>
      </c>
      <c r="AB225" s="154">
        <f t="shared" si="840"/>
        <v>5.1419457596371902</v>
      </c>
      <c r="AC225" s="154">
        <f t="shared" si="840"/>
        <v>5.6561403356009103</v>
      </c>
      <c r="AD225" s="154">
        <f t="shared" si="840"/>
        <v>6.221754369161002</v>
      </c>
      <c r="AE225" s="154">
        <f t="shared" si="840"/>
        <v>6.8439298060771021</v>
      </c>
      <c r="AF225" s="154">
        <f t="shared" si="840"/>
        <v>7.5283227866848126</v>
      </c>
      <c r="AG225" s="154">
        <f t="shared" si="840"/>
        <v>8.2811550653532962</v>
      </c>
      <c r="AH225" s="154">
        <f t="shared" si="840"/>
        <v>9.1092705718886258</v>
      </c>
      <c r="AI225" s="115">
        <f t="shared" si="835"/>
        <v>0.11575944767510626</v>
      </c>
      <c r="AJ225" s="21">
        <f t="shared" si="832"/>
        <v>0.01</v>
      </c>
      <c r="AK225" s="154">
        <f>(AK211)/($O$2*100)</f>
        <v>58.927503743773542</v>
      </c>
    </row>
    <row r="226" spans="2:37" x14ac:dyDescent="0.2">
      <c r="B226" s="10" t="s">
        <v>433</v>
      </c>
      <c r="C226" s="110"/>
      <c r="D226" s="110"/>
      <c r="E226" s="110"/>
      <c r="F226" s="110"/>
      <c r="G226" s="128">
        <f t="shared" ref="G226" si="841">G225-1</f>
        <v>-0.61367800453514743</v>
      </c>
      <c r="H226" s="128">
        <f t="shared" ref="H226:I226" si="842">H225-1</f>
        <v>-0.57504580498866209</v>
      </c>
      <c r="I226" s="128">
        <f t="shared" si="842"/>
        <v>-0.52675555555555564</v>
      </c>
      <c r="J226" s="128">
        <f t="shared" ref="J226:T226" si="843">J225-1</f>
        <v>-0.41085895691609975</v>
      </c>
      <c r="K226" s="128">
        <f t="shared" si="843"/>
        <v>-0.35291065759637186</v>
      </c>
      <c r="L226" s="128">
        <f t="shared" si="843"/>
        <v>-0.50743945578231298</v>
      </c>
      <c r="M226" s="128">
        <f t="shared" si="843"/>
        <v>-0.22735600907029485</v>
      </c>
      <c r="N226" s="128">
        <f t="shared" si="843"/>
        <v>3.3411337868480606E-2</v>
      </c>
      <c r="O226" s="128">
        <f t="shared" si="843"/>
        <v>8.1701587301587386E-2</v>
      </c>
      <c r="P226" s="128">
        <f t="shared" si="843"/>
        <v>0.30383673469387751</v>
      </c>
      <c r="Q226" s="128">
        <f t="shared" si="843"/>
        <v>0.83502947845804987</v>
      </c>
      <c r="R226" s="128">
        <f t="shared" si="843"/>
        <v>4.8624362811791384</v>
      </c>
      <c r="S226" s="128">
        <f t="shared" si="843"/>
        <v>10.145389569160999</v>
      </c>
      <c r="T226" s="128">
        <f t="shared" si="843"/>
        <v>19.48472380952381</v>
      </c>
      <c r="U226" s="128">
        <f t="shared" ref="U226:V226" si="844">U225-1</f>
        <v>3.6744961451247171</v>
      </c>
      <c r="V226" s="128">
        <f t="shared" si="844"/>
        <v>2.8439038548752835</v>
      </c>
      <c r="W226" s="101">
        <f t="shared" si="742"/>
        <v>-2.1267229727497359</v>
      </c>
      <c r="X226" s="109"/>
      <c r="Y226" s="128">
        <f t="shared" ref="Y226:AH226" si="845">Y225-1</f>
        <v>2.8632199546485264</v>
      </c>
      <c r="Z226" s="128">
        <f t="shared" si="845"/>
        <v>3.2495419501133789</v>
      </c>
      <c r="AA226" s="128">
        <f t="shared" si="845"/>
        <v>3.674496145124718</v>
      </c>
      <c r="AB226" s="128">
        <f t="shared" si="845"/>
        <v>4.1419457596371902</v>
      </c>
      <c r="AC226" s="128">
        <f t="shared" si="845"/>
        <v>4.6561403356009103</v>
      </c>
      <c r="AD226" s="128">
        <f t="shared" si="845"/>
        <v>5.221754369161002</v>
      </c>
      <c r="AE226" s="128">
        <f t="shared" si="845"/>
        <v>5.8439298060771021</v>
      </c>
      <c r="AF226" s="128">
        <f t="shared" si="845"/>
        <v>6.5283227866848126</v>
      </c>
      <c r="AG226" s="128">
        <f t="shared" si="845"/>
        <v>7.2811550653532962</v>
      </c>
      <c r="AH226" s="128">
        <f t="shared" si="845"/>
        <v>8.1092705718886258</v>
      </c>
      <c r="AI226" s="115">
        <f t="shared" si="835"/>
        <v>-2.1267084755862795</v>
      </c>
      <c r="AJ226" s="21">
        <f t="shared" si="832"/>
        <v>0.01</v>
      </c>
      <c r="AK226" s="154">
        <f>(AK212)/($O$2*100)</f>
        <v>0.12350458633782965</v>
      </c>
    </row>
    <row r="227" spans="2:37" x14ac:dyDescent="0.2">
      <c r="B227" s="10"/>
      <c r="C227" s="110"/>
      <c r="D227" s="110"/>
      <c r="E227" s="110"/>
      <c r="F227" s="110"/>
      <c r="G227" s="112"/>
      <c r="H227" s="112"/>
      <c r="I227" s="112"/>
      <c r="J227" s="112"/>
      <c r="K227" s="112"/>
      <c r="L227" s="112"/>
      <c r="M227" s="112"/>
      <c r="N227" s="172"/>
      <c r="O227" s="173"/>
      <c r="P227" s="112"/>
      <c r="Q227" s="112"/>
      <c r="R227" s="112"/>
      <c r="S227" s="112"/>
      <c r="T227" s="112"/>
      <c r="U227" s="155"/>
      <c r="V227" s="155"/>
      <c r="W227" s="155"/>
      <c r="X227" s="109"/>
      <c r="Y227" s="112"/>
      <c r="Z227" s="112"/>
      <c r="AA227" s="112"/>
      <c r="AB227" s="112"/>
      <c r="AC227" s="112"/>
      <c r="AD227" s="112"/>
      <c r="AE227" s="112"/>
      <c r="AF227" s="112"/>
      <c r="AG227" s="112"/>
      <c r="AH227" s="112"/>
      <c r="AI227" s="114"/>
      <c r="AJ227" s="10"/>
      <c r="AK227" s="10"/>
    </row>
    <row r="228" spans="2:37" x14ac:dyDescent="0.2">
      <c r="B228" s="10" t="s">
        <v>499</v>
      </c>
      <c r="C228" s="110"/>
      <c r="D228" s="110"/>
      <c r="E228" s="110"/>
      <c r="F228" s="110"/>
      <c r="G228" s="128">
        <f t="shared" ref="G228:V228" si="846">1/G229</f>
        <v>0.3981968444778361</v>
      </c>
      <c r="H228" s="128">
        <f t="shared" si="846"/>
        <v>0.36199713134348743</v>
      </c>
      <c r="I228" s="128">
        <f t="shared" si="846"/>
        <v>0.32505864855333566</v>
      </c>
      <c r="J228" s="128">
        <f t="shared" si="846"/>
        <v>0.26111268490349909</v>
      </c>
      <c r="K228" s="128">
        <f t="shared" si="846"/>
        <v>0.23772945938975293</v>
      </c>
      <c r="L228" s="128">
        <f t="shared" si="846"/>
        <v>0.31231125057085191</v>
      </c>
      <c r="M228" s="128">
        <f t="shared" si="846"/>
        <v>0.19909842223891805</v>
      </c>
      <c r="N228" s="128">
        <f t="shared" si="846"/>
        <v>0.14885863344965838</v>
      </c>
      <c r="O228" s="128">
        <f t="shared" si="846"/>
        <v>0.14221315874208434</v>
      </c>
      <c r="P228" s="128">
        <f t="shared" si="846"/>
        <v>0.11798425021565515</v>
      </c>
      <c r="Q228" s="128">
        <f t="shared" si="846"/>
        <v>8.3830914626912861E-2</v>
      </c>
      <c r="R228" s="128">
        <f t="shared" si="846"/>
        <v>2.6240319240714079E-2</v>
      </c>
      <c r="S228" s="128">
        <f t="shared" si="846"/>
        <v>1.3802316966302812E-2</v>
      </c>
      <c r="T228" s="128">
        <f t="shared" si="846"/>
        <v>7.5096057421562687E-3</v>
      </c>
      <c r="U228" s="128">
        <f t="shared" si="846"/>
        <v>3.2908830122135219E-2</v>
      </c>
      <c r="V228" s="128">
        <f t="shared" si="846"/>
        <v>4.0019783364606647E-2</v>
      </c>
      <c r="W228" s="101">
        <f t="shared" si="742"/>
        <v>-0.15313475757495987</v>
      </c>
      <c r="X228" s="109"/>
      <c r="Y228" s="128">
        <f t="shared" ref="Y228:AH228" si="847">1/Y229</f>
        <v>3.9819684447783617E-2</v>
      </c>
      <c r="Z228" s="128">
        <f t="shared" si="847"/>
        <v>3.6199713134348735E-2</v>
      </c>
      <c r="AA228" s="128">
        <f t="shared" si="847"/>
        <v>3.2908830122135212E-2</v>
      </c>
      <c r="AB228" s="128">
        <f t="shared" si="847"/>
        <v>2.9917118292850188E-2</v>
      </c>
      <c r="AC228" s="128">
        <f t="shared" si="847"/>
        <v>2.719738026622744E-2</v>
      </c>
      <c r="AD228" s="128">
        <f t="shared" si="847"/>
        <v>2.4724891151115851E-2</v>
      </c>
      <c r="AE228" s="128">
        <f t="shared" si="847"/>
        <v>2.2477173773741681E-2</v>
      </c>
      <c r="AF228" s="128">
        <f t="shared" si="847"/>
        <v>2.0433794339765162E-2</v>
      </c>
      <c r="AG228" s="128">
        <f t="shared" si="847"/>
        <v>1.8576176672513781E-2</v>
      </c>
      <c r="AH228" s="128">
        <f t="shared" si="847"/>
        <v>1.6887433338648894E-2</v>
      </c>
      <c r="AI228" s="115">
        <f t="shared" ref="AI228" si="848">((AH228/J228)^(1/($AH$3-$K$1) ))-1</f>
        <v>-0.10374946671194463</v>
      </c>
      <c r="AJ228" s="21">
        <f t="shared" ref="AJ228" si="849">$O$1</f>
        <v>0.01</v>
      </c>
      <c r="AK228" s="154">
        <f>(AK214)/($O$2*100)</f>
        <v>0</v>
      </c>
    </row>
    <row r="229" spans="2:37" x14ac:dyDescent="0.2">
      <c r="B229" s="10" t="s">
        <v>410</v>
      </c>
      <c r="C229" s="110"/>
      <c r="D229" s="110"/>
      <c r="E229" s="110"/>
      <c r="F229" s="110"/>
      <c r="G229" s="112">
        <f t="shared" ref="G229" si="850">G205/$T$174</f>
        <v>2.5113207547169818</v>
      </c>
      <c r="H229" s="112">
        <f t="shared" ref="H229:I229" si="851">H205/$T$174</f>
        <v>2.7624528301886797</v>
      </c>
      <c r="I229" s="112">
        <f t="shared" si="851"/>
        <v>3.0763679245283022</v>
      </c>
      <c r="J229" s="112">
        <f t="shared" ref="J229:S229" si="852">J205/$T$174</f>
        <v>3.8297641509433968</v>
      </c>
      <c r="K229" s="112">
        <f t="shared" si="852"/>
        <v>4.2064622641509439</v>
      </c>
      <c r="L229" s="112">
        <f t="shared" si="852"/>
        <v>3.2019339622641514</v>
      </c>
      <c r="M229" s="112">
        <f t="shared" si="852"/>
        <v>5.0226415094339636</v>
      </c>
      <c r="N229" s="112">
        <f t="shared" si="852"/>
        <v>6.7177830188679257</v>
      </c>
      <c r="O229" s="112">
        <f t="shared" si="852"/>
        <v>7.0316981132075487</v>
      </c>
      <c r="P229" s="112">
        <f t="shared" si="852"/>
        <v>8.4757075471698133</v>
      </c>
      <c r="Q229" s="112">
        <f t="shared" si="852"/>
        <v>11.928773584905663</v>
      </c>
      <c r="R229" s="112">
        <f t="shared" si="852"/>
        <v>38.109292452830196</v>
      </c>
      <c r="S229" s="112">
        <f t="shared" si="852"/>
        <v>72.451603773584921</v>
      </c>
      <c r="T229" s="112">
        <f>T205/$T$174</f>
        <v>133.16278301886794</v>
      </c>
      <c r="U229" s="112">
        <f>U205/$T$174</f>
        <v>30.386981132075476</v>
      </c>
      <c r="V229" s="112">
        <f>V205/$T$174</f>
        <v>24.987641509433967</v>
      </c>
      <c r="W229" s="101">
        <f t="shared" si="742"/>
        <v>0.18082541342286174</v>
      </c>
      <c r="X229" s="109"/>
      <c r="Y229" s="112">
        <f t="shared" ref="Y229:AH229" si="853">Y205/$T$174</f>
        <v>25.113207547169814</v>
      </c>
      <c r="Z229" s="112">
        <f t="shared" si="853"/>
        <v>27.624528301886802</v>
      </c>
      <c r="AA229" s="112">
        <f t="shared" si="853"/>
        <v>30.386981132075483</v>
      </c>
      <c r="AB229" s="112">
        <f t="shared" si="853"/>
        <v>33.425679245283035</v>
      </c>
      <c r="AC229" s="112">
        <f t="shared" si="853"/>
        <v>36.768247169811346</v>
      </c>
      <c r="AD229" s="112">
        <f t="shared" si="853"/>
        <v>40.445071886792483</v>
      </c>
      <c r="AE229" s="112">
        <f t="shared" si="853"/>
        <v>44.489579075471738</v>
      </c>
      <c r="AF229" s="112">
        <f t="shared" si="853"/>
        <v>48.938536983018913</v>
      </c>
      <c r="AG229" s="112">
        <f t="shared" si="853"/>
        <v>53.832390681320817</v>
      </c>
      <c r="AH229" s="112">
        <f t="shared" si="853"/>
        <v>59.215629749452894</v>
      </c>
      <c r="AI229" s="115">
        <f t="shared" ref="AI229:AI231" si="854">((AH229/J229)^(1/($AH$3-$K$1) ))-1</f>
        <v>0.11575944767510626</v>
      </c>
      <c r="AJ229" s="21">
        <f t="shared" ref="AJ229:AJ231" si="855">$O$1</f>
        <v>0.01</v>
      </c>
      <c r="AK229" s="154">
        <f>(AK214)/($O$2*100)</f>
        <v>0</v>
      </c>
    </row>
    <row r="230" spans="2:37" x14ac:dyDescent="0.2">
      <c r="B230" s="10" t="s">
        <v>431</v>
      </c>
      <c r="C230" s="110"/>
      <c r="D230" s="110"/>
      <c r="E230" s="110"/>
      <c r="F230" s="110"/>
      <c r="G230" s="154">
        <f t="shared" ref="G230" si="856">(G229)/($O$2*100)</f>
        <v>0.16742138364779879</v>
      </c>
      <c r="H230" s="154">
        <f t="shared" ref="H230:I230" si="857">(H229)/($O$2*100)</f>
        <v>0.18416352201257866</v>
      </c>
      <c r="I230" s="154">
        <f t="shared" si="857"/>
        <v>0.20509119496855349</v>
      </c>
      <c r="J230" s="154">
        <f t="shared" ref="J230:T230" si="858">(J229)/($O$2*100)</f>
        <v>0.25531761006289311</v>
      </c>
      <c r="K230" s="154">
        <f t="shared" si="858"/>
        <v>0.28043081761006294</v>
      </c>
      <c r="L230" s="154">
        <f t="shared" si="858"/>
        <v>0.21346226415094344</v>
      </c>
      <c r="M230" s="154">
        <f t="shared" si="858"/>
        <v>0.33484276729559759</v>
      </c>
      <c r="N230" s="154">
        <f t="shared" si="858"/>
        <v>0.44785220125786174</v>
      </c>
      <c r="O230" s="154">
        <f t="shared" si="858"/>
        <v>0.4687798742138366</v>
      </c>
      <c r="P230" s="154">
        <f t="shared" si="858"/>
        <v>0.56504716981132086</v>
      </c>
      <c r="Q230" s="154">
        <f t="shared" si="858"/>
        <v>0.79525157232704424</v>
      </c>
      <c r="R230" s="154">
        <f t="shared" si="858"/>
        <v>2.5406194968553466</v>
      </c>
      <c r="S230" s="154">
        <f t="shared" si="858"/>
        <v>4.8301069182389949</v>
      </c>
      <c r="T230" s="154">
        <f t="shared" si="858"/>
        <v>8.8775188679245289</v>
      </c>
      <c r="U230" s="154">
        <f t="shared" ref="U230:V230" si="859">(U229)/($O$2*100)</f>
        <v>2.025798742138365</v>
      </c>
      <c r="V230" s="154">
        <f t="shared" si="859"/>
        <v>1.6658427672955978</v>
      </c>
      <c r="W230" s="101">
        <f t="shared" si="742"/>
        <v>0.18082541342286174</v>
      </c>
      <c r="X230" s="109"/>
      <c r="Y230" s="154">
        <f t="shared" ref="Y230:AH230" si="860">(Y229)/($O$2*100)</f>
        <v>1.6742138364779877</v>
      </c>
      <c r="Z230" s="154">
        <f t="shared" si="860"/>
        <v>1.8416352201257868</v>
      </c>
      <c r="AA230" s="154">
        <f t="shared" si="860"/>
        <v>2.0257987421383654</v>
      </c>
      <c r="AB230" s="154">
        <f t="shared" si="860"/>
        <v>2.2283786163522024</v>
      </c>
      <c r="AC230" s="154">
        <f t="shared" si="860"/>
        <v>2.451216477987423</v>
      </c>
      <c r="AD230" s="154">
        <f t="shared" si="860"/>
        <v>2.6963381257861654</v>
      </c>
      <c r="AE230" s="154">
        <f t="shared" si="860"/>
        <v>2.9659719383647825</v>
      </c>
      <c r="AF230" s="154">
        <f t="shared" si="860"/>
        <v>3.2625691322012611</v>
      </c>
      <c r="AG230" s="154">
        <f t="shared" si="860"/>
        <v>3.5888260454213876</v>
      </c>
      <c r="AH230" s="154">
        <f t="shared" si="860"/>
        <v>3.9477086499635261</v>
      </c>
      <c r="AI230" s="115">
        <f t="shared" si="854"/>
        <v>0.11575944767510626</v>
      </c>
      <c r="AJ230" s="21">
        <f t="shared" si="855"/>
        <v>0.01</v>
      </c>
      <c r="AK230" s="154" t="e">
        <f>(AK215)/($O$2*100)</f>
        <v>#DIV/0!</v>
      </c>
    </row>
    <row r="231" spans="2:37" x14ac:dyDescent="0.2">
      <c r="B231" s="10" t="s">
        <v>433</v>
      </c>
      <c r="C231" s="110"/>
      <c r="D231" s="110"/>
      <c r="E231" s="110"/>
      <c r="F231" s="110"/>
      <c r="G231" s="128">
        <f t="shared" ref="G231" si="861">G230-1</f>
        <v>-0.83257861635220121</v>
      </c>
      <c r="H231" s="128">
        <f t="shared" ref="H231:I231" si="862">H230-1</f>
        <v>-0.81583647798742132</v>
      </c>
      <c r="I231" s="128">
        <f t="shared" si="862"/>
        <v>-0.79490880503144656</v>
      </c>
      <c r="J231" s="128">
        <f t="shared" ref="J231:T231" si="863">J230-1</f>
        <v>-0.74468238993710689</v>
      </c>
      <c r="K231" s="128">
        <f t="shared" si="863"/>
        <v>-0.71956918238993706</v>
      </c>
      <c r="L231" s="128">
        <f t="shared" si="863"/>
        <v>-0.78653773584905662</v>
      </c>
      <c r="M231" s="128">
        <f t="shared" si="863"/>
        <v>-0.66515723270440241</v>
      </c>
      <c r="N231" s="128">
        <f t="shared" si="863"/>
        <v>-0.55214779874213826</v>
      </c>
      <c r="O231" s="128">
        <f t="shared" si="863"/>
        <v>-0.5312201257861634</v>
      </c>
      <c r="P231" s="128">
        <f t="shared" si="863"/>
        <v>-0.43495283018867914</v>
      </c>
      <c r="Q231" s="128">
        <f t="shared" si="863"/>
        <v>-0.20474842767295576</v>
      </c>
      <c r="R231" s="128">
        <f t="shared" si="863"/>
        <v>1.5406194968553466</v>
      </c>
      <c r="S231" s="128">
        <f t="shared" si="863"/>
        <v>3.8301069182389949</v>
      </c>
      <c r="T231" s="128">
        <f t="shared" si="863"/>
        <v>7.8775188679245289</v>
      </c>
      <c r="U231" s="128">
        <f t="shared" ref="U231:V231" si="864">U230-1</f>
        <v>1.025798742138365</v>
      </c>
      <c r="V231" s="128">
        <f t="shared" si="864"/>
        <v>0.66584276729559777</v>
      </c>
      <c r="W231" s="101">
        <f t="shared" si="742"/>
        <v>-2.0140105199491183</v>
      </c>
      <c r="X231" s="109"/>
      <c r="Y231" s="128">
        <f t="shared" ref="Y231:AH231" si="865">Y230-1</f>
        <v>0.67421383647798772</v>
      </c>
      <c r="Z231" s="128">
        <f t="shared" si="865"/>
        <v>0.84163522012578684</v>
      </c>
      <c r="AA231" s="128">
        <f t="shared" si="865"/>
        <v>1.0257987421383654</v>
      </c>
      <c r="AB231" s="128">
        <f t="shared" si="865"/>
        <v>1.2283786163522024</v>
      </c>
      <c r="AC231" s="128">
        <f t="shared" si="865"/>
        <v>1.451216477987423</v>
      </c>
      <c r="AD231" s="128">
        <f t="shared" si="865"/>
        <v>1.6963381257861654</v>
      </c>
      <c r="AE231" s="128">
        <f t="shared" si="865"/>
        <v>1.9659719383647825</v>
      </c>
      <c r="AF231" s="128">
        <f t="shared" si="865"/>
        <v>2.2625691322012611</v>
      </c>
      <c r="AG231" s="128">
        <f t="shared" si="865"/>
        <v>2.5888260454213876</v>
      </c>
      <c r="AH231" s="128">
        <f t="shared" si="865"/>
        <v>2.9477086499635261</v>
      </c>
      <c r="AI231" s="115">
        <f t="shared" si="854"/>
        <v>-2.0565755070173832</v>
      </c>
      <c r="AJ231" s="21">
        <f t="shared" si="855"/>
        <v>0.01</v>
      </c>
      <c r="AK231" s="154">
        <f>(AK216)/($O$2*100)</f>
        <v>8833.7924898101428</v>
      </c>
    </row>
    <row r="232" spans="2:37" x14ac:dyDescent="0.2">
      <c r="B232" s="10"/>
      <c r="C232" s="110"/>
      <c r="D232" s="110"/>
      <c r="E232" s="110"/>
      <c r="F232" s="110"/>
      <c r="G232" s="110"/>
      <c r="H232" s="110"/>
      <c r="I232" s="110"/>
      <c r="J232" s="112"/>
      <c r="K232" s="112"/>
      <c r="L232" s="112"/>
      <c r="M232" s="112"/>
      <c r="N232" s="172"/>
      <c r="O232" s="173"/>
      <c r="P232" s="112"/>
      <c r="Q232" s="112"/>
      <c r="R232" s="112"/>
      <c r="S232" s="112"/>
      <c r="T232" s="112"/>
      <c r="U232" s="155"/>
      <c r="V232" s="155"/>
      <c r="W232" s="155"/>
      <c r="X232" s="109"/>
      <c r="Y232" s="112"/>
      <c r="Z232" s="112"/>
      <c r="AA232" s="112"/>
      <c r="AB232" s="112"/>
      <c r="AC232" s="112"/>
      <c r="AD232" s="112"/>
      <c r="AE232" s="112"/>
      <c r="AF232" s="112"/>
      <c r="AG232" s="112"/>
      <c r="AH232" s="112"/>
      <c r="AI232" s="114"/>
      <c r="AJ232" s="10"/>
      <c r="AK232" s="10"/>
    </row>
    <row r="233" spans="2:37" x14ac:dyDescent="0.2">
      <c r="B233" s="10" t="s">
        <v>500</v>
      </c>
      <c r="C233" s="110"/>
      <c r="D233" s="110"/>
      <c r="E233" s="110"/>
      <c r="F233" s="110"/>
      <c r="G233" s="128">
        <f t="shared" ref="G233:S233" si="866">1/G234</f>
        <v>0.50678541665841215</v>
      </c>
      <c r="H233" s="128">
        <f t="shared" si="866"/>
        <v>0.46071401514401106</v>
      </c>
      <c r="I233" s="128">
        <f t="shared" si="866"/>
        <v>0.41370238094564249</v>
      </c>
      <c r="J233" s="128">
        <f t="shared" si="866"/>
        <v>0.33231830600551615</v>
      </c>
      <c r="K233" s="128">
        <f t="shared" si="866"/>
        <v>0.30255845770651474</v>
      </c>
      <c r="L233" s="128">
        <f t="shared" si="866"/>
        <v>0.39747875816346051</v>
      </c>
      <c r="M233" s="128">
        <f t="shared" si="866"/>
        <v>0.25339270832920607</v>
      </c>
      <c r="N233" s="128">
        <f t="shared" si="866"/>
        <v>0.18945249220875218</v>
      </c>
      <c r="O233" s="128">
        <f t="shared" si="866"/>
        <v>0.18099479166371862</v>
      </c>
      <c r="P233" s="128">
        <f t="shared" si="866"/>
        <v>0.15015864197286286</v>
      </c>
      <c r="Q233" s="128">
        <f t="shared" si="866"/>
        <v>0.10669166666492887</v>
      </c>
      <c r="R233" s="128">
        <f t="shared" si="866"/>
        <v>3.3396073585397833E-2</v>
      </c>
      <c r="S233" s="128">
        <f t="shared" si="866"/>
        <v>1.7566218948298514E-2</v>
      </c>
      <c r="T233" s="128">
        <f>1/T234</f>
        <v>9.5574807479191348E-3</v>
      </c>
      <c r="U233" s="128">
        <f>1/U234</f>
        <v>4.1883092285819185E-2</v>
      </c>
      <c r="V233" s="128">
        <f>1/V234</f>
        <v>5.0933207704363027E-2</v>
      </c>
      <c r="W233" s="101">
        <f t="shared" si="742"/>
        <v>-0.15313475757495987</v>
      </c>
      <c r="X233" s="109"/>
      <c r="Y233" s="128">
        <f t="shared" ref="Y233:AH233" si="867">1/Y234</f>
        <v>124.28888373448021</v>
      </c>
      <c r="Z233" s="128">
        <f t="shared" si="867"/>
        <v>5.047487666959368</v>
      </c>
      <c r="AA233" s="128">
        <f t="shared" si="867"/>
        <v>5.1734499260278719</v>
      </c>
      <c r="AB233" s="128">
        <f t="shared" si="867"/>
        <v>5.3025556282816853</v>
      </c>
      <c r="AC233" s="128">
        <f t="shared" si="867"/>
        <v>5.4348832197183023</v>
      </c>
      <c r="AD233" s="128">
        <f t="shared" si="867"/>
        <v>5.570513103989347</v>
      </c>
      <c r="AE233" s="128">
        <f t="shared" si="867"/>
        <v>5.7095276912546788</v>
      </c>
      <c r="AF233" s="128">
        <f t="shared" si="867"/>
        <v>5.8520114482556842</v>
      </c>
      <c r="AG233" s="128">
        <f t="shared" si="867"/>
        <v>5.998050949638178</v>
      </c>
      <c r="AH233" s="128">
        <f t="shared" si="867"/>
        <v>6.147734930556064</v>
      </c>
      <c r="AI233" s="115">
        <f t="shared" ref="AI233:AI236" si="868">((AH233/J233)^(1/($AH$3-$K$1) ))-1</f>
        <v>0.12379329021261132</v>
      </c>
      <c r="AJ233" s="21">
        <f t="shared" ref="AJ233:AJ236" si="869">$O$1</f>
        <v>0.01</v>
      </c>
      <c r="AK233" s="154">
        <f>(AK218)/($O$2*100)</f>
        <v>3.4372219872420881E-2</v>
      </c>
    </row>
    <row r="234" spans="2:37" x14ac:dyDescent="0.2">
      <c r="B234" s="10" t="s">
        <v>497</v>
      </c>
      <c r="C234" s="110"/>
      <c r="D234" s="110"/>
      <c r="E234" s="110"/>
      <c r="F234" s="110"/>
      <c r="G234" s="112">
        <f t="shared" ref="G234" si="870">G205/$Y$175</f>
        <v>1.9732217367139209</v>
      </c>
      <c r="H234" s="112">
        <f t="shared" ref="H234:S234" si="871">H205/$Y$175</f>
        <v>2.1705439103853128</v>
      </c>
      <c r="I234" s="112">
        <f t="shared" si="871"/>
        <v>2.4171966274745533</v>
      </c>
      <c r="J234" s="112">
        <f t="shared" si="871"/>
        <v>3.0091631484887293</v>
      </c>
      <c r="K234" s="112">
        <f t="shared" si="871"/>
        <v>3.3051464089958174</v>
      </c>
      <c r="L234" s="112">
        <f t="shared" si="871"/>
        <v>2.5158577143102492</v>
      </c>
      <c r="M234" s="112">
        <f t="shared" si="871"/>
        <v>3.9464434734278417</v>
      </c>
      <c r="N234" s="112">
        <f t="shared" si="871"/>
        <v>5.2783681457097389</v>
      </c>
      <c r="O234" s="112">
        <f t="shared" si="871"/>
        <v>5.5250208627989785</v>
      </c>
      <c r="P234" s="112">
        <f t="shared" si="871"/>
        <v>6.6596233614094835</v>
      </c>
      <c r="Q234" s="112">
        <f t="shared" si="871"/>
        <v>9.372803249391124</v>
      </c>
      <c r="R234" s="112">
        <f t="shared" si="871"/>
        <v>29.943639854633751</v>
      </c>
      <c r="S234" s="112">
        <f t="shared" si="871"/>
        <v>56.927447104196617</v>
      </c>
      <c r="T234" s="112">
        <f>T205/$Y$175</f>
        <v>104.63008258925565</v>
      </c>
      <c r="U234" s="112">
        <f>U205/$Y$175</f>
        <v>23.875983014238443</v>
      </c>
      <c r="V234" s="112">
        <f>V205/$Y$175</f>
        <v>19.633556280303512</v>
      </c>
      <c r="W234" s="101">
        <f t="shared" si="742"/>
        <v>0.18082541342286174</v>
      </c>
      <c r="X234" s="109"/>
      <c r="Y234" s="112">
        <f t="shared" ref="Y234:AH234" si="872">Y210/$T$174</f>
        <v>8.0457718337571659E-3</v>
      </c>
      <c r="Z234" s="112">
        <f t="shared" si="872"/>
        <v>0.19811836422027457</v>
      </c>
      <c r="AA234" s="112">
        <f t="shared" si="872"/>
        <v>0.19329461274360704</v>
      </c>
      <c r="AB234" s="112">
        <f t="shared" si="872"/>
        <v>0.18858830912898014</v>
      </c>
      <c r="AC234" s="112">
        <f t="shared" si="872"/>
        <v>0.18399659377627461</v>
      </c>
      <c r="AD234" s="112">
        <f t="shared" si="872"/>
        <v>0.17951667671041752</v>
      </c>
      <c r="AE234" s="112">
        <f t="shared" si="872"/>
        <v>0.17514583588616386</v>
      </c>
      <c r="AF234" s="112">
        <f t="shared" si="872"/>
        <v>0.17088141553415298</v>
      </c>
      <c r="AG234" s="112">
        <f t="shared" si="872"/>
        <v>0.1667208245472345</v>
      </c>
      <c r="AH234" s="112">
        <f t="shared" si="872"/>
        <v>0.16266153490608448</v>
      </c>
      <c r="AI234" s="115">
        <f t="shared" si="868"/>
        <v>-0.1101566376047598</v>
      </c>
      <c r="AJ234" s="21">
        <f t="shared" si="869"/>
        <v>0.01</v>
      </c>
      <c r="AK234" s="154">
        <f>(AK219)/($O$2*100)</f>
        <v>8.3278741960345654E-2</v>
      </c>
    </row>
    <row r="235" spans="2:37" x14ac:dyDescent="0.2">
      <c r="B235" s="10" t="s">
        <v>431</v>
      </c>
      <c r="C235" s="110"/>
      <c r="D235" s="110"/>
      <c r="E235" s="110"/>
      <c r="F235" s="110"/>
      <c r="G235" s="154">
        <f t="shared" ref="G235" si="873">(G234)/($O$2*100)</f>
        <v>0.13154811578092807</v>
      </c>
      <c r="H235" s="154">
        <f t="shared" ref="H235:T235" si="874">(H234)/($O$2*100)</f>
        <v>0.14470292735902085</v>
      </c>
      <c r="I235" s="154">
        <f t="shared" si="874"/>
        <v>0.1611464418316369</v>
      </c>
      <c r="J235" s="154">
        <f t="shared" si="874"/>
        <v>0.20061087656591528</v>
      </c>
      <c r="K235" s="154">
        <f t="shared" si="874"/>
        <v>0.22034309393305448</v>
      </c>
      <c r="L235" s="154">
        <f t="shared" si="874"/>
        <v>0.16772384762068329</v>
      </c>
      <c r="M235" s="154">
        <f t="shared" si="874"/>
        <v>0.26309623156185613</v>
      </c>
      <c r="N235" s="154">
        <f t="shared" si="874"/>
        <v>0.35189120971398258</v>
      </c>
      <c r="O235" s="154">
        <f t="shared" si="874"/>
        <v>0.36833472418659857</v>
      </c>
      <c r="P235" s="154">
        <f t="shared" si="874"/>
        <v>0.44397489076063223</v>
      </c>
      <c r="Q235" s="154">
        <f t="shared" si="874"/>
        <v>0.62485354995940823</v>
      </c>
      <c r="R235" s="154">
        <f t="shared" si="874"/>
        <v>1.9962426569755833</v>
      </c>
      <c r="S235" s="154">
        <f t="shared" si="874"/>
        <v>3.7951631402797745</v>
      </c>
      <c r="T235" s="154">
        <f t="shared" si="874"/>
        <v>6.9753388392837099</v>
      </c>
      <c r="U235" s="154">
        <f t="shared" ref="U235:V235" si="875">(U234)/($O$2*100)</f>
        <v>1.5917322009492296</v>
      </c>
      <c r="V235" s="154">
        <f t="shared" si="875"/>
        <v>1.3089037520202342</v>
      </c>
      <c r="W235" s="101">
        <f t="shared" si="742"/>
        <v>0.18082541342286174</v>
      </c>
      <c r="X235" s="109"/>
      <c r="Y235" s="154">
        <f t="shared" ref="Y235:AH235" si="876">(Y234)/($O$2*100)</f>
        <v>5.3638478891714439E-4</v>
      </c>
      <c r="Z235" s="154">
        <f t="shared" si="876"/>
        <v>1.3207890948018304E-2</v>
      </c>
      <c r="AA235" s="154">
        <f t="shared" si="876"/>
        <v>1.288630751624047E-2</v>
      </c>
      <c r="AB235" s="154">
        <f t="shared" si="876"/>
        <v>1.257255394193201E-2</v>
      </c>
      <c r="AC235" s="154">
        <f t="shared" si="876"/>
        <v>1.2266439585084974E-2</v>
      </c>
      <c r="AD235" s="154">
        <f t="shared" si="876"/>
        <v>1.1967778447361167E-2</v>
      </c>
      <c r="AE235" s="154">
        <f t="shared" si="876"/>
        <v>1.1676389059077591E-2</v>
      </c>
      <c r="AF235" s="154">
        <f t="shared" si="876"/>
        <v>1.1392094368943532E-2</v>
      </c>
      <c r="AG235" s="154">
        <f t="shared" si="876"/>
        <v>1.11147216364823E-2</v>
      </c>
      <c r="AH235" s="154">
        <f t="shared" si="876"/>
        <v>1.0844102327072299E-2</v>
      </c>
      <c r="AI235" s="115">
        <f t="shared" si="868"/>
        <v>-0.1101566376047598</v>
      </c>
      <c r="AJ235" s="21">
        <f t="shared" si="869"/>
        <v>0.01</v>
      </c>
      <c r="AK235" s="154">
        <f>(AK220)/($O$2*100)</f>
        <v>0.43980743840261355</v>
      </c>
    </row>
    <row r="236" spans="2:37" x14ac:dyDescent="0.2">
      <c r="B236" s="10" t="s">
        <v>433</v>
      </c>
      <c r="C236" s="110"/>
      <c r="D236" s="110"/>
      <c r="E236" s="110"/>
      <c r="F236" s="110"/>
      <c r="G236" s="128">
        <f t="shared" ref="G236" si="877">G235-1</f>
        <v>-0.86845188421907193</v>
      </c>
      <c r="H236" s="128">
        <f t="shared" ref="H236:T236" si="878">H235-1</f>
        <v>-0.85529707264097921</v>
      </c>
      <c r="I236" s="128">
        <f t="shared" si="878"/>
        <v>-0.83885355816836316</v>
      </c>
      <c r="J236" s="128">
        <f t="shared" si="878"/>
        <v>-0.79938912343408475</v>
      </c>
      <c r="K236" s="128">
        <f t="shared" si="878"/>
        <v>-0.77965690606694549</v>
      </c>
      <c r="L236" s="128">
        <f t="shared" si="878"/>
        <v>-0.83227615237931674</v>
      </c>
      <c r="M236" s="128">
        <f t="shared" si="878"/>
        <v>-0.73690376843814387</v>
      </c>
      <c r="N236" s="128">
        <f t="shared" si="878"/>
        <v>-0.64810879028601742</v>
      </c>
      <c r="O236" s="128">
        <f t="shared" si="878"/>
        <v>-0.63166527581340137</v>
      </c>
      <c r="P236" s="128">
        <f t="shared" si="878"/>
        <v>-0.55602510923936777</v>
      </c>
      <c r="Q236" s="128">
        <f t="shared" si="878"/>
        <v>-0.37514645004059177</v>
      </c>
      <c r="R236" s="128">
        <f t="shared" si="878"/>
        <v>0.99624265697558334</v>
      </c>
      <c r="S236" s="128">
        <f t="shared" si="878"/>
        <v>2.7951631402797745</v>
      </c>
      <c r="T236" s="128">
        <f t="shared" si="878"/>
        <v>5.9753388392837099</v>
      </c>
      <c r="U236" s="128">
        <f t="shared" ref="U236:V236" si="879">U235-1</f>
        <v>0.59173220094922963</v>
      </c>
      <c r="V236" s="128">
        <f t="shared" si="879"/>
        <v>0.30890375202023423</v>
      </c>
      <c r="W236" s="101">
        <f t="shared" si="742"/>
        <v>-1.97474712468245</v>
      </c>
      <c r="X236" s="109"/>
      <c r="Y236" s="128">
        <f t="shared" ref="Y236:AH236" si="880">Y235-1</f>
        <v>-0.99946361521108285</v>
      </c>
      <c r="Z236" s="128">
        <f t="shared" si="880"/>
        <v>-0.98679210905198167</v>
      </c>
      <c r="AA236" s="128">
        <f t="shared" si="880"/>
        <v>-0.98711369248375957</v>
      </c>
      <c r="AB236" s="128">
        <f t="shared" si="880"/>
        <v>-0.98742744605806798</v>
      </c>
      <c r="AC236" s="128">
        <f t="shared" si="880"/>
        <v>-0.987733560414915</v>
      </c>
      <c r="AD236" s="128">
        <f t="shared" si="880"/>
        <v>-0.98803222155263881</v>
      </c>
      <c r="AE236" s="128">
        <f t="shared" si="880"/>
        <v>-0.98832361094092236</v>
      </c>
      <c r="AF236" s="128">
        <f t="shared" si="880"/>
        <v>-0.98860790563105649</v>
      </c>
      <c r="AG236" s="128">
        <f t="shared" si="880"/>
        <v>-0.98888527836351769</v>
      </c>
      <c r="AH236" s="128">
        <f t="shared" si="880"/>
        <v>-0.98915589767292766</v>
      </c>
      <c r="AI236" s="115">
        <f t="shared" si="868"/>
        <v>8.5565643270957281E-3</v>
      </c>
      <c r="AJ236" s="21">
        <f t="shared" si="869"/>
        <v>0.01</v>
      </c>
      <c r="AK236" s="154">
        <f>(AK221)/($O$2*100)</f>
        <v>8.9683270643841462E-2</v>
      </c>
    </row>
    <row r="237" spans="2:37" x14ac:dyDescent="0.2">
      <c r="B237" s="10"/>
      <c r="C237" s="110"/>
      <c r="D237" s="110"/>
      <c r="E237" s="110"/>
      <c r="F237" s="110"/>
      <c r="G237" s="110"/>
      <c r="H237" s="110"/>
      <c r="I237" s="110"/>
      <c r="J237" s="112"/>
      <c r="K237" s="112"/>
      <c r="L237" s="112"/>
      <c r="M237" s="112"/>
      <c r="N237" s="172"/>
      <c r="O237" s="173"/>
      <c r="P237" s="112"/>
      <c r="Q237" s="112"/>
      <c r="R237" s="112"/>
      <c r="S237" s="112"/>
      <c r="T237" s="112"/>
      <c r="U237" s="155"/>
      <c r="V237" s="155"/>
      <c r="W237" s="155"/>
      <c r="X237" s="109"/>
      <c r="Y237" s="112"/>
      <c r="Z237" s="112"/>
      <c r="AA237" s="112"/>
      <c r="AB237" s="112"/>
      <c r="AC237" s="112"/>
      <c r="AD237" s="112"/>
      <c r="AE237" s="112"/>
      <c r="AF237" s="112"/>
      <c r="AG237" s="112"/>
      <c r="AH237" s="112"/>
      <c r="AI237" s="114"/>
      <c r="AJ237" s="10"/>
      <c r="AK237" s="10"/>
    </row>
    <row r="238" spans="2:37" x14ac:dyDescent="0.2">
      <c r="B238" s="10" t="s">
        <v>510</v>
      </c>
      <c r="C238" s="110"/>
      <c r="D238" s="110"/>
      <c r="E238" s="110"/>
      <c r="F238" s="110"/>
      <c r="G238" s="15">
        <f>G216/L59</f>
        <v>2.6322580645161286</v>
      </c>
      <c r="H238" s="15">
        <f t="shared" ref="H238:Q238" si="881">H216/M59</f>
        <v>2.3015384615384615</v>
      </c>
      <c r="I238" s="15">
        <f t="shared" si="881"/>
        <v>2.3800000000000003</v>
      </c>
      <c r="J238" s="15">
        <f t="shared" si="881"/>
        <v>2.8939534883720928</v>
      </c>
      <c r="K238" s="15">
        <f t="shared" si="881"/>
        <v>2.5311111111111111</v>
      </c>
      <c r="L238" s="15">
        <f t="shared" si="881"/>
        <v>1.3872</v>
      </c>
      <c r="M238" s="15">
        <f t="shared" si="881"/>
        <v>1.897674418604651</v>
      </c>
      <c r="N238" s="15">
        <f t="shared" si="881"/>
        <v>1.3903184713375796</v>
      </c>
      <c r="O238" s="15">
        <f t="shared" si="881"/>
        <v>0.97225531914893626</v>
      </c>
      <c r="P238" s="15">
        <f t="shared" si="881"/>
        <v>0.96293706293706283</v>
      </c>
      <c r="Q238" s="15">
        <f t="shared" si="881"/>
        <v>1.3094594594594595</v>
      </c>
      <c r="R238" s="15">
        <f>R216/X59</f>
        <v>10764.133333333335</v>
      </c>
      <c r="S238" s="15">
        <f t="shared" ref="S238:V238" si="882">S216/Y59</f>
        <v>9.3330495591365175</v>
      </c>
      <c r="T238" s="15">
        <f t="shared" si="882"/>
        <v>14.916282205507162</v>
      </c>
      <c r="U238" s="15">
        <f t="shared" si="882"/>
        <v>14.810300244671909</v>
      </c>
      <c r="V238" s="15">
        <f t="shared" si="882"/>
        <v>10.590189538949732</v>
      </c>
      <c r="W238" s="109"/>
      <c r="X238" s="109"/>
      <c r="Y238" s="15">
        <f>Y216/AD59</f>
        <v>8.2089033672929688</v>
      </c>
      <c r="Z238" s="15">
        <f t="shared" ref="Z238:AC238" si="883">Z216/AE59</f>
        <v>8.0090344157414908</v>
      </c>
      <c r="AA238" s="15">
        <f t="shared" si="883"/>
        <v>7.8140318386625687</v>
      </c>
      <c r="AB238" s="15">
        <f t="shared" si="883"/>
        <v>7.6237771504168723</v>
      </c>
      <c r="AC238" s="15">
        <f t="shared" si="883"/>
        <v>7.4381547502328109</v>
      </c>
      <c r="AD238" s="15"/>
      <c r="AE238" s="112"/>
      <c r="AF238" s="112"/>
      <c r="AG238" s="112"/>
      <c r="AH238" s="112"/>
      <c r="AI238" s="114"/>
      <c r="AJ238" s="10"/>
      <c r="AK238" s="10"/>
    </row>
    <row r="239" spans="2:37" x14ac:dyDescent="0.2">
      <c r="B239" s="10"/>
      <c r="C239" s="110"/>
      <c r="D239" s="110"/>
      <c r="E239" s="110"/>
      <c r="F239" s="110"/>
      <c r="G239" s="110"/>
      <c r="H239" s="110"/>
      <c r="I239" s="110"/>
      <c r="J239" s="112"/>
      <c r="K239" s="112"/>
      <c r="L239" s="112"/>
      <c r="M239" s="112"/>
      <c r="N239" s="172"/>
      <c r="O239" s="173"/>
      <c r="P239" s="112"/>
      <c r="Q239" s="112"/>
      <c r="R239" s="112"/>
      <c r="S239" s="112"/>
      <c r="T239" s="112"/>
      <c r="U239" s="112"/>
      <c r="V239" s="112"/>
      <c r="W239" s="109"/>
      <c r="X239" s="109"/>
      <c r="Y239" s="112"/>
      <c r="Z239" s="112"/>
      <c r="AA239" s="112"/>
      <c r="AB239" s="112"/>
      <c r="AC239" s="112"/>
      <c r="AD239" s="112"/>
      <c r="AE239" s="112"/>
      <c r="AF239" s="112"/>
      <c r="AG239" s="112"/>
      <c r="AH239" s="112"/>
      <c r="AI239" s="114"/>
      <c r="AJ239" s="10"/>
      <c r="AK239" s="10"/>
    </row>
    <row r="240" spans="2:37" x14ac:dyDescent="0.2">
      <c r="B240" s="10"/>
      <c r="C240" s="110"/>
      <c r="D240" s="110"/>
      <c r="E240" s="110"/>
      <c r="F240" s="110"/>
      <c r="G240" s="110"/>
      <c r="H240" s="110"/>
      <c r="I240" s="110"/>
      <c r="J240" s="112"/>
      <c r="K240" s="112"/>
      <c r="L240" s="112"/>
      <c r="M240" s="112"/>
      <c r="N240" s="172"/>
      <c r="O240" s="173"/>
      <c r="P240" s="112"/>
      <c r="Q240" s="112"/>
      <c r="R240" s="112"/>
      <c r="S240" s="112"/>
      <c r="T240" s="112"/>
      <c r="U240" s="112"/>
      <c r="V240" s="112"/>
      <c r="W240" s="109"/>
      <c r="X240" s="109"/>
      <c r="Y240" s="112"/>
      <c r="Z240" s="112"/>
      <c r="AA240" s="112"/>
      <c r="AB240" s="112"/>
      <c r="AC240" s="112"/>
      <c r="AD240" s="112"/>
      <c r="AE240" s="112"/>
      <c r="AF240" s="112"/>
      <c r="AG240" s="112"/>
      <c r="AH240" s="112"/>
      <c r="AI240" s="114"/>
      <c r="AJ240" s="10"/>
      <c r="AK240" s="10"/>
    </row>
    <row r="241" spans="2:48" x14ac:dyDescent="0.2">
      <c r="B241" s="93" t="s">
        <v>250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310" t="s">
        <v>293</v>
      </c>
      <c r="O241" s="311"/>
      <c r="P241" s="10"/>
      <c r="Q241" s="10"/>
      <c r="R241" s="10"/>
      <c r="S241" s="93" t="s">
        <v>372</v>
      </c>
      <c r="T241" s="167" t="s">
        <v>371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14"/>
      <c r="AJ241" s="10"/>
      <c r="AK241" s="10"/>
    </row>
    <row r="242" spans="2:48" x14ac:dyDescent="0.2">
      <c r="B242" s="10" t="s">
        <v>248</v>
      </c>
      <c r="C242" s="10" t="s">
        <v>260</v>
      </c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294</v>
      </c>
      <c r="O242" s="12">
        <v>1</v>
      </c>
      <c r="P242" s="10"/>
      <c r="Q242" s="10"/>
      <c r="R242" s="10"/>
      <c r="S242" s="109" t="e">
        <f>(U205-Z192)/U205</f>
        <v>#DIV/0!</v>
      </c>
      <c r="T242" s="109">
        <f>(U205-Y192)/U205</f>
        <v>1</v>
      </c>
      <c r="U242" s="109"/>
      <c r="V242" s="109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14"/>
      <c r="AJ242" s="10"/>
      <c r="AK242" s="10"/>
    </row>
    <row r="243" spans="2:48" x14ac:dyDescent="0.2">
      <c r="B243" s="10" t="s">
        <v>291</v>
      </c>
      <c r="C243" s="10" t="s">
        <v>260</v>
      </c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45">
        <f>$O$242</f>
        <v>1</v>
      </c>
      <c r="O243" s="10"/>
      <c r="P243" s="109" t="e">
        <f>(S205-(N243*X183))/S205</f>
        <v>#DIV/0!</v>
      </c>
      <c r="Q243" s="10"/>
      <c r="R243" s="10"/>
      <c r="S243" s="109" t="e">
        <f>(U205-Z183)/U205</f>
        <v>#DIV/0!</v>
      </c>
      <c r="T243" s="109">
        <f>(U205-Y183)/U205</f>
        <v>2.8602829416320312</v>
      </c>
      <c r="U243" s="109"/>
      <c r="V243" s="109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14"/>
      <c r="AJ243" s="10"/>
      <c r="AK243" s="10"/>
    </row>
    <row r="244" spans="2:48" x14ac:dyDescent="0.2">
      <c r="B244" s="10" t="s">
        <v>292</v>
      </c>
      <c r="C244" s="10" t="s">
        <v>260</v>
      </c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45">
        <f>$O$242</f>
        <v>1</v>
      </c>
      <c r="O244" s="10"/>
      <c r="P244" s="109" t="e">
        <f>(S205-(N244*X176))/S205</f>
        <v>#DIV/0!</v>
      </c>
      <c r="Q244" s="10"/>
      <c r="R244" s="10"/>
      <c r="S244" s="109" t="e">
        <f>(U205-Z176)/U205</f>
        <v>#DIV/0!</v>
      </c>
      <c r="T244" s="109">
        <f>(U205-Y176)/U205</f>
        <v>0.78238365336808635</v>
      </c>
      <c r="U244" s="109"/>
      <c r="V244" s="109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14"/>
      <c r="AJ244" s="10"/>
      <c r="AK244" s="10"/>
    </row>
    <row r="245" spans="2:48" x14ac:dyDescent="0.2">
      <c r="B245" s="10" t="s">
        <v>295</v>
      </c>
      <c r="C245" s="10" t="s">
        <v>260</v>
      </c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45">
        <f>$O$242</f>
        <v>1</v>
      </c>
      <c r="O245" s="10"/>
      <c r="P245" s="109" t="e">
        <f>(S205-(N245*X189))/S205</f>
        <v>#DIV/0!</v>
      </c>
      <c r="Q245" s="10"/>
      <c r="R245" s="10"/>
      <c r="S245" s="109" t="e">
        <f>(U205-Z189)/U205</f>
        <v>#DIV/0!</v>
      </c>
      <c r="T245" s="109">
        <f>(U205-Y189)/U205</f>
        <v>0.98302833530106259</v>
      </c>
      <c r="U245" s="109"/>
      <c r="V245" s="109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14"/>
      <c r="AJ245" s="10"/>
      <c r="AK245" s="10"/>
    </row>
    <row r="246" spans="2:48" x14ac:dyDescent="0.2">
      <c r="B246" s="10" t="s">
        <v>341</v>
      </c>
      <c r="C246" s="10" t="s">
        <v>260</v>
      </c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45">
        <f>$O$242</f>
        <v>1</v>
      </c>
      <c r="O246" s="10"/>
      <c r="P246" s="109" t="e">
        <f>(S205-(N246*X202))/S205</f>
        <v>#DIV/0!</v>
      </c>
      <c r="Q246" s="10"/>
      <c r="R246" s="10"/>
      <c r="S246" s="109" t="e">
        <f>(U205-Z202)/U205</f>
        <v>#DIV/0!</v>
      </c>
      <c r="T246" s="109">
        <f>(U205-Y202)/U205</f>
        <v>1</v>
      </c>
      <c r="U246" s="109"/>
      <c r="V246" s="109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14"/>
      <c r="AJ246" s="10"/>
      <c r="AK246" s="10"/>
    </row>
    <row r="247" spans="2:48" x14ac:dyDescent="0.2">
      <c r="B247" s="10" t="s">
        <v>249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5" t="e">
        <f>U205/Z175</f>
        <v>#DIV/0!</v>
      </c>
      <c r="T247" s="15">
        <f>U205/Y175</f>
        <v>23.875983014238443</v>
      </c>
      <c r="U247" s="15"/>
      <c r="V247" s="98" t="s">
        <v>5</v>
      </c>
      <c r="W247" s="98" t="s">
        <v>6</v>
      </c>
      <c r="X247" s="98" t="s">
        <v>7</v>
      </c>
      <c r="Y247" s="98" t="s">
        <v>8</v>
      </c>
      <c r="Z247" s="98" t="s">
        <v>9</v>
      </c>
      <c r="AA247" s="98" t="s">
        <v>192</v>
      </c>
      <c r="AB247" s="98" t="s">
        <v>193</v>
      </c>
      <c r="AC247" s="98" t="s">
        <v>194</v>
      </c>
      <c r="AD247" s="98" t="s">
        <v>195</v>
      </c>
      <c r="AE247" s="98" t="s">
        <v>196</v>
      </c>
      <c r="AF247" s="98" t="s">
        <v>349</v>
      </c>
      <c r="AG247" s="98" t="s">
        <v>350</v>
      </c>
      <c r="AH247" s="98" t="s">
        <v>351</v>
      </c>
      <c r="AI247" s="98" t="s">
        <v>352</v>
      </c>
      <c r="AJ247" s="98" t="s">
        <v>353</v>
      </c>
      <c r="AK247" s="98" t="s">
        <v>354</v>
      </c>
      <c r="AL247" s="98" t="s">
        <v>355</v>
      </c>
      <c r="AM247" s="98" t="s">
        <v>356</v>
      </c>
      <c r="AN247" s="98" t="s">
        <v>357</v>
      </c>
      <c r="AO247" s="98" t="s">
        <v>358</v>
      </c>
      <c r="AP247" s="98" t="s">
        <v>359</v>
      </c>
      <c r="AQ247" s="98" t="s">
        <v>360</v>
      </c>
      <c r="AR247" s="98" t="s">
        <v>361</v>
      </c>
      <c r="AS247" s="98" t="s">
        <v>362</v>
      </c>
      <c r="AT247" s="98" t="s">
        <v>363</v>
      </c>
      <c r="AU247" s="98" t="s">
        <v>364</v>
      </c>
      <c r="AV247" s="98" t="s">
        <v>365</v>
      </c>
    </row>
    <row r="248" spans="2:48" x14ac:dyDescent="0.2">
      <c r="B248" s="10" t="s">
        <v>313</v>
      </c>
      <c r="C248" s="10"/>
      <c r="D248" s="10"/>
      <c r="E248" s="10"/>
      <c r="F248" s="10"/>
      <c r="G248" s="10"/>
      <c r="H248" s="10"/>
      <c r="I248" s="10"/>
      <c r="J248" s="162" t="s">
        <v>388</v>
      </c>
      <c r="K248" s="163"/>
      <c r="L248" s="162" t="s">
        <v>389</v>
      </c>
      <c r="M248" s="163"/>
      <c r="N248" s="10"/>
      <c r="O248" s="162" t="s">
        <v>390</v>
      </c>
      <c r="P248" s="163"/>
      <c r="Q248" s="162" t="s">
        <v>391</v>
      </c>
      <c r="R248" s="163"/>
      <c r="S248" s="128" t="e">
        <f>1/S247</f>
        <v>#DIV/0!</v>
      </c>
      <c r="T248" s="128">
        <f>1/T247</f>
        <v>4.1883092285819185E-2</v>
      </c>
      <c r="U248" s="128"/>
      <c r="V248" s="110">
        <f>U205-V249</f>
        <v>444.04378160177038</v>
      </c>
      <c r="W248" s="158">
        <f>V248-W249</f>
        <v>398.09413044380631</v>
      </c>
      <c r="X248" s="158">
        <f t="shared" ref="X248:Z248" si="884">W248-X249</f>
        <v>345.25203161214762</v>
      </c>
      <c r="Y248" s="158">
        <f t="shared" si="884"/>
        <v>284.48361795574016</v>
      </c>
      <c r="Z248" s="158">
        <f t="shared" si="884"/>
        <v>214.59994225087158</v>
      </c>
      <c r="AA248" s="158">
        <f>Z248-AA249</f>
        <v>134.23371519027273</v>
      </c>
      <c r="AB248" s="158">
        <f t="shared" ref="AB248:AE248" si="885">AA248-AB249</f>
        <v>41.812554070584056</v>
      </c>
      <c r="AC248" s="158">
        <f t="shared" si="885"/>
        <v>-64.471781217057909</v>
      </c>
      <c r="AD248" s="158">
        <f t="shared" si="885"/>
        <v>-186.69876679784616</v>
      </c>
      <c r="AE248" s="158">
        <f t="shared" si="885"/>
        <v>-327.25980021575265</v>
      </c>
      <c r="AF248" s="158">
        <f t="shared" ref="AF248" si="886">AE248-AF249</f>
        <v>-488.90498864634509</v>
      </c>
      <c r="AG248" s="158">
        <f t="shared" ref="AG248" si="887">AF248-AG249</f>
        <v>-674.79695534152643</v>
      </c>
      <c r="AH248" s="158">
        <f t="shared" ref="AH248" si="888">AG248-AH249</f>
        <v>-888.57271704098491</v>
      </c>
      <c r="AI248" s="158">
        <f t="shared" ref="AI248" si="889">AH248-AI249</f>
        <v>-1134.4148429953621</v>
      </c>
      <c r="AJ248" s="158">
        <f t="shared" ref="AJ248" si="890">AI248-AJ249</f>
        <v>-1417.1332878428957</v>
      </c>
      <c r="AK248" s="158">
        <f t="shared" ref="AK248" si="891">AJ248-AK249</f>
        <v>-1742.2594994175595</v>
      </c>
      <c r="AL248" s="158">
        <f t="shared" ref="AL248" si="892">AK248-AL249</f>
        <v>-2116.1546427284229</v>
      </c>
      <c r="AM248" s="158">
        <f t="shared" ref="AM248" si="893">AL248-AM249</f>
        <v>-2546.1340575359159</v>
      </c>
      <c r="AN248" s="158">
        <f t="shared" ref="AN248" si="894">AM248-AN249</f>
        <v>-3040.6103845645325</v>
      </c>
      <c r="AO248" s="158">
        <f t="shared" ref="AO248" si="895">AN248-AO249</f>
        <v>-3609.2581606474414</v>
      </c>
      <c r="AP248" s="158">
        <f t="shared" ref="AP248" si="896">AO248-AP249</f>
        <v>-4263.2031031427869</v>
      </c>
      <c r="AQ248" s="158">
        <f t="shared" ref="AQ248" si="897">AP248-AQ249</f>
        <v>-5015.2397870124341</v>
      </c>
      <c r="AR248" s="158">
        <f t="shared" ref="AR248" si="898">AQ248-AR249</f>
        <v>-5880.0819734625284</v>
      </c>
      <c r="AS248" s="158">
        <f t="shared" ref="AS248" si="899">AR248-AS249</f>
        <v>-6874.650487880137</v>
      </c>
      <c r="AT248" s="158">
        <f t="shared" ref="AT248" si="900">AS248-AT249</f>
        <v>-8018.4042794603865</v>
      </c>
      <c r="AU248" s="158">
        <f t="shared" ref="AU248" si="901">AT248-AU249</f>
        <v>-9333.7211397776737</v>
      </c>
      <c r="AV248" s="158">
        <f t="shared" ref="AV248" si="902">AU248-AV249</f>
        <v>-10846.335529142554</v>
      </c>
    </row>
    <row r="249" spans="2:48" x14ac:dyDescent="0.2">
      <c r="B249" s="10" t="s">
        <v>338</v>
      </c>
      <c r="C249" s="10"/>
      <c r="D249" s="10"/>
      <c r="E249" s="10"/>
      <c r="F249" s="10"/>
      <c r="G249" s="10"/>
      <c r="H249" s="10"/>
      <c r="I249" s="10"/>
      <c r="J249" s="164">
        <v>0</v>
      </c>
      <c r="K249" s="163"/>
      <c r="L249" s="164">
        <v>0.05</v>
      </c>
      <c r="M249" s="163"/>
      <c r="N249" s="157">
        <v>0.15</v>
      </c>
      <c r="O249" s="164">
        <v>0.12</v>
      </c>
      <c r="P249" s="163"/>
      <c r="Q249" s="164">
        <v>0.2</v>
      </c>
      <c r="R249" s="171" t="s">
        <v>230</v>
      </c>
      <c r="S249" s="154">
        <f>U205/S174</f>
        <v>70.117442176870753</v>
      </c>
      <c r="T249" s="154" t="s">
        <v>408</v>
      </c>
      <c r="U249" s="154"/>
      <c r="V249" s="159">
        <f>W174*(1+$N$249)</f>
        <v>39.95621839822963</v>
      </c>
      <c r="W249" s="159">
        <f>V249*(1+$N$249)</f>
        <v>45.94965115796407</v>
      </c>
      <c r="X249" s="159">
        <f t="shared" ref="X249:AE249" si="903">W249*(1+$N$249)</f>
        <v>52.842098831658674</v>
      </c>
      <c r="Y249" s="159">
        <f t="shared" si="903"/>
        <v>60.768413656407468</v>
      </c>
      <c r="Z249" s="159">
        <f t="shared" si="903"/>
        <v>69.88367570486858</v>
      </c>
      <c r="AA249" s="159">
        <f t="shared" si="903"/>
        <v>80.36622706059886</v>
      </c>
      <c r="AB249" s="159">
        <f t="shared" si="903"/>
        <v>92.421161119688676</v>
      </c>
      <c r="AC249" s="159">
        <f t="shared" si="903"/>
        <v>106.28433528764197</v>
      </c>
      <c r="AD249" s="159">
        <f t="shared" si="903"/>
        <v>122.22698558078825</v>
      </c>
      <c r="AE249" s="159">
        <f t="shared" si="903"/>
        <v>140.56103341790649</v>
      </c>
      <c r="AF249" s="159">
        <f t="shared" ref="AF249" si="904">AE249*(1+$N$249)</f>
        <v>161.64518843059244</v>
      </c>
      <c r="AG249" s="159">
        <f t="shared" ref="AG249" si="905">AF249*(1+$N$249)</f>
        <v>185.89196669518128</v>
      </c>
      <c r="AH249" s="159">
        <f t="shared" ref="AH249" si="906">AG249*(1+$N$249)</f>
        <v>213.77576169945846</v>
      </c>
      <c r="AI249" s="159">
        <f t="shared" ref="AI249" si="907">AH249*(1+$N$249)</f>
        <v>245.8421259543772</v>
      </c>
      <c r="AJ249" s="159">
        <f t="shared" ref="AJ249" si="908">AI249*(1+$N$249)</f>
        <v>282.71844484753376</v>
      </c>
      <c r="AK249" s="159">
        <f t="shared" ref="AK249" si="909">AJ249*(1+$N$249)</f>
        <v>325.12621157466378</v>
      </c>
      <c r="AL249" s="159">
        <f t="shared" ref="AL249" si="910">AK249*(1+$N$249)</f>
        <v>373.89514331086332</v>
      </c>
      <c r="AM249" s="159">
        <f t="shared" ref="AM249" si="911">AL249*(1+$N$249)</f>
        <v>429.97941480749279</v>
      </c>
      <c r="AN249" s="159">
        <f t="shared" ref="AN249" si="912">AM249*(1+$N$249)</f>
        <v>494.47632702861665</v>
      </c>
      <c r="AO249" s="159">
        <f t="shared" ref="AO249" si="913">AN249*(1+$N$249)</f>
        <v>568.6477760829091</v>
      </c>
      <c r="AP249" s="159">
        <f t="shared" ref="AP249" si="914">AO249*(1+$N$249)</f>
        <v>653.94494249534546</v>
      </c>
      <c r="AQ249" s="159">
        <f t="shared" ref="AQ249" si="915">AP249*(1+$N$249)</f>
        <v>752.03668386964716</v>
      </c>
      <c r="AR249" s="159">
        <f t="shared" ref="AR249" si="916">AQ249*(1+$N$249)</f>
        <v>864.84218645009412</v>
      </c>
      <c r="AS249" s="159">
        <f t="shared" ref="AS249" si="917">AR249*(1+$N$249)</f>
        <v>994.56851441760818</v>
      </c>
      <c r="AT249" s="159">
        <f t="shared" ref="AT249" si="918">AS249*(1+$N$249)</f>
        <v>1143.7537915802493</v>
      </c>
      <c r="AU249" s="159">
        <f t="shared" ref="AU249" si="919">AT249*(1+$N$249)</f>
        <v>1315.3168603172867</v>
      </c>
      <c r="AV249" s="159">
        <f t="shared" ref="AV249" si="920">AU249*(1+$N$249)</f>
        <v>1512.6143893648796</v>
      </c>
    </row>
    <row r="250" spans="2:48" x14ac:dyDescent="0.2">
      <c r="B250" s="10" t="s">
        <v>337</v>
      </c>
      <c r="C250" s="10"/>
      <c r="D250" s="10"/>
      <c r="E250" s="13" t="s">
        <v>333</v>
      </c>
      <c r="F250" s="13"/>
      <c r="G250" s="13"/>
      <c r="H250" s="13"/>
      <c r="I250" s="12"/>
      <c r="J250" s="164">
        <v>0</v>
      </c>
      <c r="K250" s="165">
        <f>T207</f>
        <v>24.007914893617023</v>
      </c>
      <c r="L250" s="164">
        <v>0.05</v>
      </c>
      <c r="M250" s="163"/>
      <c r="N250" s="157">
        <v>0.15</v>
      </c>
      <c r="O250" s="164">
        <v>0.12</v>
      </c>
      <c r="P250" s="163"/>
      <c r="Q250" s="164">
        <v>0.2</v>
      </c>
      <c r="R250" s="171" t="s">
        <v>407</v>
      </c>
      <c r="S250" s="154">
        <f>U205/U76</f>
        <v>22.524615384615387</v>
      </c>
      <c r="T250" s="154" t="s">
        <v>408</v>
      </c>
      <c r="U250" s="154"/>
      <c r="V250" s="159">
        <f>T76*(1+$N$250)</f>
        <v>101.59774436090224</v>
      </c>
      <c r="W250" s="159">
        <f>V250*(1+$N$250)</f>
        <v>116.83740601503757</v>
      </c>
      <c r="X250" s="159">
        <f t="shared" ref="X250:AE250" si="921">W250*(1+$N$250)</f>
        <v>134.36301691729321</v>
      </c>
      <c r="Y250" s="159">
        <f t="shared" si="921"/>
        <v>154.51746945488719</v>
      </c>
      <c r="Z250" s="159">
        <f t="shared" si="921"/>
        <v>177.69508987312025</v>
      </c>
      <c r="AA250" s="159">
        <f t="shared" si="921"/>
        <v>204.34935335408827</v>
      </c>
      <c r="AB250" s="159">
        <f t="shared" si="921"/>
        <v>235.00175635720149</v>
      </c>
      <c r="AC250" s="159">
        <f t="shared" si="921"/>
        <v>270.25201981078169</v>
      </c>
      <c r="AD250" s="159">
        <f t="shared" si="921"/>
        <v>310.78982278239891</v>
      </c>
      <c r="AE250" s="159">
        <f t="shared" si="921"/>
        <v>357.40829619975875</v>
      </c>
      <c r="AF250" s="159">
        <f t="shared" ref="AF250" si="922">AE250*(1+$N$250)</f>
        <v>411.01954062972254</v>
      </c>
      <c r="AG250" s="159">
        <f t="shared" ref="AG250" si="923">AF250*(1+$N$250)</f>
        <v>472.67247172418087</v>
      </c>
      <c r="AH250" s="159">
        <f t="shared" ref="AH250" si="924">AG250*(1+$N$250)</f>
        <v>543.5733424828079</v>
      </c>
      <c r="AI250" s="159">
        <f t="shared" ref="AI250" si="925">AH250*(1+$N$250)</f>
        <v>625.10934385522899</v>
      </c>
      <c r="AJ250" s="159">
        <f t="shared" ref="AJ250" si="926">AI250*(1+$N$250)</f>
        <v>718.87574543351332</v>
      </c>
      <c r="AK250" s="159">
        <f t="shared" ref="AK250" si="927">AJ250*(1+$N$250)</f>
        <v>826.7071072485403</v>
      </c>
      <c r="AL250" s="159">
        <f t="shared" ref="AL250" si="928">AK250*(1+$N$250)</f>
        <v>950.71317333582124</v>
      </c>
      <c r="AM250" s="159">
        <f t="shared" ref="AM250" si="929">AL250*(1+$N$250)</f>
        <v>1093.3201493361944</v>
      </c>
      <c r="AN250" s="159">
        <f t="shared" ref="AN250" si="930">AM250*(1+$N$250)</f>
        <v>1257.3181717366235</v>
      </c>
      <c r="AO250" s="159">
        <f t="shared" ref="AO250" si="931">AN250*(1+$N$250)</f>
        <v>1445.9158974971169</v>
      </c>
      <c r="AP250" s="159">
        <f t="shared" ref="AP250" si="932">AO250*(1+$N$250)</f>
        <v>1662.8032821216843</v>
      </c>
      <c r="AQ250" s="159">
        <f t="shared" ref="AQ250" si="933">AP250*(1+$N$250)</f>
        <v>1912.2237744399367</v>
      </c>
      <c r="AR250" s="159">
        <f t="shared" ref="AR250" si="934">AQ250*(1+$N$250)</f>
        <v>2199.057340605927</v>
      </c>
      <c r="AS250" s="159">
        <f t="shared" ref="AS250" si="935">AR250*(1+$N$250)</f>
        <v>2528.9159416968159</v>
      </c>
      <c r="AT250" s="159">
        <f t="shared" ref="AT250" si="936">AS250*(1+$N$250)</f>
        <v>2908.2533329513381</v>
      </c>
      <c r="AU250" s="159">
        <f t="shared" ref="AU250" si="937">AT250*(1+$N$250)</f>
        <v>3344.4913328940384</v>
      </c>
      <c r="AV250" s="159">
        <f t="shared" ref="AV250" si="938">AU250*(1+$N$250)</f>
        <v>3846.1650328281439</v>
      </c>
    </row>
    <row r="251" spans="2:48" x14ac:dyDescent="0.2">
      <c r="B251" s="10"/>
      <c r="C251" s="10"/>
      <c r="D251" s="10"/>
      <c r="E251" s="13" t="s">
        <v>393</v>
      </c>
      <c r="F251" s="13"/>
      <c r="G251" s="13"/>
      <c r="H251" s="13"/>
      <c r="I251" s="12"/>
      <c r="J251" s="164">
        <v>0</v>
      </c>
      <c r="K251" s="165"/>
      <c r="L251" s="164">
        <v>0.05</v>
      </c>
      <c r="M251" s="163"/>
      <c r="N251" s="163"/>
      <c r="O251" s="164">
        <v>0.12</v>
      </c>
      <c r="P251" s="163"/>
      <c r="Q251" s="164">
        <v>0.2</v>
      </c>
      <c r="R251" s="10"/>
      <c r="S251" s="10"/>
      <c r="T251" s="10"/>
      <c r="U251" s="10"/>
      <c r="V251" s="110">
        <f>U205-V250</f>
        <v>382.40225563909775</v>
      </c>
      <c r="W251" s="158">
        <f>V251-W250</f>
        <v>265.56484962406017</v>
      </c>
      <c r="X251" s="158">
        <f t="shared" ref="X251:AC251" si="939">W251-X250</f>
        <v>131.20183270676696</v>
      </c>
      <c r="Y251" s="158">
        <f t="shared" si="939"/>
        <v>-23.315636748120227</v>
      </c>
      <c r="Z251" s="158">
        <f t="shared" si="939"/>
        <v>-201.01072662124048</v>
      </c>
      <c r="AA251" s="158">
        <f t="shared" si="939"/>
        <v>-405.36007997532874</v>
      </c>
      <c r="AB251" s="158">
        <f t="shared" si="939"/>
        <v>-640.36183633253017</v>
      </c>
      <c r="AC251" s="158">
        <f t="shared" si="939"/>
        <v>-910.61385614331186</v>
      </c>
      <c r="AD251" s="158">
        <f>AC251-AD250</f>
        <v>-1221.4036789257107</v>
      </c>
      <c r="AE251" s="158">
        <f t="shared" ref="AE251" si="940">AD251-AE250</f>
        <v>-1578.8119751254694</v>
      </c>
      <c r="AF251" s="158">
        <f t="shared" ref="AF251" si="941">AE251-AF250</f>
        <v>-1989.831515755192</v>
      </c>
      <c r="AG251" s="158">
        <f t="shared" ref="AG251" si="942">AF251-AG250</f>
        <v>-2462.5039874793729</v>
      </c>
      <c r="AH251" s="158">
        <f t="shared" ref="AH251" si="943">AG251-AH250</f>
        <v>-3006.0773299621806</v>
      </c>
      <c r="AI251" s="158">
        <f t="shared" ref="AI251" si="944">AH251-AI250</f>
        <v>-3631.1866738174094</v>
      </c>
      <c r="AJ251" s="158">
        <f t="shared" ref="AJ251" si="945">AI251-AJ250</f>
        <v>-4350.0624192509231</v>
      </c>
      <c r="AK251" s="158">
        <f t="shared" ref="AK251" si="946">AJ251-AK250</f>
        <v>-5176.7695264994636</v>
      </c>
      <c r="AL251" s="158">
        <f t="shared" ref="AL251" si="947">AK251-AL250</f>
        <v>-6127.4826998352846</v>
      </c>
      <c r="AM251" s="158">
        <f t="shared" ref="AM251" si="948">AL251-AM250</f>
        <v>-7220.8028491714795</v>
      </c>
      <c r="AN251" s="158">
        <f t="shared" ref="AN251" si="949">AM251-AN250</f>
        <v>-8478.1210209081037</v>
      </c>
      <c r="AO251" s="158">
        <f t="shared" ref="AO251" si="950">AN251-AO250</f>
        <v>-9924.0369184052215</v>
      </c>
      <c r="AP251" s="158">
        <f t="shared" ref="AP251" si="951">AO251-AP250</f>
        <v>-11586.840200526905</v>
      </c>
      <c r="AQ251" s="158">
        <f t="shared" ref="AQ251" si="952">AP251-AQ250</f>
        <v>-13499.063974966843</v>
      </c>
      <c r="AR251" s="158">
        <f t="shared" ref="AR251" si="953">AQ251-AR250</f>
        <v>-15698.121315572769</v>
      </c>
      <c r="AS251" s="158">
        <f t="shared" ref="AS251" si="954">AR251-AS250</f>
        <v>-18227.037257269585</v>
      </c>
      <c r="AT251" s="158">
        <f t="shared" ref="AT251" si="955">AS251-AT250</f>
        <v>-21135.290590220924</v>
      </c>
      <c r="AU251" s="158">
        <f t="shared" ref="AU251" si="956">AT251-AU250</f>
        <v>-24479.781923114962</v>
      </c>
      <c r="AV251" s="158">
        <f t="shared" ref="AV251" si="957">AU251-AV250</f>
        <v>-28325.946955943105</v>
      </c>
    </row>
    <row r="252" spans="2:48" x14ac:dyDescent="0.2">
      <c r="B252" s="93" t="s">
        <v>251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</row>
    <row r="253" spans="2:48" x14ac:dyDescent="0.2">
      <c r="B253" s="10" t="s">
        <v>254</v>
      </c>
      <c r="C253" s="15"/>
      <c r="D253" s="15"/>
      <c r="E253" s="15"/>
      <c r="F253" s="15"/>
      <c r="G253" s="15"/>
      <c r="H253" s="15">
        <f t="shared" ref="H253:I253" si="958">H10/H7</f>
        <v>7.9802631578947372</v>
      </c>
      <c r="I253" s="15">
        <f t="shared" si="958"/>
        <v>9.2658959537572247</v>
      </c>
      <c r="J253" s="15">
        <f t="shared" ref="J253:T253" si="959">J10/J7</f>
        <v>8.8934010152284255</v>
      </c>
      <c r="K253" s="15">
        <f t="shared" si="959"/>
        <v>7.7397260273972606</v>
      </c>
      <c r="L253" s="15">
        <f t="shared" si="959"/>
        <v>6.7032520325203251</v>
      </c>
      <c r="M253" s="15">
        <f t="shared" si="959"/>
        <v>6.7818181818181822</v>
      </c>
      <c r="N253" s="15">
        <f t="shared" si="959"/>
        <v>4.9612903225806448</v>
      </c>
      <c r="O253" s="15">
        <f t="shared" si="959"/>
        <v>5.7118155619596545</v>
      </c>
      <c r="P253" s="15">
        <f t="shared" si="959"/>
        <v>7.8367346938775508</v>
      </c>
      <c r="Q253" s="15">
        <f t="shared" si="959"/>
        <v>10.38495575221239</v>
      </c>
      <c r="R253" s="15">
        <f t="shared" si="959"/>
        <v>9.0012970168612192</v>
      </c>
      <c r="S253" s="15">
        <f t="shared" si="959"/>
        <v>9.8234624145785876</v>
      </c>
      <c r="T253" s="15">
        <f t="shared" si="959"/>
        <v>10.324349442379182</v>
      </c>
      <c r="U253" s="15">
        <f t="shared" ref="U253:V253" si="960">U10/U7</f>
        <v>9.3681022880215341</v>
      </c>
      <c r="V253" s="15">
        <f t="shared" si="960"/>
        <v>9.368125701459034</v>
      </c>
      <c r="W253" s="101" t="e">
        <f t="shared" ref="W253:W255" si="961">((U253/G253)^(1/($K$2-$K$1) ))-1</f>
        <v>#DIV/0!</v>
      </c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</row>
    <row r="254" spans="2:48" x14ac:dyDescent="0.2">
      <c r="B254" s="10" t="s">
        <v>255</v>
      </c>
      <c r="C254" s="96"/>
      <c r="D254" s="96"/>
      <c r="E254" s="96"/>
      <c r="F254" s="96"/>
      <c r="G254" s="96"/>
      <c r="H254" s="96">
        <f t="shared" ref="H254:I254" si="962">H10/H12</f>
        <v>606.5</v>
      </c>
      <c r="I254" s="96">
        <f t="shared" si="962"/>
        <v>1603</v>
      </c>
      <c r="J254" s="96">
        <f t="shared" ref="J254:T254" si="963">J10/J12</f>
        <v>584</v>
      </c>
      <c r="K254" s="96">
        <f t="shared" si="963"/>
        <v>121.07142857142857</v>
      </c>
      <c r="L254" s="96">
        <f t="shared" si="963"/>
        <v>117.78571428571429</v>
      </c>
      <c r="M254" s="96">
        <f t="shared" si="963"/>
        <v>58.28125</v>
      </c>
      <c r="N254" s="96">
        <f t="shared" si="963"/>
        <v>45.235294117647058</v>
      </c>
      <c r="O254" s="96">
        <f t="shared" si="963"/>
        <v>123.875</v>
      </c>
      <c r="P254" s="96">
        <f t="shared" si="963"/>
        <v>384</v>
      </c>
      <c r="Q254" s="96">
        <f t="shared" si="963"/>
        <v>521.55555555555554</v>
      </c>
      <c r="R254" s="96">
        <f t="shared" si="963"/>
        <v>867.5</v>
      </c>
      <c r="S254" s="96">
        <f t="shared" si="963"/>
        <v>507.35294117647061</v>
      </c>
      <c r="T254" s="96">
        <f t="shared" si="963"/>
        <v>925.75</v>
      </c>
      <c r="U254" s="96">
        <f t="shared" ref="U254:V254" si="964">U10/U12</f>
        <v>732.68421052631584</v>
      </c>
      <c r="V254" s="96">
        <f t="shared" si="964"/>
        <v>39.747619047619047</v>
      </c>
      <c r="W254" s="101" t="e">
        <f t="shared" si="961"/>
        <v>#DIV/0!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</row>
    <row r="255" spans="2:48" x14ac:dyDescent="0.2">
      <c r="B255" s="10" t="s">
        <v>256</v>
      </c>
      <c r="C255" s="15"/>
      <c r="D255" s="15"/>
      <c r="E255" s="15"/>
      <c r="F255" s="15"/>
      <c r="G255" s="15"/>
      <c r="H255" s="15">
        <f t="shared" ref="H255:I255" si="965">H10/(H12+H13)</f>
        <v>34.657142857142858</v>
      </c>
      <c r="I255" s="15">
        <f t="shared" si="965"/>
        <v>47.147058823529413</v>
      </c>
      <c r="J255" s="15">
        <f t="shared" ref="J255:T255" si="966">J10/(J12+J13)</f>
        <v>51.529411764705884</v>
      </c>
      <c r="K255" s="15">
        <f t="shared" si="966"/>
        <v>44.60526315789474</v>
      </c>
      <c r="L255" s="15">
        <f t="shared" si="966"/>
        <v>49.969696969696969</v>
      </c>
      <c r="M255" s="15">
        <f t="shared" si="966"/>
        <v>38.061224489795919</v>
      </c>
      <c r="N255" s="15">
        <f t="shared" si="966"/>
        <v>28.481481481481481</v>
      </c>
      <c r="O255" s="15">
        <f t="shared" si="966"/>
        <v>60.060606060606062</v>
      </c>
      <c r="P255" s="15">
        <f t="shared" si="966"/>
        <v>128</v>
      </c>
      <c r="Q255" s="15">
        <f t="shared" si="966"/>
        <v>204.08695652173913</v>
      </c>
      <c r="R255" s="15">
        <f t="shared" si="966"/>
        <v>315.45454545454544</v>
      </c>
      <c r="S255" s="15">
        <f t="shared" si="966"/>
        <v>278.22580645161293</v>
      </c>
      <c r="T255" s="15">
        <f t="shared" si="966"/>
        <v>411.44444444444446</v>
      </c>
      <c r="U255" s="15">
        <f t="shared" ref="U255:V255" si="967">U10/(U12+U13)</f>
        <v>397.74285714285713</v>
      </c>
      <c r="V255" s="15">
        <f t="shared" si="967"/>
        <v>38.288990825688074</v>
      </c>
      <c r="W255" s="101" t="e">
        <f t="shared" si="961"/>
        <v>#DIV/0!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</row>
    <row r="256" spans="2:48" x14ac:dyDescent="0.2"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</row>
    <row r="257" spans="2:37" x14ac:dyDescent="0.2"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</row>
    <row r="258" spans="2:37" ht="15" customHeight="1" x14ac:dyDescent="0.2">
      <c r="B258" s="10"/>
      <c r="C258" s="147" t="s">
        <v>319</v>
      </c>
      <c r="D258" s="148"/>
      <c r="E258" s="148"/>
      <c r="F258" s="148"/>
      <c r="G258" s="148"/>
      <c r="H258" s="148"/>
      <c r="I258" s="148"/>
      <c r="J258" s="148"/>
      <c r="K258" s="148"/>
      <c r="L258" s="148"/>
      <c r="M258" s="312" t="s">
        <v>281</v>
      </c>
      <c r="N258" s="312"/>
      <c r="O258" s="312"/>
      <c r="P258" s="313"/>
      <c r="Q258" s="10"/>
      <c r="R258" s="13"/>
      <c r="S258" s="140"/>
      <c r="T258" s="140"/>
      <c r="U258" s="140"/>
      <c r="V258" s="140"/>
      <c r="W258" s="141"/>
      <c r="X258" s="141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</row>
    <row r="259" spans="2:37" x14ac:dyDescent="0.2">
      <c r="B259" s="10"/>
      <c r="C259" s="139" t="s">
        <v>282</v>
      </c>
      <c r="D259" s="139" t="s">
        <v>0</v>
      </c>
      <c r="E259" s="139" t="s">
        <v>320</v>
      </c>
      <c r="F259" s="139"/>
      <c r="G259" s="139" t="s">
        <v>321</v>
      </c>
      <c r="H259" s="139" t="s">
        <v>322</v>
      </c>
      <c r="I259" s="139" t="s">
        <v>323</v>
      </c>
      <c r="J259" s="139" t="s">
        <v>324</v>
      </c>
      <c r="K259" s="139" t="s">
        <v>325</v>
      </c>
      <c r="L259" s="10"/>
      <c r="M259" s="139" t="s">
        <v>282</v>
      </c>
      <c r="N259" s="139"/>
      <c r="O259" s="139" t="s">
        <v>0</v>
      </c>
      <c r="P259" s="139" t="s">
        <v>314</v>
      </c>
      <c r="Q259" s="10"/>
      <c r="R259" s="10"/>
      <c r="S259" s="142"/>
      <c r="T259" s="142"/>
      <c r="U259" s="142"/>
      <c r="V259" s="142"/>
      <c r="W259" s="143"/>
      <c r="X259" s="143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2:37" x14ac:dyDescent="0.2">
      <c r="B260" s="10"/>
      <c r="C260" s="140" t="s">
        <v>283</v>
      </c>
      <c r="D260" s="11">
        <v>40</v>
      </c>
      <c r="E260" s="149" t="s">
        <v>326</v>
      </c>
      <c r="F260" s="149"/>
      <c r="G260" s="12">
        <v>0</v>
      </c>
      <c r="H260" s="12">
        <v>1</v>
      </c>
      <c r="I260" s="140">
        <f>G260/H260</f>
        <v>0</v>
      </c>
      <c r="J260" s="140">
        <f>I260*D261</f>
        <v>0</v>
      </c>
      <c r="K260" s="150">
        <f>J260+D261</f>
        <v>1</v>
      </c>
      <c r="L260" s="10"/>
      <c r="M260" s="140" t="s">
        <v>283</v>
      </c>
      <c r="N260" s="140"/>
      <c r="O260" s="11">
        <v>7</v>
      </c>
      <c r="P260" s="146">
        <f>O260</f>
        <v>7</v>
      </c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2:37" x14ac:dyDescent="0.2">
      <c r="B261" s="10"/>
      <c r="C261" s="140" t="s">
        <v>284</v>
      </c>
      <c r="D261" s="11">
        <v>1</v>
      </c>
      <c r="E261" s="149" t="s">
        <v>327</v>
      </c>
      <c r="F261" s="149"/>
      <c r="G261" s="12">
        <v>0</v>
      </c>
      <c r="H261" s="12">
        <v>1</v>
      </c>
      <c r="I261" s="140">
        <f>G261/H261</f>
        <v>0</v>
      </c>
      <c r="J261" s="140">
        <f>I261*K260</f>
        <v>0</v>
      </c>
      <c r="K261" s="140">
        <f>J261+K260</f>
        <v>1</v>
      </c>
      <c r="L261" s="10"/>
      <c r="M261" s="140" t="s">
        <v>284</v>
      </c>
      <c r="N261" s="140"/>
      <c r="O261" s="11">
        <v>1</v>
      </c>
      <c r="P261" s="146">
        <f>O261</f>
        <v>1</v>
      </c>
      <c r="Q261" s="10"/>
      <c r="R261" s="10"/>
      <c r="S261" s="140"/>
      <c r="T261" s="140"/>
      <c r="U261" s="140"/>
      <c r="V261" s="140"/>
      <c r="W261" s="141"/>
      <c r="X261" s="141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2:37" x14ac:dyDescent="0.2">
      <c r="B262" s="10"/>
      <c r="C262" s="140" t="s">
        <v>286</v>
      </c>
      <c r="D262" s="141">
        <f>D260*D261</f>
        <v>40</v>
      </c>
      <c r="E262" s="149" t="s">
        <v>339</v>
      </c>
      <c r="F262" s="149"/>
      <c r="G262" s="12">
        <v>0</v>
      </c>
      <c r="H262" s="12">
        <v>1</v>
      </c>
      <c r="I262" s="140">
        <f>G262/H262</f>
        <v>0</v>
      </c>
      <c r="J262" s="140">
        <f>I262*K261</f>
        <v>0</v>
      </c>
      <c r="K262" s="140">
        <f>J262+K261</f>
        <v>1</v>
      </c>
      <c r="L262" s="10"/>
      <c r="M262" s="140" t="s">
        <v>285</v>
      </c>
      <c r="N262" s="140"/>
      <c r="O262" s="141">
        <f>O260*O261</f>
        <v>7</v>
      </c>
      <c r="P262" s="146">
        <f>O262</f>
        <v>7</v>
      </c>
      <c r="Q262" s="10"/>
      <c r="R262" s="10"/>
      <c r="S262" s="142"/>
      <c r="T262" s="142"/>
      <c r="U262" s="142"/>
      <c r="V262" s="142"/>
      <c r="W262" s="143"/>
      <c r="X262" s="143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2:37" x14ac:dyDescent="0.2">
      <c r="B263" s="10"/>
      <c r="C263" s="140"/>
      <c r="D263" s="141"/>
      <c r="E263" s="149" t="s">
        <v>394</v>
      </c>
      <c r="F263" s="149"/>
      <c r="G263" s="12">
        <v>0</v>
      </c>
      <c r="H263" s="12">
        <v>1</v>
      </c>
      <c r="I263" s="140">
        <f t="shared" ref="I263:I266" si="968">G263/H263</f>
        <v>0</v>
      </c>
      <c r="J263" s="140">
        <f t="shared" ref="J263:J265" si="969">I263*K262</f>
        <v>0</v>
      </c>
      <c r="K263" s="140">
        <f t="shared" ref="K263:K265" si="970">J263+K262</f>
        <v>1</v>
      </c>
      <c r="L263" s="10"/>
      <c r="M263" s="140" t="s">
        <v>287</v>
      </c>
      <c r="N263" s="140"/>
      <c r="O263" s="11">
        <v>398</v>
      </c>
      <c r="P263" s="11">
        <v>666</v>
      </c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2:37" x14ac:dyDescent="0.2">
      <c r="B264" s="10"/>
      <c r="C264" s="140"/>
      <c r="D264" s="141"/>
      <c r="E264" s="149" t="s">
        <v>395</v>
      </c>
      <c r="F264" s="149"/>
      <c r="G264" s="12">
        <v>0</v>
      </c>
      <c r="H264" s="12">
        <v>1</v>
      </c>
      <c r="I264" s="140">
        <f t="shared" si="968"/>
        <v>0</v>
      </c>
      <c r="J264" s="140">
        <f t="shared" si="969"/>
        <v>0</v>
      </c>
      <c r="K264" s="140">
        <f t="shared" si="970"/>
        <v>1</v>
      </c>
      <c r="L264" s="10"/>
      <c r="M264" s="140" t="s">
        <v>288</v>
      </c>
      <c r="N264" s="140"/>
      <c r="O264" s="141">
        <f>O263*O261</f>
        <v>398</v>
      </c>
      <c r="P264" s="141">
        <f>P263*P261</f>
        <v>666</v>
      </c>
      <c r="Q264" s="10"/>
      <c r="R264" s="10"/>
      <c r="S264" s="140"/>
      <c r="T264" s="140"/>
      <c r="U264" s="140"/>
      <c r="V264" s="140"/>
      <c r="W264" s="141"/>
      <c r="X264" s="141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2:37" x14ac:dyDescent="0.2">
      <c r="B265" s="10"/>
      <c r="C265" s="140"/>
      <c r="D265" s="141"/>
      <c r="E265" s="149" t="s">
        <v>396</v>
      </c>
      <c r="F265" s="149"/>
      <c r="G265" s="12">
        <v>0</v>
      </c>
      <c r="H265" s="12">
        <v>1</v>
      </c>
      <c r="I265" s="140">
        <f t="shared" si="968"/>
        <v>0</v>
      </c>
      <c r="J265" s="140">
        <f t="shared" si="969"/>
        <v>0</v>
      </c>
      <c r="K265" s="140">
        <f t="shared" si="970"/>
        <v>1</v>
      </c>
      <c r="L265" s="10"/>
      <c r="M265" s="140"/>
      <c r="N265" s="140"/>
      <c r="O265" s="141"/>
      <c r="P265" s="141"/>
      <c r="Q265" s="10"/>
      <c r="R265" s="10"/>
      <c r="S265" s="142"/>
      <c r="T265" s="142"/>
      <c r="U265" s="142"/>
      <c r="V265" s="142"/>
      <c r="W265" s="143"/>
      <c r="X265" s="143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2:37" x14ac:dyDescent="0.2">
      <c r="B266" s="10"/>
      <c r="C266" s="140"/>
      <c r="D266" s="141"/>
      <c r="E266" s="149" t="s">
        <v>328</v>
      </c>
      <c r="F266" s="149"/>
      <c r="G266" s="12">
        <v>10</v>
      </c>
      <c r="H266" s="12">
        <v>2</v>
      </c>
      <c r="I266" s="140">
        <f t="shared" si="968"/>
        <v>5</v>
      </c>
      <c r="J266" s="140">
        <f>I266*K265</f>
        <v>5</v>
      </c>
      <c r="K266" s="140">
        <f>J266</f>
        <v>5</v>
      </c>
      <c r="L266" s="10"/>
      <c r="M266" s="140"/>
      <c r="N266" s="140"/>
      <c r="O266" s="141"/>
      <c r="P266" s="141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2:37" x14ac:dyDescent="0.2">
      <c r="B267" s="10"/>
      <c r="C267" s="140"/>
      <c r="D267" s="141"/>
      <c r="E267" s="149" t="s">
        <v>397</v>
      </c>
      <c r="F267" s="149"/>
      <c r="G267" s="12">
        <v>0</v>
      </c>
      <c r="H267" s="12">
        <v>1</v>
      </c>
      <c r="I267" s="140">
        <f>G267/H267</f>
        <v>0</v>
      </c>
      <c r="J267" s="140">
        <f>I267*K266</f>
        <v>0</v>
      </c>
      <c r="K267" s="140">
        <f>J267</f>
        <v>0</v>
      </c>
      <c r="L267" s="10"/>
      <c r="M267" s="142" t="s">
        <v>289</v>
      </c>
      <c r="N267" s="142"/>
      <c r="O267" s="143">
        <f>O264/O262</f>
        <v>56.857142857142854</v>
      </c>
      <c r="P267" s="143">
        <f>P264/P262</f>
        <v>95.142857142857139</v>
      </c>
      <c r="Q267" s="10"/>
      <c r="R267" s="10"/>
      <c r="S267" s="142"/>
      <c r="T267" s="142"/>
      <c r="U267" s="142"/>
      <c r="V267" s="142"/>
      <c r="W267" s="143"/>
      <c r="X267" s="143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2:37" x14ac:dyDescent="0.2">
      <c r="B268" s="10"/>
      <c r="C268" s="140" t="s">
        <v>287</v>
      </c>
      <c r="D268" s="11">
        <v>398</v>
      </c>
      <c r="E268" s="149"/>
      <c r="F268" s="149"/>
      <c r="G268" s="140"/>
      <c r="H268" s="140"/>
      <c r="I268" s="142" t="s">
        <v>329</v>
      </c>
      <c r="J268" s="140"/>
      <c r="K268" s="140">
        <f>K267</f>
        <v>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2:37" x14ac:dyDescent="0.2">
      <c r="B269" s="10"/>
      <c r="C269" s="140" t="s">
        <v>284</v>
      </c>
      <c r="D269" s="11">
        <v>5</v>
      </c>
      <c r="E269" s="149" t="s">
        <v>328</v>
      </c>
      <c r="F269" s="149"/>
      <c r="G269" s="12">
        <v>10</v>
      </c>
      <c r="H269" s="12">
        <v>2</v>
      </c>
      <c r="I269" s="140">
        <f>G269/H269</f>
        <v>5</v>
      </c>
      <c r="J269" s="150">
        <f>I269*D261</f>
        <v>5</v>
      </c>
      <c r="K269" s="150">
        <f>J269</f>
        <v>5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2:37" x14ac:dyDescent="0.2">
      <c r="B270" s="10"/>
      <c r="C270" s="140" t="s">
        <v>286</v>
      </c>
      <c r="D270" s="141">
        <f>D269*D268</f>
        <v>1990</v>
      </c>
      <c r="E270" s="140"/>
      <c r="F270" s="140"/>
      <c r="G270" s="140"/>
      <c r="H270" s="140"/>
      <c r="I270" s="142" t="s">
        <v>329</v>
      </c>
      <c r="J270" s="140"/>
      <c r="K270" s="140">
        <f>K269</f>
        <v>5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2:37" x14ac:dyDescent="0.2">
      <c r="B271" s="10"/>
      <c r="C271" s="140"/>
      <c r="D271" s="141"/>
      <c r="E271" s="149" t="s">
        <v>328</v>
      </c>
      <c r="F271" s="149"/>
      <c r="G271" s="12">
        <v>10</v>
      </c>
      <c r="H271" s="12">
        <v>2</v>
      </c>
      <c r="I271" s="140">
        <f>G271/H271</f>
        <v>5</v>
      </c>
      <c r="J271" s="140">
        <f>I271*K270</f>
        <v>25</v>
      </c>
      <c r="K271" s="140">
        <f>J271</f>
        <v>25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2:37" x14ac:dyDescent="0.2">
      <c r="B272" s="10"/>
      <c r="C272" s="142" t="s">
        <v>289</v>
      </c>
      <c r="D272" s="143">
        <f>D270/D262</f>
        <v>49.75</v>
      </c>
      <c r="E272" s="149"/>
      <c r="F272" s="149"/>
      <c r="G272" s="140"/>
      <c r="H272" s="140"/>
      <c r="I272" s="142" t="s">
        <v>329</v>
      </c>
      <c r="J272" s="140"/>
      <c r="K272" s="140">
        <f>K271</f>
        <v>25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2:35" x14ac:dyDescent="0.2"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2:35" x14ac:dyDescent="0.2">
      <c r="B274" s="10"/>
      <c r="C274" s="10"/>
      <c r="D274" s="114"/>
      <c r="E274" s="151"/>
      <c r="F274" s="151"/>
      <c r="G274" s="151"/>
      <c r="H274" s="151"/>
      <c r="I274" s="151"/>
      <c r="J274" s="152"/>
      <c r="K274" s="10"/>
      <c r="L274" s="114"/>
      <c r="M274" s="151"/>
      <c r="N274" s="152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</row>
    <row r="275" spans="2:35" ht="14.25" x14ac:dyDescent="0.2">
      <c r="B275" s="10"/>
      <c r="C275" s="10"/>
      <c r="D275" s="303" t="s">
        <v>15</v>
      </c>
      <c r="E275" s="304"/>
      <c r="F275" s="304"/>
      <c r="G275" s="304"/>
      <c r="H275" s="304"/>
      <c r="I275" s="304"/>
      <c r="J275" s="305"/>
      <c r="K275" s="10"/>
      <c r="L275" s="303" t="s">
        <v>334</v>
      </c>
      <c r="M275" s="304"/>
      <c r="N275" s="305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</row>
    <row r="276" spans="2:35" x14ac:dyDescent="0.2">
      <c r="B276" s="10"/>
      <c r="C276" s="10"/>
      <c r="D276" s="10" t="s">
        <v>16</v>
      </c>
      <c r="E276" s="108"/>
      <c r="F276" s="108"/>
      <c r="G276" s="108">
        <f>D262</f>
        <v>40</v>
      </c>
      <c r="H276" s="11">
        <f>D262</f>
        <v>40</v>
      </c>
      <c r="I276" s="10"/>
      <c r="J276" s="10"/>
      <c r="K276" s="10"/>
      <c r="L276" s="10" t="s">
        <v>16</v>
      </c>
      <c r="M276" s="108"/>
      <c r="N276" s="11">
        <f>H276</f>
        <v>40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</row>
    <row r="277" spans="2:35" x14ac:dyDescent="0.2">
      <c r="B277" s="10"/>
      <c r="C277" s="10"/>
      <c r="D277" s="10" t="s">
        <v>17</v>
      </c>
      <c r="E277" s="108"/>
      <c r="F277" s="108"/>
      <c r="G277" s="108">
        <f>D270</f>
        <v>1990</v>
      </c>
      <c r="H277" s="11">
        <f>D270</f>
        <v>1990</v>
      </c>
      <c r="I277" s="10"/>
      <c r="J277" s="10"/>
      <c r="K277" s="10"/>
      <c r="L277" s="10" t="s">
        <v>17</v>
      </c>
      <c r="M277" s="10"/>
      <c r="N277" s="11">
        <f>H277</f>
        <v>1990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</row>
    <row r="278" spans="2:35" x14ac:dyDescent="0.2">
      <c r="B278" s="10"/>
      <c r="C278" s="10"/>
      <c r="D278" s="10" t="s">
        <v>18</v>
      </c>
      <c r="E278" s="10"/>
      <c r="F278" s="10"/>
      <c r="G278" s="12">
        <f>H278</f>
        <v>10</v>
      </c>
      <c r="H278" s="12">
        <v>10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</row>
    <row r="279" spans="2:35" x14ac:dyDescent="0.2">
      <c r="B279" s="10"/>
      <c r="C279" s="10"/>
      <c r="D279" s="13" t="s">
        <v>19</v>
      </c>
      <c r="E279" s="3"/>
      <c r="F279" s="3"/>
      <c r="G279" s="3">
        <f>((G277/G276)^(1/G278))-1</f>
        <v>0.47801658892041288</v>
      </c>
      <c r="H279" s="3">
        <f>((H277/H276)^(1/H278))-1</f>
        <v>0.47801658892041288</v>
      </c>
      <c r="I279" s="10"/>
      <c r="J279" s="10"/>
      <c r="K279" s="10"/>
      <c r="L279" s="13" t="s">
        <v>335</v>
      </c>
      <c r="M279" s="13"/>
      <c r="N279" s="166">
        <f>(N277-N276)/N276</f>
        <v>48.75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</row>
    <row r="280" spans="2:35" x14ac:dyDescent="0.2">
      <c r="B280" s="10"/>
      <c r="C280" s="10"/>
      <c r="D280" s="13" t="s">
        <v>20</v>
      </c>
      <c r="E280" s="138"/>
      <c r="F280" s="138"/>
      <c r="G280" s="138">
        <f>G278*12</f>
        <v>120</v>
      </c>
      <c r="H280" s="14">
        <f>H278*12</f>
        <v>120</v>
      </c>
      <c r="I280" s="10"/>
      <c r="J280" s="10"/>
      <c r="K280" s="10"/>
      <c r="L280" s="13" t="s">
        <v>336</v>
      </c>
      <c r="M280" s="13"/>
      <c r="N280" s="267">
        <f>N277/N276</f>
        <v>49.75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</row>
    <row r="281" spans="2:35" x14ac:dyDescent="0.2">
      <c r="B281" s="10"/>
      <c r="C281" s="10"/>
      <c r="D281" s="10" t="s">
        <v>18</v>
      </c>
      <c r="E281" s="15"/>
      <c r="F281" s="15"/>
      <c r="G281" s="15">
        <f>G280/12</f>
        <v>10</v>
      </c>
      <c r="H281" s="15">
        <f>H280/12</f>
        <v>10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</row>
    <row r="282" spans="2:35" x14ac:dyDescent="0.2">
      <c r="B282" s="10"/>
      <c r="C282" s="10"/>
      <c r="D282" s="13" t="s">
        <v>21</v>
      </c>
      <c r="E282" s="3"/>
      <c r="F282" s="3"/>
      <c r="G282" s="3">
        <f>((G277/G276)^(1/G281))-1</f>
        <v>0.47801658892041288</v>
      </c>
      <c r="H282" s="3">
        <f>((H277/H276)^(1/H281))-1</f>
        <v>0.47801658892041288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</row>
    <row r="283" spans="2:35" x14ac:dyDescent="0.2"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</row>
    <row r="284" spans="2:35" x14ac:dyDescent="0.2"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</row>
  </sheetData>
  <mergeCells count="8">
    <mergeCell ref="A36:A45"/>
    <mergeCell ref="A128:A136"/>
    <mergeCell ref="D275:J275"/>
    <mergeCell ref="L275:N275"/>
    <mergeCell ref="AJ2:AK2"/>
    <mergeCell ref="AJ3:AK3"/>
    <mergeCell ref="N241:O241"/>
    <mergeCell ref="M258:P258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52</v>
      </c>
    </row>
    <row r="3" spans="2:14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9" t="s">
        <v>15</v>
      </c>
      <c r="K5" s="289"/>
      <c r="M5" s="289" t="s">
        <v>53</v>
      </c>
      <c r="N5" s="289"/>
    </row>
    <row r="6" spans="2:14" x14ac:dyDescent="0.3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 x14ac:dyDescent="0.3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 x14ac:dyDescent="0.3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 x14ac:dyDescent="0.3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 x14ac:dyDescent="0.3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 x14ac:dyDescent="0.3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 x14ac:dyDescent="0.3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 x14ac:dyDescent="0.3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9" t="s">
        <v>24</v>
      </c>
      <c r="K14" s="289"/>
      <c r="L14" s="289"/>
    </row>
    <row r="15" spans="2:14" x14ac:dyDescent="0.3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 x14ac:dyDescent="0.3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 x14ac:dyDescent="0.3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 x14ac:dyDescent="0.3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8" t="s">
        <v>34</v>
      </c>
      <c r="C23" s="1"/>
      <c r="D23" s="4">
        <v>0.1125</v>
      </c>
      <c r="E23" s="4"/>
      <c r="F23" s="1"/>
      <c r="G23" s="1"/>
    </row>
    <row r="27" spans="1:17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 x14ac:dyDescent="0.3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35</v>
      </c>
    </row>
    <row r="3" spans="2:20" x14ac:dyDescent="0.3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 x14ac:dyDescent="0.3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8">
        <v>1</v>
      </c>
      <c r="C5" s="1">
        <v>2001</v>
      </c>
      <c r="D5" s="1"/>
      <c r="E5" s="1"/>
      <c r="F5" s="1"/>
      <c r="G5" s="1">
        <v>115.93</v>
      </c>
      <c r="R5" s="289" t="s">
        <v>15</v>
      </c>
      <c r="S5" s="289"/>
    </row>
    <row r="6" spans="2:20" x14ac:dyDescent="0.3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 x14ac:dyDescent="0.3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 x14ac:dyDescent="0.3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 x14ac:dyDescent="0.3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 x14ac:dyDescent="0.3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 x14ac:dyDescent="0.3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 x14ac:dyDescent="0.3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 x14ac:dyDescent="0.3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9" t="s">
        <v>24</v>
      </c>
      <c r="S14" s="289"/>
      <c r="T14" s="289"/>
    </row>
    <row r="15" spans="2:20" x14ac:dyDescent="0.3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 x14ac:dyDescent="0.3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 x14ac:dyDescent="0.3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 x14ac:dyDescent="0.3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 x14ac:dyDescent="0.3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 x14ac:dyDescent="0.3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8" t="s">
        <v>34</v>
      </c>
      <c r="C23" s="1"/>
      <c r="D23" s="4">
        <v>0.1125</v>
      </c>
      <c r="E23" s="4"/>
      <c r="F23" s="1"/>
      <c r="G23" s="1"/>
    </row>
    <row r="27" spans="1:20" x14ac:dyDescent="0.3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 x14ac:dyDescent="0.3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 x14ac:dyDescent="0.3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 x14ac:dyDescent="0.3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 x14ac:dyDescent="0.3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 x14ac:dyDescent="0.3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 x14ac:dyDescent="0.3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 x14ac:dyDescent="0.3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 x14ac:dyDescent="0.3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 x14ac:dyDescent="0.3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 x14ac:dyDescent="0.3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 x14ac:dyDescent="0.3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 x14ac:dyDescent="0.3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 x14ac:dyDescent="0.3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 x14ac:dyDescent="0.3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 x14ac:dyDescent="0.3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 x14ac:dyDescent="0.3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 x14ac:dyDescent="0.3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 x14ac:dyDescent="0.25">
      <c r="B2" s="289" t="s">
        <v>15</v>
      </c>
      <c r="C2" s="289"/>
      <c r="E2" s="289" t="s">
        <v>53</v>
      </c>
      <c r="F2" s="289"/>
      <c r="H2" s="317" t="s">
        <v>24</v>
      </c>
      <c r="I2" s="318"/>
    </row>
    <row r="3" spans="2:12" x14ac:dyDescent="0.25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 x14ac:dyDescent="0.25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 x14ac:dyDescent="0.25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 x14ac:dyDescent="0.25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 x14ac:dyDescent="0.25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 x14ac:dyDescent="0.3"/>
    <row r="10" spans="2:12" ht="16.5" thickBot="1" x14ac:dyDescent="0.35">
      <c r="B10" s="76"/>
      <c r="C10" s="77"/>
      <c r="D10" s="314" t="s">
        <v>56</v>
      </c>
      <c r="E10" s="315"/>
      <c r="F10" s="315"/>
      <c r="G10" s="315"/>
      <c r="H10" s="316"/>
      <c r="I10" s="314" t="s">
        <v>60</v>
      </c>
      <c r="J10" s="315"/>
      <c r="K10" s="315"/>
      <c r="L10" s="316"/>
    </row>
    <row r="11" spans="2:12" ht="45" x14ac:dyDescent="0.2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 x14ac:dyDescent="0.3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 x14ac:dyDescent="0.3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 x14ac:dyDescent="0.3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 x14ac:dyDescent="0.3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 x14ac:dyDescent="0.3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 x14ac:dyDescent="0.3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 x14ac:dyDescent="0.3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 x14ac:dyDescent="0.3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 x14ac:dyDescent="0.3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 x14ac:dyDescent="0.3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 x14ac:dyDescent="0.3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 x14ac:dyDescent="0.3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 x14ac:dyDescent="0.3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 x14ac:dyDescent="0.3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 x14ac:dyDescent="0.3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 x14ac:dyDescent="0.3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 x14ac:dyDescent="0.3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 x14ac:dyDescent="0.3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 x14ac:dyDescent="0.3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 x14ac:dyDescent="0.3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 x14ac:dyDescent="0.3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 x14ac:dyDescent="0.3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 x14ac:dyDescent="0.3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 x14ac:dyDescent="0.3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 x14ac:dyDescent="0.3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 x14ac:dyDescent="0.3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 x14ac:dyDescent="0.3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 x14ac:dyDescent="0.3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 x14ac:dyDescent="0.25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 x14ac:dyDescent="0.25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 x14ac:dyDescent="0.25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 x14ac:dyDescent="0.25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 x14ac:dyDescent="0.25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 x14ac:dyDescent="0.25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 x14ac:dyDescent="0.25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 x14ac:dyDescent="0.25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 x14ac:dyDescent="0.3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60"/>
    <col min="2" max="2" width="16.5703125" style="160" customWidth="1"/>
    <col min="3" max="3" width="39.7109375" style="160" customWidth="1"/>
    <col min="4" max="5" width="9.140625" style="160"/>
    <col min="6" max="6" width="19" style="160" bestFit="1" customWidth="1"/>
    <col min="7" max="7" width="49" style="160" customWidth="1"/>
    <col min="8" max="16384" width="9.140625" style="160"/>
  </cols>
  <sheetData>
    <row r="3" spans="2:7" x14ac:dyDescent="0.2">
      <c r="B3" s="319" t="s">
        <v>373</v>
      </c>
      <c r="C3" s="320"/>
      <c r="F3" s="319" t="s">
        <v>374</v>
      </c>
      <c r="G3" s="320"/>
    </row>
    <row r="4" spans="2:7" x14ac:dyDescent="0.2">
      <c r="B4" s="161" t="s">
        <v>375</v>
      </c>
      <c r="C4" s="161"/>
      <c r="F4" s="161" t="s">
        <v>376</v>
      </c>
      <c r="G4" s="161"/>
    </row>
    <row r="5" spans="2:7" x14ac:dyDescent="0.2">
      <c r="B5" s="161" t="s">
        <v>377</v>
      </c>
      <c r="C5" s="161"/>
      <c r="F5" s="161" t="s">
        <v>241</v>
      </c>
      <c r="G5" s="161"/>
    </row>
    <row r="6" spans="2:7" x14ac:dyDescent="0.2">
      <c r="B6" s="161" t="s">
        <v>378</v>
      </c>
      <c r="C6" s="161"/>
      <c r="F6" s="161" t="s">
        <v>379</v>
      </c>
      <c r="G6" s="161"/>
    </row>
    <row r="7" spans="2:7" x14ac:dyDescent="0.2">
      <c r="B7" s="161" t="s">
        <v>380</v>
      </c>
      <c r="C7" s="161"/>
      <c r="F7" s="161" t="s">
        <v>381</v>
      </c>
      <c r="G7" s="161"/>
    </row>
    <row r="8" spans="2:7" x14ac:dyDescent="0.2">
      <c r="B8" s="161" t="s">
        <v>382</v>
      </c>
      <c r="C8" s="161"/>
      <c r="F8" s="161" t="s">
        <v>383</v>
      </c>
      <c r="G8" s="161"/>
    </row>
    <row r="9" spans="2:7" x14ac:dyDescent="0.2">
      <c r="B9" s="161" t="s">
        <v>384</v>
      </c>
      <c r="C9" s="161"/>
      <c r="F9" s="161" t="s">
        <v>385</v>
      </c>
      <c r="G9" s="161"/>
    </row>
    <row r="10" spans="2:7" x14ac:dyDescent="0.2">
      <c r="B10" s="161" t="s">
        <v>383</v>
      </c>
      <c r="C10" s="161"/>
      <c r="F10" s="161"/>
      <c r="G10" s="161"/>
    </row>
    <row r="11" spans="2:7" x14ac:dyDescent="0.2">
      <c r="B11" s="161" t="s">
        <v>386</v>
      </c>
      <c r="C11" s="161"/>
      <c r="F11" s="161"/>
      <c r="G11" s="161"/>
    </row>
    <row r="12" spans="2:7" x14ac:dyDescent="0.2">
      <c r="B12" s="161" t="s">
        <v>387</v>
      </c>
      <c r="C12" s="161"/>
      <c r="F12" s="161"/>
      <c r="G12" s="161"/>
    </row>
    <row r="13" spans="2:7" x14ac:dyDescent="0.2">
      <c r="B13" s="161"/>
      <c r="C13" s="161"/>
      <c r="F13" s="161"/>
      <c r="G13" s="161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2019-12-20T17:22:35Z</dcterms:modified>
</cp:coreProperties>
</file>
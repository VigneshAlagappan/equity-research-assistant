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 activeTab="2"/>
  </bookViews>
  <sheets>
    <sheet name="1 - Eval Steps" sheetId="16" r:id="rId1"/>
    <sheet name="2 - Analysis" sheetId="15" r:id="rId2"/>
    <sheet name="3 - Forecast" sheetId="18" r:id="rId3"/>
    <sheet name="Sheet1" sheetId="11" r:id="rId4"/>
    <sheet name="IOB" sheetId="9" r:id="rId5"/>
    <sheet name="BV calc" sheetId="8" r:id="rId6"/>
    <sheet name="Template" sheetId="12" r:id="rId7"/>
  </sheets>
  <calcPr calcId="145621"/>
</workbook>
</file>

<file path=xl/calcChain.xml><?xml version="1.0" encoding="utf-8"?>
<calcChain xmlns="http://schemas.openxmlformats.org/spreadsheetml/2006/main">
  <c r="O41" i="18" l="1"/>
  <c r="P42" i="18" l="1"/>
  <c r="P43" i="18"/>
  <c r="P44" i="18"/>
  <c r="P45" i="18"/>
  <c r="P46" i="18"/>
  <c r="P47" i="18"/>
  <c r="P41" i="18"/>
  <c r="P21" i="18"/>
  <c r="P18" i="18"/>
  <c r="P19" i="18"/>
  <c r="P16" i="18"/>
  <c r="P8" i="18"/>
  <c r="P9" i="18"/>
  <c r="P10" i="18"/>
  <c r="P11" i="18"/>
  <c r="P12" i="18"/>
  <c r="P13" i="18"/>
  <c r="P14" i="18"/>
  <c r="P7" i="18"/>
  <c r="P17" i="18"/>
  <c r="AB47" i="18"/>
  <c r="AB46" i="18"/>
  <c r="AB45" i="18"/>
  <c r="AB44" i="18"/>
  <c r="AB43" i="18"/>
  <c r="AB42" i="18"/>
  <c r="D32" i="18"/>
  <c r="E32" i="18"/>
  <c r="F32" i="18"/>
  <c r="G32" i="18"/>
  <c r="H32" i="18"/>
  <c r="I32" i="18"/>
  <c r="J32" i="18"/>
  <c r="K32" i="18"/>
  <c r="L32" i="18"/>
  <c r="M32" i="18"/>
  <c r="N32" i="18"/>
  <c r="O32" i="18"/>
  <c r="P32" i="18" s="1"/>
  <c r="C32" i="18"/>
  <c r="D31" i="18"/>
  <c r="E31" i="18"/>
  <c r="F31" i="18"/>
  <c r="G31" i="18"/>
  <c r="H31" i="18"/>
  <c r="I31" i="18"/>
  <c r="J31" i="18"/>
  <c r="K31" i="18"/>
  <c r="L31" i="18"/>
  <c r="M31" i="18"/>
  <c r="N31" i="18"/>
  <c r="O31" i="18"/>
  <c r="P31" i="18" s="1"/>
  <c r="C31" i="18"/>
  <c r="R31" i="18" l="1"/>
  <c r="S31" i="18" s="1"/>
  <c r="T31" i="18" s="1"/>
  <c r="U31" i="18" s="1"/>
  <c r="V31" i="18" s="1"/>
  <c r="W31" i="18" s="1"/>
  <c r="X31" i="18" s="1"/>
  <c r="Y31" i="18" s="1"/>
  <c r="Z31" i="18" s="1"/>
  <c r="AA31" i="18" s="1"/>
  <c r="AB31" i="18" s="1"/>
  <c r="R32" i="18"/>
  <c r="S32" i="18" s="1"/>
  <c r="T32" i="18" s="1"/>
  <c r="U32" i="18" s="1"/>
  <c r="V32" i="18" s="1"/>
  <c r="W32" i="18" s="1"/>
  <c r="X32" i="18" s="1"/>
  <c r="Y32" i="18" s="1"/>
  <c r="Z32" i="18" s="1"/>
  <c r="AA32" i="18" s="1"/>
  <c r="AB32" i="18" s="1"/>
  <c r="C45" i="15"/>
  <c r="P23" i="18"/>
  <c r="R57" i="18" l="1"/>
  <c r="R58" i="18"/>
  <c r="R45" i="18"/>
  <c r="S45" i="18" s="1"/>
  <c r="T45" i="18" s="1"/>
  <c r="U45" i="18" s="1"/>
  <c r="V45" i="18" s="1"/>
  <c r="W45" i="18" s="1"/>
  <c r="X45" i="18" s="1"/>
  <c r="Y45" i="18" s="1"/>
  <c r="Z45" i="18" s="1"/>
  <c r="AA45" i="18" s="1"/>
  <c r="P65" i="18"/>
  <c r="R65" i="18" s="1"/>
  <c r="S65" i="18" s="1"/>
  <c r="T65" i="18" s="1"/>
  <c r="U65" i="18" s="1"/>
  <c r="V65" i="18" s="1"/>
  <c r="W65" i="18" s="1"/>
  <c r="X65" i="18" s="1"/>
  <c r="Y65" i="18" s="1"/>
  <c r="Z65" i="18" s="1"/>
  <c r="AA65" i="18" s="1"/>
  <c r="AB65" i="18" s="1"/>
  <c r="D69" i="18"/>
  <c r="E69" i="18"/>
  <c r="F69" i="18"/>
  <c r="G69" i="18"/>
  <c r="H69" i="18"/>
  <c r="I69" i="18"/>
  <c r="J69" i="18"/>
  <c r="K69" i="18"/>
  <c r="C69" i="18"/>
  <c r="D68" i="18"/>
  <c r="E68" i="18"/>
  <c r="F68" i="18"/>
  <c r="G68" i="18"/>
  <c r="H68" i="18"/>
  <c r="I68" i="18"/>
  <c r="J68" i="18"/>
  <c r="K68" i="18"/>
  <c r="C68" i="18"/>
  <c r="D67" i="18"/>
  <c r="E67" i="18"/>
  <c r="F67" i="18"/>
  <c r="G67" i="18"/>
  <c r="H67" i="18"/>
  <c r="I67" i="18"/>
  <c r="J67" i="18"/>
  <c r="K67" i="18"/>
  <c r="C67" i="18"/>
  <c r="D66" i="18"/>
  <c r="E66" i="18"/>
  <c r="F66" i="18"/>
  <c r="G66" i="18"/>
  <c r="H66" i="18"/>
  <c r="I66" i="18"/>
  <c r="J66" i="18"/>
  <c r="K66" i="18"/>
  <c r="C66" i="18"/>
  <c r="C26" i="18"/>
  <c r="D26" i="18"/>
  <c r="E26" i="18"/>
  <c r="F26" i="18"/>
  <c r="G26" i="18"/>
  <c r="H26" i="18"/>
  <c r="I26" i="18"/>
  <c r="J26" i="18"/>
  <c r="K26" i="18"/>
  <c r="L26" i="18"/>
  <c r="M26" i="18"/>
  <c r="M66" i="18" s="1"/>
  <c r="N26" i="18"/>
  <c r="N66" i="18" s="1"/>
  <c r="O26" i="18"/>
  <c r="D38" i="18"/>
  <c r="E38" i="18"/>
  <c r="F38" i="18"/>
  <c r="G38" i="18"/>
  <c r="H38" i="18"/>
  <c r="I38" i="18"/>
  <c r="J38" i="18"/>
  <c r="K38" i="18"/>
  <c r="L38" i="18"/>
  <c r="L69" i="18" s="1"/>
  <c r="M38" i="18"/>
  <c r="M69" i="18" s="1"/>
  <c r="N38" i="18"/>
  <c r="N69" i="18" s="1"/>
  <c r="O38" i="18"/>
  <c r="P38" i="18" s="1"/>
  <c r="D37" i="18"/>
  <c r="E37" i="18"/>
  <c r="F37" i="18"/>
  <c r="G37" i="18"/>
  <c r="H37" i="18"/>
  <c r="I37" i="18"/>
  <c r="J37" i="18"/>
  <c r="K37" i="18"/>
  <c r="L37" i="18"/>
  <c r="M37" i="18"/>
  <c r="N37" i="18"/>
  <c r="O37" i="18"/>
  <c r="P37" i="18" s="1"/>
  <c r="D36" i="18"/>
  <c r="H36" i="18"/>
  <c r="D35" i="18"/>
  <c r="E35" i="18"/>
  <c r="F35" i="18"/>
  <c r="G35" i="18"/>
  <c r="H35" i="18"/>
  <c r="I35" i="18"/>
  <c r="J35" i="18"/>
  <c r="K35" i="18"/>
  <c r="L35" i="18"/>
  <c r="M35" i="18"/>
  <c r="N35" i="18"/>
  <c r="O35" i="18"/>
  <c r="D34" i="18"/>
  <c r="E34" i="18"/>
  <c r="E36" i="18" s="1"/>
  <c r="F34" i="18"/>
  <c r="F36" i="18" s="1"/>
  <c r="G34" i="18"/>
  <c r="G36" i="18" s="1"/>
  <c r="H34" i="18"/>
  <c r="I34" i="18"/>
  <c r="I36" i="18" s="1"/>
  <c r="J34" i="18"/>
  <c r="J36" i="18" s="1"/>
  <c r="K34" i="18"/>
  <c r="K36" i="18" s="1"/>
  <c r="L34" i="18"/>
  <c r="L36" i="18" s="1"/>
  <c r="L68" i="18" s="1"/>
  <c r="M34" i="18"/>
  <c r="N34" i="18"/>
  <c r="O34" i="18"/>
  <c r="D29" i="18"/>
  <c r="E29" i="18"/>
  <c r="F29" i="18"/>
  <c r="G29" i="18"/>
  <c r="H29" i="18"/>
  <c r="I29" i="18"/>
  <c r="J29" i="18"/>
  <c r="K29" i="18"/>
  <c r="L29" i="18"/>
  <c r="M29" i="18"/>
  <c r="N29" i="18"/>
  <c r="O29" i="18"/>
  <c r="D28" i="18"/>
  <c r="E28" i="18"/>
  <c r="F28" i="18"/>
  <c r="G28" i="18"/>
  <c r="H28" i="18"/>
  <c r="I28" i="18"/>
  <c r="J28" i="18"/>
  <c r="K28" i="18"/>
  <c r="L28" i="18"/>
  <c r="L67" i="18" s="1"/>
  <c r="M28" i="18"/>
  <c r="M67" i="18" s="1"/>
  <c r="N28" i="18"/>
  <c r="N67" i="18" s="1"/>
  <c r="O28" i="18"/>
  <c r="C38" i="18"/>
  <c r="C37" i="18"/>
  <c r="C35" i="18"/>
  <c r="C34" i="18"/>
  <c r="C36" i="18" s="1"/>
  <c r="C29" i="18"/>
  <c r="C28" i="18"/>
  <c r="D27" i="18"/>
  <c r="E27" i="18"/>
  <c r="F27" i="18"/>
  <c r="G27" i="18"/>
  <c r="H27" i="18"/>
  <c r="I27" i="18"/>
  <c r="J27" i="18"/>
  <c r="K27" i="18"/>
  <c r="L27" i="18"/>
  <c r="M27" i="18"/>
  <c r="N27" i="18"/>
  <c r="O27" i="18"/>
  <c r="P27" i="18" s="1"/>
  <c r="C27" i="18"/>
  <c r="R13" i="18"/>
  <c r="S13" i="18" s="1"/>
  <c r="T13" i="18" s="1"/>
  <c r="U13" i="18" s="1"/>
  <c r="V13" i="18" s="1"/>
  <c r="W13" i="18" s="1"/>
  <c r="X13" i="18" s="1"/>
  <c r="Y13" i="18" s="1"/>
  <c r="Z13" i="18" s="1"/>
  <c r="AA13" i="18" s="1"/>
  <c r="AB13" i="18" s="1"/>
  <c r="R14" i="18"/>
  <c r="S14" i="18" s="1"/>
  <c r="T14" i="18" s="1"/>
  <c r="U14" i="18" s="1"/>
  <c r="V14" i="18" s="1"/>
  <c r="W14" i="18" s="1"/>
  <c r="X14" i="18" s="1"/>
  <c r="Y14" i="18" s="1"/>
  <c r="Z14" i="18" s="1"/>
  <c r="AA14" i="18" s="1"/>
  <c r="AB14" i="18" s="1"/>
  <c r="R21" i="18"/>
  <c r="S21" i="18" s="1"/>
  <c r="T21" i="18" s="1"/>
  <c r="U21" i="18" s="1"/>
  <c r="V21" i="18" s="1"/>
  <c r="W21" i="18" s="1"/>
  <c r="X21" i="18" s="1"/>
  <c r="Y21" i="18" s="1"/>
  <c r="Z21" i="18" s="1"/>
  <c r="AA21" i="18" s="1"/>
  <c r="AB21" i="18" s="1"/>
  <c r="R10" i="18"/>
  <c r="S10" i="18" s="1"/>
  <c r="T10" i="18" s="1"/>
  <c r="U10" i="18" s="1"/>
  <c r="V10" i="18" s="1"/>
  <c r="W10" i="18" s="1"/>
  <c r="X10" i="18" s="1"/>
  <c r="Y10" i="18" s="1"/>
  <c r="Z10" i="18" s="1"/>
  <c r="AA10" i="18" s="1"/>
  <c r="AB10" i="18" s="1"/>
  <c r="R11" i="18"/>
  <c r="S11" i="18" s="1"/>
  <c r="T11" i="18" s="1"/>
  <c r="U11" i="18" s="1"/>
  <c r="V11" i="18" s="1"/>
  <c r="W11" i="18" s="1"/>
  <c r="X11" i="18" s="1"/>
  <c r="Y11" i="18" s="1"/>
  <c r="Z11" i="18" s="1"/>
  <c r="AA11" i="18" s="1"/>
  <c r="AB11" i="18" s="1"/>
  <c r="R12" i="18"/>
  <c r="S12" i="18" s="1"/>
  <c r="T12" i="18" s="1"/>
  <c r="U12" i="18" s="1"/>
  <c r="V12" i="18" s="1"/>
  <c r="W12" i="18" s="1"/>
  <c r="X12" i="18" s="1"/>
  <c r="Y12" i="18" s="1"/>
  <c r="Z12" i="18" s="1"/>
  <c r="AA12" i="18" s="1"/>
  <c r="AB12" i="18" s="1"/>
  <c r="R8" i="18"/>
  <c r="S8" i="18" s="1"/>
  <c r="T8" i="18" s="1"/>
  <c r="U8" i="18" s="1"/>
  <c r="V8" i="18" s="1"/>
  <c r="W8" i="18" s="1"/>
  <c r="X8" i="18" s="1"/>
  <c r="Y8" i="18" s="1"/>
  <c r="Z8" i="18" s="1"/>
  <c r="AA8" i="18" s="1"/>
  <c r="AB8" i="18" s="1"/>
  <c r="R7" i="18"/>
  <c r="S7" i="18" s="1"/>
  <c r="T7" i="18" s="1"/>
  <c r="U7" i="18" s="1"/>
  <c r="V7" i="18" s="1"/>
  <c r="W7" i="18" s="1"/>
  <c r="X7" i="18" s="1"/>
  <c r="Y7" i="18" s="1"/>
  <c r="Z7" i="18" s="1"/>
  <c r="AA7" i="18" s="1"/>
  <c r="AB7" i="18" s="1"/>
  <c r="O66" i="18" l="1"/>
  <c r="P26" i="18"/>
  <c r="P28" i="18"/>
  <c r="P29" i="18"/>
  <c r="P34" i="18"/>
  <c r="P35" i="18"/>
  <c r="R37" i="18"/>
  <c r="S37" i="18" s="1"/>
  <c r="T37" i="18" s="1"/>
  <c r="U37" i="18" s="1"/>
  <c r="V37" i="18" s="1"/>
  <c r="W37" i="18" s="1"/>
  <c r="X37" i="18" s="1"/>
  <c r="Y37" i="18" s="1"/>
  <c r="Z37" i="18" s="1"/>
  <c r="AA37" i="18" s="1"/>
  <c r="AB37" i="18" s="1"/>
  <c r="R38" i="18"/>
  <c r="S38" i="18" s="1"/>
  <c r="T38" i="18" s="1"/>
  <c r="U38" i="18" s="1"/>
  <c r="V38" i="18" s="1"/>
  <c r="W38" i="18" s="1"/>
  <c r="X38" i="18" s="1"/>
  <c r="Y38" i="18" s="1"/>
  <c r="Z38" i="18" s="1"/>
  <c r="AA38" i="18" s="1"/>
  <c r="AB38" i="18" s="1"/>
  <c r="R29" i="18"/>
  <c r="S29" i="18" s="1"/>
  <c r="T29" i="18" s="1"/>
  <c r="U29" i="18" s="1"/>
  <c r="V29" i="18" s="1"/>
  <c r="W29" i="18" s="1"/>
  <c r="X29" i="18" s="1"/>
  <c r="Y29" i="18" s="1"/>
  <c r="Z29" i="18" s="1"/>
  <c r="AA29" i="18" s="1"/>
  <c r="AB29" i="18" s="1"/>
  <c r="O67" i="18"/>
  <c r="P67" i="18" s="1"/>
  <c r="R67" i="18" s="1"/>
  <c r="S67" i="18" s="1"/>
  <c r="T67" i="18" s="1"/>
  <c r="U67" i="18" s="1"/>
  <c r="V67" i="18" s="1"/>
  <c r="W67" i="18" s="1"/>
  <c r="X67" i="18" s="1"/>
  <c r="Y67" i="18" s="1"/>
  <c r="Z67" i="18" s="1"/>
  <c r="AA67" i="18" s="1"/>
  <c r="AB67" i="18" s="1"/>
  <c r="R34" i="18"/>
  <c r="S34" i="18" s="1"/>
  <c r="T34" i="18" s="1"/>
  <c r="U34" i="18" s="1"/>
  <c r="V34" i="18" s="1"/>
  <c r="W34" i="18" s="1"/>
  <c r="X34" i="18" s="1"/>
  <c r="Y34" i="18" s="1"/>
  <c r="Z34" i="18" s="1"/>
  <c r="AA34" i="18" s="1"/>
  <c r="AB34" i="18" s="1"/>
  <c r="L66" i="18"/>
  <c r="P66" i="18"/>
  <c r="R66" i="18" s="1"/>
  <c r="S66" i="18" s="1"/>
  <c r="T66" i="18" s="1"/>
  <c r="U66" i="18" s="1"/>
  <c r="V66" i="18" s="1"/>
  <c r="W66" i="18" s="1"/>
  <c r="X66" i="18" s="1"/>
  <c r="Y66" i="18" s="1"/>
  <c r="Z66" i="18" s="1"/>
  <c r="AA66" i="18" s="1"/>
  <c r="AB66" i="18" s="1"/>
  <c r="N36" i="18"/>
  <c r="N68" i="18" s="1"/>
  <c r="R35" i="18"/>
  <c r="S35" i="18" s="1"/>
  <c r="T35" i="18" s="1"/>
  <c r="U35" i="18" s="1"/>
  <c r="V35" i="18" s="1"/>
  <c r="W35" i="18" s="1"/>
  <c r="X35" i="18" s="1"/>
  <c r="Y35" i="18" s="1"/>
  <c r="Z35" i="18" s="1"/>
  <c r="AA35" i="18" s="1"/>
  <c r="AB35" i="18" s="1"/>
  <c r="M36" i="18"/>
  <c r="M68" i="18" s="1"/>
  <c r="O69" i="18"/>
  <c r="P69" i="18" s="1"/>
  <c r="R69" i="18" s="1"/>
  <c r="S69" i="18" s="1"/>
  <c r="T69" i="18" s="1"/>
  <c r="U69" i="18" s="1"/>
  <c r="V69" i="18" s="1"/>
  <c r="W69" i="18" s="1"/>
  <c r="X69" i="18" s="1"/>
  <c r="Y69" i="18" s="1"/>
  <c r="Z69" i="18" s="1"/>
  <c r="AA69" i="18" s="1"/>
  <c r="AB69" i="18" s="1"/>
  <c r="O36" i="18"/>
  <c r="P36" i="18" s="1"/>
  <c r="R46" i="18"/>
  <c r="S46" i="18" s="1"/>
  <c r="T46" i="18" s="1"/>
  <c r="U46" i="18" s="1"/>
  <c r="V46" i="18" s="1"/>
  <c r="W46" i="18" s="1"/>
  <c r="X46" i="18" s="1"/>
  <c r="Y46" i="18" s="1"/>
  <c r="Z46" i="18" s="1"/>
  <c r="AA46" i="18" s="1"/>
  <c r="R47" i="18"/>
  <c r="S47" i="18" s="1"/>
  <c r="T47" i="18" s="1"/>
  <c r="U47" i="18" s="1"/>
  <c r="V47" i="18" s="1"/>
  <c r="W47" i="18" s="1"/>
  <c r="X47" i="18" s="1"/>
  <c r="Y47" i="18" s="1"/>
  <c r="Z47" i="18" s="1"/>
  <c r="AA47" i="18" s="1"/>
  <c r="R23" i="18"/>
  <c r="S23" i="18" s="1"/>
  <c r="T23" i="18" s="1"/>
  <c r="U23" i="18" s="1"/>
  <c r="V23" i="18" s="1"/>
  <c r="W23" i="18" s="1"/>
  <c r="X23" i="18" s="1"/>
  <c r="Y23" i="18" s="1"/>
  <c r="Z23" i="18" s="1"/>
  <c r="AA23" i="18" s="1"/>
  <c r="AB23" i="18" s="1"/>
  <c r="C6" i="12"/>
  <c r="C25" i="15"/>
  <c r="C57" i="15"/>
  <c r="C56" i="15"/>
  <c r="C53" i="15"/>
  <c r="C52" i="15"/>
  <c r="C49" i="15"/>
  <c r="C48" i="15"/>
  <c r="C44" i="15"/>
  <c r="O68" i="18" l="1"/>
  <c r="P68" i="18" s="1"/>
  <c r="R68" i="18" s="1"/>
  <c r="S68" i="18" s="1"/>
  <c r="T68" i="18" s="1"/>
  <c r="U68" i="18" s="1"/>
  <c r="V68" i="18" s="1"/>
  <c r="W68" i="18" s="1"/>
  <c r="X68" i="18" s="1"/>
  <c r="Y68" i="18" s="1"/>
  <c r="Z68" i="18" s="1"/>
  <c r="AA68" i="18" s="1"/>
  <c r="AB68" i="18" s="1"/>
  <c r="R36" i="18"/>
  <c r="S36" i="18" s="1"/>
  <c r="T36" i="18" s="1"/>
  <c r="U36" i="18" s="1"/>
  <c r="V36" i="18" s="1"/>
  <c r="W36" i="18" s="1"/>
  <c r="X36" i="18" s="1"/>
  <c r="Y36" i="18" s="1"/>
  <c r="Z36" i="18" s="1"/>
  <c r="AA36" i="18" s="1"/>
  <c r="AB36" i="18" s="1"/>
  <c r="R44" i="18"/>
  <c r="S44" i="18" s="1"/>
  <c r="T44" i="18" s="1"/>
  <c r="U44" i="18" s="1"/>
  <c r="V44" i="18" s="1"/>
  <c r="W44" i="18" s="1"/>
  <c r="X44" i="18" s="1"/>
  <c r="Y44" i="18" s="1"/>
  <c r="Z44" i="18" s="1"/>
  <c r="AA44" i="18" s="1"/>
  <c r="R28" i="18"/>
  <c r="S28" i="18" s="1"/>
  <c r="T28" i="18" s="1"/>
  <c r="U28" i="18" s="1"/>
  <c r="V28" i="18" s="1"/>
  <c r="W28" i="18" s="1"/>
  <c r="X28" i="18" s="1"/>
  <c r="Y28" i="18" s="1"/>
  <c r="Z28" i="18" s="1"/>
  <c r="AA28" i="18" s="1"/>
  <c r="AB28" i="18" s="1"/>
  <c r="R41" i="18"/>
  <c r="S41" i="18" s="1"/>
  <c r="T41" i="18" s="1"/>
  <c r="U41" i="18" s="1"/>
  <c r="V41" i="18" s="1"/>
  <c r="W41" i="18" s="1"/>
  <c r="X41" i="18" s="1"/>
  <c r="Y41" i="18" s="1"/>
  <c r="Z41" i="18" s="1"/>
  <c r="AA41" i="18" s="1"/>
  <c r="AB41" i="18" s="1"/>
  <c r="R26" i="18"/>
  <c r="S26" i="18" s="1"/>
  <c r="T26" i="18" s="1"/>
  <c r="U26" i="18" s="1"/>
  <c r="V26" i="18" s="1"/>
  <c r="W26" i="18" s="1"/>
  <c r="X26" i="18" s="1"/>
  <c r="Y26" i="18" s="1"/>
  <c r="Z26" i="18" s="1"/>
  <c r="AA26" i="18" s="1"/>
  <c r="AB26" i="18" s="1"/>
  <c r="R43" i="18"/>
  <c r="S43" i="18" s="1"/>
  <c r="T43" i="18" s="1"/>
  <c r="U43" i="18" s="1"/>
  <c r="V43" i="18" s="1"/>
  <c r="W43" i="18" s="1"/>
  <c r="X43" i="18" s="1"/>
  <c r="Y43" i="18" s="1"/>
  <c r="Z43" i="18" s="1"/>
  <c r="AA43" i="18" s="1"/>
  <c r="R42" i="18"/>
  <c r="S42" i="18" s="1"/>
  <c r="T42" i="18" s="1"/>
  <c r="U42" i="18" s="1"/>
  <c r="V42" i="18" s="1"/>
  <c r="W42" i="18" s="1"/>
  <c r="X42" i="18" s="1"/>
  <c r="Y42" i="18" s="1"/>
  <c r="Z42" i="18" s="1"/>
  <c r="AA42" i="18" s="1"/>
  <c r="R60" i="18"/>
  <c r="R27" i="18"/>
  <c r="S27" i="18" s="1"/>
  <c r="T27" i="18" s="1"/>
  <c r="U27" i="18" s="1"/>
  <c r="V27" i="18" s="1"/>
  <c r="W27" i="18" s="1"/>
  <c r="X27" i="18" s="1"/>
  <c r="Y27" i="18" s="1"/>
  <c r="Z27" i="18" s="1"/>
  <c r="AA27" i="18" s="1"/>
  <c r="AB27" i="18" s="1"/>
  <c r="C15" i="15"/>
  <c r="C20" i="15"/>
  <c r="C9" i="15"/>
  <c r="R51" i="18" l="1"/>
  <c r="R52" i="18"/>
  <c r="R62" i="18"/>
  <c r="R55" i="18"/>
  <c r="R54" i="18"/>
  <c r="R53" i="18"/>
  <c r="D31" i="8"/>
  <c r="D29" i="8"/>
  <c r="D28" i="8"/>
  <c r="D13" i="8"/>
  <c r="D30" i="8" s="1"/>
  <c r="E14" i="8"/>
  <c r="F14" i="8" s="1"/>
  <c r="G14" i="8" s="1"/>
  <c r="H14" i="8" s="1"/>
  <c r="I14" i="8" s="1"/>
  <c r="K37" i="12" l="1"/>
  <c r="I7" i="12"/>
  <c r="F7" i="12"/>
  <c r="H39" i="12"/>
  <c r="L25" i="12"/>
  <c r="L26" i="12" s="1"/>
  <c r="L27" i="12" s="1"/>
  <c r="L28" i="12" s="1"/>
  <c r="L29" i="12" s="1"/>
  <c r="L30" i="12" s="1"/>
  <c r="L31" i="12" s="1"/>
  <c r="L32" i="12" s="1"/>
  <c r="L33" i="12" s="1"/>
  <c r="L34" i="12" s="1"/>
  <c r="L39" i="12" s="1"/>
  <c r="I25" i="12"/>
  <c r="I26" i="12" s="1"/>
  <c r="I27" i="12" s="1"/>
  <c r="I28" i="12" s="1"/>
  <c r="I29" i="12" s="1"/>
  <c r="I30" i="12" s="1"/>
  <c r="I31" i="12" s="1"/>
  <c r="I32" i="12" s="1"/>
  <c r="I33" i="12" s="1"/>
  <c r="I34" i="12" s="1"/>
  <c r="F24" i="12"/>
  <c r="G24" i="12" s="1"/>
  <c r="K25" i="12" s="1"/>
  <c r="K26" i="12" s="1"/>
  <c r="K27" i="12" s="1"/>
  <c r="K28" i="12" s="1"/>
  <c r="K29" i="12" s="1"/>
  <c r="K30" i="12" s="1"/>
  <c r="K31" i="12" s="1"/>
  <c r="K32" i="12" s="1"/>
  <c r="K33" i="12" s="1"/>
  <c r="K34" i="12" s="1"/>
  <c r="K40" i="12" s="1"/>
  <c r="F23" i="12"/>
  <c r="G23" i="12" s="1"/>
  <c r="F22" i="12"/>
  <c r="G22" i="12" s="1"/>
  <c r="F21" i="12"/>
  <c r="G21" i="12" s="1"/>
  <c r="F20" i="12"/>
  <c r="G20" i="12" s="1"/>
  <c r="F19" i="12"/>
  <c r="G19" i="12" s="1"/>
  <c r="F18" i="12"/>
  <c r="G18" i="12" s="1"/>
  <c r="F17" i="12"/>
  <c r="G17" i="12" s="1"/>
  <c r="F16" i="12"/>
  <c r="G16" i="12" s="1"/>
  <c r="F15" i="12"/>
  <c r="G15" i="12" s="1"/>
  <c r="F14" i="12"/>
  <c r="G14" i="12" s="1"/>
  <c r="F13" i="12"/>
  <c r="G13" i="12" s="1"/>
  <c r="G40" i="12" l="1"/>
  <c r="J25" i="12"/>
  <c r="J26" i="12" s="1"/>
  <c r="J27" i="12" s="1"/>
  <c r="J28" i="12" s="1"/>
  <c r="J29" i="12" s="1"/>
  <c r="J30" i="12" s="1"/>
  <c r="J31" i="12" s="1"/>
  <c r="J32" i="12" s="1"/>
  <c r="J33" i="12" s="1"/>
  <c r="J34" i="12" s="1"/>
  <c r="N10" i="11"/>
  <c r="H44" i="11"/>
  <c r="I41" i="11"/>
  <c r="F41" i="11"/>
  <c r="G41" i="11" s="1"/>
  <c r="K41" i="11" s="1"/>
  <c r="I40" i="11"/>
  <c r="F40" i="11"/>
  <c r="G40" i="11" s="1"/>
  <c r="K40" i="11" s="1"/>
  <c r="I39" i="11"/>
  <c r="G39" i="11"/>
  <c r="K39" i="11" s="1"/>
  <c r="F39" i="11"/>
  <c r="I38" i="11"/>
  <c r="F38" i="11"/>
  <c r="G38" i="11" s="1"/>
  <c r="K38" i="11" s="1"/>
  <c r="I37" i="11"/>
  <c r="F37" i="11"/>
  <c r="G37" i="11" s="1"/>
  <c r="K37" i="11" s="1"/>
  <c r="I36" i="11"/>
  <c r="F36" i="11"/>
  <c r="G36" i="11" s="1"/>
  <c r="K36" i="11" s="1"/>
  <c r="I35" i="11"/>
  <c r="F35" i="11"/>
  <c r="G35" i="11" s="1"/>
  <c r="K35" i="11" s="1"/>
  <c r="I34" i="11"/>
  <c r="F34" i="11"/>
  <c r="G34" i="11" s="1"/>
  <c r="K34" i="11" s="1"/>
  <c r="I33" i="11"/>
  <c r="F33" i="11"/>
  <c r="G33" i="11" s="1"/>
  <c r="K33" i="11" s="1"/>
  <c r="I32" i="11"/>
  <c r="F32" i="11"/>
  <c r="G32" i="11" s="1"/>
  <c r="K32" i="11" s="1"/>
  <c r="N31" i="11"/>
  <c r="Q31" i="11" s="1"/>
  <c r="I31" i="11"/>
  <c r="F31" i="11"/>
  <c r="G31" i="11" s="1"/>
  <c r="I30" i="11"/>
  <c r="F30" i="11"/>
  <c r="G30" i="11" s="1"/>
  <c r="K30" i="11" s="1"/>
  <c r="I29" i="11"/>
  <c r="D22" i="11"/>
  <c r="L19" i="11"/>
  <c r="K11" i="11"/>
  <c r="K12" i="11" s="1"/>
  <c r="K9" i="11"/>
  <c r="H44" i="9"/>
  <c r="N42" i="9"/>
  <c r="O32" i="9"/>
  <c r="P32" i="9"/>
  <c r="P31" i="9"/>
  <c r="O31" i="9"/>
  <c r="N33" i="9"/>
  <c r="N34" i="9" s="1"/>
  <c r="N35" i="9" s="1"/>
  <c r="N36" i="9" s="1"/>
  <c r="N37" i="9" s="1"/>
  <c r="N38" i="9" s="1"/>
  <c r="N39" i="9" s="1"/>
  <c r="N40" i="9" s="1"/>
  <c r="N41" i="9" s="1"/>
  <c r="N32" i="9"/>
  <c r="N31" i="9"/>
  <c r="M34" i="9"/>
  <c r="M35" i="9"/>
  <c r="M36" i="9"/>
  <c r="M37" i="9"/>
  <c r="M38" i="9" s="1"/>
  <c r="M39" i="9" s="1"/>
  <c r="M40" i="9" s="1"/>
  <c r="M41" i="9" s="1"/>
  <c r="M33" i="9"/>
  <c r="M45" i="9"/>
  <c r="M32" i="9"/>
  <c r="I29" i="9"/>
  <c r="I30" i="9"/>
  <c r="I32" i="9"/>
  <c r="I33" i="9"/>
  <c r="I34" i="9"/>
  <c r="I35" i="9"/>
  <c r="I36" i="9"/>
  <c r="I37" i="9"/>
  <c r="I38" i="9"/>
  <c r="I39" i="9"/>
  <c r="I40" i="9"/>
  <c r="I41" i="9"/>
  <c r="I31" i="9"/>
  <c r="F31" i="9"/>
  <c r="G31" i="9" s="1"/>
  <c r="K31" i="9" s="1"/>
  <c r="L31" i="9" s="1"/>
  <c r="F32" i="9"/>
  <c r="G32" i="9" s="1"/>
  <c r="K32" i="9" s="1"/>
  <c r="F33" i="9"/>
  <c r="G33" i="9" s="1"/>
  <c r="K33" i="9" s="1"/>
  <c r="F34" i="9"/>
  <c r="G34" i="9" s="1"/>
  <c r="K34" i="9" s="1"/>
  <c r="F35" i="9"/>
  <c r="G35" i="9" s="1"/>
  <c r="K35" i="9" s="1"/>
  <c r="F36" i="9"/>
  <c r="G36" i="9" s="1"/>
  <c r="K36" i="9" s="1"/>
  <c r="F37" i="9"/>
  <c r="G37" i="9" s="1"/>
  <c r="K37" i="9" s="1"/>
  <c r="F38" i="9"/>
  <c r="G38" i="9" s="1"/>
  <c r="K38" i="9" s="1"/>
  <c r="F39" i="9"/>
  <c r="G39" i="9" s="1"/>
  <c r="K39" i="9" s="1"/>
  <c r="F40" i="9"/>
  <c r="G40" i="9" s="1"/>
  <c r="K40" i="9" s="1"/>
  <c r="F41" i="9"/>
  <c r="G41" i="9" s="1"/>
  <c r="K41" i="9" s="1"/>
  <c r="F30" i="9"/>
  <c r="G30" i="9" s="1"/>
  <c r="K30" i="9" s="1"/>
  <c r="P31" i="11" l="1"/>
  <c r="N32" i="11"/>
  <c r="T19" i="9"/>
  <c r="D22" i="9"/>
  <c r="N33" i="11" l="1"/>
  <c r="O32" i="11"/>
  <c r="P32" i="11"/>
  <c r="M45" i="11"/>
  <c r="L31" i="11"/>
  <c r="M32" i="11" s="1"/>
  <c r="M33" i="11" s="1"/>
  <c r="M34" i="11" s="1"/>
  <c r="M35" i="11" s="1"/>
  <c r="M36" i="11" s="1"/>
  <c r="M37" i="11" s="1"/>
  <c r="M38" i="11" s="1"/>
  <c r="M39" i="11" s="1"/>
  <c r="M40" i="11" s="1"/>
  <c r="M41" i="11" s="1"/>
  <c r="Q32" i="11"/>
  <c r="S11" i="9"/>
  <c r="S12" i="9" s="1"/>
  <c r="S9" i="9"/>
  <c r="N34" i="11" l="1"/>
  <c r="O33" i="11"/>
  <c r="D25" i="8"/>
  <c r="D23" i="8"/>
  <c r="N35" i="11" l="1"/>
  <c r="O34" i="11"/>
  <c r="D35" i="8"/>
  <c r="E5" i="8"/>
  <c r="E18" i="8" s="1"/>
  <c r="D18" i="8"/>
  <c r="D19" i="8"/>
  <c r="D21" i="8"/>
  <c r="D20" i="8"/>
  <c r="N36" i="11" l="1"/>
  <c r="O35" i="11"/>
  <c r="F5" i="8"/>
  <c r="G5" i="8" s="1"/>
  <c r="H5" i="8" s="1"/>
  <c r="I5" i="8" s="1"/>
  <c r="N37" i="11" l="1"/>
  <c r="O36" i="11"/>
  <c r="F18" i="8"/>
  <c r="G18" i="8"/>
  <c r="N38" i="11" l="1"/>
  <c r="O37" i="11"/>
  <c r="H18" i="8"/>
  <c r="N39" i="11" l="1"/>
  <c r="O38" i="11"/>
  <c r="I18" i="8"/>
  <c r="N40" i="11" l="1"/>
  <c r="O39" i="11"/>
  <c r="N41" i="11" l="1"/>
  <c r="O40" i="11"/>
  <c r="N42" i="11" l="1"/>
  <c r="O41" i="11"/>
</calcChain>
</file>

<file path=xl/sharedStrings.xml><?xml version="1.0" encoding="utf-8"?>
<sst xmlns="http://schemas.openxmlformats.org/spreadsheetml/2006/main" count="422" uniqueCount="280">
  <si>
    <t>#</t>
  </si>
  <si>
    <t>CAGR</t>
  </si>
  <si>
    <t>Cash and equivalents</t>
  </si>
  <si>
    <t>Total Number of outstanding shares</t>
  </si>
  <si>
    <t>Total Liabilities</t>
  </si>
  <si>
    <t>Current year</t>
  </si>
  <si>
    <t>in INR Cr</t>
  </si>
  <si>
    <t>INR Cr to INR</t>
  </si>
  <si>
    <t>Book Value (Networth based)</t>
  </si>
  <si>
    <t>Book Value (Total Liability)</t>
  </si>
  <si>
    <t>Book Value (Cash Based)</t>
  </si>
  <si>
    <t>Y1</t>
  </si>
  <si>
    <t>Y2</t>
  </si>
  <si>
    <t>Y3</t>
  </si>
  <si>
    <t>Y4</t>
  </si>
  <si>
    <t>Y5</t>
  </si>
  <si>
    <t>Networth (reserves only)</t>
  </si>
  <si>
    <t>Networth (includes reserves &amp; Share capital</t>
  </si>
  <si>
    <t>Book Value (reserves &amp; Surplus alone)</t>
  </si>
  <si>
    <t>Total Current Assets</t>
  </si>
  <si>
    <t>In Mn</t>
  </si>
  <si>
    <t>to INR Cr</t>
  </si>
  <si>
    <t>Book Value (Total C.A)</t>
  </si>
  <si>
    <t>Net Current Assets</t>
  </si>
  <si>
    <t>Book Value (on Net Current Assets)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</si>
  <si>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</si>
  <si>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</si>
  <si>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</si>
  <si>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</si>
  <si>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</si>
  <si>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</si>
  <si>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</si>
  <si>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</si>
  <si>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</si>
  <si>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</si>
  <si>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</si>
  <si>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</si>
  <si>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</si>
  <si>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</si>
  <si>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</si>
  <si>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</si>
  <si>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</si>
  <si>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</si>
  <si>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</si>
  <si>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</si>
  <si>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</si>
  <si>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</si>
  <si>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</si>
  <si>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</si>
  <si>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</si>
  <si>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</si>
  <si>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</si>
  <si>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</si>
  <si>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</si>
  <si>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</si>
  <si>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</si>
  <si>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</si>
  <si>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</si>
  <si>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</si>
  <si>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</si>
  <si>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</si>
  <si>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</si>
  <si>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</si>
  <si>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</si>
  <si>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</si>
  <si>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</si>
  <si>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</si>
  <si>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</si>
  <si>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</si>
  <si>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</si>
  <si>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</si>
  <si>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</si>
  <si>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</si>
  <si>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</si>
  <si>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</si>
  <si>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</si>
  <si>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</si>
  <si>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</si>
  <si>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Total Debt (For Banks)</t>
  </si>
  <si>
    <t>Total Advances (For Banks)</t>
  </si>
  <si>
    <t>Net (Advances - Debt)</t>
  </si>
  <si>
    <t>Ratio of Advances to Debt (for Banks)</t>
  </si>
  <si>
    <t>Debt per share</t>
  </si>
  <si>
    <t>For Banks Only</t>
  </si>
  <si>
    <t>Advances per share</t>
  </si>
  <si>
    <t>Net per share</t>
  </si>
  <si>
    <t>BOI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</si>
  <si>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</si>
  <si>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</si>
  <si>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</si>
  <si>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</si>
  <si>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</si>
  <si>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</si>
  <si>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</si>
  <si>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</si>
  <si>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</si>
  <si>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</si>
  <si>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</si>
  <si>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</si>
  <si>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</si>
  <si>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</si>
  <si>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</si>
  <si>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</si>
  <si>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</si>
  <si>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</si>
  <si>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</si>
  <si>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</si>
  <si>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</si>
  <si>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</si>
  <si>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</si>
  <si>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</si>
  <si>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</si>
  <si>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</si>
  <si>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</si>
  <si>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</si>
  <si>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</si>
  <si>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</si>
  <si>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</si>
  <si>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</si>
  <si>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</si>
  <si>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</si>
  <si>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</si>
  <si>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</si>
  <si>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</si>
  <si>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</si>
  <si>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</si>
  <si>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</si>
  <si>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</si>
  <si>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</si>
  <si>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</si>
  <si>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</si>
  <si>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</si>
  <si>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</si>
  <si>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</si>
  <si>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</si>
  <si>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</si>
  <si>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</si>
  <si>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</si>
  <si>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</si>
  <si>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</si>
  <si>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</si>
  <si>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</si>
  <si>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</si>
  <si>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</si>
  <si>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</si>
  <si>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</si>
  <si>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</si>
  <si>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</si>
  <si>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</si>
  <si>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</si>
  <si>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</si>
  <si>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</si>
  <si>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</si>
  <si>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</si>
  <si>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</si>
  <si>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</si>
  <si>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</si>
  <si>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</si>
  <si>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</si>
  <si>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</si>
  <si>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</si>
  <si>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</si>
  <si>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</si>
  <si>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</si>
  <si>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</si>
  <si>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</si>
  <si>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</si>
  <si>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</si>
  <si>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</si>
  <si>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</si>
  <si>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</si>
  <si>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</si>
  <si>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</si>
  <si>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</si>
  <si>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</si>
  <si>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</si>
  <si>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</si>
  <si>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</si>
  <si>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</si>
  <si>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</si>
  <si>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</si>
  <si>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</si>
  <si>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</si>
  <si>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</si>
  <si>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</si>
  <si>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</si>
  <si>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</si>
  <si>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</si>
  <si>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</si>
  <si>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</si>
  <si>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</si>
  <si>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</si>
  <si>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</si>
  <si>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</si>
  <si>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</si>
  <si>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</si>
  <si>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</si>
  <si>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</si>
  <si>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</si>
  <si>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</si>
  <si>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</si>
  <si>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</si>
  <si>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</si>
  <si>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</si>
  <si>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</si>
  <si>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</si>
  <si>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</si>
  <si>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</si>
  <si>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</si>
  <si>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</si>
  <si>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</si>
  <si>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</si>
  <si>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Long Term Debt</t>
  </si>
  <si>
    <t>Secured Loan alone</t>
  </si>
  <si>
    <t>Un-secured Alone</t>
  </si>
  <si>
    <t>Total Free Reserves</t>
  </si>
  <si>
    <t>Total Shareholder Equity</t>
  </si>
  <si>
    <t>Cash &amp; Cash Equivalents</t>
  </si>
  <si>
    <t>Investments</t>
  </si>
  <si>
    <t>Current Liability</t>
  </si>
  <si>
    <t>How Much cash/Cash equivalent required</t>
  </si>
  <si>
    <t>How many years required to pay-off the LT Debt</t>
  </si>
  <si>
    <t>years required to pay-off</t>
  </si>
  <si>
    <t>Repayment capability of LT Debt with Net profit (in years)</t>
  </si>
  <si>
    <t>Repayment capability of Secured Loan with Net profit  (in years)</t>
  </si>
  <si>
    <t>Repayment capability of Un-Secured Loan with Net profit  (in years)</t>
  </si>
  <si>
    <t>Repayment capability of Current Liability with Net profit  (in years)</t>
  </si>
  <si>
    <t>Multiples</t>
  </si>
  <si>
    <t>P/E ratio</t>
  </si>
  <si>
    <t>RE - % earnings retained</t>
  </si>
  <si>
    <t>Return of Assets (ROA)</t>
  </si>
  <si>
    <t>Return of Equity (ROE)</t>
  </si>
  <si>
    <t>Return of Capital Employed (ROCE)</t>
  </si>
  <si>
    <t>Return of Investment (ROI)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</si>
  <si>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</si>
  <si>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</si>
  <si>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</si>
  <si>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</si>
  <si>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</si>
  <si>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</si>
  <si>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</si>
  <si>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</si>
  <si>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</si>
  <si>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</si>
  <si>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</si>
  <si>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</si>
  <si>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</si>
  <si>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</si>
  <si>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</si>
  <si>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</si>
  <si>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</si>
  <si>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</si>
  <si>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</si>
  <si>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</si>
  <si>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</si>
  <si>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</si>
  <si>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</si>
  <si>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Net Earnings (Net Profit)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</si>
  <si>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</si>
  <si>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</si>
  <si>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</si>
  <si>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</si>
  <si>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</si>
  <si>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DB Reality</t>
  </si>
  <si>
    <t>Repayment capability of LT Debt with Cash + Investment</t>
  </si>
  <si>
    <t>Repayment capability of Secured Loan with Cash + Investment</t>
  </si>
  <si>
    <t>Repayment capability of Un-Secured Loan with Cash + Investment</t>
  </si>
  <si>
    <t>Repayment capability of Current Liability with Cash + Investment</t>
  </si>
  <si>
    <t>Net Profit Margin</t>
  </si>
  <si>
    <t>Gross Profit Margin - Operating</t>
  </si>
  <si>
    <t>??</t>
  </si>
  <si>
    <t>Top Expenses ( Employee )</t>
  </si>
  <si>
    <t>2nd highest Expenses Comp. ( others )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</si>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</sst>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_(&quot;$&quot;* #,##0_);_(&quot;$&quot;* \(#,##0\);_(&quot;$&quot;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42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9" fontId="2" fillId="6" borderId="0" xfId="0" applyNumberFormat="1" applyFont="1" applyFill="1"/>
    <xf numFmtId="164" fontId="2" fillId="6" borderId="0" xfId="2" applyNumberFormat="1" applyFont="1" applyFill="1"/>
    <xf numFmtId="164" fontId="2" fillId="5" borderId="0" xfId="2" applyNumberFormat="1" applyFont="1" applyFill="1"/>
    <xf numFmtId="1" fontId="2" fillId="5" borderId="0" xfId="2" applyNumberFormat="1" applyFont="1" applyFill="1"/>
    <xf numFmtId="164" fontId="2" fillId="6" borderId="1" xfId="2" applyNumberFormat="1" applyFont="1" applyFill="1" applyBorder="1"/>
    <xf numFmtId="165" fontId="2" fillId="5" borderId="1" xfId="0" applyNumberFormat="1" applyFont="1" applyFill="1" applyBorder="1"/>
    <xf numFmtId="43" fontId="2" fillId="5" borderId="0" xfId="0" applyNumberFormat="1" applyFont="1" applyFill="1"/>
    <xf numFmtId="43" fontId="2" fillId="5" borderId="0" xfId="2" applyNumberFormat="1" applyFont="1" applyFill="1"/>
    <xf numFmtId="38" fontId="2" fillId="6" borderId="0" xfId="2" applyNumberFormat="1" applyFont="1" applyFill="1"/>
    <xf numFmtId="40" fontId="2" fillId="5" borderId="0" xfId="2" applyNumberFormat="1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10" fontId="2" fillId="5" borderId="0" xfId="1" applyNumberFormat="1" applyFont="1" applyFill="1"/>
    <xf numFmtId="0" fontId="3" fillId="5" borderId="0" xfId="0" applyFont="1" applyFill="1"/>
    <xf numFmtId="164" fontId="2" fillId="5" borderId="0" xfId="0" applyNumberFormat="1" applyFont="1" applyFill="1"/>
    <xf numFmtId="9" fontId="2" fillId="5" borderId="0" xfId="0" applyNumberFormat="1" applyFont="1" applyFill="1"/>
    <xf numFmtId="38" fontId="2" fillId="5" borderId="0" xfId="2" applyNumberFormat="1" applyFont="1" applyFill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9" fontId="4" fillId="6" borderId="1" xfId="0" applyNumberFormat="1" applyFont="1" applyFill="1" applyBorder="1"/>
    <xf numFmtId="172" fontId="4" fillId="5" borderId="1" xfId="0" applyNumberFormat="1" applyFont="1" applyFill="1" applyBorder="1"/>
    <xf numFmtId="173" fontId="4" fillId="6" borderId="1" xfId="3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7" fillId="13" borderId="0" xfId="0" applyFont="1" applyFill="1"/>
    <xf numFmtId="0" fontId="4" fillId="6" borderId="0" xfId="0" applyFont="1" applyFill="1"/>
    <xf numFmtId="1" fontId="4" fillId="5" borderId="1" xfId="2" applyNumberFormat="1" applyFont="1" applyFill="1" applyBorder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170" fontId="4" fillId="6" borderId="1" xfId="3" applyNumberFormat="1" applyFont="1" applyFill="1" applyBorder="1"/>
    <xf numFmtId="9" fontId="4" fillId="6" borderId="1" xfId="1" applyFont="1" applyFill="1" applyBorder="1"/>
    <xf numFmtId="10" fontId="4" fillId="6" borderId="1" xfId="0" applyNumberFormat="1" applyFont="1" applyFill="1" applyBorder="1"/>
    <xf numFmtId="4" fontId="4" fillId="5" borderId="1" xfId="0" applyNumberFormat="1" applyFont="1" applyFill="1" applyBorder="1"/>
    <xf numFmtId="43" fontId="4" fillId="5" borderId="1" xfId="2" applyNumberFormat="1" applyFont="1" applyFill="1" applyBorder="1"/>
    <xf numFmtId="0" fontId="6" fillId="2" borderId="1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1">
                  <c:v>2.61</c:v>
                </c:pt>
                <c:pt idx="2">
                  <c:v>5.18</c:v>
                </c:pt>
                <c:pt idx="3">
                  <c:v>9.35</c:v>
                </c:pt>
                <c:pt idx="4">
                  <c:v>9.41</c:v>
                </c:pt>
                <c:pt idx="5">
                  <c:v>11.96</c:v>
                </c:pt>
                <c:pt idx="6">
                  <c:v>14.38</c:v>
                </c:pt>
                <c:pt idx="7">
                  <c:v>18.510000000000002</c:v>
                </c:pt>
                <c:pt idx="8">
                  <c:v>22.07</c:v>
                </c:pt>
                <c:pt idx="9">
                  <c:v>24.34</c:v>
                </c:pt>
                <c:pt idx="10">
                  <c:v>12.98</c:v>
                </c:pt>
                <c:pt idx="11">
                  <c:v>17.329999999999998</c:v>
                </c:pt>
                <c:pt idx="12">
                  <c:v>13.18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600768"/>
        <c:axId val="69602304"/>
      </c:lineChart>
      <c:catAx>
        <c:axId val="69600768"/>
        <c:scaling>
          <c:orientation val="minMax"/>
        </c:scaling>
        <c:delete val="0"/>
        <c:axPos val="b"/>
        <c:majorTickMark val="out"/>
        <c:minorTickMark val="none"/>
        <c:tickLblPos val="nextTo"/>
        <c:crossAx val="69602304"/>
        <c:crosses val="autoZero"/>
        <c:auto val="1"/>
        <c:lblAlgn val="ctr"/>
        <c:lblOffset val="100"/>
        <c:noMultiLvlLbl val="0"/>
      </c:catAx>
      <c:valAx>
        <c:axId val="696023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69600768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108"/>
  <sheetViews>
    <sheetView zoomScale="80" zoomScaleNormal="80" workbookViewId="0">
      <selection activeCell="D21" sqref="D21"/>
    </sheetView>
  </sheetViews>
  <sheetFormatPr defaultRowHeight="12.75" x14ac:dyDescent="0.2"/>
  <cols>
    <col min="1" max="1" width="9.140625" style="104"/>
    <col min="2" max="2" width="9.140625" style="105"/>
    <col min="3" max="3" width="24.28515625" style="104" bestFit="1" customWidth="1"/>
    <col min="4" max="4" width="39.28515625" style="104" bestFit="1" customWidth="1"/>
    <col min="5" max="5" width="39.42578125" style="104" customWidth="1"/>
    <col min="6" max="6" width="56" style="104" bestFit="1" customWidth="1"/>
    <col min="7" max="16384" width="9.140625" style="104"/>
  </cols>
  <sheetData>
    <row r="3" spans="2:6" x14ac:dyDescent="0.2">
      <c r="B3" s="103"/>
      <c r="C3" s="107" t="s">
        <v>87</v>
      </c>
      <c r="D3" s="107" t="s">
        <v>90</v>
      </c>
      <c r="E3" s="107" t="s">
        <v>95</v>
      </c>
      <c r="F3" s="107" t="s">
        <v>96</v>
      </c>
    </row>
    <row r="4" spans="2:6" x14ac:dyDescent="0.2">
      <c r="B4" s="103"/>
      <c r="C4" s="20"/>
      <c r="D4" s="20"/>
      <c r="E4" s="20"/>
      <c r="F4" s="20"/>
    </row>
    <row r="5" spans="2:6" x14ac:dyDescent="0.2">
      <c r="B5" s="103"/>
      <c r="C5" s="108" t="s">
        <v>126</v>
      </c>
      <c r="D5" s="20"/>
      <c r="E5" s="20"/>
      <c r="F5" s="20"/>
    </row>
    <row r="6" spans="2:6" x14ac:dyDescent="0.2">
      <c r="B6" s="103">
        <v>1</v>
      </c>
      <c r="C6" s="20" t="s">
        <v>127</v>
      </c>
      <c r="D6" s="20" t="s">
        <v>128</v>
      </c>
      <c r="E6" s="20" t="s">
        <v>208</v>
      </c>
      <c r="F6" s="20"/>
    </row>
    <row r="7" spans="2:6" x14ac:dyDescent="0.2">
      <c r="B7" s="103"/>
      <c r="C7" s="20"/>
      <c r="D7" s="20" t="s">
        <v>129</v>
      </c>
      <c r="E7" s="20"/>
      <c r="F7" s="20"/>
    </row>
    <row r="8" spans="2:6" x14ac:dyDescent="0.2">
      <c r="B8" s="103"/>
      <c r="C8" s="20"/>
      <c r="D8" s="20" t="s">
        <v>135</v>
      </c>
      <c r="E8" s="20"/>
      <c r="F8" s="20"/>
    </row>
    <row r="9" spans="2:6" x14ac:dyDescent="0.2">
      <c r="B9" s="103"/>
      <c r="C9" s="20"/>
      <c r="D9" s="20"/>
      <c r="E9" s="20"/>
      <c r="F9" s="20"/>
    </row>
    <row r="10" spans="2:6" x14ac:dyDescent="0.2">
      <c r="B10" s="103">
        <v>2</v>
      </c>
      <c r="C10" s="20" t="s">
        <v>209</v>
      </c>
      <c r="D10" s="20" t="s">
        <v>130</v>
      </c>
      <c r="E10" s="20" t="s">
        <v>132</v>
      </c>
      <c r="F10" s="20" t="s">
        <v>133</v>
      </c>
    </row>
    <row r="11" spans="2:6" x14ac:dyDescent="0.2">
      <c r="B11" s="103"/>
      <c r="C11" s="20"/>
      <c r="D11" s="20" t="s">
        <v>131</v>
      </c>
      <c r="E11" s="20"/>
      <c r="F11" s="20"/>
    </row>
    <row r="12" spans="2:6" x14ac:dyDescent="0.2">
      <c r="B12" s="103"/>
      <c r="C12" s="20"/>
      <c r="D12" s="20"/>
      <c r="E12" s="20"/>
      <c r="F12" s="20"/>
    </row>
    <row r="13" spans="2:6" x14ac:dyDescent="0.2">
      <c r="B13" s="103">
        <v>3</v>
      </c>
      <c r="C13" s="20" t="s">
        <v>134</v>
      </c>
      <c r="D13" s="20" t="s">
        <v>137</v>
      </c>
      <c r="E13" s="20" t="s">
        <v>138</v>
      </c>
      <c r="F13" s="20"/>
    </row>
    <row r="14" spans="2:6" x14ac:dyDescent="0.2">
      <c r="B14" s="103"/>
      <c r="C14" s="20"/>
      <c r="D14" s="20" t="s">
        <v>136</v>
      </c>
      <c r="E14" s="20" t="s">
        <v>139</v>
      </c>
      <c r="F14" s="20"/>
    </row>
    <row r="15" spans="2:6" x14ac:dyDescent="0.2">
      <c r="B15" s="103"/>
      <c r="C15" s="20"/>
      <c r="D15" s="20"/>
      <c r="E15" s="20" t="s">
        <v>140</v>
      </c>
      <c r="F15" s="20"/>
    </row>
    <row r="16" spans="2:6" x14ac:dyDescent="0.2">
      <c r="B16" s="103"/>
      <c r="C16" s="20"/>
      <c r="D16" s="20"/>
      <c r="E16" s="20"/>
      <c r="F16" s="20"/>
    </row>
    <row r="17" spans="2:6" x14ac:dyDescent="0.2">
      <c r="B17" s="103">
        <v>4</v>
      </c>
      <c r="C17" s="20" t="s">
        <v>141</v>
      </c>
      <c r="D17" s="20" t="s">
        <v>142</v>
      </c>
      <c r="E17" s="20"/>
      <c r="F17" s="20"/>
    </row>
    <row r="18" spans="2:6" x14ac:dyDescent="0.2">
      <c r="B18" s="103"/>
      <c r="C18" s="20"/>
      <c r="D18" s="20" t="s">
        <v>143</v>
      </c>
      <c r="E18" s="20"/>
      <c r="F18" s="20"/>
    </row>
    <row r="19" spans="2:6" x14ac:dyDescent="0.2">
      <c r="B19" s="103"/>
      <c r="C19" s="20"/>
      <c r="D19" s="20" t="s">
        <v>144</v>
      </c>
      <c r="E19" s="20"/>
      <c r="F19" s="20"/>
    </row>
    <row r="20" spans="2:6" x14ac:dyDescent="0.2">
      <c r="B20" s="103"/>
      <c r="C20" s="20"/>
      <c r="D20" s="20" t="s">
        <v>145</v>
      </c>
      <c r="E20" s="20"/>
      <c r="F20" s="20"/>
    </row>
    <row r="21" spans="2:6" x14ac:dyDescent="0.2">
      <c r="B21" s="103"/>
      <c r="C21" s="20"/>
      <c r="D21" s="20"/>
      <c r="E21" s="20"/>
      <c r="F21" s="20"/>
    </row>
    <row r="22" spans="2:6" x14ac:dyDescent="0.2">
      <c r="B22" s="103">
        <v>5</v>
      </c>
      <c r="C22" s="20" t="s">
        <v>146</v>
      </c>
      <c r="D22" s="20" t="s">
        <v>147</v>
      </c>
      <c r="E22" s="20"/>
      <c r="F22" s="20"/>
    </row>
    <row r="23" spans="2:6" x14ac:dyDescent="0.2">
      <c r="B23" s="103"/>
      <c r="C23" s="20"/>
      <c r="D23" s="20" t="s">
        <v>148</v>
      </c>
      <c r="E23" s="20"/>
      <c r="F23" s="20"/>
    </row>
    <row r="24" spans="2:6" ht="25.5" x14ac:dyDescent="0.2">
      <c r="B24" s="103"/>
      <c r="C24" s="20"/>
      <c r="D24" s="20" t="s">
        <v>149</v>
      </c>
      <c r="E24" s="106" t="s">
        <v>150</v>
      </c>
      <c r="F24" s="20"/>
    </row>
    <row r="25" spans="2:6" x14ac:dyDescent="0.2">
      <c r="B25" s="103"/>
      <c r="C25" s="20"/>
      <c r="D25" s="20"/>
      <c r="E25" s="20"/>
      <c r="F25" s="20"/>
    </row>
    <row r="26" spans="2:6" x14ac:dyDescent="0.2">
      <c r="B26" s="103"/>
      <c r="C26" s="20"/>
      <c r="D26" s="20"/>
      <c r="E26" s="20"/>
      <c r="F26" s="20"/>
    </row>
    <row r="27" spans="2:6" x14ac:dyDescent="0.2">
      <c r="B27" s="103"/>
      <c r="C27" s="108" t="s">
        <v>88</v>
      </c>
      <c r="D27" s="20"/>
      <c r="E27" s="20"/>
      <c r="F27" s="20"/>
    </row>
    <row r="28" spans="2:6" x14ac:dyDescent="0.2">
      <c r="B28" s="103">
        <v>1</v>
      </c>
      <c r="C28" s="20" t="s">
        <v>89</v>
      </c>
      <c r="D28" s="20" t="s">
        <v>91</v>
      </c>
      <c r="E28" s="20" t="s">
        <v>93</v>
      </c>
      <c r="F28" s="20" t="s">
        <v>97</v>
      </c>
    </row>
    <row r="29" spans="2:6" x14ac:dyDescent="0.2">
      <c r="B29" s="103"/>
      <c r="C29" s="20"/>
      <c r="D29" s="20" t="s">
        <v>92</v>
      </c>
      <c r="E29" s="20" t="s">
        <v>94</v>
      </c>
      <c r="F29" s="20"/>
    </row>
    <row r="30" spans="2:6" x14ac:dyDescent="0.2">
      <c r="B30" s="103"/>
      <c r="C30" s="20"/>
      <c r="D30" s="20"/>
      <c r="E30" s="20"/>
      <c r="F30" s="20"/>
    </row>
    <row r="31" spans="2:6" x14ac:dyDescent="0.2">
      <c r="B31" s="103">
        <v>2</v>
      </c>
      <c r="C31" s="20" t="s">
        <v>98</v>
      </c>
      <c r="D31" s="20" t="s">
        <v>99</v>
      </c>
      <c r="E31" s="20"/>
      <c r="F31" s="20"/>
    </row>
    <row r="32" spans="2:6" x14ac:dyDescent="0.2">
      <c r="B32" s="103"/>
      <c r="C32" s="20"/>
      <c r="D32" s="20" t="s">
        <v>25</v>
      </c>
      <c r="E32" s="20"/>
      <c r="F32" s="20"/>
    </row>
    <row r="33" spans="2:6" x14ac:dyDescent="0.2">
      <c r="B33" s="103"/>
      <c r="C33" s="20"/>
      <c r="D33" s="20" t="s">
        <v>100</v>
      </c>
      <c r="E33" s="20"/>
      <c r="F33" s="20"/>
    </row>
    <row r="34" spans="2:6" x14ac:dyDescent="0.2">
      <c r="B34" s="103"/>
      <c r="C34" s="20"/>
      <c r="D34" s="20"/>
      <c r="E34" s="20"/>
      <c r="F34" s="20"/>
    </row>
    <row r="35" spans="2:6" x14ac:dyDescent="0.2">
      <c r="B35" s="103">
        <v>3</v>
      </c>
      <c r="C35" s="20" t="s">
        <v>101</v>
      </c>
      <c r="D35" s="20" t="s">
        <v>25</v>
      </c>
      <c r="E35" s="20"/>
      <c r="F35" s="20"/>
    </row>
    <row r="36" spans="2:6" x14ac:dyDescent="0.2">
      <c r="B36" s="103"/>
      <c r="C36" s="20"/>
      <c r="D36" s="20" t="s">
        <v>102</v>
      </c>
      <c r="E36" s="20"/>
      <c r="F36" s="20"/>
    </row>
    <row r="37" spans="2:6" x14ac:dyDescent="0.2">
      <c r="B37" s="103"/>
      <c r="C37" s="20"/>
      <c r="D37" s="20" t="s">
        <v>103</v>
      </c>
      <c r="E37" s="20"/>
      <c r="F37" s="20"/>
    </row>
    <row r="38" spans="2:6" x14ac:dyDescent="0.2">
      <c r="B38" s="103"/>
      <c r="C38" s="20"/>
      <c r="D38" s="20" t="s">
        <v>104</v>
      </c>
      <c r="E38" s="20"/>
      <c r="F38" s="20"/>
    </row>
    <row r="39" spans="2:6" x14ac:dyDescent="0.2">
      <c r="B39" s="103"/>
      <c r="C39" s="20"/>
      <c r="D39" s="20"/>
      <c r="E39" s="20"/>
      <c r="F39" s="20"/>
    </row>
    <row r="40" spans="2:6" x14ac:dyDescent="0.2">
      <c r="B40" s="103">
        <v>4</v>
      </c>
      <c r="C40" s="20" t="s">
        <v>109</v>
      </c>
      <c r="D40" s="20" t="s">
        <v>105</v>
      </c>
      <c r="E40" s="20" t="s">
        <v>107</v>
      </c>
      <c r="F40" s="20" t="s">
        <v>108</v>
      </c>
    </row>
    <row r="41" spans="2:6" x14ac:dyDescent="0.2">
      <c r="B41" s="103"/>
      <c r="C41" s="20"/>
      <c r="D41" s="20" t="s">
        <v>106</v>
      </c>
      <c r="E41" s="20"/>
      <c r="F41" s="20"/>
    </row>
    <row r="42" spans="2:6" x14ac:dyDescent="0.2">
      <c r="B42" s="103"/>
      <c r="C42" s="20"/>
      <c r="D42" s="20" t="s">
        <v>110</v>
      </c>
      <c r="E42" s="20" t="s">
        <v>111</v>
      </c>
      <c r="F42" s="20" t="s">
        <v>108</v>
      </c>
    </row>
    <row r="43" spans="2:6" x14ac:dyDescent="0.2">
      <c r="B43" s="103"/>
      <c r="C43" s="20"/>
      <c r="D43" s="20"/>
      <c r="E43" s="106" t="s">
        <v>125</v>
      </c>
      <c r="F43" s="20"/>
    </row>
    <row r="44" spans="2:6" x14ac:dyDescent="0.2">
      <c r="B44" s="103"/>
      <c r="C44" s="20"/>
      <c r="D44" s="20"/>
      <c r="E44" s="20"/>
      <c r="F44" s="20"/>
    </row>
    <row r="45" spans="2:6" ht="25.5" x14ac:dyDescent="0.2">
      <c r="B45" s="103">
        <v>5</v>
      </c>
      <c r="C45" s="20" t="s">
        <v>112</v>
      </c>
      <c r="D45" s="20" t="s">
        <v>114</v>
      </c>
      <c r="E45" s="106" t="s">
        <v>117</v>
      </c>
      <c r="F45" s="20" t="s">
        <v>118</v>
      </c>
    </row>
    <row r="46" spans="2:6" x14ac:dyDescent="0.2">
      <c r="B46" s="103"/>
      <c r="C46" s="20" t="s">
        <v>113</v>
      </c>
      <c r="D46" s="20" t="s">
        <v>115</v>
      </c>
      <c r="E46" s="20"/>
      <c r="F46" s="20"/>
    </row>
    <row r="47" spans="2:6" x14ac:dyDescent="0.2">
      <c r="B47" s="103"/>
      <c r="C47" s="20"/>
      <c r="D47" s="20" t="s">
        <v>116</v>
      </c>
      <c r="E47" s="20"/>
      <c r="F47" s="20"/>
    </row>
    <row r="48" spans="2:6" x14ac:dyDescent="0.2">
      <c r="B48" s="103"/>
      <c r="C48" s="20"/>
      <c r="D48" s="20"/>
      <c r="E48" s="20"/>
      <c r="F48" s="20"/>
    </row>
    <row r="49" spans="2:6" x14ac:dyDescent="0.2">
      <c r="B49" s="103">
        <v>6</v>
      </c>
      <c r="C49" s="20" t="s">
        <v>119</v>
      </c>
      <c r="D49" s="20" t="s">
        <v>120</v>
      </c>
      <c r="E49" s="20"/>
      <c r="F49" s="20"/>
    </row>
    <row r="50" spans="2:6" x14ac:dyDescent="0.2">
      <c r="B50" s="103"/>
      <c r="C50" s="20"/>
      <c r="D50" s="20" t="s">
        <v>121</v>
      </c>
      <c r="E50" s="20"/>
      <c r="F50" s="20"/>
    </row>
    <row r="51" spans="2:6" x14ac:dyDescent="0.2">
      <c r="B51" s="103"/>
      <c r="C51" s="20"/>
      <c r="D51" s="20"/>
      <c r="E51" s="20"/>
      <c r="F51" s="20"/>
    </row>
    <row r="52" spans="2:6" x14ac:dyDescent="0.2">
      <c r="B52" s="103">
        <v>7</v>
      </c>
      <c r="C52" s="20" t="s">
        <v>122</v>
      </c>
      <c r="D52" s="20" t="s">
        <v>124</v>
      </c>
      <c r="E52" s="20"/>
      <c r="F52" s="20"/>
    </row>
    <row r="53" spans="2:6" ht="25.5" x14ac:dyDescent="0.2">
      <c r="B53" s="103"/>
      <c r="C53" s="20"/>
      <c r="D53" s="106" t="s">
        <v>123</v>
      </c>
      <c r="E53" s="20"/>
      <c r="F53" s="20"/>
    </row>
    <row r="54" spans="2:6" x14ac:dyDescent="0.2">
      <c r="B54" s="103"/>
      <c r="C54" s="20"/>
      <c r="D54" s="20"/>
      <c r="E54" s="20"/>
      <c r="F54" s="20"/>
    </row>
    <row r="55" spans="2:6" x14ac:dyDescent="0.2">
      <c r="B55" s="103"/>
      <c r="C55" s="20"/>
      <c r="D55" s="20"/>
      <c r="E55" s="20"/>
      <c r="F55" s="20"/>
    </row>
    <row r="56" spans="2:6" x14ac:dyDescent="0.2">
      <c r="B56" s="103"/>
      <c r="C56" s="108" t="s">
        <v>151</v>
      </c>
      <c r="D56" s="20"/>
      <c r="E56" s="20"/>
      <c r="F56" s="20"/>
    </row>
    <row r="57" spans="2:6" x14ac:dyDescent="0.2">
      <c r="B57" s="103">
        <v>1</v>
      </c>
      <c r="C57" s="20" t="s">
        <v>152</v>
      </c>
      <c r="D57" s="20" t="s">
        <v>153</v>
      </c>
      <c r="E57" s="20"/>
      <c r="F57" s="20"/>
    </row>
    <row r="58" spans="2:6" x14ac:dyDescent="0.2">
      <c r="B58" s="103"/>
      <c r="C58" s="20"/>
      <c r="D58" s="20" t="s">
        <v>154</v>
      </c>
      <c r="E58" s="20"/>
      <c r="F58" s="20"/>
    </row>
    <row r="59" spans="2:6" x14ac:dyDescent="0.2">
      <c r="B59" s="103"/>
      <c r="C59" s="20"/>
      <c r="D59" s="20" t="s">
        <v>155</v>
      </c>
      <c r="E59" s="20"/>
      <c r="F59" s="20"/>
    </row>
    <row r="60" spans="2:6" x14ac:dyDescent="0.2">
      <c r="B60" s="103"/>
      <c r="C60" s="20"/>
      <c r="D60" s="20"/>
      <c r="E60" s="20"/>
      <c r="F60" s="20"/>
    </row>
    <row r="61" spans="2:6" x14ac:dyDescent="0.2">
      <c r="B61" s="103">
        <v>2</v>
      </c>
      <c r="C61" s="20" t="s">
        <v>156</v>
      </c>
      <c r="D61" s="20" t="s">
        <v>157</v>
      </c>
      <c r="E61" s="20"/>
      <c r="F61" s="20"/>
    </row>
    <row r="62" spans="2:6" x14ac:dyDescent="0.2">
      <c r="B62" s="103"/>
      <c r="C62" s="20"/>
      <c r="D62" s="20"/>
      <c r="E62" s="20"/>
      <c r="F62" s="20"/>
    </row>
    <row r="63" spans="2:6" x14ac:dyDescent="0.2">
      <c r="B63" s="103">
        <v>3</v>
      </c>
      <c r="C63" s="20" t="s">
        <v>158</v>
      </c>
      <c r="D63" s="20" t="s">
        <v>159</v>
      </c>
      <c r="E63" s="20"/>
      <c r="F63" s="20"/>
    </row>
    <row r="64" spans="2:6" x14ac:dyDescent="0.2">
      <c r="B64" s="103"/>
      <c r="C64" s="20"/>
      <c r="D64" s="20"/>
      <c r="E64" s="20"/>
      <c r="F64" s="20"/>
    </row>
    <row r="65" spans="2:6" ht="25.5" x14ac:dyDescent="0.2">
      <c r="B65" s="103">
        <v>4</v>
      </c>
      <c r="C65" s="20" t="s">
        <v>160</v>
      </c>
      <c r="D65" s="20" t="s">
        <v>161</v>
      </c>
      <c r="E65" s="106" t="s">
        <v>166</v>
      </c>
      <c r="F65" s="20" t="s">
        <v>167</v>
      </c>
    </row>
    <row r="66" spans="2:6" x14ac:dyDescent="0.2">
      <c r="B66" s="103"/>
      <c r="C66" s="20"/>
      <c r="D66" s="20" t="s">
        <v>162</v>
      </c>
      <c r="E66" s="20" t="s">
        <v>168</v>
      </c>
      <c r="F66" s="20"/>
    </row>
    <row r="67" spans="2:6" x14ac:dyDescent="0.2">
      <c r="B67" s="103"/>
      <c r="C67" s="20"/>
      <c r="D67" s="20" t="s">
        <v>163</v>
      </c>
      <c r="E67" s="20"/>
      <c r="F67" s="20"/>
    </row>
    <row r="68" spans="2:6" x14ac:dyDescent="0.2">
      <c r="B68" s="103"/>
      <c r="C68" s="20"/>
      <c r="D68" s="20" t="s">
        <v>164</v>
      </c>
      <c r="E68" s="20"/>
      <c r="F68" s="20"/>
    </row>
    <row r="69" spans="2:6" x14ac:dyDescent="0.2">
      <c r="B69" s="103"/>
      <c r="C69" s="20"/>
      <c r="D69" s="20" t="s">
        <v>165</v>
      </c>
      <c r="E69" s="20"/>
      <c r="F69" s="20"/>
    </row>
    <row r="70" spans="2:6" x14ac:dyDescent="0.2">
      <c r="B70" s="103"/>
      <c r="C70" s="20"/>
      <c r="D70" s="20"/>
      <c r="E70" s="20"/>
      <c r="F70" s="20"/>
    </row>
    <row r="71" spans="2:6" x14ac:dyDescent="0.2">
      <c r="B71" s="103">
        <v>5</v>
      </c>
      <c r="C71" s="20" t="s">
        <v>169</v>
      </c>
      <c r="D71" s="20" t="s">
        <v>170</v>
      </c>
      <c r="E71" s="20"/>
      <c r="F71" s="20"/>
    </row>
    <row r="72" spans="2:6" x14ac:dyDescent="0.2">
      <c r="B72" s="103"/>
      <c r="C72" s="20"/>
      <c r="D72" s="20" t="s">
        <v>171</v>
      </c>
      <c r="E72" s="20"/>
      <c r="F72" s="20"/>
    </row>
    <row r="73" spans="2:6" x14ac:dyDescent="0.2">
      <c r="B73" s="103"/>
      <c r="C73" s="20"/>
      <c r="D73" s="20" t="s">
        <v>172</v>
      </c>
      <c r="E73" s="20" t="s">
        <v>173</v>
      </c>
      <c r="F73" s="20" t="s">
        <v>174</v>
      </c>
    </row>
    <row r="74" spans="2:6" x14ac:dyDescent="0.2">
      <c r="B74" s="103"/>
      <c r="C74" s="20"/>
      <c r="D74" s="20" t="s">
        <v>175</v>
      </c>
      <c r="E74" s="20"/>
      <c r="F74" s="20"/>
    </row>
    <row r="75" spans="2:6" x14ac:dyDescent="0.2">
      <c r="B75" s="103"/>
      <c r="C75" s="20"/>
      <c r="D75" s="20"/>
      <c r="E75" s="20"/>
      <c r="F75" s="20"/>
    </row>
    <row r="76" spans="2:6" x14ac:dyDescent="0.2">
      <c r="B76" s="103">
        <v>6</v>
      </c>
      <c r="C76" s="20" t="s">
        <v>176</v>
      </c>
      <c r="D76" s="20" t="s">
        <v>177</v>
      </c>
      <c r="E76" s="20"/>
      <c r="F76" s="20"/>
    </row>
    <row r="77" spans="2:6" x14ac:dyDescent="0.2">
      <c r="B77" s="103"/>
      <c r="C77" s="20"/>
      <c r="D77" s="20" t="s">
        <v>178</v>
      </c>
      <c r="E77" s="20"/>
      <c r="F77" s="20"/>
    </row>
    <row r="78" spans="2:6" x14ac:dyDescent="0.2">
      <c r="B78" s="103"/>
      <c r="C78" s="20"/>
      <c r="D78" s="20"/>
      <c r="E78" s="20"/>
      <c r="F78" s="20"/>
    </row>
    <row r="79" spans="2:6" x14ac:dyDescent="0.2">
      <c r="B79" s="103">
        <v>7</v>
      </c>
      <c r="C79" s="20" t="s">
        <v>179</v>
      </c>
      <c r="D79" s="20" t="s">
        <v>180</v>
      </c>
      <c r="E79" s="20"/>
      <c r="F79" s="20"/>
    </row>
    <row r="80" spans="2:6" x14ac:dyDescent="0.2">
      <c r="B80" s="103"/>
      <c r="C80" s="20"/>
      <c r="D80" s="20" t="s">
        <v>181</v>
      </c>
      <c r="E80" s="20"/>
      <c r="F80" s="20"/>
    </row>
    <row r="81" spans="2:6" x14ac:dyDescent="0.2">
      <c r="B81" s="103"/>
      <c r="C81" s="20"/>
      <c r="D81" s="20"/>
      <c r="E81" s="20"/>
      <c r="F81" s="20"/>
    </row>
    <row r="82" spans="2:6" x14ac:dyDescent="0.2">
      <c r="B82" s="103">
        <v>8</v>
      </c>
      <c r="C82" s="20" t="s">
        <v>182</v>
      </c>
      <c r="D82" s="20" t="s">
        <v>183</v>
      </c>
      <c r="E82" s="20" t="s">
        <v>185</v>
      </c>
      <c r="F82" s="20"/>
    </row>
    <row r="83" spans="2:6" x14ac:dyDescent="0.2">
      <c r="B83" s="103"/>
      <c r="C83" s="20"/>
      <c r="D83" s="20" t="s">
        <v>184</v>
      </c>
      <c r="E83" s="20" t="s">
        <v>186</v>
      </c>
      <c r="F83" s="20"/>
    </row>
    <row r="84" spans="2:6" x14ac:dyDescent="0.2">
      <c r="B84" s="103"/>
      <c r="C84" s="20"/>
      <c r="D84" s="20"/>
      <c r="E84" s="20"/>
      <c r="F84" s="20"/>
    </row>
    <row r="85" spans="2:6" x14ac:dyDescent="0.2">
      <c r="B85" s="103">
        <v>9</v>
      </c>
      <c r="C85" s="20" t="s">
        <v>187</v>
      </c>
      <c r="D85" s="20" t="s">
        <v>188</v>
      </c>
      <c r="E85" s="23"/>
      <c r="F85" s="20"/>
    </row>
    <row r="86" spans="2:6" x14ac:dyDescent="0.2">
      <c r="B86" s="103"/>
      <c r="C86" s="20"/>
      <c r="D86" s="20" t="s">
        <v>189</v>
      </c>
      <c r="E86" s="20"/>
      <c r="F86" s="20"/>
    </row>
    <row r="87" spans="2:6" x14ac:dyDescent="0.2">
      <c r="B87" s="103"/>
      <c r="C87" s="20"/>
      <c r="D87" s="20" t="s">
        <v>190</v>
      </c>
      <c r="E87" s="20"/>
      <c r="F87" s="20"/>
    </row>
    <row r="88" spans="2:6" ht="25.5" x14ac:dyDescent="0.2">
      <c r="B88" s="103"/>
      <c r="C88" s="20"/>
      <c r="D88" s="109" t="s">
        <v>210</v>
      </c>
      <c r="E88" s="23" t="s">
        <v>211</v>
      </c>
      <c r="F88" s="20"/>
    </row>
    <row r="89" spans="2:6" x14ac:dyDescent="0.2">
      <c r="B89" s="103"/>
      <c r="C89" s="20"/>
      <c r="D89" s="20" t="s">
        <v>191</v>
      </c>
      <c r="E89" s="20"/>
      <c r="F89" s="20"/>
    </row>
    <row r="90" spans="2:6" x14ac:dyDescent="0.2">
      <c r="B90" s="103"/>
      <c r="C90" s="20"/>
      <c r="D90" s="20"/>
      <c r="E90" s="20"/>
      <c r="F90" s="20"/>
    </row>
    <row r="91" spans="2:6" x14ac:dyDescent="0.2">
      <c r="B91" s="103">
        <v>10</v>
      </c>
      <c r="C91" s="20" t="s">
        <v>110</v>
      </c>
      <c r="D91" s="20" t="s">
        <v>192</v>
      </c>
      <c r="E91" s="20"/>
      <c r="F91" s="20"/>
    </row>
    <row r="92" spans="2:6" x14ac:dyDescent="0.2">
      <c r="B92" s="103"/>
      <c r="C92" s="20"/>
      <c r="D92" s="20"/>
      <c r="E92" s="20"/>
      <c r="F92" s="20"/>
    </row>
    <row r="93" spans="2:6" x14ac:dyDescent="0.2">
      <c r="B93" s="103">
        <v>11</v>
      </c>
      <c r="C93" s="20" t="s">
        <v>193</v>
      </c>
      <c r="D93" s="20" t="s">
        <v>194</v>
      </c>
      <c r="E93" s="20"/>
      <c r="F93" s="20"/>
    </row>
    <row r="94" spans="2:6" x14ac:dyDescent="0.2">
      <c r="B94" s="103"/>
      <c r="C94" s="20"/>
      <c r="D94" s="20"/>
      <c r="E94" s="20"/>
      <c r="F94" s="20"/>
    </row>
    <row r="95" spans="2:6" x14ac:dyDescent="0.2">
      <c r="B95" s="103">
        <v>12</v>
      </c>
      <c r="C95" s="20" t="s">
        <v>195</v>
      </c>
      <c r="D95" s="20" t="s">
        <v>77</v>
      </c>
      <c r="E95" s="20" t="s">
        <v>206</v>
      </c>
      <c r="F95" s="20"/>
    </row>
    <row r="96" spans="2:6" x14ac:dyDescent="0.2">
      <c r="B96" s="103"/>
      <c r="C96" s="20"/>
      <c r="D96" s="20" t="s">
        <v>204</v>
      </c>
      <c r="E96" s="20" t="s">
        <v>207</v>
      </c>
      <c r="F96" s="20"/>
    </row>
    <row r="97" spans="2:6" x14ac:dyDescent="0.2">
      <c r="B97" s="103"/>
      <c r="C97" s="20"/>
      <c r="D97" s="20"/>
      <c r="E97" s="20" t="s">
        <v>205</v>
      </c>
      <c r="F97" s="20"/>
    </row>
    <row r="98" spans="2:6" x14ac:dyDescent="0.2">
      <c r="B98" s="103"/>
      <c r="C98" s="20"/>
      <c r="D98" s="20"/>
      <c r="E98" s="20"/>
      <c r="F98" s="20"/>
    </row>
    <row r="99" spans="2:6" x14ac:dyDescent="0.2">
      <c r="B99" s="103">
        <v>13</v>
      </c>
      <c r="C99" s="20" t="s">
        <v>196</v>
      </c>
      <c r="D99" s="20" t="s">
        <v>197</v>
      </c>
      <c r="E99" s="20"/>
      <c r="F99" s="20"/>
    </row>
    <row r="100" spans="2:6" x14ac:dyDescent="0.2">
      <c r="B100" s="103"/>
      <c r="C100" s="20"/>
      <c r="D100" s="20" t="s">
        <v>198</v>
      </c>
      <c r="E100" s="20"/>
      <c r="F100" s="20"/>
    </row>
    <row r="101" spans="2:6" x14ac:dyDescent="0.2">
      <c r="B101" s="103"/>
      <c r="C101" s="20"/>
      <c r="D101" s="20" t="s">
        <v>199</v>
      </c>
      <c r="E101" s="20"/>
      <c r="F101" s="20"/>
    </row>
    <row r="102" spans="2:6" x14ac:dyDescent="0.2">
      <c r="B102" s="103"/>
      <c r="C102" s="20"/>
      <c r="D102" s="20"/>
      <c r="E102" s="20"/>
      <c r="F102" s="20"/>
    </row>
    <row r="103" spans="2:6" x14ac:dyDescent="0.2">
      <c r="B103" s="103">
        <v>14</v>
      </c>
      <c r="C103" s="20" t="s">
        <v>200</v>
      </c>
      <c r="D103" s="20" t="s">
        <v>201</v>
      </c>
      <c r="E103" s="20" t="s">
        <v>203</v>
      </c>
      <c r="F103" s="20"/>
    </row>
    <row r="104" spans="2:6" x14ac:dyDescent="0.2">
      <c r="B104" s="103"/>
      <c r="C104" s="20"/>
      <c r="D104" s="20" t="s">
        <v>202</v>
      </c>
      <c r="E104" s="20"/>
      <c r="F104" s="20"/>
    </row>
    <row r="105" spans="2:6" x14ac:dyDescent="0.2">
      <c r="B105" s="103"/>
      <c r="C105" s="20"/>
      <c r="D105" s="20"/>
      <c r="E105" s="20"/>
      <c r="F105" s="20"/>
    </row>
    <row r="106" spans="2:6" x14ac:dyDescent="0.2">
      <c r="B106" s="103"/>
      <c r="C106" s="20"/>
      <c r="D106" s="20"/>
      <c r="E106" s="20"/>
      <c r="F106" s="20"/>
    </row>
    <row r="107" spans="2:6" x14ac:dyDescent="0.2">
      <c r="B107" s="103"/>
      <c r="C107" s="20"/>
      <c r="D107" s="20"/>
      <c r="E107" s="20"/>
      <c r="F107" s="20"/>
    </row>
    <row r="108" spans="2:6" x14ac:dyDescent="0.2">
      <c r="B108" s="103"/>
      <c r="C108" s="20"/>
      <c r="D108" s="20"/>
      <c r="E108" s="20"/>
      <c r="F108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63"/>
  <sheetViews>
    <sheetView topLeftCell="A34" zoomScale="80" zoomScaleNormal="80" workbookViewId="0">
      <selection activeCell="C70" sqref="C70"/>
    </sheetView>
  </sheetViews>
  <sheetFormatPr defaultRowHeight="12.75" x14ac:dyDescent="0.2"/>
  <cols>
    <col min="1" max="1" width="9.140625" style="104"/>
    <col min="2" max="2" width="59.42578125" style="104" bestFit="1" customWidth="1"/>
    <col min="3" max="3" width="12.28515625" style="104" bestFit="1" customWidth="1"/>
    <col min="4" max="4" width="40" style="104" bestFit="1" customWidth="1"/>
    <col min="5" max="16384" width="9.140625" style="104"/>
  </cols>
  <sheetData>
    <row r="2" spans="2:7" ht="18" x14ac:dyDescent="0.25">
      <c r="B2" s="125" t="s">
        <v>263</v>
      </c>
    </row>
    <row r="3" spans="2:7" x14ac:dyDescent="0.2">
      <c r="B3" s="20"/>
      <c r="C3" s="20"/>
      <c r="D3" s="20"/>
      <c r="E3" s="20"/>
      <c r="F3" s="20"/>
      <c r="G3" s="20"/>
    </row>
    <row r="4" spans="2:7" x14ac:dyDescent="0.2">
      <c r="B4" s="20" t="s">
        <v>114</v>
      </c>
      <c r="C4" s="113">
        <v>136</v>
      </c>
      <c r="D4" s="20"/>
      <c r="E4" s="20"/>
      <c r="F4" s="20"/>
      <c r="G4" s="20"/>
    </row>
    <row r="5" spans="2:7" x14ac:dyDescent="0.2">
      <c r="B5" s="20"/>
      <c r="C5" s="20"/>
      <c r="D5" s="20"/>
      <c r="E5" s="20"/>
      <c r="F5" s="20"/>
      <c r="G5" s="20"/>
    </row>
    <row r="6" spans="2:7" x14ac:dyDescent="0.2">
      <c r="B6" s="108" t="s">
        <v>98</v>
      </c>
      <c r="C6" s="20"/>
      <c r="D6" s="20"/>
      <c r="E6" s="20"/>
      <c r="F6" s="20"/>
      <c r="G6" s="20"/>
    </row>
    <row r="7" spans="2:7" x14ac:dyDescent="0.2">
      <c r="B7" s="20" t="s">
        <v>99</v>
      </c>
      <c r="C7" s="131">
        <v>125</v>
      </c>
      <c r="D7" s="20"/>
      <c r="E7" s="20"/>
      <c r="F7" s="20"/>
      <c r="G7" s="20"/>
    </row>
    <row r="8" spans="2:7" x14ac:dyDescent="0.2">
      <c r="B8" s="20" t="s">
        <v>25</v>
      </c>
      <c r="C8" s="131">
        <v>136</v>
      </c>
      <c r="D8" s="20"/>
      <c r="E8" s="20"/>
      <c r="F8" s="20"/>
      <c r="G8" s="20"/>
    </row>
    <row r="9" spans="2:7" x14ac:dyDescent="0.2">
      <c r="B9" s="20" t="s">
        <v>100</v>
      </c>
      <c r="C9" s="110">
        <f>C7/C8</f>
        <v>0.91911764705882348</v>
      </c>
      <c r="D9" s="20" t="s">
        <v>270</v>
      </c>
      <c r="E9" s="20"/>
      <c r="F9" s="20"/>
      <c r="G9" s="20"/>
    </row>
    <row r="10" spans="2:7" x14ac:dyDescent="0.2">
      <c r="B10" s="20"/>
      <c r="C10" s="20"/>
      <c r="D10" s="20"/>
      <c r="E10" s="20"/>
      <c r="F10" s="20"/>
      <c r="G10" s="20"/>
    </row>
    <row r="11" spans="2:7" x14ac:dyDescent="0.2">
      <c r="B11" s="108" t="s">
        <v>101</v>
      </c>
      <c r="C11" s="20"/>
      <c r="D11" s="20"/>
      <c r="E11" s="20"/>
      <c r="F11" s="20"/>
      <c r="G11" s="20"/>
    </row>
    <row r="12" spans="2:7" x14ac:dyDescent="0.2">
      <c r="B12" s="20" t="s">
        <v>25</v>
      </c>
      <c r="C12" s="131">
        <v>136</v>
      </c>
      <c r="D12" s="20"/>
      <c r="E12" s="20"/>
      <c r="F12" s="20"/>
      <c r="G12" s="20"/>
    </row>
    <row r="13" spans="2:7" x14ac:dyDescent="0.2">
      <c r="B13" s="20" t="s">
        <v>102</v>
      </c>
      <c r="C13" s="131">
        <v>136</v>
      </c>
      <c r="D13" s="20"/>
      <c r="E13" s="20"/>
      <c r="F13" s="20"/>
      <c r="G13" s="20"/>
    </row>
    <row r="14" spans="2:7" x14ac:dyDescent="0.2">
      <c r="B14" s="20" t="s">
        <v>103</v>
      </c>
      <c r="C14" s="131">
        <v>100</v>
      </c>
      <c r="D14" s="20"/>
      <c r="E14" s="20"/>
      <c r="F14" s="20"/>
      <c r="G14" s="20"/>
    </row>
    <row r="15" spans="2:7" x14ac:dyDescent="0.2">
      <c r="B15" s="20" t="s">
        <v>104</v>
      </c>
      <c r="C15" s="20">
        <f>C14*C12</f>
        <v>13600</v>
      </c>
      <c r="D15" s="20" t="s">
        <v>270</v>
      </c>
      <c r="E15" s="20"/>
      <c r="F15" s="20"/>
      <c r="G15" s="20"/>
    </row>
    <row r="16" spans="2:7" x14ac:dyDescent="0.2">
      <c r="B16" s="20"/>
      <c r="C16" s="20"/>
      <c r="D16" s="20"/>
      <c r="E16" s="20"/>
      <c r="F16" s="20"/>
      <c r="G16" s="20"/>
    </row>
    <row r="17" spans="2:7" x14ac:dyDescent="0.2">
      <c r="B17" s="108" t="s">
        <v>112</v>
      </c>
      <c r="C17" s="20"/>
      <c r="D17" s="20"/>
      <c r="E17" s="20"/>
      <c r="F17" s="20"/>
      <c r="G17" s="20"/>
    </row>
    <row r="18" spans="2:7" x14ac:dyDescent="0.2">
      <c r="B18" s="20" t="s">
        <v>114</v>
      </c>
      <c r="C18" s="131">
        <v>136</v>
      </c>
      <c r="D18" s="20"/>
      <c r="E18" s="20"/>
      <c r="F18" s="20"/>
      <c r="G18" s="20"/>
    </row>
    <row r="19" spans="2:7" x14ac:dyDescent="0.2">
      <c r="B19" s="20" t="s">
        <v>115</v>
      </c>
      <c r="C19" s="111">
        <v>0.08</v>
      </c>
      <c r="D19" s="20"/>
      <c r="E19" s="20"/>
      <c r="F19" s="20"/>
      <c r="G19" s="20"/>
    </row>
    <row r="20" spans="2:7" x14ac:dyDescent="0.2">
      <c r="B20" s="20" t="s">
        <v>116</v>
      </c>
      <c r="C20" s="112">
        <f>C18/C19</f>
        <v>1700</v>
      </c>
      <c r="D20" s="20" t="s">
        <v>270</v>
      </c>
      <c r="E20" s="20"/>
      <c r="F20" s="20"/>
      <c r="G20" s="20"/>
    </row>
    <row r="21" spans="2:7" x14ac:dyDescent="0.2">
      <c r="B21" s="20"/>
      <c r="C21" s="20"/>
      <c r="D21" s="20"/>
      <c r="E21" s="20"/>
      <c r="F21" s="20"/>
      <c r="G21" s="20"/>
    </row>
    <row r="22" spans="2:7" x14ac:dyDescent="0.2">
      <c r="B22" s="108" t="s">
        <v>227</v>
      </c>
      <c r="C22" s="20"/>
      <c r="D22" s="20"/>
      <c r="E22" s="20"/>
      <c r="F22" s="20"/>
      <c r="G22" s="20"/>
    </row>
    <row r="23" spans="2:7" x14ac:dyDescent="0.2">
      <c r="B23" s="20" t="s">
        <v>99</v>
      </c>
      <c r="C23" s="131">
        <v>125</v>
      </c>
      <c r="D23" s="20"/>
      <c r="E23" s="20"/>
      <c r="F23" s="20"/>
      <c r="G23" s="20"/>
    </row>
    <row r="24" spans="2:7" x14ac:dyDescent="0.2">
      <c r="B24" s="20" t="s">
        <v>114</v>
      </c>
      <c r="C24" s="131">
        <v>136</v>
      </c>
      <c r="D24" s="20"/>
      <c r="E24" s="20"/>
      <c r="F24" s="20"/>
      <c r="G24" s="20"/>
    </row>
    <row r="25" spans="2:7" x14ac:dyDescent="0.2">
      <c r="B25" s="20" t="s">
        <v>228</v>
      </c>
      <c r="C25" s="20">
        <f>C23/C24</f>
        <v>0.91911764705882348</v>
      </c>
      <c r="D25" s="20"/>
      <c r="E25" s="20"/>
      <c r="F25" s="20"/>
      <c r="G25" s="20"/>
    </row>
    <row r="26" spans="2:7" x14ac:dyDescent="0.2">
      <c r="B26" s="20" t="s">
        <v>77</v>
      </c>
      <c r="C26" s="131">
        <v>136</v>
      </c>
      <c r="D26" s="20"/>
      <c r="E26" s="20"/>
      <c r="F26" s="20"/>
      <c r="G26" s="20"/>
    </row>
    <row r="27" spans="2:7" x14ac:dyDescent="0.2">
      <c r="B27" s="20" t="s">
        <v>229</v>
      </c>
      <c r="C27" s="132">
        <v>1</v>
      </c>
      <c r="D27" s="20"/>
      <c r="E27" s="20"/>
      <c r="F27" s="20"/>
      <c r="G27" s="20"/>
    </row>
    <row r="28" spans="2:7" x14ac:dyDescent="0.2">
      <c r="B28" s="20" t="s">
        <v>230</v>
      </c>
      <c r="C28" s="22">
        <v>139.13</v>
      </c>
      <c r="D28" s="20"/>
      <c r="E28" s="20"/>
      <c r="F28" s="20"/>
      <c r="G28" s="20"/>
    </row>
    <row r="29" spans="2:7" x14ac:dyDescent="0.2">
      <c r="B29" s="20" t="s">
        <v>231</v>
      </c>
      <c r="C29" s="133">
        <v>2.5499999999999998E-2</v>
      </c>
      <c r="D29" s="20"/>
      <c r="E29" s="20"/>
      <c r="F29" s="20"/>
      <c r="G29" s="20"/>
    </row>
    <row r="30" spans="2:7" x14ac:dyDescent="0.2">
      <c r="B30" s="20" t="s">
        <v>232</v>
      </c>
      <c r="C30" s="133">
        <v>3.1899999999999998E-2</v>
      </c>
      <c r="D30" s="20"/>
      <c r="E30" s="20"/>
      <c r="F30" s="20"/>
      <c r="G30" s="20"/>
    </row>
    <row r="31" spans="2:7" x14ac:dyDescent="0.2">
      <c r="B31" s="20" t="s">
        <v>233</v>
      </c>
      <c r="C31" s="133"/>
      <c r="D31" s="20"/>
      <c r="E31" s="20"/>
      <c r="F31" s="20"/>
      <c r="G31" s="20"/>
    </row>
    <row r="32" spans="2:7" x14ac:dyDescent="0.2">
      <c r="B32" s="20" t="s">
        <v>269</v>
      </c>
      <c r="C32" s="133">
        <v>3.44E-2</v>
      </c>
      <c r="D32" s="20"/>
      <c r="E32" s="20"/>
      <c r="F32" s="20"/>
      <c r="G32" s="20"/>
    </row>
    <row r="33" spans="2:7" x14ac:dyDescent="0.2">
      <c r="B33" s="20" t="s">
        <v>268</v>
      </c>
      <c r="C33" s="133">
        <v>0.1241</v>
      </c>
      <c r="D33" s="20"/>
      <c r="E33" s="20"/>
      <c r="F33" s="20"/>
      <c r="G33" s="20"/>
    </row>
    <row r="34" spans="2:7" x14ac:dyDescent="0.2">
      <c r="B34" s="20"/>
      <c r="C34" s="20"/>
      <c r="D34" s="20"/>
      <c r="E34" s="20"/>
      <c r="F34" s="20"/>
      <c r="G34" s="20"/>
    </row>
    <row r="35" spans="2:7" x14ac:dyDescent="0.2">
      <c r="B35" s="20"/>
      <c r="C35" s="20"/>
      <c r="D35" s="20"/>
      <c r="E35" s="20"/>
      <c r="F35" s="20"/>
      <c r="G35" s="20"/>
    </row>
    <row r="36" spans="2:7" x14ac:dyDescent="0.2">
      <c r="B36" s="108" t="s">
        <v>187</v>
      </c>
      <c r="C36" s="20"/>
      <c r="D36" s="20"/>
      <c r="E36" s="20"/>
      <c r="F36" s="20"/>
      <c r="G36" s="20"/>
    </row>
    <row r="37" spans="2:7" x14ac:dyDescent="0.2">
      <c r="B37" s="20" t="s">
        <v>215</v>
      </c>
      <c r="C37" s="131">
        <v>3141.2</v>
      </c>
      <c r="D37" s="20"/>
      <c r="E37" s="20"/>
      <c r="F37" s="20"/>
      <c r="G37" s="20"/>
    </row>
    <row r="38" spans="2:7" x14ac:dyDescent="0.2">
      <c r="B38" s="20" t="s">
        <v>216</v>
      </c>
      <c r="C38" s="131">
        <v>3384.26</v>
      </c>
      <c r="D38" s="20"/>
      <c r="E38" s="20"/>
      <c r="F38" s="20"/>
      <c r="G38" s="20"/>
    </row>
    <row r="39" spans="2:7" x14ac:dyDescent="0.2">
      <c r="B39" s="20" t="s">
        <v>34</v>
      </c>
      <c r="C39" s="131">
        <v>92.03</v>
      </c>
      <c r="D39" s="20"/>
      <c r="E39" s="20"/>
      <c r="F39" s="20"/>
      <c r="G39" s="20"/>
    </row>
    <row r="40" spans="2:7" x14ac:dyDescent="0.2">
      <c r="B40" s="20" t="s">
        <v>217</v>
      </c>
      <c r="C40" s="131">
        <v>31.09</v>
      </c>
      <c r="D40" s="20"/>
      <c r="E40" s="20"/>
      <c r="F40" s="20"/>
      <c r="G40" s="20"/>
    </row>
    <row r="41" spans="2:7" x14ac:dyDescent="0.2">
      <c r="B41" s="20" t="s">
        <v>218</v>
      </c>
      <c r="C41" s="131">
        <v>1005.03</v>
      </c>
      <c r="D41" s="20"/>
      <c r="E41" s="20"/>
      <c r="F41" s="20"/>
      <c r="G41" s="20"/>
    </row>
    <row r="42" spans="2:7" x14ac:dyDescent="0.2">
      <c r="B42" s="20"/>
      <c r="C42" s="20"/>
      <c r="D42" s="20"/>
      <c r="E42" s="20"/>
      <c r="F42" s="20"/>
      <c r="G42" s="20"/>
    </row>
    <row r="43" spans="2:7" x14ac:dyDescent="0.2">
      <c r="B43" s="23" t="s">
        <v>212</v>
      </c>
      <c r="C43" s="131">
        <v>281.95</v>
      </c>
      <c r="D43" s="20"/>
      <c r="E43" s="20"/>
      <c r="F43" s="20"/>
      <c r="G43" s="20"/>
    </row>
    <row r="44" spans="2:7" x14ac:dyDescent="0.2">
      <c r="B44" s="20" t="s">
        <v>264</v>
      </c>
      <c r="C44" s="25">
        <f>C43/(C40+C41)</f>
        <v>0.27212098984673594</v>
      </c>
      <c r="D44" s="20" t="s">
        <v>220</v>
      </c>
      <c r="E44" s="20"/>
      <c r="F44" s="20"/>
      <c r="G44" s="20"/>
    </row>
    <row r="45" spans="2:7" x14ac:dyDescent="0.2">
      <c r="B45" s="20" t="s">
        <v>223</v>
      </c>
      <c r="C45" s="25">
        <f>C43/C39</f>
        <v>3.0636748886232748</v>
      </c>
      <c r="D45" s="20" t="s">
        <v>221</v>
      </c>
      <c r="E45" s="20"/>
      <c r="F45" s="20"/>
      <c r="G45" s="20"/>
    </row>
    <row r="46" spans="2:7" x14ac:dyDescent="0.2">
      <c r="B46" s="20"/>
      <c r="C46" s="25"/>
      <c r="D46" s="20"/>
      <c r="E46" s="20"/>
      <c r="F46" s="20"/>
      <c r="G46" s="20"/>
    </row>
    <row r="47" spans="2:7" x14ac:dyDescent="0.2">
      <c r="B47" s="23" t="s">
        <v>213</v>
      </c>
      <c r="C47" s="131">
        <v>171.6</v>
      </c>
      <c r="D47" s="20"/>
      <c r="E47" s="20"/>
      <c r="F47" s="20"/>
      <c r="G47" s="20"/>
    </row>
    <row r="48" spans="2:7" x14ac:dyDescent="0.2">
      <c r="B48" s="20" t="s">
        <v>265</v>
      </c>
      <c r="C48" s="25">
        <f>C47/(C40+C41)</f>
        <v>0.16561788209859862</v>
      </c>
      <c r="D48" s="20" t="s">
        <v>220</v>
      </c>
      <c r="E48" s="20"/>
      <c r="F48" s="20"/>
      <c r="G48" s="20"/>
    </row>
    <row r="49" spans="2:7" x14ac:dyDescent="0.2">
      <c r="B49" s="20" t="s">
        <v>224</v>
      </c>
      <c r="C49" s="25">
        <f>C47/C39</f>
        <v>1.8646093665109202</v>
      </c>
      <c r="D49" s="20" t="s">
        <v>222</v>
      </c>
      <c r="E49" s="20"/>
      <c r="F49" s="20"/>
      <c r="G49" s="20"/>
    </row>
    <row r="50" spans="2:7" x14ac:dyDescent="0.2">
      <c r="B50" s="20"/>
      <c r="C50" s="25"/>
      <c r="D50" s="20"/>
      <c r="E50" s="20"/>
      <c r="F50" s="20"/>
      <c r="G50" s="20"/>
    </row>
    <row r="51" spans="2:7" x14ac:dyDescent="0.2">
      <c r="B51" s="23" t="s">
        <v>214</v>
      </c>
      <c r="C51" s="131">
        <v>110.33</v>
      </c>
      <c r="D51" s="20"/>
      <c r="E51" s="20"/>
      <c r="F51" s="20"/>
      <c r="G51" s="20"/>
    </row>
    <row r="52" spans="2:7" x14ac:dyDescent="0.2">
      <c r="B52" s="20" t="s">
        <v>266</v>
      </c>
      <c r="C52" s="25">
        <f>C51/(C40+C41)</f>
        <v>0.10648380496467591</v>
      </c>
      <c r="D52" s="20" t="s">
        <v>220</v>
      </c>
      <c r="E52" s="20"/>
      <c r="F52" s="20"/>
      <c r="G52" s="20"/>
    </row>
    <row r="53" spans="2:7" x14ac:dyDescent="0.2">
      <c r="B53" s="20" t="s">
        <v>225</v>
      </c>
      <c r="C53" s="25">
        <f>C51/C39</f>
        <v>1.1988482016733673</v>
      </c>
      <c r="D53" s="20" t="s">
        <v>222</v>
      </c>
      <c r="E53" s="20"/>
      <c r="F53" s="20"/>
      <c r="G53" s="20"/>
    </row>
    <row r="54" spans="2:7" x14ac:dyDescent="0.2">
      <c r="B54" s="20"/>
      <c r="C54" s="20"/>
      <c r="D54" s="20"/>
      <c r="E54" s="20"/>
      <c r="F54" s="20"/>
      <c r="G54" s="20"/>
    </row>
    <row r="55" spans="2:7" x14ac:dyDescent="0.2">
      <c r="B55" s="23" t="s">
        <v>219</v>
      </c>
      <c r="C55" s="131">
        <v>1320.99</v>
      </c>
      <c r="D55" s="20"/>
      <c r="E55" s="20"/>
      <c r="F55" s="20"/>
      <c r="G55" s="20"/>
    </row>
    <row r="56" spans="2:7" x14ac:dyDescent="0.2">
      <c r="B56" s="20" t="s">
        <v>267</v>
      </c>
      <c r="C56" s="25">
        <f>C55/(C40+C41)</f>
        <v>1.2749391962320968</v>
      </c>
      <c r="D56" s="20" t="s">
        <v>220</v>
      </c>
      <c r="E56" s="20"/>
      <c r="F56" s="20"/>
      <c r="G56" s="20"/>
    </row>
    <row r="57" spans="2:7" x14ac:dyDescent="0.2">
      <c r="B57" s="20" t="s">
        <v>226</v>
      </c>
      <c r="C57" s="25">
        <f>C55/C39</f>
        <v>14.353906334890796</v>
      </c>
      <c r="D57" s="20" t="s">
        <v>222</v>
      </c>
      <c r="E57" s="20"/>
      <c r="F57" s="20"/>
      <c r="G57" s="20"/>
    </row>
    <row r="58" spans="2:7" x14ac:dyDescent="0.2">
      <c r="B58" s="20"/>
      <c r="C58" s="20"/>
      <c r="D58" s="20"/>
      <c r="E58" s="20"/>
      <c r="F58" s="20"/>
      <c r="G58" s="20"/>
    </row>
    <row r="59" spans="2:7" x14ac:dyDescent="0.2">
      <c r="B59" s="20"/>
      <c r="C59" s="25"/>
      <c r="D59" s="20"/>
      <c r="E59" s="20"/>
      <c r="F59" s="20"/>
      <c r="G59" s="20"/>
    </row>
    <row r="60" spans="2:7" x14ac:dyDescent="0.2">
      <c r="B60" s="20"/>
      <c r="C60" s="25"/>
      <c r="D60" s="20"/>
      <c r="E60" s="20"/>
      <c r="F60" s="20"/>
      <c r="G60" s="20"/>
    </row>
    <row r="61" spans="2:7" x14ac:dyDescent="0.2">
      <c r="B61" s="20"/>
      <c r="C61" s="20"/>
      <c r="D61" s="20"/>
      <c r="E61" s="20"/>
      <c r="F61" s="20"/>
      <c r="G61" s="20"/>
    </row>
    <row r="62" spans="2:7" x14ac:dyDescent="0.2">
      <c r="B62" s="20"/>
      <c r="C62" s="20"/>
      <c r="D62" s="20"/>
      <c r="E62" s="20"/>
      <c r="F62" s="20"/>
      <c r="G62" s="20"/>
    </row>
    <row r="63" spans="2:7" x14ac:dyDescent="0.2">
      <c r="B63" s="20"/>
      <c r="C63" s="20"/>
      <c r="D63" s="20"/>
      <c r="E63" s="20"/>
      <c r="F63" s="20"/>
      <c r="G63" s="2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B74"/>
  <sheetViews>
    <sheetView tabSelected="1" zoomScale="80" zoomScaleNormal="80" workbookViewId="0">
      <selection activeCell="N21" sqref="N21:O21"/>
    </sheetView>
  </sheetViews>
  <sheetFormatPr defaultRowHeight="12.75" x14ac:dyDescent="0.2"/>
  <cols>
    <col min="1" max="1" width="4.7109375" style="104" customWidth="1"/>
    <col min="2" max="2" width="41" style="104" bestFit="1" customWidth="1"/>
    <col min="3" max="4" width="8.140625" style="104" bestFit="1" customWidth="1"/>
    <col min="5" max="14" width="8.7109375" style="104" bestFit="1" customWidth="1"/>
    <col min="15" max="15" width="9.42578125" style="104" bestFit="1" customWidth="1"/>
    <col min="16" max="16" width="9.85546875" style="104" bestFit="1" customWidth="1"/>
    <col min="17" max="17" width="10.5703125" style="104" bestFit="1" customWidth="1"/>
    <col min="18" max="18" width="12" style="104" bestFit="1" customWidth="1"/>
    <col min="19" max="16384" width="9.140625" style="104"/>
  </cols>
  <sheetData>
    <row r="2" spans="2:28" x14ac:dyDescent="0.2">
      <c r="B2" s="123" t="s">
        <v>241</v>
      </c>
      <c r="C2" s="124">
        <v>0.22</v>
      </c>
      <c r="F2" s="104" t="s">
        <v>252</v>
      </c>
      <c r="H2" s="126">
        <v>2008</v>
      </c>
    </row>
    <row r="3" spans="2:28" x14ac:dyDescent="0.2">
      <c r="C3" s="120"/>
      <c r="F3" s="104" t="s">
        <v>253</v>
      </c>
      <c r="H3" s="126">
        <v>2012</v>
      </c>
      <c r="R3" s="115" t="s">
        <v>11</v>
      </c>
      <c r="S3" s="115" t="s">
        <v>12</v>
      </c>
      <c r="T3" s="115" t="s">
        <v>13</v>
      </c>
      <c r="U3" s="115" t="s">
        <v>14</v>
      </c>
      <c r="V3" s="115" t="s">
        <v>15</v>
      </c>
      <c r="W3" s="115" t="s">
        <v>234</v>
      </c>
      <c r="X3" s="115" t="s">
        <v>235</v>
      </c>
      <c r="Y3" s="115" t="s">
        <v>236</v>
      </c>
      <c r="Z3" s="115" t="s">
        <v>237</v>
      </c>
      <c r="AA3" s="115" t="s">
        <v>238</v>
      </c>
    </row>
    <row r="4" spans="2:28" x14ac:dyDescent="0.2">
      <c r="B4" s="20"/>
      <c r="C4" s="114">
        <v>2000</v>
      </c>
      <c r="D4" s="114">
        <v>2001</v>
      </c>
      <c r="E4" s="114">
        <v>2002</v>
      </c>
      <c r="F4" s="114">
        <v>2003</v>
      </c>
      <c r="G4" s="114">
        <v>2004</v>
      </c>
      <c r="H4" s="114">
        <v>2005</v>
      </c>
      <c r="I4" s="114">
        <v>2006</v>
      </c>
      <c r="J4" s="114">
        <v>2007</v>
      </c>
      <c r="K4" s="114">
        <v>2008</v>
      </c>
      <c r="L4" s="114">
        <v>2009</v>
      </c>
      <c r="M4" s="114">
        <v>2010</v>
      </c>
      <c r="N4" s="114">
        <v>2011</v>
      </c>
      <c r="O4" s="114">
        <v>2012</v>
      </c>
      <c r="P4" s="116" t="s">
        <v>1</v>
      </c>
      <c r="Q4" s="116" t="s">
        <v>254</v>
      </c>
      <c r="R4" s="115">
        <v>2013</v>
      </c>
      <c r="S4" s="115">
        <v>2014</v>
      </c>
      <c r="T4" s="115">
        <v>2015</v>
      </c>
      <c r="U4" s="115">
        <v>2016</v>
      </c>
      <c r="V4" s="115">
        <v>2017</v>
      </c>
      <c r="W4" s="115">
        <v>2018</v>
      </c>
      <c r="X4" s="115">
        <v>2019</v>
      </c>
      <c r="Y4" s="115">
        <v>2020</v>
      </c>
      <c r="Z4" s="115">
        <v>2021</v>
      </c>
      <c r="AA4" s="115">
        <v>2022</v>
      </c>
      <c r="AB4" s="116" t="s">
        <v>1</v>
      </c>
    </row>
    <row r="5" spans="2:28" x14ac:dyDescent="0.2"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117"/>
      <c r="S5" s="117"/>
      <c r="T5" s="117"/>
      <c r="U5" s="117"/>
      <c r="V5" s="117"/>
      <c r="W5" s="117"/>
      <c r="X5" s="117"/>
      <c r="Y5" s="117"/>
      <c r="Z5" s="117"/>
      <c r="AA5" s="117"/>
      <c r="AB5" s="20"/>
    </row>
    <row r="6" spans="2:28" x14ac:dyDescent="0.2">
      <c r="B6" s="108" t="s">
        <v>242</v>
      </c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117"/>
      <c r="S6" s="117"/>
      <c r="T6" s="117"/>
      <c r="U6" s="117"/>
      <c r="V6" s="117"/>
      <c r="W6" s="117"/>
      <c r="X6" s="117"/>
      <c r="Y6" s="117"/>
      <c r="Z6" s="117"/>
      <c r="AA6" s="117"/>
      <c r="AB6" s="20"/>
    </row>
    <row r="7" spans="2:28" x14ac:dyDescent="0.2">
      <c r="B7" s="20" t="s">
        <v>16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134">
        <v>2554.02</v>
      </c>
      <c r="P7" s="118" t="e">
        <f>((O7/N7)^(1/($H$3-$H$2) ))-1</f>
        <v>#DIV/0!</v>
      </c>
      <c r="Q7" s="31">
        <v>0.1</v>
      </c>
      <c r="R7" s="119">
        <f>O7*(1+$Q7)</f>
        <v>2809.422</v>
      </c>
      <c r="S7" s="119">
        <f>R7*(1+$Q7)</f>
        <v>3090.3642000000004</v>
      </c>
      <c r="T7" s="119">
        <f t="shared" ref="T7:AA7" si="0">S7*(1+$Q7)</f>
        <v>3399.4006200000008</v>
      </c>
      <c r="U7" s="119">
        <f t="shared" si="0"/>
        <v>3739.3406820000014</v>
      </c>
      <c r="V7" s="119">
        <f t="shared" si="0"/>
        <v>4113.274750200002</v>
      </c>
      <c r="W7" s="119">
        <f t="shared" si="0"/>
        <v>4524.6022252200028</v>
      </c>
      <c r="X7" s="119">
        <f t="shared" si="0"/>
        <v>4977.0624477420033</v>
      </c>
      <c r="Y7" s="119">
        <f t="shared" si="0"/>
        <v>5474.7686925162043</v>
      </c>
      <c r="Z7" s="119">
        <f t="shared" si="0"/>
        <v>6022.2455617678252</v>
      </c>
      <c r="AA7" s="119">
        <f t="shared" si="0"/>
        <v>6624.4701179446083</v>
      </c>
      <c r="AB7" s="118" t="e">
        <f>((AA7/N7)^(1/($AA$4-$H$2) ))-1</f>
        <v>#DIV/0!</v>
      </c>
    </row>
    <row r="8" spans="2:28" x14ac:dyDescent="0.2">
      <c r="B8" s="20" t="s">
        <v>240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134">
        <v>2925.73</v>
      </c>
      <c r="P8" s="118" t="e">
        <f t="shared" ref="P8:P16" si="1">((O8/N8)^(1/($H$3-$H$2) ))-1</f>
        <v>#DIV/0!</v>
      </c>
      <c r="Q8" s="31">
        <v>0.1</v>
      </c>
      <c r="R8" s="119">
        <f t="shared" ref="R8:R14" si="2">O8*(1+$Q8)</f>
        <v>3218.3030000000003</v>
      </c>
      <c r="S8" s="119">
        <f t="shared" ref="S8:AA8" si="3">R8*(1+$Q8)</f>
        <v>3540.1333000000009</v>
      </c>
      <c r="T8" s="119">
        <f t="shared" si="3"/>
        <v>3894.1466300000011</v>
      </c>
      <c r="U8" s="119">
        <f t="shared" si="3"/>
        <v>4283.5612930000016</v>
      </c>
      <c r="V8" s="119">
        <f t="shared" si="3"/>
        <v>4711.9174223000018</v>
      </c>
      <c r="W8" s="119">
        <f t="shared" si="3"/>
        <v>5183.1091645300021</v>
      </c>
      <c r="X8" s="119">
        <f t="shared" si="3"/>
        <v>5701.4200809830027</v>
      </c>
      <c r="Y8" s="119">
        <f t="shared" si="3"/>
        <v>6271.5620890813034</v>
      </c>
      <c r="Z8" s="119">
        <f t="shared" si="3"/>
        <v>6898.7182979894342</v>
      </c>
      <c r="AA8" s="119">
        <f t="shared" si="3"/>
        <v>7588.5901277883786</v>
      </c>
      <c r="AB8" s="118" t="e">
        <f>((AA8/N8)^(1/($AA$4-$H$2) ))-1</f>
        <v>#DIV/0!</v>
      </c>
    </row>
    <row r="9" spans="2:28" x14ac:dyDescent="0.2">
      <c r="B9" s="20" t="s">
        <v>273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134">
        <v>4691.46</v>
      </c>
      <c r="P9" s="118" t="e">
        <f t="shared" si="1"/>
        <v>#DIV/0!</v>
      </c>
      <c r="Q9" s="31">
        <v>0.1</v>
      </c>
      <c r="R9" s="119"/>
      <c r="S9" s="119"/>
      <c r="T9" s="119"/>
      <c r="U9" s="119"/>
      <c r="V9" s="119"/>
      <c r="W9" s="119"/>
      <c r="X9" s="119"/>
      <c r="Y9" s="119"/>
      <c r="Z9" s="119"/>
      <c r="AA9" s="119"/>
      <c r="AB9" s="118"/>
    </row>
    <row r="10" spans="2:28" x14ac:dyDescent="0.2">
      <c r="B10" s="20" t="s">
        <v>4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134">
        <v>15480.34</v>
      </c>
      <c r="P10" s="118" t="e">
        <f t="shared" si="1"/>
        <v>#DIV/0!</v>
      </c>
      <c r="Q10" s="31">
        <v>0.1</v>
      </c>
      <c r="R10" s="119">
        <f t="shared" si="2"/>
        <v>17028.374</v>
      </c>
      <c r="S10" s="119">
        <f t="shared" ref="S10:AA10" si="4">R10*(1+$Q10)</f>
        <v>18731.2114</v>
      </c>
      <c r="T10" s="119">
        <f t="shared" si="4"/>
        <v>20604.332540000003</v>
      </c>
      <c r="U10" s="119">
        <f t="shared" si="4"/>
        <v>22664.765794000006</v>
      </c>
      <c r="V10" s="119">
        <f t="shared" si="4"/>
        <v>24931.242373400008</v>
      </c>
      <c r="W10" s="119">
        <f t="shared" si="4"/>
        <v>27424.366610740009</v>
      </c>
      <c r="X10" s="119">
        <f t="shared" si="4"/>
        <v>30166.803271814013</v>
      </c>
      <c r="Y10" s="119">
        <f t="shared" si="4"/>
        <v>33183.483598995415</v>
      </c>
      <c r="Z10" s="119">
        <f t="shared" si="4"/>
        <v>36501.83195889496</v>
      </c>
      <c r="AA10" s="119">
        <f t="shared" si="4"/>
        <v>40152.015154784458</v>
      </c>
      <c r="AB10" s="118" t="e">
        <f>((AA10/N10)^(1/($AA$4-$H$2) ))-1</f>
        <v>#DIV/0!</v>
      </c>
    </row>
    <row r="11" spans="2:28" x14ac:dyDescent="0.2">
      <c r="B11" s="20" t="s">
        <v>2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134">
        <v>795.04</v>
      </c>
      <c r="P11" s="118" t="e">
        <f t="shared" si="1"/>
        <v>#DIV/0!</v>
      </c>
      <c r="Q11" s="31">
        <v>0.1</v>
      </c>
      <c r="R11" s="119">
        <f t="shared" si="2"/>
        <v>874.54399999999998</v>
      </c>
      <c r="S11" s="119">
        <f t="shared" ref="S11:AA11" si="5">R11*(1+$Q11)</f>
        <v>961.99840000000006</v>
      </c>
      <c r="T11" s="119">
        <f t="shared" si="5"/>
        <v>1058.1982400000002</v>
      </c>
      <c r="U11" s="119">
        <f t="shared" si="5"/>
        <v>1164.0180640000003</v>
      </c>
      <c r="V11" s="119">
        <f t="shared" si="5"/>
        <v>1280.4198704000005</v>
      </c>
      <c r="W11" s="119">
        <f t="shared" si="5"/>
        <v>1408.4618574400006</v>
      </c>
      <c r="X11" s="119">
        <f t="shared" si="5"/>
        <v>1549.3080431840008</v>
      </c>
      <c r="Y11" s="119">
        <f t="shared" si="5"/>
        <v>1704.2388475024011</v>
      </c>
      <c r="Z11" s="119">
        <f t="shared" si="5"/>
        <v>1874.6627322526413</v>
      </c>
      <c r="AA11" s="119">
        <f t="shared" si="5"/>
        <v>2062.1290054779056</v>
      </c>
      <c r="AB11" s="118" t="e">
        <f>((AA11/N11)^(1/($AA$4-$H$2) ))-1</f>
        <v>#DIV/0!</v>
      </c>
    </row>
    <row r="12" spans="2:28" x14ac:dyDescent="0.2">
      <c r="B12" s="20" t="s">
        <v>218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134">
        <v>97.5</v>
      </c>
      <c r="P12" s="118" t="e">
        <f t="shared" si="1"/>
        <v>#DIV/0!</v>
      </c>
      <c r="Q12" s="31">
        <v>0.1</v>
      </c>
      <c r="R12" s="119">
        <f t="shared" si="2"/>
        <v>107.25000000000001</v>
      </c>
      <c r="S12" s="119">
        <f t="shared" ref="S12:AA12" si="6">R12*(1+$Q12)</f>
        <v>117.97500000000002</v>
      </c>
      <c r="T12" s="119">
        <f t="shared" si="6"/>
        <v>129.77250000000004</v>
      </c>
      <c r="U12" s="119">
        <f t="shared" si="6"/>
        <v>142.74975000000006</v>
      </c>
      <c r="V12" s="119">
        <f t="shared" si="6"/>
        <v>157.02472500000007</v>
      </c>
      <c r="W12" s="119">
        <f t="shared" si="6"/>
        <v>172.7271975000001</v>
      </c>
      <c r="X12" s="119">
        <f t="shared" si="6"/>
        <v>189.99991725000012</v>
      </c>
      <c r="Y12" s="119">
        <f t="shared" si="6"/>
        <v>208.99990897500015</v>
      </c>
      <c r="Z12" s="119">
        <f t="shared" si="6"/>
        <v>229.89989987250019</v>
      </c>
      <c r="AA12" s="119">
        <f t="shared" si="6"/>
        <v>252.88988985975021</v>
      </c>
      <c r="AB12" s="118" t="e">
        <f>((AA12/N12)^(1/($AA$4-$H$2) ))-1</f>
        <v>#DIV/0!</v>
      </c>
    </row>
    <row r="13" spans="2:28" x14ac:dyDescent="0.2">
      <c r="B13" s="20" t="s">
        <v>19</v>
      </c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134">
        <v>1529.06</v>
      </c>
      <c r="P13" s="118" t="e">
        <f t="shared" si="1"/>
        <v>#DIV/0!</v>
      </c>
      <c r="Q13" s="31">
        <v>0.1</v>
      </c>
      <c r="R13" s="119">
        <f t="shared" si="2"/>
        <v>1681.9660000000001</v>
      </c>
      <c r="S13" s="119">
        <f t="shared" ref="S13:AA13" si="7">R13*(1+$Q13)</f>
        <v>1850.1626000000003</v>
      </c>
      <c r="T13" s="119">
        <f t="shared" si="7"/>
        <v>2035.1788600000004</v>
      </c>
      <c r="U13" s="119">
        <f t="shared" si="7"/>
        <v>2238.6967460000005</v>
      </c>
      <c r="V13" s="119">
        <f t="shared" si="7"/>
        <v>2462.5664206000006</v>
      </c>
      <c r="W13" s="119">
        <f t="shared" si="7"/>
        <v>2708.8230626600007</v>
      </c>
      <c r="X13" s="119">
        <f t="shared" si="7"/>
        <v>2979.705368926001</v>
      </c>
      <c r="Y13" s="119">
        <f t="shared" si="7"/>
        <v>3277.6759058186012</v>
      </c>
      <c r="Z13" s="119">
        <f t="shared" si="7"/>
        <v>3605.4434964004618</v>
      </c>
      <c r="AA13" s="119">
        <f t="shared" si="7"/>
        <v>3965.9878460405084</v>
      </c>
      <c r="AB13" s="118" t="e">
        <f>((AA13/N13)^(1/($AA$4-$H$2) ))-1</f>
        <v>#DIV/0!</v>
      </c>
    </row>
    <row r="14" spans="2:28" x14ac:dyDescent="0.2">
      <c r="B14" s="20" t="s">
        <v>23</v>
      </c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134"/>
      <c r="O14" s="134">
        <v>18040.330000000002</v>
      </c>
      <c r="P14" s="118" t="e">
        <f t="shared" si="1"/>
        <v>#DIV/0!</v>
      </c>
      <c r="Q14" s="31">
        <v>0.1</v>
      </c>
      <c r="R14" s="119">
        <f t="shared" si="2"/>
        <v>19844.363000000005</v>
      </c>
      <c r="S14" s="119">
        <f t="shared" ref="S14:AA14" si="8">R14*(1+$Q14)</f>
        <v>21828.799300000006</v>
      </c>
      <c r="T14" s="119">
        <f t="shared" si="8"/>
        <v>24011.679230000009</v>
      </c>
      <c r="U14" s="119">
        <f t="shared" si="8"/>
        <v>26412.847153000013</v>
      </c>
      <c r="V14" s="119">
        <f t="shared" si="8"/>
        <v>29054.131868300017</v>
      </c>
      <c r="W14" s="119">
        <f t="shared" si="8"/>
        <v>31959.54505513002</v>
      </c>
      <c r="X14" s="119">
        <f t="shared" si="8"/>
        <v>35155.499560643024</v>
      </c>
      <c r="Y14" s="119">
        <f t="shared" si="8"/>
        <v>38671.049516707331</v>
      </c>
      <c r="Z14" s="119">
        <f t="shared" si="8"/>
        <v>42538.154468378067</v>
      </c>
      <c r="AA14" s="119">
        <f t="shared" si="8"/>
        <v>46791.969915215879</v>
      </c>
      <c r="AB14" s="118" t="e">
        <f>((AA14/N14)^(1/($AA$4-$H$2) ))-1</f>
        <v>#DIV/0!</v>
      </c>
    </row>
    <row r="15" spans="2:28" x14ac:dyDescent="0.2"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129"/>
      <c r="Q15" s="129"/>
      <c r="R15" s="119"/>
      <c r="S15" s="119"/>
      <c r="T15" s="119"/>
      <c r="U15" s="119"/>
      <c r="V15" s="119"/>
      <c r="W15" s="119"/>
      <c r="X15" s="119"/>
      <c r="Y15" s="119"/>
      <c r="Z15" s="119"/>
      <c r="AA15" s="119"/>
      <c r="AB15" s="118"/>
    </row>
    <row r="16" spans="2:28" x14ac:dyDescent="0.2">
      <c r="B16" s="20" t="s">
        <v>89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134"/>
      <c r="P16" s="118" t="e">
        <f t="shared" si="1"/>
        <v>#DIV/0!</v>
      </c>
      <c r="Q16" s="31">
        <v>0.1</v>
      </c>
      <c r="R16" s="119"/>
      <c r="S16" s="119"/>
      <c r="T16" s="119"/>
      <c r="U16" s="119"/>
      <c r="V16" s="119"/>
      <c r="W16" s="119"/>
      <c r="X16" s="119"/>
      <c r="Y16" s="119"/>
      <c r="Z16" s="119"/>
      <c r="AA16" s="119"/>
      <c r="AB16" s="118"/>
    </row>
    <row r="17" spans="2:28" x14ac:dyDescent="0.2">
      <c r="B17" s="20" t="s">
        <v>262</v>
      </c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134"/>
      <c r="P17" s="118" t="e">
        <f>((O17/N17)^(1/($H$3-$H$2) ))-1</f>
        <v>#DIV/0!</v>
      </c>
      <c r="Q17" s="31">
        <v>0.1</v>
      </c>
      <c r="R17" s="119"/>
      <c r="S17" s="119"/>
      <c r="T17" s="119"/>
      <c r="U17" s="119"/>
      <c r="V17" s="119"/>
      <c r="W17" s="119"/>
      <c r="X17" s="119"/>
      <c r="Y17" s="119"/>
      <c r="Z17" s="119"/>
      <c r="AA17" s="119"/>
      <c r="AB17" s="118"/>
    </row>
    <row r="18" spans="2:28" x14ac:dyDescent="0.2">
      <c r="B18" s="20" t="s">
        <v>271</v>
      </c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134"/>
      <c r="P18" s="118" t="e">
        <f t="shared" ref="P18:P21" si="9">((O18/N18)^(1/($H$3-$H$2) ))-1</f>
        <v>#DIV/0!</v>
      </c>
      <c r="Q18" s="31">
        <v>0.1</v>
      </c>
      <c r="R18" s="119"/>
      <c r="S18" s="119"/>
      <c r="T18" s="119"/>
      <c r="U18" s="119"/>
      <c r="V18" s="119"/>
      <c r="W18" s="119"/>
      <c r="X18" s="119"/>
      <c r="Y18" s="119"/>
      <c r="Z18" s="119"/>
      <c r="AA18" s="119"/>
      <c r="AB18" s="118"/>
    </row>
    <row r="19" spans="2:28" x14ac:dyDescent="0.2">
      <c r="B19" s="20" t="s">
        <v>272</v>
      </c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134"/>
      <c r="P19" s="118" t="e">
        <f t="shared" si="9"/>
        <v>#DIV/0!</v>
      </c>
      <c r="Q19" s="31">
        <v>0.1</v>
      </c>
      <c r="R19" s="119"/>
      <c r="S19" s="119"/>
      <c r="T19" s="119"/>
      <c r="U19" s="119"/>
      <c r="V19" s="119"/>
      <c r="W19" s="119"/>
      <c r="X19" s="119"/>
      <c r="Y19" s="119"/>
      <c r="Z19" s="119"/>
      <c r="AA19" s="119"/>
      <c r="AB19" s="118"/>
    </row>
    <row r="20" spans="2:28" x14ac:dyDescent="0.2"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129"/>
      <c r="Q20" s="129"/>
      <c r="R20" s="119"/>
      <c r="S20" s="119"/>
      <c r="T20" s="119"/>
      <c r="U20" s="119"/>
      <c r="V20" s="119"/>
      <c r="W20" s="119"/>
      <c r="X20" s="119"/>
      <c r="Y20" s="119"/>
      <c r="Z20" s="119"/>
      <c r="AA20" s="119"/>
      <c r="AB20" s="118"/>
    </row>
    <row r="21" spans="2:28" x14ac:dyDescent="0.2">
      <c r="B21" s="20" t="s">
        <v>257</v>
      </c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134"/>
      <c r="P21" s="118" t="e">
        <f t="shared" si="9"/>
        <v>#DIV/0!</v>
      </c>
      <c r="Q21" s="31">
        <v>0.1</v>
      </c>
      <c r="R21" s="119">
        <f>O21*(1+$Q21)</f>
        <v>0</v>
      </c>
      <c r="S21" s="119">
        <f t="shared" ref="S21:AA21" si="10">R21*(1+$Q21)</f>
        <v>0</v>
      </c>
      <c r="T21" s="119">
        <f t="shared" si="10"/>
        <v>0</v>
      </c>
      <c r="U21" s="119">
        <f t="shared" si="10"/>
        <v>0</v>
      </c>
      <c r="V21" s="119">
        <f t="shared" si="10"/>
        <v>0</v>
      </c>
      <c r="W21" s="119">
        <f t="shared" si="10"/>
        <v>0</v>
      </c>
      <c r="X21" s="119">
        <f t="shared" si="10"/>
        <v>0</v>
      </c>
      <c r="Y21" s="119">
        <f t="shared" si="10"/>
        <v>0</v>
      </c>
      <c r="Z21" s="119">
        <f t="shared" si="10"/>
        <v>0</v>
      </c>
      <c r="AA21" s="119">
        <f t="shared" si="10"/>
        <v>0</v>
      </c>
      <c r="AB21" s="118" t="e">
        <f>((AA21/N21)^(1/($AA$4-$H$2) ))-1</f>
        <v>#DIV/0!</v>
      </c>
    </row>
    <row r="22" spans="2:28" x14ac:dyDescent="0.2"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129"/>
      <c r="Q22" s="129"/>
      <c r="R22" s="119"/>
      <c r="S22" s="119"/>
      <c r="T22" s="119"/>
      <c r="U22" s="119"/>
      <c r="V22" s="119"/>
      <c r="W22" s="119"/>
      <c r="X22" s="119"/>
      <c r="Y22" s="119"/>
      <c r="Z22" s="119"/>
      <c r="AA22" s="119"/>
      <c r="AB22" s="118"/>
    </row>
    <row r="23" spans="2:28" x14ac:dyDescent="0.2">
      <c r="B23" s="20" t="s">
        <v>239</v>
      </c>
      <c r="C23" s="119">
        <v>1</v>
      </c>
      <c r="D23" s="119">
        <v>1</v>
      </c>
      <c r="E23" s="127">
        <v>1</v>
      </c>
      <c r="F23" s="127">
        <v>1</v>
      </c>
      <c r="G23" s="127">
        <v>1</v>
      </c>
      <c r="H23" s="119">
        <v>1</v>
      </c>
      <c r="I23" s="119">
        <v>1</v>
      </c>
      <c r="J23" s="119">
        <v>1</v>
      </c>
      <c r="K23" s="119">
        <v>1</v>
      </c>
      <c r="L23" s="112">
        <v>2.82</v>
      </c>
      <c r="M23" s="112">
        <v>2.82</v>
      </c>
      <c r="N23" s="112">
        <v>2.82</v>
      </c>
      <c r="O23" s="112">
        <v>37</v>
      </c>
      <c r="P23" s="118">
        <f t="shared" ref="P23" si="11">((O23/L23)^(1/($H$3-$H$2) ))-1</f>
        <v>0.90321632365832283</v>
      </c>
      <c r="Q23" s="31">
        <v>0.1</v>
      </c>
      <c r="R23" s="119">
        <f t="shared" ref="R23" si="12">O23*(1+$Q23)</f>
        <v>40.700000000000003</v>
      </c>
      <c r="S23" s="119">
        <f t="shared" ref="S23:AA23" si="13">R23*(1+$Q23)</f>
        <v>44.77000000000001</v>
      </c>
      <c r="T23" s="119">
        <f t="shared" si="13"/>
        <v>49.247000000000014</v>
      </c>
      <c r="U23" s="119">
        <f t="shared" si="13"/>
        <v>54.171700000000023</v>
      </c>
      <c r="V23" s="119">
        <f t="shared" si="13"/>
        <v>59.588870000000028</v>
      </c>
      <c r="W23" s="119">
        <f t="shared" si="13"/>
        <v>65.547757000000033</v>
      </c>
      <c r="X23" s="119">
        <f t="shared" si="13"/>
        <v>72.10253270000004</v>
      </c>
      <c r="Y23" s="119">
        <f t="shared" si="13"/>
        <v>79.31278597000005</v>
      </c>
      <c r="Z23" s="119">
        <f t="shared" si="13"/>
        <v>87.244064567000066</v>
      </c>
      <c r="AA23" s="119">
        <f t="shared" si="13"/>
        <v>95.968471023700076</v>
      </c>
      <c r="AB23" s="118">
        <f>((AA23/N23)^(1/($AA$4-$H$2) ))-1</f>
        <v>0.28653013086120915</v>
      </c>
    </row>
    <row r="24" spans="2:28" x14ac:dyDescent="0.2">
      <c r="B24" s="20"/>
      <c r="C24" s="20"/>
      <c r="D24" s="20"/>
      <c r="E24" s="128"/>
      <c r="F24" s="128"/>
      <c r="G24" s="128"/>
      <c r="H24" s="20"/>
      <c r="I24" s="20"/>
      <c r="J24" s="20"/>
      <c r="K24" s="20"/>
      <c r="L24" s="20"/>
      <c r="M24" s="20"/>
      <c r="N24" s="20"/>
      <c r="O24" s="20"/>
      <c r="P24" s="129"/>
      <c r="Q24" s="129"/>
      <c r="R24" s="119"/>
      <c r="S24" s="119"/>
      <c r="T24" s="119"/>
      <c r="U24" s="119"/>
      <c r="V24" s="119"/>
      <c r="W24" s="119"/>
      <c r="X24" s="119"/>
      <c r="Y24" s="119"/>
      <c r="Z24" s="119"/>
      <c r="AA24" s="119"/>
      <c r="AB24" s="118"/>
    </row>
    <row r="25" spans="2:28" x14ac:dyDescent="0.2">
      <c r="B25" s="108" t="s">
        <v>243</v>
      </c>
      <c r="C25" s="20"/>
      <c r="D25" s="20"/>
      <c r="E25" s="128"/>
      <c r="F25" s="128"/>
      <c r="G25" s="128"/>
      <c r="H25" s="20"/>
      <c r="I25" s="20"/>
      <c r="J25" s="20"/>
      <c r="K25" s="20"/>
      <c r="L25" s="20"/>
      <c r="M25" s="20"/>
      <c r="N25" s="20"/>
      <c r="O25" s="20"/>
      <c r="P25" s="129"/>
      <c r="Q25" s="129"/>
      <c r="R25" s="119"/>
      <c r="S25" s="119"/>
      <c r="T25" s="119"/>
      <c r="U25" s="119"/>
      <c r="V25" s="119"/>
      <c r="W25" s="119"/>
      <c r="X25" s="119"/>
      <c r="Y25" s="119"/>
      <c r="Z25" s="119"/>
      <c r="AA25" s="119"/>
      <c r="AB25" s="118"/>
    </row>
    <row r="26" spans="2:28" x14ac:dyDescent="0.2">
      <c r="B26" s="20" t="s">
        <v>258</v>
      </c>
      <c r="C26" s="25">
        <f t="shared" ref="C26:M26" si="14">C21/C23</f>
        <v>0</v>
      </c>
      <c r="D26" s="25">
        <f t="shared" si="14"/>
        <v>0</v>
      </c>
      <c r="E26" s="25">
        <f t="shared" si="14"/>
        <v>0</v>
      </c>
      <c r="F26" s="25">
        <f t="shared" si="14"/>
        <v>0</v>
      </c>
      <c r="G26" s="25">
        <f t="shared" si="14"/>
        <v>0</v>
      </c>
      <c r="H26" s="25">
        <f t="shared" si="14"/>
        <v>0</v>
      </c>
      <c r="I26" s="25">
        <f t="shared" si="14"/>
        <v>0</v>
      </c>
      <c r="J26" s="25">
        <f t="shared" si="14"/>
        <v>0</v>
      </c>
      <c r="K26" s="25">
        <f t="shared" si="14"/>
        <v>0</v>
      </c>
      <c r="L26" s="25">
        <f t="shared" si="14"/>
        <v>0</v>
      </c>
      <c r="M26" s="25">
        <f t="shared" si="14"/>
        <v>0</v>
      </c>
      <c r="N26" s="25">
        <f>N21/N23</f>
        <v>0</v>
      </c>
      <c r="O26" s="25">
        <f>O21/O23</f>
        <v>0</v>
      </c>
      <c r="P26" s="118" t="e">
        <f t="shared" ref="P26:P38" si="15">((O26/N26)^(1/($H$3-$H$2) ))-1</f>
        <v>#DIV/0!</v>
      </c>
      <c r="Q26" s="31">
        <v>0.1</v>
      </c>
      <c r="R26" s="119">
        <f t="shared" ref="R26:R29" si="16">O26*(1+$Q26)</f>
        <v>0</v>
      </c>
      <c r="S26" s="119">
        <f t="shared" ref="S26:AA29" si="17">R26*(1+$Q26)</f>
        <v>0</v>
      </c>
      <c r="T26" s="119">
        <f t="shared" si="17"/>
        <v>0</v>
      </c>
      <c r="U26" s="119">
        <f t="shared" si="17"/>
        <v>0</v>
      </c>
      <c r="V26" s="119">
        <f t="shared" si="17"/>
        <v>0</v>
      </c>
      <c r="W26" s="119">
        <f t="shared" si="17"/>
        <v>0</v>
      </c>
      <c r="X26" s="119">
        <f t="shared" si="17"/>
        <v>0</v>
      </c>
      <c r="Y26" s="119">
        <f t="shared" si="17"/>
        <v>0</v>
      </c>
      <c r="Z26" s="119">
        <f t="shared" si="17"/>
        <v>0</v>
      </c>
      <c r="AA26" s="119">
        <f t="shared" si="17"/>
        <v>0</v>
      </c>
      <c r="AB26" s="118" t="e">
        <f>((AA26/N26)^(1/($AA$4-$H$2) ))-1</f>
        <v>#DIV/0!</v>
      </c>
    </row>
    <row r="27" spans="2:28" x14ac:dyDescent="0.2">
      <c r="B27" s="20" t="s">
        <v>245</v>
      </c>
      <c r="C27" s="25">
        <f t="shared" ref="C27:O27" si="18">C8/C23</f>
        <v>0</v>
      </c>
      <c r="D27" s="25">
        <f t="shared" si="18"/>
        <v>0</v>
      </c>
      <c r="E27" s="25">
        <f t="shared" si="18"/>
        <v>0</v>
      </c>
      <c r="F27" s="25">
        <f t="shared" si="18"/>
        <v>0</v>
      </c>
      <c r="G27" s="25">
        <f t="shared" si="18"/>
        <v>0</v>
      </c>
      <c r="H27" s="25">
        <f t="shared" si="18"/>
        <v>0</v>
      </c>
      <c r="I27" s="25">
        <f t="shared" si="18"/>
        <v>0</v>
      </c>
      <c r="J27" s="25">
        <f t="shared" si="18"/>
        <v>0</v>
      </c>
      <c r="K27" s="25">
        <f t="shared" si="18"/>
        <v>0</v>
      </c>
      <c r="L27" s="25">
        <f t="shared" si="18"/>
        <v>0</v>
      </c>
      <c r="M27" s="25">
        <f t="shared" si="18"/>
        <v>0</v>
      </c>
      <c r="N27" s="25">
        <f t="shared" si="18"/>
        <v>0</v>
      </c>
      <c r="O27" s="25">
        <f t="shared" si="18"/>
        <v>79.073783783783782</v>
      </c>
      <c r="P27" s="118" t="e">
        <f t="shared" si="15"/>
        <v>#DIV/0!</v>
      </c>
      <c r="Q27" s="31">
        <v>-0.2</v>
      </c>
      <c r="R27" s="119">
        <f t="shared" si="16"/>
        <v>63.259027027027031</v>
      </c>
      <c r="S27" s="119">
        <f t="shared" si="17"/>
        <v>50.607221621621626</v>
      </c>
      <c r="T27" s="119">
        <f t="shared" si="17"/>
        <v>40.485777297297304</v>
      </c>
      <c r="U27" s="119">
        <f t="shared" si="17"/>
        <v>32.388621837837846</v>
      </c>
      <c r="V27" s="119">
        <f t="shared" si="17"/>
        <v>25.910897470270278</v>
      </c>
      <c r="W27" s="119">
        <f t="shared" si="17"/>
        <v>20.728717976216224</v>
      </c>
      <c r="X27" s="119">
        <f t="shared" si="17"/>
        <v>16.582974380972981</v>
      </c>
      <c r="Y27" s="119">
        <f t="shared" si="17"/>
        <v>13.266379504778385</v>
      </c>
      <c r="Z27" s="119">
        <f t="shared" si="17"/>
        <v>10.613103603822708</v>
      </c>
      <c r="AA27" s="119">
        <f t="shared" si="17"/>
        <v>8.4904828830581671</v>
      </c>
      <c r="AB27" s="118" t="e">
        <f>((AA27/N27)^(1/($AA$4-$H$2) ))-1</f>
        <v>#DIV/0!</v>
      </c>
    </row>
    <row r="28" spans="2:28" x14ac:dyDescent="0.2">
      <c r="B28" s="20" t="s">
        <v>246</v>
      </c>
      <c r="C28" s="128">
        <f t="shared" ref="C28:O28" si="19">C7/C23</f>
        <v>0</v>
      </c>
      <c r="D28" s="128">
        <f t="shared" si="19"/>
        <v>0</v>
      </c>
      <c r="E28" s="128">
        <f t="shared" si="19"/>
        <v>0</v>
      </c>
      <c r="F28" s="128">
        <f t="shared" si="19"/>
        <v>0</v>
      </c>
      <c r="G28" s="128">
        <f t="shared" si="19"/>
        <v>0</v>
      </c>
      <c r="H28" s="128">
        <f t="shared" si="19"/>
        <v>0</v>
      </c>
      <c r="I28" s="128">
        <f t="shared" si="19"/>
        <v>0</v>
      </c>
      <c r="J28" s="128">
        <f t="shared" si="19"/>
        <v>0</v>
      </c>
      <c r="K28" s="128">
        <f t="shared" si="19"/>
        <v>0</v>
      </c>
      <c r="L28" s="128">
        <f t="shared" si="19"/>
        <v>0</v>
      </c>
      <c r="M28" s="128">
        <f t="shared" si="19"/>
        <v>0</v>
      </c>
      <c r="N28" s="128">
        <f t="shared" si="19"/>
        <v>0</v>
      </c>
      <c r="O28" s="128">
        <f t="shared" si="19"/>
        <v>69.027567567567573</v>
      </c>
      <c r="P28" s="118" t="e">
        <f t="shared" si="15"/>
        <v>#DIV/0!</v>
      </c>
      <c r="Q28" s="31">
        <v>0.1</v>
      </c>
      <c r="R28" s="119">
        <f t="shared" si="16"/>
        <v>75.930324324324332</v>
      </c>
      <c r="S28" s="119">
        <f t="shared" si="17"/>
        <v>83.523356756756769</v>
      </c>
      <c r="T28" s="119">
        <f t="shared" si="17"/>
        <v>91.875692432432459</v>
      </c>
      <c r="U28" s="119">
        <f t="shared" si="17"/>
        <v>101.06326167567572</v>
      </c>
      <c r="V28" s="119">
        <f t="shared" si="17"/>
        <v>111.16958784324331</v>
      </c>
      <c r="W28" s="119">
        <f t="shared" si="17"/>
        <v>122.28654662756765</v>
      </c>
      <c r="X28" s="119">
        <f t="shared" si="17"/>
        <v>134.51520129032443</v>
      </c>
      <c r="Y28" s="119">
        <f t="shared" si="17"/>
        <v>147.96672141935687</v>
      </c>
      <c r="Z28" s="119">
        <f t="shared" si="17"/>
        <v>162.76339356129256</v>
      </c>
      <c r="AA28" s="119">
        <f t="shared" si="17"/>
        <v>179.03973291742184</v>
      </c>
      <c r="AB28" s="118" t="e">
        <f>((AA28/N28)^(1/($AA$4-$H$2) ))-1</f>
        <v>#DIV/0!</v>
      </c>
    </row>
    <row r="29" spans="2:28" x14ac:dyDescent="0.2">
      <c r="B29" s="20" t="s">
        <v>247</v>
      </c>
      <c r="C29" s="128">
        <f t="shared" ref="C29:O29" si="20">C10/C23</f>
        <v>0</v>
      </c>
      <c r="D29" s="128">
        <f t="shared" si="20"/>
        <v>0</v>
      </c>
      <c r="E29" s="128">
        <f t="shared" si="20"/>
        <v>0</v>
      </c>
      <c r="F29" s="128">
        <f t="shared" si="20"/>
        <v>0</v>
      </c>
      <c r="G29" s="128">
        <f t="shared" si="20"/>
        <v>0</v>
      </c>
      <c r="H29" s="128">
        <f t="shared" si="20"/>
        <v>0</v>
      </c>
      <c r="I29" s="128">
        <f t="shared" si="20"/>
        <v>0</v>
      </c>
      <c r="J29" s="128">
        <f t="shared" si="20"/>
        <v>0</v>
      </c>
      <c r="K29" s="128">
        <f t="shared" si="20"/>
        <v>0</v>
      </c>
      <c r="L29" s="128">
        <f t="shared" si="20"/>
        <v>0</v>
      </c>
      <c r="M29" s="128">
        <f t="shared" si="20"/>
        <v>0</v>
      </c>
      <c r="N29" s="135">
        <f t="shared" si="20"/>
        <v>0</v>
      </c>
      <c r="O29" s="135">
        <f t="shared" si="20"/>
        <v>418.38756756756754</v>
      </c>
      <c r="P29" s="118" t="e">
        <f t="shared" si="15"/>
        <v>#DIV/0!</v>
      </c>
      <c r="Q29" s="31">
        <v>0.1</v>
      </c>
      <c r="R29" s="119">
        <f t="shared" si="16"/>
        <v>460.22632432432431</v>
      </c>
      <c r="S29" s="119">
        <f t="shared" si="17"/>
        <v>506.2489567567568</v>
      </c>
      <c r="T29" s="119">
        <f t="shared" si="17"/>
        <v>556.8738524324325</v>
      </c>
      <c r="U29" s="119">
        <f t="shared" si="17"/>
        <v>612.56123767567578</v>
      </c>
      <c r="V29" s="119">
        <f t="shared" si="17"/>
        <v>673.81736144324339</v>
      </c>
      <c r="W29" s="119">
        <f t="shared" si="17"/>
        <v>741.19909758756773</v>
      </c>
      <c r="X29" s="119">
        <f t="shared" si="17"/>
        <v>815.31900734632461</v>
      </c>
      <c r="Y29" s="119">
        <f t="shared" si="17"/>
        <v>896.8509080809572</v>
      </c>
      <c r="Z29" s="119">
        <f t="shared" si="17"/>
        <v>986.53599888905296</v>
      </c>
      <c r="AA29" s="119">
        <f t="shared" si="17"/>
        <v>1085.1895987779583</v>
      </c>
      <c r="AB29" s="118" t="e">
        <f>((AA29/N29)^(1/($AA$4-$H$2) ))-1</f>
        <v>#DIV/0!</v>
      </c>
    </row>
    <row r="30" spans="2:28" x14ac:dyDescent="0.2">
      <c r="B30" s="20"/>
      <c r="C30" s="128"/>
      <c r="D30" s="128"/>
      <c r="E30" s="128"/>
      <c r="F30" s="128"/>
      <c r="G30" s="128"/>
      <c r="H30" s="128"/>
      <c r="I30" s="128"/>
      <c r="J30" s="128"/>
      <c r="K30" s="128"/>
      <c r="L30" s="128"/>
      <c r="M30" s="128"/>
      <c r="N30" s="128"/>
      <c r="O30" s="128"/>
      <c r="P30" s="129"/>
      <c r="Q30" s="129"/>
      <c r="R30" s="119"/>
      <c r="S30" s="119"/>
      <c r="T30" s="119"/>
      <c r="U30" s="119"/>
      <c r="V30" s="119"/>
      <c r="W30" s="119"/>
      <c r="X30" s="119"/>
      <c r="Y30" s="119"/>
      <c r="Z30" s="119"/>
      <c r="AA30" s="119"/>
      <c r="AB30" s="118"/>
    </row>
    <row r="31" spans="2:28" x14ac:dyDescent="0.2">
      <c r="B31" s="20" t="s">
        <v>274</v>
      </c>
      <c r="C31" s="128">
        <f>(C8-C10)/C23</f>
        <v>0</v>
      </c>
      <c r="D31" s="128">
        <f t="shared" ref="D31:O31" si="21">(D8-D10)/D23</f>
        <v>0</v>
      </c>
      <c r="E31" s="128">
        <f t="shared" si="21"/>
        <v>0</v>
      </c>
      <c r="F31" s="128">
        <f t="shared" si="21"/>
        <v>0</v>
      </c>
      <c r="G31" s="128">
        <f t="shared" si="21"/>
        <v>0</v>
      </c>
      <c r="H31" s="128">
        <f t="shared" si="21"/>
        <v>0</v>
      </c>
      <c r="I31" s="128">
        <f t="shared" si="21"/>
        <v>0</v>
      </c>
      <c r="J31" s="128">
        <f t="shared" si="21"/>
        <v>0</v>
      </c>
      <c r="K31" s="128">
        <f t="shared" si="21"/>
        <v>0</v>
      </c>
      <c r="L31" s="128">
        <f t="shared" si="21"/>
        <v>0</v>
      </c>
      <c r="M31" s="128">
        <f t="shared" si="21"/>
        <v>0</v>
      </c>
      <c r="N31" s="128">
        <f t="shared" si="21"/>
        <v>0</v>
      </c>
      <c r="O31" s="128">
        <f t="shared" si="21"/>
        <v>-339.31378378378378</v>
      </c>
      <c r="P31" s="118" t="e">
        <f t="shared" si="15"/>
        <v>#DIV/0!</v>
      </c>
      <c r="Q31" s="31">
        <v>0.1</v>
      </c>
      <c r="R31" s="119">
        <f t="shared" ref="R31" si="22">O31*(1+$Q31)</f>
        <v>-373.24516216216216</v>
      </c>
      <c r="S31" s="119">
        <f t="shared" ref="S31" si="23">R31*(1+$Q31)</f>
        <v>-410.5696783783784</v>
      </c>
      <c r="T31" s="119">
        <f t="shared" ref="T31" si="24">S31*(1+$Q31)</f>
        <v>-451.62664621621627</v>
      </c>
      <c r="U31" s="119">
        <f t="shared" ref="U31" si="25">T31*(1+$Q31)</f>
        <v>-496.78931083783795</v>
      </c>
      <c r="V31" s="119">
        <f t="shared" ref="V31" si="26">U31*(1+$Q31)</f>
        <v>-546.46824192162182</v>
      </c>
      <c r="W31" s="119">
        <f t="shared" ref="W31" si="27">V31*(1+$Q31)</f>
        <v>-601.11506611378411</v>
      </c>
      <c r="X31" s="119">
        <f t="shared" ref="X31" si="28">W31*(1+$Q31)</f>
        <v>-661.22657272516255</v>
      </c>
      <c r="Y31" s="119">
        <f t="shared" ref="Y31" si="29">X31*(1+$Q31)</f>
        <v>-727.34922999767889</v>
      </c>
      <c r="Z31" s="119">
        <f t="shared" ref="Z31" si="30">Y31*(1+$Q31)</f>
        <v>-800.08415299744684</v>
      </c>
      <c r="AA31" s="119">
        <f t="shared" ref="AA31" si="31">Z31*(1+$Q31)</f>
        <v>-880.09256829719163</v>
      </c>
      <c r="AB31" s="118" t="e">
        <f>((AA31/N31)^(1/($AA$4-$H$2) ))-1</f>
        <v>#DIV/0!</v>
      </c>
    </row>
    <row r="32" spans="2:28" x14ac:dyDescent="0.2">
      <c r="B32" s="20" t="s">
        <v>275</v>
      </c>
      <c r="C32" s="128">
        <f>(C8-C10-C9)/C23</f>
        <v>0</v>
      </c>
      <c r="D32" s="128">
        <f t="shared" ref="D32:O32" si="32">(D8-D10-D9)/D23</f>
        <v>0</v>
      </c>
      <c r="E32" s="128">
        <f t="shared" si="32"/>
        <v>0</v>
      </c>
      <c r="F32" s="128">
        <f t="shared" si="32"/>
        <v>0</v>
      </c>
      <c r="G32" s="128">
        <f t="shared" si="32"/>
        <v>0</v>
      </c>
      <c r="H32" s="128">
        <f t="shared" si="32"/>
        <v>0</v>
      </c>
      <c r="I32" s="128">
        <f t="shared" si="32"/>
        <v>0</v>
      </c>
      <c r="J32" s="128">
        <f t="shared" si="32"/>
        <v>0</v>
      </c>
      <c r="K32" s="128">
        <f t="shared" si="32"/>
        <v>0</v>
      </c>
      <c r="L32" s="128">
        <f t="shared" si="32"/>
        <v>0</v>
      </c>
      <c r="M32" s="128">
        <f t="shared" si="32"/>
        <v>0</v>
      </c>
      <c r="N32" s="128">
        <f t="shared" si="32"/>
        <v>0</v>
      </c>
      <c r="O32" s="128">
        <f t="shared" si="32"/>
        <v>-466.11</v>
      </c>
      <c r="P32" s="118" t="e">
        <f t="shared" si="15"/>
        <v>#DIV/0!</v>
      </c>
      <c r="Q32" s="31">
        <v>0.1</v>
      </c>
      <c r="R32" s="119">
        <f t="shared" ref="R32" si="33">O32*(1+$Q32)</f>
        <v>-512.721</v>
      </c>
      <c r="S32" s="119">
        <f t="shared" ref="S32" si="34">R32*(1+$Q32)</f>
        <v>-563.99310000000003</v>
      </c>
      <c r="T32" s="119">
        <f t="shared" ref="T32" si="35">S32*(1+$Q32)</f>
        <v>-620.39241000000004</v>
      </c>
      <c r="U32" s="119">
        <f t="shared" ref="U32" si="36">T32*(1+$Q32)</f>
        <v>-682.4316510000001</v>
      </c>
      <c r="V32" s="119">
        <f t="shared" ref="V32" si="37">U32*(1+$Q32)</f>
        <v>-750.67481610000016</v>
      </c>
      <c r="W32" s="119">
        <f t="shared" ref="W32" si="38">V32*(1+$Q32)</f>
        <v>-825.74229771000023</v>
      </c>
      <c r="X32" s="119">
        <f t="shared" ref="X32" si="39">W32*(1+$Q32)</f>
        <v>-908.31652748100032</v>
      </c>
      <c r="Y32" s="119">
        <f t="shared" ref="Y32" si="40">X32*(1+$Q32)</f>
        <v>-999.14818022910049</v>
      </c>
      <c r="Z32" s="119">
        <f t="shared" ref="Z32" si="41">Y32*(1+$Q32)</f>
        <v>-1099.0629982520106</v>
      </c>
      <c r="AA32" s="119">
        <f t="shared" ref="AA32" si="42">Z32*(1+$Q32)</f>
        <v>-1208.9692980772118</v>
      </c>
      <c r="AB32" s="118" t="e">
        <f>((AA32/N32)^(1/($AA$4-$H$2) ))-1</f>
        <v>#DIV/0!</v>
      </c>
    </row>
    <row r="33" spans="2:28" x14ac:dyDescent="0.2">
      <c r="B33" s="20"/>
      <c r="C33" s="128"/>
      <c r="D33" s="128"/>
      <c r="E33" s="128"/>
      <c r="F33" s="128"/>
      <c r="G33" s="128"/>
      <c r="H33" s="128"/>
      <c r="I33" s="128"/>
      <c r="J33" s="128"/>
      <c r="K33" s="128"/>
      <c r="L33" s="128"/>
      <c r="M33" s="128"/>
      <c r="N33" s="128"/>
      <c r="O33" s="128"/>
      <c r="P33" s="129"/>
      <c r="Q33" s="129"/>
      <c r="R33" s="119"/>
      <c r="S33" s="119"/>
      <c r="T33" s="119"/>
      <c r="U33" s="119"/>
      <c r="V33" s="119"/>
      <c r="W33" s="119"/>
      <c r="X33" s="119"/>
      <c r="Y33" s="119"/>
      <c r="Z33" s="119"/>
      <c r="AA33" s="119"/>
      <c r="AB33" s="118"/>
    </row>
    <row r="34" spans="2:28" x14ac:dyDescent="0.2">
      <c r="B34" s="20" t="s">
        <v>248</v>
      </c>
      <c r="C34" s="128">
        <f t="shared" ref="C34:O34" si="43">C11/C23</f>
        <v>0</v>
      </c>
      <c r="D34" s="128">
        <f t="shared" si="43"/>
        <v>0</v>
      </c>
      <c r="E34" s="128">
        <f t="shared" si="43"/>
        <v>0</v>
      </c>
      <c r="F34" s="128">
        <f t="shared" si="43"/>
        <v>0</v>
      </c>
      <c r="G34" s="128">
        <f t="shared" si="43"/>
        <v>0</v>
      </c>
      <c r="H34" s="128">
        <f t="shared" si="43"/>
        <v>0</v>
      </c>
      <c r="I34" s="128">
        <f t="shared" si="43"/>
        <v>0</v>
      </c>
      <c r="J34" s="128">
        <f t="shared" si="43"/>
        <v>0</v>
      </c>
      <c r="K34" s="128">
        <f t="shared" si="43"/>
        <v>0</v>
      </c>
      <c r="L34" s="128">
        <f t="shared" si="43"/>
        <v>0</v>
      </c>
      <c r="M34" s="128">
        <f t="shared" si="43"/>
        <v>0</v>
      </c>
      <c r="N34" s="128">
        <f t="shared" si="43"/>
        <v>0</v>
      </c>
      <c r="O34" s="128">
        <f t="shared" si="43"/>
        <v>21.487567567567567</v>
      </c>
      <c r="P34" s="118" t="e">
        <f t="shared" si="15"/>
        <v>#DIV/0!</v>
      </c>
      <c r="Q34" s="31">
        <v>0.1</v>
      </c>
      <c r="R34" s="119">
        <f t="shared" ref="R34:R38" si="44">O34*(1+$Q34)</f>
        <v>23.636324324324324</v>
      </c>
      <c r="S34" s="119">
        <f t="shared" ref="S34:AA38" si="45">R34*(1+$Q34)</f>
        <v>25.99995675675676</v>
      </c>
      <c r="T34" s="119">
        <f t="shared" si="45"/>
        <v>28.599952432432438</v>
      </c>
      <c r="U34" s="119">
        <f t="shared" si="45"/>
        <v>31.459947675675686</v>
      </c>
      <c r="V34" s="119">
        <f t="shared" si="45"/>
        <v>34.605942443243258</v>
      </c>
      <c r="W34" s="119">
        <f t="shared" si="45"/>
        <v>38.066536687567584</v>
      </c>
      <c r="X34" s="119">
        <f t="shared" si="45"/>
        <v>41.873190356324343</v>
      </c>
      <c r="Y34" s="119">
        <f t="shared" si="45"/>
        <v>46.060509391956785</v>
      </c>
      <c r="Z34" s="119">
        <f t="shared" si="45"/>
        <v>50.666560331152468</v>
      </c>
      <c r="AA34" s="119">
        <f t="shared" si="45"/>
        <v>55.733216364267719</v>
      </c>
      <c r="AB34" s="118" t="e">
        <f>((AA34/N34)^(1/($AA$4-$H$2) ))-1</f>
        <v>#DIV/0!</v>
      </c>
    </row>
    <row r="35" spans="2:28" x14ac:dyDescent="0.2">
      <c r="B35" s="20" t="s">
        <v>255</v>
      </c>
      <c r="C35" s="128">
        <f t="shared" ref="C35:O35" si="46">C12/C23</f>
        <v>0</v>
      </c>
      <c r="D35" s="128">
        <f t="shared" si="46"/>
        <v>0</v>
      </c>
      <c r="E35" s="128">
        <f t="shared" si="46"/>
        <v>0</v>
      </c>
      <c r="F35" s="128">
        <f t="shared" si="46"/>
        <v>0</v>
      </c>
      <c r="G35" s="128">
        <f t="shared" si="46"/>
        <v>0</v>
      </c>
      <c r="H35" s="128">
        <f t="shared" si="46"/>
        <v>0</v>
      </c>
      <c r="I35" s="128">
        <f t="shared" si="46"/>
        <v>0</v>
      </c>
      <c r="J35" s="128">
        <f t="shared" si="46"/>
        <v>0</v>
      </c>
      <c r="K35" s="128">
        <f t="shared" si="46"/>
        <v>0</v>
      </c>
      <c r="L35" s="128">
        <f t="shared" si="46"/>
        <v>0</v>
      </c>
      <c r="M35" s="128">
        <f t="shared" si="46"/>
        <v>0</v>
      </c>
      <c r="N35" s="128">
        <f t="shared" si="46"/>
        <v>0</v>
      </c>
      <c r="O35" s="128">
        <f t="shared" si="46"/>
        <v>2.6351351351351351</v>
      </c>
      <c r="P35" s="118" t="e">
        <f t="shared" si="15"/>
        <v>#DIV/0!</v>
      </c>
      <c r="Q35" s="31">
        <v>0.1</v>
      </c>
      <c r="R35" s="119">
        <f t="shared" si="44"/>
        <v>2.8986486486486487</v>
      </c>
      <c r="S35" s="119">
        <f t="shared" si="45"/>
        <v>3.1885135135135139</v>
      </c>
      <c r="T35" s="119">
        <f t="shared" si="45"/>
        <v>3.5073648648648654</v>
      </c>
      <c r="U35" s="119">
        <f t="shared" si="45"/>
        <v>3.8581013513513525</v>
      </c>
      <c r="V35" s="119">
        <f t="shared" si="45"/>
        <v>4.2439114864864882</v>
      </c>
      <c r="W35" s="119">
        <f t="shared" si="45"/>
        <v>4.6683026351351371</v>
      </c>
      <c r="X35" s="119">
        <f t="shared" si="45"/>
        <v>5.1351328986486511</v>
      </c>
      <c r="Y35" s="119">
        <f t="shared" si="45"/>
        <v>5.6486461885135171</v>
      </c>
      <c r="Z35" s="119">
        <f t="shared" si="45"/>
        <v>6.2135108073648695</v>
      </c>
      <c r="AA35" s="119">
        <f t="shared" si="45"/>
        <v>6.834861888101357</v>
      </c>
      <c r="AB35" s="118" t="e">
        <f>((AA35/N35)^(1/($AA$4-$H$2) ))-1</f>
        <v>#DIV/0!</v>
      </c>
    </row>
    <row r="36" spans="2:28" x14ac:dyDescent="0.2">
      <c r="B36" s="20" t="s">
        <v>256</v>
      </c>
      <c r="C36" s="128">
        <f>(C34+C35)</f>
        <v>0</v>
      </c>
      <c r="D36" s="128">
        <f t="shared" ref="D36:O36" si="47">(D34+D35)</f>
        <v>0</v>
      </c>
      <c r="E36" s="128">
        <f t="shared" si="47"/>
        <v>0</v>
      </c>
      <c r="F36" s="128">
        <f t="shared" si="47"/>
        <v>0</v>
      </c>
      <c r="G36" s="128">
        <f t="shared" si="47"/>
        <v>0</v>
      </c>
      <c r="H36" s="128">
        <f t="shared" si="47"/>
        <v>0</v>
      </c>
      <c r="I36" s="128">
        <f t="shared" si="47"/>
        <v>0</v>
      </c>
      <c r="J36" s="128">
        <f t="shared" si="47"/>
        <v>0</v>
      </c>
      <c r="K36" s="128">
        <f t="shared" si="47"/>
        <v>0</v>
      </c>
      <c r="L36" s="128">
        <f t="shared" si="47"/>
        <v>0</v>
      </c>
      <c r="M36" s="128">
        <f t="shared" si="47"/>
        <v>0</v>
      </c>
      <c r="N36" s="128">
        <f t="shared" si="47"/>
        <v>0</v>
      </c>
      <c r="O36" s="128">
        <f t="shared" si="47"/>
        <v>24.122702702702703</v>
      </c>
      <c r="P36" s="118" t="e">
        <f t="shared" si="15"/>
        <v>#DIV/0!</v>
      </c>
      <c r="Q36" s="31">
        <v>0.1</v>
      </c>
      <c r="R36" s="119">
        <f t="shared" si="44"/>
        <v>26.534972972972977</v>
      </c>
      <c r="S36" s="119">
        <f t="shared" si="45"/>
        <v>29.188470270270276</v>
      </c>
      <c r="T36" s="119">
        <f t="shared" si="45"/>
        <v>32.107317297297307</v>
      </c>
      <c r="U36" s="119">
        <f t="shared" si="45"/>
        <v>35.318049027027044</v>
      </c>
      <c r="V36" s="119">
        <f t="shared" si="45"/>
        <v>38.849853929729754</v>
      </c>
      <c r="W36" s="119">
        <f t="shared" si="45"/>
        <v>42.734839322702733</v>
      </c>
      <c r="X36" s="119">
        <f t="shared" si="45"/>
        <v>47.008323254973007</v>
      </c>
      <c r="Y36" s="119">
        <f t="shared" si="45"/>
        <v>51.709155580470309</v>
      </c>
      <c r="Z36" s="119">
        <f t="shared" si="45"/>
        <v>56.880071138517344</v>
      </c>
      <c r="AA36" s="119">
        <f t="shared" si="45"/>
        <v>62.568078252369084</v>
      </c>
      <c r="AB36" s="118" t="e">
        <f>((AA36/N36)^(1/($AA$4-$H$2) ))-1</f>
        <v>#DIV/0!</v>
      </c>
    </row>
    <row r="37" spans="2:28" x14ac:dyDescent="0.2">
      <c r="B37" s="20" t="s">
        <v>249</v>
      </c>
      <c r="C37" s="128">
        <f t="shared" ref="C37:O37" si="48">C13/C23</f>
        <v>0</v>
      </c>
      <c r="D37" s="128">
        <f t="shared" si="48"/>
        <v>0</v>
      </c>
      <c r="E37" s="128">
        <f t="shared" si="48"/>
        <v>0</v>
      </c>
      <c r="F37" s="128">
        <f t="shared" si="48"/>
        <v>0</v>
      </c>
      <c r="G37" s="128">
        <f t="shared" si="48"/>
        <v>0</v>
      </c>
      <c r="H37" s="128">
        <f t="shared" si="48"/>
        <v>0</v>
      </c>
      <c r="I37" s="128">
        <f t="shared" si="48"/>
        <v>0</v>
      </c>
      <c r="J37" s="128">
        <f t="shared" si="48"/>
        <v>0</v>
      </c>
      <c r="K37" s="128">
        <f t="shared" si="48"/>
        <v>0</v>
      </c>
      <c r="L37" s="128">
        <f t="shared" si="48"/>
        <v>0</v>
      </c>
      <c r="M37" s="128">
        <f t="shared" si="48"/>
        <v>0</v>
      </c>
      <c r="N37" s="128">
        <f t="shared" si="48"/>
        <v>0</v>
      </c>
      <c r="O37" s="128">
        <f t="shared" si="48"/>
        <v>41.325945945945946</v>
      </c>
      <c r="P37" s="118" t="e">
        <f t="shared" si="15"/>
        <v>#DIV/0!</v>
      </c>
      <c r="Q37" s="31">
        <v>0.1</v>
      </c>
      <c r="R37" s="119">
        <f t="shared" si="44"/>
        <v>45.458540540540547</v>
      </c>
      <c r="S37" s="119">
        <f t="shared" si="45"/>
        <v>50.004394594594608</v>
      </c>
      <c r="T37" s="119">
        <f t="shared" si="45"/>
        <v>55.004834054054072</v>
      </c>
      <c r="U37" s="119">
        <f t="shared" si="45"/>
        <v>60.505317459459484</v>
      </c>
      <c r="V37" s="119">
        <f t="shared" si="45"/>
        <v>66.555849205405437</v>
      </c>
      <c r="W37" s="119">
        <f t="shared" si="45"/>
        <v>73.211434125945985</v>
      </c>
      <c r="X37" s="119">
        <f t="shared" si="45"/>
        <v>80.532577538540593</v>
      </c>
      <c r="Y37" s="119">
        <f t="shared" si="45"/>
        <v>88.585835292394663</v>
      </c>
      <c r="Z37" s="119">
        <f t="shared" si="45"/>
        <v>97.44441882163413</v>
      </c>
      <c r="AA37" s="119">
        <f t="shared" si="45"/>
        <v>107.18886070379756</v>
      </c>
      <c r="AB37" s="118" t="e">
        <f>((AA37/N37)^(1/($AA$4-$H$2) ))-1</f>
        <v>#DIV/0!</v>
      </c>
    </row>
    <row r="38" spans="2:28" x14ac:dyDescent="0.2">
      <c r="B38" s="20" t="s">
        <v>250</v>
      </c>
      <c r="C38" s="128">
        <f t="shared" ref="C38:O38" si="49">C14/C23</f>
        <v>0</v>
      </c>
      <c r="D38" s="128">
        <f t="shared" si="49"/>
        <v>0</v>
      </c>
      <c r="E38" s="128">
        <f t="shared" si="49"/>
        <v>0</v>
      </c>
      <c r="F38" s="128">
        <f t="shared" si="49"/>
        <v>0</v>
      </c>
      <c r="G38" s="128">
        <f t="shared" si="49"/>
        <v>0</v>
      </c>
      <c r="H38" s="128">
        <f t="shared" si="49"/>
        <v>0</v>
      </c>
      <c r="I38" s="128">
        <f t="shared" si="49"/>
        <v>0</v>
      </c>
      <c r="J38" s="128">
        <f t="shared" si="49"/>
        <v>0</v>
      </c>
      <c r="K38" s="128">
        <f t="shared" si="49"/>
        <v>0</v>
      </c>
      <c r="L38" s="128">
        <f t="shared" si="49"/>
        <v>0</v>
      </c>
      <c r="M38" s="128">
        <f t="shared" si="49"/>
        <v>0</v>
      </c>
      <c r="N38" s="128">
        <f t="shared" si="49"/>
        <v>0</v>
      </c>
      <c r="O38" s="128">
        <f t="shared" si="49"/>
        <v>487.57648648648654</v>
      </c>
      <c r="P38" s="118" t="e">
        <f t="shared" si="15"/>
        <v>#DIV/0!</v>
      </c>
      <c r="Q38" s="31">
        <v>0.1</v>
      </c>
      <c r="R38" s="119">
        <f t="shared" si="44"/>
        <v>536.33413513513528</v>
      </c>
      <c r="S38" s="119">
        <f t="shared" si="45"/>
        <v>589.96754864864886</v>
      </c>
      <c r="T38" s="119">
        <f t="shared" si="45"/>
        <v>648.96430351351376</v>
      </c>
      <c r="U38" s="119">
        <f t="shared" si="45"/>
        <v>713.86073386486521</v>
      </c>
      <c r="V38" s="119">
        <f t="shared" si="45"/>
        <v>785.24680725135181</v>
      </c>
      <c r="W38" s="119">
        <f t="shared" si="45"/>
        <v>863.77148797648704</v>
      </c>
      <c r="X38" s="119">
        <f t="shared" si="45"/>
        <v>950.14863677413587</v>
      </c>
      <c r="Y38" s="119">
        <f t="shared" si="45"/>
        <v>1045.1635004515495</v>
      </c>
      <c r="Z38" s="119">
        <f t="shared" si="45"/>
        <v>1149.6798504967046</v>
      </c>
      <c r="AA38" s="119">
        <f t="shared" si="45"/>
        <v>1264.6478355463751</v>
      </c>
      <c r="AB38" s="118" t="e">
        <f>((AA38/N38)^(1/($AA$4-$H$2) ))-1</f>
        <v>#DIV/0!</v>
      </c>
    </row>
    <row r="39" spans="2:28" x14ac:dyDescent="0.2"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129"/>
      <c r="Q39" s="129"/>
      <c r="R39" s="119"/>
      <c r="S39" s="119"/>
      <c r="T39" s="119"/>
      <c r="U39" s="119"/>
      <c r="V39" s="119"/>
      <c r="W39" s="119"/>
      <c r="X39" s="119"/>
      <c r="Y39" s="119"/>
      <c r="Z39" s="119"/>
      <c r="AA39" s="119"/>
      <c r="AB39" s="129"/>
    </row>
    <row r="40" spans="2:28" x14ac:dyDescent="0.2">
      <c r="B40" s="108" t="s">
        <v>83</v>
      </c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129"/>
      <c r="Q40" s="129"/>
      <c r="R40" s="119"/>
      <c r="S40" s="119"/>
      <c r="T40" s="119"/>
      <c r="U40" s="119"/>
      <c r="V40" s="119"/>
      <c r="W40" s="119"/>
      <c r="X40" s="119"/>
      <c r="Y40" s="119"/>
      <c r="Z40" s="119"/>
      <c r="AA40" s="119"/>
      <c r="AB40" s="129"/>
    </row>
    <row r="41" spans="2:28" x14ac:dyDescent="0.2">
      <c r="B41" s="20" t="s">
        <v>82</v>
      </c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>
        <f>O10/O23</f>
        <v>418.38756756756754</v>
      </c>
      <c r="P41" s="118" t="e">
        <f t="shared" ref="P41:P47" si="50">((O41/N41)^(1/($H$3-$H$2) ))-1</f>
        <v>#DIV/0!</v>
      </c>
      <c r="Q41" s="31">
        <v>0.1</v>
      </c>
      <c r="R41" s="119">
        <f t="shared" ref="R41:R47" si="51">O41*(1+$Q41)</f>
        <v>460.22632432432431</v>
      </c>
      <c r="S41" s="119">
        <f t="shared" ref="S41:AA47" si="52">R41*(1+$Q41)</f>
        <v>506.2489567567568</v>
      </c>
      <c r="T41" s="119">
        <f t="shared" si="52"/>
        <v>556.8738524324325</v>
      </c>
      <c r="U41" s="119">
        <f t="shared" si="52"/>
        <v>612.56123767567578</v>
      </c>
      <c r="V41" s="119">
        <f t="shared" si="52"/>
        <v>673.81736144324339</v>
      </c>
      <c r="W41" s="119">
        <f t="shared" si="52"/>
        <v>741.19909758756773</v>
      </c>
      <c r="X41" s="119">
        <f t="shared" si="52"/>
        <v>815.31900734632461</v>
      </c>
      <c r="Y41" s="119">
        <f t="shared" si="52"/>
        <v>896.8509080809572</v>
      </c>
      <c r="Z41" s="119">
        <f t="shared" si="52"/>
        <v>986.53599888905296</v>
      </c>
      <c r="AA41" s="119">
        <f t="shared" si="52"/>
        <v>1085.1895987779583</v>
      </c>
      <c r="AB41" s="118" t="e">
        <f t="shared" ref="AB41:AB47" si="53">((AA41/N41)^(1/($AA$4-$H$2) ))-1</f>
        <v>#DIV/0!</v>
      </c>
    </row>
    <row r="42" spans="2:28" x14ac:dyDescent="0.2">
      <c r="B42" s="20" t="s">
        <v>84</v>
      </c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118" t="e">
        <f t="shared" si="50"/>
        <v>#DIV/0!</v>
      </c>
      <c r="Q42" s="31">
        <v>0.1</v>
      </c>
      <c r="R42" s="119">
        <f t="shared" si="51"/>
        <v>0</v>
      </c>
      <c r="S42" s="119">
        <f t="shared" si="52"/>
        <v>0</v>
      </c>
      <c r="T42" s="119">
        <f t="shared" si="52"/>
        <v>0</v>
      </c>
      <c r="U42" s="119">
        <f t="shared" si="52"/>
        <v>0</v>
      </c>
      <c r="V42" s="119">
        <f t="shared" si="52"/>
        <v>0</v>
      </c>
      <c r="W42" s="119">
        <f t="shared" si="52"/>
        <v>0</v>
      </c>
      <c r="X42" s="119">
        <f t="shared" si="52"/>
        <v>0</v>
      </c>
      <c r="Y42" s="119">
        <f t="shared" si="52"/>
        <v>0</v>
      </c>
      <c r="Z42" s="119">
        <f t="shared" si="52"/>
        <v>0</v>
      </c>
      <c r="AA42" s="119">
        <f t="shared" si="52"/>
        <v>0</v>
      </c>
      <c r="AB42" s="118" t="e">
        <f t="shared" si="53"/>
        <v>#DIV/0!</v>
      </c>
    </row>
    <row r="43" spans="2:28" x14ac:dyDescent="0.2">
      <c r="B43" s="20" t="s">
        <v>85</v>
      </c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118" t="e">
        <f t="shared" si="50"/>
        <v>#DIV/0!</v>
      </c>
      <c r="Q43" s="31">
        <v>0.1</v>
      </c>
      <c r="R43" s="119">
        <f t="shared" si="51"/>
        <v>0</v>
      </c>
      <c r="S43" s="119">
        <f t="shared" si="52"/>
        <v>0</v>
      </c>
      <c r="T43" s="119">
        <f t="shared" si="52"/>
        <v>0</v>
      </c>
      <c r="U43" s="119">
        <f t="shared" si="52"/>
        <v>0</v>
      </c>
      <c r="V43" s="119">
        <f t="shared" si="52"/>
        <v>0</v>
      </c>
      <c r="W43" s="119">
        <f t="shared" si="52"/>
        <v>0</v>
      </c>
      <c r="X43" s="119">
        <f t="shared" si="52"/>
        <v>0</v>
      </c>
      <c r="Y43" s="119">
        <f t="shared" si="52"/>
        <v>0</v>
      </c>
      <c r="Z43" s="119">
        <f t="shared" si="52"/>
        <v>0</v>
      </c>
      <c r="AA43" s="119">
        <f t="shared" si="52"/>
        <v>0</v>
      </c>
      <c r="AB43" s="118" t="e">
        <f t="shared" si="53"/>
        <v>#DIV/0!</v>
      </c>
    </row>
    <row r="44" spans="2:28" x14ac:dyDescent="0.2">
      <c r="B44" s="20" t="s">
        <v>81</v>
      </c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118" t="e">
        <f t="shared" si="50"/>
        <v>#DIV/0!</v>
      </c>
      <c r="Q44" s="31">
        <v>0.1</v>
      </c>
      <c r="R44" s="119">
        <f t="shared" si="51"/>
        <v>0</v>
      </c>
      <c r="S44" s="119">
        <f t="shared" si="52"/>
        <v>0</v>
      </c>
      <c r="T44" s="119">
        <f t="shared" si="52"/>
        <v>0</v>
      </c>
      <c r="U44" s="119">
        <f t="shared" si="52"/>
        <v>0</v>
      </c>
      <c r="V44" s="119">
        <f t="shared" si="52"/>
        <v>0</v>
      </c>
      <c r="W44" s="119">
        <f t="shared" si="52"/>
        <v>0</v>
      </c>
      <c r="X44" s="119">
        <f t="shared" si="52"/>
        <v>0</v>
      </c>
      <c r="Y44" s="119">
        <f t="shared" si="52"/>
        <v>0</v>
      </c>
      <c r="Z44" s="119">
        <f t="shared" si="52"/>
        <v>0</v>
      </c>
      <c r="AA44" s="119">
        <f t="shared" si="52"/>
        <v>0</v>
      </c>
      <c r="AB44" s="118" t="e">
        <f t="shared" si="53"/>
        <v>#DIV/0!</v>
      </c>
    </row>
    <row r="45" spans="2:28" x14ac:dyDescent="0.2">
      <c r="B45" s="20" t="s">
        <v>78</v>
      </c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118" t="e">
        <f t="shared" si="50"/>
        <v>#DIV/0!</v>
      </c>
      <c r="Q45" s="31">
        <v>0.1</v>
      </c>
      <c r="R45" s="119">
        <f t="shared" si="51"/>
        <v>0</v>
      </c>
      <c r="S45" s="119">
        <f t="shared" si="52"/>
        <v>0</v>
      </c>
      <c r="T45" s="119">
        <f t="shared" si="52"/>
        <v>0</v>
      </c>
      <c r="U45" s="119">
        <f t="shared" si="52"/>
        <v>0</v>
      </c>
      <c r="V45" s="119">
        <f t="shared" si="52"/>
        <v>0</v>
      </c>
      <c r="W45" s="119">
        <f t="shared" si="52"/>
        <v>0</v>
      </c>
      <c r="X45" s="119">
        <f t="shared" si="52"/>
        <v>0</v>
      </c>
      <c r="Y45" s="119">
        <f t="shared" si="52"/>
        <v>0</v>
      </c>
      <c r="Z45" s="119">
        <f t="shared" si="52"/>
        <v>0</v>
      </c>
      <c r="AA45" s="119">
        <f t="shared" si="52"/>
        <v>0</v>
      </c>
      <c r="AB45" s="118" t="e">
        <f t="shared" si="53"/>
        <v>#DIV/0!</v>
      </c>
    </row>
    <row r="46" spans="2:28" x14ac:dyDescent="0.2">
      <c r="B46" s="20" t="s">
        <v>79</v>
      </c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118" t="e">
        <f t="shared" si="50"/>
        <v>#DIV/0!</v>
      </c>
      <c r="Q46" s="31">
        <v>0.1</v>
      </c>
      <c r="R46" s="119">
        <f t="shared" si="51"/>
        <v>0</v>
      </c>
      <c r="S46" s="119">
        <f t="shared" si="52"/>
        <v>0</v>
      </c>
      <c r="T46" s="119">
        <f t="shared" si="52"/>
        <v>0</v>
      </c>
      <c r="U46" s="119">
        <f t="shared" si="52"/>
        <v>0</v>
      </c>
      <c r="V46" s="119">
        <f t="shared" si="52"/>
        <v>0</v>
      </c>
      <c r="W46" s="119">
        <f t="shared" si="52"/>
        <v>0</v>
      </c>
      <c r="X46" s="119">
        <f t="shared" si="52"/>
        <v>0</v>
      </c>
      <c r="Y46" s="119">
        <f t="shared" si="52"/>
        <v>0</v>
      </c>
      <c r="Z46" s="119">
        <f t="shared" si="52"/>
        <v>0</v>
      </c>
      <c r="AA46" s="119">
        <f t="shared" si="52"/>
        <v>0</v>
      </c>
      <c r="AB46" s="118" t="e">
        <f t="shared" si="53"/>
        <v>#DIV/0!</v>
      </c>
    </row>
    <row r="47" spans="2:28" x14ac:dyDescent="0.2">
      <c r="B47" s="20" t="s">
        <v>80</v>
      </c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118" t="e">
        <f t="shared" si="50"/>
        <v>#DIV/0!</v>
      </c>
      <c r="Q47" s="31">
        <v>0.1</v>
      </c>
      <c r="R47" s="119">
        <f t="shared" si="51"/>
        <v>0</v>
      </c>
      <c r="S47" s="119">
        <f t="shared" si="52"/>
        <v>0</v>
      </c>
      <c r="T47" s="119">
        <f t="shared" si="52"/>
        <v>0</v>
      </c>
      <c r="U47" s="119">
        <f t="shared" si="52"/>
        <v>0</v>
      </c>
      <c r="V47" s="119">
        <f t="shared" si="52"/>
        <v>0</v>
      </c>
      <c r="W47" s="119">
        <f t="shared" si="52"/>
        <v>0</v>
      </c>
      <c r="X47" s="119">
        <f t="shared" si="52"/>
        <v>0</v>
      </c>
      <c r="Y47" s="119">
        <f t="shared" si="52"/>
        <v>0</v>
      </c>
      <c r="Z47" s="119">
        <f t="shared" si="52"/>
        <v>0</v>
      </c>
      <c r="AA47" s="119">
        <f t="shared" si="52"/>
        <v>0</v>
      </c>
      <c r="AB47" s="118" t="e">
        <f t="shared" si="53"/>
        <v>#DIV/0!</v>
      </c>
    </row>
    <row r="48" spans="2:28" x14ac:dyDescent="0.2"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</row>
    <row r="49" spans="2:28" x14ac:dyDescent="0.2"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</row>
    <row r="50" spans="2:28" x14ac:dyDescent="0.2">
      <c r="B50" s="108" t="s">
        <v>244</v>
      </c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3"/>
      <c r="Q50" s="23"/>
      <c r="R50" s="122" t="s">
        <v>66</v>
      </c>
      <c r="S50" s="20"/>
      <c r="T50" s="20"/>
      <c r="U50" s="20"/>
      <c r="V50" s="20"/>
      <c r="W50" s="20"/>
      <c r="X50" s="20"/>
      <c r="Y50" s="20"/>
      <c r="Z50" s="20"/>
      <c r="AA50" s="20"/>
      <c r="AB50" s="20"/>
    </row>
    <row r="51" spans="2:28" x14ac:dyDescent="0.2">
      <c r="B51" s="20" t="s">
        <v>25</v>
      </c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121">
        <f>PV($C$2, ($AA$4-$R$4), 0, -AA26)</f>
        <v>0</v>
      </c>
      <c r="S51" s="20"/>
      <c r="T51" s="20"/>
      <c r="U51" s="20"/>
      <c r="V51" s="20"/>
      <c r="W51" s="20"/>
      <c r="X51" s="20"/>
      <c r="Y51" s="20"/>
      <c r="Z51" s="20"/>
      <c r="AA51" s="20"/>
      <c r="AB51" s="20"/>
    </row>
    <row r="52" spans="2:28" x14ac:dyDescent="0.2">
      <c r="B52" s="20" t="s">
        <v>276</v>
      </c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121">
        <f>PV($C$2, ($AA$4-$R$4), 0, -AA27)</f>
        <v>1.4180577401144825</v>
      </c>
      <c r="S52" s="20"/>
      <c r="T52" s="20"/>
      <c r="U52" s="20"/>
      <c r="V52" s="20"/>
      <c r="W52" s="20"/>
      <c r="X52" s="20"/>
      <c r="Y52" s="20"/>
      <c r="Z52" s="20"/>
      <c r="AA52" s="20"/>
      <c r="AB52" s="20"/>
    </row>
    <row r="53" spans="2:28" x14ac:dyDescent="0.2">
      <c r="B53" s="20" t="s">
        <v>277</v>
      </c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121">
        <f>PV($C$2, ($AA$4-$R$4), 0, -AA28)</f>
        <v>29.902737282255988</v>
      </c>
      <c r="S53" s="20"/>
      <c r="T53" s="20"/>
      <c r="U53" s="20"/>
      <c r="V53" s="20"/>
      <c r="W53" s="20"/>
      <c r="X53" s="20"/>
      <c r="Y53" s="20"/>
      <c r="Z53" s="20"/>
      <c r="AA53" s="20"/>
      <c r="AB53" s="20"/>
    </row>
    <row r="54" spans="2:28" x14ac:dyDescent="0.2">
      <c r="B54" s="20" t="s">
        <v>278</v>
      </c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121">
        <f>PV($C$2, ($AA$4-$R$4), 0, -AA29)</f>
        <v>181.24546403708604</v>
      </c>
      <c r="S54" s="20"/>
      <c r="T54" s="20"/>
      <c r="U54" s="20"/>
      <c r="V54" s="20"/>
      <c r="W54" s="20"/>
      <c r="X54" s="20"/>
      <c r="Y54" s="20"/>
      <c r="Z54" s="20"/>
      <c r="AA54" s="20"/>
      <c r="AB54" s="20"/>
    </row>
    <row r="55" spans="2:28" x14ac:dyDescent="0.2">
      <c r="B55" s="20" t="s">
        <v>279</v>
      </c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121">
        <f>PV($C$2, ($AA$4-$R$4), 0, -AA34)</f>
        <v>9.3084127175530327</v>
      </c>
      <c r="S55" s="20"/>
      <c r="T55" s="20"/>
      <c r="U55" s="20"/>
      <c r="V55" s="20"/>
      <c r="W55" s="20"/>
      <c r="X55" s="20"/>
      <c r="Y55" s="20"/>
      <c r="Z55" s="20"/>
      <c r="AA55" s="20"/>
      <c r="AB55" s="20"/>
    </row>
    <row r="56" spans="2:28" x14ac:dyDescent="0.2"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121"/>
      <c r="S56" s="20"/>
      <c r="T56" s="20"/>
      <c r="U56" s="20"/>
      <c r="V56" s="20"/>
      <c r="W56" s="20"/>
      <c r="X56" s="20"/>
      <c r="Y56" s="20"/>
      <c r="Z56" s="20"/>
      <c r="AA56" s="20"/>
      <c r="AB56" s="20"/>
    </row>
    <row r="57" spans="2:28" x14ac:dyDescent="0.2">
      <c r="B57" s="20" t="s">
        <v>274</v>
      </c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121">
        <f>PV($C$2, ($AA$4-$R$4), 0, -AA31)</f>
        <v>-146.99070661591679</v>
      </c>
      <c r="S57" s="20"/>
      <c r="T57" s="20"/>
      <c r="U57" s="20"/>
      <c r="V57" s="20"/>
      <c r="W57" s="20"/>
      <c r="X57" s="20"/>
      <c r="Y57" s="20"/>
      <c r="Z57" s="20"/>
      <c r="AA57" s="20"/>
      <c r="AB57" s="20"/>
    </row>
    <row r="58" spans="2:28" x14ac:dyDescent="0.2">
      <c r="B58" s="20" t="s">
        <v>275</v>
      </c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121">
        <f>PV($C$2, ($AA$4-$R$4), 0, -AA32)</f>
        <v>-201.91881831833595</v>
      </c>
      <c r="S58" s="20"/>
      <c r="T58" s="20"/>
      <c r="U58" s="20"/>
      <c r="V58" s="20"/>
      <c r="W58" s="20"/>
      <c r="X58" s="20"/>
      <c r="Y58" s="20"/>
      <c r="Z58" s="20"/>
      <c r="AA58" s="20"/>
      <c r="AB58" s="20"/>
    </row>
    <row r="59" spans="2:28" x14ac:dyDescent="0.2"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121"/>
      <c r="S59" s="20"/>
      <c r="T59" s="20"/>
      <c r="U59" s="20"/>
      <c r="V59" s="20"/>
      <c r="W59" s="20"/>
      <c r="X59" s="20"/>
      <c r="Y59" s="20"/>
      <c r="Z59" s="20"/>
      <c r="AA59" s="20"/>
      <c r="AB59" s="20"/>
    </row>
    <row r="60" spans="2:28" x14ac:dyDescent="0.2">
      <c r="B60" s="20" t="s">
        <v>249</v>
      </c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121">
        <f>PV($C$2, ($AA$4-$R$4), 0, -AA37)</f>
        <v>17.902396797521689</v>
      </c>
      <c r="S60" s="20"/>
      <c r="T60" s="20"/>
      <c r="U60" s="20"/>
      <c r="V60" s="20"/>
      <c r="W60" s="20"/>
      <c r="X60" s="20"/>
      <c r="Y60" s="20"/>
      <c r="Z60" s="20"/>
      <c r="AA60" s="20"/>
      <c r="AB60" s="20"/>
    </row>
    <row r="61" spans="2:28" x14ac:dyDescent="0.2"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121"/>
      <c r="S61" s="20"/>
      <c r="T61" s="20"/>
      <c r="U61" s="20"/>
      <c r="V61" s="20"/>
      <c r="W61" s="20"/>
      <c r="X61" s="20"/>
      <c r="Y61" s="20"/>
      <c r="Z61" s="20"/>
      <c r="AA61" s="20"/>
      <c r="AB61" s="20"/>
    </row>
    <row r="62" spans="2:28" x14ac:dyDescent="0.2">
      <c r="B62" s="20" t="s">
        <v>250</v>
      </c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121">
        <f>PV($C$2, ($AA$4-$R$4), 0, -AA38)</f>
        <v>211.21809871308807</v>
      </c>
      <c r="S62" s="20"/>
      <c r="T62" s="20"/>
      <c r="U62" s="20"/>
      <c r="V62" s="20"/>
      <c r="W62" s="20"/>
      <c r="X62" s="20"/>
      <c r="Y62" s="20"/>
      <c r="Z62" s="20"/>
      <c r="AA62" s="20"/>
      <c r="AB62" s="20"/>
    </row>
    <row r="63" spans="2:28" x14ac:dyDescent="0.2"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121"/>
      <c r="S63" s="20"/>
      <c r="T63" s="20"/>
      <c r="U63" s="20"/>
      <c r="V63" s="20"/>
      <c r="W63" s="20"/>
      <c r="X63" s="20"/>
      <c r="Y63" s="20"/>
      <c r="Z63" s="20"/>
      <c r="AA63" s="20"/>
      <c r="AB63" s="20"/>
    </row>
    <row r="64" spans="2:28" x14ac:dyDescent="0.2">
      <c r="B64" s="108" t="s">
        <v>251</v>
      </c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</row>
    <row r="65" spans="2:28" x14ac:dyDescent="0.2">
      <c r="B65" s="20" t="s">
        <v>204</v>
      </c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>
        <v>455</v>
      </c>
      <c r="N65" s="22">
        <v>115</v>
      </c>
      <c r="O65" s="22">
        <v>1200</v>
      </c>
      <c r="P65" s="118">
        <f t="shared" ref="P65:P69" si="54">((O65/M65)^(1/($H$3-$H$2) ))-1</f>
        <v>0.27436097157842232</v>
      </c>
      <c r="Q65" s="31">
        <v>0.1</v>
      </c>
      <c r="R65" s="119">
        <f t="shared" ref="R65:R69" si="55">O65*(1+$Q65)</f>
        <v>1320</v>
      </c>
      <c r="S65" s="119">
        <f t="shared" ref="S65:AA69" si="56">R65*(1+$Q65)</f>
        <v>1452.0000000000002</v>
      </c>
      <c r="T65" s="119">
        <f t="shared" si="56"/>
        <v>1597.2000000000003</v>
      </c>
      <c r="U65" s="119">
        <f t="shared" si="56"/>
        <v>1756.9200000000005</v>
      </c>
      <c r="V65" s="119">
        <f t="shared" si="56"/>
        <v>1932.6120000000008</v>
      </c>
      <c r="W65" s="119">
        <f t="shared" si="56"/>
        <v>2125.8732000000009</v>
      </c>
      <c r="X65" s="119">
        <f t="shared" si="56"/>
        <v>2338.460520000001</v>
      </c>
      <c r="Y65" s="119">
        <f t="shared" si="56"/>
        <v>2572.3065720000013</v>
      </c>
      <c r="Z65" s="119">
        <f t="shared" si="56"/>
        <v>2829.5372292000015</v>
      </c>
      <c r="AA65" s="119">
        <f t="shared" si="56"/>
        <v>3112.490952120002</v>
      </c>
      <c r="AB65" s="118">
        <f t="shared" ref="AB65:AB69" si="57">((AA65/M65)^(1/($AA$4-$H$2) ))-1</f>
        <v>0.14722806927774834</v>
      </c>
    </row>
    <row r="66" spans="2:28" x14ac:dyDescent="0.2">
      <c r="B66" s="20" t="s">
        <v>42</v>
      </c>
      <c r="C66" s="25" t="e">
        <f>C65/C26</f>
        <v>#DIV/0!</v>
      </c>
      <c r="D66" s="25" t="e">
        <f t="shared" ref="D66:O66" si="58">D65/D26</f>
        <v>#DIV/0!</v>
      </c>
      <c r="E66" s="25" t="e">
        <f t="shared" si="58"/>
        <v>#DIV/0!</v>
      </c>
      <c r="F66" s="25" t="e">
        <f t="shared" si="58"/>
        <v>#DIV/0!</v>
      </c>
      <c r="G66" s="25" t="e">
        <f t="shared" si="58"/>
        <v>#DIV/0!</v>
      </c>
      <c r="H66" s="25" t="e">
        <f t="shared" si="58"/>
        <v>#DIV/0!</v>
      </c>
      <c r="I66" s="25" t="e">
        <f t="shared" si="58"/>
        <v>#DIV/0!</v>
      </c>
      <c r="J66" s="25" t="e">
        <f t="shared" si="58"/>
        <v>#DIV/0!</v>
      </c>
      <c r="K66" s="25" t="e">
        <f t="shared" si="58"/>
        <v>#DIV/0!</v>
      </c>
      <c r="L66" s="25" t="e">
        <f t="shared" si="58"/>
        <v>#DIV/0!</v>
      </c>
      <c r="M66" s="25" t="e">
        <f t="shared" si="58"/>
        <v>#DIV/0!</v>
      </c>
      <c r="N66" s="25" t="e">
        <f t="shared" si="58"/>
        <v>#DIV/0!</v>
      </c>
      <c r="O66" s="25" t="e">
        <f t="shared" si="58"/>
        <v>#DIV/0!</v>
      </c>
      <c r="P66" s="118" t="e">
        <f t="shared" si="54"/>
        <v>#DIV/0!</v>
      </c>
      <c r="Q66" s="31">
        <v>0.1</v>
      </c>
      <c r="R66" s="119" t="e">
        <f t="shared" si="55"/>
        <v>#DIV/0!</v>
      </c>
      <c r="S66" s="119" t="e">
        <f t="shared" si="56"/>
        <v>#DIV/0!</v>
      </c>
      <c r="T66" s="119" t="e">
        <f t="shared" si="56"/>
        <v>#DIV/0!</v>
      </c>
      <c r="U66" s="119" t="e">
        <f t="shared" si="56"/>
        <v>#DIV/0!</v>
      </c>
      <c r="V66" s="119" t="e">
        <f t="shared" si="56"/>
        <v>#DIV/0!</v>
      </c>
      <c r="W66" s="119" t="e">
        <f t="shared" si="56"/>
        <v>#DIV/0!</v>
      </c>
      <c r="X66" s="119" t="e">
        <f t="shared" si="56"/>
        <v>#DIV/0!</v>
      </c>
      <c r="Y66" s="119" t="e">
        <f t="shared" si="56"/>
        <v>#DIV/0!</v>
      </c>
      <c r="Z66" s="119" t="e">
        <f t="shared" si="56"/>
        <v>#DIV/0!</v>
      </c>
      <c r="AA66" s="119" t="e">
        <f t="shared" si="56"/>
        <v>#DIV/0!</v>
      </c>
      <c r="AB66" s="118" t="e">
        <f t="shared" si="57"/>
        <v>#DIV/0!</v>
      </c>
    </row>
    <row r="67" spans="2:28" x14ac:dyDescent="0.2">
      <c r="B67" s="20" t="s">
        <v>259</v>
      </c>
      <c r="C67" s="25" t="e">
        <f>C65/C28</f>
        <v>#DIV/0!</v>
      </c>
      <c r="D67" s="25" t="e">
        <f t="shared" ref="D67:O67" si="59">D65/D28</f>
        <v>#DIV/0!</v>
      </c>
      <c r="E67" s="25" t="e">
        <f t="shared" si="59"/>
        <v>#DIV/0!</v>
      </c>
      <c r="F67" s="25" t="e">
        <f t="shared" si="59"/>
        <v>#DIV/0!</v>
      </c>
      <c r="G67" s="25" t="e">
        <f t="shared" si="59"/>
        <v>#DIV/0!</v>
      </c>
      <c r="H67" s="25" t="e">
        <f t="shared" si="59"/>
        <v>#DIV/0!</v>
      </c>
      <c r="I67" s="25" t="e">
        <f t="shared" si="59"/>
        <v>#DIV/0!</v>
      </c>
      <c r="J67" s="25" t="e">
        <f t="shared" si="59"/>
        <v>#DIV/0!</v>
      </c>
      <c r="K67" s="25" t="e">
        <f t="shared" si="59"/>
        <v>#DIV/0!</v>
      </c>
      <c r="L67" s="25" t="e">
        <f t="shared" si="59"/>
        <v>#DIV/0!</v>
      </c>
      <c r="M67" s="25" t="e">
        <f t="shared" si="59"/>
        <v>#DIV/0!</v>
      </c>
      <c r="N67" s="25" t="e">
        <f t="shared" si="59"/>
        <v>#DIV/0!</v>
      </c>
      <c r="O67" s="25">
        <f t="shared" si="59"/>
        <v>17.384358775577322</v>
      </c>
      <c r="P67" s="118" t="e">
        <f t="shared" si="54"/>
        <v>#DIV/0!</v>
      </c>
      <c r="Q67" s="31">
        <v>0.1</v>
      </c>
      <c r="R67" s="119">
        <f t="shared" si="55"/>
        <v>19.122794653135056</v>
      </c>
      <c r="S67" s="119">
        <f t="shared" si="56"/>
        <v>21.035074118448563</v>
      </c>
      <c r="T67" s="119">
        <f t="shared" si="56"/>
        <v>23.138581530293422</v>
      </c>
      <c r="U67" s="119">
        <f t="shared" si="56"/>
        <v>25.452439683322766</v>
      </c>
      <c r="V67" s="119">
        <f t="shared" si="56"/>
        <v>27.997683651655045</v>
      </c>
      <c r="W67" s="119">
        <f t="shared" si="56"/>
        <v>30.79745201682055</v>
      </c>
      <c r="X67" s="119">
        <f t="shared" si="56"/>
        <v>33.877197218502609</v>
      </c>
      <c r="Y67" s="119">
        <f t="shared" si="56"/>
        <v>37.264916940352876</v>
      </c>
      <c r="Z67" s="119">
        <f t="shared" si="56"/>
        <v>40.991408634388165</v>
      </c>
      <c r="AA67" s="119">
        <f t="shared" si="56"/>
        <v>45.090549497826984</v>
      </c>
      <c r="AB67" s="118" t="e">
        <f t="shared" si="57"/>
        <v>#DIV/0!</v>
      </c>
    </row>
    <row r="68" spans="2:28" x14ac:dyDescent="0.2">
      <c r="B68" s="20" t="s">
        <v>260</v>
      </c>
      <c r="C68" s="130" t="e">
        <f>C65/C36</f>
        <v>#DIV/0!</v>
      </c>
      <c r="D68" s="130" t="e">
        <f t="shared" ref="D68:O68" si="60">D65/D36</f>
        <v>#DIV/0!</v>
      </c>
      <c r="E68" s="130" t="e">
        <f t="shared" si="60"/>
        <v>#DIV/0!</v>
      </c>
      <c r="F68" s="130" t="e">
        <f t="shared" si="60"/>
        <v>#DIV/0!</v>
      </c>
      <c r="G68" s="130" t="e">
        <f t="shared" si="60"/>
        <v>#DIV/0!</v>
      </c>
      <c r="H68" s="130" t="e">
        <f t="shared" si="60"/>
        <v>#DIV/0!</v>
      </c>
      <c r="I68" s="130" t="e">
        <f t="shared" si="60"/>
        <v>#DIV/0!</v>
      </c>
      <c r="J68" s="130" t="e">
        <f t="shared" si="60"/>
        <v>#DIV/0!</v>
      </c>
      <c r="K68" s="130" t="e">
        <f t="shared" si="60"/>
        <v>#DIV/0!</v>
      </c>
      <c r="L68" s="130" t="e">
        <f t="shared" si="60"/>
        <v>#DIV/0!</v>
      </c>
      <c r="M68" s="25" t="e">
        <f t="shared" si="60"/>
        <v>#DIV/0!</v>
      </c>
      <c r="N68" s="25" t="e">
        <f t="shared" si="60"/>
        <v>#DIV/0!</v>
      </c>
      <c r="O68" s="25">
        <f t="shared" si="60"/>
        <v>49.745669661863893</v>
      </c>
      <c r="P68" s="118" t="e">
        <f t="shared" si="54"/>
        <v>#DIV/0!</v>
      </c>
      <c r="Q68" s="31">
        <v>0.1</v>
      </c>
      <c r="R68" s="119">
        <f t="shared" si="55"/>
        <v>54.720236628050287</v>
      </c>
      <c r="S68" s="119">
        <f t="shared" si="56"/>
        <v>60.192260290855323</v>
      </c>
      <c r="T68" s="119">
        <f t="shared" si="56"/>
        <v>66.21148631994086</v>
      </c>
      <c r="U68" s="119">
        <f t="shared" si="56"/>
        <v>72.832634951934949</v>
      </c>
      <c r="V68" s="119">
        <f t="shared" si="56"/>
        <v>80.115898447128444</v>
      </c>
      <c r="W68" s="119">
        <f t="shared" si="56"/>
        <v>88.127488291841303</v>
      </c>
      <c r="X68" s="119">
        <f t="shared" si="56"/>
        <v>96.940237121025447</v>
      </c>
      <c r="Y68" s="119">
        <f t="shared" si="56"/>
        <v>106.634260833128</v>
      </c>
      <c r="Z68" s="119">
        <f t="shared" si="56"/>
        <v>117.29768691644081</v>
      </c>
      <c r="AA68" s="119">
        <f t="shared" si="56"/>
        <v>129.02745560808489</v>
      </c>
      <c r="AB68" s="118" t="e">
        <f t="shared" si="57"/>
        <v>#DIV/0!</v>
      </c>
    </row>
    <row r="69" spans="2:28" x14ac:dyDescent="0.2">
      <c r="B69" s="20" t="s">
        <v>261</v>
      </c>
      <c r="C69" s="130" t="e">
        <f>C65/C38</f>
        <v>#DIV/0!</v>
      </c>
      <c r="D69" s="130" t="e">
        <f t="shared" ref="D69:O69" si="61">D65/D38</f>
        <v>#DIV/0!</v>
      </c>
      <c r="E69" s="130" t="e">
        <f t="shared" si="61"/>
        <v>#DIV/0!</v>
      </c>
      <c r="F69" s="130" t="e">
        <f t="shared" si="61"/>
        <v>#DIV/0!</v>
      </c>
      <c r="G69" s="130" t="e">
        <f t="shared" si="61"/>
        <v>#DIV/0!</v>
      </c>
      <c r="H69" s="130" t="e">
        <f t="shared" si="61"/>
        <v>#DIV/0!</v>
      </c>
      <c r="I69" s="130" t="e">
        <f t="shared" si="61"/>
        <v>#DIV/0!</v>
      </c>
      <c r="J69" s="130" t="e">
        <f t="shared" si="61"/>
        <v>#DIV/0!</v>
      </c>
      <c r="K69" s="130" t="e">
        <f t="shared" si="61"/>
        <v>#DIV/0!</v>
      </c>
      <c r="L69" s="130" t="e">
        <f t="shared" si="61"/>
        <v>#DIV/0!</v>
      </c>
      <c r="M69" s="25" t="e">
        <f t="shared" si="61"/>
        <v>#DIV/0!</v>
      </c>
      <c r="N69" s="25" t="e">
        <f t="shared" si="61"/>
        <v>#DIV/0!</v>
      </c>
      <c r="O69" s="25">
        <f t="shared" si="61"/>
        <v>2.4611523181671284</v>
      </c>
      <c r="P69" s="118" t="e">
        <f t="shared" si="54"/>
        <v>#DIV/0!</v>
      </c>
      <c r="Q69" s="31">
        <v>0.1</v>
      </c>
      <c r="R69" s="119">
        <f t="shared" si="55"/>
        <v>2.7072675499838414</v>
      </c>
      <c r="S69" s="119">
        <f t="shared" si="56"/>
        <v>2.9779943049822259</v>
      </c>
      <c r="T69" s="119">
        <f t="shared" si="56"/>
        <v>3.2757937354804487</v>
      </c>
      <c r="U69" s="119">
        <f t="shared" si="56"/>
        <v>3.6033731090284937</v>
      </c>
      <c r="V69" s="119">
        <f t="shared" si="56"/>
        <v>3.9637104199313433</v>
      </c>
      <c r="W69" s="119">
        <f t="shared" si="56"/>
        <v>4.3600814619244783</v>
      </c>
      <c r="X69" s="119">
        <f t="shared" si="56"/>
        <v>4.7960896081169269</v>
      </c>
      <c r="Y69" s="119">
        <f t="shared" si="56"/>
        <v>5.27569856892862</v>
      </c>
      <c r="Z69" s="119">
        <f t="shared" si="56"/>
        <v>5.8032684258214822</v>
      </c>
      <c r="AA69" s="119">
        <f t="shared" si="56"/>
        <v>6.3835952684036306</v>
      </c>
      <c r="AB69" s="118" t="e">
        <f t="shared" si="57"/>
        <v>#DIV/0!</v>
      </c>
    </row>
    <row r="70" spans="2:28" x14ac:dyDescent="0.2"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</row>
    <row r="71" spans="2:28" x14ac:dyDescent="0.2"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</row>
    <row r="72" spans="2:28" x14ac:dyDescent="0.2"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</row>
    <row r="73" spans="2:28" x14ac:dyDescent="0.2"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</row>
    <row r="74" spans="2:28" x14ac:dyDescent="0.2"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</row>
  </sheetData>
  <pageMargins left="0.7" right="0.7" top="0.75" bottom="0.75" header="0.3" footer="0.3"/>
  <pageSetup orientation="portrait" r:id="rId1"/>
  <ignoredErrors>
    <ignoredError sqref="C66 R41:AA47" evalErro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45"/>
  <sheetViews>
    <sheetView zoomScale="80" zoomScaleNormal="80" workbookViewId="0">
      <selection activeCell="M5" sqref="M5:N10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 x14ac:dyDescent="0.3">
      <c r="D2" s="6" t="s">
        <v>64</v>
      </c>
    </row>
    <row r="3" spans="2:14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14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 x14ac:dyDescent="0.3">
      <c r="B5" s="18">
        <v>1</v>
      </c>
      <c r="C5" s="1">
        <v>2001</v>
      </c>
      <c r="D5" s="1">
        <v>2.61</v>
      </c>
      <c r="E5" s="1"/>
      <c r="F5" s="1"/>
      <c r="G5" s="1">
        <v>115.93</v>
      </c>
      <c r="J5" s="136" t="s">
        <v>27</v>
      </c>
      <c r="K5" s="136"/>
      <c r="M5" s="136" t="s">
        <v>65</v>
      </c>
      <c r="N5" s="136"/>
    </row>
    <row r="6" spans="2:14" x14ac:dyDescent="0.3">
      <c r="B6" s="18">
        <v>2</v>
      </c>
      <c r="C6" s="1">
        <v>2002</v>
      </c>
      <c r="D6" s="1">
        <v>5.18</v>
      </c>
      <c r="E6" s="1"/>
      <c r="F6" s="1"/>
      <c r="G6" s="1">
        <v>230.21</v>
      </c>
      <c r="J6" s="20" t="s">
        <v>28</v>
      </c>
      <c r="K6" s="21">
        <v>2.61</v>
      </c>
      <c r="M6" s="29" t="s">
        <v>41</v>
      </c>
      <c r="N6" s="54">
        <v>38911</v>
      </c>
    </row>
    <row r="7" spans="2:14" x14ac:dyDescent="0.3">
      <c r="B7" s="18">
        <v>3</v>
      </c>
      <c r="C7" s="1">
        <v>2003</v>
      </c>
      <c r="D7" s="1">
        <v>9.35</v>
      </c>
      <c r="E7" s="1"/>
      <c r="F7" s="1"/>
      <c r="G7" s="1">
        <v>416.1</v>
      </c>
      <c r="J7" s="20" t="s">
        <v>29</v>
      </c>
      <c r="K7" s="21">
        <v>203.28</v>
      </c>
      <c r="M7" s="29" t="s">
        <v>38</v>
      </c>
      <c r="N7" s="31">
        <v>0.15</v>
      </c>
    </row>
    <row r="8" spans="2:14" x14ac:dyDescent="0.3">
      <c r="B8" s="18">
        <v>4</v>
      </c>
      <c r="C8" s="1">
        <v>2004</v>
      </c>
      <c r="D8" s="1">
        <v>9.41</v>
      </c>
      <c r="E8" s="1"/>
      <c r="F8" s="1"/>
      <c r="G8" s="1">
        <v>512.76</v>
      </c>
      <c r="J8" s="20" t="s">
        <v>30</v>
      </c>
      <c r="K8" s="22">
        <v>20</v>
      </c>
      <c r="M8" s="29" t="s">
        <v>39</v>
      </c>
      <c r="N8" s="32">
        <v>14</v>
      </c>
    </row>
    <row r="9" spans="2:14" x14ac:dyDescent="0.3">
      <c r="B9" s="18">
        <v>5</v>
      </c>
      <c r="C9" s="1">
        <v>2005</v>
      </c>
      <c r="D9" s="1">
        <v>11.96</v>
      </c>
      <c r="E9" s="1"/>
      <c r="F9" s="1"/>
      <c r="G9" s="1">
        <v>651.36</v>
      </c>
      <c r="J9" s="23" t="s">
        <v>31</v>
      </c>
      <c r="K9" s="3">
        <f>((K7/K6)^(1/K8))-1</f>
        <v>0.24329076344312006</v>
      </c>
      <c r="M9" s="29" t="s">
        <v>40</v>
      </c>
      <c r="N9" s="30">
        <v>0</v>
      </c>
    </row>
    <row r="10" spans="2:14" x14ac:dyDescent="0.3">
      <c r="B10" s="18">
        <v>6</v>
      </c>
      <c r="C10" s="1">
        <v>2006</v>
      </c>
      <c r="D10" s="1">
        <v>14.38</v>
      </c>
      <c r="E10" s="1"/>
      <c r="F10" s="1"/>
      <c r="G10" s="1">
        <v>783.34</v>
      </c>
      <c r="J10" s="23" t="s">
        <v>32</v>
      </c>
      <c r="K10" s="24">
        <v>140</v>
      </c>
      <c r="M10" s="34" t="s">
        <v>66</v>
      </c>
      <c r="N10" s="55">
        <f>PV(N7,N8,N9,-N6)</f>
        <v>5499.2394108985745</v>
      </c>
    </row>
    <row r="11" spans="2:14" x14ac:dyDescent="0.3">
      <c r="B11" s="1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20" t="s">
        <v>30</v>
      </c>
      <c r="K11" s="25">
        <f>K10/12</f>
        <v>11.666666666666666</v>
      </c>
    </row>
    <row r="12" spans="2:14" x14ac:dyDescent="0.3">
      <c r="B12" s="1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23" t="s">
        <v>33</v>
      </c>
      <c r="K12" s="3">
        <f>((K7/K6)^(1/K11))-1</f>
        <v>0.45252842827596251</v>
      </c>
    </row>
    <row r="13" spans="2:14" x14ac:dyDescent="0.3">
      <c r="B13" s="1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 x14ac:dyDescent="0.3">
      <c r="B14" s="18">
        <v>10</v>
      </c>
      <c r="C14" s="1">
        <v>2010</v>
      </c>
      <c r="D14" s="1">
        <v>12.98</v>
      </c>
      <c r="E14" s="1"/>
      <c r="F14" s="1"/>
      <c r="G14" s="1">
        <v>706.96</v>
      </c>
      <c r="J14" s="136" t="s">
        <v>36</v>
      </c>
      <c r="K14" s="136"/>
      <c r="L14" s="136"/>
    </row>
    <row r="15" spans="2:14" x14ac:dyDescent="0.3">
      <c r="B15" s="1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29" t="s">
        <v>37</v>
      </c>
      <c r="K15" s="29"/>
      <c r="L15" s="30">
        <v>100000</v>
      </c>
    </row>
    <row r="16" spans="2:14" x14ac:dyDescent="0.3">
      <c r="B16" s="1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29" t="s">
        <v>38</v>
      </c>
      <c r="K16" s="29"/>
      <c r="L16" s="31">
        <v>0.15</v>
      </c>
    </row>
    <row r="17" spans="1:17" x14ac:dyDescent="0.3">
      <c r="B17" s="18"/>
      <c r="C17" s="1"/>
      <c r="D17" s="1"/>
      <c r="E17" s="1"/>
      <c r="F17" s="1"/>
      <c r="G17" s="1"/>
      <c r="J17" s="29" t="s">
        <v>39</v>
      </c>
      <c r="K17" s="29"/>
      <c r="L17" s="32">
        <v>10</v>
      </c>
    </row>
    <row r="18" spans="1:17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J18" s="29" t="s">
        <v>40</v>
      </c>
      <c r="K18" s="29"/>
      <c r="L18" s="33">
        <v>0</v>
      </c>
    </row>
    <row r="19" spans="1:17" x14ac:dyDescent="0.3">
      <c r="B19" s="18"/>
      <c r="C19" s="1" t="s">
        <v>43</v>
      </c>
      <c r="D19" s="1"/>
      <c r="E19" s="1"/>
      <c r="F19" s="1">
        <v>4</v>
      </c>
      <c r="G19" s="1"/>
      <c r="J19" s="34" t="s">
        <v>41</v>
      </c>
      <c r="K19" s="34"/>
      <c r="L19" s="29">
        <f>FV(L16,L17,L18,-L15)</f>
        <v>404555.77357079065</v>
      </c>
    </row>
    <row r="20" spans="1:17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17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17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17" x14ac:dyDescent="0.3">
      <c r="B23" s="18" t="s">
        <v>46</v>
      </c>
      <c r="C23" s="1"/>
      <c r="D23" s="4">
        <v>0.1125</v>
      </c>
      <c r="E23" s="4"/>
      <c r="F23" s="1"/>
      <c r="G23" s="1"/>
    </row>
    <row r="27" spans="1:17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17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67</v>
      </c>
      <c r="P28" s="28" t="s">
        <v>59</v>
      </c>
      <c r="Q28" s="28" t="s">
        <v>60</v>
      </c>
    </row>
    <row r="29" spans="1:17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27"/>
      <c r="P29" s="1"/>
      <c r="Q29" s="1"/>
    </row>
    <row r="30" spans="1:17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>H30/G30</f>
        <v>0.12446159783867232</v>
      </c>
      <c r="L30" s="27"/>
      <c r="M30" s="47"/>
      <c r="N30" s="27"/>
      <c r="O30" s="27"/>
      <c r="P30" s="1"/>
      <c r="Q30" s="1"/>
    </row>
    <row r="31" spans="1:17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0">E31/10000000</f>
        <v>44.48</v>
      </c>
      <c r="G31" s="44">
        <f t="shared" ref="G31:G41" si="1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v>0.09</v>
      </c>
      <c r="L31" s="48">
        <f>K31*J31</f>
        <v>6.9074999999999998E-2</v>
      </c>
      <c r="M31" s="49">
        <v>25.46</v>
      </c>
      <c r="N31" s="45">
        <f>H31</f>
        <v>5.18</v>
      </c>
      <c r="O31" s="45"/>
      <c r="P31" s="50">
        <f>N31*I31</f>
        <v>1.20435</v>
      </c>
      <c r="Q31" s="50">
        <f>N31*J31</f>
        <v>3.9756499999999995</v>
      </c>
    </row>
    <row r="32" spans="1:17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0"/>
        <v>44.48</v>
      </c>
      <c r="G32" s="40">
        <f t="shared" si="1"/>
        <v>32.814523381294961</v>
      </c>
      <c r="H32" s="27">
        <v>9.35</v>
      </c>
      <c r="I32" s="46">
        <f t="shared" ref="I32:I41" si="2">100%-J32</f>
        <v>0.19359999999999999</v>
      </c>
      <c r="J32" s="43">
        <v>0.80640000000000001</v>
      </c>
      <c r="K32" s="43">
        <f t="shared" ref="K32:K41" si="3">H32/G32</f>
        <v>0.28493481046047181</v>
      </c>
      <c r="L32" s="27"/>
      <c r="M32" s="47">
        <f>G31*(1+$L$31)</f>
        <v>27.222716215152882</v>
      </c>
      <c r="N32" s="39">
        <f>N31*(1+$K$31)</f>
        <v>5.6462000000000003</v>
      </c>
      <c r="O32" s="4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0"/>
        <v>44.48</v>
      </c>
      <c r="G33" s="40">
        <f t="shared" si="1"/>
        <v>46.787095323741013</v>
      </c>
      <c r="H33" s="27">
        <v>9.41</v>
      </c>
      <c r="I33" s="46">
        <f t="shared" si="2"/>
        <v>0.24050000000000005</v>
      </c>
      <c r="J33" s="43">
        <v>0.75949999999999995</v>
      </c>
      <c r="K33" s="43">
        <f t="shared" si="3"/>
        <v>0.20112383414460688</v>
      </c>
      <c r="L33" s="27"/>
      <c r="M33" s="47">
        <f>M32*(1+$L$31)</f>
        <v>29.103125337714566</v>
      </c>
      <c r="N33" s="39">
        <f t="shared" ref="N33:N41" si="4">N32*(1+$K$31)</f>
        <v>6.1543580000000011</v>
      </c>
      <c r="O33" s="42">
        <f t="shared" ref="O33:O41" si="5">(N33-H33)/H33</f>
        <v>-0.34597683315621669</v>
      </c>
      <c r="P33" s="1"/>
      <c r="Q33" s="1"/>
    </row>
    <row r="34" spans="2:17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0"/>
        <v>54.48</v>
      </c>
      <c r="G34" s="40">
        <f t="shared" si="1"/>
        <v>47.268538913362704</v>
      </c>
      <c r="H34" s="27">
        <v>11.96</v>
      </c>
      <c r="I34" s="46">
        <f t="shared" si="2"/>
        <v>0.22970000000000002</v>
      </c>
      <c r="J34" s="43">
        <v>0.77029999999999998</v>
      </c>
      <c r="K34" s="43">
        <f t="shared" si="3"/>
        <v>0.25302241776334949</v>
      </c>
      <c r="L34" s="27"/>
      <c r="M34" s="47">
        <f t="shared" ref="M34:M41" si="6">M33*(1+$L$31)</f>
        <v>31.113423720417199</v>
      </c>
      <c r="N34" s="39">
        <f t="shared" si="4"/>
        <v>6.7082502200000018</v>
      </c>
      <c r="O34" s="42">
        <f t="shared" si="5"/>
        <v>-0.43910951337792631</v>
      </c>
      <c r="P34" s="1"/>
      <c r="Q34" s="1"/>
    </row>
    <row r="35" spans="2:17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0"/>
        <v>54.48</v>
      </c>
      <c r="G35" s="40">
        <f t="shared" si="1"/>
        <v>583.17621145374449</v>
      </c>
      <c r="H35" s="27">
        <v>14.38</v>
      </c>
      <c r="I35" s="46">
        <f t="shared" si="2"/>
        <v>0.21830000000000005</v>
      </c>
      <c r="J35" s="43">
        <v>0.78169999999999995</v>
      </c>
      <c r="K35" s="43">
        <f t="shared" si="3"/>
        <v>2.4658070266881202E-2</v>
      </c>
      <c r="L35" s="27"/>
      <c r="M35" s="47">
        <f t="shared" si="6"/>
        <v>33.262583463905017</v>
      </c>
      <c r="N35" s="39">
        <f t="shared" si="4"/>
        <v>7.3119927398000026</v>
      </c>
      <c r="O35" s="42">
        <f t="shared" si="5"/>
        <v>-0.49151649931849778</v>
      </c>
      <c r="P35" s="1"/>
      <c r="Q35" s="1"/>
    </row>
    <row r="36" spans="2:17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0"/>
        <v>54.48</v>
      </c>
      <c r="G36" s="40">
        <f t="shared" si="1"/>
        <v>73.244493392070495</v>
      </c>
      <c r="H36" s="27">
        <v>18.510000000000002</v>
      </c>
      <c r="I36" s="46">
        <f t="shared" si="2"/>
        <v>0.18999999999999995</v>
      </c>
      <c r="J36" s="43">
        <v>0.81</v>
      </c>
      <c r="K36" s="43">
        <f t="shared" si="3"/>
        <v>0.25271524373740711</v>
      </c>
      <c r="L36" s="27"/>
      <c r="M36" s="47">
        <f t="shared" si="6"/>
        <v>35.560196416674259</v>
      </c>
      <c r="N36" s="39">
        <f t="shared" si="4"/>
        <v>7.9700720863820038</v>
      </c>
      <c r="O36" s="42">
        <f t="shared" si="5"/>
        <v>-0.56941803963360327</v>
      </c>
      <c r="P36" s="1"/>
      <c r="Q36" s="1"/>
    </row>
    <row r="37" spans="2:17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0"/>
        <v>54.48</v>
      </c>
      <c r="G37" s="40">
        <f t="shared" si="1"/>
        <v>89.145925110132168</v>
      </c>
      <c r="H37" s="27">
        <v>22.07</v>
      </c>
      <c r="I37" s="46">
        <f t="shared" si="2"/>
        <v>0.16979999999999995</v>
      </c>
      <c r="J37" s="43">
        <v>0.83020000000000005</v>
      </c>
      <c r="K37" s="43">
        <f t="shared" si="3"/>
        <v>0.24757160770651493</v>
      </c>
      <c r="L37" s="27"/>
      <c r="M37" s="47">
        <f t="shared" si="6"/>
        <v>38.016516984156034</v>
      </c>
      <c r="N37" s="39">
        <f t="shared" si="4"/>
        <v>8.6873785741563854</v>
      </c>
      <c r="O37" s="42">
        <f t="shared" si="5"/>
        <v>-0.60637160968933457</v>
      </c>
      <c r="P37" s="1"/>
      <c r="Q37" s="1"/>
    </row>
    <row r="38" spans="2:17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0"/>
        <v>54.48</v>
      </c>
      <c r="G38" s="40">
        <f t="shared" si="1"/>
        <v>131.25844346549192</v>
      </c>
      <c r="H38" s="27">
        <v>24.34</v>
      </c>
      <c r="I38" s="46">
        <f t="shared" si="2"/>
        <v>0.22809999999999997</v>
      </c>
      <c r="J38" s="43">
        <v>0.77190000000000003</v>
      </c>
      <c r="K38" s="43">
        <f t="shared" si="3"/>
        <v>0.18543568975354358</v>
      </c>
      <c r="L38" s="27"/>
      <c r="M38" s="47">
        <f t="shared" si="6"/>
        <v>40.642507894836612</v>
      </c>
      <c r="N38" s="39">
        <f t="shared" si="4"/>
        <v>9.4692426458304606</v>
      </c>
      <c r="O38" s="42">
        <f t="shared" si="5"/>
        <v>-0.61095962835536322</v>
      </c>
      <c r="P38" s="1"/>
      <c r="Q38" s="1"/>
    </row>
    <row r="39" spans="2:17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0"/>
        <v>54.48</v>
      </c>
      <c r="G39" s="40">
        <f t="shared" si="1"/>
        <v>138.11637298091043</v>
      </c>
      <c r="H39" s="27">
        <v>12.98</v>
      </c>
      <c r="I39" s="46">
        <f t="shared" si="2"/>
        <v>0.31620000000000004</v>
      </c>
      <c r="J39" s="43">
        <v>0.68379999999999996</v>
      </c>
      <c r="K39" s="43">
        <f t="shared" si="3"/>
        <v>9.3978720406986169E-2</v>
      </c>
      <c r="L39" s="27"/>
      <c r="M39" s="47">
        <f t="shared" si="6"/>
        <v>43.449889127672449</v>
      </c>
      <c r="N39" s="39">
        <f t="shared" si="4"/>
        <v>10.321474483955203</v>
      </c>
      <c r="O39" s="42">
        <f t="shared" si="5"/>
        <v>-0.20481706595106294</v>
      </c>
      <c r="P39" s="1"/>
      <c r="Q39" s="1"/>
    </row>
    <row r="40" spans="2:17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0"/>
        <v>61.8749343</v>
      </c>
      <c r="G40" s="40">
        <f t="shared" si="1"/>
        <v>150.70609941641587</v>
      </c>
      <c r="H40" s="27">
        <v>17.329999999999998</v>
      </c>
      <c r="I40" s="46">
        <f t="shared" si="2"/>
        <v>0.33550000000000002</v>
      </c>
      <c r="J40" s="43">
        <v>0.66449999999999998</v>
      </c>
      <c r="K40" s="43">
        <f t="shared" si="3"/>
        <v>0.11499202797436547</v>
      </c>
      <c r="L40" s="27"/>
      <c r="M40" s="47">
        <f t="shared" si="6"/>
        <v>46.451190219166421</v>
      </c>
      <c r="N40" s="39">
        <f t="shared" si="4"/>
        <v>11.250407187511172</v>
      </c>
      <c r="O40" s="42">
        <f t="shared" si="5"/>
        <v>-0.35081320325959764</v>
      </c>
      <c r="P40" s="1"/>
      <c r="Q40" s="1"/>
    </row>
    <row r="41" spans="2:17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0"/>
        <v>79.6998198</v>
      </c>
      <c r="G41" s="40">
        <f t="shared" si="1"/>
        <v>149.65730198551842</v>
      </c>
      <c r="H41" s="27">
        <v>13.18</v>
      </c>
      <c r="I41" s="46">
        <f t="shared" si="2"/>
        <v>0.39780000000000004</v>
      </c>
      <c r="J41" s="43">
        <v>0.60219999999999996</v>
      </c>
      <c r="K41" s="43">
        <f t="shared" si="3"/>
        <v>8.806787123073595E-2</v>
      </c>
      <c r="L41" s="27"/>
      <c r="M41" s="47">
        <f t="shared" si="6"/>
        <v>49.659806183555339</v>
      </c>
      <c r="N41" s="39">
        <f t="shared" si="4"/>
        <v>12.262943834387178</v>
      </c>
      <c r="O41" s="42">
        <f t="shared" si="5"/>
        <v>-6.9579375236177674E-2</v>
      </c>
      <c r="P41" s="1"/>
      <c r="Q41" s="1"/>
    </row>
    <row r="42" spans="2:17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61.314719171935891</v>
      </c>
      <c r="O42" s="27"/>
      <c r="P42" s="1"/>
      <c r="Q42" s="1"/>
    </row>
    <row r="43" spans="2:17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P43" s="1"/>
      <c r="Q43" s="1"/>
    </row>
    <row r="44" spans="2:17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27"/>
      <c r="P44" s="1"/>
      <c r="Q44" s="1"/>
    </row>
    <row r="45" spans="2:17" x14ac:dyDescent="0.3">
      <c r="L45" s="47">
        <v>103</v>
      </c>
      <c r="M45" s="2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45"/>
  <sheetViews>
    <sheetView zoomScale="80" zoomScaleNormal="80" workbookViewId="0">
      <selection activeCell="D20" sqref="D20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 x14ac:dyDescent="0.3">
      <c r="D2" s="6" t="s">
        <v>47</v>
      </c>
    </row>
    <row r="3" spans="2:20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20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 x14ac:dyDescent="0.3">
      <c r="B5" s="18">
        <v>1</v>
      </c>
      <c r="C5" s="1">
        <v>2001</v>
      </c>
      <c r="D5" s="1">
        <v>2.61</v>
      </c>
      <c r="E5" s="1"/>
      <c r="F5" s="1"/>
      <c r="G5" s="1">
        <v>115.93</v>
      </c>
      <c r="R5" s="136" t="s">
        <v>27</v>
      </c>
      <c r="S5" s="136"/>
    </row>
    <row r="6" spans="2:20" x14ac:dyDescent="0.3">
      <c r="B6" s="18">
        <v>2</v>
      </c>
      <c r="C6" s="1">
        <v>2002</v>
      </c>
      <c r="D6" s="1">
        <v>5.18</v>
      </c>
      <c r="E6" s="1"/>
      <c r="F6" s="1"/>
      <c r="G6" s="1">
        <v>230.21</v>
      </c>
      <c r="R6" s="20" t="s">
        <v>28</v>
      </c>
      <c r="S6" s="21">
        <v>2.61</v>
      </c>
    </row>
    <row r="7" spans="2:20" x14ac:dyDescent="0.3">
      <c r="B7" s="18">
        <v>3</v>
      </c>
      <c r="C7" s="1">
        <v>2003</v>
      </c>
      <c r="D7" s="1">
        <v>9.35</v>
      </c>
      <c r="E7" s="1"/>
      <c r="F7" s="1"/>
      <c r="G7" s="1">
        <v>416.1</v>
      </c>
      <c r="R7" s="20" t="s">
        <v>29</v>
      </c>
      <c r="S7" s="21">
        <v>203.28</v>
      </c>
    </row>
    <row r="8" spans="2:20" x14ac:dyDescent="0.3">
      <c r="B8" s="18">
        <v>4</v>
      </c>
      <c r="C8" s="1">
        <v>2004</v>
      </c>
      <c r="D8" s="1">
        <v>9.41</v>
      </c>
      <c r="E8" s="1"/>
      <c r="F8" s="1"/>
      <c r="G8" s="1">
        <v>512.76</v>
      </c>
      <c r="R8" s="20" t="s">
        <v>30</v>
      </c>
      <c r="S8" s="22">
        <v>20</v>
      </c>
    </row>
    <row r="9" spans="2:20" x14ac:dyDescent="0.3">
      <c r="B9" s="18">
        <v>5</v>
      </c>
      <c r="C9" s="1">
        <v>2005</v>
      </c>
      <c r="D9" s="1">
        <v>11.96</v>
      </c>
      <c r="E9" s="1"/>
      <c r="F9" s="1"/>
      <c r="G9" s="1">
        <v>651.36</v>
      </c>
      <c r="R9" s="23" t="s">
        <v>31</v>
      </c>
      <c r="S9" s="3">
        <f>((S7/S6)^(1/S8))-1</f>
        <v>0.24329076344312006</v>
      </c>
    </row>
    <row r="10" spans="2:20" x14ac:dyDescent="0.3">
      <c r="B10" s="18">
        <v>6</v>
      </c>
      <c r="C10" s="1">
        <v>2006</v>
      </c>
      <c r="D10" s="1">
        <v>14.38</v>
      </c>
      <c r="E10" s="1"/>
      <c r="F10" s="1"/>
      <c r="G10" s="1">
        <v>783.34</v>
      </c>
      <c r="R10" s="23" t="s">
        <v>32</v>
      </c>
      <c r="S10" s="24">
        <v>140</v>
      </c>
    </row>
    <row r="11" spans="2:20" x14ac:dyDescent="0.3">
      <c r="B11" s="18">
        <v>7</v>
      </c>
      <c r="C11" s="1">
        <v>2007</v>
      </c>
      <c r="D11" s="1">
        <v>18.510000000000002</v>
      </c>
      <c r="E11" s="1"/>
      <c r="F11" s="1"/>
      <c r="G11" s="1">
        <v>1008.43</v>
      </c>
      <c r="R11" s="20" t="s">
        <v>30</v>
      </c>
      <c r="S11" s="25">
        <f>S10/12</f>
        <v>11.666666666666666</v>
      </c>
    </row>
    <row r="12" spans="2:20" x14ac:dyDescent="0.3">
      <c r="B12" s="18">
        <v>8</v>
      </c>
      <c r="C12" s="1">
        <v>2008</v>
      </c>
      <c r="D12" s="1">
        <v>22.07</v>
      </c>
      <c r="E12" s="1"/>
      <c r="F12" s="1"/>
      <c r="G12" s="1">
        <v>1202.3399999999999</v>
      </c>
      <c r="R12" s="23" t="s">
        <v>33</v>
      </c>
      <c r="S12" s="3">
        <f>((S7/S6)^(1/S11))-1</f>
        <v>0.45252842827596251</v>
      </c>
    </row>
    <row r="13" spans="2:20" x14ac:dyDescent="0.3">
      <c r="B13" s="1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20" ht="15.75" x14ac:dyDescent="0.3">
      <c r="B14" s="18">
        <v>10</v>
      </c>
      <c r="C14" s="1">
        <v>2010</v>
      </c>
      <c r="D14" s="1">
        <v>12.98</v>
      </c>
      <c r="E14" s="1"/>
      <c r="F14" s="1"/>
      <c r="G14" s="1">
        <v>706.96</v>
      </c>
      <c r="R14" s="136" t="s">
        <v>36</v>
      </c>
      <c r="S14" s="136"/>
      <c r="T14" s="136"/>
    </row>
    <row r="15" spans="2:20" x14ac:dyDescent="0.3">
      <c r="B15" s="1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R15" s="29" t="s">
        <v>37</v>
      </c>
      <c r="S15" s="29"/>
      <c r="T15" s="30">
        <v>100000</v>
      </c>
    </row>
    <row r="16" spans="2:20" x14ac:dyDescent="0.3">
      <c r="B16" s="18">
        <v>12</v>
      </c>
      <c r="C16" s="1">
        <v>2012</v>
      </c>
      <c r="D16" s="1">
        <v>13.18</v>
      </c>
      <c r="E16" s="1"/>
      <c r="F16" s="1"/>
      <c r="G16" s="1">
        <v>1050.1300000000001</v>
      </c>
      <c r="R16" s="29" t="s">
        <v>38</v>
      </c>
      <c r="S16" s="29"/>
      <c r="T16" s="31">
        <v>0.15</v>
      </c>
    </row>
    <row r="17" spans="1:20" x14ac:dyDescent="0.3">
      <c r="B17" s="18"/>
      <c r="C17" s="1"/>
      <c r="D17" s="1"/>
      <c r="E17" s="1"/>
      <c r="F17" s="1"/>
      <c r="G17" s="1"/>
      <c r="R17" s="29" t="s">
        <v>39</v>
      </c>
      <c r="S17" s="29"/>
      <c r="T17" s="32">
        <v>10</v>
      </c>
    </row>
    <row r="18" spans="1:20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R18" s="29" t="s">
        <v>40</v>
      </c>
      <c r="S18" s="29"/>
      <c r="T18" s="33">
        <v>0</v>
      </c>
    </row>
    <row r="19" spans="1:20" x14ac:dyDescent="0.3">
      <c r="B19" s="18"/>
      <c r="C19" s="1" t="s">
        <v>43</v>
      </c>
      <c r="D19" s="1"/>
      <c r="E19" s="1"/>
      <c r="F19" s="1">
        <v>4</v>
      </c>
      <c r="G19" s="1"/>
      <c r="R19" s="34" t="s">
        <v>41</v>
      </c>
      <c r="S19" s="34"/>
      <c r="T19" s="29">
        <f>FV(T16,T17,T18,-T15)</f>
        <v>404555.77357079065</v>
      </c>
    </row>
    <row r="20" spans="1:20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20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20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20" x14ac:dyDescent="0.3">
      <c r="B23" s="18" t="s">
        <v>46</v>
      </c>
      <c r="C23" s="1"/>
      <c r="D23" s="4">
        <v>0.1125</v>
      </c>
      <c r="E23" s="4"/>
      <c r="F23" s="1"/>
      <c r="G23" s="1"/>
    </row>
    <row r="27" spans="1:20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20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59</v>
      </c>
      <c r="P28" s="28" t="s">
        <v>60</v>
      </c>
    </row>
    <row r="29" spans="1:20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1"/>
      <c r="P29" s="1"/>
    </row>
    <row r="30" spans="1:20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 t="shared" ref="K30:K41" si="0">H30/G30</f>
        <v>0.12446159783867232</v>
      </c>
      <c r="L30" s="27"/>
      <c r="M30" s="47"/>
      <c r="N30" s="27"/>
      <c r="O30" s="1"/>
      <c r="P30" s="1"/>
    </row>
    <row r="31" spans="1:20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1">E31/10000000</f>
        <v>44.48</v>
      </c>
      <c r="G31" s="44">
        <f t="shared" ref="G31:G41" si="2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f t="shared" si="0"/>
        <v>0.20342600849350623</v>
      </c>
      <c r="L31" s="48">
        <f>K31*J31</f>
        <v>0.15612946151876603</v>
      </c>
      <c r="M31" s="49">
        <v>25.46</v>
      </c>
      <c r="N31" s="45">
        <f>H31</f>
        <v>5.18</v>
      </c>
      <c r="O31" s="50">
        <f>N31*I31</f>
        <v>1.20435</v>
      </c>
      <c r="P31" s="50">
        <f>N31*J31</f>
        <v>3.9756499999999995</v>
      </c>
    </row>
    <row r="32" spans="1:20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1"/>
        <v>44.48</v>
      </c>
      <c r="G32" s="40">
        <f t="shared" si="2"/>
        <v>32.814523381294961</v>
      </c>
      <c r="H32" s="27">
        <v>9.35</v>
      </c>
      <c r="I32" s="46">
        <f t="shared" ref="I32:I41" si="3">100%-J32</f>
        <v>0.19359999999999999</v>
      </c>
      <c r="J32" s="43">
        <v>0.80640000000000001</v>
      </c>
      <c r="K32" s="43">
        <f t="shared" si="0"/>
        <v>0.28493481046047181</v>
      </c>
      <c r="L32" s="27"/>
      <c r="M32" s="47">
        <f>G31*(1+$L$31)</f>
        <v>29.439453956834537</v>
      </c>
      <c r="N32" s="3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1"/>
        <v>44.48</v>
      </c>
      <c r="G33" s="40">
        <f t="shared" si="2"/>
        <v>46.787095323741013</v>
      </c>
      <c r="H33" s="27">
        <v>9.41</v>
      </c>
      <c r="I33" s="46">
        <f t="shared" si="3"/>
        <v>0.24050000000000005</v>
      </c>
      <c r="J33" s="43">
        <v>0.75949999999999995</v>
      </c>
      <c r="K33" s="43">
        <f t="shared" si="0"/>
        <v>0.20112383414460688</v>
      </c>
      <c r="L33" s="27"/>
      <c r="M33" s="47">
        <f>M32*(1+$L$31)</f>
        <v>34.035820050521622</v>
      </c>
      <c r="N33" s="39">
        <f t="shared" ref="N33:N41" si="4">N32*(1+$K$31)</f>
        <v>7.5018529380184118</v>
      </c>
      <c r="O33" s="1"/>
      <c r="P33" s="1"/>
    </row>
    <row r="34" spans="2:16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1"/>
        <v>54.48</v>
      </c>
      <c r="G34" s="40">
        <f t="shared" si="2"/>
        <v>47.268538913362704</v>
      </c>
      <c r="H34" s="27">
        <v>11.96</v>
      </c>
      <c r="I34" s="46">
        <f t="shared" si="3"/>
        <v>0.22970000000000002</v>
      </c>
      <c r="J34" s="43">
        <v>0.77029999999999998</v>
      </c>
      <c r="K34" s="43">
        <f t="shared" si="0"/>
        <v>0.25302241776334949</v>
      </c>
      <c r="L34" s="27"/>
      <c r="M34" s="47">
        <f t="shared" ref="M34:M41" si="5">M33*(1+$L$31)</f>
        <v>39.349814307359182</v>
      </c>
      <c r="N34" s="39">
        <f t="shared" si="4"/>
        <v>9.0279249375047801</v>
      </c>
      <c r="O34" s="1"/>
      <c r="P34" s="1"/>
    </row>
    <row r="35" spans="2:16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1"/>
        <v>54.48</v>
      </c>
      <c r="G35" s="40">
        <f t="shared" si="2"/>
        <v>583.17621145374449</v>
      </c>
      <c r="H35" s="27">
        <v>14.38</v>
      </c>
      <c r="I35" s="46">
        <f t="shared" si="3"/>
        <v>0.21830000000000005</v>
      </c>
      <c r="J35" s="43">
        <v>0.78169999999999995</v>
      </c>
      <c r="K35" s="43">
        <f t="shared" si="0"/>
        <v>2.4658070266881202E-2</v>
      </c>
      <c r="L35" s="27"/>
      <c r="M35" s="47">
        <f t="shared" si="5"/>
        <v>45.493479626030606</v>
      </c>
      <c r="N35" s="39">
        <f t="shared" si="4"/>
        <v>10.864439672520364</v>
      </c>
      <c r="O35" s="1"/>
      <c r="P35" s="1"/>
    </row>
    <row r="36" spans="2:16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1"/>
        <v>54.48</v>
      </c>
      <c r="G36" s="40">
        <f t="shared" si="2"/>
        <v>73.244493392070495</v>
      </c>
      <c r="H36" s="27">
        <v>18.510000000000002</v>
      </c>
      <c r="I36" s="46">
        <f t="shared" si="3"/>
        <v>0.18999999999999995</v>
      </c>
      <c r="J36" s="43">
        <v>0.81</v>
      </c>
      <c r="K36" s="43">
        <f t="shared" si="0"/>
        <v>0.25271524373740711</v>
      </c>
      <c r="L36" s="27"/>
      <c r="M36" s="47">
        <f t="shared" si="5"/>
        <v>52.596352102657718</v>
      </c>
      <c r="N36" s="39">
        <f t="shared" si="4"/>
        <v>13.074549269619677</v>
      </c>
      <c r="O36" s="1"/>
      <c r="P36" s="1"/>
    </row>
    <row r="37" spans="2:16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1"/>
        <v>54.48</v>
      </c>
      <c r="G37" s="40">
        <f t="shared" si="2"/>
        <v>89.145925110132168</v>
      </c>
      <c r="H37" s="27">
        <v>22.07</v>
      </c>
      <c r="I37" s="46">
        <f t="shared" si="3"/>
        <v>0.16979999999999995</v>
      </c>
      <c r="J37" s="43">
        <v>0.83020000000000005</v>
      </c>
      <c r="K37" s="43">
        <f t="shared" si="0"/>
        <v>0.24757160770651493</v>
      </c>
      <c r="L37" s="27"/>
      <c r="M37" s="47">
        <f t="shared" si="5"/>
        <v>60.808192234297088</v>
      </c>
      <c r="N37" s="39">
        <f t="shared" si="4"/>
        <v>15.734252640390094</v>
      </c>
      <c r="O37" s="1"/>
      <c r="P37" s="1"/>
    </row>
    <row r="38" spans="2:16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1"/>
        <v>54.48</v>
      </c>
      <c r="G38" s="40">
        <f t="shared" si="2"/>
        <v>131.25844346549192</v>
      </c>
      <c r="H38" s="27">
        <v>24.34</v>
      </c>
      <c r="I38" s="46">
        <f t="shared" si="3"/>
        <v>0.22809999999999997</v>
      </c>
      <c r="J38" s="43">
        <v>0.77190000000000003</v>
      </c>
      <c r="K38" s="43">
        <f t="shared" si="0"/>
        <v>0.18543568975354358</v>
      </c>
      <c r="L38" s="27"/>
      <c r="M38" s="47">
        <f t="shared" si="5"/>
        <v>70.302142543767502</v>
      </c>
      <c r="N38" s="39">
        <f t="shared" si="4"/>
        <v>18.935008851653063</v>
      </c>
      <c r="O38" s="1"/>
      <c r="P38" s="1"/>
    </row>
    <row r="39" spans="2:16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1"/>
        <v>54.48</v>
      </c>
      <c r="G39" s="40">
        <f t="shared" si="2"/>
        <v>138.11637298091043</v>
      </c>
      <c r="H39" s="27">
        <v>12.98</v>
      </c>
      <c r="I39" s="46">
        <f t="shared" si="3"/>
        <v>0.31620000000000004</v>
      </c>
      <c r="J39" s="43">
        <v>0.68379999999999996</v>
      </c>
      <c r="K39" s="43">
        <f t="shared" si="0"/>
        <v>9.3978720406986169E-2</v>
      </c>
      <c r="L39" s="27"/>
      <c r="M39" s="47">
        <f t="shared" si="5"/>
        <v>81.27837820274145</v>
      </c>
      <c r="N39" s="39">
        <f t="shared" si="4"/>
        <v>22.786882123134053</v>
      </c>
      <c r="O39" s="1"/>
      <c r="P39" s="1"/>
    </row>
    <row r="40" spans="2:16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1"/>
        <v>61.8749343</v>
      </c>
      <c r="G40" s="40">
        <f t="shared" si="2"/>
        <v>150.70609941641587</v>
      </c>
      <c r="H40" s="27">
        <v>17.329999999999998</v>
      </c>
      <c r="I40" s="46">
        <f t="shared" si="3"/>
        <v>0.33550000000000002</v>
      </c>
      <c r="J40" s="43">
        <v>0.66449999999999998</v>
      </c>
      <c r="K40" s="43">
        <f t="shared" si="0"/>
        <v>0.11499202797436547</v>
      </c>
      <c r="L40" s="27"/>
      <c r="M40" s="47">
        <f t="shared" si="5"/>
        <v>93.96832762465408</v>
      </c>
      <c r="N40" s="39">
        <f t="shared" si="4"/>
        <v>27.422326599455246</v>
      </c>
      <c r="O40" s="1"/>
      <c r="P40" s="1"/>
    </row>
    <row r="41" spans="2:16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1"/>
        <v>79.6998198</v>
      </c>
      <c r="G41" s="40">
        <f t="shared" si="2"/>
        <v>149.65730198551842</v>
      </c>
      <c r="H41" s="27">
        <v>13.18</v>
      </c>
      <c r="I41" s="46">
        <f t="shared" si="3"/>
        <v>0.39780000000000004</v>
      </c>
      <c r="J41" s="43">
        <v>0.60219999999999996</v>
      </c>
      <c r="K41" s="43">
        <f t="shared" si="0"/>
        <v>8.806787123073595E-2</v>
      </c>
      <c r="L41" s="27"/>
      <c r="M41" s="47">
        <f t="shared" si="5"/>
        <v>108.63955201651031</v>
      </c>
      <c r="N41" s="39">
        <f t="shared" si="4"/>
        <v>33.00074104318773</v>
      </c>
      <c r="O41" s="1"/>
      <c r="P41" s="1"/>
    </row>
    <row r="42" spans="2:16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165.00370521593865</v>
      </c>
      <c r="O42" s="1"/>
      <c r="P42" s="1"/>
    </row>
    <row r="43" spans="2:16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O43" s="1"/>
      <c r="P43" s="1"/>
    </row>
    <row r="44" spans="2:16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1"/>
      <c r="P44" s="1"/>
    </row>
    <row r="45" spans="2:16" x14ac:dyDescent="0.3">
      <c r="L45" s="47">
        <v>103</v>
      </c>
      <c r="M45" s="2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J36"/>
  <sheetViews>
    <sheetView topLeftCell="B1" zoomScale="80" zoomScaleNormal="80" workbookViewId="0">
      <selection activeCell="C33" sqref="C33"/>
    </sheetView>
  </sheetViews>
  <sheetFormatPr defaultRowHeight="15" x14ac:dyDescent="0.3"/>
  <cols>
    <col min="1" max="2" width="9.140625" style="6"/>
    <col min="3" max="3" width="37.7109375" style="6" bestFit="1" customWidth="1"/>
    <col min="4" max="9" width="16" style="6" bestFit="1" customWidth="1"/>
    <col min="10" max="16384" width="9.140625" style="6"/>
  </cols>
  <sheetData>
    <row r="3" spans="3:9" x14ac:dyDescent="0.3">
      <c r="D3" s="6" t="s">
        <v>6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</row>
    <row r="4" spans="3:9" x14ac:dyDescent="0.3">
      <c r="D4" s="6" t="s">
        <v>5</v>
      </c>
      <c r="E4" s="7">
        <v>0.05</v>
      </c>
      <c r="F4" s="7">
        <v>0.05</v>
      </c>
      <c r="G4" s="7">
        <v>0.05</v>
      </c>
      <c r="H4" s="7">
        <v>0.05</v>
      </c>
      <c r="I4" s="7">
        <v>0.05</v>
      </c>
    </row>
    <row r="5" spans="3:9" x14ac:dyDescent="0.3">
      <c r="C5" s="6" t="s">
        <v>16</v>
      </c>
      <c r="D5" s="8">
        <v>8916.5400000000009</v>
      </c>
      <c r="E5" s="10">
        <f>D5*(1+E4)</f>
        <v>9362.367000000002</v>
      </c>
      <c r="F5" s="10">
        <f t="shared" ref="F5:I5" si="0">E5*(1+F4)</f>
        <v>9830.4853500000027</v>
      </c>
      <c r="G5" s="10">
        <f t="shared" si="0"/>
        <v>10322.009617500004</v>
      </c>
      <c r="H5" s="10">
        <f t="shared" si="0"/>
        <v>10838.110098375004</v>
      </c>
      <c r="I5" s="10">
        <f t="shared" si="0"/>
        <v>11380.015603293754</v>
      </c>
    </row>
    <row r="6" spans="3:9" x14ac:dyDescent="0.3">
      <c r="C6" s="6" t="s">
        <v>17</v>
      </c>
      <c r="D6" s="8">
        <v>10910.34</v>
      </c>
      <c r="E6" s="9"/>
      <c r="F6" s="9"/>
      <c r="G6" s="9"/>
      <c r="H6" s="9"/>
      <c r="I6" s="9"/>
    </row>
    <row r="7" spans="3:9" x14ac:dyDescent="0.3">
      <c r="C7" s="6" t="s">
        <v>4</v>
      </c>
      <c r="D7" s="8">
        <v>141489.62</v>
      </c>
      <c r="E7" s="9"/>
      <c r="F7" s="9"/>
      <c r="G7" s="9"/>
      <c r="H7" s="9"/>
      <c r="I7" s="9"/>
    </row>
    <row r="8" spans="3:9" x14ac:dyDescent="0.3">
      <c r="C8" s="6" t="s">
        <v>2</v>
      </c>
      <c r="D8" s="8">
        <v>0</v>
      </c>
      <c r="E8" s="9"/>
      <c r="F8" s="9"/>
      <c r="G8" s="9"/>
      <c r="H8" s="9"/>
      <c r="I8" s="9"/>
    </row>
    <row r="9" spans="3:9" x14ac:dyDescent="0.3">
      <c r="C9" s="6" t="s">
        <v>19</v>
      </c>
      <c r="D9" s="8">
        <v>0</v>
      </c>
      <c r="E9" s="9"/>
      <c r="F9" s="9"/>
      <c r="G9" s="9"/>
      <c r="H9" s="9"/>
      <c r="I9" s="9"/>
    </row>
    <row r="10" spans="3:9" x14ac:dyDescent="0.3">
      <c r="C10" s="6" t="s">
        <v>23</v>
      </c>
      <c r="D10" s="15">
        <v>0</v>
      </c>
      <c r="E10" s="9"/>
      <c r="F10" s="9"/>
      <c r="G10" s="9"/>
      <c r="H10" s="9"/>
      <c r="I10" s="9"/>
    </row>
    <row r="11" spans="3:9" x14ac:dyDescent="0.3">
      <c r="C11" s="6" t="s">
        <v>78</v>
      </c>
      <c r="D11" s="15">
        <v>125588.57</v>
      </c>
      <c r="E11" s="9"/>
      <c r="F11" s="9"/>
      <c r="G11" s="9"/>
      <c r="H11" s="9"/>
      <c r="I11" s="9"/>
    </row>
    <row r="12" spans="3:9" x14ac:dyDescent="0.3">
      <c r="C12" s="6" t="s">
        <v>79</v>
      </c>
      <c r="D12" s="15">
        <v>90330.39</v>
      </c>
      <c r="E12" s="9"/>
      <c r="F12" s="9"/>
      <c r="G12" s="9"/>
      <c r="H12" s="9"/>
      <c r="I12" s="9"/>
    </row>
    <row r="13" spans="3:9" x14ac:dyDescent="0.3">
      <c r="C13" s="6" t="s">
        <v>80</v>
      </c>
      <c r="D13" s="102">
        <f>D12-D11</f>
        <v>-35258.180000000008</v>
      </c>
      <c r="E13" s="9"/>
      <c r="F13" s="9"/>
      <c r="G13" s="9"/>
      <c r="H13" s="9"/>
      <c r="I13" s="9"/>
    </row>
    <row r="14" spans="3:9" x14ac:dyDescent="0.3">
      <c r="C14" s="6" t="s">
        <v>3</v>
      </c>
      <c r="D14" s="8">
        <v>429770000</v>
      </c>
      <c r="E14" s="8">
        <f>D14</f>
        <v>429770000</v>
      </c>
      <c r="F14" s="8">
        <f t="shared" ref="F14:I14" si="1">E14</f>
        <v>429770000</v>
      </c>
      <c r="G14" s="8">
        <f t="shared" si="1"/>
        <v>429770000</v>
      </c>
      <c r="H14" s="8">
        <f t="shared" si="1"/>
        <v>429770000</v>
      </c>
      <c r="I14" s="8">
        <f t="shared" si="1"/>
        <v>429770000</v>
      </c>
    </row>
    <row r="15" spans="3:9" x14ac:dyDescent="0.3">
      <c r="D15" s="9"/>
      <c r="E15" s="9"/>
      <c r="F15" s="9"/>
      <c r="G15" s="9"/>
      <c r="H15" s="9"/>
      <c r="I15" s="9"/>
    </row>
    <row r="16" spans="3:9" x14ac:dyDescent="0.3">
      <c r="C16" s="6" t="s">
        <v>7</v>
      </c>
      <c r="D16" s="9">
        <v>10000000</v>
      </c>
      <c r="E16" s="9">
        <v>10000000</v>
      </c>
      <c r="F16" s="9">
        <v>10000000</v>
      </c>
      <c r="G16" s="9">
        <v>10000000</v>
      </c>
      <c r="H16" s="9">
        <v>10000000</v>
      </c>
      <c r="I16" s="9">
        <v>10000000</v>
      </c>
    </row>
    <row r="17" spans="3:10" x14ac:dyDescent="0.3">
      <c r="D17" s="9"/>
      <c r="E17" s="9"/>
      <c r="F17" s="9"/>
      <c r="G17" s="9"/>
      <c r="H17" s="9"/>
      <c r="I17" s="9"/>
    </row>
    <row r="18" spans="3:10" x14ac:dyDescent="0.3">
      <c r="C18" s="6" t="s">
        <v>18</v>
      </c>
      <c r="D18" s="9">
        <f t="shared" ref="D18:I18" si="2">(D5*D16)/D14</f>
        <v>207.4723689415269</v>
      </c>
      <c r="E18" s="14">
        <f t="shared" si="2"/>
        <v>217.84598738860325</v>
      </c>
      <c r="F18" s="14">
        <f t="shared" si="2"/>
        <v>228.73828675803344</v>
      </c>
      <c r="G18" s="14">
        <f t="shared" si="2"/>
        <v>240.17520109593511</v>
      </c>
      <c r="H18" s="14">
        <f t="shared" si="2"/>
        <v>252.1839611507319</v>
      </c>
      <c r="I18" s="14">
        <f t="shared" si="2"/>
        <v>264.79315920826849</v>
      </c>
    </row>
    <row r="19" spans="3:10" x14ac:dyDescent="0.3">
      <c r="C19" s="6" t="s">
        <v>8</v>
      </c>
      <c r="D19" s="9">
        <f>(D6*D16)/D14</f>
        <v>253.86462526467645</v>
      </c>
      <c r="E19" s="9"/>
      <c r="F19" s="9"/>
      <c r="G19" s="9"/>
      <c r="H19" s="9"/>
      <c r="I19" s="9"/>
    </row>
    <row r="20" spans="3:10" x14ac:dyDescent="0.3">
      <c r="C20" s="6" t="s">
        <v>9</v>
      </c>
      <c r="D20" s="9">
        <f>(D7*D16)/D14</f>
        <v>3292.2172324731832</v>
      </c>
      <c r="E20" s="9"/>
      <c r="F20" s="9"/>
      <c r="G20" s="9"/>
      <c r="H20" s="9"/>
      <c r="I20" s="9"/>
    </row>
    <row r="21" spans="3:10" x14ac:dyDescent="0.3">
      <c r="C21" s="6" t="s">
        <v>10</v>
      </c>
      <c r="D21" s="9">
        <f>(D8*D16)/D14</f>
        <v>0</v>
      </c>
      <c r="E21" s="9"/>
      <c r="F21" s="9"/>
      <c r="G21" s="9"/>
      <c r="H21" s="9"/>
      <c r="I21" s="9"/>
    </row>
    <row r="23" spans="3:10" x14ac:dyDescent="0.3">
      <c r="C23" s="6" t="s">
        <v>22</v>
      </c>
      <c r="D23" s="13">
        <f>(D9*D16)/D14</f>
        <v>0</v>
      </c>
    </row>
    <row r="25" spans="3:10" x14ac:dyDescent="0.3">
      <c r="C25" s="6" t="s">
        <v>24</v>
      </c>
      <c r="D25" s="16">
        <f>(D10*D16)/D14</f>
        <v>0</v>
      </c>
    </row>
    <row r="27" spans="3:10" x14ac:dyDescent="0.3">
      <c r="C27" s="99" t="s">
        <v>83</v>
      </c>
    </row>
    <row r="28" spans="3:10" x14ac:dyDescent="0.3">
      <c r="C28" s="6" t="s">
        <v>82</v>
      </c>
      <c r="D28" s="100">
        <f>(D11*D16)/D14</f>
        <v>2922.2274705074806</v>
      </c>
    </row>
    <row r="29" spans="3:10" x14ac:dyDescent="0.3">
      <c r="C29" s="6" t="s">
        <v>84</v>
      </c>
      <c r="D29" s="100">
        <f>(D12*D16)/D14</f>
        <v>2101.8309793610538</v>
      </c>
    </row>
    <row r="30" spans="3:10" x14ac:dyDescent="0.3">
      <c r="C30" s="6" t="s">
        <v>85</v>
      </c>
      <c r="D30" s="13">
        <f>(D13*D16)/D14</f>
        <v>-820.39649114642725</v>
      </c>
      <c r="I30" s="6" t="s">
        <v>86</v>
      </c>
      <c r="J30" s="101">
        <v>0.71</v>
      </c>
    </row>
    <row r="31" spans="3:10" x14ac:dyDescent="0.3">
      <c r="C31" s="6" t="s">
        <v>81</v>
      </c>
      <c r="D31" s="98">
        <f>D12/D11</f>
        <v>0.71925645781299996</v>
      </c>
    </row>
    <row r="34" spans="3:4" x14ac:dyDescent="0.3">
      <c r="C34" s="1" t="s">
        <v>20</v>
      </c>
      <c r="D34" s="1" t="s">
        <v>21</v>
      </c>
    </row>
    <row r="35" spans="3:4" x14ac:dyDescent="0.3">
      <c r="C35" s="11">
        <v>1</v>
      </c>
      <c r="D35" s="12">
        <f>C35/10</f>
        <v>0.1</v>
      </c>
    </row>
    <row r="36" spans="3:4" x14ac:dyDescent="0.3">
      <c r="C36" s="1"/>
      <c r="D36" s="1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8"/>
  <sheetViews>
    <sheetView zoomScale="90" zoomScaleNormal="90" workbookViewId="0">
      <selection activeCell="C7" sqref="C7"/>
    </sheetView>
  </sheetViews>
  <sheetFormatPr defaultRowHeight="15" x14ac:dyDescent="0.25"/>
  <cols>
    <col min="1" max="1" width="9.140625" style="56"/>
    <col min="2" max="2" width="16.7109375" style="56" bestFit="1" customWidth="1"/>
    <col min="3" max="3" width="11.5703125" style="56" customWidth="1"/>
    <col min="4" max="4" width="12.85546875" style="56" customWidth="1"/>
    <col min="5" max="5" width="12.85546875" style="56" bestFit="1" customWidth="1"/>
    <col min="6" max="6" width="13" style="56" customWidth="1"/>
    <col min="7" max="7" width="11.7109375" style="56" customWidth="1"/>
    <col min="8" max="8" width="12.28515625" style="56" customWidth="1"/>
    <col min="9" max="9" width="12.140625" style="56" bestFit="1" customWidth="1"/>
    <col min="10" max="10" width="11.5703125" style="56" bestFit="1" customWidth="1"/>
    <col min="11" max="11" width="11.28515625" style="56" customWidth="1"/>
    <col min="12" max="16384" width="9.140625" style="56"/>
  </cols>
  <sheetData>
    <row r="2" spans="2:12" x14ac:dyDescent="0.25">
      <c r="B2" s="136" t="s">
        <v>27</v>
      </c>
      <c r="C2" s="136"/>
      <c r="E2" s="136" t="s">
        <v>65</v>
      </c>
      <c r="F2" s="136"/>
      <c r="H2" s="140" t="s">
        <v>36</v>
      </c>
      <c r="I2" s="141"/>
    </row>
    <row r="3" spans="2:12" x14ac:dyDescent="0.25">
      <c r="B3" s="20" t="s">
        <v>28</v>
      </c>
      <c r="C3" s="21">
        <v>2.61</v>
      </c>
      <c r="E3" s="29" t="s">
        <v>41</v>
      </c>
      <c r="F3" s="54">
        <v>399</v>
      </c>
      <c r="H3" s="29" t="s">
        <v>37</v>
      </c>
      <c r="I3" s="30">
        <v>100000</v>
      </c>
    </row>
    <row r="4" spans="2:12" x14ac:dyDescent="0.25">
      <c r="B4" s="20" t="s">
        <v>29</v>
      </c>
      <c r="C4" s="21">
        <v>17</v>
      </c>
      <c r="E4" s="29" t="s">
        <v>38</v>
      </c>
      <c r="F4" s="31">
        <v>0.2</v>
      </c>
      <c r="H4" s="29" t="s">
        <v>38</v>
      </c>
      <c r="I4" s="31">
        <v>0.15</v>
      </c>
    </row>
    <row r="5" spans="2:12" x14ac:dyDescent="0.25">
      <c r="B5" s="20" t="s">
        <v>30</v>
      </c>
      <c r="C5" s="22">
        <v>9</v>
      </c>
      <c r="E5" s="29" t="s">
        <v>39</v>
      </c>
      <c r="F5" s="32">
        <v>10</v>
      </c>
      <c r="H5" s="29" t="s">
        <v>39</v>
      </c>
      <c r="I5" s="32">
        <v>10</v>
      </c>
    </row>
    <row r="6" spans="2:12" x14ac:dyDescent="0.25">
      <c r="B6" s="23" t="s">
        <v>31</v>
      </c>
      <c r="C6" s="3">
        <f>((C4/C3)^(1/C5))-1</f>
        <v>0.23146807384688306</v>
      </c>
      <c r="E6" s="29" t="s">
        <v>40</v>
      </c>
      <c r="F6" s="30">
        <v>0</v>
      </c>
      <c r="H6" s="29" t="s">
        <v>40</v>
      </c>
      <c r="I6" s="33">
        <v>0</v>
      </c>
    </row>
    <row r="7" spans="2:12" x14ac:dyDescent="0.25">
      <c r="E7" s="34" t="s">
        <v>66</v>
      </c>
      <c r="F7" s="55">
        <f>PV(F4,F5,F6,-F3)</f>
        <v>64.440727573048449</v>
      </c>
      <c r="H7" s="34" t="s">
        <v>41</v>
      </c>
      <c r="I7" s="29">
        <f>FV(I4,I5,I6,-I3)</f>
        <v>404555.77357079065</v>
      </c>
    </row>
    <row r="9" spans="2:12" ht="15.75" thickBot="1" x14ac:dyDescent="0.3"/>
    <row r="10" spans="2:12" ht="16.5" thickBot="1" x14ac:dyDescent="0.35">
      <c r="B10" s="86"/>
      <c r="C10" s="87"/>
      <c r="D10" s="137" t="s">
        <v>68</v>
      </c>
      <c r="E10" s="138"/>
      <c r="F10" s="138"/>
      <c r="G10" s="138"/>
      <c r="H10" s="139"/>
      <c r="I10" s="137" t="s">
        <v>72</v>
      </c>
      <c r="J10" s="138"/>
      <c r="K10" s="138"/>
      <c r="L10" s="139"/>
    </row>
    <row r="11" spans="2:12" ht="45" x14ac:dyDescent="0.25">
      <c r="B11" s="88" t="s">
        <v>0</v>
      </c>
      <c r="C11" s="89" t="s">
        <v>71</v>
      </c>
      <c r="D11" s="81" t="s">
        <v>50</v>
      </c>
      <c r="E11" s="82" t="s">
        <v>51</v>
      </c>
      <c r="F11" s="83" t="s">
        <v>52</v>
      </c>
      <c r="G11" s="83" t="s">
        <v>70</v>
      </c>
      <c r="H11" s="84" t="s">
        <v>25</v>
      </c>
      <c r="I11" s="81" t="s">
        <v>50</v>
      </c>
      <c r="J11" s="83" t="s">
        <v>52</v>
      </c>
      <c r="K11" s="83" t="s">
        <v>70</v>
      </c>
      <c r="L11" s="84" t="s">
        <v>25</v>
      </c>
    </row>
    <row r="12" spans="2:12" ht="15.75" x14ac:dyDescent="0.3">
      <c r="B12" s="90">
        <v>0</v>
      </c>
      <c r="C12" s="91">
        <v>2000</v>
      </c>
      <c r="D12" s="66">
        <v>749.84</v>
      </c>
      <c r="E12" s="59"/>
      <c r="F12" s="59"/>
      <c r="G12" s="59"/>
      <c r="H12" s="67"/>
      <c r="I12" s="77"/>
      <c r="J12" s="60"/>
      <c r="K12" s="60"/>
      <c r="L12" s="78"/>
    </row>
    <row r="13" spans="2:12" ht="15.75" x14ac:dyDescent="0.3">
      <c r="B13" s="90">
        <v>1</v>
      </c>
      <c r="C13" s="91">
        <v>2001</v>
      </c>
      <c r="D13" s="66">
        <v>932.76</v>
      </c>
      <c r="E13" s="59">
        <v>444800000</v>
      </c>
      <c r="F13" s="59">
        <f>E13/10000000</f>
        <v>44.48</v>
      </c>
      <c r="G13" s="62">
        <f>D13/F13</f>
        <v>20.970323741007196</v>
      </c>
      <c r="H13" s="68">
        <v>2.61</v>
      </c>
      <c r="I13" s="77"/>
      <c r="J13" s="60"/>
      <c r="K13" s="60"/>
      <c r="L13" s="78"/>
    </row>
    <row r="14" spans="2:12" ht="15.75" x14ac:dyDescent="0.3">
      <c r="B14" s="90">
        <v>2</v>
      </c>
      <c r="C14" s="91">
        <v>2002</v>
      </c>
      <c r="D14" s="66">
        <v>1132.6300000000001</v>
      </c>
      <c r="E14" s="59">
        <v>444800000</v>
      </c>
      <c r="F14" s="59">
        <f t="shared" ref="F14:F24" si="0">E14/10000000</f>
        <v>44.48</v>
      </c>
      <c r="G14" s="62">
        <f t="shared" ref="G14:G24" si="1">D14/F14</f>
        <v>25.463803956834536</v>
      </c>
      <c r="H14" s="68">
        <v>5.18</v>
      </c>
      <c r="I14" s="77"/>
      <c r="J14" s="60"/>
      <c r="K14" s="60"/>
      <c r="L14" s="78"/>
    </row>
    <row r="15" spans="2:12" ht="15.75" x14ac:dyDescent="0.3">
      <c r="B15" s="90">
        <v>3</v>
      </c>
      <c r="C15" s="91">
        <v>2003</v>
      </c>
      <c r="D15" s="66">
        <v>1459.59</v>
      </c>
      <c r="E15" s="59">
        <v>444800000</v>
      </c>
      <c r="F15" s="59">
        <f t="shared" si="0"/>
        <v>44.48</v>
      </c>
      <c r="G15" s="62">
        <f t="shared" si="1"/>
        <v>32.814523381294961</v>
      </c>
      <c r="H15" s="68">
        <v>9.35</v>
      </c>
      <c r="I15" s="77"/>
      <c r="J15" s="60"/>
      <c r="K15" s="60"/>
      <c r="L15" s="78"/>
    </row>
    <row r="16" spans="2:12" ht="15.75" x14ac:dyDescent="0.3">
      <c r="B16" s="90">
        <v>4</v>
      </c>
      <c r="C16" s="91">
        <v>2004</v>
      </c>
      <c r="D16" s="66">
        <v>2081.09</v>
      </c>
      <c r="E16" s="59">
        <v>444800000</v>
      </c>
      <c r="F16" s="59">
        <f t="shared" si="0"/>
        <v>44.48</v>
      </c>
      <c r="G16" s="62">
        <f t="shared" si="1"/>
        <v>46.787095323741013</v>
      </c>
      <c r="H16" s="68">
        <v>9.41</v>
      </c>
      <c r="I16" s="77"/>
      <c r="J16" s="60"/>
      <c r="K16" s="60"/>
      <c r="L16" s="78"/>
    </row>
    <row r="17" spans="2:12" ht="15.75" x14ac:dyDescent="0.3">
      <c r="B17" s="90">
        <v>5</v>
      </c>
      <c r="C17" s="91">
        <v>2005</v>
      </c>
      <c r="D17" s="66">
        <v>2575.19</v>
      </c>
      <c r="E17" s="59">
        <v>544800000</v>
      </c>
      <c r="F17" s="59">
        <f t="shared" si="0"/>
        <v>54.48</v>
      </c>
      <c r="G17" s="62">
        <f t="shared" si="1"/>
        <v>47.268538913362704</v>
      </c>
      <c r="H17" s="68">
        <v>11.96</v>
      </c>
      <c r="I17" s="77"/>
      <c r="J17" s="60"/>
      <c r="K17" s="60"/>
      <c r="L17" s="78"/>
    </row>
    <row r="18" spans="2:12" ht="15.75" x14ac:dyDescent="0.3">
      <c r="B18" s="90">
        <v>6</v>
      </c>
      <c r="C18" s="91">
        <v>2006</v>
      </c>
      <c r="D18" s="66">
        <v>31771.439999999999</v>
      </c>
      <c r="E18" s="59">
        <v>544800000</v>
      </c>
      <c r="F18" s="59">
        <f t="shared" si="0"/>
        <v>54.48</v>
      </c>
      <c r="G18" s="62">
        <f t="shared" si="1"/>
        <v>583.17621145374449</v>
      </c>
      <c r="H18" s="68">
        <v>14.38</v>
      </c>
      <c r="I18" s="77"/>
      <c r="J18" s="60"/>
      <c r="K18" s="60"/>
      <c r="L18" s="78"/>
    </row>
    <row r="19" spans="2:12" ht="15.75" x14ac:dyDescent="0.3">
      <c r="B19" s="90">
        <v>7</v>
      </c>
      <c r="C19" s="91">
        <v>2007</v>
      </c>
      <c r="D19" s="66">
        <v>3990.36</v>
      </c>
      <c r="E19" s="59">
        <v>544800000</v>
      </c>
      <c r="F19" s="59">
        <f t="shared" si="0"/>
        <v>54.48</v>
      </c>
      <c r="G19" s="62">
        <f t="shared" si="1"/>
        <v>73.244493392070495</v>
      </c>
      <c r="H19" s="68">
        <v>18.510000000000002</v>
      </c>
      <c r="I19" s="77"/>
      <c r="J19" s="60"/>
      <c r="K19" s="60"/>
      <c r="L19" s="78"/>
    </row>
    <row r="20" spans="2:12" ht="15.75" x14ac:dyDescent="0.3">
      <c r="B20" s="90">
        <v>8</v>
      </c>
      <c r="C20" s="91">
        <v>2008</v>
      </c>
      <c r="D20" s="66">
        <v>4856.67</v>
      </c>
      <c r="E20" s="59">
        <v>544800000</v>
      </c>
      <c r="F20" s="59">
        <f t="shared" si="0"/>
        <v>54.48</v>
      </c>
      <c r="G20" s="62">
        <f t="shared" si="1"/>
        <v>89.145925110132168</v>
      </c>
      <c r="H20" s="68">
        <v>22.07</v>
      </c>
      <c r="I20" s="77"/>
      <c r="J20" s="60"/>
      <c r="K20" s="60"/>
      <c r="L20" s="78"/>
    </row>
    <row r="21" spans="2:12" ht="15.75" x14ac:dyDescent="0.3">
      <c r="B21" s="90">
        <v>9</v>
      </c>
      <c r="C21" s="91">
        <v>2009</v>
      </c>
      <c r="D21" s="66">
        <v>7150.96</v>
      </c>
      <c r="E21" s="59">
        <v>544800000</v>
      </c>
      <c r="F21" s="59">
        <f t="shared" si="0"/>
        <v>54.48</v>
      </c>
      <c r="G21" s="62">
        <f t="shared" si="1"/>
        <v>131.25844346549192</v>
      </c>
      <c r="H21" s="68">
        <v>24.34</v>
      </c>
      <c r="I21" s="77"/>
      <c r="J21" s="60"/>
      <c r="K21" s="60"/>
      <c r="L21" s="78"/>
    </row>
    <row r="22" spans="2:12" ht="15.75" x14ac:dyDescent="0.3">
      <c r="B22" s="90">
        <v>10</v>
      </c>
      <c r="C22" s="91">
        <v>2010</v>
      </c>
      <c r="D22" s="66">
        <v>7524.58</v>
      </c>
      <c r="E22" s="59">
        <v>544800000</v>
      </c>
      <c r="F22" s="59">
        <f t="shared" si="0"/>
        <v>54.48</v>
      </c>
      <c r="G22" s="62">
        <f t="shared" si="1"/>
        <v>138.11637298091043</v>
      </c>
      <c r="H22" s="68">
        <v>12.98</v>
      </c>
      <c r="I22" s="77"/>
      <c r="J22" s="60"/>
      <c r="K22" s="60"/>
      <c r="L22" s="78"/>
    </row>
    <row r="23" spans="2:12" ht="15.75" x14ac:dyDescent="0.3">
      <c r="B23" s="90">
        <v>11</v>
      </c>
      <c r="C23" s="91">
        <v>2011</v>
      </c>
      <c r="D23" s="66">
        <v>9324.93</v>
      </c>
      <c r="E23" s="59">
        <v>618749343</v>
      </c>
      <c r="F23" s="59">
        <f t="shared" si="0"/>
        <v>61.8749343</v>
      </c>
      <c r="G23" s="62">
        <f t="shared" si="1"/>
        <v>150.70609941641587</v>
      </c>
      <c r="H23" s="68">
        <v>17.329999999999998</v>
      </c>
      <c r="I23" s="77"/>
      <c r="J23" s="60"/>
      <c r="K23" s="60"/>
      <c r="L23" s="78"/>
    </row>
    <row r="24" spans="2:12" ht="15.75" x14ac:dyDescent="0.3">
      <c r="B24" s="90">
        <v>12</v>
      </c>
      <c r="C24" s="91">
        <v>2012</v>
      </c>
      <c r="D24" s="66">
        <v>11927.66</v>
      </c>
      <c r="E24" s="59">
        <v>796998198</v>
      </c>
      <c r="F24" s="59">
        <f t="shared" si="0"/>
        <v>79.6998198</v>
      </c>
      <c r="G24" s="62">
        <f t="shared" si="1"/>
        <v>149.65730198551842</v>
      </c>
      <c r="H24" s="68">
        <v>13.18</v>
      </c>
      <c r="I24" s="77"/>
      <c r="J24" s="60"/>
      <c r="K24" s="60"/>
      <c r="L24" s="78"/>
    </row>
    <row r="25" spans="2:12" ht="15.75" x14ac:dyDescent="0.3">
      <c r="B25" s="90">
        <v>13</v>
      </c>
      <c r="C25" s="91">
        <v>2013</v>
      </c>
      <c r="D25" s="66"/>
      <c r="E25" s="59"/>
      <c r="F25" s="59"/>
      <c r="G25" s="62"/>
      <c r="H25" s="68"/>
      <c r="I25" s="77">
        <f>D24*(1+$D$36)</f>
        <v>15390.259698</v>
      </c>
      <c r="J25" s="60">
        <f>F24*(1+$F$36)</f>
        <v>84.481808987999997</v>
      </c>
      <c r="K25" s="63">
        <f>G24*(1+$G$36)</f>
        <v>182.16286797677301</v>
      </c>
      <c r="L25" s="79">
        <f>H24*(1+$H$36)</f>
        <v>15.497043999999999</v>
      </c>
    </row>
    <row r="26" spans="2:12" ht="15.75" x14ac:dyDescent="0.3">
      <c r="B26" s="90">
        <v>14</v>
      </c>
      <c r="C26" s="91">
        <v>2014</v>
      </c>
      <c r="D26" s="66"/>
      <c r="E26" s="59"/>
      <c r="F26" s="59"/>
      <c r="G26" s="62"/>
      <c r="H26" s="68"/>
      <c r="I26" s="77">
        <f>I25*(1+$D$36)</f>
        <v>19858.052088329401</v>
      </c>
      <c r="J26" s="60">
        <f>J25*(1+$F$36)</f>
        <v>89.55071752728</v>
      </c>
      <c r="K26" s="63">
        <f>K25*(1+$G$36)</f>
        <v>221.72864290132813</v>
      </c>
      <c r="L26" s="79">
        <f>L25*(1+$H$36)</f>
        <v>18.221424335199998</v>
      </c>
    </row>
    <row r="27" spans="2:12" ht="15.75" x14ac:dyDescent="0.3">
      <c r="B27" s="90">
        <v>15</v>
      </c>
      <c r="C27" s="91">
        <v>2015</v>
      </c>
      <c r="D27" s="66"/>
      <c r="E27" s="59"/>
      <c r="F27" s="59"/>
      <c r="G27" s="62"/>
      <c r="H27" s="68"/>
      <c r="I27" s="77">
        <f t="shared" ref="I27:I34" si="2">I26*(1+$D$36)</f>
        <v>25622.844609571428</v>
      </c>
      <c r="J27" s="60">
        <f t="shared" ref="J27:J34" si="3">J26*(1+$F$36)</f>
        <v>94.923760578916799</v>
      </c>
      <c r="K27" s="63">
        <f t="shared" ref="K27:K34" si="4">K26*(1+$G$36)</f>
        <v>269.88810413949659</v>
      </c>
      <c r="L27" s="79">
        <f t="shared" ref="L27:L34" si="5">L26*(1+$H$36)</f>
        <v>21.424750733328157</v>
      </c>
    </row>
    <row r="28" spans="2:12" ht="15.75" x14ac:dyDescent="0.3">
      <c r="B28" s="90">
        <v>16</v>
      </c>
      <c r="C28" s="91">
        <v>2016</v>
      </c>
      <c r="D28" s="66"/>
      <c r="E28" s="59"/>
      <c r="F28" s="59"/>
      <c r="G28" s="62"/>
      <c r="H28" s="68"/>
      <c r="I28" s="77">
        <f t="shared" si="2"/>
        <v>33061.156399730011</v>
      </c>
      <c r="J28" s="60">
        <f t="shared" si="3"/>
        <v>100.61918621365182</v>
      </c>
      <c r="K28" s="63">
        <f t="shared" si="4"/>
        <v>328.50780035859526</v>
      </c>
      <c r="L28" s="79">
        <f t="shared" si="5"/>
        <v>25.191221912247247</v>
      </c>
    </row>
    <row r="29" spans="2:12" ht="15.75" x14ac:dyDescent="0.3">
      <c r="B29" s="90">
        <v>17</v>
      </c>
      <c r="C29" s="91">
        <v>2017</v>
      </c>
      <c r="D29" s="66"/>
      <c r="E29" s="59"/>
      <c r="F29" s="59"/>
      <c r="G29" s="62"/>
      <c r="H29" s="68"/>
      <c r="I29" s="77">
        <f t="shared" si="2"/>
        <v>42658.810102571631</v>
      </c>
      <c r="J29" s="60">
        <f t="shared" si="3"/>
        <v>106.65633738647092</v>
      </c>
      <c r="K29" s="63">
        <f t="shared" si="4"/>
        <v>399.8596945964822</v>
      </c>
      <c r="L29" s="79">
        <f t="shared" si="5"/>
        <v>29.619838724420312</v>
      </c>
    </row>
    <row r="30" spans="2:12" ht="15.75" x14ac:dyDescent="0.3">
      <c r="B30" s="90">
        <v>18</v>
      </c>
      <c r="C30" s="91">
        <v>2018</v>
      </c>
      <c r="D30" s="66"/>
      <c r="E30" s="59"/>
      <c r="F30" s="59"/>
      <c r="G30" s="62"/>
      <c r="H30" s="68"/>
      <c r="I30" s="77">
        <f t="shared" si="2"/>
        <v>55042.662675348176</v>
      </c>
      <c r="J30" s="60">
        <f t="shared" si="3"/>
        <v>113.05571762965918</v>
      </c>
      <c r="K30" s="63">
        <f t="shared" si="4"/>
        <v>486.70922026283813</v>
      </c>
      <c r="L30" s="79">
        <f t="shared" si="5"/>
        <v>34.8270063721734</v>
      </c>
    </row>
    <row r="31" spans="2:12" ht="15.75" x14ac:dyDescent="0.3">
      <c r="B31" s="90">
        <v>19</v>
      </c>
      <c r="C31" s="91">
        <v>2019</v>
      </c>
      <c r="D31" s="66"/>
      <c r="E31" s="59"/>
      <c r="F31" s="59"/>
      <c r="G31" s="62"/>
      <c r="H31" s="68"/>
      <c r="I31" s="77">
        <f t="shared" si="2"/>
        <v>71021.547650001754</v>
      </c>
      <c r="J31" s="60">
        <f t="shared" si="3"/>
        <v>119.83906068743875</v>
      </c>
      <c r="K31" s="63">
        <f t="shared" si="4"/>
        <v>592.42246290392666</v>
      </c>
      <c r="L31" s="79">
        <f t="shared" si="5"/>
        <v>40.949594092401483</v>
      </c>
    </row>
    <row r="32" spans="2:12" ht="15.75" x14ac:dyDescent="0.3">
      <c r="B32" s="90">
        <v>20</v>
      </c>
      <c r="C32" s="91">
        <v>2020</v>
      </c>
      <c r="D32" s="66"/>
      <c r="E32" s="59"/>
      <c r="F32" s="59"/>
      <c r="G32" s="62"/>
      <c r="H32" s="68"/>
      <c r="I32" s="77">
        <f t="shared" si="2"/>
        <v>91639.102932797265</v>
      </c>
      <c r="J32" s="60">
        <f t="shared" si="3"/>
        <v>127.02940432868508</v>
      </c>
      <c r="K32" s="63">
        <f t="shared" si="4"/>
        <v>721.09662184665956</v>
      </c>
      <c r="L32" s="79">
        <f t="shared" si="5"/>
        <v>48.148532733845663</v>
      </c>
    </row>
    <row r="33" spans="2:12" ht="15.75" x14ac:dyDescent="0.3">
      <c r="B33" s="90">
        <v>21</v>
      </c>
      <c r="C33" s="91">
        <v>2021</v>
      </c>
      <c r="D33" s="66"/>
      <c r="E33" s="59"/>
      <c r="F33" s="59"/>
      <c r="G33" s="62"/>
      <c r="H33" s="68"/>
      <c r="I33" s="77">
        <f t="shared" si="2"/>
        <v>118241.93451418831</v>
      </c>
      <c r="J33" s="60">
        <f t="shared" si="3"/>
        <v>134.65116858840619</v>
      </c>
      <c r="K33" s="63">
        <f t="shared" si="4"/>
        <v>877.71880811175402</v>
      </c>
      <c r="L33" s="79">
        <f t="shared" si="5"/>
        <v>56.613044788455731</v>
      </c>
    </row>
    <row r="34" spans="2:12" ht="15.75" x14ac:dyDescent="0.3">
      <c r="B34" s="90">
        <v>22</v>
      </c>
      <c r="C34" s="91">
        <v>2022</v>
      </c>
      <c r="D34" s="66"/>
      <c r="E34" s="59"/>
      <c r="F34" s="59"/>
      <c r="G34" s="62"/>
      <c r="H34" s="68"/>
      <c r="I34" s="77">
        <f t="shared" si="2"/>
        <v>152567.56810365716</v>
      </c>
      <c r="J34" s="60">
        <f t="shared" si="3"/>
        <v>142.73023870371057</v>
      </c>
      <c r="K34" s="63">
        <f t="shared" si="4"/>
        <v>1068.359333233627</v>
      </c>
      <c r="L34" s="79">
        <f t="shared" si="5"/>
        <v>66.565618062266253</v>
      </c>
    </row>
    <row r="35" spans="2:12" ht="15.75" x14ac:dyDescent="0.3">
      <c r="B35" s="90"/>
      <c r="C35" s="91"/>
      <c r="D35" s="66"/>
      <c r="E35" s="59"/>
      <c r="F35" s="59"/>
      <c r="G35" s="62"/>
      <c r="H35" s="68"/>
      <c r="I35" s="77"/>
      <c r="J35" s="60"/>
      <c r="K35" s="63"/>
      <c r="L35" s="79"/>
    </row>
    <row r="36" spans="2:12" ht="15.75" x14ac:dyDescent="0.3">
      <c r="B36" s="90"/>
      <c r="C36" s="92" t="s">
        <v>1</v>
      </c>
      <c r="D36" s="93">
        <v>0.2903</v>
      </c>
      <c r="E36" s="61" t="s">
        <v>69</v>
      </c>
      <c r="F36" s="94">
        <v>0.06</v>
      </c>
      <c r="G36" s="5">
        <v>0.2172</v>
      </c>
      <c r="H36" s="95">
        <v>0.17580000000000001</v>
      </c>
      <c r="I36" s="96"/>
      <c r="J36" s="57"/>
      <c r="K36" s="4"/>
      <c r="L36" s="97"/>
    </row>
    <row r="37" spans="2:12" ht="15.75" x14ac:dyDescent="0.3">
      <c r="B37" s="90"/>
      <c r="C37" s="92" t="s">
        <v>76</v>
      </c>
      <c r="D37" s="96"/>
      <c r="E37" s="18"/>
      <c r="F37" s="57"/>
      <c r="G37" s="4"/>
      <c r="H37" s="97"/>
      <c r="I37" s="96"/>
      <c r="J37" s="57"/>
      <c r="K37" s="63">
        <f>I34/J34</f>
        <v>1068.9225316883803</v>
      </c>
      <c r="L37" s="97"/>
    </row>
    <row r="38" spans="2:12" ht="15.75" x14ac:dyDescent="0.3">
      <c r="B38" s="90"/>
      <c r="C38" s="92"/>
      <c r="D38" s="96"/>
      <c r="E38" s="18"/>
      <c r="F38" s="57"/>
      <c r="G38" s="4"/>
      <c r="H38" s="97"/>
      <c r="I38" s="96"/>
      <c r="J38" s="57"/>
      <c r="K38" s="4"/>
      <c r="L38" s="97"/>
    </row>
    <row r="39" spans="2:12" ht="15.75" x14ac:dyDescent="0.3">
      <c r="B39" s="90"/>
      <c r="C39" s="91" t="s">
        <v>74</v>
      </c>
      <c r="D39" s="69">
        <v>6</v>
      </c>
      <c r="E39" s="1"/>
      <c r="F39" s="1"/>
      <c r="G39" s="65"/>
      <c r="H39" s="70">
        <f>H24*D39</f>
        <v>79.08</v>
      </c>
      <c r="I39" s="72"/>
      <c r="J39" s="58"/>
      <c r="K39" s="64"/>
      <c r="L39" s="80">
        <f>L34*D39</f>
        <v>399.39370837359752</v>
      </c>
    </row>
    <row r="40" spans="2:12" x14ac:dyDescent="0.25">
      <c r="B40" s="72"/>
      <c r="C40" s="73" t="s">
        <v>73</v>
      </c>
      <c r="D40" s="71">
        <v>1</v>
      </c>
      <c r="E40" s="58"/>
      <c r="F40" s="58"/>
      <c r="G40" s="65">
        <f>G24*D40</f>
        <v>149.65730198551842</v>
      </c>
      <c r="H40" s="70"/>
      <c r="I40" s="72"/>
      <c r="J40" s="58"/>
      <c r="K40" s="64">
        <f>K34*D40</f>
        <v>1068.359333233627</v>
      </c>
      <c r="L40" s="80"/>
    </row>
    <row r="41" spans="2:12" x14ac:dyDescent="0.25">
      <c r="B41" s="72"/>
      <c r="C41" s="73"/>
      <c r="D41" s="72"/>
      <c r="E41" s="58"/>
      <c r="F41" s="58"/>
      <c r="G41" s="58"/>
      <c r="H41" s="73"/>
      <c r="I41" s="72"/>
      <c r="J41" s="58"/>
      <c r="K41" s="64"/>
      <c r="L41" s="80"/>
    </row>
    <row r="42" spans="2:12" x14ac:dyDescent="0.25">
      <c r="B42" s="72"/>
      <c r="C42" s="73" t="s">
        <v>75</v>
      </c>
      <c r="D42" s="85">
        <v>0.2</v>
      </c>
      <c r="E42" s="58"/>
      <c r="F42" s="58"/>
      <c r="G42" s="58"/>
      <c r="H42" s="73"/>
      <c r="I42" s="72"/>
      <c r="J42" s="58"/>
      <c r="K42" s="64"/>
      <c r="L42" s="80"/>
    </row>
    <row r="43" spans="2:12" x14ac:dyDescent="0.25">
      <c r="B43" s="72"/>
      <c r="C43" s="73" t="s">
        <v>66</v>
      </c>
      <c r="D43" s="72"/>
      <c r="E43" s="58"/>
      <c r="F43" s="58"/>
      <c r="G43" s="58"/>
      <c r="H43" s="73"/>
      <c r="I43" s="72"/>
      <c r="J43" s="58"/>
      <c r="K43" s="58">
        <v>172</v>
      </c>
      <c r="L43" s="73">
        <v>64</v>
      </c>
    </row>
    <row r="44" spans="2:12" x14ac:dyDescent="0.25">
      <c r="B44" s="72"/>
      <c r="C44" s="73"/>
      <c r="D44" s="72"/>
      <c r="E44" s="58"/>
      <c r="F44" s="58"/>
      <c r="G44" s="58"/>
      <c r="H44" s="73"/>
      <c r="I44" s="72"/>
      <c r="J44" s="58"/>
      <c r="K44" s="58"/>
      <c r="L44" s="73"/>
    </row>
    <row r="45" spans="2:12" x14ac:dyDescent="0.25">
      <c r="B45" s="72"/>
      <c r="C45" s="73"/>
      <c r="D45" s="72"/>
      <c r="E45" s="58"/>
      <c r="F45" s="58"/>
      <c r="G45" s="58"/>
      <c r="H45" s="73"/>
      <c r="I45" s="72"/>
      <c r="J45" s="58"/>
      <c r="K45" s="58"/>
      <c r="L45" s="73"/>
    </row>
    <row r="46" spans="2:12" x14ac:dyDescent="0.25">
      <c r="B46" s="72"/>
      <c r="C46" s="73"/>
      <c r="D46" s="72"/>
      <c r="E46" s="58"/>
      <c r="F46" s="58"/>
      <c r="G46" s="58"/>
      <c r="H46" s="73"/>
      <c r="I46" s="72"/>
      <c r="J46" s="58"/>
      <c r="K46" s="58"/>
      <c r="L46" s="73"/>
    </row>
    <row r="47" spans="2:12" x14ac:dyDescent="0.25">
      <c r="B47" s="72"/>
      <c r="C47" s="73"/>
      <c r="D47" s="72"/>
      <c r="E47" s="58"/>
      <c r="F47" s="58"/>
      <c r="G47" s="58"/>
      <c r="H47" s="73"/>
      <c r="I47" s="72"/>
      <c r="J47" s="58"/>
      <c r="K47" s="58"/>
      <c r="L47" s="73"/>
    </row>
    <row r="48" spans="2:12" ht="15.75" thickBot="1" x14ac:dyDescent="0.3">
      <c r="B48" s="74"/>
      <c r="C48" s="76"/>
      <c r="D48" s="74"/>
      <c r="E48" s="75"/>
      <c r="F48" s="75"/>
      <c r="G48" s="75"/>
      <c r="H48" s="76"/>
      <c r="I48" s="74"/>
      <c r="J48" s="75"/>
      <c r="K48" s="75"/>
      <c r="L48" s="7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1 - Eval Steps</vt:lpstr>
      <vt:lpstr>2 - Analysis</vt:lpstr>
      <vt:lpstr>3 - Forecast</vt:lpstr>
      <vt:lpstr>Sheet1</vt:lpstr>
      <vt:lpstr>IOB</vt:lpstr>
      <vt:lpstr>BV calc</vt:lpstr>
      <vt:lpstr>Template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2012-12-03T04:49:30Z</dcterms:modified>
</cp:coreProperties>
</file>
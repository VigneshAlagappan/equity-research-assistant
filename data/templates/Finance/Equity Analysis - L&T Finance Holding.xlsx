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S60" i="18"/>
  <c r="R60"/>
  <c r="Q60"/>
  <c r="P60"/>
  <c r="O60"/>
  <c r="N60"/>
  <c r="M60"/>
  <c r="L60"/>
  <c r="K60"/>
  <c r="J60"/>
  <c r="I60"/>
  <c r="H60"/>
  <c r="S58"/>
  <c r="R58"/>
  <c r="Q58"/>
  <c r="P58"/>
  <c r="O58"/>
  <c r="N58"/>
  <c r="M58"/>
  <c r="L58"/>
  <c r="K58"/>
  <c r="J58"/>
  <c r="I58"/>
  <c r="G58"/>
  <c r="G57"/>
  <c r="H58" s="1"/>
  <c r="S56"/>
  <c r="R56"/>
  <c r="Q56"/>
  <c r="P56"/>
  <c r="O56"/>
  <c r="N56"/>
  <c r="M56"/>
  <c r="L56"/>
  <c r="K56"/>
  <c r="J56"/>
  <c r="I56"/>
  <c r="G55"/>
  <c r="H56" s="1"/>
  <c r="S54"/>
  <c r="R54"/>
  <c r="Q54"/>
  <c r="P54"/>
  <c r="O54"/>
  <c r="N54"/>
  <c r="M54"/>
  <c r="L54"/>
  <c r="K54"/>
  <c r="J54"/>
  <c r="I54"/>
  <c r="G53"/>
  <c r="H54" s="1"/>
  <c r="S52"/>
  <c r="R52"/>
  <c r="Q52"/>
  <c r="P52"/>
  <c r="O52"/>
  <c r="N52"/>
  <c r="M52"/>
  <c r="L52"/>
  <c r="K52"/>
  <c r="J52"/>
  <c r="I52"/>
  <c r="G51"/>
  <c r="H52" s="1"/>
  <c r="I49"/>
  <c r="H49" s="1"/>
  <c r="G49" s="1"/>
  <c r="S48"/>
  <c r="R48"/>
  <c r="Q48"/>
  <c r="P48"/>
  <c r="O48"/>
  <c r="N48"/>
  <c r="M48"/>
  <c r="L48"/>
  <c r="K48"/>
  <c r="I47"/>
  <c r="S46"/>
  <c r="R46"/>
  <c r="Q46"/>
  <c r="P46"/>
  <c r="O46"/>
  <c r="N46"/>
  <c r="M46"/>
  <c r="L46"/>
  <c r="K46"/>
  <c r="I45"/>
  <c r="S44"/>
  <c r="R44"/>
  <c r="Q44"/>
  <c r="P44"/>
  <c r="O44"/>
  <c r="N44"/>
  <c r="M44"/>
  <c r="L44"/>
  <c r="K44"/>
  <c r="I43"/>
  <c r="I42"/>
  <c r="H42"/>
  <c r="G42" s="1"/>
  <c r="I41"/>
  <c r="H41" s="1"/>
  <c r="G41" s="1"/>
  <c r="I40"/>
  <c r="H40"/>
  <c r="G40" s="1"/>
  <c r="S39"/>
  <c r="R39"/>
  <c r="Q39"/>
  <c r="P39"/>
  <c r="O39"/>
  <c r="N39"/>
  <c r="M39"/>
  <c r="L39"/>
  <c r="K39"/>
  <c r="I38"/>
  <c r="J39" s="1"/>
  <c r="H38"/>
  <c r="S37"/>
  <c r="R37"/>
  <c r="Q37"/>
  <c r="P37"/>
  <c r="O37"/>
  <c r="N37"/>
  <c r="M37"/>
  <c r="L37"/>
  <c r="K37"/>
  <c r="I36"/>
  <c r="J37" s="1"/>
  <c r="H36"/>
  <c r="G33"/>
  <c r="G32"/>
  <c r="S30"/>
  <c r="R30"/>
  <c r="Q30"/>
  <c r="P30"/>
  <c r="O30"/>
  <c r="N30"/>
  <c r="M30"/>
  <c r="L30"/>
  <c r="K30"/>
  <c r="J30"/>
  <c r="I30"/>
  <c r="G29"/>
  <c r="H30" s="1"/>
  <c r="S28"/>
  <c r="R28"/>
  <c r="Q28"/>
  <c r="P28"/>
  <c r="O28"/>
  <c r="N28"/>
  <c r="M28"/>
  <c r="L28"/>
  <c r="K28"/>
  <c r="J28"/>
  <c r="I28"/>
  <c r="G27"/>
  <c r="H28" s="1"/>
  <c r="S26"/>
  <c r="R26"/>
  <c r="Q26"/>
  <c r="P26"/>
  <c r="O26"/>
  <c r="N26"/>
  <c r="M26"/>
  <c r="L26"/>
  <c r="K26"/>
  <c r="J26"/>
  <c r="I26"/>
  <c r="G25"/>
  <c r="H26" s="1"/>
  <c r="G18"/>
  <c r="G16"/>
  <c r="G15"/>
  <c r="G14"/>
  <c r="G13"/>
  <c r="G12"/>
  <c r="S11"/>
  <c r="R11"/>
  <c r="Q11"/>
  <c r="P11"/>
  <c r="O11"/>
  <c r="N11"/>
  <c r="M11"/>
  <c r="L11"/>
  <c r="K11"/>
  <c r="J11"/>
  <c r="I11"/>
  <c r="G10"/>
  <c r="H11" s="1"/>
  <c r="G9"/>
  <c r="S8"/>
  <c r="R8"/>
  <c r="Q8"/>
  <c r="P8"/>
  <c r="O8"/>
  <c r="N8"/>
  <c r="M8"/>
  <c r="L8"/>
  <c r="K8"/>
  <c r="J8"/>
  <c r="I8"/>
  <c r="G8"/>
  <c r="G7"/>
  <c r="H8" s="1"/>
  <c r="G6"/>
  <c r="G56" l="1"/>
  <c r="G54"/>
  <c r="G52"/>
  <c r="G11"/>
  <c r="G26"/>
  <c r="G28"/>
  <c r="G30"/>
  <c r="I37"/>
  <c r="I39"/>
  <c r="J44"/>
  <c r="J46"/>
  <c r="J48"/>
  <c r="G60"/>
  <c r="G36"/>
  <c r="G37" s="1"/>
  <c r="G38"/>
  <c r="G39" s="1"/>
  <c r="H43"/>
  <c r="H45"/>
  <c r="I46" s="1"/>
  <c r="H47"/>
  <c r="H37" l="1"/>
  <c r="H39"/>
  <c r="H46"/>
  <c r="G45"/>
  <c r="G46" s="1"/>
  <c r="H48"/>
  <c r="G47"/>
  <c r="G48" s="1"/>
  <c r="H44"/>
  <c r="G43"/>
  <c r="G44" s="1"/>
  <c r="I48"/>
  <c r="I44"/>
  <c r="U66" l="1"/>
  <c r="U67"/>
  <c r="U68"/>
  <c r="U70"/>
  <c r="U204" s="1"/>
  <c r="U71"/>
  <c r="U72"/>
  <c r="U73"/>
  <c r="U74"/>
  <c r="U75"/>
  <c r="U76"/>
  <c r="U78"/>
  <c r="U79"/>
  <c r="U80"/>
  <c r="U82"/>
  <c r="U83"/>
  <c r="U85"/>
  <c r="U86"/>
  <c r="U88"/>
  <c r="U90"/>
  <c r="U92" s="1"/>
  <c r="U93"/>
  <c r="U94"/>
  <c r="U95"/>
  <c r="U96"/>
  <c r="U98"/>
  <c r="U99"/>
  <c r="U100"/>
  <c r="U102"/>
  <c r="U105"/>
  <c r="U106"/>
  <c r="U107"/>
  <c r="U108"/>
  <c r="U109"/>
  <c r="U110"/>
  <c r="U112"/>
  <c r="U118" s="1"/>
  <c r="U113"/>
  <c r="U114"/>
  <c r="U115"/>
  <c r="U121" s="1"/>
  <c r="U116"/>
  <c r="U122" s="1"/>
  <c r="U119"/>
  <c r="U120"/>
  <c r="U124"/>
  <c r="U125"/>
  <c r="U126"/>
  <c r="U127"/>
  <c r="U128"/>
  <c r="U129"/>
  <c r="U130"/>
  <c r="U131"/>
  <c r="U132"/>
  <c r="U134"/>
  <c r="U135"/>
  <c r="U136"/>
  <c r="U137"/>
  <c r="U139"/>
  <c r="U140" s="1"/>
  <c r="U141" s="1"/>
  <c r="U142" s="1"/>
  <c r="U145"/>
  <c r="U146"/>
  <c r="U147"/>
  <c r="U149"/>
  <c r="U150"/>
  <c r="U151"/>
  <c r="U154"/>
  <c r="U155"/>
  <c r="U156"/>
  <c r="U157"/>
  <c r="U159"/>
  <c r="U160"/>
  <c r="U162"/>
  <c r="U163" s="1"/>
  <c r="U164"/>
  <c r="U166"/>
  <c r="U167"/>
  <c r="U202"/>
  <c r="U203"/>
  <c r="U215" s="1"/>
  <c r="U205"/>
  <c r="U206"/>
  <c r="U208"/>
  <c r="U209"/>
  <c r="U211"/>
  <c r="U212"/>
  <c r="U214"/>
  <c r="U8"/>
  <c r="U11"/>
  <c r="U26"/>
  <c r="U28"/>
  <c r="U30"/>
  <c r="U37"/>
  <c r="U39"/>
  <c r="U44"/>
  <c r="U46"/>
  <c r="U48"/>
  <c r="U52"/>
  <c r="U54"/>
  <c r="U56"/>
  <c r="U58"/>
  <c r="U60"/>
  <c r="V153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36"/>
  <c r="V38"/>
  <c r="V40"/>
  <c r="V41"/>
  <c r="V42"/>
  <c r="V43"/>
  <c r="V45"/>
  <c r="V47"/>
  <c r="V49"/>
  <c r="V50"/>
  <c r="V51"/>
  <c r="V53"/>
  <c r="V55"/>
  <c r="V57"/>
  <c r="V59"/>
  <c r="V6"/>
  <c r="U84" l="1"/>
  <c r="U207" s="1"/>
  <c r="U216"/>
  <c r="U217" s="1"/>
  <c r="U143"/>
  <c r="G211"/>
  <c r="G212"/>
  <c r="G66"/>
  <c r="G202" s="1"/>
  <c r="G67"/>
  <c r="G68"/>
  <c r="G70"/>
  <c r="G204" s="1"/>
  <c r="G71"/>
  <c r="G205" s="1"/>
  <c r="G72"/>
  <c r="G73"/>
  <c r="G74"/>
  <c r="G75"/>
  <c r="G206" s="1"/>
  <c r="G76"/>
  <c r="G78"/>
  <c r="G79"/>
  <c r="G80"/>
  <c r="G209" s="1"/>
  <c r="G82"/>
  <c r="G83"/>
  <c r="G85"/>
  <c r="G86"/>
  <c r="G208" s="1"/>
  <c r="G88"/>
  <c r="G139" s="1"/>
  <c r="G140" s="1"/>
  <c r="G141" s="1"/>
  <c r="G142" s="1"/>
  <c r="G90"/>
  <c r="G92" s="1"/>
  <c r="G93"/>
  <c r="G94"/>
  <c r="G95"/>
  <c r="G96"/>
  <c r="G98"/>
  <c r="G164" s="1"/>
  <c r="G99"/>
  <c r="G100"/>
  <c r="G102"/>
  <c r="G105"/>
  <c r="G106"/>
  <c r="G107"/>
  <c r="G108"/>
  <c r="G109"/>
  <c r="G110"/>
  <c r="G112"/>
  <c r="G118" s="1"/>
  <c r="G113"/>
  <c r="G119" s="1"/>
  <c r="G114"/>
  <c r="G120" s="1"/>
  <c r="G115"/>
  <c r="G121" s="1"/>
  <c r="G116"/>
  <c r="G122" s="1"/>
  <c r="G134"/>
  <c r="G135"/>
  <c r="G136"/>
  <c r="G137"/>
  <c r="G145"/>
  <c r="G146"/>
  <c r="G147"/>
  <c r="G149"/>
  <c r="G150"/>
  <c r="G151"/>
  <c r="G154"/>
  <c r="G155"/>
  <c r="G156"/>
  <c r="G157"/>
  <c r="G159"/>
  <c r="G160"/>
  <c r="G162"/>
  <c r="G163" s="1"/>
  <c r="G166"/>
  <c r="G167"/>
  <c r="AI232"/>
  <c r="AJ231"/>
  <c r="AI231"/>
  <c r="AI230"/>
  <c r="AI229"/>
  <c r="G203" l="1"/>
  <c r="G216" s="1"/>
  <c r="G217" s="1"/>
  <c r="G84"/>
  <c r="G207" s="1"/>
  <c r="G143"/>
  <c r="G214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L41" l="1"/>
  <c r="G215" i="18"/>
  <c r="H69" i="20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V201"/>
  <c r="H248"/>
  <c r="I248"/>
  <c r="H249"/>
  <c r="I249"/>
  <c r="H250"/>
  <c r="I250"/>
  <c r="H211"/>
  <c r="I211"/>
  <c r="H212"/>
  <c r="I212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I143" l="1"/>
  <c r="H141"/>
  <c r="H142" s="1"/>
  <c r="H143"/>
  <c r="I125"/>
  <c r="I126"/>
  <c r="I127"/>
  <c r="I128"/>
  <c r="I131"/>
  <c r="I129"/>
  <c r="I124"/>
  <c r="I132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X47" s="1"/>
  <c r="Y47" s="1"/>
  <c r="Z47" s="1"/>
  <c r="AA47" s="1"/>
  <c r="AB47" s="1"/>
  <c r="AC47" s="1"/>
  <c r="AD47" s="1"/>
  <c r="AE47" s="1"/>
  <c r="AF47" s="1"/>
  <c r="AG47" s="1"/>
  <c r="T48"/>
  <c r="T130"/>
  <c r="S130"/>
  <c r="R130"/>
  <c r="Q130"/>
  <c r="P130"/>
  <c r="O130"/>
  <c r="N130"/>
  <c r="M130"/>
  <c r="L130"/>
  <c r="K130"/>
  <c r="X57"/>
  <c r="G129" l="1"/>
  <c r="V129" s="1"/>
  <c r="G125"/>
  <c r="G127"/>
  <c r="V127" s="1"/>
  <c r="G131"/>
  <c r="G126"/>
  <c r="V126" s="1"/>
  <c r="G128"/>
  <c r="V128" s="1"/>
  <c r="G124"/>
  <c r="G132"/>
  <c r="H129"/>
  <c r="H125"/>
  <c r="H126"/>
  <c r="H127"/>
  <c r="H128"/>
  <c r="H131"/>
  <c r="H124"/>
  <c r="H132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AH47" i="18"/>
  <c r="T126"/>
  <c r="S126"/>
  <c r="R126"/>
  <c r="Q126"/>
  <c r="P126"/>
  <c r="O126"/>
  <c r="N126"/>
  <c r="M126"/>
  <c r="L126"/>
  <c r="K126"/>
  <c r="W49"/>
  <c r="T46"/>
  <c r="T44"/>
  <c r="T39"/>
  <c r="T37"/>
  <c r="J126"/>
  <c r="J130" l="1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T132" i="18"/>
  <c r="V132" s="1"/>
  <c r="T131"/>
  <c r="V131" s="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V125" s="1"/>
  <c r="S125"/>
  <c r="R125"/>
  <c r="Q125"/>
  <c r="P125"/>
  <c r="O125"/>
  <c r="N125"/>
  <c r="M125"/>
  <c r="L125"/>
  <c r="K125"/>
  <c r="J125"/>
  <c r="T124"/>
  <c r="V124" s="1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X40" s="1"/>
  <c r="Y40" s="1"/>
  <c r="Z40" s="1"/>
  <c r="AA40" s="1"/>
  <c r="AB40" s="1"/>
  <c r="AC40" s="1"/>
  <c r="AD40" s="1"/>
  <c r="AE40" s="1"/>
  <c r="AF40" s="1"/>
  <c r="AG40" s="1"/>
  <c r="X49"/>
  <c r="Y49" s="1"/>
  <c r="Z49" s="1"/>
  <c r="AA49" s="1"/>
  <c r="AB49" s="1"/>
  <c r="AC49" s="1"/>
  <c r="AD49" s="1"/>
  <c r="AE49" s="1"/>
  <c r="AF49" s="1"/>
  <c r="AG49" s="1"/>
  <c r="W45"/>
  <c r="X45" s="1"/>
  <c r="Y45" s="1"/>
  <c r="Z45" s="1"/>
  <c r="AA45" s="1"/>
  <c r="AB45" s="1"/>
  <c r="AC45" s="1"/>
  <c r="AD45" s="1"/>
  <c r="AE45" s="1"/>
  <c r="AF45" s="1"/>
  <c r="AG45" s="1"/>
  <c r="G130" l="1"/>
  <c r="V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AH45"/>
  <c r="AH40"/>
  <c r="W43"/>
  <c r="X43" s="1"/>
  <c r="Y43" s="1"/>
  <c r="Z43" s="1"/>
  <c r="AA43" s="1"/>
  <c r="AB43" s="1"/>
  <c r="AC43" s="1"/>
  <c r="AD43" s="1"/>
  <c r="AE43" s="1"/>
  <c r="AF43" s="1"/>
  <c r="AG43" s="1"/>
  <c r="AH43" s="1"/>
  <c r="W42"/>
  <c r="X42" s="1"/>
  <c r="Y42" s="1"/>
  <c r="Z42" s="1"/>
  <c r="AA42" s="1"/>
  <c r="AB42" s="1"/>
  <c r="AC42" s="1"/>
  <c r="AD42" s="1"/>
  <c r="AE42" s="1"/>
  <c r="AF42" s="1"/>
  <c r="AG42" s="1"/>
  <c r="AH42" s="1"/>
  <c r="W41"/>
  <c r="X41" s="1"/>
  <c r="Y41" s="1"/>
  <c r="Z41" s="1"/>
  <c r="AA41" s="1"/>
  <c r="AB41" s="1"/>
  <c r="AC41" s="1"/>
  <c r="AD41" s="1"/>
  <c r="AE41" s="1"/>
  <c r="AF41" s="1"/>
  <c r="AG41" s="1"/>
  <c r="W38"/>
  <c r="X38" s="1"/>
  <c r="W36"/>
  <c r="X36" s="1"/>
  <c r="H130" l="1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X128"/>
  <c r="AH41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V212" s="1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T58"/>
  <c r="T56"/>
  <c r="T54"/>
  <c r="T52"/>
  <c r="T30"/>
  <c r="T28"/>
  <c r="T26"/>
  <c r="T11"/>
  <c r="T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T102"/>
  <c r="V102" s="1"/>
  <c r="S102"/>
  <c r="R102"/>
  <c r="Q102"/>
  <c r="U170" s="1"/>
  <c r="P102"/>
  <c r="O102"/>
  <c r="N102"/>
  <c r="M102"/>
  <c r="L102"/>
  <c r="K102"/>
  <c r="J102"/>
  <c r="W170" l="1"/>
  <c r="U220" s="1"/>
  <c r="U219" s="1"/>
  <c r="H82" i="20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T170"/>
  <c r="U225" s="1"/>
  <c r="C1"/>
  <c r="AJ47" s="1"/>
  <c r="U221" l="1"/>
  <c r="U222" s="1"/>
  <c r="U224"/>
  <c r="U226"/>
  <c r="U227" s="1"/>
  <c r="T225"/>
  <c r="G225"/>
  <c r="G219"/>
  <c r="G221"/>
  <c r="G222" s="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S244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V71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V70" s="1"/>
  <c r="X224" l="1"/>
  <c r="G224"/>
  <c r="G226"/>
  <c r="G227" s="1"/>
  <c r="V220"/>
  <c r="T219"/>
  <c r="X219"/>
  <c r="T205"/>
  <c r="V205" s="1"/>
  <c r="T204"/>
  <c r="V204" s="1"/>
  <c r="H219"/>
  <c r="H221"/>
  <c r="I224"/>
  <c r="I226"/>
  <c r="I227" s="1"/>
  <c r="V225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V224" l="1"/>
  <c r="V221"/>
  <c r="H222"/>
  <c r="V222" s="1"/>
  <c r="V226"/>
  <c r="H227"/>
  <c r="V227" s="1"/>
  <c r="V219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V147" s="1"/>
  <c r="T146"/>
  <c r="V146" s="1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V211" s="1"/>
  <c r="T66"/>
  <c r="V66" s="1"/>
  <c r="T67"/>
  <c r="V67" s="1"/>
  <c r="T68"/>
  <c r="V68" s="1"/>
  <c r="T72"/>
  <c r="V72" s="1"/>
  <c r="T73"/>
  <c r="T74"/>
  <c r="V74" s="1"/>
  <c r="T75"/>
  <c r="V75" s="1"/>
  <c r="T76"/>
  <c r="V76" s="1"/>
  <c r="T78"/>
  <c r="V78" s="1"/>
  <c r="T79"/>
  <c r="V79" s="1"/>
  <c r="T80"/>
  <c r="V80" s="1"/>
  <c r="T82"/>
  <c r="V82" s="1"/>
  <c r="T83"/>
  <c r="V83" s="1"/>
  <c r="T85"/>
  <c r="V85" s="1"/>
  <c r="T86"/>
  <c r="V86" s="1"/>
  <c r="T88"/>
  <c r="V88" s="1"/>
  <c r="T90"/>
  <c r="V90" s="1"/>
  <c r="T93"/>
  <c r="V93" s="1"/>
  <c r="T94"/>
  <c r="V94" s="1"/>
  <c r="T95"/>
  <c r="V95" s="1"/>
  <c r="T96"/>
  <c r="V96" s="1"/>
  <c r="T98"/>
  <c r="V98" s="1"/>
  <c r="T99"/>
  <c r="V99" s="1"/>
  <c r="T100"/>
  <c r="V100" s="1"/>
  <c r="T105"/>
  <c r="V105" s="1"/>
  <c r="T106"/>
  <c r="V106" s="1"/>
  <c r="T107"/>
  <c r="V107" s="1"/>
  <c r="T108"/>
  <c r="V108" s="1"/>
  <c r="T109"/>
  <c r="V109" s="1"/>
  <c r="T112"/>
  <c r="V112" s="1"/>
  <c r="T113"/>
  <c r="V113" s="1"/>
  <c r="T114"/>
  <c r="V114" s="1"/>
  <c r="T115"/>
  <c r="V115" s="1"/>
  <c r="T116"/>
  <c r="V116" s="1"/>
  <c r="T134"/>
  <c r="V134" s="1"/>
  <c r="T135"/>
  <c r="V135" s="1"/>
  <c r="T136"/>
  <c r="V136" s="1"/>
  <c r="T137"/>
  <c r="V137" s="1"/>
  <c r="T145"/>
  <c r="V145" s="1"/>
  <c r="T149"/>
  <c r="V149" s="1"/>
  <c r="T150"/>
  <c r="V150" s="1"/>
  <c r="T151"/>
  <c r="V151" s="1"/>
  <c r="T154"/>
  <c r="V154" s="1"/>
  <c r="T155"/>
  <c r="V155" s="1"/>
  <c r="T156"/>
  <c r="V156" s="1"/>
  <c r="T157"/>
  <c r="V157" s="1"/>
  <c r="T159"/>
  <c r="V159" s="1"/>
  <c r="T160"/>
  <c r="V160" s="1"/>
  <c r="T162"/>
  <c r="V162" s="1"/>
  <c r="T166"/>
  <c r="V166" s="1"/>
  <c r="T167"/>
  <c r="V167" s="1"/>
  <c r="X17"/>
  <c r="X19"/>
  <c r="X24"/>
  <c r="T92" l="1"/>
  <c r="V92" s="1"/>
  <c r="T139"/>
  <c r="V139" s="1"/>
  <c r="T214"/>
  <c r="V214" s="1"/>
  <c r="T110"/>
  <c r="V110" s="1"/>
  <c r="T164"/>
  <c r="V164" s="1"/>
  <c r="T122"/>
  <c r="V122" s="1"/>
  <c r="T120"/>
  <c r="V120" s="1"/>
  <c r="T119"/>
  <c r="V119" s="1"/>
  <c r="T202"/>
  <c r="V202" s="1"/>
  <c r="T118"/>
  <c r="V118" s="1"/>
  <c r="T163"/>
  <c r="V163" s="1"/>
  <c r="T208"/>
  <c r="V208" s="1"/>
  <c r="T121"/>
  <c r="V121" s="1"/>
  <c r="T209"/>
  <c r="V209" s="1"/>
  <c r="T206"/>
  <c r="V206" s="1"/>
  <c r="J60" i="20"/>
  <c r="P59"/>
  <c r="H87"/>
  <c r="F68"/>
  <c r="G68" s="1"/>
  <c r="C69" s="1"/>
  <c r="I114"/>
  <c r="M113"/>
  <c r="N113" s="1"/>
  <c r="J114" s="1"/>
  <c r="B114"/>
  <c r="F113"/>
  <c r="G113" s="1"/>
  <c r="C114" s="1"/>
  <c r="S245" i="18"/>
  <c r="T203"/>
  <c r="V203" s="1"/>
  <c r="T84"/>
  <c r="V84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V207" s="1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V215" s="1"/>
  <c r="K245"/>
  <c r="X59"/>
  <c r="V140" l="1"/>
  <c r="T143"/>
  <c r="V143" s="1"/>
  <c r="T141"/>
  <c r="T142" s="1"/>
  <c r="V142" s="1"/>
  <c r="T217"/>
  <c r="V217" s="1"/>
  <c r="V216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V141" l="1"/>
  <c r="F71" i="20"/>
  <c r="G71"/>
  <c r="C72" s="1"/>
  <c r="B117"/>
  <c r="F116"/>
  <c r="G116" s="1"/>
  <c r="C117" s="1"/>
  <c r="I117"/>
  <c r="M116"/>
  <c r="N116" s="1"/>
  <c r="J117" s="1"/>
  <c r="M61"/>
  <c r="N61"/>
  <c r="AI53" i="18"/>
  <c r="W53"/>
  <c r="J62" i="20" l="1"/>
  <c r="P61"/>
  <c r="F72"/>
  <c r="G72" s="1"/>
  <c r="C73" s="1"/>
  <c r="I118"/>
  <c r="M117"/>
  <c r="N117" s="1"/>
  <c r="J118" s="1"/>
  <c r="B118"/>
  <c r="F117"/>
  <c r="G117" s="1"/>
  <c r="C118" s="1"/>
  <c r="X53" i="18"/>
  <c r="F73" i="20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59"/>
  <c r="W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W256"/>
  <c r="W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X14"/>
  <c r="Y14" s="1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J137"/>
  <c r="K137"/>
  <c r="L137"/>
  <c r="M137"/>
  <c r="N137"/>
  <c r="O137"/>
  <c r="P137"/>
  <c r="Q137"/>
  <c r="R137"/>
  <c r="S137"/>
  <c r="V260"/>
  <c r="O259"/>
  <c r="V257"/>
  <c r="W257" s="1"/>
  <c r="W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X32"/>
  <c r="Y32" s="1"/>
  <c r="Z32" s="1"/>
  <c r="AA32" s="1"/>
  <c r="AB32" s="1"/>
  <c r="AC32" s="1"/>
  <c r="AD32" s="1"/>
  <c r="AE32" s="1"/>
  <c r="AF32" s="1"/>
  <c r="AG32" s="1"/>
  <c r="AH32" s="1"/>
  <c r="O262"/>
  <c r="V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X25" s="1"/>
  <c r="X129" s="1"/>
  <c r="W27"/>
  <c r="X27" s="1"/>
  <c r="W29"/>
  <c r="X29" s="1"/>
  <c r="W31"/>
  <c r="W33"/>
  <c r="X33" s="1"/>
  <c r="W34"/>
  <c r="X34" s="1"/>
  <c r="W51"/>
  <c r="X51" s="1"/>
  <c r="W55"/>
  <c r="X55" s="1"/>
  <c r="X130" s="1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J65" i="20" l="1"/>
  <c r="P64"/>
  <c r="F78"/>
  <c r="G78" s="1"/>
  <c r="X132" i="18"/>
  <c r="X131"/>
  <c r="X124"/>
  <c r="X125"/>
  <c r="X68"/>
  <c r="X110" s="1"/>
  <c r="AD53"/>
  <c r="AJ32"/>
  <c r="X3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G81" i="20" l="1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V250"/>
  <c r="V249"/>
  <c r="V248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L214" s="1"/>
  <c r="M72"/>
  <c r="M214" s="1"/>
  <c r="N72"/>
  <c r="N214" s="1"/>
  <c r="O72"/>
  <c r="O214" s="1"/>
  <c r="P72"/>
  <c r="P214" s="1"/>
  <c r="Q72"/>
  <c r="Q214" s="1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K214" l="1"/>
  <c r="V170"/>
  <c r="X244" s="1"/>
  <c r="X243" s="1"/>
  <c r="N81" i="20"/>
  <c r="N82" s="1"/>
  <c r="J79"/>
  <c r="AB125" i="18"/>
  <c r="AB129"/>
  <c r="AB147"/>
  <c r="AB124"/>
  <c r="X211"/>
  <c r="AF113"/>
  <c r="AF119" s="1"/>
  <c r="X134"/>
  <c r="W188"/>
  <c r="S237" s="1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S240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AG209"/>
  <c r="AH80"/>
  <c r="X179"/>
  <c r="AH72"/>
  <c r="AJ72"/>
  <c r="Y171" s="1"/>
  <c r="X171"/>
  <c r="AG203"/>
  <c r="AG215" s="1"/>
  <c r="AH215" s="1"/>
  <c r="AJ66"/>
  <c r="AH66"/>
  <c r="AG202"/>
  <c r="AH100"/>
  <c r="AJ100"/>
  <c r="X198"/>
  <c r="AJ96"/>
  <c r="Y198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AJ74"/>
  <c r="Y172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G231" s="1"/>
  <c r="G232" s="1"/>
  <c r="U230"/>
  <c r="G229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T241"/>
  <c r="W198"/>
  <c r="AJ226"/>
  <c r="W194"/>
  <c r="AH205"/>
  <c r="AJ205" s="1"/>
  <c r="W182"/>
  <c r="T239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2" s="1"/>
  <c r="S243" s="1"/>
  <c r="T242"/>
  <c r="T243" s="1"/>
  <c r="W179"/>
  <c r="T238"/>
  <c r="AG143"/>
  <c r="AH140"/>
  <c r="AG141"/>
  <c r="U229" l="1"/>
  <c r="U231"/>
  <c r="U232" s="1"/>
  <c r="AJ230"/>
  <c r="AJ229"/>
  <c r="T231"/>
  <c r="T229"/>
  <c r="V230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S238"/>
  <c r="P238"/>
  <c r="P239"/>
  <c r="S239"/>
  <c r="P241"/>
  <c r="S241"/>
  <c r="AH207"/>
  <c r="AJ207" s="1"/>
  <c r="AJ221" s="1"/>
  <c r="V229" l="1"/>
  <c r="J232"/>
  <c r="AH232" s="1"/>
  <c r="AH231"/>
  <c r="V231"/>
  <c r="T232"/>
  <c r="V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W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<sst xmlns="http://schemas.openxmlformats.org/spreadsheetml/2006/main" count="779" uniqueCount="513">
  <si>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</si>
  <si>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</si>
  <si>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</si>
  <si>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</si>
  <si>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</si>
  <si>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</si>
  <si>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</si>
  <si>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</si>
  <si>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</si>
  <si>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</si>
  <si>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</si>
  <si>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</si>
  <si>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</si>
  <si>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</si>
  <si>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</si>
  <si>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</si>
  <si>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</si>
  <si>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</si>
  <si>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</si>
  <si>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</si>
  <si>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</si>
  <si>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</si>
  <si>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</si>
  <si>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</si>
  <si>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</si>
  <si>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</si>
  <si>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</si>
  <si>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</si>
  <si>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</si>
  <si>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</si>
  <si>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</si>
  <si>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</si>
  <si>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</si>
  <si>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</si>
  <si>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</si>
  <si>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</si>
  <si>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</si>
  <si>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</si>
  <si>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</si>
  <si>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</si>
  <si>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</si>
  <si>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</si>
  <si>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</si>
  <si>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</si>
  <si>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</si>
  <si>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</si>
  <si>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</si>
  <si>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</si>
  <si>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</si>
  <si>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</si>
  <si>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</si>
  <si>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</si>
  <si>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</si>
  <si>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</si>
  <si>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</si>
  <si>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</si>
  <si>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</si>
  <si>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</si>
  <si>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</si>
  <si>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</si>
  <si>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</si>
  <si>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</si>
  <si>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</si>
  <si>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</si>
  <si>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</si>
  <si>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</si>
  <si>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</si>
  <si>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</si>
  <si>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</si>
  <si>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</si>
  <si>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</si>
  <si>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</si>
  <si>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</si>
  <si>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</si>
  <si>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</si>
  <si>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</si>
  <si>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</si>
  <si>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</si>
  <si>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</si>
  <si>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</si>
  <si>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</si>
  <si>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</si>
  <si>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</si>
  <si>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</si>
  <si>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</si>
  <si>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</si>
  <si>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</si>
  <si>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</si>
  <si>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</si>
  <si>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</si>
  <si>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</si>
  <si>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</si>
  <si>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</si>
  <si>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</si>
  <si>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</si>
  <si>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</si>
  <si>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</si>
  <si>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</si>
  <si>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</si>
  <si>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</si>
  <si>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</si>
  <si>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</si>
  <si>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</si>
  <si>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</si>
  <si>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</si>
  <si>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</si>
  <si>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</si>
  <si>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</si>
  <si>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</si>
  <si>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</si>
  <si>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</si>
  <si>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</si>
  <si>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</si>
  <si>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</si>
  <si>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</si>
  <si>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</si>
  <si>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</si>
  <si>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</si>
  <si>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</si>
  <si>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</si>
  <si>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</si>
  <si>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</si>
  <si>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</si>
  <si>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</si>
  <si>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</si>
  <si>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</si>
  <si>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</si>
  <si>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</si>
  <si>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</si>
  <si>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</si>
  <si>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</si>
  <si>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</si>
  <si>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</si>
  <si>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</si>
  <si>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</si>
  <si>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</si>
  <si>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</si>
  <si>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</si>
  <si>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</si>
  <si>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</si>
  <si>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</si>
  <si>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</si>
  <si>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</si>
  <si>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</si>
  <si>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</si>
  <si>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</si>
  <si>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</si>
  <si>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</si>
  <si>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</si>
  <si>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</si>
  <si>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</si>
  <si>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</si>
  <si>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</si>
  <si>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</si>
  <si>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</si>
  <si>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</si>
  <si>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</si>
  <si>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</si>
  <si>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</si>
  <si>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</si>
  <si>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</si>
  <si>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</si>
  <si>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</si>
  <si>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</si>
  <si>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</si>
  <si>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</si>
  <si>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</si>
  <si>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</si>
  <si>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</si>
  <si>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</si>
  <si>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</si>
  <si>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</si>
  <si>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</si>
  <si>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</si>
  <si>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</si>
  <si>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</si>
  <si>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</si>
  <si>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</si>
  <si>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</si>
  <si>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</si>
  <si>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</si>
  <si>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</si>
  <si>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</si>
  <si>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</si>
  <si>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</si>
  <si>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</si>
  <si>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</si>
  <si>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</si>
  <si>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</si>
  <si>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</si>
  <si>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</si>
  <si>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</si>
  <si>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</si>
  <si>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</si>
  <si>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</si>
  <si>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</si>
  <si>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</si>
  <si>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</si>
  <si>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</si>
  <si>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</si>
  <si>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</si>
  <si>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</si>
  <si>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</si>
  <si>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</si>
  <si>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</si>
  <si>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</si>
  <si>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</si>
  <si>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</si>
  <si>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</si>
  <si>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</si>
  <si>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</si>
  <si>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</si>
  <si>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</si>
  <si>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</si>
  <si>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</si>
  <si>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</si>
  <si>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</si>
  <si>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</si>
  <si>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</si>
  <si>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</si>
  <si>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</si>
  <si>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</si>
  <si>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</si>
  <si>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</si>
  <si>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</si>
  <si>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</si>
  <si>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</si>
  <si>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</si>
  <si>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</si>
  <si>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</si>
  <si>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</si>
  <si>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</si>
  <si>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</si>
  <si>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</si>
  <si>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</si>
  <si>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</si>
  <si>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</si>
  <si>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</si>
  <si>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</si>
  <si>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</si>
  <si>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</si>
  <si>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</si>
  <si>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</si>
  <si>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</si>
  <si>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</si>
  <si>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</si>
  <si>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</si>
  <si>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</si>
  <si>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</si>
  <si>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</si>
  <si>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</si>
  <si>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</si>
  <si>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</si>
  <si>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</si>
  <si>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</si>
  <si>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</si>
  <si>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</si>
  <si>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</si>
  <si>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</si>
  <si>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</si>
  <si>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</si>
  <si>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</si>
  <si>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</si>
  <si>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</si>
  <si>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</si>
  <si>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</si>
  <si>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</si>
  <si>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</si>
  <si>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</si>
  <si>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</si>
  <si>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</si>
  <si>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</si>
  <si>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</si>
  <si>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</si>
  <si>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</si>
  <si>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</si>
  <si>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</si>
  <si>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</si>
  <si>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</si>
  <si>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</si>
  <si>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</si>
  <si>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</si>
  <si>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</si>
  <si>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</si>
  <si>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</si>
  <si>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</si>
  <si>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</si>
  <si>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</si>
  <si>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</si>
  <si>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</si>
  <si>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</si>
  <si>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</si>
  <si>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</si>
  <si>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</si>
  <si>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</si>
  <si>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</si>
  <si>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</si>
  <si>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</si>
  <si>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</si>
  <si>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</si>
  <si>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</si>
  <si>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</si>
  <si>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</si>
  <si>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</si>
  <si>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</si>
  <si>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</si>
  <si>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</si>
  <si>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</si>
  <si>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</si>
  <si>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</si>
  <si>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</si>
  <si>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</si>
  <si>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</si>
  <si>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</si>
  <si>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</si>
  <si>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</si>
  <si>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</si>
  <si>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</si>
  <si>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</si>
  <si>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</si>
  <si>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</si>
  <si>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</si>
  <si>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</si>
  <si>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</si>
  <si>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</si>
  <si>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</si>
  <si>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</si>
  <si>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</si>
  <si>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</si>
  <si>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</si>
  <si>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</si>
  <si>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</si>
  <si>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</si>
  <si>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</si>
  <si>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</si>
  <si>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</si>
  <si>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</si>
  <si>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</si>
  <si>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</si>
  <si>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</si>
  <si>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</si>
  <si>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</si>
  <si>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</si>
  <si>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</si>
  <si>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</si>
  <si>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</si>
  <si>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</si>
  <si>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</si>
  <si>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</si>
  <si>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</si>
  <si>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</si>
  <si>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</si>
  <si>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</si>
  <si>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</si>
  <si>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</si>
  <si>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</si>
  <si>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</si>
  <si>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</si>
  <si>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</si>
  <si>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</si>
  <si>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</si>
  <si>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</si>
  <si>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</si>
  <si>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</si>
  <si>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</si>
  <si>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</si>
  <si>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</si>
  <si>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</si>
  <si>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</si>
  <si>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</si>
  <si>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</si>
  <si>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</si>
  <si>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</si>
  <si>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</si>
  <si>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</si>
  <si>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</si>
  <si>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</si>
  <si>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</si>
  <si>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</si>
  <si>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</si>
  <si>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</si>
  <si>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</si>
  <si>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</si>
  <si>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</si>
  <si>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</si>
  <si>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</si>
  <si>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</si>
  <si>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</si>
  <si>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</si>
  <si>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</si>
  <si>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</si>
  <si>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</si>
  <si>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</si>
  <si>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</si>
  <si>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</si>
  <si>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</si>
  <si>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</si>
  <si>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</si>
  <si>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</si>
  <si>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</si>
  <si>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</si>
  <si>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</si>
  <si>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</si>
  <si>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</si>
  <si>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</si>
  <si>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</si>
  <si>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</si>
  <si>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</si>
  <si>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</si>
  <si>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</si>
  <si>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</si>
  <si>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</si>
  <si>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</si>
  <si>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</si>
  <si>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</si>
  <si>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</si>
  <si>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</si>
  <si>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</si>
  <si>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</si>
  <si>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</si>
  <si>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</si>
  <si>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</si>
  <si>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</si>
  <si>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</si>
  <si>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</si>
  <si>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</si>
  <si>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</si>
  <si>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</si>
  <si>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</si>
  <si>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</si>
  <si>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</si>
  <si>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</si>
  <si>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</si>
  <si>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</si>
  <si>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</si>
  <si>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</si>
  <si>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</si>
  <si>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</si>
  <si>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</si>
  <si>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</si>
  <si>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</si>
  <si>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</si>
  <si>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</si>
  <si>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</si>
  <si>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</si>
  <si>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</si>
  <si>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</si>
  <si>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</si>
  <si>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</si>
  <si>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</si>
  <si>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</si>
  <si>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</si>
  <si>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</si>
  <si>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</si>
  <si>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</si>
  <si>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</si>
  <si>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</si>
  <si>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</si>
  <si>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</si>
  <si>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</si>
  <si>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</si>
  <si>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</si>
  <si>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</si>
  <si>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</si>
  <si>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</si>
  <si>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</si>
  <si>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</si>
  <si>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</si>
  <si>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</si>
  <si>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</si>
  <si>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</si>
  <si>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</si>
  <si>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</si>
  <si>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</si>
  <si>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</si>
  <si>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</si>
  <si>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</si>
  <si>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</si>
  <si>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</si>
  <si>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</si>
  <si>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</si>
  <si>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</si>
  <si>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</si>
  <si>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</si>
  <si>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</si>
  <si>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</si>
  <si>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</si>
  <si>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</si>
  <si>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</si>
  <si>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</si>
  <si>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</si>
  <si>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</si>
  <si>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</si>
  <si>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</si>
  <si>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</si>
  <si>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</si>
  <si>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</si>
  <si>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</si>
  <si>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</si>
  <si>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</si>
  <si>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</si>
  <si>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</si>
  <si>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</si>
  <si>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</si>
  <si>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</si>
  <si>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</si>
  <si>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</si>
  <si>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</si>
  <si>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</si>
  <si>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</si>
  <si>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13 yrs</t>
  </si>
  <si>
    <t>2nd highest Expenses Comp. ( Employee )</t>
  </si>
  <si>
    <t>Top Expenses ( Other exp )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</si>
</sst>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3" fontId="7" fillId="5" borderId="1" xfId="2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45209472"/>
        <c:axId val="45211008"/>
      </c:lineChart>
      <c:catAx>
        <c:axId val="45209472"/>
        <c:scaling>
          <c:orientation val="minMax"/>
        </c:scaling>
        <c:axPos val="b"/>
        <c:tickLblPos val="nextTo"/>
        <c:crossAx val="45211008"/>
        <c:crosses val="autoZero"/>
        <c:auto val="1"/>
        <c:lblAlgn val="ctr"/>
        <c:lblOffset val="100"/>
      </c:catAx>
      <c:valAx>
        <c:axId val="45211008"/>
        <c:scaling>
          <c:orientation val="minMax"/>
        </c:scaling>
        <c:axPos val="l"/>
        <c:majorGridlines/>
        <c:numFmt formatCode="General" sourceLinked="1"/>
        <c:tickLblPos val="nextTo"/>
        <c:crossAx val="4520947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F10" zoomScale="80" zoomScaleNormal="80" workbookViewId="0">
      <selection activeCell="L30" sqref="L30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88" t="s">
        <v>440</v>
      </c>
      <c r="C3" s="288"/>
      <c r="D3" s="288"/>
      <c r="G3" s="288" t="s">
        <v>441</v>
      </c>
      <c r="H3" s="288"/>
      <c r="I3" s="288"/>
      <c r="P3" s="297" t="s">
        <v>442</v>
      </c>
      <c r="Q3" s="298"/>
      <c r="R3" s="298"/>
      <c r="S3" s="299"/>
      <c r="T3" s="297" t="s">
        <v>443</v>
      </c>
      <c r="U3" s="298"/>
      <c r="V3" s="298"/>
      <c r="W3" s="299"/>
    </row>
    <row r="4" spans="2:23">
      <c r="B4" s="185" t="s">
        <v>444</v>
      </c>
      <c r="C4" s="300">
        <v>9500000</v>
      </c>
      <c r="D4" s="300"/>
      <c r="G4" s="185" t="s">
        <v>445</v>
      </c>
      <c r="H4" s="290">
        <v>200000</v>
      </c>
      <c r="I4" s="290"/>
      <c r="K4" s="186" t="s">
        <v>446</v>
      </c>
      <c r="L4" s="186" t="s">
        <v>78</v>
      </c>
      <c r="M4" s="186" t="s">
        <v>393</v>
      </c>
      <c r="N4" s="186" t="s">
        <v>447</v>
      </c>
      <c r="O4" s="186" t="s">
        <v>448</v>
      </c>
      <c r="P4" s="187" t="s">
        <v>449</v>
      </c>
      <c r="Q4" s="188" t="s">
        <v>287</v>
      </c>
      <c r="R4" s="188" t="s">
        <v>448</v>
      </c>
      <c r="S4" s="189" t="s">
        <v>450</v>
      </c>
      <c r="T4" s="187" t="s">
        <v>449</v>
      </c>
      <c r="U4" s="188" t="s">
        <v>287</v>
      </c>
      <c r="V4" s="188" t="s">
        <v>448</v>
      </c>
      <c r="W4" s="189" t="s">
        <v>450</v>
      </c>
    </row>
    <row r="5" spans="2:23">
      <c r="B5" s="185" t="s">
        <v>451</v>
      </c>
      <c r="C5" s="291">
        <v>0.08</v>
      </c>
      <c r="D5" s="292"/>
      <c r="G5" s="185" t="s">
        <v>451</v>
      </c>
      <c r="H5" s="296">
        <v>0.12</v>
      </c>
      <c r="I5" s="296"/>
      <c r="K5" s="185" t="s">
        <v>452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453</v>
      </c>
      <c r="C6" s="290">
        <v>30</v>
      </c>
      <c r="D6" s="290"/>
      <c r="G6" s="185" t="s">
        <v>453</v>
      </c>
      <c r="H6" s="290">
        <v>10</v>
      </c>
      <c r="I6" s="290"/>
      <c r="K6" s="185" t="s">
        <v>454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455</v>
      </c>
    </row>
    <row r="7" spans="2:23">
      <c r="B7" s="185"/>
      <c r="C7" s="289"/>
      <c r="D7" s="289"/>
      <c r="G7" s="185"/>
      <c r="H7" s="289"/>
      <c r="I7" s="289"/>
      <c r="K7" s="185" t="s">
        <v>456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89"/>
      <c r="D8" s="289"/>
      <c r="G8" s="185"/>
      <c r="H8" s="289"/>
      <c r="I8" s="289"/>
      <c r="K8" s="185" t="s">
        <v>457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445</v>
      </c>
      <c r="C9" s="287">
        <f>C4*(1/(1+C5)^C6)</f>
        <v>944084.6592231117</v>
      </c>
      <c r="D9" s="287"/>
      <c r="G9" s="203" t="s">
        <v>458</v>
      </c>
      <c r="H9" s="287">
        <f>H4*((1+H5)^H6)</f>
        <v>621169.64166884217</v>
      </c>
      <c r="I9" s="287"/>
      <c r="K9" s="185" t="s">
        <v>459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460</v>
      </c>
      <c r="C10" s="287">
        <f>C4-C9</f>
        <v>8555915.3407768887</v>
      </c>
      <c r="D10" s="287"/>
      <c r="G10" s="203" t="s">
        <v>460</v>
      </c>
      <c r="H10" s="295">
        <f>H9-H4</f>
        <v>421169.64166884217</v>
      </c>
      <c r="I10" s="295"/>
      <c r="K10" s="185" t="s">
        <v>461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462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463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88" t="s">
        <v>464</v>
      </c>
      <c r="C14" s="288"/>
      <c r="D14" s="288"/>
      <c r="G14" s="288" t="s">
        <v>465</v>
      </c>
      <c r="H14" s="288"/>
      <c r="I14" s="288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466</v>
      </c>
      <c r="C15" s="290">
        <v>24000</v>
      </c>
      <c r="D15" s="290"/>
      <c r="G15" s="185" t="s">
        <v>466</v>
      </c>
      <c r="H15" s="290">
        <v>200000</v>
      </c>
      <c r="I15" s="290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451</v>
      </c>
      <c r="C16" s="291">
        <v>0.1</v>
      </c>
      <c r="D16" s="292"/>
      <c r="G16" s="185" t="s">
        <v>451</v>
      </c>
      <c r="H16" s="291">
        <v>0.12</v>
      </c>
      <c r="I16" s="292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453</v>
      </c>
      <c r="C17" s="290">
        <v>20</v>
      </c>
      <c r="D17" s="290"/>
      <c r="G17" s="185" t="s">
        <v>453</v>
      </c>
      <c r="H17" s="290">
        <v>10</v>
      </c>
      <c r="I17" s="290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89"/>
      <c r="D18" s="289"/>
      <c r="G18" s="185"/>
      <c r="H18" s="289"/>
      <c r="I18" s="289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467</v>
      </c>
      <c r="C19" s="283">
        <f>( ( 1-  (1/ ( (1+C16)^C17) ) ) / C16)</f>
        <v>8.5135637197585652</v>
      </c>
      <c r="D19" s="284"/>
      <c r="G19" s="203" t="s">
        <v>468</v>
      </c>
      <c r="H19" s="283">
        <f>( ((1+H16)^H17) -1 ) / H16</f>
        <v>17.548735069535095</v>
      </c>
      <c r="I19" s="284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469</v>
      </c>
      <c r="C20" s="293">
        <f>C19 * C15</f>
        <v>204325.52927420556</v>
      </c>
      <c r="D20" s="294"/>
      <c r="G20" s="203" t="s">
        <v>470</v>
      </c>
      <c r="H20" s="283">
        <f>H19 * H15</f>
        <v>3509747.013907019</v>
      </c>
      <c r="I20" s="284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285"/>
      <c r="D21" s="286"/>
      <c r="G21" s="203"/>
      <c r="H21" s="285"/>
      <c r="I21" s="286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87"/>
      <c r="D22" s="287"/>
      <c r="G22" s="203"/>
      <c r="H22" s="287"/>
      <c r="I22" s="287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88" t="s">
        <v>471</v>
      </c>
      <c r="C26" s="288"/>
      <c r="D26" s="288"/>
      <c r="G26" s="288" t="s">
        <v>472</v>
      </c>
      <c r="H26" s="288"/>
      <c r="I26" s="288"/>
      <c r="K26" s="288" t="s">
        <v>15</v>
      </c>
      <c r="L26" s="288"/>
    </row>
    <row r="27" spans="2:18">
      <c r="B27" s="185" t="s">
        <v>466</v>
      </c>
      <c r="C27" s="290">
        <v>100</v>
      </c>
      <c r="D27" s="290"/>
      <c r="G27" s="185" t="s">
        <v>466</v>
      </c>
      <c r="H27" s="290">
        <v>200000</v>
      </c>
      <c r="I27" s="290"/>
      <c r="K27" s="10" t="s">
        <v>16</v>
      </c>
      <c r="L27" s="11">
        <v>70</v>
      </c>
      <c r="M27" s="216">
        <f>L27*M39</f>
        <v>3500000</v>
      </c>
      <c r="N27" t="s">
        <v>473</v>
      </c>
    </row>
    <row r="28" spans="2:18">
      <c r="B28" s="185" t="s">
        <v>451</v>
      </c>
      <c r="C28" s="291">
        <v>0.05</v>
      </c>
      <c r="D28" s="292"/>
      <c r="G28" s="185" t="s">
        <v>451</v>
      </c>
      <c r="H28" s="291">
        <v>0.12</v>
      </c>
      <c r="I28" s="292"/>
      <c r="K28" s="10" t="s">
        <v>17</v>
      </c>
      <c r="L28" s="11">
        <v>1000</v>
      </c>
      <c r="M28" s="217"/>
      <c r="R28">
        <v>416</v>
      </c>
    </row>
    <row r="29" spans="2:18">
      <c r="B29" s="185" t="s">
        <v>453</v>
      </c>
      <c r="C29" s="290">
        <v>3</v>
      </c>
      <c r="D29" s="290"/>
      <c r="G29" s="185" t="s">
        <v>453</v>
      </c>
      <c r="H29" s="290">
        <v>11</v>
      </c>
      <c r="I29" s="290"/>
      <c r="K29" s="10" t="s">
        <v>18</v>
      </c>
      <c r="L29" s="12">
        <v>10</v>
      </c>
      <c r="M29" s="218">
        <f>L27/100000</f>
        <v>6.9999999999999999E-4</v>
      </c>
      <c r="N29" t="s">
        <v>474</v>
      </c>
    </row>
    <row r="30" spans="2:18" ht="15.75" thickBot="1">
      <c r="B30" s="185"/>
      <c r="C30" s="289"/>
      <c r="D30" s="289"/>
      <c r="G30" s="185"/>
      <c r="H30" s="289"/>
      <c r="I30" s="289"/>
      <c r="K30" s="13" t="s">
        <v>19</v>
      </c>
      <c r="L30" s="3">
        <f>((L28/L27)^(1/L29))-1</f>
        <v>0.30463851668325392</v>
      </c>
      <c r="M30" s="218">
        <f>L28/100000</f>
        <v>0.01</v>
      </c>
      <c r="N30" t="s">
        <v>475</v>
      </c>
    </row>
    <row r="31" spans="2:18">
      <c r="B31" s="203" t="s">
        <v>467</v>
      </c>
      <c r="C31" s="283">
        <f>( ( ( 1-  (1/ ( (1+C28)^C29) ) ) / C28) ) * (1+C28)</f>
        <v>2.859410430839004</v>
      </c>
      <c r="D31" s="284"/>
      <c r="G31" s="203" t="s">
        <v>468</v>
      </c>
      <c r="H31" s="283">
        <f>(( ((1+H28)^H29) -1 ) / H28 ) * ( 1+H28)</f>
        <v>23.133133271224832</v>
      </c>
      <c r="I31" s="284"/>
      <c r="K31" s="13" t="s">
        <v>20</v>
      </c>
      <c r="L31" s="14">
        <f>L29*12</f>
        <v>120</v>
      </c>
      <c r="P31" s="219" t="s">
        <v>476</v>
      </c>
      <c r="Q31" s="220" t="s">
        <v>477</v>
      </c>
    </row>
    <row r="32" spans="2:18">
      <c r="B32" s="203" t="s">
        <v>478</v>
      </c>
      <c r="C32" s="283">
        <f>C31 * C27</f>
        <v>285.94104308390041</v>
      </c>
      <c r="D32" s="284"/>
      <c r="G32" s="203" t="s">
        <v>479</v>
      </c>
      <c r="H32" s="283">
        <f>H31 * H27</f>
        <v>4626626.6542449668</v>
      </c>
      <c r="I32" s="284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>
      <c r="B33" s="203"/>
      <c r="C33" s="285"/>
      <c r="D33" s="286"/>
      <c r="G33" s="203"/>
      <c r="H33" s="285"/>
      <c r="I33" s="286"/>
      <c r="K33" s="13" t="s">
        <v>21</v>
      </c>
      <c r="L33" s="3">
        <f>((L28/L27)^(1/L32))-1</f>
        <v>0.30463851668325392</v>
      </c>
      <c r="P33" s="221">
        <v>0.08</v>
      </c>
      <c r="Q33" s="222">
        <v>9</v>
      </c>
    </row>
    <row r="34" spans="2:17">
      <c r="B34" s="203"/>
      <c r="C34" s="287"/>
      <c r="D34" s="287"/>
      <c r="G34" s="203"/>
      <c r="H34" s="287"/>
      <c r="I34" s="287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88" t="s">
        <v>24</v>
      </c>
      <c r="C36" s="288"/>
      <c r="D36" s="288"/>
      <c r="E36" s="223"/>
      <c r="G36" s="288" t="s">
        <v>53</v>
      </c>
      <c r="H36" s="288"/>
      <c r="K36" s="288" t="s">
        <v>337</v>
      </c>
      <c r="L36" s="288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70</v>
      </c>
      <c r="M37" s="217">
        <v>50000000</v>
      </c>
      <c r="N37" t="s">
        <v>480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1000</v>
      </c>
      <c r="M38" s="217">
        <f>L38/L37</f>
        <v>14.285714285714286</v>
      </c>
      <c r="N38" t="s">
        <v>481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482</v>
      </c>
      <c r="L39" s="10"/>
      <c r="M39" s="217">
        <f>M37/L38</f>
        <v>50000</v>
      </c>
      <c r="N39" t="s">
        <v>483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13.285714285714286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14.285714285714286</v>
      </c>
      <c r="P41" s="226">
        <v>0.75</v>
      </c>
      <c r="Q41" s="227">
        <v>1.3</v>
      </c>
    </row>
    <row r="42" spans="2:17" ht="15.75" thickBot="1">
      <c r="B42" s="229" t="s">
        <v>484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282" t="s">
        <v>458</v>
      </c>
      <c r="D43" s="282"/>
      <c r="E43" s="282"/>
      <c r="F43" s="282"/>
      <c r="J43" s="282" t="s">
        <v>458</v>
      </c>
      <c r="K43" s="282"/>
      <c r="L43" s="282"/>
      <c r="M43" s="282"/>
    </row>
    <row r="44" spans="2:17" ht="15.75" thickBot="1">
      <c r="B44" s="233"/>
      <c r="C44" s="275" t="s">
        <v>485</v>
      </c>
      <c r="D44" s="276"/>
      <c r="E44" s="234" t="s">
        <v>486</v>
      </c>
      <c r="F44" s="234"/>
      <c r="G44" s="235"/>
      <c r="I44" s="233"/>
      <c r="J44" s="275" t="s">
        <v>487</v>
      </c>
      <c r="K44" s="276"/>
      <c r="L44" s="234" t="s">
        <v>488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277" t="s">
        <v>489</v>
      </c>
      <c r="C46" s="278"/>
      <c r="D46" s="278"/>
      <c r="E46" s="278"/>
      <c r="F46" s="278"/>
      <c r="G46" s="279"/>
      <c r="I46" s="277" t="s">
        <v>489</v>
      </c>
      <c r="J46" s="278"/>
      <c r="K46" s="278"/>
      <c r="L46" s="278"/>
      <c r="M46" s="278"/>
      <c r="N46" s="279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490</v>
      </c>
      <c r="D48" s="238" t="s">
        <v>491</v>
      </c>
      <c r="E48" s="238" t="s">
        <v>492</v>
      </c>
      <c r="F48" s="238" t="s">
        <v>493</v>
      </c>
      <c r="G48" s="239" t="s">
        <v>494</v>
      </c>
      <c r="I48" s="237" t="s">
        <v>14</v>
      </c>
      <c r="J48" s="238" t="s">
        <v>490</v>
      </c>
      <c r="K48" s="238" t="s">
        <v>495</v>
      </c>
      <c r="L48" s="238" t="s">
        <v>492</v>
      </c>
      <c r="M48" s="238" t="s">
        <v>493</v>
      </c>
      <c r="N48" s="239" t="s">
        <v>494</v>
      </c>
      <c r="O48" s="240" t="s">
        <v>496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280" t="s">
        <v>497</v>
      </c>
      <c r="C81" s="281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280" t="s">
        <v>497</v>
      </c>
      <c r="J81" s="281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498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498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282" t="s">
        <v>499</v>
      </c>
      <c r="D84" s="282"/>
      <c r="E84" s="282"/>
      <c r="F84" s="282"/>
      <c r="H84" s="254">
        <f t="shared" si="14"/>
        <v>0</v>
      </c>
      <c r="J84" s="282" t="s">
        <v>499</v>
      </c>
      <c r="K84" s="282"/>
      <c r="L84" s="282"/>
      <c r="M84" s="282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275" t="s">
        <v>485</v>
      </c>
      <c r="D86" s="276"/>
      <c r="E86" s="234" t="s">
        <v>486</v>
      </c>
      <c r="F86" s="234"/>
      <c r="G86" s="235"/>
      <c r="H86" s="254">
        <f t="shared" si="14"/>
        <v>0</v>
      </c>
      <c r="I86" s="233"/>
      <c r="J86" s="275" t="s">
        <v>500</v>
      </c>
      <c r="K86" s="276"/>
      <c r="L86" s="234" t="s">
        <v>501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277" t="s">
        <v>502</v>
      </c>
      <c r="C88" s="278"/>
      <c r="D88" s="278"/>
      <c r="E88" s="278"/>
      <c r="F88" s="278"/>
      <c r="G88" s="279"/>
      <c r="H88" s="254">
        <f t="shared" si="14"/>
        <v>0</v>
      </c>
      <c r="I88" s="277" t="s">
        <v>502</v>
      </c>
      <c r="J88" s="278"/>
      <c r="K88" s="278"/>
      <c r="L88" s="278"/>
      <c r="M88" s="278"/>
      <c r="N88" s="279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490</v>
      </c>
      <c r="D90" s="238" t="s">
        <v>503</v>
      </c>
      <c r="E90" s="238" t="s">
        <v>492</v>
      </c>
      <c r="F90" s="238" t="s">
        <v>504</v>
      </c>
      <c r="G90" s="239" t="s">
        <v>505</v>
      </c>
      <c r="I90" s="237" t="s">
        <v>14</v>
      </c>
      <c r="J90" s="238" t="s">
        <v>506</v>
      </c>
      <c r="K90" s="238" t="s">
        <v>507</v>
      </c>
      <c r="L90" s="238" t="s">
        <v>492</v>
      </c>
      <c r="M90" s="238" t="s">
        <v>504</v>
      </c>
      <c r="N90" s="239" t="s">
        <v>505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280" t="s">
        <v>508</v>
      </c>
      <c r="C124" s="281"/>
      <c r="D124" s="259">
        <f>SUM(D91:D123)</f>
        <v>1900</v>
      </c>
      <c r="E124" s="257"/>
      <c r="F124" s="257"/>
      <c r="G124" s="271">
        <f>G121</f>
        <v>1413.1902480939689</v>
      </c>
      <c r="I124" s="280" t="s">
        <v>508</v>
      </c>
      <c r="J124" s="281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42578125" style="89" bestFit="1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0.15</v>
      </c>
      <c r="I1" s="89" t="s">
        <v>210</v>
      </c>
      <c r="K1" s="108">
        <v>2010</v>
      </c>
      <c r="M1" s="89" t="s">
        <v>272</v>
      </c>
      <c r="O1" s="141">
        <v>0.05</v>
      </c>
      <c r="Q1" s="89" t="s">
        <v>343</v>
      </c>
      <c r="S1" s="141">
        <v>0.05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1">
        <v>0.15</v>
      </c>
      <c r="Q2" s="89" t="s">
        <v>409</v>
      </c>
      <c r="S2" s="141">
        <v>0.15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5" t="s">
        <v>241</v>
      </c>
      <c r="AJ2" s="306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07" t="s">
        <v>242</v>
      </c>
      <c r="AJ3" s="308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/>
      <c r="G6" s="125">
        <f>M6</f>
        <v>457</v>
      </c>
      <c r="H6" s="125"/>
      <c r="I6" s="125"/>
      <c r="J6" s="125"/>
      <c r="K6" s="125"/>
      <c r="L6" s="125"/>
      <c r="M6" s="125">
        <v>457</v>
      </c>
      <c r="N6" s="125">
        <v>1474</v>
      </c>
      <c r="O6" s="125">
        <v>3038</v>
      </c>
      <c r="P6" s="125">
        <v>3753</v>
      </c>
      <c r="Q6" s="182">
        <v>4107</v>
      </c>
      <c r="R6" s="182">
        <v>4656</v>
      </c>
      <c r="S6" s="182">
        <v>5323</v>
      </c>
      <c r="T6" s="182">
        <v>6020</v>
      </c>
      <c r="U6" s="182">
        <v>10554</v>
      </c>
      <c r="V6" s="101">
        <f>((T6/G6)^(1/($K$2-$K$1) ))-1</f>
        <v>0.38025724804865257</v>
      </c>
      <c r="W6" s="21">
        <f>$O$2</f>
        <v>0.15</v>
      </c>
      <c r="X6" s="131">
        <f>T6*(1+$W6)</f>
        <v>6922.9999999999991</v>
      </c>
      <c r="Y6" s="131">
        <f>X6*(1+$W6)</f>
        <v>7961.449999999998</v>
      </c>
      <c r="Z6" s="131">
        <f t="shared" ref="Z6:AG6" si="0">Y6*(1+$W6)</f>
        <v>9155.6674999999977</v>
      </c>
      <c r="AA6" s="131">
        <f t="shared" si="0"/>
        <v>10529.017624999997</v>
      </c>
      <c r="AB6" s="131">
        <f t="shared" si="0"/>
        <v>12108.370268749995</v>
      </c>
      <c r="AC6" s="131">
        <f t="shared" si="0"/>
        <v>13924.625809062494</v>
      </c>
      <c r="AD6" s="131">
        <f t="shared" si="0"/>
        <v>16013.319680421868</v>
      </c>
      <c r="AE6" s="131">
        <f t="shared" si="0"/>
        <v>18415.317632485148</v>
      </c>
      <c r="AF6" s="131">
        <f t="shared" si="0"/>
        <v>21177.61527735792</v>
      </c>
      <c r="AG6" s="131">
        <f t="shared" si="0"/>
        <v>24354.257568961606</v>
      </c>
      <c r="AH6" s="116" t="e">
        <f>((AG6/J6)^(1/($AG$3-$K$1) ))-1</f>
        <v>#DIV/0!</v>
      </c>
      <c r="AI6" s="21">
        <f>$O$1</f>
        <v>0.05</v>
      </c>
      <c r="AJ6" s="124">
        <f t="shared" ref="AJ6:AJ59" si="1">(AG6*(1+AI6))/($C$1-AI6)</f>
        <v>255719.70447409688</v>
      </c>
    </row>
    <row r="7" spans="2:36">
      <c r="B7" s="10" t="s">
        <v>198</v>
      </c>
      <c r="C7" s="119"/>
      <c r="D7" s="119"/>
      <c r="E7" s="125"/>
      <c r="F7" s="125"/>
      <c r="G7" s="125">
        <f>M7</f>
        <v>1631</v>
      </c>
      <c r="H7" s="125"/>
      <c r="I7" s="125"/>
      <c r="J7" s="125"/>
      <c r="K7" s="125"/>
      <c r="L7" s="125"/>
      <c r="M7" s="125">
        <v>1631</v>
      </c>
      <c r="N7" s="125">
        <v>2891</v>
      </c>
      <c r="O7" s="125">
        <v>4752</v>
      </c>
      <c r="P7" s="125">
        <v>6220</v>
      </c>
      <c r="Q7" s="182">
        <v>6825</v>
      </c>
      <c r="R7" s="182">
        <v>7739</v>
      </c>
      <c r="S7" s="182">
        <v>8408</v>
      </c>
      <c r="T7" s="182">
        <v>9107</v>
      </c>
      <c r="U7" s="182">
        <v>13584</v>
      </c>
      <c r="V7" s="101">
        <f t="shared" ref="V7:V59" si="2">((T7/G7)^(1/($K$2-$K$1) ))-1</f>
        <v>0.23983865363968837</v>
      </c>
      <c r="W7" s="21">
        <f>$O$2</f>
        <v>0.15</v>
      </c>
      <c r="X7" s="131">
        <f t="shared" ref="X7:X59" si="3">T7*(1+$W7)</f>
        <v>10473.049999999999</v>
      </c>
      <c r="Y7" s="131">
        <f t="shared" ref="Y7:AG7" si="4">X7*(1+$W7)</f>
        <v>12044.007499999998</v>
      </c>
      <c r="Z7" s="131">
        <f t="shared" si="4"/>
        <v>13850.608624999997</v>
      </c>
      <c r="AA7" s="131">
        <f t="shared" si="4"/>
        <v>15928.199918749995</v>
      </c>
      <c r="AB7" s="131">
        <f t="shared" si="4"/>
        <v>18317.429906562495</v>
      </c>
      <c r="AC7" s="131">
        <f t="shared" si="4"/>
        <v>21065.044392546868</v>
      </c>
      <c r="AD7" s="131">
        <f t="shared" si="4"/>
        <v>24224.801051428898</v>
      </c>
      <c r="AE7" s="131">
        <f t="shared" si="4"/>
        <v>27858.521209143229</v>
      </c>
      <c r="AF7" s="131">
        <f t="shared" si="4"/>
        <v>32037.299390514712</v>
      </c>
      <c r="AG7" s="131">
        <f t="shared" si="4"/>
        <v>36842.894299091917</v>
      </c>
      <c r="AH7" s="116" t="e">
        <f>((AG7/J7)^(1/($AG$3-$K$1) ))-1</f>
        <v>#DIV/0!</v>
      </c>
      <c r="AI7" s="21">
        <f>$O$1</f>
        <v>0.05</v>
      </c>
      <c r="AJ7" s="124">
        <f t="shared" si="1"/>
        <v>386850.39014046523</v>
      </c>
    </row>
    <row r="8" spans="2:36">
      <c r="B8" s="10"/>
      <c r="C8" s="119"/>
      <c r="D8" s="119"/>
      <c r="E8" s="125"/>
      <c r="F8" s="272"/>
      <c r="G8" s="272">
        <f>(G7-F7)/G7</f>
        <v>1</v>
      </c>
      <c r="H8" s="128" t="e">
        <f>(H7-G7)/H7</f>
        <v>#DIV/0!</v>
      </c>
      <c r="I8" s="128" t="e">
        <f t="shared" ref="I8:P8" si="5">(I7-H7)/I7</f>
        <v>#DIV/0!</v>
      </c>
      <c r="J8" s="128" t="e">
        <f t="shared" si="5"/>
        <v>#DIV/0!</v>
      </c>
      <c r="K8" s="128" t="e">
        <f t="shared" si="5"/>
        <v>#DIV/0!</v>
      </c>
      <c r="L8" s="128" t="e">
        <f t="shared" si="5"/>
        <v>#DIV/0!</v>
      </c>
      <c r="M8" s="128">
        <f t="shared" si="5"/>
        <v>1</v>
      </c>
      <c r="N8" s="128">
        <f t="shared" si="5"/>
        <v>0.43583535108958837</v>
      </c>
      <c r="O8" s="128">
        <f t="shared" si="5"/>
        <v>0.3916245791245791</v>
      </c>
      <c r="P8" s="128">
        <f t="shared" si="5"/>
        <v>0.2360128617363344</v>
      </c>
      <c r="Q8" s="128">
        <f t="shared" ref="Q8:S8" si="6">(Q7-P7)/P7</f>
        <v>9.7266881028938906E-2</v>
      </c>
      <c r="R8" s="128">
        <f t="shared" si="6"/>
        <v>0.13391941391941392</v>
      </c>
      <c r="S8" s="128">
        <f t="shared" si="6"/>
        <v>8.6445277167592718E-2</v>
      </c>
      <c r="T8" s="128">
        <f t="shared" ref="T8:U8" si="7">(T7-S7)/S7</f>
        <v>8.3135109419600381E-2</v>
      </c>
      <c r="U8" s="128">
        <f t="shared" si="7"/>
        <v>0.49159986823322721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/>
      <c r="G9" s="125">
        <f>M9</f>
        <v>0</v>
      </c>
      <c r="H9" s="125"/>
      <c r="I9" s="125"/>
      <c r="J9" s="125"/>
      <c r="K9" s="125"/>
      <c r="L9" s="125"/>
      <c r="M9" s="125">
        <v>0</v>
      </c>
      <c r="N9" s="125">
        <v>3497</v>
      </c>
      <c r="O9" s="125">
        <v>4313</v>
      </c>
      <c r="P9" s="125">
        <v>1785</v>
      </c>
      <c r="Q9" s="182">
        <v>1802</v>
      </c>
      <c r="R9" s="182">
        <v>2339</v>
      </c>
      <c r="S9" s="182">
        <v>3029</v>
      </c>
      <c r="T9" s="182">
        <v>3109</v>
      </c>
      <c r="U9" s="182">
        <v>3109</v>
      </c>
      <c r="V9" s="101" t="e">
        <f t="shared" si="2"/>
        <v>#DIV/0!</v>
      </c>
      <c r="W9" s="21">
        <f t="shared" ref="W9:W55" si="8">$O$2</f>
        <v>0.15</v>
      </c>
      <c r="X9" s="131">
        <f t="shared" si="3"/>
        <v>3575.35</v>
      </c>
      <c r="Y9" s="131">
        <f t="shared" ref="Y9" si="9">X9*(1+$W9)</f>
        <v>4111.6524999999992</v>
      </c>
      <c r="Z9" s="131">
        <f t="shared" ref="Z9" si="10">Y9*(1+$W9)</f>
        <v>4728.4003749999983</v>
      </c>
      <c r="AA9" s="131">
        <f t="shared" ref="AA9" si="11">Z9*(1+$W9)</f>
        <v>5437.6604312499976</v>
      </c>
      <c r="AB9" s="131">
        <f t="shared" ref="AB9" si="12">AA9*(1+$W9)</f>
        <v>6253.3094959374966</v>
      </c>
      <c r="AC9" s="131">
        <f t="shared" ref="AC9" si="13">AB9*(1+$W9)</f>
        <v>7191.3059203281209</v>
      </c>
      <c r="AD9" s="131">
        <f t="shared" ref="AD9" si="14">AC9*(1+$W9)</f>
        <v>8270.0018083773375</v>
      </c>
      <c r="AE9" s="131">
        <f t="shared" ref="AE9" si="15">AD9*(1+$W9)</f>
        <v>9510.5020796339377</v>
      </c>
      <c r="AF9" s="131">
        <f t="shared" ref="AF9" si="16">AE9*(1+$W9)</f>
        <v>10937.077391579027</v>
      </c>
      <c r="AG9" s="131">
        <f t="shared" ref="AG9" si="17">AF9*(1+$W9)</f>
        <v>12577.639000315879</v>
      </c>
      <c r="AH9" s="116" t="e">
        <f>((AG9/J9)^(1/($AG$3-$K$1) ))-1</f>
        <v>#DIV/0!</v>
      </c>
      <c r="AI9" s="21">
        <f t="shared" ref="AI9:AI99" si="18">$O$1</f>
        <v>0.05</v>
      </c>
      <c r="AJ9" s="124">
        <f t="shared" si="1"/>
        <v>132065.20950331676</v>
      </c>
    </row>
    <row r="10" spans="2:36">
      <c r="B10" s="10" t="s">
        <v>3</v>
      </c>
      <c r="C10" s="119"/>
      <c r="D10" s="119"/>
      <c r="E10" s="125"/>
      <c r="F10" s="125"/>
      <c r="G10" s="125">
        <f>M10</f>
        <v>0</v>
      </c>
      <c r="H10" s="125"/>
      <c r="I10" s="125"/>
      <c r="J10" s="125"/>
      <c r="K10" s="125"/>
      <c r="L10" s="125"/>
      <c r="M10" s="125">
        <v>0</v>
      </c>
      <c r="N10" s="125">
        <v>13130</v>
      </c>
      <c r="O10" s="125">
        <v>17765</v>
      </c>
      <c r="P10" s="125">
        <v>22230</v>
      </c>
      <c r="Q10" s="182">
        <v>35853</v>
      </c>
      <c r="R10" s="182">
        <v>42090</v>
      </c>
      <c r="S10" s="182">
        <v>51615</v>
      </c>
      <c r="T10" s="182">
        <v>59811</v>
      </c>
      <c r="U10" s="182">
        <v>59811</v>
      </c>
      <c r="V10" s="101" t="e">
        <f t="shared" si="2"/>
        <v>#DIV/0!</v>
      </c>
      <c r="W10" s="21">
        <f t="shared" si="8"/>
        <v>0.15</v>
      </c>
      <c r="X10" s="131">
        <f t="shared" si="3"/>
        <v>68782.649999999994</v>
      </c>
      <c r="Y10" s="131">
        <f t="shared" ref="Y10:AG10" si="19">X10*(1+$W10)</f>
        <v>79100.047499999986</v>
      </c>
      <c r="Z10" s="131">
        <f t="shared" si="19"/>
        <v>90965.054624999975</v>
      </c>
      <c r="AA10" s="131">
        <f t="shared" si="19"/>
        <v>104609.81281874997</v>
      </c>
      <c r="AB10" s="131">
        <f t="shared" si="19"/>
        <v>120301.28474156246</v>
      </c>
      <c r="AC10" s="131">
        <f t="shared" si="19"/>
        <v>138346.47745279683</v>
      </c>
      <c r="AD10" s="131">
        <f t="shared" si="19"/>
        <v>159098.44907071633</v>
      </c>
      <c r="AE10" s="131">
        <f t="shared" si="19"/>
        <v>182963.21643132376</v>
      </c>
      <c r="AF10" s="131">
        <f t="shared" si="19"/>
        <v>210407.69889602231</v>
      </c>
      <c r="AG10" s="131">
        <f t="shared" si="19"/>
        <v>241968.85373042565</v>
      </c>
      <c r="AH10" s="116" t="e">
        <f t="shared" ref="AH10:AH57" si="20">((AG10/J10)^(1/($AG$3-$K$1) ))-1</f>
        <v>#DIV/0!</v>
      </c>
      <c r="AI10" s="21">
        <f t="shared" si="18"/>
        <v>0.05</v>
      </c>
      <c r="AJ10" s="124">
        <f t="shared" si="1"/>
        <v>2540672.9641694697</v>
      </c>
    </row>
    <row r="11" spans="2:36">
      <c r="B11" s="10"/>
      <c r="C11" s="119"/>
      <c r="D11" s="119"/>
      <c r="E11" s="125"/>
      <c r="F11" s="272"/>
      <c r="G11" s="272" t="e">
        <f>(G10-F10)/G10</f>
        <v>#DIV/0!</v>
      </c>
      <c r="H11" s="272" t="e">
        <f t="shared" ref="H11:P11" si="21">(H10-G10)/H10</f>
        <v>#DIV/0!</v>
      </c>
      <c r="I11" s="272" t="e">
        <f t="shared" si="21"/>
        <v>#DIV/0!</v>
      </c>
      <c r="J11" s="272" t="e">
        <f t="shared" si="21"/>
        <v>#DIV/0!</v>
      </c>
      <c r="K11" s="272" t="e">
        <f t="shared" si="21"/>
        <v>#DIV/0!</v>
      </c>
      <c r="L11" s="272" t="e">
        <f t="shared" si="21"/>
        <v>#DIV/0!</v>
      </c>
      <c r="M11" s="272" t="e">
        <f t="shared" si="21"/>
        <v>#DIV/0!</v>
      </c>
      <c r="N11" s="272">
        <f t="shared" si="21"/>
        <v>1</v>
      </c>
      <c r="O11" s="272">
        <f t="shared" si="21"/>
        <v>0.26090627638615255</v>
      </c>
      <c r="P11" s="272">
        <f t="shared" si="21"/>
        <v>0.20085470085470086</v>
      </c>
      <c r="Q11" s="128">
        <f t="shared" ref="Q11:S11" si="22">(Q10-P10)/P10</f>
        <v>0.61282051282051286</v>
      </c>
      <c r="R11" s="128">
        <f t="shared" si="22"/>
        <v>0.17396033804702535</v>
      </c>
      <c r="S11" s="128">
        <f t="shared" si="22"/>
        <v>0.22630078403421242</v>
      </c>
      <c r="T11" s="128">
        <f t="shared" ref="T11:U11" si="23">(T10-S10)/S10</f>
        <v>0.15879104911362976</v>
      </c>
      <c r="U11" s="128">
        <f t="shared" si="23"/>
        <v>0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8"/>
        <v>0.05</v>
      </c>
      <c r="AJ11" s="131"/>
    </row>
    <row r="12" spans="2:36">
      <c r="B12" s="10" t="s">
        <v>2</v>
      </c>
      <c r="C12" s="119"/>
      <c r="D12" s="119"/>
      <c r="E12" s="125"/>
      <c r="F12" s="125"/>
      <c r="G12" s="125">
        <f>M12</f>
        <v>0</v>
      </c>
      <c r="H12" s="125"/>
      <c r="I12" s="125"/>
      <c r="J12" s="125"/>
      <c r="K12" s="125"/>
      <c r="L12" s="125"/>
      <c r="M12" s="125">
        <v>0</v>
      </c>
      <c r="N12" s="125">
        <v>163</v>
      </c>
      <c r="O12" s="125">
        <v>113</v>
      </c>
      <c r="P12" s="125">
        <v>371</v>
      </c>
      <c r="Q12" s="182">
        <v>782</v>
      </c>
      <c r="R12" s="182">
        <v>862</v>
      </c>
      <c r="S12" s="182">
        <v>402</v>
      </c>
      <c r="T12" s="182">
        <v>594</v>
      </c>
      <c r="U12" s="182">
        <v>594</v>
      </c>
      <c r="V12" s="101" t="e">
        <f t="shared" si="2"/>
        <v>#DIV/0!</v>
      </c>
      <c r="W12" s="21">
        <f t="shared" si="8"/>
        <v>0.15</v>
      </c>
      <c r="X12" s="131">
        <f t="shared" si="3"/>
        <v>683.09999999999991</v>
      </c>
      <c r="Y12" s="131">
        <f t="shared" ref="Y12:AG12" si="24">X12*(1+$W12)</f>
        <v>785.56499999999983</v>
      </c>
      <c r="Z12" s="131">
        <f t="shared" si="24"/>
        <v>903.3997499999997</v>
      </c>
      <c r="AA12" s="131">
        <f t="shared" si="24"/>
        <v>1038.9097124999996</v>
      </c>
      <c r="AB12" s="131">
        <f t="shared" si="24"/>
        <v>1194.7461693749995</v>
      </c>
      <c r="AC12" s="131">
        <f t="shared" si="24"/>
        <v>1373.9580947812492</v>
      </c>
      <c r="AD12" s="131">
        <f t="shared" si="24"/>
        <v>1580.0518089984364</v>
      </c>
      <c r="AE12" s="131">
        <f t="shared" si="24"/>
        <v>1817.0595803482017</v>
      </c>
      <c r="AF12" s="131">
        <f t="shared" si="24"/>
        <v>2089.6185174004318</v>
      </c>
      <c r="AG12" s="131">
        <f t="shared" si="24"/>
        <v>2403.0612950104965</v>
      </c>
      <c r="AH12" s="116" t="e">
        <f t="shared" si="20"/>
        <v>#DIV/0!</v>
      </c>
      <c r="AI12" s="21">
        <f t="shared" si="18"/>
        <v>0.05</v>
      </c>
      <c r="AJ12" s="124">
        <f t="shared" si="1"/>
        <v>25232.143597610218</v>
      </c>
    </row>
    <row r="13" spans="2:36">
      <c r="B13" s="10" t="s">
        <v>191</v>
      </c>
      <c r="C13" s="119"/>
      <c r="D13" s="119"/>
      <c r="E13" s="125"/>
      <c r="F13" s="125"/>
      <c r="G13" s="125">
        <f>M13</f>
        <v>1629</v>
      </c>
      <c r="H13" s="125"/>
      <c r="I13" s="125"/>
      <c r="J13" s="125"/>
      <c r="K13" s="125"/>
      <c r="L13" s="125"/>
      <c r="M13" s="125">
        <v>1629</v>
      </c>
      <c r="N13" s="125">
        <v>732</v>
      </c>
      <c r="O13" s="125">
        <v>769</v>
      </c>
      <c r="P13" s="125">
        <v>1842</v>
      </c>
      <c r="Q13" s="182">
        <v>2730</v>
      </c>
      <c r="R13" s="182">
        <v>2649</v>
      </c>
      <c r="S13" s="182">
        <v>3563</v>
      </c>
      <c r="T13" s="182">
        <v>6011</v>
      </c>
      <c r="U13" s="182">
        <v>6011</v>
      </c>
      <c r="V13" s="101">
        <f t="shared" si="2"/>
        <v>0.17727576929930766</v>
      </c>
      <c r="W13" s="21">
        <f t="shared" si="8"/>
        <v>0.15</v>
      </c>
      <c r="X13" s="131">
        <f t="shared" si="3"/>
        <v>6912.65</v>
      </c>
      <c r="Y13" s="131">
        <f t="shared" ref="Y13:AG13" si="25">X13*(1+$W13)</f>
        <v>7949.5474999999988</v>
      </c>
      <c r="Z13" s="131">
        <f t="shared" si="25"/>
        <v>9141.9796249999981</v>
      </c>
      <c r="AA13" s="131">
        <f t="shared" si="25"/>
        <v>10513.276568749998</v>
      </c>
      <c r="AB13" s="131">
        <f t="shared" si="25"/>
        <v>12090.268054062497</v>
      </c>
      <c r="AC13" s="131">
        <f t="shared" si="25"/>
        <v>13903.808262171871</v>
      </c>
      <c r="AD13" s="131">
        <f t="shared" si="25"/>
        <v>15989.379501497651</v>
      </c>
      <c r="AE13" s="131">
        <f t="shared" si="25"/>
        <v>18387.786426722298</v>
      </c>
      <c r="AF13" s="131">
        <f t="shared" si="25"/>
        <v>21145.95439073064</v>
      </c>
      <c r="AG13" s="131">
        <f t="shared" si="25"/>
        <v>24317.847549340233</v>
      </c>
      <c r="AH13" s="116" t="e">
        <f t="shared" si="20"/>
        <v>#DIV/0!</v>
      </c>
      <c r="AI13" s="21">
        <f t="shared" si="18"/>
        <v>0.05</v>
      </c>
      <c r="AJ13" s="124">
        <f t="shared" si="1"/>
        <v>255337.39926807245</v>
      </c>
    </row>
    <row r="14" spans="2:36">
      <c r="B14" s="10" t="s">
        <v>318</v>
      </c>
      <c r="C14" s="119"/>
      <c r="D14" s="119"/>
      <c r="E14" s="125"/>
      <c r="F14" s="125"/>
      <c r="G14" s="125">
        <f>M14</f>
        <v>0</v>
      </c>
      <c r="H14" s="125"/>
      <c r="I14" s="125"/>
      <c r="J14" s="125"/>
      <c r="K14" s="125"/>
      <c r="L14" s="125"/>
      <c r="M14" s="125">
        <v>0</v>
      </c>
      <c r="N14" s="125">
        <v>0</v>
      </c>
      <c r="O14" s="125">
        <v>0</v>
      </c>
      <c r="P14" s="125">
        <v>0</v>
      </c>
      <c r="Q14" s="182">
        <v>0</v>
      </c>
      <c r="R14" s="182">
        <v>0</v>
      </c>
      <c r="S14" s="182">
        <v>0</v>
      </c>
      <c r="T14" s="182"/>
      <c r="U14" s="182"/>
      <c r="V14" s="101" t="e">
        <f t="shared" si="2"/>
        <v>#DIV/0!</v>
      </c>
      <c r="W14" s="21">
        <f t="shared" si="8"/>
        <v>0.15</v>
      </c>
      <c r="X14" s="131">
        <f t="shared" si="3"/>
        <v>0</v>
      </c>
      <c r="Y14" s="131">
        <f t="shared" ref="Y14" si="26">X14*(1+$W14)</f>
        <v>0</v>
      </c>
      <c r="Z14" s="131">
        <f t="shared" ref="Z14" si="27">Y14*(1+$W14)</f>
        <v>0</v>
      </c>
      <c r="AA14" s="131">
        <f t="shared" ref="AA14" si="28">Z14*(1+$W14)</f>
        <v>0</v>
      </c>
      <c r="AB14" s="131">
        <f t="shared" ref="AB14" si="29">AA14*(1+$W14)</f>
        <v>0</v>
      </c>
      <c r="AC14" s="131">
        <f t="shared" ref="AC14" si="30">AB14*(1+$W14)</f>
        <v>0</v>
      </c>
      <c r="AD14" s="131">
        <f t="shared" ref="AD14" si="31">AC14*(1+$W14)</f>
        <v>0</v>
      </c>
      <c r="AE14" s="131">
        <f t="shared" ref="AE14" si="32">AD14*(1+$W14)</f>
        <v>0</v>
      </c>
      <c r="AF14" s="131">
        <f t="shared" ref="AF14" si="33">AE14*(1+$W14)</f>
        <v>0</v>
      </c>
      <c r="AG14" s="131">
        <f t="shared" ref="AG14" si="34">AF14*(1+$W14)</f>
        <v>0</v>
      </c>
      <c r="AH14" s="116" t="e">
        <f t="shared" ref="AH14" si="35">((AG14/J14)^(1/($AG$3-$K$1) ))-1</f>
        <v>#DIV/0!</v>
      </c>
      <c r="AI14" s="21">
        <f t="shared" si="18"/>
        <v>0.05</v>
      </c>
      <c r="AJ14" s="124">
        <f t="shared" ref="AJ14" si="36">(AG14*(1+AI14))/($C$1-AI14)</f>
        <v>0</v>
      </c>
    </row>
    <row r="15" spans="2:36">
      <c r="B15" s="10" t="s">
        <v>11</v>
      </c>
      <c r="C15" s="119"/>
      <c r="D15" s="119"/>
      <c r="E15" s="125"/>
      <c r="F15" s="125"/>
      <c r="G15" s="125">
        <f>M15</f>
        <v>0.01</v>
      </c>
      <c r="H15" s="125"/>
      <c r="I15" s="125"/>
      <c r="J15" s="125"/>
      <c r="K15" s="125"/>
      <c r="L15" s="125"/>
      <c r="M15" s="125">
        <v>0.01</v>
      </c>
      <c r="N15" s="125">
        <v>171</v>
      </c>
      <c r="O15" s="125">
        <v>121</v>
      </c>
      <c r="P15" s="125">
        <v>405</v>
      </c>
      <c r="Q15" s="182">
        <v>813</v>
      </c>
      <c r="R15" s="182">
        <v>883</v>
      </c>
      <c r="S15" s="182">
        <v>428</v>
      </c>
      <c r="T15" s="182">
        <v>673</v>
      </c>
      <c r="U15" s="182">
        <v>673</v>
      </c>
      <c r="V15" s="101">
        <f t="shared" si="2"/>
        <v>3.0133023835953736</v>
      </c>
      <c r="W15" s="21">
        <f t="shared" si="8"/>
        <v>0.15</v>
      </c>
      <c r="X15" s="131">
        <f t="shared" si="3"/>
        <v>773.94999999999993</v>
      </c>
      <c r="Y15" s="131">
        <f t="shared" ref="Y15:AG15" si="37">X15*(1+$W15)</f>
        <v>890.0424999999999</v>
      </c>
      <c r="Z15" s="131">
        <f t="shared" si="37"/>
        <v>1023.5488749999998</v>
      </c>
      <c r="AA15" s="131">
        <f t="shared" si="37"/>
        <v>1177.0812062499997</v>
      </c>
      <c r="AB15" s="131">
        <f t="shared" si="37"/>
        <v>1353.6433871874995</v>
      </c>
      <c r="AC15" s="131">
        <f t="shared" si="37"/>
        <v>1556.6898952656243</v>
      </c>
      <c r="AD15" s="131">
        <f t="shared" si="37"/>
        <v>1790.1933795554678</v>
      </c>
      <c r="AE15" s="131">
        <f t="shared" si="37"/>
        <v>2058.7223864887878</v>
      </c>
      <c r="AF15" s="131">
        <f t="shared" si="37"/>
        <v>2367.5307444621058</v>
      </c>
      <c r="AG15" s="131">
        <f t="shared" si="37"/>
        <v>2722.6603561314214</v>
      </c>
      <c r="AH15" s="116" t="e">
        <f t="shared" si="20"/>
        <v>#DIV/0!</v>
      </c>
      <c r="AI15" s="21">
        <f t="shared" si="18"/>
        <v>0.05</v>
      </c>
      <c r="AJ15" s="124">
        <f t="shared" si="1"/>
        <v>28587.933739379929</v>
      </c>
    </row>
    <row r="16" spans="2:36">
      <c r="B16" s="10" t="s">
        <v>12</v>
      </c>
      <c r="C16" s="119"/>
      <c r="D16" s="119"/>
      <c r="E16" s="125"/>
      <c r="F16" s="125"/>
      <c r="G16" s="125">
        <f>M16</f>
        <v>2.12</v>
      </c>
      <c r="H16" s="125"/>
      <c r="I16" s="125"/>
      <c r="J16" s="125"/>
      <c r="K16" s="125"/>
      <c r="L16" s="125"/>
      <c r="M16" s="125">
        <v>2.12</v>
      </c>
      <c r="N16" s="125">
        <v>14776</v>
      </c>
      <c r="O16" s="125">
        <v>21194</v>
      </c>
      <c r="P16" s="125">
        <v>25387</v>
      </c>
      <c r="Q16" s="182">
        <v>38581</v>
      </c>
      <c r="R16" s="182">
        <v>45924</v>
      </c>
      <c r="S16" s="182">
        <v>55226</v>
      </c>
      <c r="T16" s="182">
        <v>61787</v>
      </c>
      <c r="U16" s="182">
        <v>61787</v>
      </c>
      <c r="V16" s="101">
        <f t="shared" si="2"/>
        <v>2.6146824957334927</v>
      </c>
      <c r="W16" s="21">
        <f t="shared" si="8"/>
        <v>0.15</v>
      </c>
      <c r="X16" s="131">
        <f t="shared" si="3"/>
        <v>71055.049999999988</v>
      </c>
      <c r="Y16" s="131">
        <f t="shared" ref="Y16:AG16" si="38">X16*(1+$W16)</f>
        <v>81713.307499999981</v>
      </c>
      <c r="Z16" s="131">
        <f t="shared" si="38"/>
        <v>93970.303624999971</v>
      </c>
      <c r="AA16" s="131">
        <f t="shared" si="38"/>
        <v>108065.84916874996</v>
      </c>
      <c r="AB16" s="131">
        <f t="shared" si="38"/>
        <v>124275.72654406245</v>
      </c>
      <c r="AC16" s="131">
        <f t="shared" si="38"/>
        <v>142917.08552567181</v>
      </c>
      <c r="AD16" s="131">
        <f t="shared" si="38"/>
        <v>164354.64835452256</v>
      </c>
      <c r="AE16" s="131">
        <f t="shared" si="38"/>
        <v>189007.84560770093</v>
      </c>
      <c r="AF16" s="131">
        <f t="shared" si="38"/>
        <v>217359.02244885606</v>
      </c>
      <c r="AG16" s="131">
        <f t="shared" si="38"/>
        <v>249962.87581618445</v>
      </c>
      <c r="AH16" s="116" t="e">
        <f t="shared" si="20"/>
        <v>#DIV/0!</v>
      </c>
      <c r="AI16" s="21">
        <f t="shared" si="18"/>
        <v>0.05</v>
      </c>
      <c r="AJ16" s="124">
        <f t="shared" si="1"/>
        <v>2624610.1960699367</v>
      </c>
    </row>
    <row r="17" spans="2:36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82"/>
      <c r="U17" s="182"/>
      <c r="V17" s="10"/>
      <c r="W17" s="10"/>
      <c r="X17" s="131">
        <f t="shared" si="3"/>
        <v>0</v>
      </c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/>
      <c r="G18" s="125">
        <f>M18</f>
        <v>0</v>
      </c>
      <c r="H18" s="125"/>
      <c r="I18" s="125"/>
      <c r="J18" s="125"/>
      <c r="K18" s="125"/>
      <c r="L18" s="125"/>
      <c r="M18" s="125">
        <v>0</v>
      </c>
      <c r="N18" s="125">
        <v>478</v>
      </c>
      <c r="O18" s="125">
        <v>521</v>
      </c>
      <c r="P18" s="125">
        <v>1130</v>
      </c>
      <c r="Q18" s="125">
        <v>1367</v>
      </c>
      <c r="R18" s="125">
        <v>1184</v>
      </c>
      <c r="S18" s="125">
        <v>1312</v>
      </c>
      <c r="T18" s="182">
        <v>1209</v>
      </c>
      <c r="U18" s="182">
        <v>1209</v>
      </c>
      <c r="V18" s="101" t="e">
        <f t="shared" si="2"/>
        <v>#DIV/0!</v>
      </c>
      <c r="W18" s="21">
        <f t="shared" si="8"/>
        <v>0.15</v>
      </c>
      <c r="X18" s="131">
        <f t="shared" si="3"/>
        <v>1390.35</v>
      </c>
      <c r="Y18" s="131">
        <f t="shared" ref="Y18:Y34" si="39">X18*(1+$W18)</f>
        <v>1598.9024999999997</v>
      </c>
      <c r="Z18" s="131">
        <f t="shared" ref="Z18:Z34" si="40">Y18*(1+$W18)</f>
        <v>1838.7378749999996</v>
      </c>
      <c r="AA18" s="131">
        <f t="shared" ref="AA18:AA34" si="41">Z18*(1+$W18)</f>
        <v>2114.5485562499994</v>
      </c>
      <c r="AB18" s="131">
        <f t="shared" ref="AB18:AB51" si="42">AA18*(1+$W18)</f>
        <v>2431.7308396874992</v>
      </c>
      <c r="AC18" s="131">
        <f t="shared" ref="AC18:AC51" si="43">AB18*(1+$W18)</f>
        <v>2796.4904656406238</v>
      </c>
      <c r="AD18" s="131">
        <f t="shared" ref="AD18:AD51" si="44">AC18*(1+$W18)</f>
        <v>3215.964035486717</v>
      </c>
      <c r="AE18" s="131">
        <f t="shared" ref="AE18:AE51" si="45">AD18*(1+$W18)</f>
        <v>3698.3586408097244</v>
      </c>
      <c r="AF18" s="131">
        <f t="shared" ref="AF18:AF51" si="46">AE18*(1+$W18)</f>
        <v>4253.1124369311829</v>
      </c>
      <c r="AG18" s="131">
        <f t="shared" ref="AG18:AG51" si="47">AF18*(1+$W18)</f>
        <v>4891.0793024708601</v>
      </c>
      <c r="AH18" s="116" t="e">
        <f t="shared" si="20"/>
        <v>#DIV/0!</v>
      </c>
      <c r="AI18" s="21">
        <f t="shared" si="18"/>
        <v>0.05</v>
      </c>
      <c r="AJ18" s="124">
        <f t="shared" si="1"/>
        <v>51356.332675944039</v>
      </c>
    </row>
    <row r="19" spans="2:36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82"/>
      <c r="U19" s="182"/>
      <c r="V19" s="10"/>
      <c r="W19" s="10"/>
      <c r="X19" s="131">
        <f t="shared" si="3"/>
        <v>0</v>
      </c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82">
        <v>0</v>
      </c>
      <c r="R20" s="182">
        <v>0</v>
      </c>
      <c r="S20" s="182">
        <v>0</v>
      </c>
      <c r="T20" s="182"/>
      <c r="U20" s="182"/>
      <c r="V20" s="101" t="e">
        <f t="shared" si="2"/>
        <v>#DIV/0!</v>
      </c>
      <c r="W20" s="21">
        <f t="shared" si="8"/>
        <v>0.15</v>
      </c>
      <c r="X20" s="131">
        <f t="shared" si="3"/>
        <v>0</v>
      </c>
      <c r="Y20" s="131">
        <f t="shared" ref="Y20:Y22" si="48">X20*(1+$W20)</f>
        <v>0</v>
      </c>
      <c r="Z20" s="131">
        <f t="shared" ref="Z20:Z22" si="49">Y20*(1+$W20)</f>
        <v>0</v>
      </c>
      <c r="AA20" s="131">
        <f t="shared" ref="AA20:AA22" si="50">Z20*(1+$W20)</f>
        <v>0</v>
      </c>
      <c r="AB20" s="131">
        <f t="shared" ref="AB20:AB22" si="51">AA20*(1+$W20)</f>
        <v>0</v>
      </c>
      <c r="AC20" s="131">
        <f t="shared" ref="AC20:AC22" si="52">AB20*(1+$W20)</f>
        <v>0</v>
      </c>
      <c r="AD20" s="131">
        <f t="shared" ref="AD20:AD22" si="53">AC20*(1+$W20)</f>
        <v>0</v>
      </c>
      <c r="AE20" s="131">
        <f t="shared" ref="AE20:AE22" si="54">AD20*(1+$W20)</f>
        <v>0</v>
      </c>
      <c r="AF20" s="131">
        <f t="shared" ref="AF20:AF22" si="55">AE20*(1+$W20)</f>
        <v>0</v>
      </c>
      <c r="AG20" s="131">
        <f t="shared" ref="AG20:AG22" si="56">AF20*(1+$W20)</f>
        <v>0</v>
      </c>
      <c r="AH20" s="116" t="e">
        <f t="shared" ref="AH20:AH22" si="57">((AG20/J20)^(1/($AG$3-$K$1) ))-1</f>
        <v>#DIV/0!</v>
      </c>
      <c r="AI20" s="21">
        <f t="shared" si="18"/>
        <v>0.05</v>
      </c>
      <c r="AJ20" s="124">
        <f t="shared" si="1"/>
        <v>0</v>
      </c>
    </row>
    <row r="21" spans="2:36">
      <c r="B21" s="10" t="s">
        <v>235</v>
      </c>
      <c r="C21" s="119"/>
      <c r="D21" s="119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82">
        <v>0</v>
      </c>
      <c r="R21" s="182">
        <v>0</v>
      </c>
      <c r="S21" s="182">
        <v>0</v>
      </c>
      <c r="T21" s="182"/>
      <c r="U21" s="182"/>
      <c r="V21" s="101" t="e">
        <f t="shared" si="2"/>
        <v>#DIV/0!</v>
      </c>
      <c r="W21" s="21">
        <f t="shared" si="8"/>
        <v>0.15</v>
      </c>
      <c r="X21" s="131">
        <f t="shared" si="3"/>
        <v>0</v>
      </c>
      <c r="Y21" s="131">
        <f t="shared" si="48"/>
        <v>0</v>
      </c>
      <c r="Z21" s="131">
        <f t="shared" si="49"/>
        <v>0</v>
      </c>
      <c r="AA21" s="131">
        <f t="shared" si="50"/>
        <v>0</v>
      </c>
      <c r="AB21" s="131">
        <f t="shared" si="51"/>
        <v>0</v>
      </c>
      <c r="AC21" s="131">
        <f t="shared" si="52"/>
        <v>0</v>
      </c>
      <c r="AD21" s="131">
        <f t="shared" si="53"/>
        <v>0</v>
      </c>
      <c r="AE21" s="131">
        <f t="shared" si="54"/>
        <v>0</v>
      </c>
      <c r="AF21" s="131">
        <f t="shared" si="55"/>
        <v>0</v>
      </c>
      <c r="AG21" s="131">
        <f t="shared" si="56"/>
        <v>0</v>
      </c>
      <c r="AH21" s="116" t="e">
        <f t="shared" si="57"/>
        <v>#DIV/0!</v>
      </c>
      <c r="AI21" s="21">
        <f t="shared" si="18"/>
        <v>0.05</v>
      </c>
      <c r="AJ21" s="124">
        <f t="shared" si="1"/>
        <v>0</v>
      </c>
    </row>
    <row r="22" spans="2:36">
      <c r="B22" s="10" t="s">
        <v>236</v>
      </c>
      <c r="C22" s="119"/>
      <c r="D22" s="119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82">
        <v>0</v>
      </c>
      <c r="R22" s="182">
        <v>0</v>
      </c>
      <c r="S22" s="182">
        <v>0</v>
      </c>
      <c r="T22" s="182"/>
      <c r="U22" s="182"/>
      <c r="V22" s="101" t="e">
        <f t="shared" si="2"/>
        <v>#DIV/0!</v>
      </c>
      <c r="W22" s="21">
        <f t="shared" si="8"/>
        <v>0.15</v>
      </c>
      <c r="X22" s="131">
        <f t="shared" si="3"/>
        <v>0</v>
      </c>
      <c r="Y22" s="131">
        <f t="shared" si="48"/>
        <v>0</v>
      </c>
      <c r="Z22" s="131">
        <f t="shared" si="49"/>
        <v>0</v>
      </c>
      <c r="AA22" s="131">
        <f t="shared" si="50"/>
        <v>0</v>
      </c>
      <c r="AB22" s="131">
        <f t="shared" si="51"/>
        <v>0</v>
      </c>
      <c r="AC22" s="131">
        <f t="shared" si="52"/>
        <v>0</v>
      </c>
      <c r="AD22" s="131">
        <f t="shared" si="53"/>
        <v>0</v>
      </c>
      <c r="AE22" s="131">
        <f t="shared" si="54"/>
        <v>0</v>
      </c>
      <c r="AF22" s="131">
        <f t="shared" si="55"/>
        <v>0</v>
      </c>
      <c r="AG22" s="131">
        <f t="shared" si="56"/>
        <v>0</v>
      </c>
      <c r="AH22" s="116" t="e">
        <f t="shared" si="57"/>
        <v>#DIV/0!</v>
      </c>
      <c r="AI22" s="21">
        <f t="shared" si="18"/>
        <v>0.05</v>
      </c>
      <c r="AJ22" s="124">
        <f t="shared" si="1"/>
        <v>0</v>
      </c>
    </row>
    <row r="23" spans="2:36">
      <c r="B23" s="10" t="s">
        <v>245</v>
      </c>
      <c r="C23" s="119"/>
      <c r="D23" s="119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82">
        <v>0</v>
      </c>
      <c r="R23" s="182">
        <v>0</v>
      </c>
      <c r="S23" s="182">
        <v>0</v>
      </c>
      <c r="T23" s="182"/>
      <c r="U23" s="182"/>
      <c r="V23" s="101" t="e">
        <f t="shared" si="2"/>
        <v>#DIV/0!</v>
      </c>
      <c r="W23" s="21">
        <f t="shared" si="8"/>
        <v>0.15</v>
      </c>
      <c r="X23" s="131">
        <f t="shared" si="3"/>
        <v>0</v>
      </c>
      <c r="Y23" s="131">
        <f t="shared" ref="Y23" si="58">X23*(1+$W23)</f>
        <v>0</v>
      </c>
      <c r="Z23" s="131">
        <f t="shared" ref="Z23" si="59">Y23*(1+$W23)</f>
        <v>0</v>
      </c>
      <c r="AA23" s="131">
        <f t="shared" ref="AA23" si="60">Z23*(1+$W23)</f>
        <v>0</v>
      </c>
      <c r="AB23" s="131">
        <f t="shared" ref="AB23" si="61">AA23*(1+$W23)</f>
        <v>0</v>
      </c>
      <c r="AC23" s="131">
        <f t="shared" ref="AC23" si="62">AB23*(1+$W23)</f>
        <v>0</v>
      </c>
      <c r="AD23" s="131">
        <f t="shared" ref="AD23" si="63">AC23*(1+$W23)</f>
        <v>0</v>
      </c>
      <c r="AE23" s="131">
        <f t="shared" ref="AE23" si="64">AD23*(1+$W23)</f>
        <v>0</v>
      </c>
      <c r="AF23" s="131">
        <f t="shared" ref="AF23" si="65">AE23*(1+$W23)</f>
        <v>0</v>
      </c>
      <c r="AG23" s="131">
        <f t="shared" ref="AG23" si="66">AF23*(1+$W23)</f>
        <v>0</v>
      </c>
      <c r="AH23" s="116" t="e">
        <f t="shared" ref="AH23" si="67">((AG23/J23)^(1/($AG$3-$K$1) ))-1</f>
        <v>#DIV/0!</v>
      </c>
      <c r="AI23" s="21">
        <f t="shared" si="18"/>
        <v>0.05</v>
      </c>
      <c r="AJ23" s="124">
        <f t="shared" si="1"/>
        <v>0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82"/>
      <c r="U24" s="182"/>
      <c r="V24" s="10"/>
      <c r="W24" s="10"/>
      <c r="X24" s="131">
        <f t="shared" si="3"/>
        <v>0</v>
      </c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/>
      <c r="G25" s="125">
        <f>M25</f>
        <v>1423</v>
      </c>
      <c r="H25" s="125"/>
      <c r="I25" s="125"/>
      <c r="J25" s="125"/>
      <c r="K25" s="125"/>
      <c r="L25" s="125"/>
      <c r="M25" s="125">
        <v>1423</v>
      </c>
      <c r="N25" s="125">
        <v>2109</v>
      </c>
      <c r="O25" s="125">
        <v>3000</v>
      </c>
      <c r="P25" s="125">
        <v>4224</v>
      </c>
      <c r="Q25" s="182">
        <v>5237</v>
      </c>
      <c r="R25" s="182">
        <v>6481</v>
      </c>
      <c r="S25" s="182">
        <v>7470</v>
      </c>
      <c r="T25" s="182">
        <v>8572</v>
      </c>
      <c r="U25" s="182">
        <v>10499</v>
      </c>
      <c r="V25" s="101">
        <f t="shared" si="2"/>
        <v>0.2516550553405037</v>
      </c>
      <c r="W25" s="21">
        <f t="shared" si="8"/>
        <v>0.15</v>
      </c>
      <c r="X25" s="131">
        <f t="shared" si="3"/>
        <v>9857.7999999999993</v>
      </c>
      <c r="Y25" s="131">
        <f t="shared" si="39"/>
        <v>11336.469999999998</v>
      </c>
      <c r="Z25" s="131">
        <f t="shared" si="40"/>
        <v>13036.940499999997</v>
      </c>
      <c r="AA25" s="131">
        <f t="shared" si="41"/>
        <v>14992.481574999996</v>
      </c>
      <c r="AB25" s="131">
        <f t="shared" si="42"/>
        <v>17241.353811249995</v>
      </c>
      <c r="AC25" s="131">
        <f t="shared" si="43"/>
        <v>19827.556882937493</v>
      </c>
      <c r="AD25" s="131">
        <f t="shared" si="44"/>
        <v>22801.690415378114</v>
      </c>
      <c r="AE25" s="131">
        <f t="shared" si="45"/>
        <v>26221.94397768483</v>
      </c>
      <c r="AF25" s="131">
        <f t="shared" si="46"/>
        <v>30155.235574337552</v>
      </c>
      <c r="AG25" s="131">
        <f t="shared" si="47"/>
        <v>34678.52091048818</v>
      </c>
      <c r="AH25" s="116" t="e">
        <f t="shared" si="20"/>
        <v>#DIV/0!</v>
      </c>
      <c r="AI25" s="21">
        <f t="shared" si="18"/>
        <v>0.05</v>
      </c>
      <c r="AJ25" s="124">
        <f t="shared" si="1"/>
        <v>364124.4695601259</v>
      </c>
    </row>
    <row r="26" spans="2:36" s="106" customFormat="1">
      <c r="B26" s="13"/>
      <c r="C26" s="126"/>
      <c r="D26" s="126"/>
      <c r="E26" s="127"/>
      <c r="F26" s="272"/>
      <c r="G26" s="272">
        <f>(G25-F25)/G25</f>
        <v>1</v>
      </c>
      <c r="H26" s="272" t="e">
        <f>(H25-G25)/H25</f>
        <v>#DIV/0!</v>
      </c>
      <c r="I26" s="272" t="e">
        <f t="shared" ref="I26:P26" si="68">(I25-H25)/I25</f>
        <v>#DIV/0!</v>
      </c>
      <c r="J26" s="272" t="e">
        <f t="shared" si="68"/>
        <v>#DIV/0!</v>
      </c>
      <c r="K26" s="272" t="e">
        <f t="shared" si="68"/>
        <v>#DIV/0!</v>
      </c>
      <c r="L26" s="272" t="e">
        <f t="shared" si="68"/>
        <v>#DIV/0!</v>
      </c>
      <c r="M26" s="272">
        <f t="shared" si="68"/>
        <v>1</v>
      </c>
      <c r="N26" s="272">
        <f t="shared" si="68"/>
        <v>0.32527264106211473</v>
      </c>
      <c r="O26" s="272">
        <f t="shared" si="68"/>
        <v>0.29699999999999999</v>
      </c>
      <c r="P26" s="272">
        <f t="shared" si="68"/>
        <v>0.28977272727272729</v>
      </c>
      <c r="Q26" s="128">
        <f t="shared" ref="Q26:S26" si="69">(Q25-P25)/P25</f>
        <v>0.23982007575757575</v>
      </c>
      <c r="R26" s="128">
        <f t="shared" si="69"/>
        <v>0.23754057666603018</v>
      </c>
      <c r="S26" s="128">
        <f t="shared" si="69"/>
        <v>0.15259990742169419</v>
      </c>
      <c r="T26" s="128">
        <f t="shared" ref="T26:U26" si="70">(T25-S25)/S25</f>
        <v>0.14752342704149934</v>
      </c>
      <c r="U26" s="128">
        <f t="shared" si="70"/>
        <v>0.22480167988800748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/>
      <c r="G27" s="125">
        <f>M27</f>
        <v>1113</v>
      </c>
      <c r="H27" s="125"/>
      <c r="I27" s="125"/>
      <c r="J27" s="125"/>
      <c r="K27" s="125"/>
      <c r="L27" s="125"/>
      <c r="M27" s="125">
        <v>1113</v>
      </c>
      <c r="N27" s="125">
        <v>425</v>
      </c>
      <c r="O27" s="125">
        <v>556</v>
      </c>
      <c r="P27" s="125">
        <v>838</v>
      </c>
      <c r="Q27" s="182">
        <v>1258</v>
      </c>
      <c r="R27" s="182">
        <v>1643</v>
      </c>
      <c r="S27" s="182">
        <v>2011</v>
      </c>
      <c r="T27" s="182">
        <v>2799</v>
      </c>
      <c r="U27" s="182">
        <v>3382</v>
      </c>
      <c r="V27" s="101">
        <f t="shared" si="2"/>
        <v>0.12218243540162543</v>
      </c>
      <c r="W27" s="21">
        <f t="shared" si="8"/>
        <v>0.15</v>
      </c>
      <c r="X27" s="131">
        <f t="shared" si="3"/>
        <v>3218.85</v>
      </c>
      <c r="Y27" s="131">
        <f t="shared" si="39"/>
        <v>3701.6774999999998</v>
      </c>
      <c r="Z27" s="131">
        <f t="shared" si="40"/>
        <v>4256.9291249999997</v>
      </c>
      <c r="AA27" s="131">
        <f t="shared" si="41"/>
        <v>4895.4684937499997</v>
      </c>
      <c r="AB27" s="131">
        <f t="shared" si="42"/>
        <v>5629.7887678124989</v>
      </c>
      <c r="AC27" s="131">
        <f t="shared" si="43"/>
        <v>6474.2570829843735</v>
      </c>
      <c r="AD27" s="131">
        <f t="shared" si="44"/>
        <v>7445.3956454320287</v>
      </c>
      <c r="AE27" s="131">
        <f t="shared" si="45"/>
        <v>8562.2049922468323</v>
      </c>
      <c r="AF27" s="131">
        <f t="shared" si="46"/>
        <v>9846.5357410838569</v>
      </c>
      <c r="AG27" s="131">
        <f t="shared" si="47"/>
        <v>11323.516102246434</v>
      </c>
      <c r="AH27" s="116" t="e">
        <f t="shared" si="20"/>
        <v>#DIV/0!</v>
      </c>
      <c r="AI27" s="21">
        <f t="shared" si="18"/>
        <v>0.05</v>
      </c>
      <c r="AJ27" s="124">
        <f t="shared" si="1"/>
        <v>118896.91907358757</v>
      </c>
    </row>
    <row r="28" spans="2:36" s="106" customFormat="1">
      <c r="B28" s="13"/>
      <c r="C28" s="126"/>
      <c r="D28" s="126"/>
      <c r="E28" s="127"/>
      <c r="F28" s="272"/>
      <c r="G28" s="272">
        <f t="shared" ref="G28:P28" si="71">(G27-F27)/G27</f>
        <v>1</v>
      </c>
      <c r="H28" s="272" t="e">
        <f t="shared" si="71"/>
        <v>#DIV/0!</v>
      </c>
      <c r="I28" s="272" t="e">
        <f t="shared" si="71"/>
        <v>#DIV/0!</v>
      </c>
      <c r="J28" s="272" t="e">
        <f t="shared" si="71"/>
        <v>#DIV/0!</v>
      </c>
      <c r="K28" s="272" t="e">
        <f t="shared" si="71"/>
        <v>#DIV/0!</v>
      </c>
      <c r="L28" s="272" t="e">
        <f t="shared" si="71"/>
        <v>#DIV/0!</v>
      </c>
      <c r="M28" s="272">
        <f t="shared" si="71"/>
        <v>1</v>
      </c>
      <c r="N28" s="272">
        <f t="shared" si="71"/>
        <v>-1.6188235294117648</v>
      </c>
      <c r="O28" s="272">
        <f t="shared" si="71"/>
        <v>0.23561151079136691</v>
      </c>
      <c r="P28" s="272">
        <f t="shared" si="71"/>
        <v>0.33651551312649164</v>
      </c>
      <c r="Q28" s="128">
        <f t="shared" ref="Q28:S28" si="72">(Q27-P27)/P27</f>
        <v>0.50119331742243434</v>
      </c>
      <c r="R28" s="128">
        <f t="shared" si="72"/>
        <v>0.30604133545310014</v>
      </c>
      <c r="S28" s="128">
        <f t="shared" si="72"/>
        <v>0.22398052343274497</v>
      </c>
      <c r="T28" s="128">
        <f t="shared" ref="T28:U28" si="73">(T27-S27)/S27</f>
        <v>0.39184485330681251</v>
      </c>
      <c r="U28" s="128">
        <f t="shared" si="73"/>
        <v>0.20828867452661665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/>
      <c r="G29" s="125">
        <f>M29</f>
        <v>0</v>
      </c>
      <c r="H29" s="125"/>
      <c r="I29" s="125"/>
      <c r="J29" s="125"/>
      <c r="K29" s="125"/>
      <c r="L29" s="125"/>
      <c r="M29" s="125">
        <v>0</v>
      </c>
      <c r="N29" s="125">
        <v>1020</v>
      </c>
      <c r="O29" s="125">
        <v>1707</v>
      </c>
      <c r="P29" s="125">
        <v>2332</v>
      </c>
      <c r="Q29" s="182">
        <v>3073</v>
      </c>
      <c r="R29" s="182">
        <v>3567</v>
      </c>
      <c r="S29" s="182">
        <v>4124</v>
      </c>
      <c r="T29" s="182">
        <v>4627</v>
      </c>
      <c r="U29" s="182">
        <v>5326</v>
      </c>
      <c r="V29" s="101" t="e">
        <f t="shared" si="2"/>
        <v>#DIV/0!</v>
      </c>
      <c r="W29" s="21">
        <f t="shared" si="8"/>
        <v>0.15</v>
      </c>
      <c r="X29" s="131">
        <f t="shared" si="3"/>
        <v>5321.0499999999993</v>
      </c>
      <c r="Y29" s="131">
        <f t="shared" ref="Y29" si="74">X29*(1+$W29)</f>
        <v>6119.2074999999986</v>
      </c>
      <c r="Z29" s="131">
        <f t="shared" ref="Z29" si="75">Y29*(1+$W29)</f>
        <v>7037.0886249999976</v>
      </c>
      <c r="AA29" s="131">
        <f t="shared" ref="AA29" si="76">Z29*(1+$W29)</f>
        <v>8092.6519187499962</v>
      </c>
      <c r="AB29" s="131">
        <f t="shared" ref="AB29" si="77">AA29*(1+$W29)</f>
        <v>9306.549706562495</v>
      </c>
      <c r="AC29" s="131">
        <f t="shared" ref="AC29" si="78">AB29*(1+$W29)</f>
        <v>10702.532162546868</v>
      </c>
      <c r="AD29" s="131">
        <f t="shared" ref="AD29" si="79">AC29*(1+$W29)</f>
        <v>12307.911986928897</v>
      </c>
      <c r="AE29" s="131">
        <f t="shared" ref="AE29" si="80">AD29*(1+$W29)</f>
        <v>14154.09878496823</v>
      </c>
      <c r="AF29" s="131">
        <f t="shared" ref="AF29" si="81">AE29*(1+$W29)</f>
        <v>16277.213602713462</v>
      </c>
      <c r="AG29" s="131">
        <f t="shared" ref="AG29" si="82">AF29*(1+$W29)</f>
        <v>18718.79564312048</v>
      </c>
      <c r="AH29" s="116" t="e">
        <f t="shared" ref="AH29" si="83">((AG29/J29)^(1/($AG$3-$K$1) ))-1</f>
        <v>#DIV/0!</v>
      </c>
      <c r="AI29" s="21">
        <f t="shared" si="18"/>
        <v>0.05</v>
      </c>
      <c r="AJ29" s="124">
        <f t="shared" ref="AJ29" si="84">(AG29*(1+AI29))/($C$1-AI29)</f>
        <v>196547.35425276504</v>
      </c>
    </row>
    <row r="30" spans="2:36" s="106" customFormat="1">
      <c r="B30" s="13"/>
      <c r="C30" s="126"/>
      <c r="D30" s="126"/>
      <c r="E30" s="127"/>
      <c r="F30" s="272"/>
      <c r="G30" s="272" t="e">
        <f t="shared" ref="G30:P30" si="85">(G29-F29)/G29</f>
        <v>#DIV/0!</v>
      </c>
      <c r="H30" s="272" t="e">
        <f t="shared" si="85"/>
        <v>#DIV/0!</v>
      </c>
      <c r="I30" s="272" t="e">
        <f t="shared" si="85"/>
        <v>#DIV/0!</v>
      </c>
      <c r="J30" s="272" t="e">
        <f t="shared" si="85"/>
        <v>#DIV/0!</v>
      </c>
      <c r="K30" s="272" t="e">
        <f t="shared" si="85"/>
        <v>#DIV/0!</v>
      </c>
      <c r="L30" s="272" t="e">
        <f t="shared" si="85"/>
        <v>#DIV/0!</v>
      </c>
      <c r="M30" s="272" t="e">
        <f t="shared" si="85"/>
        <v>#DIV/0!</v>
      </c>
      <c r="N30" s="272">
        <f t="shared" si="85"/>
        <v>1</v>
      </c>
      <c r="O30" s="272">
        <f t="shared" si="85"/>
        <v>0.4024604569420035</v>
      </c>
      <c r="P30" s="272">
        <f t="shared" si="85"/>
        <v>0.26801029159519724</v>
      </c>
      <c r="Q30" s="128">
        <f t="shared" ref="Q30:S30" si="86">(Q29-P29)/P29</f>
        <v>0.31775300171526588</v>
      </c>
      <c r="R30" s="128">
        <f t="shared" si="86"/>
        <v>0.16075496257728605</v>
      </c>
      <c r="S30" s="128">
        <f t="shared" si="86"/>
        <v>0.15615363050182227</v>
      </c>
      <c r="T30" s="128">
        <f t="shared" ref="T30:U30" si="87">(T29-S29)/S29</f>
        <v>0.12196896217264791</v>
      </c>
      <c r="U30" s="128">
        <f t="shared" si="87"/>
        <v>0.15106980765074562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9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82">
        <v>0</v>
      </c>
      <c r="R31" s="182">
        <v>0</v>
      </c>
      <c r="S31" s="182">
        <v>0</v>
      </c>
      <c r="T31" s="182">
        <v>0</v>
      </c>
      <c r="U31" s="182">
        <v>0</v>
      </c>
      <c r="V31" s="101" t="e">
        <f t="shared" si="2"/>
        <v>#DIV/0!</v>
      </c>
      <c r="W31" s="21">
        <f t="shared" si="8"/>
        <v>0.15</v>
      </c>
      <c r="X31" s="131">
        <f t="shared" si="3"/>
        <v>0</v>
      </c>
      <c r="Y31" s="131">
        <f>X31*(1+$W31)</f>
        <v>0</v>
      </c>
      <c r="Z31" s="131">
        <f t="shared" ref="Z31:AG32" si="88">Y31*(1+$W31)</f>
        <v>0</v>
      </c>
      <c r="AA31" s="131">
        <f t="shared" si="88"/>
        <v>0</v>
      </c>
      <c r="AB31" s="131">
        <f t="shared" si="88"/>
        <v>0</v>
      </c>
      <c r="AC31" s="131">
        <f t="shared" si="88"/>
        <v>0</v>
      </c>
      <c r="AD31" s="131">
        <f t="shared" si="88"/>
        <v>0</v>
      </c>
      <c r="AE31" s="131">
        <f t="shared" si="88"/>
        <v>0</v>
      </c>
      <c r="AF31" s="131">
        <f t="shared" si="88"/>
        <v>0</v>
      </c>
      <c r="AG31" s="131">
        <f t="shared" si="88"/>
        <v>0</v>
      </c>
      <c r="AH31" s="116" t="e">
        <f t="shared" ref="AH31" si="89">((AG31/J31)^(1/($AG$3-$K$1) ))-1</f>
        <v>#DIV/0!</v>
      </c>
      <c r="AI31" s="21">
        <f t="shared" si="18"/>
        <v>0.05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>
        <f>M32</f>
        <v>0</v>
      </c>
      <c r="H32" s="125"/>
      <c r="I32" s="125"/>
      <c r="J32" s="125"/>
      <c r="K32" s="125"/>
      <c r="L32" s="125"/>
      <c r="M32" s="125"/>
      <c r="N32" s="125"/>
      <c r="O32" s="125"/>
      <c r="P32" s="125"/>
      <c r="Q32" s="182">
        <v>0</v>
      </c>
      <c r="R32" s="182">
        <v>0</v>
      </c>
      <c r="S32" s="182">
        <v>0</v>
      </c>
      <c r="T32" s="182"/>
      <c r="U32" s="182"/>
      <c r="V32" s="101" t="e">
        <f t="shared" si="2"/>
        <v>#DIV/0!</v>
      </c>
      <c r="W32" s="21">
        <f t="shared" si="8"/>
        <v>0.15</v>
      </c>
      <c r="X32" s="131">
        <f t="shared" si="3"/>
        <v>0</v>
      </c>
      <c r="Y32" s="131">
        <f>X32*(1+$W32)</f>
        <v>0</v>
      </c>
      <c r="Z32" s="131">
        <f t="shared" si="88"/>
        <v>0</v>
      </c>
      <c r="AA32" s="131">
        <f t="shared" si="88"/>
        <v>0</v>
      </c>
      <c r="AB32" s="131">
        <f t="shared" si="88"/>
        <v>0</v>
      </c>
      <c r="AC32" s="131">
        <f t="shared" si="88"/>
        <v>0</v>
      </c>
      <c r="AD32" s="131">
        <f t="shared" si="88"/>
        <v>0</v>
      </c>
      <c r="AE32" s="131">
        <f t="shared" si="88"/>
        <v>0</v>
      </c>
      <c r="AF32" s="131">
        <f t="shared" si="88"/>
        <v>0</v>
      </c>
      <c r="AG32" s="131">
        <f t="shared" si="88"/>
        <v>0</v>
      </c>
      <c r="AH32" s="116" t="e">
        <f t="shared" ref="AH32" si="90">((AG32/J32)^(1/($AG$3-$K$1) ))-1</f>
        <v>#DIV/0!</v>
      </c>
      <c r="AI32" s="21">
        <f t="shared" si="18"/>
        <v>0.05</v>
      </c>
      <c r="AJ32" s="124">
        <f t="shared" si="1"/>
        <v>0</v>
      </c>
    </row>
    <row r="33" spans="1:36">
      <c r="B33" s="10" t="s">
        <v>512</v>
      </c>
      <c r="C33" s="119"/>
      <c r="D33" s="119"/>
      <c r="E33" s="125"/>
      <c r="F33" s="125"/>
      <c r="G33" s="125">
        <f>M33</f>
        <v>0.01</v>
      </c>
      <c r="H33" s="125"/>
      <c r="I33" s="125"/>
      <c r="J33" s="125"/>
      <c r="K33" s="125"/>
      <c r="L33" s="125"/>
      <c r="M33" s="125">
        <v>0.01</v>
      </c>
      <c r="N33" s="125">
        <v>165</v>
      </c>
      <c r="O33" s="125">
        <v>221</v>
      </c>
      <c r="P33" s="125">
        <v>360</v>
      </c>
      <c r="Q33" s="182">
        <v>558</v>
      </c>
      <c r="R33" s="182">
        <v>629</v>
      </c>
      <c r="S33" s="182">
        <v>742</v>
      </c>
      <c r="T33" s="182">
        <v>715</v>
      </c>
      <c r="U33" s="182">
        <v>2872</v>
      </c>
      <c r="V33" s="101">
        <f t="shared" si="2"/>
        <v>3.0437868460826678</v>
      </c>
      <c r="W33" s="21">
        <f t="shared" si="8"/>
        <v>0.15</v>
      </c>
      <c r="X33" s="131">
        <f t="shared" si="3"/>
        <v>822.24999999999989</v>
      </c>
      <c r="Y33" s="131">
        <f t="shared" si="39"/>
        <v>945.58749999999975</v>
      </c>
      <c r="Z33" s="131">
        <f t="shared" si="40"/>
        <v>1087.4256249999996</v>
      </c>
      <c r="AA33" s="131">
        <f t="shared" si="41"/>
        <v>1250.5394687499995</v>
      </c>
      <c r="AB33" s="131">
        <f t="shared" si="42"/>
        <v>1438.1203890624993</v>
      </c>
      <c r="AC33" s="131">
        <f t="shared" si="43"/>
        <v>1653.838447421874</v>
      </c>
      <c r="AD33" s="131">
        <f t="shared" si="44"/>
        <v>1901.914214535155</v>
      </c>
      <c r="AE33" s="131">
        <f t="shared" si="45"/>
        <v>2187.2013467154279</v>
      </c>
      <c r="AF33" s="131">
        <f t="shared" si="46"/>
        <v>2515.2815487227417</v>
      </c>
      <c r="AG33" s="131">
        <f t="shared" si="47"/>
        <v>2892.573781031153</v>
      </c>
      <c r="AH33" s="116" t="e">
        <f t="shared" si="20"/>
        <v>#DIV/0!</v>
      </c>
      <c r="AI33" s="21">
        <f t="shared" si="18"/>
        <v>0.05</v>
      </c>
      <c r="AJ33" s="124">
        <f t="shared" si="1"/>
        <v>30372.024700827107</v>
      </c>
    </row>
    <row r="34" spans="1:36">
      <c r="B34" s="10" t="s">
        <v>511</v>
      </c>
      <c r="C34" s="119"/>
      <c r="D34" s="119"/>
      <c r="E34" s="125"/>
      <c r="F34" s="125"/>
      <c r="G34" s="125"/>
      <c r="H34" s="125"/>
      <c r="I34" s="125"/>
      <c r="J34" s="125"/>
      <c r="K34" s="125"/>
      <c r="L34" s="125"/>
      <c r="M34" s="125">
        <v>0</v>
      </c>
      <c r="N34" s="125">
        <v>94</v>
      </c>
      <c r="O34" s="125">
        <v>151</v>
      </c>
      <c r="P34" s="125">
        <v>205</v>
      </c>
      <c r="Q34" s="182">
        <v>274</v>
      </c>
      <c r="R34" s="182">
        <v>352</v>
      </c>
      <c r="S34" s="182">
        <v>488</v>
      </c>
      <c r="T34" s="182">
        <v>493</v>
      </c>
      <c r="U34" s="182">
        <v>503</v>
      </c>
      <c r="V34" s="101" t="e">
        <f t="shared" si="2"/>
        <v>#DIV/0!</v>
      </c>
      <c r="W34" s="21">
        <f t="shared" si="8"/>
        <v>0.15</v>
      </c>
      <c r="X34" s="131">
        <f t="shared" si="3"/>
        <v>566.94999999999993</v>
      </c>
      <c r="Y34" s="131">
        <f t="shared" si="39"/>
        <v>651.99249999999984</v>
      </c>
      <c r="Z34" s="131">
        <f t="shared" si="40"/>
        <v>749.79137499999979</v>
      </c>
      <c r="AA34" s="131">
        <f t="shared" si="41"/>
        <v>862.26008124999964</v>
      </c>
      <c r="AB34" s="131">
        <f t="shared" si="42"/>
        <v>991.5990934374995</v>
      </c>
      <c r="AC34" s="131">
        <f t="shared" si="43"/>
        <v>1140.3389574531243</v>
      </c>
      <c r="AD34" s="131">
        <f t="shared" si="44"/>
        <v>1311.3898010710927</v>
      </c>
      <c r="AE34" s="131">
        <f t="shared" si="45"/>
        <v>1508.0982712317566</v>
      </c>
      <c r="AF34" s="131">
        <f t="shared" si="46"/>
        <v>1734.3130119165201</v>
      </c>
      <c r="AG34" s="131">
        <f t="shared" si="47"/>
        <v>1994.4599637039978</v>
      </c>
      <c r="AH34" s="116" t="e">
        <f t="shared" si="20"/>
        <v>#DIV/0!</v>
      </c>
      <c r="AI34" s="21">
        <f t="shared" si="18"/>
        <v>0.05</v>
      </c>
      <c r="AJ34" s="124">
        <f t="shared" si="1"/>
        <v>20941.829618891981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301" t="s">
        <v>423</v>
      </c>
      <c r="B36" s="179" t="s">
        <v>417</v>
      </c>
      <c r="C36" s="119"/>
      <c r="D36" s="119"/>
      <c r="E36" s="125"/>
      <c r="F36" s="182"/>
      <c r="G36" s="182">
        <f t="shared" ref="G36:H36" si="91">H36</f>
        <v>0</v>
      </c>
      <c r="H36" s="182">
        <f t="shared" si="91"/>
        <v>0</v>
      </c>
      <c r="I36" s="182">
        <f>J36</f>
        <v>0</v>
      </c>
      <c r="J36" s="182"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82">
        <v>0</v>
      </c>
      <c r="U36" s="182">
        <v>0</v>
      </c>
      <c r="V36" s="101" t="e">
        <f t="shared" si="2"/>
        <v>#DIV/0!</v>
      </c>
      <c r="W36" s="21">
        <f t="shared" si="8"/>
        <v>0.15</v>
      </c>
      <c r="X36" s="131">
        <f t="shared" ref="X36:X49" si="92">T36*(1+$W36)</f>
        <v>0</v>
      </c>
      <c r="Y36" s="131">
        <f t="shared" ref="Y36:Y49" si="93">X36*(1+$W36)</f>
        <v>0</v>
      </c>
      <c r="Z36" s="131">
        <f t="shared" ref="Z36:Z49" si="94">Y36*(1+$W36)</f>
        <v>0</v>
      </c>
      <c r="AA36" s="131">
        <f t="shared" ref="AA36:AA49" si="95">Z36*(1+$W36)</f>
        <v>0</v>
      </c>
      <c r="AB36" s="131">
        <f t="shared" ref="AB36:AB49" si="96">AA36*(1+$W36)</f>
        <v>0</v>
      </c>
      <c r="AC36" s="131">
        <f t="shared" ref="AC36:AC49" si="97">AB36*(1+$W36)</f>
        <v>0</v>
      </c>
      <c r="AD36" s="131">
        <f t="shared" ref="AD36:AD49" si="98">AC36*(1+$W36)</f>
        <v>0</v>
      </c>
      <c r="AE36" s="131">
        <f t="shared" ref="AE36:AE49" si="99">AD36*(1+$W36)</f>
        <v>0</v>
      </c>
      <c r="AF36" s="131">
        <f t="shared" ref="AF36:AF49" si="100">AE36*(1+$W36)</f>
        <v>0</v>
      </c>
      <c r="AG36" s="131">
        <f t="shared" ref="AG36:AG49" si="101">AF36*(1+$W36)</f>
        <v>0</v>
      </c>
      <c r="AH36" s="116" t="e">
        <f t="shared" ref="AH36:AH49" si="102">((AG36/J36)^(1/($AG$3-$K$1) ))-1</f>
        <v>#DIV/0!</v>
      </c>
      <c r="AI36" s="21">
        <f t="shared" si="18"/>
        <v>0.05</v>
      </c>
      <c r="AJ36" s="124">
        <f t="shared" ref="AJ36:AJ49" si="103">(AG36*(1+AI36))/($C$1-AI36)</f>
        <v>0</v>
      </c>
    </row>
    <row r="37" spans="1:36">
      <c r="A37" s="301"/>
      <c r="B37" s="179"/>
      <c r="C37" s="119"/>
      <c r="D37" s="119"/>
      <c r="E37" s="125"/>
      <c r="F37" s="128"/>
      <c r="G37" s="128" t="e">
        <f t="shared" ref="G37:S37" si="104">(G36-F36)/F36</f>
        <v>#DIV/0!</v>
      </c>
      <c r="H37" s="128" t="e">
        <f t="shared" si="104"/>
        <v>#DIV/0!</v>
      </c>
      <c r="I37" s="128" t="e">
        <f t="shared" si="104"/>
        <v>#DIV/0!</v>
      </c>
      <c r="J37" s="128" t="e">
        <f t="shared" si="104"/>
        <v>#DIV/0!</v>
      </c>
      <c r="K37" s="128" t="e">
        <f t="shared" si="104"/>
        <v>#DIV/0!</v>
      </c>
      <c r="L37" s="128" t="e">
        <f t="shared" si="104"/>
        <v>#DIV/0!</v>
      </c>
      <c r="M37" s="128" t="e">
        <f t="shared" si="104"/>
        <v>#DIV/0!</v>
      </c>
      <c r="N37" s="128" t="e">
        <f t="shared" si="104"/>
        <v>#DIV/0!</v>
      </c>
      <c r="O37" s="128" t="e">
        <f t="shared" si="104"/>
        <v>#DIV/0!</v>
      </c>
      <c r="P37" s="128" t="e">
        <f t="shared" si="104"/>
        <v>#DIV/0!</v>
      </c>
      <c r="Q37" s="128" t="e">
        <f t="shared" si="104"/>
        <v>#DIV/0!</v>
      </c>
      <c r="R37" s="128" t="e">
        <f t="shared" si="104"/>
        <v>#DIV/0!</v>
      </c>
      <c r="S37" s="128" t="e">
        <f t="shared" si="104"/>
        <v>#DIV/0!</v>
      </c>
      <c r="T37" s="128" t="e">
        <f t="shared" ref="T37:U37" si="105">(T36-S36)/S36</f>
        <v>#DIV/0!</v>
      </c>
      <c r="U37" s="128" t="e">
        <f t="shared" si="105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301"/>
      <c r="B38" s="179" t="s">
        <v>418</v>
      </c>
      <c r="C38" s="119"/>
      <c r="D38" s="119"/>
      <c r="E38" s="125"/>
      <c r="F38" s="182"/>
      <c r="G38" s="182">
        <f t="shared" ref="G38:H38" si="106">H38</f>
        <v>0</v>
      </c>
      <c r="H38" s="182">
        <f t="shared" si="106"/>
        <v>0</v>
      </c>
      <c r="I38" s="182">
        <f>J38</f>
        <v>0</v>
      </c>
      <c r="J38" s="182"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82">
        <v>0</v>
      </c>
      <c r="U38" s="182"/>
      <c r="V38" s="101" t="e">
        <f t="shared" si="2"/>
        <v>#DIV/0!</v>
      </c>
      <c r="W38" s="21">
        <f t="shared" si="8"/>
        <v>0.15</v>
      </c>
      <c r="X38" s="131">
        <f t="shared" si="92"/>
        <v>0</v>
      </c>
      <c r="Y38" s="131">
        <f t="shared" si="93"/>
        <v>0</v>
      </c>
      <c r="Z38" s="131">
        <f t="shared" si="94"/>
        <v>0</v>
      </c>
      <c r="AA38" s="131">
        <f t="shared" si="95"/>
        <v>0</v>
      </c>
      <c r="AB38" s="131">
        <f t="shared" si="96"/>
        <v>0</v>
      </c>
      <c r="AC38" s="131">
        <f t="shared" si="97"/>
        <v>0</v>
      </c>
      <c r="AD38" s="131">
        <f t="shared" si="98"/>
        <v>0</v>
      </c>
      <c r="AE38" s="131">
        <f t="shared" si="99"/>
        <v>0</v>
      </c>
      <c r="AF38" s="131">
        <f t="shared" si="100"/>
        <v>0</v>
      </c>
      <c r="AG38" s="131">
        <f t="shared" si="101"/>
        <v>0</v>
      </c>
      <c r="AH38" s="116" t="e">
        <f t="shared" si="102"/>
        <v>#DIV/0!</v>
      </c>
      <c r="AI38" s="21">
        <f t="shared" si="18"/>
        <v>0.05</v>
      </c>
      <c r="AJ38" s="124">
        <f t="shared" si="103"/>
        <v>0</v>
      </c>
    </row>
    <row r="39" spans="1:36">
      <c r="A39" s="301"/>
      <c r="B39" s="179"/>
      <c r="C39" s="119"/>
      <c r="D39" s="119"/>
      <c r="E39" s="125"/>
      <c r="F39" s="128"/>
      <c r="G39" s="128" t="e">
        <f t="shared" ref="G39:S39" si="107">(G38-F38)/F38</f>
        <v>#DIV/0!</v>
      </c>
      <c r="H39" s="128" t="e">
        <f t="shared" si="107"/>
        <v>#DIV/0!</v>
      </c>
      <c r="I39" s="128" t="e">
        <f t="shared" si="107"/>
        <v>#DIV/0!</v>
      </c>
      <c r="J39" s="128" t="e">
        <f t="shared" si="107"/>
        <v>#DIV/0!</v>
      </c>
      <c r="K39" s="128" t="e">
        <f t="shared" si="107"/>
        <v>#DIV/0!</v>
      </c>
      <c r="L39" s="128" t="e">
        <f t="shared" si="107"/>
        <v>#DIV/0!</v>
      </c>
      <c r="M39" s="128" t="e">
        <f t="shared" si="107"/>
        <v>#DIV/0!</v>
      </c>
      <c r="N39" s="128" t="e">
        <f t="shared" si="107"/>
        <v>#DIV/0!</v>
      </c>
      <c r="O39" s="128" t="e">
        <f t="shared" si="107"/>
        <v>#DIV/0!</v>
      </c>
      <c r="P39" s="128" t="e">
        <f t="shared" si="107"/>
        <v>#DIV/0!</v>
      </c>
      <c r="Q39" s="128" t="e">
        <f t="shared" si="107"/>
        <v>#DIV/0!</v>
      </c>
      <c r="R39" s="128" t="e">
        <f t="shared" si="107"/>
        <v>#DIV/0!</v>
      </c>
      <c r="S39" s="128" t="e">
        <f t="shared" si="107"/>
        <v>#DIV/0!</v>
      </c>
      <c r="T39" s="128" t="e">
        <f t="shared" ref="T39:U39" si="108">(T38-S38)/S38</f>
        <v>#DIV/0!</v>
      </c>
      <c r="U39" s="128" t="e">
        <f t="shared" si="108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301"/>
      <c r="B40" s="179" t="s">
        <v>422</v>
      </c>
      <c r="C40" s="119"/>
      <c r="D40" s="119"/>
      <c r="E40" s="125"/>
      <c r="F40" s="182"/>
      <c r="G40" s="182">
        <f t="shared" ref="G40:H43" si="109">H40</f>
        <v>0</v>
      </c>
      <c r="H40" s="182">
        <f t="shared" si="109"/>
        <v>0</v>
      </c>
      <c r="I40" s="182">
        <f>J40</f>
        <v>0</v>
      </c>
      <c r="J40" s="182"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82">
        <v>0</v>
      </c>
      <c r="U40" s="182">
        <v>0</v>
      </c>
      <c r="V40" s="101" t="e">
        <f t="shared" si="2"/>
        <v>#DIV/0!</v>
      </c>
      <c r="W40" s="21">
        <f t="shared" si="8"/>
        <v>0.15</v>
      </c>
      <c r="X40" s="131">
        <f t="shared" si="92"/>
        <v>0</v>
      </c>
      <c r="Y40" s="131">
        <f t="shared" si="93"/>
        <v>0</v>
      </c>
      <c r="Z40" s="131">
        <f t="shared" si="94"/>
        <v>0</v>
      </c>
      <c r="AA40" s="131">
        <f t="shared" si="95"/>
        <v>0</v>
      </c>
      <c r="AB40" s="131">
        <f t="shared" si="96"/>
        <v>0</v>
      </c>
      <c r="AC40" s="131">
        <f t="shared" si="97"/>
        <v>0</v>
      </c>
      <c r="AD40" s="131">
        <f t="shared" si="98"/>
        <v>0</v>
      </c>
      <c r="AE40" s="131">
        <f t="shared" si="99"/>
        <v>0</v>
      </c>
      <c r="AF40" s="131">
        <f t="shared" si="100"/>
        <v>0</v>
      </c>
      <c r="AG40" s="131">
        <f t="shared" si="101"/>
        <v>0</v>
      </c>
      <c r="AH40" s="116" t="e">
        <f t="shared" si="102"/>
        <v>#DIV/0!</v>
      </c>
      <c r="AI40" s="21">
        <f t="shared" si="18"/>
        <v>0.05</v>
      </c>
      <c r="AJ40" s="124">
        <f t="shared" si="103"/>
        <v>0</v>
      </c>
    </row>
    <row r="41" spans="1:36">
      <c r="A41" s="301"/>
      <c r="B41" s="179" t="s">
        <v>419</v>
      </c>
      <c r="C41" s="119"/>
      <c r="D41" s="119"/>
      <c r="E41" s="125"/>
      <c r="F41" s="182"/>
      <c r="G41" s="182">
        <f t="shared" si="109"/>
        <v>0</v>
      </c>
      <c r="H41" s="182">
        <f t="shared" si="109"/>
        <v>0</v>
      </c>
      <c r="I41" s="182">
        <f>J41</f>
        <v>0</v>
      </c>
      <c r="J41" s="182"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82">
        <v>0</v>
      </c>
      <c r="U41" s="182">
        <v>0</v>
      </c>
      <c r="V41" s="101" t="e">
        <f t="shared" si="2"/>
        <v>#DIV/0!</v>
      </c>
      <c r="W41" s="21">
        <f t="shared" si="8"/>
        <v>0.15</v>
      </c>
      <c r="X41" s="131">
        <f t="shared" si="92"/>
        <v>0</v>
      </c>
      <c r="Y41" s="131">
        <f t="shared" si="93"/>
        <v>0</v>
      </c>
      <c r="Z41" s="131">
        <f t="shared" si="94"/>
        <v>0</v>
      </c>
      <c r="AA41" s="131">
        <f t="shared" si="95"/>
        <v>0</v>
      </c>
      <c r="AB41" s="131">
        <f t="shared" si="96"/>
        <v>0</v>
      </c>
      <c r="AC41" s="131">
        <f t="shared" si="97"/>
        <v>0</v>
      </c>
      <c r="AD41" s="131">
        <f t="shared" si="98"/>
        <v>0</v>
      </c>
      <c r="AE41" s="131">
        <f t="shared" si="99"/>
        <v>0</v>
      </c>
      <c r="AF41" s="131">
        <f t="shared" si="100"/>
        <v>0</v>
      </c>
      <c r="AG41" s="131">
        <f t="shared" si="101"/>
        <v>0</v>
      </c>
      <c r="AH41" s="116" t="e">
        <f t="shared" si="102"/>
        <v>#DIV/0!</v>
      </c>
      <c r="AI41" s="21">
        <f t="shared" si="18"/>
        <v>0.05</v>
      </c>
      <c r="AJ41" s="124">
        <f t="shared" si="103"/>
        <v>0</v>
      </c>
    </row>
    <row r="42" spans="1:36">
      <c r="A42" s="301"/>
      <c r="B42" s="179" t="s">
        <v>421</v>
      </c>
      <c r="C42" s="119"/>
      <c r="D42" s="119"/>
      <c r="E42" s="125"/>
      <c r="F42" s="182"/>
      <c r="G42" s="182">
        <f t="shared" si="109"/>
        <v>0</v>
      </c>
      <c r="H42" s="182">
        <f t="shared" si="109"/>
        <v>0</v>
      </c>
      <c r="I42" s="182">
        <f>J42</f>
        <v>0</v>
      </c>
      <c r="J42" s="182"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82">
        <v>0</v>
      </c>
      <c r="U42" s="182">
        <v>0</v>
      </c>
      <c r="V42" s="101" t="e">
        <f t="shared" si="2"/>
        <v>#DIV/0!</v>
      </c>
      <c r="W42" s="21">
        <f t="shared" si="8"/>
        <v>0.15</v>
      </c>
      <c r="X42" s="131">
        <f t="shared" si="92"/>
        <v>0</v>
      </c>
      <c r="Y42" s="131">
        <f t="shared" si="93"/>
        <v>0</v>
      </c>
      <c r="Z42" s="131">
        <f t="shared" si="94"/>
        <v>0</v>
      </c>
      <c r="AA42" s="131">
        <f t="shared" si="95"/>
        <v>0</v>
      </c>
      <c r="AB42" s="131">
        <f t="shared" si="96"/>
        <v>0</v>
      </c>
      <c r="AC42" s="131">
        <f t="shared" si="97"/>
        <v>0</v>
      </c>
      <c r="AD42" s="131">
        <f t="shared" si="98"/>
        <v>0</v>
      </c>
      <c r="AE42" s="131">
        <f t="shared" si="99"/>
        <v>0</v>
      </c>
      <c r="AF42" s="131">
        <f t="shared" si="100"/>
        <v>0</v>
      </c>
      <c r="AG42" s="131">
        <f t="shared" si="101"/>
        <v>0</v>
      </c>
      <c r="AH42" s="116" t="e">
        <f t="shared" si="102"/>
        <v>#DIV/0!</v>
      </c>
      <c r="AI42" s="21">
        <f t="shared" si="18"/>
        <v>0.05</v>
      </c>
      <c r="AJ42" s="124">
        <f t="shared" si="103"/>
        <v>0</v>
      </c>
    </row>
    <row r="43" spans="1:36">
      <c r="A43" s="301"/>
      <c r="B43" s="179" t="s">
        <v>420</v>
      </c>
      <c r="C43" s="119"/>
      <c r="D43" s="119"/>
      <c r="E43" s="125"/>
      <c r="F43" s="182"/>
      <c r="G43" s="182">
        <f t="shared" si="109"/>
        <v>0</v>
      </c>
      <c r="H43" s="182">
        <f t="shared" si="109"/>
        <v>0</v>
      </c>
      <c r="I43" s="182">
        <f>J43</f>
        <v>0</v>
      </c>
      <c r="J43" s="182"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82">
        <v>0</v>
      </c>
      <c r="U43" s="182">
        <v>0</v>
      </c>
      <c r="V43" s="101" t="e">
        <f t="shared" si="2"/>
        <v>#DIV/0!</v>
      </c>
      <c r="W43" s="21">
        <f t="shared" si="8"/>
        <v>0.15</v>
      </c>
      <c r="X43" s="131">
        <f t="shared" si="92"/>
        <v>0</v>
      </c>
      <c r="Y43" s="131">
        <f t="shared" si="93"/>
        <v>0</v>
      </c>
      <c r="Z43" s="131">
        <f t="shared" si="94"/>
        <v>0</v>
      </c>
      <c r="AA43" s="131">
        <f t="shared" si="95"/>
        <v>0</v>
      </c>
      <c r="AB43" s="131">
        <f t="shared" si="96"/>
        <v>0</v>
      </c>
      <c r="AC43" s="131">
        <f t="shared" si="97"/>
        <v>0</v>
      </c>
      <c r="AD43" s="131">
        <f t="shared" si="98"/>
        <v>0</v>
      </c>
      <c r="AE43" s="131">
        <f t="shared" si="99"/>
        <v>0</v>
      </c>
      <c r="AF43" s="131">
        <f t="shared" si="100"/>
        <v>0</v>
      </c>
      <c r="AG43" s="131">
        <f t="shared" si="101"/>
        <v>0</v>
      </c>
      <c r="AH43" s="116" t="e">
        <f t="shared" si="102"/>
        <v>#DIV/0!</v>
      </c>
      <c r="AI43" s="21">
        <f t="shared" si="18"/>
        <v>0.05</v>
      </c>
      <c r="AJ43" s="124">
        <f t="shared" si="103"/>
        <v>0</v>
      </c>
    </row>
    <row r="44" spans="1:36">
      <c r="A44" s="301"/>
      <c r="B44" s="179"/>
      <c r="C44" s="119"/>
      <c r="D44" s="119"/>
      <c r="E44" s="125"/>
      <c r="F44" s="128"/>
      <c r="G44" s="128" t="e">
        <f t="shared" ref="G44:S44" si="110">(G43-F43)/F43</f>
        <v>#DIV/0!</v>
      </c>
      <c r="H44" s="128" t="e">
        <f t="shared" si="110"/>
        <v>#DIV/0!</v>
      </c>
      <c r="I44" s="128" t="e">
        <f t="shared" si="110"/>
        <v>#DIV/0!</v>
      </c>
      <c r="J44" s="128" t="e">
        <f t="shared" si="110"/>
        <v>#DIV/0!</v>
      </c>
      <c r="K44" s="128" t="e">
        <f t="shared" si="110"/>
        <v>#DIV/0!</v>
      </c>
      <c r="L44" s="128" t="e">
        <f t="shared" si="110"/>
        <v>#DIV/0!</v>
      </c>
      <c r="M44" s="128" t="e">
        <f t="shared" si="110"/>
        <v>#DIV/0!</v>
      </c>
      <c r="N44" s="128" t="e">
        <f t="shared" si="110"/>
        <v>#DIV/0!</v>
      </c>
      <c r="O44" s="128" t="e">
        <f t="shared" si="110"/>
        <v>#DIV/0!</v>
      </c>
      <c r="P44" s="128" t="e">
        <f t="shared" si="110"/>
        <v>#DIV/0!</v>
      </c>
      <c r="Q44" s="128" t="e">
        <f t="shared" si="110"/>
        <v>#DIV/0!</v>
      </c>
      <c r="R44" s="128" t="e">
        <f t="shared" si="110"/>
        <v>#DIV/0!</v>
      </c>
      <c r="S44" s="128" t="e">
        <f t="shared" si="110"/>
        <v>#DIV/0!</v>
      </c>
      <c r="T44" s="128" t="e">
        <f t="shared" ref="T44:U44" si="111">(T43-S43)/S43</f>
        <v>#DIV/0!</v>
      </c>
      <c r="U44" s="128" t="e">
        <f t="shared" si="111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301"/>
      <c r="B45" s="179" t="s">
        <v>191</v>
      </c>
      <c r="C45" s="119"/>
      <c r="D45" s="119"/>
      <c r="E45" s="125"/>
      <c r="F45" s="182"/>
      <c r="G45" s="182">
        <f t="shared" ref="G45:H45" si="112">H45</f>
        <v>0</v>
      </c>
      <c r="H45" s="182">
        <f t="shared" si="112"/>
        <v>0</v>
      </c>
      <c r="I45" s="182">
        <f>J45</f>
        <v>0</v>
      </c>
      <c r="J45" s="182"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82">
        <v>0</v>
      </c>
      <c r="U45" s="182">
        <v>1</v>
      </c>
      <c r="V45" s="101" t="e">
        <f t="shared" si="2"/>
        <v>#DIV/0!</v>
      </c>
      <c r="W45" s="21">
        <f t="shared" si="8"/>
        <v>0.15</v>
      </c>
      <c r="X45" s="131">
        <f t="shared" si="92"/>
        <v>0</v>
      </c>
      <c r="Y45" s="131">
        <f t="shared" si="93"/>
        <v>0</v>
      </c>
      <c r="Z45" s="131">
        <f t="shared" si="94"/>
        <v>0</v>
      </c>
      <c r="AA45" s="131">
        <f t="shared" si="95"/>
        <v>0</v>
      </c>
      <c r="AB45" s="131">
        <f t="shared" si="96"/>
        <v>0</v>
      </c>
      <c r="AC45" s="131">
        <f t="shared" si="97"/>
        <v>0</v>
      </c>
      <c r="AD45" s="131">
        <f t="shared" si="98"/>
        <v>0</v>
      </c>
      <c r="AE45" s="131">
        <f t="shared" si="99"/>
        <v>0</v>
      </c>
      <c r="AF45" s="131">
        <f t="shared" si="100"/>
        <v>0</v>
      </c>
      <c r="AG45" s="131">
        <f t="shared" si="101"/>
        <v>0</v>
      </c>
      <c r="AH45" s="116" t="e">
        <f t="shared" si="102"/>
        <v>#DIV/0!</v>
      </c>
      <c r="AI45" s="21">
        <f t="shared" si="18"/>
        <v>0.05</v>
      </c>
      <c r="AJ45" s="124">
        <f t="shared" si="103"/>
        <v>0</v>
      </c>
    </row>
    <row r="46" spans="1:36">
      <c r="A46" s="180"/>
      <c r="B46" s="179"/>
      <c r="C46" s="119"/>
      <c r="D46" s="119"/>
      <c r="E46" s="125"/>
      <c r="F46" s="128"/>
      <c r="G46" s="128" t="e">
        <f t="shared" ref="G46:S46" si="113">(G45-F45)/F45</f>
        <v>#DIV/0!</v>
      </c>
      <c r="H46" s="128" t="e">
        <f t="shared" si="113"/>
        <v>#DIV/0!</v>
      </c>
      <c r="I46" s="128" t="e">
        <f t="shared" si="113"/>
        <v>#DIV/0!</v>
      </c>
      <c r="J46" s="128" t="e">
        <f t="shared" si="113"/>
        <v>#DIV/0!</v>
      </c>
      <c r="K46" s="128" t="e">
        <f t="shared" si="113"/>
        <v>#DIV/0!</v>
      </c>
      <c r="L46" s="128" t="e">
        <f t="shared" si="113"/>
        <v>#DIV/0!</v>
      </c>
      <c r="M46" s="128" t="e">
        <f t="shared" si="113"/>
        <v>#DIV/0!</v>
      </c>
      <c r="N46" s="128" t="e">
        <f t="shared" si="113"/>
        <v>#DIV/0!</v>
      </c>
      <c r="O46" s="128" t="e">
        <f t="shared" si="113"/>
        <v>#DIV/0!</v>
      </c>
      <c r="P46" s="128" t="e">
        <f t="shared" si="113"/>
        <v>#DIV/0!</v>
      </c>
      <c r="Q46" s="128" t="e">
        <f t="shared" si="113"/>
        <v>#DIV/0!</v>
      </c>
      <c r="R46" s="128" t="e">
        <f t="shared" si="113"/>
        <v>#DIV/0!</v>
      </c>
      <c r="S46" s="128" t="e">
        <f t="shared" si="113"/>
        <v>#DIV/0!</v>
      </c>
      <c r="T46" s="128" t="e">
        <f t="shared" ref="T46:U46" si="114">(T45-S45)/S45</f>
        <v>#DIV/0!</v>
      </c>
      <c r="U46" s="128" t="e">
        <f t="shared" si="114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80"/>
      <c r="B47" s="179" t="s">
        <v>433</v>
      </c>
      <c r="C47" s="119"/>
      <c r="D47" s="119"/>
      <c r="E47" s="125"/>
      <c r="F47" s="182"/>
      <c r="G47" s="182">
        <f t="shared" ref="G47:H47" si="115">H47</f>
        <v>0</v>
      </c>
      <c r="H47" s="182">
        <f t="shared" si="115"/>
        <v>0</v>
      </c>
      <c r="I47" s="182">
        <f>J47</f>
        <v>0</v>
      </c>
      <c r="J47" s="182"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182">
        <v>1</v>
      </c>
      <c r="V47" s="101" t="e">
        <f t="shared" si="2"/>
        <v>#DIV/0!</v>
      </c>
      <c r="W47" s="21">
        <f t="shared" si="8"/>
        <v>0.15</v>
      </c>
      <c r="X47" s="131">
        <f t="shared" ref="X47" si="116">T47*(1+$W47)</f>
        <v>0</v>
      </c>
      <c r="Y47" s="131">
        <f t="shared" ref="Y47" si="117">X47*(1+$W47)</f>
        <v>0</v>
      </c>
      <c r="Z47" s="131">
        <f t="shared" ref="Z47" si="118">Y47*(1+$W47)</f>
        <v>0</v>
      </c>
      <c r="AA47" s="131">
        <f t="shared" ref="AA47" si="119">Z47*(1+$W47)</f>
        <v>0</v>
      </c>
      <c r="AB47" s="131">
        <f t="shared" ref="AB47" si="120">AA47*(1+$W47)</f>
        <v>0</v>
      </c>
      <c r="AC47" s="131">
        <f t="shared" ref="AC47" si="121">AB47*(1+$W47)</f>
        <v>0</v>
      </c>
      <c r="AD47" s="131">
        <f t="shared" ref="AD47" si="122">AC47*(1+$W47)</f>
        <v>0</v>
      </c>
      <c r="AE47" s="131">
        <f t="shared" ref="AE47" si="123">AD47*(1+$W47)</f>
        <v>0</v>
      </c>
      <c r="AF47" s="131">
        <f t="shared" ref="AF47" si="124">AE47*(1+$W47)</f>
        <v>0</v>
      </c>
      <c r="AG47" s="131">
        <f t="shared" ref="AG47" si="125">AF47*(1+$W47)</f>
        <v>0</v>
      </c>
      <c r="AH47" s="116" t="e">
        <f t="shared" ref="AH47" si="126">((AG47/J47)^(1/($AG$3-$K$1) ))-1</f>
        <v>#DIV/0!</v>
      </c>
      <c r="AI47" s="21">
        <f t="shared" si="18"/>
        <v>0.05</v>
      </c>
      <c r="AJ47" s="124">
        <f t="shared" si="103"/>
        <v>0</v>
      </c>
    </row>
    <row r="48" spans="1:36">
      <c r="A48" s="180"/>
      <c r="B48" s="179"/>
      <c r="C48" s="119"/>
      <c r="D48" s="119"/>
      <c r="E48" s="125"/>
      <c r="F48" s="128"/>
      <c r="G48" s="128" t="e">
        <f t="shared" ref="G48:S48" si="127">(G47-F47)/F47</f>
        <v>#DIV/0!</v>
      </c>
      <c r="H48" s="128" t="e">
        <f t="shared" si="127"/>
        <v>#DIV/0!</v>
      </c>
      <c r="I48" s="128" t="e">
        <f t="shared" si="127"/>
        <v>#DIV/0!</v>
      </c>
      <c r="J48" s="128" t="e">
        <f t="shared" si="127"/>
        <v>#DIV/0!</v>
      </c>
      <c r="K48" s="128" t="e">
        <f t="shared" si="127"/>
        <v>#DIV/0!</v>
      </c>
      <c r="L48" s="128" t="e">
        <f t="shared" si="127"/>
        <v>#DIV/0!</v>
      </c>
      <c r="M48" s="128" t="e">
        <f t="shared" si="127"/>
        <v>#DIV/0!</v>
      </c>
      <c r="N48" s="128" t="e">
        <f t="shared" si="127"/>
        <v>#DIV/0!</v>
      </c>
      <c r="O48" s="128" t="e">
        <f t="shared" si="127"/>
        <v>#DIV/0!</v>
      </c>
      <c r="P48" s="128" t="e">
        <f t="shared" si="127"/>
        <v>#DIV/0!</v>
      </c>
      <c r="Q48" s="128" t="e">
        <f t="shared" si="127"/>
        <v>#DIV/0!</v>
      </c>
      <c r="R48" s="128" t="e">
        <f t="shared" si="127"/>
        <v>#DIV/0!</v>
      </c>
      <c r="S48" s="128" t="e">
        <f t="shared" si="127"/>
        <v>#DIV/0!</v>
      </c>
      <c r="T48" s="128" t="e">
        <f t="shared" ref="T48:U48" si="128">(T47-S47)/S47</f>
        <v>#DIV/0!</v>
      </c>
      <c r="U48" s="128" t="e">
        <f t="shared" si="128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80"/>
      <c r="B49" s="179" t="s">
        <v>424</v>
      </c>
      <c r="C49" s="119"/>
      <c r="D49" s="119"/>
      <c r="E49" s="125"/>
      <c r="F49" s="182"/>
      <c r="G49" s="182">
        <f t="shared" ref="G49:H49" si="129">H49</f>
        <v>0</v>
      </c>
      <c r="H49" s="182">
        <f t="shared" si="129"/>
        <v>0</v>
      </c>
      <c r="I49" s="182">
        <f>J49</f>
        <v>0</v>
      </c>
      <c r="J49" s="182"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182">
        <v>1</v>
      </c>
      <c r="V49" s="101" t="e">
        <f t="shared" si="2"/>
        <v>#DIV/0!</v>
      </c>
      <c r="W49" s="21">
        <f t="shared" si="8"/>
        <v>0.15</v>
      </c>
      <c r="X49" s="131">
        <f t="shared" si="92"/>
        <v>0</v>
      </c>
      <c r="Y49" s="131">
        <f t="shared" si="93"/>
        <v>0</v>
      </c>
      <c r="Z49" s="131">
        <f t="shared" si="94"/>
        <v>0</v>
      </c>
      <c r="AA49" s="131">
        <f t="shared" si="95"/>
        <v>0</v>
      </c>
      <c r="AB49" s="131">
        <f t="shared" si="96"/>
        <v>0</v>
      </c>
      <c r="AC49" s="131">
        <f t="shared" si="97"/>
        <v>0</v>
      </c>
      <c r="AD49" s="131">
        <f t="shared" si="98"/>
        <v>0</v>
      </c>
      <c r="AE49" s="131">
        <f t="shared" si="99"/>
        <v>0</v>
      </c>
      <c r="AF49" s="131">
        <f t="shared" si="100"/>
        <v>0</v>
      </c>
      <c r="AG49" s="131">
        <f t="shared" si="101"/>
        <v>0</v>
      </c>
      <c r="AH49" s="116" t="e">
        <f t="shared" si="102"/>
        <v>#DIV/0!</v>
      </c>
      <c r="AI49" s="21">
        <f t="shared" si="18"/>
        <v>0.05</v>
      </c>
      <c r="AJ49" s="124">
        <f t="shared" si="103"/>
        <v>0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1" t="e">
        <f t="shared" si="2"/>
        <v>#DIV/0!</v>
      </c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/>
      <c r="G51" s="125">
        <f>M51</f>
        <v>1113</v>
      </c>
      <c r="H51" s="125"/>
      <c r="I51" s="125"/>
      <c r="J51" s="125"/>
      <c r="K51" s="125"/>
      <c r="L51" s="125"/>
      <c r="M51" s="125">
        <v>1113</v>
      </c>
      <c r="N51" s="125">
        <v>1673</v>
      </c>
      <c r="O51" s="125">
        <v>2425</v>
      </c>
      <c r="P51" s="125">
        <v>3118</v>
      </c>
      <c r="Q51" s="182">
        <v>3797</v>
      </c>
      <c r="R51" s="182">
        <v>4553</v>
      </c>
      <c r="S51" s="182">
        <v>5277</v>
      </c>
      <c r="T51" s="182">
        <v>5541</v>
      </c>
      <c r="U51" s="182">
        <v>6638</v>
      </c>
      <c r="V51" s="101">
        <f t="shared" si="2"/>
        <v>0.22218408244010135</v>
      </c>
      <c r="W51" s="21">
        <f t="shared" si="8"/>
        <v>0.15</v>
      </c>
      <c r="X51" s="131">
        <f t="shared" si="3"/>
        <v>6372.15</v>
      </c>
      <c r="Y51" s="131">
        <f t="shared" ref="Y51" si="130">X51*(1+$W51)</f>
        <v>7327.9724999999989</v>
      </c>
      <c r="Z51" s="131">
        <f t="shared" ref="Z51" si="131">Y51*(1+$W51)</f>
        <v>8427.1683749999975</v>
      </c>
      <c r="AA51" s="131">
        <f t="shared" ref="AA51" si="132">Z51*(1+$W51)</f>
        <v>9691.2436312499958</v>
      </c>
      <c r="AB51" s="131">
        <f t="shared" si="42"/>
        <v>11144.930175937494</v>
      </c>
      <c r="AC51" s="131">
        <f t="shared" si="43"/>
        <v>12816.669702328118</v>
      </c>
      <c r="AD51" s="131">
        <f t="shared" si="44"/>
        <v>14739.170157677334</v>
      </c>
      <c r="AE51" s="131">
        <f t="shared" si="45"/>
        <v>16950.045681328931</v>
      </c>
      <c r="AF51" s="131">
        <f t="shared" si="46"/>
        <v>19492.552533528269</v>
      </c>
      <c r="AG51" s="131">
        <f t="shared" si="47"/>
        <v>22416.435413557509</v>
      </c>
      <c r="AH51" s="116" t="e">
        <f t="shared" si="20"/>
        <v>#DIV/0!</v>
      </c>
      <c r="AI51" s="21">
        <f t="shared" si="18"/>
        <v>0.05</v>
      </c>
      <c r="AJ51" s="124">
        <f t="shared" si="1"/>
        <v>235372.57184235388</v>
      </c>
    </row>
    <row r="52" spans="1:36" s="106" customFormat="1">
      <c r="B52" s="13"/>
      <c r="C52" s="126"/>
      <c r="D52" s="126"/>
      <c r="E52" s="127"/>
      <c r="F52" s="272"/>
      <c r="G52" s="272">
        <f t="shared" ref="G52:P52" si="133">(G51-F51)/G51</f>
        <v>1</v>
      </c>
      <c r="H52" s="272" t="e">
        <f t="shared" si="133"/>
        <v>#DIV/0!</v>
      </c>
      <c r="I52" s="272" t="e">
        <f t="shared" si="133"/>
        <v>#DIV/0!</v>
      </c>
      <c r="J52" s="272" t="e">
        <f t="shared" si="133"/>
        <v>#DIV/0!</v>
      </c>
      <c r="K52" s="272" t="e">
        <f t="shared" si="133"/>
        <v>#DIV/0!</v>
      </c>
      <c r="L52" s="272" t="e">
        <f t="shared" si="133"/>
        <v>#DIV/0!</v>
      </c>
      <c r="M52" s="272">
        <f t="shared" si="133"/>
        <v>1</v>
      </c>
      <c r="N52" s="272">
        <f t="shared" si="133"/>
        <v>0.33472803347280333</v>
      </c>
      <c r="O52" s="272">
        <f t="shared" si="133"/>
        <v>0.31010309278350517</v>
      </c>
      <c r="P52" s="272">
        <f t="shared" si="133"/>
        <v>0.22225785760102629</v>
      </c>
      <c r="Q52" s="128">
        <f t="shared" ref="Q52:S52" si="134">(Q51-P51)/P51</f>
        <v>0.21776779987171263</v>
      </c>
      <c r="R52" s="128">
        <f t="shared" si="134"/>
        <v>0.19910455622860151</v>
      </c>
      <c r="S52" s="128">
        <f t="shared" si="134"/>
        <v>0.15901603338458159</v>
      </c>
      <c r="T52" s="128">
        <f t="shared" ref="T52:U52" si="135">(T51-S51)/S51</f>
        <v>5.0028425241614556E-2</v>
      </c>
      <c r="U52" s="128">
        <f t="shared" si="135"/>
        <v>0.19797870420501715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/>
      <c r="G53" s="125">
        <f>M53</f>
        <v>393</v>
      </c>
      <c r="H53" s="125"/>
      <c r="I53" s="125"/>
      <c r="J53" s="125"/>
      <c r="K53" s="125"/>
      <c r="L53" s="125"/>
      <c r="M53" s="125">
        <v>393</v>
      </c>
      <c r="N53" s="125">
        <v>604</v>
      </c>
      <c r="O53" s="125">
        <v>684</v>
      </c>
      <c r="P53" s="125">
        <v>988</v>
      </c>
      <c r="Q53" s="182">
        <v>825</v>
      </c>
      <c r="R53" s="182">
        <v>1175</v>
      </c>
      <c r="S53" s="182">
        <v>1252</v>
      </c>
      <c r="T53" s="182">
        <v>1078</v>
      </c>
      <c r="U53" s="182">
        <v>1739</v>
      </c>
      <c r="V53" s="101">
        <f t="shared" si="2"/>
        <v>0.13443149779543972</v>
      </c>
      <c r="W53" s="21">
        <f t="shared" si="8"/>
        <v>0.15</v>
      </c>
      <c r="X53" s="131">
        <f t="shared" si="3"/>
        <v>1239.6999999999998</v>
      </c>
      <c r="Y53" s="131">
        <f t="shared" ref="Y53" si="136">X53*(1+$W53)</f>
        <v>1425.6549999999997</v>
      </c>
      <c r="Z53" s="131">
        <f t="shared" ref="Z53" si="137">Y53*(1+$W53)</f>
        <v>1639.5032499999995</v>
      </c>
      <c r="AA53" s="131">
        <f t="shared" ref="AA53" si="138">Z53*(1+$W53)</f>
        <v>1885.4287374999992</v>
      </c>
      <c r="AB53" s="131">
        <f t="shared" ref="AB53" si="139">AA53*(1+$W53)</f>
        <v>2168.2430481249989</v>
      </c>
      <c r="AC53" s="131">
        <f t="shared" ref="AC53" si="140">AB53*(1+$W53)</f>
        <v>2493.4795053437488</v>
      </c>
      <c r="AD53" s="131">
        <f t="shared" ref="AD53" si="141">AC53*(1+$W53)</f>
        <v>2867.501431145311</v>
      </c>
      <c r="AE53" s="131">
        <f t="shared" ref="AE53" si="142">AD53*(1+$W53)</f>
        <v>3297.6266458171076</v>
      </c>
      <c r="AF53" s="131">
        <f t="shared" ref="AF53" si="143">AE53*(1+$W53)</f>
        <v>3792.2706426896734</v>
      </c>
      <c r="AG53" s="131">
        <f t="shared" ref="AG53" si="144">AF53*(1+$W53)</f>
        <v>4361.1112390931239</v>
      </c>
      <c r="AH53" s="116" t="e">
        <f t="shared" ref="AH53" si="145">((AG53/J53)^(1/($AG$3-$K$1) ))-1</f>
        <v>#DIV/0!</v>
      </c>
      <c r="AI53" s="21">
        <f t="shared" si="18"/>
        <v>0.05</v>
      </c>
      <c r="AJ53" s="124">
        <f t="shared" ref="AJ53" si="146">(AG53*(1+AI53))/($C$1-AI53)</f>
        <v>45791.668010477813</v>
      </c>
    </row>
    <row r="54" spans="1:36" s="106" customFormat="1">
      <c r="B54" s="13"/>
      <c r="C54" s="126"/>
      <c r="D54" s="126"/>
      <c r="E54" s="127"/>
      <c r="F54" s="272"/>
      <c r="G54" s="272">
        <f t="shared" ref="G54:P54" si="147">(G53-F53)/G53</f>
        <v>1</v>
      </c>
      <c r="H54" s="272" t="e">
        <f t="shared" si="147"/>
        <v>#DIV/0!</v>
      </c>
      <c r="I54" s="272" t="e">
        <f t="shared" si="147"/>
        <v>#DIV/0!</v>
      </c>
      <c r="J54" s="272" t="e">
        <f t="shared" si="147"/>
        <v>#DIV/0!</v>
      </c>
      <c r="K54" s="272" t="e">
        <f t="shared" si="147"/>
        <v>#DIV/0!</v>
      </c>
      <c r="L54" s="272" t="e">
        <f t="shared" si="147"/>
        <v>#DIV/0!</v>
      </c>
      <c r="M54" s="272">
        <f t="shared" si="147"/>
        <v>1</v>
      </c>
      <c r="N54" s="272">
        <f t="shared" si="147"/>
        <v>0.34933774834437087</v>
      </c>
      <c r="O54" s="272">
        <f t="shared" si="147"/>
        <v>0.11695906432748537</v>
      </c>
      <c r="P54" s="272">
        <f t="shared" si="147"/>
        <v>0.30769230769230771</v>
      </c>
      <c r="Q54" s="128">
        <f t="shared" ref="Q54:S54" si="148">(Q53-P53)/P53</f>
        <v>-0.16497975708502025</v>
      </c>
      <c r="R54" s="128">
        <f t="shared" si="148"/>
        <v>0.42424242424242425</v>
      </c>
      <c r="S54" s="128">
        <f t="shared" si="148"/>
        <v>6.5531914893617024E-2</v>
      </c>
      <c r="T54" s="128">
        <f t="shared" ref="T54:U54" si="149">(T53-S53)/S53</f>
        <v>-0.1389776357827476</v>
      </c>
      <c r="U54" s="128">
        <f t="shared" si="149"/>
        <v>0.61317254174397029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/>
      <c r="G55" s="125">
        <f>M55</f>
        <v>260</v>
      </c>
      <c r="H55" s="125"/>
      <c r="I55" s="125"/>
      <c r="J55" s="125"/>
      <c r="K55" s="125"/>
      <c r="L55" s="125"/>
      <c r="M55" s="125">
        <v>260</v>
      </c>
      <c r="N55" s="125">
        <v>391</v>
      </c>
      <c r="O55" s="125">
        <v>454</v>
      </c>
      <c r="P55" s="125">
        <v>729</v>
      </c>
      <c r="Q55" s="182">
        <v>595</v>
      </c>
      <c r="R55" s="182">
        <v>850</v>
      </c>
      <c r="S55" s="182">
        <v>854</v>
      </c>
      <c r="T55" s="182">
        <v>1042</v>
      </c>
      <c r="U55" s="182">
        <v>1464</v>
      </c>
      <c r="V55" s="101">
        <f t="shared" si="2"/>
        <v>0.18949274187317222</v>
      </c>
      <c r="W55" s="21">
        <f t="shared" si="8"/>
        <v>0.15</v>
      </c>
      <c r="X55" s="131">
        <f t="shared" si="3"/>
        <v>1198.3</v>
      </c>
      <c r="Y55" s="131">
        <f t="shared" ref="Y55:AG55" si="150">X55*(1+$W55)</f>
        <v>1378.0449999999998</v>
      </c>
      <c r="Z55" s="131">
        <f t="shared" si="150"/>
        <v>1584.7517499999997</v>
      </c>
      <c r="AA55" s="131">
        <f t="shared" si="150"/>
        <v>1822.4645124999995</v>
      </c>
      <c r="AB55" s="131">
        <f t="shared" si="150"/>
        <v>2095.8341893749994</v>
      </c>
      <c r="AC55" s="131">
        <f t="shared" si="150"/>
        <v>2410.209317781249</v>
      </c>
      <c r="AD55" s="131">
        <f t="shared" si="150"/>
        <v>2771.7407154484363</v>
      </c>
      <c r="AE55" s="131">
        <f t="shared" si="150"/>
        <v>3187.5018227657015</v>
      </c>
      <c r="AF55" s="131">
        <f t="shared" si="150"/>
        <v>3665.6270961805562</v>
      </c>
      <c r="AG55" s="131">
        <f t="shared" si="150"/>
        <v>4215.4711606076389</v>
      </c>
      <c r="AH55" s="116" t="e">
        <f t="shared" si="20"/>
        <v>#DIV/0!</v>
      </c>
      <c r="AI55" s="21">
        <f t="shared" si="18"/>
        <v>0.05</v>
      </c>
      <c r="AJ55" s="124">
        <f t="shared" si="1"/>
        <v>44262.447186380217</v>
      </c>
    </row>
    <row r="56" spans="1:36" s="106" customFormat="1">
      <c r="B56" s="13"/>
      <c r="C56" s="126"/>
      <c r="D56" s="126"/>
      <c r="E56" s="127"/>
      <c r="F56" s="272"/>
      <c r="G56" s="272">
        <f>(G55-F55)/G55</f>
        <v>1</v>
      </c>
      <c r="H56" s="272" t="e">
        <f t="shared" ref="H56:P56" si="151">(H55-G55)/H55</f>
        <v>#DIV/0!</v>
      </c>
      <c r="I56" s="272" t="e">
        <f t="shared" si="151"/>
        <v>#DIV/0!</v>
      </c>
      <c r="J56" s="272" t="e">
        <f t="shared" si="151"/>
        <v>#DIV/0!</v>
      </c>
      <c r="K56" s="272" t="e">
        <f t="shared" si="151"/>
        <v>#DIV/0!</v>
      </c>
      <c r="L56" s="272" t="e">
        <f t="shared" si="151"/>
        <v>#DIV/0!</v>
      </c>
      <c r="M56" s="272">
        <f t="shared" si="151"/>
        <v>1</v>
      </c>
      <c r="N56" s="272">
        <f t="shared" si="151"/>
        <v>0.33503836317135549</v>
      </c>
      <c r="O56" s="272">
        <f t="shared" si="151"/>
        <v>0.13876651982378854</v>
      </c>
      <c r="P56" s="272">
        <f t="shared" si="151"/>
        <v>0.37722908093278462</v>
      </c>
      <c r="Q56" s="128">
        <f t="shared" ref="Q56:S56" si="152">(Q55-P55)/P55</f>
        <v>-0.18381344307270234</v>
      </c>
      <c r="R56" s="128">
        <f t="shared" si="152"/>
        <v>0.42857142857142855</v>
      </c>
      <c r="S56" s="128">
        <f t="shared" si="152"/>
        <v>4.7058823529411761E-3</v>
      </c>
      <c r="T56" s="128">
        <f t="shared" ref="T56:U56" si="153">(T55-S55)/S55</f>
        <v>0.22014051522248243</v>
      </c>
      <c r="U56" s="128">
        <f t="shared" si="153"/>
        <v>0.4049904030710173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125"/>
      <c r="G57" s="125">
        <f>M57</f>
        <v>142</v>
      </c>
      <c r="H57" s="125"/>
      <c r="I57" s="125"/>
      <c r="J57" s="125"/>
      <c r="K57" s="125"/>
      <c r="L57" s="125"/>
      <c r="M57" s="125">
        <v>142</v>
      </c>
      <c r="N57" s="125">
        <v>141.69999999999999</v>
      </c>
      <c r="O57" s="125">
        <v>171.67</v>
      </c>
      <c r="P57" s="125">
        <v>171.67</v>
      </c>
      <c r="Q57" s="182">
        <v>171.84</v>
      </c>
      <c r="R57" s="182">
        <v>172.02</v>
      </c>
      <c r="S57" s="182">
        <v>175.33</v>
      </c>
      <c r="T57" s="123">
        <v>175</v>
      </c>
      <c r="U57" s="123">
        <v>199</v>
      </c>
      <c r="V57" s="101">
        <f t="shared" si="2"/>
        <v>2.6463977732678723E-2</v>
      </c>
      <c r="W57" s="21">
        <v>0.02</v>
      </c>
      <c r="X57" s="131">
        <f t="shared" si="3"/>
        <v>178.5</v>
      </c>
      <c r="Y57" s="131">
        <f>X57*(1+$W57)</f>
        <v>182.07</v>
      </c>
      <c r="Z57" s="131">
        <f t="shared" ref="Z57:AG57" si="154">Y57*(1+$W57)</f>
        <v>185.7114</v>
      </c>
      <c r="AA57" s="131">
        <f t="shared" si="154"/>
        <v>189.42562799999999</v>
      </c>
      <c r="AB57" s="131">
        <f t="shared" si="154"/>
        <v>193.21414056</v>
      </c>
      <c r="AC57" s="131">
        <f t="shared" si="154"/>
        <v>197.07842337120002</v>
      </c>
      <c r="AD57" s="131">
        <f t="shared" si="154"/>
        <v>201.01999183862401</v>
      </c>
      <c r="AE57" s="131">
        <f t="shared" si="154"/>
        <v>205.04039167539651</v>
      </c>
      <c r="AF57" s="131">
        <f t="shared" si="154"/>
        <v>209.14119950890444</v>
      </c>
      <c r="AG57" s="131">
        <f t="shared" si="154"/>
        <v>213.32402349908253</v>
      </c>
      <c r="AH57" s="116" t="e">
        <f t="shared" si="20"/>
        <v>#DIV/0!</v>
      </c>
      <c r="AI57" s="21">
        <f t="shared" si="18"/>
        <v>0.05</v>
      </c>
      <c r="AJ57" s="124">
        <f t="shared" si="1"/>
        <v>2239.9022467403665</v>
      </c>
    </row>
    <row r="58" spans="1:36">
      <c r="B58" s="10"/>
      <c r="C58" s="120"/>
      <c r="D58" s="120"/>
      <c r="E58" s="121"/>
      <c r="F58" s="272"/>
      <c r="G58" s="128" t="e">
        <f t="shared" ref="G58:S58" si="155">(G57-F57)/F57</f>
        <v>#DIV/0!</v>
      </c>
      <c r="H58" s="128">
        <f t="shared" si="155"/>
        <v>-1</v>
      </c>
      <c r="I58" s="128" t="e">
        <f t="shared" si="155"/>
        <v>#DIV/0!</v>
      </c>
      <c r="J58" s="128" t="e">
        <f t="shared" si="155"/>
        <v>#DIV/0!</v>
      </c>
      <c r="K58" s="128" t="e">
        <f t="shared" si="155"/>
        <v>#DIV/0!</v>
      </c>
      <c r="L58" s="128" t="e">
        <f t="shared" si="155"/>
        <v>#DIV/0!</v>
      </c>
      <c r="M58" s="128" t="e">
        <f t="shared" si="155"/>
        <v>#DIV/0!</v>
      </c>
      <c r="N58" s="128">
        <f t="shared" si="155"/>
        <v>-2.1126760563381082E-3</v>
      </c>
      <c r="O58" s="128">
        <f t="shared" si="155"/>
        <v>0.21150317572335922</v>
      </c>
      <c r="P58" s="128">
        <f t="shared" si="155"/>
        <v>0</v>
      </c>
      <c r="Q58" s="128">
        <f t="shared" si="155"/>
        <v>9.9027203355283927E-4</v>
      </c>
      <c r="R58" s="128">
        <f t="shared" si="155"/>
        <v>1.0474860335195927E-3</v>
      </c>
      <c r="S58" s="128">
        <f t="shared" si="155"/>
        <v>1.9241948610626683E-2</v>
      </c>
      <c r="T58" s="128">
        <f t="shared" ref="T58:U58" si="156">(T57-S57)/S57</f>
        <v>-1.8821650601723177E-3</v>
      </c>
      <c r="U58" s="128">
        <f t="shared" si="156"/>
        <v>0.13714285714285715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125"/>
      <c r="G59" s="125">
        <v>0.01</v>
      </c>
      <c r="H59" s="274"/>
      <c r="I59" s="274"/>
      <c r="J59" s="274"/>
      <c r="K59" s="274"/>
      <c r="L59" s="274"/>
      <c r="M59" s="274">
        <v>0</v>
      </c>
      <c r="N59" s="274">
        <v>0</v>
      </c>
      <c r="O59" s="274">
        <v>0</v>
      </c>
      <c r="P59" s="274">
        <v>0.75</v>
      </c>
      <c r="Q59" s="123">
        <v>0.75</v>
      </c>
      <c r="R59" s="123">
        <v>0.8</v>
      </c>
      <c r="S59" s="123">
        <v>0.8</v>
      </c>
      <c r="T59" s="123">
        <v>0.8</v>
      </c>
      <c r="U59" s="123">
        <v>1</v>
      </c>
      <c r="V59" s="101">
        <f t="shared" si="2"/>
        <v>0.72936334020426163</v>
      </c>
      <c r="W59" s="21">
        <v>0.02</v>
      </c>
      <c r="X59" s="131">
        <f t="shared" si="3"/>
        <v>0.81600000000000006</v>
      </c>
      <c r="Y59" s="131">
        <f t="shared" ref="Y59" si="157">X59*(1+$W59)</f>
        <v>0.83232000000000006</v>
      </c>
      <c r="Z59" s="131">
        <f t="shared" ref="Z59" si="158">Y59*(1+$W59)</f>
        <v>0.84896640000000012</v>
      </c>
      <c r="AA59" s="131">
        <f t="shared" ref="AA59" si="159">Z59*(1+$W59)</f>
        <v>0.86594572800000014</v>
      </c>
      <c r="AB59" s="131">
        <f t="shared" ref="AB59" si="160">AA59*(1+$W59)</f>
        <v>0.88326464256000015</v>
      </c>
      <c r="AC59" s="131">
        <f t="shared" ref="AC59" si="161">AB59*(1+$W59)</f>
        <v>0.90092993541120014</v>
      </c>
      <c r="AD59" s="131">
        <f t="shared" ref="AD59" si="162">AC59*(1+$W59)</f>
        <v>0.91894853411942412</v>
      </c>
      <c r="AE59" s="131">
        <f t="shared" ref="AE59" si="163">AD59*(1+$W59)</f>
        <v>0.93732750480181259</v>
      </c>
      <c r="AF59" s="131">
        <f t="shared" ref="AF59" si="164">AE59*(1+$W59)</f>
        <v>0.95607405489784891</v>
      </c>
      <c r="AG59" s="131">
        <f t="shared" ref="AG59" si="165">AF59*(1+$W59)</f>
        <v>0.97519553599580588</v>
      </c>
      <c r="AH59" s="116" t="e">
        <f t="shared" ref="AH59" si="166">((AG59/J59)^(1/($AG$3-$K$1) ))-1</f>
        <v>#DIV/0!</v>
      </c>
      <c r="AI59" s="21">
        <f t="shared" si="18"/>
        <v>0.05</v>
      </c>
      <c r="AJ59" s="124">
        <f t="shared" si="1"/>
        <v>10.239553127955963</v>
      </c>
    </row>
    <row r="60" spans="1:36">
      <c r="B60" s="10"/>
      <c r="C60" s="123"/>
      <c r="D60" s="123"/>
      <c r="E60" s="123"/>
      <c r="F60" s="128"/>
      <c r="G60" s="128" t="e">
        <f t="shared" ref="G60:S60" si="167">(G59-F59)/F59</f>
        <v>#DIV/0!</v>
      </c>
      <c r="H60" s="128">
        <f t="shared" si="167"/>
        <v>-1</v>
      </c>
      <c r="I60" s="128" t="e">
        <f t="shared" si="167"/>
        <v>#DIV/0!</v>
      </c>
      <c r="J60" s="128" t="e">
        <f t="shared" si="167"/>
        <v>#DIV/0!</v>
      </c>
      <c r="K60" s="128" t="e">
        <f t="shared" si="167"/>
        <v>#DIV/0!</v>
      </c>
      <c r="L60" s="128" t="e">
        <f t="shared" si="167"/>
        <v>#DIV/0!</v>
      </c>
      <c r="M60" s="128" t="e">
        <f t="shared" si="167"/>
        <v>#DIV/0!</v>
      </c>
      <c r="N60" s="128" t="e">
        <f t="shared" si="167"/>
        <v>#DIV/0!</v>
      </c>
      <c r="O60" s="128" t="e">
        <f t="shared" si="167"/>
        <v>#DIV/0!</v>
      </c>
      <c r="P60" s="128" t="e">
        <f t="shared" si="167"/>
        <v>#DIV/0!</v>
      </c>
      <c r="Q60" s="128">
        <f t="shared" si="167"/>
        <v>0</v>
      </c>
      <c r="R60" s="128">
        <f t="shared" si="167"/>
        <v>6.6666666666666721E-2</v>
      </c>
      <c r="S60" s="128">
        <f t="shared" si="167"/>
        <v>0</v>
      </c>
      <c r="T60" s="128">
        <f t="shared" ref="T60:U60" si="168">(T59-S59)/S59</f>
        <v>0</v>
      </c>
      <c r="U60" s="128">
        <f t="shared" si="168"/>
        <v>0.24999999999999994</v>
      </c>
      <c r="V60" s="1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25">
        <v>0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25">
        <v>0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0"/>
      <c r="W64" s="1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0"/>
      <c r="W65" s="1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 t="s">
        <v>253</v>
      </c>
      <c r="C66" s="112"/>
      <c r="D66" s="112"/>
      <c r="E66" s="112"/>
      <c r="F66" s="112"/>
      <c r="G66" s="112">
        <f t="shared" ref="G66" si="169">G25/G57</f>
        <v>10.02112676056338</v>
      </c>
      <c r="H66" s="112" t="e">
        <f t="shared" ref="H66:I66" si="170">H25/H57</f>
        <v>#DIV/0!</v>
      </c>
      <c r="I66" s="112" t="e">
        <f t="shared" si="170"/>
        <v>#DIV/0!</v>
      </c>
      <c r="J66" s="112" t="e">
        <f t="shared" ref="J66:S66" si="171">J25/J57</f>
        <v>#DIV/0!</v>
      </c>
      <c r="K66" s="112" t="e">
        <f t="shared" si="171"/>
        <v>#DIV/0!</v>
      </c>
      <c r="L66" s="112" t="e">
        <f t="shared" si="171"/>
        <v>#DIV/0!</v>
      </c>
      <c r="M66" s="112">
        <f t="shared" si="171"/>
        <v>10.02112676056338</v>
      </c>
      <c r="N66" s="112">
        <f t="shared" si="171"/>
        <v>14.883556810162316</v>
      </c>
      <c r="O66" s="112">
        <f t="shared" si="171"/>
        <v>17.47538882740141</v>
      </c>
      <c r="P66" s="112">
        <f t="shared" si="171"/>
        <v>24.605347468981186</v>
      </c>
      <c r="Q66" s="112">
        <f t="shared" si="171"/>
        <v>30.476024208566109</v>
      </c>
      <c r="R66" s="112">
        <f t="shared" si="171"/>
        <v>37.675851645157536</v>
      </c>
      <c r="S66" s="112">
        <f t="shared" si="171"/>
        <v>42.605372725717217</v>
      </c>
      <c r="T66" s="112">
        <f t="shared" ref="T66:U66" si="172">T25/T57</f>
        <v>48.982857142857142</v>
      </c>
      <c r="U66" s="112">
        <f t="shared" si="172"/>
        <v>52.758793969849243</v>
      </c>
      <c r="V66" s="101">
        <f t="shared" ref="V66:V129" si="173">((T66/G66)^(1/($K$2-$K$1) ))-1</f>
        <v>0.2193852706894226</v>
      </c>
      <c r="W66" s="110"/>
      <c r="X66" s="135">
        <f t="shared" ref="X66:AG66" si="174">X25/X57</f>
        <v>55.225770308123245</v>
      </c>
      <c r="Y66" s="135">
        <f t="shared" si="174"/>
        <v>62.264348876805613</v>
      </c>
      <c r="Z66" s="135">
        <f t="shared" si="174"/>
        <v>70.200001184633777</v>
      </c>
      <c r="AA66" s="135">
        <f t="shared" si="174"/>
        <v>79.147060159145923</v>
      </c>
      <c r="AB66" s="135">
        <f t="shared" si="174"/>
        <v>89.234430571586088</v>
      </c>
      <c r="AC66" s="135">
        <f t="shared" si="174"/>
        <v>100.60744623267057</v>
      </c>
      <c r="AD66" s="135">
        <f t="shared" si="174"/>
        <v>113.42996388977564</v>
      </c>
      <c r="AE66" s="135">
        <f t="shared" si="174"/>
        <v>127.88672399337447</v>
      </c>
      <c r="AF66" s="135">
        <f t="shared" si="174"/>
        <v>144.1860123454712</v>
      </c>
      <c r="AG66" s="135">
        <f t="shared" si="174"/>
        <v>162.56266097773712</v>
      </c>
      <c r="AH66" s="116" t="e">
        <f t="shared" ref="AH66" si="175">((AG66/J66)^(1/($AG$3-$K$1) ))-1</f>
        <v>#DIV/0!</v>
      </c>
      <c r="AI66" s="21">
        <f t="shared" si="18"/>
        <v>0.05</v>
      </c>
      <c r="AJ66" s="124">
        <f t="shared" ref="AJ66:AJ67" si="176">(AG66*(1+AI66))/($C$1-AI66)</f>
        <v>1706.9079402662401</v>
      </c>
    </row>
    <row r="67" spans="2:36">
      <c r="B67" s="10" t="s">
        <v>254</v>
      </c>
      <c r="C67" s="112"/>
      <c r="D67" s="112"/>
      <c r="E67" s="112"/>
      <c r="F67" s="112"/>
      <c r="G67" s="112">
        <f t="shared" ref="G67" si="177">G27/G57</f>
        <v>7.8380281690140849</v>
      </c>
      <c r="H67" s="112" t="e">
        <f t="shared" ref="H67:I67" si="178">H27/H57</f>
        <v>#DIV/0!</v>
      </c>
      <c r="I67" s="112" t="e">
        <f t="shared" si="178"/>
        <v>#DIV/0!</v>
      </c>
      <c r="J67" s="112" t="e">
        <f t="shared" ref="J67:S67" si="179">J27/J57</f>
        <v>#DIV/0!</v>
      </c>
      <c r="K67" s="112" t="e">
        <f t="shared" si="179"/>
        <v>#DIV/0!</v>
      </c>
      <c r="L67" s="112" t="e">
        <f t="shared" si="179"/>
        <v>#DIV/0!</v>
      </c>
      <c r="M67" s="112">
        <f t="shared" si="179"/>
        <v>7.8380281690140849</v>
      </c>
      <c r="N67" s="112">
        <f t="shared" si="179"/>
        <v>2.9992942836979535</v>
      </c>
      <c r="O67" s="112">
        <f t="shared" si="179"/>
        <v>3.2387720626783949</v>
      </c>
      <c r="P67" s="112">
        <f t="shared" si="179"/>
        <v>4.8814586124541277</v>
      </c>
      <c r="Q67" s="112">
        <f t="shared" si="179"/>
        <v>7.3207635009310987</v>
      </c>
      <c r="R67" s="112">
        <f t="shared" si="179"/>
        <v>9.5512149750029067</v>
      </c>
      <c r="S67" s="112">
        <f t="shared" si="179"/>
        <v>11.469799806079962</v>
      </c>
      <c r="T67" s="112">
        <f t="shared" ref="T67:U67" si="180">T27/T57</f>
        <v>15.994285714285715</v>
      </c>
      <c r="U67" s="112">
        <f t="shared" si="180"/>
        <v>16.994974874371859</v>
      </c>
      <c r="V67" s="101">
        <f t="shared" si="173"/>
        <v>9.3250673911008608E-2</v>
      </c>
      <c r="W67" s="110"/>
      <c r="X67" s="135">
        <f t="shared" ref="X67:AG67" si="181">X27/X57</f>
        <v>18.032773109243696</v>
      </c>
      <c r="Y67" s="135">
        <f t="shared" si="181"/>
        <v>20.331067721206129</v>
      </c>
      <c r="Z67" s="135">
        <f t="shared" si="181"/>
        <v>22.922282234693185</v>
      </c>
      <c r="AA67" s="135">
        <f t="shared" si="181"/>
        <v>25.843749578330552</v>
      </c>
      <c r="AB67" s="135">
        <f t="shared" si="181"/>
        <v>29.137560799098164</v>
      </c>
      <c r="AC67" s="135">
        <f t="shared" si="181"/>
        <v>32.851171489179301</v>
      </c>
      <c r="AD67" s="135">
        <f t="shared" si="181"/>
        <v>37.038085502506071</v>
      </c>
      <c r="AE67" s="135">
        <f t="shared" si="181"/>
        <v>41.758625811648997</v>
      </c>
      <c r="AF67" s="135">
        <f t="shared" si="181"/>
        <v>47.080803611172882</v>
      </c>
      <c r="AG67" s="135">
        <f t="shared" si="181"/>
        <v>53.081298189067461</v>
      </c>
      <c r="AH67" s="116" t="e">
        <f t="shared" ref="AH67" si="182">((AG67/J67)^(1/($AG$3-$K$1) ))-1</f>
        <v>#DIV/0!</v>
      </c>
      <c r="AI67" s="21">
        <f t="shared" si="18"/>
        <v>0.05</v>
      </c>
      <c r="AJ67" s="124">
        <f t="shared" si="176"/>
        <v>557.35363098520838</v>
      </c>
    </row>
    <row r="68" spans="2:36">
      <c r="B68" s="10" t="s">
        <v>372</v>
      </c>
      <c r="C68" s="112"/>
      <c r="D68" s="112"/>
      <c r="E68" s="112"/>
      <c r="F68" s="112"/>
      <c r="G68" s="112">
        <f t="shared" ref="G68" si="183">G53-G55</f>
        <v>133</v>
      </c>
      <c r="H68" s="112">
        <f t="shared" ref="H68:I68" si="184">H53-H55</f>
        <v>0</v>
      </c>
      <c r="I68" s="112">
        <f t="shared" si="184"/>
        <v>0</v>
      </c>
      <c r="J68" s="112">
        <f>J53-J55</f>
        <v>0</v>
      </c>
      <c r="K68" s="112">
        <f t="shared" ref="K68:S68" si="185">K53-K55</f>
        <v>0</v>
      </c>
      <c r="L68" s="112">
        <f t="shared" si="185"/>
        <v>0</v>
      </c>
      <c r="M68" s="112">
        <f t="shared" si="185"/>
        <v>133</v>
      </c>
      <c r="N68" s="112">
        <f t="shared" si="185"/>
        <v>213</v>
      </c>
      <c r="O68" s="112">
        <f t="shared" si="185"/>
        <v>230</v>
      </c>
      <c r="P68" s="112">
        <f t="shared" si="185"/>
        <v>259</v>
      </c>
      <c r="Q68" s="112">
        <f t="shared" si="185"/>
        <v>230</v>
      </c>
      <c r="R68" s="112">
        <f t="shared" si="185"/>
        <v>325</v>
      </c>
      <c r="S68" s="112">
        <f t="shared" si="185"/>
        <v>398</v>
      </c>
      <c r="T68" s="112">
        <f t="shared" ref="T68:U68" si="186">T53-T55</f>
        <v>36</v>
      </c>
      <c r="U68" s="112">
        <f t="shared" si="186"/>
        <v>275</v>
      </c>
      <c r="V68" s="101">
        <f t="shared" si="173"/>
        <v>-0.15070932146183103</v>
      </c>
      <c r="W68" s="110"/>
      <c r="X68" s="112">
        <f t="shared" ref="X68:AG68" si="187">X53-X55</f>
        <v>41.399999999999864</v>
      </c>
      <c r="Y68" s="112">
        <f t="shared" si="187"/>
        <v>47.6099999999999</v>
      </c>
      <c r="Z68" s="112">
        <f t="shared" si="187"/>
        <v>54.751499999999851</v>
      </c>
      <c r="AA68" s="112">
        <f t="shared" si="187"/>
        <v>62.964224999999715</v>
      </c>
      <c r="AB68" s="112">
        <f t="shared" si="187"/>
        <v>72.408858749999581</v>
      </c>
      <c r="AC68" s="112">
        <f t="shared" si="187"/>
        <v>83.270187562499814</v>
      </c>
      <c r="AD68" s="112">
        <f t="shared" si="187"/>
        <v>95.76071569687474</v>
      </c>
      <c r="AE68" s="112">
        <f t="shared" si="187"/>
        <v>110.12482305140611</v>
      </c>
      <c r="AF68" s="112">
        <f t="shared" si="187"/>
        <v>126.64354650911719</v>
      </c>
      <c r="AG68" s="112">
        <f t="shared" si="187"/>
        <v>145.64007848548499</v>
      </c>
      <c r="AH68" s="116" t="e">
        <f t="shared" ref="AH68" si="188">((AG68/J68)^(1/($AG$3-$K$1) ))-1</f>
        <v>#DIV/0!</v>
      </c>
      <c r="AI68" s="21">
        <f t="shared" si="18"/>
        <v>0.05</v>
      </c>
      <c r="AJ68" s="124">
        <f t="shared" ref="AJ68" si="189">(AG68*(1+AI68))/($C$1-AI68)</f>
        <v>1529.2208240975926</v>
      </c>
    </row>
    <row r="69" spans="2:36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0"/>
      <c r="W69" s="1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>
      <c r="B70" s="10" t="s">
        <v>405</v>
      </c>
      <c r="C70" s="112"/>
      <c r="D70" s="112"/>
      <c r="E70" s="112"/>
      <c r="F70" s="15"/>
      <c r="G70" s="15">
        <f t="shared" ref="G70" si="190">G51/G57</f>
        <v>7.8380281690140849</v>
      </c>
      <c r="H70" s="15" t="e">
        <f t="shared" ref="H70:I70" si="191">H51/H57</f>
        <v>#DIV/0!</v>
      </c>
      <c r="I70" s="15" t="e">
        <f t="shared" si="191"/>
        <v>#DIV/0!</v>
      </c>
      <c r="J70" s="15" t="e">
        <f t="shared" ref="J70:S70" si="192">J51/J57</f>
        <v>#DIV/0!</v>
      </c>
      <c r="K70" s="15" t="e">
        <f t="shared" si="192"/>
        <v>#DIV/0!</v>
      </c>
      <c r="L70" s="15" t="e">
        <f t="shared" si="192"/>
        <v>#DIV/0!</v>
      </c>
      <c r="M70" s="15">
        <f t="shared" si="192"/>
        <v>7.8380281690140849</v>
      </c>
      <c r="N70" s="15">
        <f t="shared" si="192"/>
        <v>11.806633733239238</v>
      </c>
      <c r="O70" s="15">
        <f t="shared" si="192"/>
        <v>14.125939302149474</v>
      </c>
      <c r="P70" s="15">
        <f t="shared" si="192"/>
        <v>18.1627541212792</v>
      </c>
      <c r="Q70" s="15">
        <f t="shared" si="192"/>
        <v>22.096135940409685</v>
      </c>
      <c r="R70" s="15">
        <f t="shared" si="192"/>
        <v>26.467852575281942</v>
      </c>
      <c r="S70" s="15">
        <f t="shared" si="192"/>
        <v>30.097530371299833</v>
      </c>
      <c r="T70" s="15">
        <f>T51/T57</f>
        <v>31.662857142857142</v>
      </c>
      <c r="U70" s="15">
        <f>U51/U57</f>
        <v>33.356783919597987</v>
      </c>
      <c r="V70" s="101">
        <f t="shared" si="173"/>
        <v>0.19067410932407203</v>
      </c>
      <c r="W70" s="110"/>
      <c r="X70" s="96">
        <f>X51/X57</f>
        <v>35.698319327731092</v>
      </c>
      <c r="Y70" s="96">
        <f t="shared" ref="Y70:AG70" si="193">Y51/Y57</f>
        <v>40.248105124402699</v>
      </c>
      <c r="Z70" s="96">
        <f t="shared" si="193"/>
        <v>45.377765581434403</v>
      </c>
      <c r="AA70" s="96">
        <f t="shared" si="193"/>
        <v>51.161206292793686</v>
      </c>
      <c r="AB70" s="96">
        <f t="shared" si="193"/>
        <v>57.681752192855619</v>
      </c>
      <c r="AC70" s="96">
        <f t="shared" si="193"/>
        <v>65.033348060572507</v>
      </c>
      <c r="AD70" s="96">
        <f t="shared" si="193"/>
        <v>73.321912029076842</v>
      </c>
      <c r="AE70" s="96">
        <f t="shared" si="193"/>
        <v>82.666861601410147</v>
      </c>
      <c r="AF70" s="96">
        <f t="shared" si="193"/>
        <v>93.202834158452603</v>
      </c>
      <c r="AG70" s="96">
        <f t="shared" si="193"/>
        <v>105.08162674727498</v>
      </c>
      <c r="AH70" s="116" t="e">
        <f t="shared" ref="AH70:AH71" si="194">((AG70/J70)^(1/($AG$3-$K$1) ))-1</f>
        <v>#DIV/0!</v>
      </c>
      <c r="AI70" s="21">
        <f t="shared" si="18"/>
        <v>0.05</v>
      </c>
      <c r="AJ70" s="124">
        <f t="shared" ref="AJ70:AJ71" si="195">(AG70*(1+AI70))/($C$1-AI70)</f>
        <v>1103.3570808463876</v>
      </c>
    </row>
    <row r="71" spans="2:36">
      <c r="B71" s="10" t="s">
        <v>406</v>
      </c>
      <c r="C71" s="112"/>
      <c r="D71" s="112"/>
      <c r="E71" s="112"/>
      <c r="F71" s="15"/>
      <c r="G71" s="15">
        <f t="shared" ref="G71" si="196">G53/G57</f>
        <v>2.767605633802817</v>
      </c>
      <c r="H71" s="15" t="e">
        <f t="shared" ref="H71:I71" si="197">H53/H57</f>
        <v>#DIV/0!</v>
      </c>
      <c r="I71" s="15" t="e">
        <f t="shared" si="197"/>
        <v>#DIV/0!</v>
      </c>
      <c r="J71" s="15" t="e">
        <f t="shared" ref="J71:S71" si="198">J53/J57</f>
        <v>#DIV/0!</v>
      </c>
      <c r="K71" s="15" t="e">
        <f t="shared" si="198"/>
        <v>#DIV/0!</v>
      </c>
      <c r="L71" s="15" t="e">
        <f t="shared" si="198"/>
        <v>#DIV/0!</v>
      </c>
      <c r="M71" s="15">
        <f t="shared" si="198"/>
        <v>2.767605633802817</v>
      </c>
      <c r="N71" s="15">
        <f t="shared" si="198"/>
        <v>4.2625264643613274</v>
      </c>
      <c r="O71" s="15">
        <f t="shared" si="198"/>
        <v>3.9843886526475218</v>
      </c>
      <c r="P71" s="15">
        <f t="shared" si="198"/>
        <v>5.7552280538241982</v>
      </c>
      <c r="Q71" s="15">
        <f t="shared" si="198"/>
        <v>4.8009776536312847</v>
      </c>
      <c r="R71" s="15">
        <f t="shared" si="198"/>
        <v>6.8306010928961749</v>
      </c>
      <c r="S71" s="15">
        <f t="shared" si="198"/>
        <v>7.1408201676837955</v>
      </c>
      <c r="T71" s="15">
        <f>T53/T57</f>
        <v>6.16</v>
      </c>
      <c r="U71" s="15">
        <f>U53/U57</f>
        <v>8.7386934673366827</v>
      </c>
      <c r="V71" s="101">
        <f t="shared" si="173"/>
        <v>0.10518393475555454</v>
      </c>
      <c r="W71" s="110"/>
      <c r="X71" s="96">
        <f>X53/X57</f>
        <v>6.9450980392156856</v>
      </c>
      <c r="Y71" s="96">
        <f t="shared" ref="Y71:AG71" si="199">Y53/Y57</f>
        <v>7.8302575932333705</v>
      </c>
      <c r="Z71" s="96">
        <f t="shared" si="199"/>
        <v>8.8282316002140924</v>
      </c>
      <c r="AA71" s="96">
        <f t="shared" si="199"/>
        <v>9.9533983727903976</v>
      </c>
      <c r="AB71" s="96">
        <f t="shared" si="199"/>
        <v>11.221968753636231</v>
      </c>
      <c r="AC71" s="96">
        <f t="shared" si="199"/>
        <v>12.652219673217319</v>
      </c>
      <c r="AD71" s="96">
        <f t="shared" si="199"/>
        <v>14.264757474705801</v>
      </c>
      <c r="AE71" s="96">
        <f t="shared" si="199"/>
        <v>16.0828147999134</v>
      </c>
      <c r="AF71" s="96">
        <f t="shared" si="199"/>
        <v>18.132585313627853</v>
      </c>
      <c r="AG71" s="96">
        <f t="shared" si="199"/>
        <v>20.443601088894145</v>
      </c>
      <c r="AH71" s="116" t="e">
        <f t="shared" si="194"/>
        <v>#DIV/0!</v>
      </c>
      <c r="AI71" s="21">
        <f t="shared" si="18"/>
        <v>0.05</v>
      </c>
      <c r="AJ71" s="124">
        <f t="shared" si="195"/>
        <v>214.65781143338853</v>
      </c>
    </row>
    <row r="72" spans="2:36">
      <c r="B72" s="10" t="s">
        <v>215</v>
      </c>
      <c r="C72" s="15"/>
      <c r="D72" s="15"/>
      <c r="E72" s="15"/>
      <c r="F72" s="112"/>
      <c r="G72" s="112">
        <f t="shared" ref="G72" si="200">G55/G57</f>
        <v>1.8309859154929577</v>
      </c>
      <c r="H72" s="112" t="e">
        <f t="shared" ref="H72:I72" si="201">H55/H57</f>
        <v>#DIV/0!</v>
      </c>
      <c r="I72" s="112" t="e">
        <f t="shared" si="201"/>
        <v>#DIV/0!</v>
      </c>
      <c r="J72" s="112" t="e">
        <f t="shared" ref="J72:S72" si="202">J55/J57</f>
        <v>#DIV/0!</v>
      </c>
      <c r="K72" s="112" t="e">
        <f t="shared" si="202"/>
        <v>#DIV/0!</v>
      </c>
      <c r="L72" s="112" t="e">
        <f t="shared" si="202"/>
        <v>#DIV/0!</v>
      </c>
      <c r="M72" s="112">
        <f t="shared" si="202"/>
        <v>1.8309859154929577</v>
      </c>
      <c r="N72" s="112">
        <f t="shared" si="202"/>
        <v>2.7593507410021174</v>
      </c>
      <c r="O72" s="112">
        <f t="shared" si="202"/>
        <v>2.6446088425467469</v>
      </c>
      <c r="P72" s="112">
        <f t="shared" si="202"/>
        <v>4.2465194850585428</v>
      </c>
      <c r="Q72" s="112">
        <f t="shared" si="202"/>
        <v>3.4625232774674113</v>
      </c>
      <c r="R72" s="112">
        <f t="shared" si="202"/>
        <v>4.9412858969887221</v>
      </c>
      <c r="S72" s="112">
        <f t="shared" si="202"/>
        <v>4.870815034506359</v>
      </c>
      <c r="T72" s="112">
        <f t="shared" ref="T72:U72" si="203">T55/T57</f>
        <v>5.9542857142857146</v>
      </c>
      <c r="U72" s="112">
        <f t="shared" si="203"/>
        <v>7.3567839195979898</v>
      </c>
      <c r="V72" s="101">
        <f t="shared" si="173"/>
        <v>0.1588256068182754</v>
      </c>
      <c r="W72" s="110"/>
      <c r="X72" s="112">
        <f t="shared" ref="X72:AG72" si="204">X55/X57</f>
        <v>6.7131652661064427</v>
      </c>
      <c r="Y72" s="112">
        <f t="shared" si="204"/>
        <v>7.5687647608062827</v>
      </c>
      <c r="Z72" s="112">
        <f t="shared" si="204"/>
        <v>8.5334112499286512</v>
      </c>
      <c r="AA72" s="112">
        <f t="shared" si="204"/>
        <v>9.6210028798215177</v>
      </c>
      <c r="AB72" s="112">
        <f t="shared" si="204"/>
        <v>10.847209129210533</v>
      </c>
      <c r="AC72" s="112">
        <f t="shared" si="204"/>
        <v>12.229696567247169</v>
      </c>
      <c r="AD72" s="112">
        <f t="shared" si="204"/>
        <v>13.788383384641415</v>
      </c>
      <c r="AE72" s="112">
        <f t="shared" si="204"/>
        <v>15.545726365036888</v>
      </c>
      <c r="AF72" s="112">
        <f t="shared" si="204"/>
        <v>17.527044431169038</v>
      </c>
      <c r="AG72" s="112">
        <f t="shared" si="204"/>
        <v>19.76088342729842</v>
      </c>
      <c r="AH72" s="116" t="e">
        <f t="shared" ref="AH72:AH86" si="205">((AG72/J72)^(1/($AG$3-$K$1) ))-1</f>
        <v>#DIV/0!</v>
      </c>
      <c r="AI72" s="21">
        <f t="shared" si="18"/>
        <v>0.05</v>
      </c>
      <c r="AJ72" s="124">
        <f t="shared" ref="AJ72:AJ100" si="206">(AG72*(1+AI72))/($C$1-AI72)</f>
        <v>207.48927598663346</v>
      </c>
    </row>
    <row r="73" spans="2:36">
      <c r="B73" s="10" t="s">
        <v>333</v>
      </c>
      <c r="C73" s="112"/>
      <c r="D73" s="112"/>
      <c r="E73" s="112"/>
      <c r="F73" s="112"/>
      <c r="G73" s="112">
        <f t="shared" ref="G73" si="207">G20/G57</f>
        <v>0</v>
      </c>
      <c r="H73" s="112" t="e">
        <f t="shared" ref="H73:I73" si="208">H20/H57</f>
        <v>#DIV/0!</v>
      </c>
      <c r="I73" s="112" t="e">
        <f t="shared" si="208"/>
        <v>#DIV/0!</v>
      </c>
      <c r="J73" s="112" t="e">
        <f>J20/J57</f>
        <v>#DIV/0!</v>
      </c>
      <c r="K73" s="112" t="e">
        <f t="shared" ref="K73:S73" si="209">K20/K57</f>
        <v>#DIV/0!</v>
      </c>
      <c r="L73" s="112" t="e">
        <f t="shared" si="209"/>
        <v>#DIV/0!</v>
      </c>
      <c r="M73" s="112">
        <f t="shared" si="209"/>
        <v>0</v>
      </c>
      <c r="N73" s="112">
        <f t="shared" si="209"/>
        <v>0</v>
      </c>
      <c r="O73" s="112">
        <f t="shared" si="209"/>
        <v>0</v>
      </c>
      <c r="P73" s="112">
        <f t="shared" si="209"/>
        <v>0</v>
      </c>
      <c r="Q73" s="112">
        <f t="shared" si="209"/>
        <v>0</v>
      </c>
      <c r="R73" s="112">
        <f t="shared" si="209"/>
        <v>0</v>
      </c>
      <c r="S73" s="112">
        <f t="shared" si="209"/>
        <v>0</v>
      </c>
      <c r="T73" s="112">
        <f t="shared" ref="T73:U73" si="210">T20/T57</f>
        <v>0</v>
      </c>
      <c r="U73" s="112">
        <f t="shared" si="210"/>
        <v>0</v>
      </c>
      <c r="V73" s="110"/>
      <c r="W73" s="110"/>
      <c r="X73" s="112">
        <f t="shared" ref="X73:AG73" si="211">X20/X57</f>
        <v>0</v>
      </c>
      <c r="Y73" s="112">
        <f t="shared" si="211"/>
        <v>0</v>
      </c>
      <c r="Z73" s="112">
        <f t="shared" si="211"/>
        <v>0</v>
      </c>
      <c r="AA73" s="112">
        <f t="shared" si="211"/>
        <v>0</v>
      </c>
      <c r="AB73" s="112">
        <f t="shared" si="211"/>
        <v>0</v>
      </c>
      <c r="AC73" s="112">
        <f t="shared" si="211"/>
        <v>0</v>
      </c>
      <c r="AD73" s="112">
        <f t="shared" si="211"/>
        <v>0</v>
      </c>
      <c r="AE73" s="112">
        <f t="shared" si="211"/>
        <v>0</v>
      </c>
      <c r="AF73" s="112">
        <f t="shared" si="211"/>
        <v>0</v>
      </c>
      <c r="AG73" s="112">
        <f t="shared" si="211"/>
        <v>0</v>
      </c>
      <c r="AH73" s="116" t="e">
        <f t="shared" ref="AH73" si="212">((AG73/J73)^(1/($AG$3-$K$1) ))-1</f>
        <v>#DIV/0!</v>
      </c>
      <c r="AI73" s="21">
        <f t="shared" si="18"/>
        <v>0.05</v>
      </c>
      <c r="AJ73" s="124">
        <f t="shared" si="206"/>
        <v>0</v>
      </c>
    </row>
    <row r="74" spans="2:36">
      <c r="B74" s="10" t="s">
        <v>203</v>
      </c>
      <c r="C74" s="15"/>
      <c r="D74" s="15"/>
      <c r="E74" s="15"/>
      <c r="F74" s="112"/>
      <c r="G74" s="112">
        <f t="shared" ref="G74" si="213">G7/G57</f>
        <v>11.485915492957746</v>
      </c>
      <c r="H74" s="112" t="e">
        <f t="shared" ref="H74:I74" si="214">H7/H57</f>
        <v>#DIV/0!</v>
      </c>
      <c r="I74" s="112" t="e">
        <f t="shared" si="214"/>
        <v>#DIV/0!</v>
      </c>
      <c r="J74" s="112" t="e">
        <f t="shared" ref="J74:S74" si="215">J7/J57</f>
        <v>#DIV/0!</v>
      </c>
      <c r="K74" s="112" t="e">
        <f t="shared" si="215"/>
        <v>#DIV/0!</v>
      </c>
      <c r="L74" s="112" t="e">
        <f t="shared" si="215"/>
        <v>#DIV/0!</v>
      </c>
      <c r="M74" s="112">
        <f t="shared" si="215"/>
        <v>11.485915492957746</v>
      </c>
      <c r="N74" s="112">
        <f t="shared" si="215"/>
        <v>20.40225829216655</v>
      </c>
      <c r="O74" s="112">
        <f t="shared" si="215"/>
        <v>27.681015902603836</v>
      </c>
      <c r="P74" s="112">
        <f t="shared" si="215"/>
        <v>36.232306168812258</v>
      </c>
      <c r="Q74" s="112">
        <f t="shared" si="215"/>
        <v>39.717178770949722</v>
      </c>
      <c r="R74" s="112">
        <f t="shared" si="215"/>
        <v>44.988954772700843</v>
      </c>
      <c r="S74" s="112">
        <f t="shared" si="215"/>
        <v>47.955284320994693</v>
      </c>
      <c r="T74" s="112">
        <f t="shared" ref="T74:U74" si="216">T7/T57</f>
        <v>52.04</v>
      </c>
      <c r="U74" s="112">
        <f t="shared" si="216"/>
        <v>68.261306532663312</v>
      </c>
      <c r="V74" s="101">
        <f t="shared" si="173"/>
        <v>0.2078735158133127</v>
      </c>
      <c r="W74" s="110"/>
      <c r="X74" s="135">
        <f t="shared" ref="X74:AG74" si="217">X7/X57</f>
        <v>58.672549019607843</v>
      </c>
      <c r="Y74" s="135">
        <f t="shared" si="217"/>
        <v>66.150422914263729</v>
      </c>
      <c r="Z74" s="135">
        <f t="shared" si="217"/>
        <v>74.581359168042439</v>
      </c>
      <c r="AA74" s="135">
        <f t="shared" si="217"/>
        <v>84.08682651298902</v>
      </c>
      <c r="AB74" s="135">
        <f t="shared" si="217"/>
        <v>94.803774990134684</v>
      </c>
      <c r="AC74" s="135">
        <f t="shared" si="217"/>
        <v>106.88660905750477</v>
      </c>
      <c r="AD74" s="135">
        <f t="shared" si="217"/>
        <v>120.50941217267696</v>
      </c>
      <c r="AE74" s="135">
        <f t="shared" si="217"/>
        <v>135.86845490056712</v>
      </c>
      <c r="AF74" s="135">
        <f t="shared" si="217"/>
        <v>153.18502268201195</v>
      </c>
      <c r="AG74" s="135">
        <f t="shared" si="217"/>
        <v>172.70860400422913</v>
      </c>
      <c r="AH74" s="116" t="e">
        <f t="shared" si="205"/>
        <v>#DIV/0!</v>
      </c>
      <c r="AI74" s="21">
        <f t="shared" si="18"/>
        <v>0.05</v>
      </c>
      <c r="AJ74" s="124">
        <f t="shared" si="206"/>
        <v>1813.440342044406</v>
      </c>
    </row>
    <row r="75" spans="2:36">
      <c r="B75" s="10" t="s">
        <v>204</v>
      </c>
      <c r="C75" s="109"/>
      <c r="D75" s="109"/>
      <c r="E75" s="109"/>
      <c r="F75" s="122"/>
      <c r="G75" s="122">
        <f t="shared" ref="G75" si="218">G6/G57</f>
        <v>3.2183098591549295</v>
      </c>
      <c r="H75" s="122" t="e">
        <f t="shared" ref="H75:I75" si="219">H6/H57</f>
        <v>#DIV/0!</v>
      </c>
      <c r="I75" s="122" t="e">
        <f t="shared" si="219"/>
        <v>#DIV/0!</v>
      </c>
      <c r="J75" s="122" t="e">
        <f t="shared" ref="J75:S75" si="220">J6/J57</f>
        <v>#DIV/0!</v>
      </c>
      <c r="K75" s="122" t="e">
        <f t="shared" si="220"/>
        <v>#DIV/0!</v>
      </c>
      <c r="L75" s="122" t="e">
        <f t="shared" si="220"/>
        <v>#DIV/0!</v>
      </c>
      <c r="M75" s="122">
        <f t="shared" si="220"/>
        <v>3.2183098591549295</v>
      </c>
      <c r="N75" s="122">
        <f t="shared" si="220"/>
        <v>10.40225829216655</v>
      </c>
      <c r="O75" s="122">
        <f t="shared" si="220"/>
        <v>17.696743752548496</v>
      </c>
      <c r="P75" s="122">
        <f t="shared" si="220"/>
        <v>21.861711423079164</v>
      </c>
      <c r="Q75" s="122">
        <f t="shared" si="220"/>
        <v>23.90013966480447</v>
      </c>
      <c r="R75" s="122">
        <f t="shared" si="220"/>
        <v>27.066620160446458</v>
      </c>
      <c r="S75" s="122">
        <f t="shared" si="220"/>
        <v>30.359892773626871</v>
      </c>
      <c r="T75" s="122">
        <f t="shared" ref="T75:U75" si="221">T6/T57</f>
        <v>34.4</v>
      </c>
      <c r="U75" s="122">
        <f t="shared" si="221"/>
        <v>53.035175879396988</v>
      </c>
      <c r="V75" s="101">
        <f t="shared" si="173"/>
        <v>0.34467188132354698</v>
      </c>
      <c r="W75" s="110"/>
      <c r="X75" s="134">
        <f t="shared" ref="X75:AG75" si="222">X6/X57</f>
        <v>38.784313725490193</v>
      </c>
      <c r="Y75" s="134">
        <f t="shared" si="222"/>
        <v>43.727412533640901</v>
      </c>
      <c r="Z75" s="134">
        <f t="shared" si="222"/>
        <v>49.300514131065718</v>
      </c>
      <c r="AA75" s="134">
        <f t="shared" si="222"/>
        <v>55.583912990907429</v>
      </c>
      <c r="AB75" s="134">
        <f t="shared" si="222"/>
        <v>62.668137195630912</v>
      </c>
      <c r="AC75" s="134">
        <f t="shared" si="222"/>
        <v>70.655252720564249</v>
      </c>
      <c r="AD75" s="134">
        <f t="shared" si="222"/>
        <v>79.660333949655779</v>
      </c>
      <c r="AE75" s="134">
        <f t="shared" si="222"/>
        <v>89.81312160990602</v>
      </c>
      <c r="AF75" s="134">
        <f t="shared" si="222"/>
        <v>101.25989201116855</v>
      </c>
      <c r="AG75" s="134">
        <f t="shared" si="222"/>
        <v>114.1655645223959</v>
      </c>
      <c r="AH75" s="116" t="e">
        <f t="shared" si="205"/>
        <v>#DIV/0!</v>
      </c>
      <c r="AI75" s="21">
        <f t="shared" si="18"/>
        <v>0.05</v>
      </c>
      <c r="AJ75" s="124">
        <f t="shared" si="206"/>
        <v>1198.738427485157</v>
      </c>
    </row>
    <row r="76" spans="2:36">
      <c r="B76" s="10" t="s">
        <v>205</v>
      </c>
      <c r="C76" s="109"/>
      <c r="D76" s="109"/>
      <c r="E76" s="109"/>
      <c r="F76" s="122"/>
      <c r="G76" s="122">
        <f t="shared" ref="G76" si="223">G10/G57</f>
        <v>0</v>
      </c>
      <c r="H76" s="122" t="e">
        <f t="shared" ref="H76:I76" si="224">H10/H57</f>
        <v>#DIV/0!</v>
      </c>
      <c r="I76" s="122" t="e">
        <f t="shared" si="224"/>
        <v>#DIV/0!</v>
      </c>
      <c r="J76" s="122" t="e">
        <f t="shared" ref="J76:S76" si="225">J10/J57</f>
        <v>#DIV/0!</v>
      </c>
      <c r="K76" s="122" t="e">
        <f t="shared" si="225"/>
        <v>#DIV/0!</v>
      </c>
      <c r="L76" s="122" t="e">
        <f t="shared" si="225"/>
        <v>#DIV/0!</v>
      </c>
      <c r="M76" s="122">
        <f t="shared" si="225"/>
        <v>0</v>
      </c>
      <c r="N76" s="122">
        <f t="shared" si="225"/>
        <v>92.660550458715605</v>
      </c>
      <c r="O76" s="122">
        <f t="shared" si="225"/>
        <v>103.48342750626202</v>
      </c>
      <c r="P76" s="122">
        <f t="shared" si="225"/>
        <v>129.49263121104445</v>
      </c>
      <c r="Q76" s="122">
        <f t="shared" si="225"/>
        <v>208.6417597765363</v>
      </c>
      <c r="R76" s="122">
        <f t="shared" si="225"/>
        <v>244.68085106382978</v>
      </c>
      <c r="S76" s="122">
        <f t="shared" si="225"/>
        <v>294.38772600239548</v>
      </c>
      <c r="T76" s="122">
        <f t="shared" ref="T76:U76" si="226">T10/T57</f>
        <v>341.77714285714285</v>
      </c>
      <c r="U76" s="122">
        <f t="shared" si="226"/>
        <v>300.5577889447236</v>
      </c>
      <c r="V76" s="101" t="e">
        <f t="shared" si="173"/>
        <v>#DIV/0!</v>
      </c>
      <c r="W76" s="110"/>
      <c r="X76" s="134">
        <f t="shared" ref="X76:AG76" si="227">X10/X57</f>
        <v>385.33697478991593</v>
      </c>
      <c r="Y76" s="134">
        <f t="shared" si="227"/>
        <v>434.44855000823856</v>
      </c>
      <c r="Z76" s="134">
        <f t="shared" si="227"/>
        <v>489.81944363673944</v>
      </c>
      <c r="AA76" s="134">
        <f t="shared" si="227"/>
        <v>552.24741194338276</v>
      </c>
      <c r="AB76" s="134">
        <f t="shared" si="227"/>
        <v>622.63188601459808</v>
      </c>
      <c r="AC76" s="134">
        <f t="shared" si="227"/>
        <v>701.98693031057621</v>
      </c>
      <c r="AD76" s="134">
        <f t="shared" si="227"/>
        <v>791.45585280113983</v>
      </c>
      <c r="AE76" s="134">
        <f t="shared" si="227"/>
        <v>892.3276771777555</v>
      </c>
      <c r="AF76" s="134">
        <f t="shared" si="227"/>
        <v>1006.0557144651165</v>
      </c>
      <c r="AG76" s="134">
        <f t="shared" si="227"/>
        <v>1134.2785016028272</v>
      </c>
      <c r="AH76" s="116" t="e">
        <f t="shared" si="205"/>
        <v>#DIV/0!</v>
      </c>
      <c r="AI76" s="21">
        <f t="shared" si="18"/>
        <v>0.05</v>
      </c>
      <c r="AJ76" s="124">
        <f t="shared" si="206"/>
        <v>11909.924266829688</v>
      </c>
    </row>
    <row r="77" spans="2:36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10"/>
      <c r="W77" s="1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>
      <c r="B78" s="10" t="s">
        <v>222</v>
      </c>
      <c r="C78" s="109"/>
      <c r="D78" s="109"/>
      <c r="E78" s="109"/>
      <c r="F78" s="122"/>
      <c r="G78" s="122">
        <f t="shared" ref="G78" si="228">(G7-G10)/G57</f>
        <v>11.485915492957746</v>
      </c>
      <c r="H78" s="122" t="e">
        <f t="shared" ref="H78:I78" si="229">(H7-H10)/H57</f>
        <v>#DIV/0!</v>
      </c>
      <c r="I78" s="122" t="e">
        <f t="shared" si="229"/>
        <v>#DIV/0!</v>
      </c>
      <c r="J78" s="122" t="e">
        <f t="shared" ref="J78:S78" si="230">(J7-J10)/J57</f>
        <v>#DIV/0!</v>
      </c>
      <c r="K78" s="122" t="e">
        <f t="shared" si="230"/>
        <v>#DIV/0!</v>
      </c>
      <c r="L78" s="122" t="e">
        <f t="shared" si="230"/>
        <v>#DIV/0!</v>
      </c>
      <c r="M78" s="122">
        <f t="shared" si="230"/>
        <v>11.485915492957746</v>
      </c>
      <c r="N78" s="122">
        <f t="shared" si="230"/>
        <v>-72.258292166549055</v>
      </c>
      <c r="O78" s="122">
        <f t="shared" si="230"/>
        <v>-75.802411603658186</v>
      </c>
      <c r="P78" s="122">
        <f t="shared" si="230"/>
        <v>-93.260325042232196</v>
      </c>
      <c r="Q78" s="122">
        <f t="shared" si="230"/>
        <v>-168.92458100558659</v>
      </c>
      <c r="R78" s="122">
        <f t="shared" si="230"/>
        <v>-199.69189629112893</v>
      </c>
      <c r="S78" s="122">
        <f t="shared" si="230"/>
        <v>-246.43244168140077</v>
      </c>
      <c r="T78" s="122">
        <f t="shared" ref="T78:U78" si="231">(T7-T10)/T57</f>
        <v>-289.73714285714289</v>
      </c>
      <c r="U78" s="122">
        <f t="shared" si="231"/>
        <v>-232.2964824120603</v>
      </c>
      <c r="V78" s="101" t="e">
        <f t="shared" si="173"/>
        <v>#NUM!</v>
      </c>
      <c r="W78" s="110"/>
      <c r="X78" s="134">
        <f t="shared" ref="X78:AG78" si="232">(X7-X10)/X57</f>
        <v>-326.66442577030807</v>
      </c>
      <c r="Y78" s="134">
        <f t="shared" si="232"/>
        <v>-368.29812709397481</v>
      </c>
      <c r="Z78" s="134">
        <f t="shared" si="232"/>
        <v>-415.23808446869702</v>
      </c>
      <c r="AA78" s="134">
        <f t="shared" si="232"/>
        <v>-468.16058543039372</v>
      </c>
      <c r="AB78" s="134">
        <f t="shared" si="232"/>
        <v>-527.8281110244634</v>
      </c>
      <c r="AC78" s="134">
        <f t="shared" si="232"/>
        <v>-595.10032125307146</v>
      </c>
      <c r="AD78" s="134">
        <f t="shared" si="232"/>
        <v>-670.94644062846294</v>
      </c>
      <c r="AE78" s="134">
        <f t="shared" si="232"/>
        <v>-756.45922227718847</v>
      </c>
      <c r="AF78" s="134">
        <f t="shared" si="232"/>
        <v>-852.87069178310458</v>
      </c>
      <c r="AG78" s="134">
        <f t="shared" si="232"/>
        <v>-961.56989759859812</v>
      </c>
      <c r="AH78" s="116" t="e">
        <f t="shared" si="205"/>
        <v>#DIV/0!</v>
      </c>
      <c r="AI78" s="21">
        <f t="shared" si="18"/>
        <v>0.05</v>
      </c>
      <c r="AJ78" s="124">
        <f t="shared" si="206"/>
        <v>-10096.483924785281</v>
      </c>
    </row>
    <row r="79" spans="2:36">
      <c r="B79" s="10" t="s">
        <v>223</v>
      </c>
      <c r="C79" s="109"/>
      <c r="D79" s="109"/>
      <c r="E79" s="109"/>
      <c r="F79" s="122"/>
      <c r="G79" s="122">
        <f t="shared" ref="G79" si="233">(G7-G10-G9)/G57</f>
        <v>11.485915492957746</v>
      </c>
      <c r="H79" s="122" t="e">
        <f t="shared" ref="H79:I79" si="234">(H7-H10-H9)/H57</f>
        <v>#DIV/0!</v>
      </c>
      <c r="I79" s="122" t="e">
        <f t="shared" si="234"/>
        <v>#DIV/0!</v>
      </c>
      <c r="J79" s="122" t="e">
        <f t="shared" ref="J79:S79" si="235">(J7-J10-J9)/J57</f>
        <v>#DIV/0!</v>
      </c>
      <c r="K79" s="122" t="e">
        <f t="shared" si="235"/>
        <v>#DIV/0!</v>
      </c>
      <c r="L79" s="122" t="e">
        <f t="shared" si="235"/>
        <v>#DIV/0!</v>
      </c>
      <c r="M79" s="122">
        <f t="shared" si="235"/>
        <v>11.485915492957746</v>
      </c>
      <c r="N79" s="122">
        <f t="shared" si="235"/>
        <v>-96.937191249117859</v>
      </c>
      <c r="O79" s="122">
        <f t="shared" si="235"/>
        <v>-100.92619560785228</v>
      </c>
      <c r="P79" s="122">
        <f t="shared" si="235"/>
        <v>-103.65818139453603</v>
      </c>
      <c r="Q79" s="122">
        <f t="shared" si="235"/>
        <v>-179.4110800744879</v>
      </c>
      <c r="R79" s="122">
        <f t="shared" si="235"/>
        <v>-213.28915242413672</v>
      </c>
      <c r="S79" s="122">
        <f t="shared" si="235"/>
        <v>-263.70843552158783</v>
      </c>
      <c r="T79" s="122">
        <f t="shared" ref="T79:U79" si="236">(T7-T10-T9)/T57</f>
        <v>-307.50285714285712</v>
      </c>
      <c r="U79" s="122">
        <f t="shared" si="236"/>
        <v>-247.91959798994975</v>
      </c>
      <c r="V79" s="101" t="e">
        <f t="shared" si="173"/>
        <v>#NUM!</v>
      </c>
      <c r="W79" s="110"/>
      <c r="X79" s="134">
        <f t="shared" ref="X79:AG79" si="237">(X7-X10-X9)/X57</f>
        <v>-346.69439775910359</v>
      </c>
      <c r="Y79" s="134">
        <f t="shared" si="237"/>
        <v>-390.88093864996978</v>
      </c>
      <c r="Z79" s="134">
        <f t="shared" si="237"/>
        <v>-440.69909749751486</v>
      </c>
      <c r="AA79" s="134">
        <f t="shared" si="237"/>
        <v>-496.86662953151188</v>
      </c>
      <c r="AB79" s="134">
        <f t="shared" si="237"/>
        <v>-560.19276858944954</v>
      </c>
      <c r="AC79" s="134">
        <f t="shared" si="237"/>
        <v>-631.58988615477142</v>
      </c>
      <c r="AD79" s="134">
        <f t="shared" si="237"/>
        <v>-712.08663635096786</v>
      </c>
      <c r="AE79" s="134">
        <f t="shared" si="237"/>
        <v>-802.84277627805182</v>
      </c>
      <c r="AF79" s="134">
        <f t="shared" si="237"/>
        <v>-905.16587521545046</v>
      </c>
      <c r="AG79" s="134">
        <f t="shared" si="237"/>
        <v>-1020.5301534291843</v>
      </c>
      <c r="AH79" s="116" t="e">
        <f t="shared" si="205"/>
        <v>#DIV/0!</v>
      </c>
      <c r="AI79" s="21">
        <f t="shared" si="18"/>
        <v>0.05</v>
      </c>
      <c r="AJ79" s="124">
        <f t="shared" si="206"/>
        <v>-10715.566611006438</v>
      </c>
    </row>
    <row r="80" spans="2:36">
      <c r="B80" s="10" t="s">
        <v>228</v>
      </c>
      <c r="C80" s="109"/>
      <c r="D80" s="109"/>
      <c r="E80" s="109"/>
      <c r="F80" s="122"/>
      <c r="G80" s="122">
        <f t="shared" ref="G80" si="238">(G7+G15-G10-G9)/G57</f>
        <v>11.485985915492957</v>
      </c>
      <c r="H80" s="122" t="e">
        <f t="shared" ref="H80:I80" si="239">(H7+H15-H10-H9)/H57</f>
        <v>#DIV/0!</v>
      </c>
      <c r="I80" s="122" t="e">
        <f t="shared" si="239"/>
        <v>#DIV/0!</v>
      </c>
      <c r="J80" s="122" t="e">
        <f t="shared" ref="J80:S80" si="240">(J7+J15-J10-J9)/J57</f>
        <v>#DIV/0!</v>
      </c>
      <c r="K80" s="122" t="e">
        <f t="shared" si="240"/>
        <v>#DIV/0!</v>
      </c>
      <c r="L80" s="122" t="e">
        <f t="shared" si="240"/>
        <v>#DIV/0!</v>
      </c>
      <c r="M80" s="122">
        <f t="shared" si="240"/>
        <v>11.485985915492957</v>
      </c>
      <c r="N80" s="122">
        <f t="shared" si="240"/>
        <v>-95.730416372618208</v>
      </c>
      <c r="O80" s="122">
        <f t="shared" si="240"/>
        <v>-100.2213549251471</v>
      </c>
      <c r="P80" s="122">
        <f t="shared" si="240"/>
        <v>-101.29900390283684</v>
      </c>
      <c r="Q80" s="122">
        <f t="shared" si="240"/>
        <v>-174.67993482309123</v>
      </c>
      <c r="R80" s="122">
        <f t="shared" si="240"/>
        <v>-208.15602836879432</v>
      </c>
      <c r="S80" s="122">
        <f t="shared" si="240"/>
        <v>-261.26732447384927</v>
      </c>
      <c r="T80" s="122">
        <f t="shared" ref="T80:U80" si="241">(T7+T15-T10-T9)/T57</f>
        <v>-303.65714285714284</v>
      </c>
      <c r="U80" s="122">
        <f t="shared" si="241"/>
        <v>-244.53768844221105</v>
      </c>
      <c r="V80" s="101" t="e">
        <f t="shared" si="173"/>
        <v>#NUM!</v>
      </c>
      <c r="W80" s="110"/>
      <c r="X80" s="134">
        <f t="shared" ref="X80:AG80" si="242">(X7+X15-X10-X9)/X57</f>
        <v>-342.35854341736689</v>
      </c>
      <c r="Y80" s="134">
        <f t="shared" si="242"/>
        <v>-385.99247542154109</v>
      </c>
      <c r="Z80" s="134">
        <f t="shared" si="242"/>
        <v>-435.18759483801193</v>
      </c>
      <c r="AA80" s="134">
        <f t="shared" si="242"/>
        <v>-490.65268045462136</v>
      </c>
      <c r="AB80" s="134">
        <f t="shared" si="242"/>
        <v>-553.18684561060252</v>
      </c>
      <c r="AC80" s="134">
        <f t="shared" si="242"/>
        <v>-623.69105142371836</v>
      </c>
      <c r="AD80" s="134">
        <f t="shared" si="242"/>
        <v>-703.18108738948638</v>
      </c>
      <c r="AE80" s="134">
        <f t="shared" si="242"/>
        <v>-792.80220637049911</v>
      </c>
      <c r="AF80" s="134">
        <f t="shared" si="242"/>
        <v>-893.84562482948434</v>
      </c>
      <c r="AG80" s="134">
        <f t="shared" si="242"/>
        <v>-1007.7671260332421</v>
      </c>
      <c r="AH80" s="116" t="e">
        <f t="shared" si="205"/>
        <v>#DIV/0!</v>
      </c>
      <c r="AI80" s="21">
        <f t="shared" si="18"/>
        <v>0.05</v>
      </c>
      <c r="AJ80" s="124">
        <f t="shared" si="206"/>
        <v>-10581.554823349043</v>
      </c>
    </row>
    <row r="81" spans="2:36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10"/>
      <c r="W81" s="1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>
      <c r="B82" s="10" t="s">
        <v>206</v>
      </c>
      <c r="C82" s="109"/>
      <c r="D82" s="109"/>
      <c r="E82" s="109"/>
      <c r="F82" s="122"/>
      <c r="G82" s="122">
        <f t="shared" ref="G82" si="243">G12/G57</f>
        <v>0</v>
      </c>
      <c r="H82" s="122" t="e">
        <f t="shared" ref="H82:I82" si="244">H12/H57</f>
        <v>#DIV/0!</v>
      </c>
      <c r="I82" s="122" t="e">
        <f t="shared" si="244"/>
        <v>#DIV/0!</v>
      </c>
      <c r="J82" s="122" t="e">
        <f t="shared" ref="J82:S82" si="245">J12/J57</f>
        <v>#DIV/0!</v>
      </c>
      <c r="K82" s="122" t="e">
        <f t="shared" si="245"/>
        <v>#DIV/0!</v>
      </c>
      <c r="L82" s="122" t="e">
        <f t="shared" si="245"/>
        <v>#DIV/0!</v>
      </c>
      <c r="M82" s="122">
        <f t="shared" si="245"/>
        <v>0</v>
      </c>
      <c r="N82" s="122">
        <f t="shared" si="245"/>
        <v>1.1503175723359211</v>
      </c>
      <c r="O82" s="122">
        <f t="shared" si="245"/>
        <v>0.6582396458321198</v>
      </c>
      <c r="P82" s="122">
        <f t="shared" si="245"/>
        <v>2.1611230849886414</v>
      </c>
      <c r="Q82" s="122">
        <f t="shared" si="245"/>
        <v>4.5507448789571692</v>
      </c>
      <c r="R82" s="122">
        <f t="shared" si="245"/>
        <v>5.0110452272991513</v>
      </c>
      <c r="S82" s="122">
        <f t="shared" si="245"/>
        <v>2.2928192551189186</v>
      </c>
      <c r="T82" s="122">
        <f t="shared" ref="T82:U82" si="246">T12/T57</f>
        <v>3.3942857142857141</v>
      </c>
      <c r="U82" s="122">
        <f t="shared" si="246"/>
        <v>2.9849246231155777</v>
      </c>
      <c r="V82" s="101" t="e">
        <f t="shared" si="173"/>
        <v>#DIV/0!</v>
      </c>
      <c r="W82" s="110"/>
      <c r="X82" s="134">
        <f t="shared" ref="X82:AG82" si="247">X12/X57</f>
        <v>3.8268907563025203</v>
      </c>
      <c r="Y82" s="134">
        <f t="shared" si="247"/>
        <v>4.3146317350469587</v>
      </c>
      <c r="Z82" s="134">
        <f t="shared" si="247"/>
        <v>4.8645357797098061</v>
      </c>
      <c r="AA82" s="134">
        <f t="shared" si="247"/>
        <v>5.4845256339865465</v>
      </c>
      <c r="AB82" s="134">
        <f t="shared" si="247"/>
        <v>6.1835338030240461</v>
      </c>
      <c r="AC82" s="134">
        <f t="shared" si="247"/>
        <v>6.971631248507502</v>
      </c>
      <c r="AD82" s="134">
        <f t="shared" si="247"/>
        <v>7.8601724860623792</v>
      </c>
      <c r="AE82" s="134">
        <f t="shared" si="247"/>
        <v>8.8619591754624842</v>
      </c>
      <c r="AF82" s="134">
        <f t="shared" si="247"/>
        <v>9.9914245605704473</v>
      </c>
      <c r="AG82" s="134">
        <f t="shared" si="247"/>
        <v>11.264841416329425</v>
      </c>
      <c r="AH82" s="116" t="e">
        <f t="shared" si="205"/>
        <v>#DIV/0!</v>
      </c>
      <c r="AI82" s="21">
        <f t="shared" si="18"/>
        <v>0.05</v>
      </c>
      <c r="AJ82" s="124">
        <f t="shared" si="206"/>
        <v>118.28083487145898</v>
      </c>
    </row>
    <row r="83" spans="2:36">
      <c r="B83" s="10" t="s">
        <v>213</v>
      </c>
      <c r="C83" s="109"/>
      <c r="D83" s="109"/>
      <c r="E83" s="109"/>
      <c r="F83" s="122"/>
      <c r="G83" s="122">
        <f t="shared" ref="G83" si="248">G13/G57</f>
        <v>11.471830985915492</v>
      </c>
      <c r="H83" s="122" t="e">
        <f t="shared" ref="H83:I83" si="249">H13/H57</f>
        <v>#DIV/0!</v>
      </c>
      <c r="I83" s="122" t="e">
        <f t="shared" si="249"/>
        <v>#DIV/0!</v>
      </c>
      <c r="J83" s="122" t="e">
        <f t="shared" ref="J83:S83" si="250">J13/J57</f>
        <v>#DIV/0!</v>
      </c>
      <c r="K83" s="122" t="e">
        <f t="shared" si="250"/>
        <v>#DIV/0!</v>
      </c>
      <c r="L83" s="122" t="e">
        <f t="shared" si="250"/>
        <v>#DIV/0!</v>
      </c>
      <c r="M83" s="122">
        <f t="shared" si="250"/>
        <v>11.471830985915492</v>
      </c>
      <c r="N83" s="122">
        <f t="shared" si="250"/>
        <v>5.1658433309809464</v>
      </c>
      <c r="O83" s="122">
        <f t="shared" si="250"/>
        <v>4.4795246694238946</v>
      </c>
      <c r="P83" s="122">
        <f t="shared" si="250"/>
        <v>10.729888740024466</v>
      </c>
      <c r="Q83" s="122">
        <f t="shared" si="250"/>
        <v>15.886871508379889</v>
      </c>
      <c r="R83" s="122">
        <f t="shared" si="250"/>
        <v>15.399372166027206</v>
      </c>
      <c r="S83" s="122">
        <f t="shared" si="250"/>
        <v>20.321679119374892</v>
      </c>
      <c r="T83" s="122">
        <f t="shared" ref="T83:U83" si="251">T13/T57</f>
        <v>34.348571428571425</v>
      </c>
      <c r="U83" s="122">
        <f t="shared" si="251"/>
        <v>30.206030150753769</v>
      </c>
      <c r="V83" s="101">
        <f t="shared" si="173"/>
        <v>0.14692360846383723</v>
      </c>
      <c r="W83" s="110"/>
      <c r="X83" s="134">
        <f t="shared" ref="X83:AG83" si="252">X13/X57</f>
        <v>38.726330532212884</v>
      </c>
      <c r="Y83" s="134">
        <f t="shared" si="252"/>
        <v>43.662039325534131</v>
      </c>
      <c r="Z83" s="134">
        <f t="shared" si="252"/>
        <v>49.226809043494356</v>
      </c>
      <c r="AA83" s="134">
        <f t="shared" si="252"/>
        <v>55.500814117665207</v>
      </c>
      <c r="AB83" s="134">
        <f t="shared" si="252"/>
        <v>62.574447289524493</v>
      </c>
      <c r="AC83" s="134">
        <f t="shared" si="252"/>
        <v>70.549621944071731</v>
      </c>
      <c r="AD83" s="134">
        <f t="shared" si="252"/>
        <v>79.541240427139698</v>
      </c>
      <c r="AE83" s="134">
        <f t="shared" si="252"/>
        <v>89.678849501186889</v>
      </c>
      <c r="AF83" s="134">
        <f t="shared" si="252"/>
        <v>101.10850679055385</v>
      </c>
      <c r="AG83" s="134">
        <f t="shared" si="252"/>
        <v>113.99488510699696</v>
      </c>
      <c r="AH83" s="116" t="e">
        <f t="shared" si="205"/>
        <v>#DIV/0!</v>
      </c>
      <c r="AI83" s="21">
        <f t="shared" si="18"/>
        <v>0.05</v>
      </c>
      <c r="AJ83" s="124">
        <f t="shared" si="206"/>
        <v>1196.9462936234684</v>
      </c>
    </row>
    <row r="84" spans="2:36">
      <c r="B84" s="10" t="s">
        <v>214</v>
      </c>
      <c r="C84" s="109"/>
      <c r="D84" s="109"/>
      <c r="E84" s="109"/>
      <c r="F84" s="122"/>
      <c r="G84" s="122">
        <f t="shared" ref="G84" si="253">(G82+G83)</f>
        <v>11.471830985915492</v>
      </c>
      <c r="H84" s="122" t="e">
        <f t="shared" ref="H84:I84" si="254">(H82+H83)</f>
        <v>#DIV/0!</v>
      </c>
      <c r="I84" s="122" t="e">
        <f t="shared" si="254"/>
        <v>#DIV/0!</v>
      </c>
      <c r="J84" s="122" t="e">
        <f t="shared" ref="J84:S84" si="255">(J82+J83)</f>
        <v>#DIV/0!</v>
      </c>
      <c r="K84" s="122" t="e">
        <f t="shared" si="255"/>
        <v>#DIV/0!</v>
      </c>
      <c r="L84" s="122" t="e">
        <f t="shared" si="255"/>
        <v>#DIV/0!</v>
      </c>
      <c r="M84" s="122">
        <f t="shared" si="255"/>
        <v>11.471830985915492</v>
      </c>
      <c r="N84" s="122">
        <f t="shared" si="255"/>
        <v>6.3161609033168675</v>
      </c>
      <c r="O84" s="122">
        <f t="shared" si="255"/>
        <v>5.137764315256014</v>
      </c>
      <c r="P84" s="122">
        <f t="shared" si="255"/>
        <v>12.891011825013107</v>
      </c>
      <c r="Q84" s="122">
        <f t="shared" si="255"/>
        <v>20.437616387337059</v>
      </c>
      <c r="R84" s="122">
        <f t="shared" ref="R84" si="256">(R82+R83)</f>
        <v>20.410417393326355</v>
      </c>
      <c r="S84" s="122">
        <f t="shared" si="255"/>
        <v>22.61449837449381</v>
      </c>
      <c r="T84" s="122">
        <f t="shared" ref="T84:U84" si="257">(T82+T83)</f>
        <v>37.74285714285714</v>
      </c>
      <c r="U84" s="122">
        <f t="shared" si="257"/>
        <v>33.190954773869343</v>
      </c>
      <c r="V84" s="101">
        <f t="shared" si="173"/>
        <v>0.1605136530978255</v>
      </c>
      <c r="W84" s="110"/>
      <c r="X84" s="134">
        <f t="shared" ref="X84:AG84" si="258">(X82+X83)</f>
        <v>42.553221288515402</v>
      </c>
      <c r="Y84" s="134">
        <f t="shared" si="258"/>
        <v>47.97667106058109</v>
      </c>
      <c r="Z84" s="134">
        <f t="shared" si="258"/>
        <v>54.09134482320416</v>
      </c>
      <c r="AA84" s="134">
        <f t="shared" si="258"/>
        <v>60.98533975165175</v>
      </c>
      <c r="AB84" s="134">
        <f t="shared" si="258"/>
        <v>68.757981092548533</v>
      </c>
      <c r="AC84" s="134">
        <f t="shared" si="258"/>
        <v>77.521253192579238</v>
      </c>
      <c r="AD84" s="134">
        <f t="shared" si="258"/>
        <v>87.40141291320208</v>
      </c>
      <c r="AE84" s="134">
        <f t="shared" si="258"/>
        <v>98.540808676649377</v>
      </c>
      <c r="AF84" s="134">
        <f t="shared" si="258"/>
        <v>111.0999313511243</v>
      </c>
      <c r="AG84" s="134">
        <f t="shared" si="258"/>
        <v>125.25972652332638</v>
      </c>
      <c r="AH84" s="116" t="e">
        <f t="shared" si="205"/>
        <v>#DIV/0!</v>
      </c>
      <c r="AI84" s="21">
        <f t="shared" si="18"/>
        <v>0.05</v>
      </c>
      <c r="AJ84" s="124">
        <f t="shared" si="206"/>
        <v>1315.2271284949272</v>
      </c>
    </row>
    <row r="85" spans="2:36">
      <c r="B85" s="10" t="s">
        <v>207</v>
      </c>
      <c r="C85" s="109"/>
      <c r="D85" s="109"/>
      <c r="E85" s="109"/>
      <c r="F85" s="122"/>
      <c r="G85" s="122">
        <f t="shared" ref="G85" si="259">G15/G57</f>
        <v>7.0422535211267609E-5</v>
      </c>
      <c r="H85" s="122" t="e">
        <f t="shared" ref="H85:I85" si="260">H15/H57</f>
        <v>#DIV/0!</v>
      </c>
      <c r="I85" s="122" t="e">
        <f t="shared" si="260"/>
        <v>#DIV/0!</v>
      </c>
      <c r="J85" s="122" t="e">
        <f t="shared" ref="J85:S85" si="261">J15/J57</f>
        <v>#DIV/0!</v>
      </c>
      <c r="K85" s="122" t="e">
        <f t="shared" si="261"/>
        <v>#DIV/0!</v>
      </c>
      <c r="L85" s="122" t="e">
        <f t="shared" si="261"/>
        <v>#DIV/0!</v>
      </c>
      <c r="M85" s="122">
        <f t="shared" si="261"/>
        <v>7.0422535211267609E-5</v>
      </c>
      <c r="N85" s="122">
        <f t="shared" si="261"/>
        <v>1.2067748764996473</v>
      </c>
      <c r="O85" s="122">
        <f t="shared" si="261"/>
        <v>0.70484068270519029</v>
      </c>
      <c r="P85" s="122">
        <f t="shared" si="261"/>
        <v>2.3591774916991906</v>
      </c>
      <c r="Q85" s="122">
        <f t="shared" si="261"/>
        <v>4.7311452513966481</v>
      </c>
      <c r="R85" s="122">
        <f t="shared" si="261"/>
        <v>5.1331240553424013</v>
      </c>
      <c r="S85" s="122">
        <f t="shared" si="261"/>
        <v>2.4411110477385498</v>
      </c>
      <c r="T85" s="122">
        <f t="shared" ref="T85:U85" si="262">T15/T57</f>
        <v>3.8457142857142856</v>
      </c>
      <c r="U85" s="122">
        <f t="shared" si="262"/>
        <v>3.3819095477386933</v>
      </c>
      <c r="V85" s="101">
        <f t="shared" si="173"/>
        <v>2.909832659164739</v>
      </c>
      <c r="W85" s="110"/>
      <c r="X85" s="134">
        <f t="shared" ref="X85:AG85" si="263">X15/X57</f>
        <v>4.3358543417366944</v>
      </c>
      <c r="Y85" s="134">
        <f t="shared" si="263"/>
        <v>4.888463228428626</v>
      </c>
      <c r="Z85" s="134">
        <f t="shared" si="263"/>
        <v>5.5115026595028622</v>
      </c>
      <c r="AA85" s="134">
        <f t="shared" si="263"/>
        <v>6.2139490768904819</v>
      </c>
      <c r="AB85" s="134">
        <f t="shared" si="263"/>
        <v>7.00592297884711</v>
      </c>
      <c r="AC85" s="134">
        <f t="shared" si="263"/>
        <v>7.8988347310531131</v>
      </c>
      <c r="AD85" s="134">
        <f t="shared" si="263"/>
        <v>8.9055489614814505</v>
      </c>
      <c r="AE85" s="134">
        <f t="shared" si="263"/>
        <v>10.040569907552614</v>
      </c>
      <c r="AF85" s="134">
        <f t="shared" si="263"/>
        <v>11.320250385966181</v>
      </c>
      <c r="AG85" s="134">
        <f t="shared" si="263"/>
        <v>12.763027395942263</v>
      </c>
      <c r="AH85" s="116" t="e">
        <f t="shared" si="205"/>
        <v>#DIV/0!</v>
      </c>
      <c r="AI85" s="21">
        <f t="shared" si="18"/>
        <v>0.05</v>
      </c>
      <c r="AJ85" s="124">
        <f t="shared" si="206"/>
        <v>134.0117876573938</v>
      </c>
    </row>
    <row r="86" spans="2:36">
      <c r="B86" s="10" t="s">
        <v>208</v>
      </c>
      <c r="C86" s="109"/>
      <c r="D86" s="109"/>
      <c r="E86" s="109"/>
      <c r="F86" s="122"/>
      <c r="G86" s="122">
        <f t="shared" ref="G86" si="264">G16/G57</f>
        <v>1.4929577464788733E-2</v>
      </c>
      <c r="H86" s="122" t="e">
        <f t="shared" ref="H86:I86" si="265">H16/H57</f>
        <v>#DIV/0!</v>
      </c>
      <c r="I86" s="122" t="e">
        <f t="shared" si="265"/>
        <v>#DIV/0!</v>
      </c>
      <c r="J86" s="122" t="e">
        <f t="shared" ref="J86:S86" si="266">J16/J57</f>
        <v>#DIV/0!</v>
      </c>
      <c r="K86" s="122" t="e">
        <f t="shared" si="266"/>
        <v>#DIV/0!</v>
      </c>
      <c r="L86" s="122" t="e">
        <f t="shared" si="266"/>
        <v>#DIV/0!</v>
      </c>
      <c r="M86" s="122">
        <f t="shared" si="266"/>
        <v>1.4929577464788733E-2</v>
      </c>
      <c r="N86" s="122">
        <f t="shared" si="266"/>
        <v>104.27664079040227</v>
      </c>
      <c r="O86" s="122">
        <f t="shared" si="266"/>
        <v>123.45779693598183</v>
      </c>
      <c r="P86" s="122">
        <f t="shared" si="266"/>
        <v>147.88256538707986</v>
      </c>
      <c r="Q86" s="122">
        <f t="shared" si="266"/>
        <v>224.51699255121042</v>
      </c>
      <c r="R86" s="122">
        <f t="shared" si="266"/>
        <v>266.96895709801186</v>
      </c>
      <c r="S86" s="122">
        <f t="shared" si="266"/>
        <v>314.98317458506813</v>
      </c>
      <c r="T86" s="122">
        <f t="shared" ref="T86:U86" si="267">T16/T57</f>
        <v>353.06857142857143</v>
      </c>
      <c r="U86" s="122">
        <f t="shared" si="267"/>
        <v>310.48743718592965</v>
      </c>
      <c r="V86" s="101">
        <f t="shared" si="173"/>
        <v>2.5214898663252092</v>
      </c>
      <c r="W86" s="110"/>
      <c r="X86" s="134">
        <f t="shared" ref="X86:AG86" si="268">X16/X57</f>
        <v>398.06750700280105</v>
      </c>
      <c r="Y86" s="134">
        <f t="shared" si="268"/>
        <v>448.80160103256981</v>
      </c>
      <c r="Z86" s="134">
        <f t="shared" si="268"/>
        <v>506.00180508574044</v>
      </c>
      <c r="AA86" s="134">
        <f t="shared" si="268"/>
        <v>570.49223122411911</v>
      </c>
      <c r="AB86" s="134">
        <f t="shared" si="268"/>
        <v>643.20202539974207</v>
      </c>
      <c r="AC86" s="134">
        <f t="shared" si="268"/>
        <v>725.17875412716</v>
      </c>
      <c r="AD86" s="134">
        <f t="shared" si="268"/>
        <v>817.60349730022938</v>
      </c>
      <c r="AE86" s="134">
        <f t="shared" si="268"/>
        <v>921.80786460319962</v>
      </c>
      <c r="AF86" s="134">
        <f t="shared" si="268"/>
        <v>1039.293180680078</v>
      </c>
      <c r="AG86" s="134">
        <f t="shared" si="268"/>
        <v>1171.7521154726369</v>
      </c>
      <c r="AH86" s="116" t="e">
        <f t="shared" si="205"/>
        <v>#DIV/0!</v>
      </c>
      <c r="AI86" s="115"/>
      <c r="AJ86" s="124">
        <f t="shared" si="206"/>
        <v>7811.6807698175799</v>
      </c>
    </row>
    <row r="87" spans="2:36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10"/>
      <c r="W87" s="1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8"/>
        <v>0.05</v>
      </c>
      <c r="AJ87" s="124">
        <f t="shared" si="206"/>
        <v>0</v>
      </c>
    </row>
    <row r="88" spans="2:36">
      <c r="B88" s="10" t="s">
        <v>233</v>
      </c>
      <c r="C88" s="136"/>
      <c r="D88" s="136"/>
      <c r="E88" s="136"/>
      <c r="F88" s="136"/>
      <c r="G88" s="136">
        <f t="shared" ref="G88" si="269">G59</f>
        <v>0.01</v>
      </c>
      <c r="H88" s="136">
        <f t="shared" ref="H88:I88" si="270">H59</f>
        <v>0</v>
      </c>
      <c r="I88" s="136">
        <f t="shared" si="270"/>
        <v>0</v>
      </c>
      <c r="J88" s="136">
        <f t="shared" ref="J88:S88" si="271">J59</f>
        <v>0</v>
      </c>
      <c r="K88" s="136">
        <f t="shared" si="271"/>
        <v>0</v>
      </c>
      <c r="L88" s="136">
        <f t="shared" si="271"/>
        <v>0</v>
      </c>
      <c r="M88" s="136">
        <f t="shared" si="271"/>
        <v>0</v>
      </c>
      <c r="N88" s="136">
        <f t="shared" si="271"/>
        <v>0</v>
      </c>
      <c r="O88" s="136">
        <f t="shared" si="271"/>
        <v>0</v>
      </c>
      <c r="P88" s="136">
        <f t="shared" si="271"/>
        <v>0.75</v>
      </c>
      <c r="Q88" s="136">
        <f t="shared" si="271"/>
        <v>0.75</v>
      </c>
      <c r="R88" s="136">
        <f t="shared" si="271"/>
        <v>0.8</v>
      </c>
      <c r="S88" s="136">
        <f t="shared" si="271"/>
        <v>0.8</v>
      </c>
      <c r="T88" s="136">
        <f t="shared" ref="T88:U88" si="272">T59</f>
        <v>0.8</v>
      </c>
      <c r="U88" s="136">
        <f t="shared" si="272"/>
        <v>1</v>
      </c>
      <c r="V88" s="101">
        <f t="shared" si="173"/>
        <v>0.72936334020426163</v>
      </c>
      <c r="W88" s="110"/>
      <c r="X88" s="136">
        <f t="shared" ref="X88:AG88" si="273">X59</f>
        <v>0.81600000000000006</v>
      </c>
      <c r="Y88" s="136">
        <f t="shared" si="273"/>
        <v>0.83232000000000006</v>
      </c>
      <c r="Z88" s="136">
        <f t="shared" si="273"/>
        <v>0.84896640000000012</v>
      </c>
      <c r="AA88" s="136">
        <f t="shared" si="273"/>
        <v>0.86594572800000014</v>
      </c>
      <c r="AB88" s="136">
        <f t="shared" si="273"/>
        <v>0.88326464256000015</v>
      </c>
      <c r="AC88" s="136">
        <f t="shared" si="273"/>
        <v>0.90092993541120014</v>
      </c>
      <c r="AD88" s="136">
        <f t="shared" si="273"/>
        <v>0.91894853411942412</v>
      </c>
      <c r="AE88" s="136">
        <f t="shared" si="273"/>
        <v>0.93732750480181259</v>
      </c>
      <c r="AF88" s="136">
        <f t="shared" si="273"/>
        <v>0.95607405489784891</v>
      </c>
      <c r="AG88" s="136">
        <f t="shared" si="273"/>
        <v>0.97519553599580588</v>
      </c>
      <c r="AH88" s="116" t="e">
        <f t="shared" ref="AH88" si="274">((AG88/J88)^(1/($AG$3-$K$1) ))-1</f>
        <v>#DIV/0!</v>
      </c>
      <c r="AI88" s="21">
        <f t="shared" si="18"/>
        <v>0.05</v>
      </c>
      <c r="AJ88" s="124">
        <f t="shared" si="206"/>
        <v>10.239553127955963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10"/>
      <c r="W89" s="1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>
      <c r="B90" s="10" t="s">
        <v>263</v>
      </c>
      <c r="C90" s="109"/>
      <c r="D90" s="109"/>
      <c r="E90" s="109"/>
      <c r="F90" s="122"/>
      <c r="G90" s="122">
        <f t="shared" ref="G90" si="275">G20+G21</f>
        <v>0</v>
      </c>
      <c r="H90" s="122">
        <f t="shared" ref="H90:I90" si="276">H20+H21</f>
        <v>0</v>
      </c>
      <c r="I90" s="122">
        <f t="shared" si="276"/>
        <v>0</v>
      </c>
      <c r="J90" s="122">
        <f t="shared" ref="J90:S90" si="277">J20+J21</f>
        <v>0</v>
      </c>
      <c r="K90" s="122">
        <f t="shared" si="277"/>
        <v>0</v>
      </c>
      <c r="L90" s="122">
        <f t="shared" si="277"/>
        <v>0</v>
      </c>
      <c r="M90" s="122">
        <f t="shared" si="277"/>
        <v>0</v>
      </c>
      <c r="N90" s="122">
        <f t="shared" si="277"/>
        <v>0</v>
      </c>
      <c r="O90" s="122">
        <f t="shared" si="277"/>
        <v>0</v>
      </c>
      <c r="P90" s="122">
        <f t="shared" si="277"/>
        <v>0</v>
      </c>
      <c r="Q90" s="122">
        <f t="shared" si="277"/>
        <v>0</v>
      </c>
      <c r="R90" s="122">
        <f t="shared" si="277"/>
        <v>0</v>
      </c>
      <c r="S90" s="122">
        <f t="shared" si="277"/>
        <v>0</v>
      </c>
      <c r="T90" s="122">
        <f t="shared" ref="T90:U90" si="278">T20+T21</f>
        <v>0</v>
      </c>
      <c r="U90" s="122">
        <f t="shared" si="278"/>
        <v>0</v>
      </c>
      <c r="V90" s="101" t="e">
        <f t="shared" si="173"/>
        <v>#DIV/0!</v>
      </c>
      <c r="W90" s="110"/>
      <c r="X90" s="122">
        <f t="shared" ref="X90:AG90" si="279">X20+X21</f>
        <v>0</v>
      </c>
      <c r="Y90" s="122">
        <f t="shared" si="279"/>
        <v>0</v>
      </c>
      <c r="Z90" s="122">
        <f t="shared" si="279"/>
        <v>0</v>
      </c>
      <c r="AA90" s="122">
        <f t="shared" si="279"/>
        <v>0</v>
      </c>
      <c r="AB90" s="122">
        <f t="shared" si="279"/>
        <v>0</v>
      </c>
      <c r="AC90" s="122">
        <f t="shared" si="279"/>
        <v>0</v>
      </c>
      <c r="AD90" s="122">
        <f t="shared" si="279"/>
        <v>0</v>
      </c>
      <c r="AE90" s="122">
        <f t="shared" si="279"/>
        <v>0</v>
      </c>
      <c r="AF90" s="122">
        <f t="shared" si="279"/>
        <v>0</v>
      </c>
      <c r="AG90" s="122">
        <f t="shared" si="279"/>
        <v>0</v>
      </c>
      <c r="AH90" s="116" t="e">
        <f t="shared" ref="AH90:AH95" si="280">((AG90/J90)^(1/($AG$3-$K$1) ))-1</f>
        <v>#DIV/0!</v>
      </c>
      <c r="AI90" s="21">
        <f t="shared" si="18"/>
        <v>0.05</v>
      </c>
      <c r="AJ90" s="124">
        <f t="shared" si="206"/>
        <v>0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10"/>
      <c r="W91" s="1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>
      <c r="B92" s="10" t="s">
        <v>264</v>
      </c>
      <c r="C92" s="109"/>
      <c r="D92" s="109"/>
      <c r="E92" s="109"/>
      <c r="F92" s="122"/>
      <c r="G92" s="122">
        <f t="shared" ref="G92" si="281">G90/G57</f>
        <v>0</v>
      </c>
      <c r="H92" s="122" t="e">
        <f t="shared" ref="H92:I92" si="282">H90/H57</f>
        <v>#DIV/0!</v>
      </c>
      <c r="I92" s="122" t="e">
        <f t="shared" si="282"/>
        <v>#DIV/0!</v>
      </c>
      <c r="J92" s="122" t="e">
        <f t="shared" ref="J92:S92" si="283">J90/J57</f>
        <v>#DIV/0!</v>
      </c>
      <c r="K92" s="122" t="e">
        <f t="shared" si="283"/>
        <v>#DIV/0!</v>
      </c>
      <c r="L92" s="122" t="e">
        <f t="shared" si="283"/>
        <v>#DIV/0!</v>
      </c>
      <c r="M92" s="122">
        <f t="shared" si="283"/>
        <v>0</v>
      </c>
      <c r="N92" s="122">
        <f t="shared" si="283"/>
        <v>0</v>
      </c>
      <c r="O92" s="122">
        <f t="shared" si="283"/>
        <v>0</v>
      </c>
      <c r="P92" s="122">
        <f t="shared" si="283"/>
        <v>0</v>
      </c>
      <c r="Q92" s="122">
        <f t="shared" si="283"/>
        <v>0</v>
      </c>
      <c r="R92" s="122">
        <f t="shared" si="283"/>
        <v>0</v>
      </c>
      <c r="S92" s="122">
        <f t="shared" si="283"/>
        <v>0</v>
      </c>
      <c r="T92" s="122">
        <f t="shared" ref="T92:U92" si="284">T90/T57</f>
        <v>0</v>
      </c>
      <c r="U92" s="122">
        <f t="shared" si="284"/>
        <v>0</v>
      </c>
      <c r="V92" s="101" t="e">
        <f t="shared" si="173"/>
        <v>#DIV/0!</v>
      </c>
      <c r="W92" s="110"/>
      <c r="X92" s="124">
        <f t="shared" ref="X92:AG92" si="285">X90/X57</f>
        <v>0</v>
      </c>
      <c r="Y92" s="124">
        <f t="shared" si="285"/>
        <v>0</v>
      </c>
      <c r="Z92" s="124">
        <f t="shared" si="285"/>
        <v>0</v>
      </c>
      <c r="AA92" s="124">
        <f t="shared" si="285"/>
        <v>0</v>
      </c>
      <c r="AB92" s="124">
        <f t="shared" si="285"/>
        <v>0</v>
      </c>
      <c r="AC92" s="124">
        <f t="shared" si="285"/>
        <v>0</v>
      </c>
      <c r="AD92" s="124">
        <f t="shared" si="285"/>
        <v>0</v>
      </c>
      <c r="AE92" s="124">
        <f t="shared" si="285"/>
        <v>0</v>
      </c>
      <c r="AF92" s="124">
        <f t="shared" si="285"/>
        <v>0</v>
      </c>
      <c r="AG92" s="124">
        <f t="shared" si="285"/>
        <v>0</v>
      </c>
      <c r="AH92" s="116" t="e">
        <f t="shared" si="280"/>
        <v>#DIV/0!</v>
      </c>
      <c r="AI92" s="21">
        <f t="shared" si="18"/>
        <v>0.05</v>
      </c>
      <c r="AJ92" s="124">
        <f t="shared" si="206"/>
        <v>0</v>
      </c>
    </row>
    <row r="93" spans="2:36">
      <c r="B93" s="10" t="s">
        <v>237</v>
      </c>
      <c r="C93" s="109"/>
      <c r="D93" s="109"/>
      <c r="E93" s="109"/>
      <c r="F93" s="122"/>
      <c r="G93" s="122">
        <f t="shared" ref="G93" si="286">G20/G57</f>
        <v>0</v>
      </c>
      <c r="H93" s="122" t="e">
        <f t="shared" ref="H93:I93" si="287">H20/H57</f>
        <v>#DIV/0!</v>
      </c>
      <c r="I93" s="122" t="e">
        <f t="shared" si="287"/>
        <v>#DIV/0!</v>
      </c>
      <c r="J93" s="122" t="e">
        <f t="shared" ref="J93:S93" si="288">J20/J57</f>
        <v>#DIV/0!</v>
      </c>
      <c r="K93" s="122" t="e">
        <f t="shared" si="288"/>
        <v>#DIV/0!</v>
      </c>
      <c r="L93" s="122" t="e">
        <f t="shared" si="288"/>
        <v>#DIV/0!</v>
      </c>
      <c r="M93" s="122">
        <f t="shared" si="288"/>
        <v>0</v>
      </c>
      <c r="N93" s="122">
        <f t="shared" si="288"/>
        <v>0</v>
      </c>
      <c r="O93" s="122">
        <f t="shared" si="288"/>
        <v>0</v>
      </c>
      <c r="P93" s="122">
        <f t="shared" si="288"/>
        <v>0</v>
      </c>
      <c r="Q93" s="122">
        <f t="shared" si="288"/>
        <v>0</v>
      </c>
      <c r="R93" s="122">
        <f t="shared" si="288"/>
        <v>0</v>
      </c>
      <c r="S93" s="122">
        <f t="shared" si="288"/>
        <v>0</v>
      </c>
      <c r="T93" s="122">
        <f t="shared" ref="T93:U93" si="289">T20/T57</f>
        <v>0</v>
      </c>
      <c r="U93" s="122">
        <f t="shared" si="289"/>
        <v>0</v>
      </c>
      <c r="V93" s="101" t="e">
        <f t="shared" si="173"/>
        <v>#DIV/0!</v>
      </c>
      <c r="W93" s="110"/>
      <c r="X93" s="124">
        <f t="shared" ref="X93:AG93" si="290">X20/X57</f>
        <v>0</v>
      </c>
      <c r="Y93" s="124">
        <f t="shared" si="290"/>
        <v>0</v>
      </c>
      <c r="Z93" s="124">
        <f t="shared" si="290"/>
        <v>0</v>
      </c>
      <c r="AA93" s="124">
        <f t="shared" si="290"/>
        <v>0</v>
      </c>
      <c r="AB93" s="124">
        <f t="shared" si="290"/>
        <v>0</v>
      </c>
      <c r="AC93" s="124">
        <f t="shared" si="290"/>
        <v>0</v>
      </c>
      <c r="AD93" s="124">
        <f t="shared" si="290"/>
        <v>0</v>
      </c>
      <c r="AE93" s="124">
        <f t="shared" si="290"/>
        <v>0</v>
      </c>
      <c r="AF93" s="124">
        <f t="shared" si="290"/>
        <v>0</v>
      </c>
      <c r="AG93" s="124">
        <f t="shared" si="290"/>
        <v>0</v>
      </c>
      <c r="AH93" s="116" t="e">
        <f t="shared" si="280"/>
        <v>#DIV/0!</v>
      </c>
      <c r="AI93" s="21">
        <f t="shared" si="18"/>
        <v>0.05</v>
      </c>
      <c r="AJ93" s="124">
        <f t="shared" si="206"/>
        <v>0</v>
      </c>
    </row>
    <row r="94" spans="2:36">
      <c r="B94" s="10" t="s">
        <v>238</v>
      </c>
      <c r="C94" s="109"/>
      <c r="D94" s="109"/>
      <c r="E94" s="109"/>
      <c r="F94" s="122"/>
      <c r="G94" s="122">
        <f t="shared" ref="G94" si="291">G21/G57</f>
        <v>0</v>
      </c>
      <c r="H94" s="122" t="e">
        <f t="shared" ref="H94:I94" si="292">H21/H57</f>
        <v>#DIV/0!</v>
      </c>
      <c r="I94" s="122" t="e">
        <f t="shared" si="292"/>
        <v>#DIV/0!</v>
      </c>
      <c r="J94" s="122" t="e">
        <f t="shared" ref="J94:S94" si="293">J21/J57</f>
        <v>#DIV/0!</v>
      </c>
      <c r="K94" s="122" t="e">
        <f t="shared" si="293"/>
        <v>#DIV/0!</v>
      </c>
      <c r="L94" s="122" t="e">
        <f t="shared" si="293"/>
        <v>#DIV/0!</v>
      </c>
      <c r="M94" s="122">
        <f t="shared" si="293"/>
        <v>0</v>
      </c>
      <c r="N94" s="122">
        <f t="shared" si="293"/>
        <v>0</v>
      </c>
      <c r="O94" s="122">
        <f t="shared" si="293"/>
        <v>0</v>
      </c>
      <c r="P94" s="122">
        <f t="shared" si="293"/>
        <v>0</v>
      </c>
      <c r="Q94" s="122">
        <f t="shared" si="293"/>
        <v>0</v>
      </c>
      <c r="R94" s="122">
        <f t="shared" si="293"/>
        <v>0</v>
      </c>
      <c r="S94" s="122">
        <f t="shared" si="293"/>
        <v>0</v>
      </c>
      <c r="T94" s="122">
        <f t="shared" ref="T94:U94" si="294">T21/T57</f>
        <v>0</v>
      </c>
      <c r="U94" s="122">
        <f t="shared" si="294"/>
        <v>0</v>
      </c>
      <c r="V94" s="101" t="e">
        <f t="shared" si="173"/>
        <v>#DIV/0!</v>
      </c>
      <c r="W94" s="110"/>
      <c r="X94" s="124">
        <f t="shared" ref="X94:AG94" si="295">X21/X57</f>
        <v>0</v>
      </c>
      <c r="Y94" s="124">
        <f t="shared" si="295"/>
        <v>0</v>
      </c>
      <c r="Z94" s="124">
        <f t="shared" si="295"/>
        <v>0</v>
      </c>
      <c r="AA94" s="124">
        <f t="shared" si="295"/>
        <v>0</v>
      </c>
      <c r="AB94" s="124">
        <f t="shared" si="295"/>
        <v>0</v>
      </c>
      <c r="AC94" s="124">
        <f t="shared" si="295"/>
        <v>0</v>
      </c>
      <c r="AD94" s="124">
        <f t="shared" si="295"/>
        <v>0</v>
      </c>
      <c r="AE94" s="124">
        <f t="shared" si="295"/>
        <v>0</v>
      </c>
      <c r="AF94" s="124">
        <f t="shared" si="295"/>
        <v>0</v>
      </c>
      <c r="AG94" s="124">
        <f t="shared" si="295"/>
        <v>0</v>
      </c>
      <c r="AH94" s="116" t="e">
        <f t="shared" si="280"/>
        <v>#DIV/0!</v>
      </c>
      <c r="AI94" s="21">
        <f t="shared" si="18"/>
        <v>0.05</v>
      </c>
      <c r="AJ94" s="124">
        <f t="shared" si="206"/>
        <v>0</v>
      </c>
    </row>
    <row r="95" spans="2:36">
      <c r="B95" s="10" t="s">
        <v>239</v>
      </c>
      <c r="C95" s="109"/>
      <c r="D95" s="109"/>
      <c r="E95" s="109"/>
      <c r="F95" s="122"/>
      <c r="G95" s="122">
        <f t="shared" ref="G95" si="296">G22/G57</f>
        <v>0</v>
      </c>
      <c r="H95" s="122" t="e">
        <f t="shared" ref="H95:I95" si="297">H22/H57</f>
        <v>#DIV/0!</v>
      </c>
      <c r="I95" s="122" t="e">
        <f t="shared" si="297"/>
        <v>#DIV/0!</v>
      </c>
      <c r="J95" s="122" t="e">
        <f t="shared" ref="J95:S95" si="298">J22/J57</f>
        <v>#DIV/0!</v>
      </c>
      <c r="K95" s="122" t="e">
        <f t="shared" si="298"/>
        <v>#DIV/0!</v>
      </c>
      <c r="L95" s="122" t="e">
        <f t="shared" si="298"/>
        <v>#DIV/0!</v>
      </c>
      <c r="M95" s="122">
        <f t="shared" si="298"/>
        <v>0</v>
      </c>
      <c r="N95" s="122">
        <f t="shared" si="298"/>
        <v>0</v>
      </c>
      <c r="O95" s="122">
        <f t="shared" si="298"/>
        <v>0</v>
      </c>
      <c r="P95" s="122">
        <f t="shared" si="298"/>
        <v>0</v>
      </c>
      <c r="Q95" s="122">
        <f t="shared" si="298"/>
        <v>0</v>
      </c>
      <c r="R95" s="122">
        <f t="shared" si="298"/>
        <v>0</v>
      </c>
      <c r="S95" s="122">
        <f t="shared" si="298"/>
        <v>0</v>
      </c>
      <c r="T95" s="122">
        <f t="shared" ref="T95:U95" si="299">T22/T57</f>
        <v>0</v>
      </c>
      <c r="U95" s="122">
        <f t="shared" si="299"/>
        <v>0</v>
      </c>
      <c r="V95" s="101" t="e">
        <f t="shared" si="173"/>
        <v>#DIV/0!</v>
      </c>
      <c r="W95" s="110"/>
      <c r="X95" s="124">
        <f t="shared" ref="X95:AG95" si="300">X22/X57</f>
        <v>0</v>
      </c>
      <c r="Y95" s="124">
        <f t="shared" si="300"/>
        <v>0</v>
      </c>
      <c r="Z95" s="124">
        <f t="shared" si="300"/>
        <v>0</v>
      </c>
      <c r="AA95" s="124">
        <f t="shared" si="300"/>
        <v>0</v>
      </c>
      <c r="AB95" s="124">
        <f t="shared" si="300"/>
        <v>0</v>
      </c>
      <c r="AC95" s="124">
        <f t="shared" si="300"/>
        <v>0</v>
      </c>
      <c r="AD95" s="124">
        <f t="shared" si="300"/>
        <v>0</v>
      </c>
      <c r="AE95" s="124">
        <f t="shared" si="300"/>
        <v>0</v>
      </c>
      <c r="AF95" s="124">
        <f t="shared" si="300"/>
        <v>0</v>
      </c>
      <c r="AG95" s="124">
        <f t="shared" si="300"/>
        <v>0</v>
      </c>
      <c r="AH95" s="116" t="e">
        <f t="shared" si="280"/>
        <v>#DIV/0!</v>
      </c>
      <c r="AI95" s="21">
        <f t="shared" si="18"/>
        <v>0.05</v>
      </c>
      <c r="AJ95" s="124">
        <f t="shared" si="206"/>
        <v>0</v>
      </c>
    </row>
    <row r="96" spans="2:36">
      <c r="B96" s="10" t="s">
        <v>246</v>
      </c>
      <c r="C96" s="109"/>
      <c r="D96" s="109"/>
      <c r="E96" s="109"/>
      <c r="F96" s="122"/>
      <c r="G96" s="122">
        <f t="shared" ref="G96" si="301">G23/G57</f>
        <v>0</v>
      </c>
      <c r="H96" s="122" t="e">
        <f t="shared" ref="H96:I96" si="302">H23/H57</f>
        <v>#DIV/0!</v>
      </c>
      <c r="I96" s="122" t="e">
        <f t="shared" si="302"/>
        <v>#DIV/0!</v>
      </c>
      <c r="J96" s="122" t="e">
        <f t="shared" ref="J96:S96" si="303">J23/J57</f>
        <v>#DIV/0!</v>
      </c>
      <c r="K96" s="122" t="e">
        <f t="shared" si="303"/>
        <v>#DIV/0!</v>
      </c>
      <c r="L96" s="122" t="e">
        <f t="shared" si="303"/>
        <v>#DIV/0!</v>
      </c>
      <c r="M96" s="122">
        <f t="shared" si="303"/>
        <v>0</v>
      </c>
      <c r="N96" s="122">
        <f t="shared" si="303"/>
        <v>0</v>
      </c>
      <c r="O96" s="122">
        <f t="shared" si="303"/>
        <v>0</v>
      </c>
      <c r="P96" s="122">
        <f t="shared" si="303"/>
        <v>0</v>
      </c>
      <c r="Q96" s="122">
        <f t="shared" si="303"/>
        <v>0</v>
      </c>
      <c r="R96" s="122">
        <f t="shared" si="303"/>
        <v>0</v>
      </c>
      <c r="S96" s="122">
        <f t="shared" si="303"/>
        <v>0</v>
      </c>
      <c r="T96" s="122">
        <f t="shared" ref="T96:U96" si="304">T23/T57</f>
        <v>0</v>
      </c>
      <c r="U96" s="122">
        <f t="shared" si="304"/>
        <v>0</v>
      </c>
      <c r="V96" s="101" t="e">
        <f t="shared" si="173"/>
        <v>#DIV/0!</v>
      </c>
      <c r="W96" s="110"/>
      <c r="X96" s="124">
        <f t="shared" ref="X96:AG96" si="305">X23/X57</f>
        <v>0</v>
      </c>
      <c r="Y96" s="124">
        <f t="shared" si="305"/>
        <v>0</v>
      </c>
      <c r="Z96" s="124">
        <f t="shared" si="305"/>
        <v>0</v>
      </c>
      <c r="AA96" s="124">
        <f t="shared" si="305"/>
        <v>0</v>
      </c>
      <c r="AB96" s="124">
        <f t="shared" si="305"/>
        <v>0</v>
      </c>
      <c r="AC96" s="124">
        <f t="shared" si="305"/>
        <v>0</v>
      </c>
      <c r="AD96" s="124">
        <f t="shared" si="305"/>
        <v>0</v>
      </c>
      <c r="AE96" s="124">
        <f t="shared" si="305"/>
        <v>0</v>
      </c>
      <c r="AF96" s="124">
        <f t="shared" si="305"/>
        <v>0</v>
      </c>
      <c r="AG96" s="124">
        <f t="shared" si="305"/>
        <v>0</v>
      </c>
      <c r="AH96" s="116" t="e">
        <f t="shared" ref="AH96" si="306">((AG96/J96)^(1/($AG$3-$K$1) ))-1</f>
        <v>#DIV/0!</v>
      </c>
      <c r="AI96" s="21">
        <f t="shared" si="18"/>
        <v>0.05</v>
      </c>
      <c r="AJ96" s="124">
        <f t="shared" si="206"/>
        <v>0</v>
      </c>
    </row>
    <row r="97" spans="2:36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10"/>
      <c r="W97" s="1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>
      <c r="B98" s="10" t="s">
        <v>435</v>
      </c>
      <c r="C98" s="122"/>
      <c r="D98" s="122"/>
      <c r="E98" s="122"/>
      <c r="F98" s="122"/>
      <c r="G98" s="122">
        <f t="shared" ref="G98" si="307">G51/G57</f>
        <v>7.8380281690140849</v>
      </c>
      <c r="H98" s="122" t="e">
        <f t="shared" ref="H98:I98" si="308">H51/H57</f>
        <v>#DIV/0!</v>
      </c>
      <c r="I98" s="122" t="e">
        <f t="shared" si="308"/>
        <v>#DIV/0!</v>
      </c>
      <c r="J98" s="122" t="e">
        <f t="shared" ref="J98:S98" si="309">J51/J57</f>
        <v>#DIV/0!</v>
      </c>
      <c r="K98" s="122" t="e">
        <f t="shared" si="309"/>
        <v>#DIV/0!</v>
      </c>
      <c r="L98" s="122" t="e">
        <f t="shared" si="309"/>
        <v>#DIV/0!</v>
      </c>
      <c r="M98" s="122">
        <f t="shared" si="309"/>
        <v>7.8380281690140849</v>
      </c>
      <c r="N98" s="122">
        <f t="shared" si="309"/>
        <v>11.806633733239238</v>
      </c>
      <c r="O98" s="122">
        <f t="shared" si="309"/>
        <v>14.125939302149474</v>
      </c>
      <c r="P98" s="122">
        <f t="shared" si="309"/>
        <v>18.1627541212792</v>
      </c>
      <c r="Q98" s="122">
        <f t="shared" si="309"/>
        <v>22.096135940409685</v>
      </c>
      <c r="R98" s="122">
        <f t="shared" si="309"/>
        <v>26.467852575281942</v>
      </c>
      <c r="S98" s="122">
        <f t="shared" si="309"/>
        <v>30.097530371299833</v>
      </c>
      <c r="T98" s="122">
        <f t="shared" ref="T98:U98" si="310">T51/T57</f>
        <v>31.662857142857142</v>
      </c>
      <c r="U98" s="122">
        <f t="shared" si="310"/>
        <v>33.356783919597987</v>
      </c>
      <c r="V98" s="101">
        <f t="shared" si="173"/>
        <v>0.19067410932407203</v>
      </c>
      <c r="W98" s="110"/>
      <c r="X98" s="122">
        <f t="shared" ref="X98:AG98" si="311">X51/X57</f>
        <v>35.698319327731092</v>
      </c>
      <c r="Y98" s="122">
        <f t="shared" si="311"/>
        <v>40.248105124402699</v>
      </c>
      <c r="Z98" s="122">
        <f t="shared" si="311"/>
        <v>45.377765581434403</v>
      </c>
      <c r="AA98" s="122">
        <f t="shared" si="311"/>
        <v>51.161206292793686</v>
      </c>
      <c r="AB98" s="122">
        <f t="shared" si="311"/>
        <v>57.681752192855619</v>
      </c>
      <c r="AC98" s="122">
        <f t="shared" si="311"/>
        <v>65.033348060572507</v>
      </c>
      <c r="AD98" s="122">
        <f t="shared" si="311"/>
        <v>73.321912029076842</v>
      </c>
      <c r="AE98" s="122">
        <f t="shared" si="311"/>
        <v>82.666861601410147</v>
      </c>
      <c r="AF98" s="122">
        <f t="shared" si="311"/>
        <v>93.202834158452603</v>
      </c>
      <c r="AG98" s="122">
        <f t="shared" si="311"/>
        <v>105.08162674727498</v>
      </c>
      <c r="AH98" s="116" t="e">
        <f t="shared" ref="AH98:AH100" si="312">((AG98/J98)^(1/($AG$3-$K$1) ))-1</f>
        <v>#DIV/0!</v>
      </c>
      <c r="AI98" s="21">
        <f t="shared" si="18"/>
        <v>0.05</v>
      </c>
      <c r="AJ98" s="124">
        <f t="shared" si="206"/>
        <v>1103.3570808463876</v>
      </c>
    </row>
    <row r="99" spans="2:36">
      <c r="B99" s="10" t="s">
        <v>436</v>
      </c>
      <c r="C99" s="122"/>
      <c r="D99" s="122"/>
      <c r="E99" s="122"/>
      <c r="F99" s="122"/>
      <c r="G99" s="122">
        <f t="shared" ref="G99" si="313">G55/G57</f>
        <v>1.8309859154929577</v>
      </c>
      <c r="H99" s="122" t="e">
        <f t="shared" ref="H99:I99" si="314">H55/H57</f>
        <v>#DIV/0!</v>
      </c>
      <c r="I99" s="122" t="e">
        <f t="shared" si="314"/>
        <v>#DIV/0!</v>
      </c>
      <c r="J99" s="122" t="e">
        <f t="shared" ref="J99:S99" si="315">J55/J57</f>
        <v>#DIV/0!</v>
      </c>
      <c r="K99" s="122" t="e">
        <f t="shared" si="315"/>
        <v>#DIV/0!</v>
      </c>
      <c r="L99" s="122" t="e">
        <f t="shared" si="315"/>
        <v>#DIV/0!</v>
      </c>
      <c r="M99" s="122">
        <f t="shared" si="315"/>
        <v>1.8309859154929577</v>
      </c>
      <c r="N99" s="122">
        <f t="shared" si="315"/>
        <v>2.7593507410021174</v>
      </c>
      <c r="O99" s="122">
        <f t="shared" si="315"/>
        <v>2.6446088425467469</v>
      </c>
      <c r="P99" s="122">
        <f t="shared" si="315"/>
        <v>4.2465194850585428</v>
      </c>
      <c r="Q99" s="122">
        <f t="shared" si="315"/>
        <v>3.4625232774674113</v>
      </c>
      <c r="R99" s="122">
        <f t="shared" si="315"/>
        <v>4.9412858969887221</v>
      </c>
      <c r="S99" s="122">
        <f t="shared" si="315"/>
        <v>4.870815034506359</v>
      </c>
      <c r="T99" s="122">
        <f t="shared" ref="T99:U99" si="316">T55/T57</f>
        <v>5.9542857142857146</v>
      </c>
      <c r="U99" s="122">
        <f t="shared" si="316"/>
        <v>7.3567839195979898</v>
      </c>
      <c r="V99" s="101">
        <f t="shared" si="173"/>
        <v>0.1588256068182754</v>
      </c>
      <c r="W99" s="110"/>
      <c r="X99" s="122">
        <f t="shared" ref="X99:AG99" si="317">X55/X57</f>
        <v>6.7131652661064427</v>
      </c>
      <c r="Y99" s="122">
        <f t="shared" si="317"/>
        <v>7.5687647608062827</v>
      </c>
      <c r="Z99" s="122">
        <f t="shared" si="317"/>
        <v>8.5334112499286512</v>
      </c>
      <c r="AA99" s="122">
        <f t="shared" si="317"/>
        <v>9.6210028798215177</v>
      </c>
      <c r="AB99" s="122">
        <f t="shared" si="317"/>
        <v>10.847209129210533</v>
      </c>
      <c r="AC99" s="122">
        <f t="shared" si="317"/>
        <v>12.229696567247169</v>
      </c>
      <c r="AD99" s="122">
        <f t="shared" si="317"/>
        <v>13.788383384641415</v>
      </c>
      <c r="AE99" s="122">
        <f t="shared" si="317"/>
        <v>15.545726365036888</v>
      </c>
      <c r="AF99" s="122">
        <f t="shared" si="317"/>
        <v>17.527044431169038</v>
      </c>
      <c r="AG99" s="122">
        <f t="shared" si="317"/>
        <v>19.76088342729842</v>
      </c>
      <c r="AH99" s="116" t="e">
        <f t="shared" si="312"/>
        <v>#DIV/0!</v>
      </c>
      <c r="AI99" s="21">
        <f t="shared" si="18"/>
        <v>0.05</v>
      </c>
      <c r="AJ99" s="124">
        <f t="shared" si="206"/>
        <v>207.48927598663346</v>
      </c>
    </row>
    <row r="100" spans="2:36">
      <c r="B100" s="10" t="s">
        <v>260</v>
      </c>
      <c r="C100" s="122"/>
      <c r="D100" s="122"/>
      <c r="E100" s="122"/>
      <c r="F100" s="122"/>
      <c r="G100" s="122">
        <f t="shared" ref="G100" si="318">G6/G57</f>
        <v>3.2183098591549295</v>
      </c>
      <c r="H100" s="122" t="e">
        <f t="shared" ref="H100:I100" si="319">H6/H57</f>
        <v>#DIV/0!</v>
      </c>
      <c r="I100" s="122" t="e">
        <f t="shared" si="319"/>
        <v>#DIV/0!</v>
      </c>
      <c r="J100" s="122" t="e">
        <f t="shared" ref="J100:S100" si="320">J6/J57</f>
        <v>#DIV/0!</v>
      </c>
      <c r="K100" s="122" t="e">
        <f t="shared" si="320"/>
        <v>#DIV/0!</v>
      </c>
      <c r="L100" s="122" t="e">
        <f t="shared" si="320"/>
        <v>#DIV/0!</v>
      </c>
      <c r="M100" s="122">
        <f t="shared" si="320"/>
        <v>3.2183098591549295</v>
      </c>
      <c r="N100" s="122">
        <f t="shared" si="320"/>
        <v>10.40225829216655</v>
      </c>
      <c r="O100" s="122">
        <f t="shared" si="320"/>
        <v>17.696743752548496</v>
      </c>
      <c r="P100" s="122">
        <f t="shared" si="320"/>
        <v>21.861711423079164</v>
      </c>
      <c r="Q100" s="122">
        <f t="shared" si="320"/>
        <v>23.90013966480447</v>
      </c>
      <c r="R100" s="122">
        <f t="shared" si="320"/>
        <v>27.066620160446458</v>
      </c>
      <c r="S100" s="122">
        <f t="shared" si="320"/>
        <v>30.359892773626871</v>
      </c>
      <c r="T100" s="122">
        <f t="shared" ref="T100:U100" si="321">T6/T57</f>
        <v>34.4</v>
      </c>
      <c r="U100" s="122">
        <f t="shared" si="321"/>
        <v>53.035175879396988</v>
      </c>
      <c r="V100" s="101">
        <f t="shared" si="173"/>
        <v>0.34467188132354698</v>
      </c>
      <c r="W100" s="110"/>
      <c r="X100" s="122">
        <f t="shared" ref="X100:AG100" si="322">X6/X57</f>
        <v>38.784313725490193</v>
      </c>
      <c r="Y100" s="122">
        <f t="shared" si="322"/>
        <v>43.727412533640901</v>
      </c>
      <c r="Z100" s="122">
        <f t="shared" si="322"/>
        <v>49.300514131065718</v>
      </c>
      <c r="AA100" s="122">
        <f t="shared" si="322"/>
        <v>55.583912990907429</v>
      </c>
      <c r="AB100" s="122">
        <f t="shared" si="322"/>
        <v>62.668137195630912</v>
      </c>
      <c r="AC100" s="122">
        <f t="shared" si="322"/>
        <v>70.655252720564249</v>
      </c>
      <c r="AD100" s="122">
        <f t="shared" si="322"/>
        <v>79.660333949655779</v>
      </c>
      <c r="AE100" s="122">
        <f t="shared" si="322"/>
        <v>89.81312160990602</v>
      </c>
      <c r="AF100" s="122">
        <f t="shared" si="322"/>
        <v>101.25989201116855</v>
      </c>
      <c r="AG100" s="122">
        <f t="shared" si="322"/>
        <v>114.1655645223959</v>
      </c>
      <c r="AH100" s="116" t="e">
        <f t="shared" si="312"/>
        <v>#DIV/0!</v>
      </c>
      <c r="AI100" s="21">
        <f t="shared" ref="AI100" si="323">$O$1</f>
        <v>0.05</v>
      </c>
      <c r="AJ100" s="124">
        <f t="shared" si="206"/>
        <v>1198.738427485157</v>
      </c>
    </row>
    <row r="101" spans="2:36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10"/>
      <c r="W101" s="1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>
      <c r="B102" s="10" t="s">
        <v>410</v>
      </c>
      <c r="C102" s="109"/>
      <c r="D102" s="109"/>
      <c r="E102" s="109"/>
      <c r="F102" s="122"/>
      <c r="G102" s="122">
        <f t="shared" ref="G102" si="324">G55/$T$57</f>
        <v>1.4857142857142858</v>
      </c>
      <c r="H102" s="122">
        <f t="shared" ref="H102:I102" si="325">H55/$T$57</f>
        <v>0</v>
      </c>
      <c r="I102" s="122">
        <f t="shared" si="325"/>
        <v>0</v>
      </c>
      <c r="J102" s="122">
        <f t="shared" ref="J102:T102" si="326">J55/$T$57</f>
        <v>0</v>
      </c>
      <c r="K102" s="122">
        <f t="shared" si="326"/>
        <v>0</v>
      </c>
      <c r="L102" s="122">
        <f t="shared" si="326"/>
        <v>0</v>
      </c>
      <c r="M102" s="122">
        <f t="shared" si="326"/>
        <v>1.4857142857142858</v>
      </c>
      <c r="N102" s="122">
        <f t="shared" si="326"/>
        <v>2.2342857142857144</v>
      </c>
      <c r="O102" s="122">
        <f t="shared" si="326"/>
        <v>2.5942857142857143</v>
      </c>
      <c r="P102" s="122">
        <f t="shared" si="326"/>
        <v>4.1657142857142855</v>
      </c>
      <c r="Q102" s="122">
        <f t="shared" si="326"/>
        <v>3.4</v>
      </c>
      <c r="R102" s="122">
        <f t="shared" si="326"/>
        <v>4.8571428571428568</v>
      </c>
      <c r="S102" s="122">
        <f t="shared" si="326"/>
        <v>4.88</v>
      </c>
      <c r="T102" s="122">
        <f t="shared" si="326"/>
        <v>5.9542857142857146</v>
      </c>
      <c r="U102" s="122">
        <f t="shared" ref="U102" si="327">U55/$T$57</f>
        <v>8.3657142857142865</v>
      </c>
      <c r="V102" s="101">
        <f t="shared" si="173"/>
        <v>0.18949274187317222</v>
      </c>
      <c r="W102" s="110"/>
      <c r="X102" s="122">
        <f t="shared" ref="X102:AG102" si="328">X55/X57</f>
        <v>6.7131652661064427</v>
      </c>
      <c r="Y102" s="122">
        <f t="shared" si="328"/>
        <v>7.5687647608062827</v>
      </c>
      <c r="Z102" s="122">
        <f t="shared" si="328"/>
        <v>8.5334112499286512</v>
      </c>
      <c r="AA102" s="122">
        <f t="shared" si="328"/>
        <v>9.6210028798215177</v>
      </c>
      <c r="AB102" s="122">
        <f t="shared" si="328"/>
        <v>10.847209129210533</v>
      </c>
      <c r="AC102" s="122">
        <f t="shared" si="328"/>
        <v>12.229696567247169</v>
      </c>
      <c r="AD102" s="122">
        <f t="shared" si="328"/>
        <v>13.788383384641415</v>
      </c>
      <c r="AE102" s="122">
        <f t="shared" si="328"/>
        <v>15.545726365036888</v>
      </c>
      <c r="AF102" s="122">
        <f t="shared" si="328"/>
        <v>17.527044431169038</v>
      </c>
      <c r="AG102" s="122">
        <f t="shared" si="328"/>
        <v>19.76088342729842</v>
      </c>
      <c r="AH102" s="117"/>
      <c r="AI102" s="10"/>
      <c r="AJ102" s="131"/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10"/>
      <c r="W103" s="1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258</v>
      </c>
      <c r="C105" s="129"/>
      <c r="D105" s="129"/>
      <c r="E105" s="129"/>
      <c r="F105" s="129"/>
      <c r="G105" s="129">
        <f t="shared" ref="G105" si="329">G51/G25</f>
        <v>0.78215038650737878</v>
      </c>
      <c r="H105" s="129" t="e">
        <f t="shared" ref="H105:I105" si="330">H51/H25</f>
        <v>#DIV/0!</v>
      </c>
      <c r="I105" s="129" t="e">
        <f t="shared" si="330"/>
        <v>#DIV/0!</v>
      </c>
      <c r="J105" s="129" t="e">
        <f t="shared" ref="J105:S105" si="331">J51/J25</f>
        <v>#DIV/0!</v>
      </c>
      <c r="K105" s="129" t="e">
        <f t="shared" si="331"/>
        <v>#DIV/0!</v>
      </c>
      <c r="L105" s="129" t="e">
        <f t="shared" si="331"/>
        <v>#DIV/0!</v>
      </c>
      <c r="M105" s="129">
        <f t="shared" si="331"/>
        <v>0.78215038650737878</v>
      </c>
      <c r="N105" s="129">
        <f t="shared" si="331"/>
        <v>0.79326695116168799</v>
      </c>
      <c r="O105" s="129">
        <f t="shared" si="331"/>
        <v>0.80833333333333335</v>
      </c>
      <c r="P105" s="129">
        <f t="shared" si="331"/>
        <v>0.73816287878787878</v>
      </c>
      <c r="Q105" s="129">
        <f t="shared" si="331"/>
        <v>0.72503341607790717</v>
      </c>
      <c r="R105" s="129">
        <f t="shared" si="331"/>
        <v>0.70251504397469522</v>
      </c>
      <c r="S105" s="129">
        <f t="shared" si="331"/>
        <v>0.70642570281124495</v>
      </c>
      <c r="T105" s="129">
        <f t="shared" ref="T105:U105" si="332">T51/T25</f>
        <v>0.64640690620625296</v>
      </c>
      <c r="U105" s="129">
        <f t="shared" si="332"/>
        <v>0.63225069054195637</v>
      </c>
      <c r="V105" s="101">
        <f t="shared" si="173"/>
        <v>-2.3545602899662343E-2</v>
      </c>
      <c r="W105" s="129"/>
      <c r="X105" s="129">
        <f t="shared" ref="X105:AG105" si="333">X51/X25</f>
        <v>0.64640690620625296</v>
      </c>
      <c r="Y105" s="129">
        <f t="shared" si="333"/>
        <v>0.64640690620625296</v>
      </c>
      <c r="Z105" s="129">
        <f t="shared" si="333"/>
        <v>0.64640690620625285</v>
      </c>
      <c r="AA105" s="129">
        <f t="shared" si="333"/>
        <v>0.64640690620625285</v>
      </c>
      <c r="AB105" s="129">
        <f t="shared" si="333"/>
        <v>0.64640690620625274</v>
      </c>
      <c r="AC105" s="129">
        <f t="shared" si="333"/>
        <v>0.64640690620625274</v>
      </c>
      <c r="AD105" s="129">
        <f t="shared" si="333"/>
        <v>0.64640690620625274</v>
      </c>
      <c r="AE105" s="129">
        <f t="shared" si="333"/>
        <v>0.64640690620625274</v>
      </c>
      <c r="AF105" s="129">
        <f t="shared" si="333"/>
        <v>0.64640690620625274</v>
      </c>
      <c r="AG105" s="129">
        <f t="shared" si="333"/>
        <v>0.64640690620625274</v>
      </c>
      <c r="AH105" s="116" t="e">
        <f t="shared" ref="AH105:AH154" si="334">((AG105/J105)^(1/($AG$3-$K$1) ))-1</f>
        <v>#DIV/0!</v>
      </c>
      <c r="AI105" s="124"/>
      <c r="AJ105" s="124"/>
    </row>
    <row r="106" spans="2:36">
      <c r="B106" s="10" t="s">
        <v>220</v>
      </c>
      <c r="C106" s="129"/>
      <c r="D106" s="129"/>
      <c r="E106" s="129"/>
      <c r="F106" s="129"/>
      <c r="G106" s="129">
        <f t="shared" ref="G106" si="335">G55/G25</f>
        <v>0.18271257905832747</v>
      </c>
      <c r="H106" s="129" t="e">
        <f t="shared" ref="H106:I106" si="336">H55/H25</f>
        <v>#DIV/0!</v>
      </c>
      <c r="I106" s="129" t="e">
        <f t="shared" si="336"/>
        <v>#DIV/0!</v>
      </c>
      <c r="J106" s="129" t="e">
        <f t="shared" ref="J106:S106" si="337">J55/J25</f>
        <v>#DIV/0!</v>
      </c>
      <c r="K106" s="129" t="e">
        <f t="shared" si="337"/>
        <v>#DIV/0!</v>
      </c>
      <c r="L106" s="129" t="e">
        <f t="shared" si="337"/>
        <v>#DIV/0!</v>
      </c>
      <c r="M106" s="129">
        <f t="shared" si="337"/>
        <v>0.18271257905832747</v>
      </c>
      <c r="N106" s="129">
        <f t="shared" si="337"/>
        <v>0.18539592223802751</v>
      </c>
      <c r="O106" s="129">
        <f t="shared" si="337"/>
        <v>0.15133333333333332</v>
      </c>
      <c r="P106" s="129">
        <f t="shared" si="337"/>
        <v>0.17258522727272727</v>
      </c>
      <c r="Q106" s="129">
        <f t="shared" si="337"/>
        <v>0.11361466488447584</v>
      </c>
      <c r="R106" s="129">
        <f t="shared" si="337"/>
        <v>0.1311525999074217</v>
      </c>
      <c r="S106" s="129">
        <f t="shared" si="337"/>
        <v>0.1143239625167336</v>
      </c>
      <c r="T106" s="129">
        <f t="shared" ref="T106:U106" si="338">T55/T25</f>
        <v>0.1215585627624825</v>
      </c>
      <c r="U106" s="129">
        <f t="shared" si="338"/>
        <v>0.13944185160491476</v>
      </c>
      <c r="V106" s="101">
        <f t="shared" si="173"/>
        <v>-4.9664093315566649E-2</v>
      </c>
      <c r="W106" s="129"/>
      <c r="X106" s="129">
        <f t="shared" ref="X106:AG106" si="339">X55/X25</f>
        <v>0.1215585627624825</v>
      </c>
      <c r="Y106" s="129">
        <f t="shared" si="339"/>
        <v>0.12155856276248252</v>
      </c>
      <c r="Z106" s="129">
        <f t="shared" si="339"/>
        <v>0.1215585627624825</v>
      </c>
      <c r="AA106" s="129">
        <f t="shared" si="339"/>
        <v>0.1215585627624825</v>
      </c>
      <c r="AB106" s="129">
        <f t="shared" si="339"/>
        <v>0.1215585627624825</v>
      </c>
      <c r="AC106" s="129">
        <f t="shared" si="339"/>
        <v>0.12155856276248249</v>
      </c>
      <c r="AD106" s="129">
        <f t="shared" si="339"/>
        <v>0.1215585627624825</v>
      </c>
      <c r="AE106" s="129">
        <f t="shared" si="339"/>
        <v>0.1215585627624825</v>
      </c>
      <c r="AF106" s="129">
        <f t="shared" si="339"/>
        <v>0.1215585627624825</v>
      </c>
      <c r="AG106" s="129">
        <f t="shared" si="339"/>
        <v>0.12155856276248249</v>
      </c>
      <c r="AH106" s="116" t="e">
        <f t="shared" si="334"/>
        <v>#DIV/0!</v>
      </c>
      <c r="AI106" s="124"/>
      <c r="AJ106" s="124"/>
    </row>
    <row r="107" spans="2:36">
      <c r="B107" s="10" t="s">
        <v>304</v>
      </c>
      <c r="C107" s="129"/>
      <c r="D107" s="129"/>
      <c r="E107" s="129"/>
      <c r="F107" s="129"/>
      <c r="G107" s="129">
        <f t="shared" ref="G107" si="340">G55/G7</f>
        <v>0.15941140404659718</v>
      </c>
      <c r="H107" s="129" t="e">
        <f t="shared" ref="H107:I107" si="341">H55/H7</f>
        <v>#DIV/0!</v>
      </c>
      <c r="I107" s="129" t="e">
        <f t="shared" si="341"/>
        <v>#DIV/0!</v>
      </c>
      <c r="J107" s="129" t="e">
        <f>J55/J7</f>
        <v>#DIV/0!</v>
      </c>
      <c r="K107" s="129" t="e">
        <f t="shared" ref="K107:R107" si="342">K55/K7</f>
        <v>#DIV/0!</v>
      </c>
      <c r="L107" s="129" t="e">
        <f t="shared" si="342"/>
        <v>#DIV/0!</v>
      </c>
      <c r="M107" s="129">
        <f t="shared" si="342"/>
        <v>0.15941140404659718</v>
      </c>
      <c r="N107" s="129">
        <f t="shared" si="342"/>
        <v>0.13524731926668973</v>
      </c>
      <c r="O107" s="129">
        <f t="shared" si="342"/>
        <v>9.5538720538720534E-2</v>
      </c>
      <c r="P107" s="129">
        <f t="shared" si="342"/>
        <v>0.11720257234726689</v>
      </c>
      <c r="Q107" s="129">
        <f t="shared" si="342"/>
        <v>8.7179487179487175E-2</v>
      </c>
      <c r="R107" s="129">
        <f t="shared" si="342"/>
        <v>0.10983331179738984</v>
      </c>
      <c r="S107" s="129">
        <f t="shared" ref="S107:T107" si="343">S55/S7</f>
        <v>0.10156993339676498</v>
      </c>
      <c r="T107" s="129">
        <f t="shared" si="343"/>
        <v>0.11441748105852641</v>
      </c>
      <c r="U107" s="129">
        <f t="shared" ref="U107" si="344">U55/U7</f>
        <v>0.10777385159010601</v>
      </c>
      <c r="V107" s="101">
        <f t="shared" si="173"/>
        <v>-4.0606825427421667E-2</v>
      </c>
      <c r="W107" s="10"/>
      <c r="X107" s="129">
        <f t="shared" ref="X107" si="345">X55/X7</f>
        <v>0.11441748105852641</v>
      </c>
      <c r="Y107" s="129">
        <f t="shared" ref="Y107:AG107" si="346">Y55/Y7</f>
        <v>0.11441748105852642</v>
      </c>
      <c r="Z107" s="129">
        <f t="shared" si="346"/>
        <v>0.11441748105852641</v>
      </c>
      <c r="AA107" s="129">
        <f t="shared" si="346"/>
        <v>0.11441748105852641</v>
      </c>
      <c r="AB107" s="129">
        <f t="shared" si="346"/>
        <v>0.11441748105852641</v>
      </c>
      <c r="AC107" s="129">
        <f t="shared" si="346"/>
        <v>0.11441748105852639</v>
      </c>
      <c r="AD107" s="129">
        <f t="shared" si="346"/>
        <v>0.11441748105852639</v>
      </c>
      <c r="AE107" s="129">
        <f t="shared" si="346"/>
        <v>0.11441748105852641</v>
      </c>
      <c r="AF107" s="129">
        <f t="shared" si="346"/>
        <v>0.11441748105852639</v>
      </c>
      <c r="AG107" s="129">
        <f t="shared" si="346"/>
        <v>0.11441748105852638</v>
      </c>
      <c r="AH107" s="116" t="e">
        <f t="shared" si="334"/>
        <v>#DIV/0!</v>
      </c>
      <c r="AI107" s="124"/>
      <c r="AJ107" s="124"/>
    </row>
    <row r="108" spans="2:36">
      <c r="B108" s="10" t="s">
        <v>305</v>
      </c>
      <c r="C108" s="129"/>
      <c r="D108" s="129"/>
      <c r="E108" s="129"/>
      <c r="F108" s="129"/>
      <c r="G108" s="129">
        <f t="shared" ref="G108" si="347">(G55)/(G7+G10)</f>
        <v>0.15941140404659718</v>
      </c>
      <c r="H108" s="129" t="e">
        <f t="shared" ref="H108:I108" si="348">(H55)/(H7+H10)</f>
        <v>#DIV/0!</v>
      </c>
      <c r="I108" s="129" t="e">
        <f t="shared" si="348"/>
        <v>#DIV/0!</v>
      </c>
      <c r="J108" s="129" t="e">
        <f>(J55)/(J7+J10)</f>
        <v>#DIV/0!</v>
      </c>
      <c r="K108" s="129" t="e">
        <f t="shared" ref="K108:R108" si="349">(K55)/(K7+K10)</f>
        <v>#DIV/0!</v>
      </c>
      <c r="L108" s="129" t="e">
        <f t="shared" si="349"/>
        <v>#DIV/0!</v>
      </c>
      <c r="M108" s="129">
        <f t="shared" si="349"/>
        <v>0.15941140404659718</v>
      </c>
      <c r="N108" s="129">
        <f t="shared" si="349"/>
        <v>2.4405467823481679E-2</v>
      </c>
      <c r="O108" s="129">
        <f t="shared" si="349"/>
        <v>2.0162543855753431E-2</v>
      </c>
      <c r="P108" s="129">
        <f t="shared" si="349"/>
        <v>2.5623901581722321E-2</v>
      </c>
      <c r="Q108" s="129">
        <f t="shared" si="349"/>
        <v>1.3941609260040302E-2</v>
      </c>
      <c r="R108" s="129">
        <f t="shared" si="349"/>
        <v>1.7058339521162376E-2</v>
      </c>
      <c r="S108" s="129">
        <f t="shared" ref="S108:T108" si="350">(S55)/(S7+S10)</f>
        <v>1.4227879312930044E-2</v>
      </c>
      <c r="T108" s="129">
        <f t="shared" si="350"/>
        <v>1.5119417278504891E-2</v>
      </c>
      <c r="U108" s="129">
        <f t="shared" ref="U108" si="351">(U55)/(U7+U10)</f>
        <v>1.9946862865317799E-2</v>
      </c>
      <c r="V108" s="101">
        <f t="shared" si="173"/>
        <v>-0.25505028508849747</v>
      </c>
      <c r="W108" s="10"/>
      <c r="X108" s="129">
        <f t="shared" ref="X108:AG108" si="352">(X55)/(X7+X10)</f>
        <v>1.5119417278504891E-2</v>
      </c>
      <c r="Y108" s="129">
        <f t="shared" si="352"/>
        <v>1.5119417278504892E-2</v>
      </c>
      <c r="Z108" s="129">
        <f t="shared" si="352"/>
        <v>1.5119417278504891E-2</v>
      </c>
      <c r="AA108" s="129">
        <f t="shared" si="352"/>
        <v>1.5119417278504891E-2</v>
      </c>
      <c r="AB108" s="129">
        <f t="shared" si="352"/>
        <v>1.5119417278504892E-2</v>
      </c>
      <c r="AC108" s="129">
        <f t="shared" si="352"/>
        <v>1.5119417278504889E-2</v>
      </c>
      <c r="AD108" s="129">
        <f t="shared" si="352"/>
        <v>1.5119417278504891E-2</v>
      </c>
      <c r="AE108" s="129">
        <f t="shared" si="352"/>
        <v>1.5119417278504892E-2</v>
      </c>
      <c r="AF108" s="129">
        <f t="shared" si="352"/>
        <v>1.5119417278504891E-2</v>
      </c>
      <c r="AG108" s="129">
        <f t="shared" si="352"/>
        <v>1.5119417278504885E-2</v>
      </c>
      <c r="AH108" s="116" t="e">
        <f t="shared" si="334"/>
        <v>#DIV/0!</v>
      </c>
      <c r="AI108" s="124"/>
      <c r="AJ108" s="124"/>
    </row>
    <row r="109" spans="2:36">
      <c r="B109" s="10" t="s">
        <v>321</v>
      </c>
      <c r="C109" s="129"/>
      <c r="D109" s="129"/>
      <c r="E109" s="129"/>
      <c r="F109" s="129"/>
      <c r="G109" s="129">
        <f t="shared" ref="G109" si="353">G20/G25</f>
        <v>0</v>
      </c>
      <c r="H109" s="129" t="e">
        <f t="shared" ref="H109:I109" si="354">H20/H25</f>
        <v>#DIV/0!</v>
      </c>
      <c r="I109" s="129" t="e">
        <f t="shared" si="354"/>
        <v>#DIV/0!</v>
      </c>
      <c r="J109" s="129" t="e">
        <f>J20/J25</f>
        <v>#DIV/0!</v>
      </c>
      <c r="K109" s="129" t="e">
        <f t="shared" ref="K109:S109" si="355">K20/K25</f>
        <v>#DIV/0!</v>
      </c>
      <c r="L109" s="129" t="e">
        <f t="shared" si="355"/>
        <v>#DIV/0!</v>
      </c>
      <c r="M109" s="129">
        <f t="shared" si="355"/>
        <v>0</v>
      </c>
      <c r="N109" s="129">
        <f t="shared" si="355"/>
        <v>0</v>
      </c>
      <c r="O109" s="129">
        <f t="shared" si="355"/>
        <v>0</v>
      </c>
      <c r="P109" s="129">
        <f t="shared" si="355"/>
        <v>0</v>
      </c>
      <c r="Q109" s="129">
        <f t="shared" si="355"/>
        <v>0</v>
      </c>
      <c r="R109" s="129">
        <f t="shared" si="355"/>
        <v>0</v>
      </c>
      <c r="S109" s="129">
        <f t="shared" si="355"/>
        <v>0</v>
      </c>
      <c r="T109" s="129">
        <f t="shared" ref="T109:U109" si="356">T20/T25</f>
        <v>0</v>
      </c>
      <c r="U109" s="129">
        <f t="shared" si="356"/>
        <v>0</v>
      </c>
      <c r="V109" s="101" t="e">
        <f t="shared" si="173"/>
        <v>#DIV/0!</v>
      </c>
      <c r="W109" s="10"/>
      <c r="X109" s="129">
        <f t="shared" ref="X109:AG109" si="357">X20/X25</f>
        <v>0</v>
      </c>
      <c r="Y109" s="129">
        <f t="shared" si="357"/>
        <v>0</v>
      </c>
      <c r="Z109" s="129">
        <f t="shared" si="357"/>
        <v>0</v>
      </c>
      <c r="AA109" s="129">
        <f t="shared" si="357"/>
        <v>0</v>
      </c>
      <c r="AB109" s="129">
        <f t="shared" si="357"/>
        <v>0</v>
      </c>
      <c r="AC109" s="129">
        <f t="shared" si="357"/>
        <v>0</v>
      </c>
      <c r="AD109" s="129">
        <f t="shared" si="357"/>
        <v>0</v>
      </c>
      <c r="AE109" s="129">
        <f t="shared" si="357"/>
        <v>0</v>
      </c>
      <c r="AF109" s="129">
        <f t="shared" si="357"/>
        <v>0</v>
      </c>
      <c r="AG109" s="129">
        <f t="shared" si="357"/>
        <v>0</v>
      </c>
      <c r="AH109" s="116" t="e">
        <f t="shared" si="334"/>
        <v>#DIV/0!</v>
      </c>
      <c r="AI109" s="124"/>
      <c r="AJ109" s="124"/>
    </row>
    <row r="110" spans="2:36">
      <c r="B110" s="10" t="s">
        <v>373</v>
      </c>
      <c r="C110" s="129"/>
      <c r="D110" s="129"/>
      <c r="E110" s="129"/>
      <c r="F110" s="129"/>
      <c r="G110" s="129">
        <f t="shared" ref="G110" si="358">G68/G25</f>
        <v>9.3464511595221358E-2</v>
      </c>
      <c r="H110" s="129" t="e">
        <f t="shared" ref="H110:I110" si="359">H68/H25</f>
        <v>#DIV/0!</v>
      </c>
      <c r="I110" s="129" t="e">
        <f t="shared" si="359"/>
        <v>#DIV/0!</v>
      </c>
      <c r="J110" s="129" t="e">
        <f>J68/J25</f>
        <v>#DIV/0!</v>
      </c>
      <c r="K110" s="129" t="e">
        <f t="shared" ref="K110:S110" si="360">K68/K25</f>
        <v>#DIV/0!</v>
      </c>
      <c r="L110" s="129" t="e">
        <f t="shared" si="360"/>
        <v>#DIV/0!</v>
      </c>
      <c r="M110" s="129">
        <f t="shared" si="360"/>
        <v>9.3464511595221358E-2</v>
      </c>
      <c r="N110" s="129">
        <f t="shared" si="360"/>
        <v>0.10099573257467995</v>
      </c>
      <c r="O110" s="129">
        <f t="shared" si="360"/>
        <v>7.6666666666666661E-2</v>
      </c>
      <c r="P110" s="129">
        <f t="shared" si="360"/>
        <v>6.131628787878788E-2</v>
      </c>
      <c r="Q110" s="129">
        <f t="shared" si="360"/>
        <v>4.3918273820889822E-2</v>
      </c>
      <c r="R110" s="129">
        <f t="shared" si="360"/>
        <v>5.0146582317543591E-2</v>
      </c>
      <c r="S110" s="129">
        <f t="shared" si="360"/>
        <v>5.3279785809906291E-2</v>
      </c>
      <c r="T110" s="129">
        <f t="shared" ref="T110:U110" si="361">T68/T25</f>
        <v>4.1997200186654222E-3</v>
      </c>
      <c r="U110" s="129">
        <f t="shared" si="361"/>
        <v>2.6192970759119916E-2</v>
      </c>
      <c r="V110" s="101">
        <f t="shared" si="173"/>
        <v>-0.32146586640268426</v>
      </c>
      <c r="W110" s="10"/>
      <c r="X110" s="129">
        <f t="shared" ref="X110:AG110" si="362">X68/X25</f>
        <v>4.1997200186654092E-3</v>
      </c>
      <c r="Y110" s="129">
        <f t="shared" si="362"/>
        <v>4.1997200186654144E-3</v>
      </c>
      <c r="Z110" s="129">
        <f t="shared" si="362"/>
        <v>4.1997200186654118E-3</v>
      </c>
      <c r="AA110" s="129">
        <f t="shared" si="362"/>
        <v>4.199720018665404E-3</v>
      </c>
      <c r="AB110" s="129">
        <f t="shared" si="362"/>
        <v>4.1997200186653988E-3</v>
      </c>
      <c r="AC110" s="129">
        <f t="shared" si="362"/>
        <v>4.1997200186654144E-3</v>
      </c>
      <c r="AD110" s="129">
        <f t="shared" si="362"/>
        <v>4.1997200186654126E-3</v>
      </c>
      <c r="AE110" s="129">
        <f t="shared" si="362"/>
        <v>4.1997200186654196E-3</v>
      </c>
      <c r="AF110" s="129">
        <f t="shared" si="362"/>
        <v>4.1997200186654248E-3</v>
      </c>
      <c r="AG110" s="129">
        <f t="shared" si="362"/>
        <v>4.1997200186654317E-3</v>
      </c>
      <c r="AH110" s="116" t="e">
        <f t="shared" si="334"/>
        <v>#DIV/0!</v>
      </c>
      <c r="AI110" s="124"/>
      <c r="AJ110" s="124"/>
    </row>
    <row r="111" spans="2:36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>
      <c r="B112" s="10" t="s">
        <v>268</v>
      </c>
      <c r="C112" s="129"/>
      <c r="D112" s="129"/>
      <c r="E112" s="129"/>
      <c r="F112" s="129"/>
      <c r="G112" s="129">
        <f t="shared" ref="G112" si="363">G29/G25</f>
        <v>0</v>
      </c>
      <c r="H112" s="129" t="e">
        <f t="shared" ref="H112:I112" si="364">H29/H25</f>
        <v>#DIV/0!</v>
      </c>
      <c r="I112" s="129" t="e">
        <f t="shared" si="364"/>
        <v>#DIV/0!</v>
      </c>
      <c r="J112" s="129" t="e">
        <f>J29/J25</f>
        <v>#DIV/0!</v>
      </c>
      <c r="K112" s="129" t="e">
        <f t="shared" ref="K112:S112" si="365">K29/K25</f>
        <v>#DIV/0!</v>
      </c>
      <c r="L112" s="129" t="e">
        <f t="shared" si="365"/>
        <v>#DIV/0!</v>
      </c>
      <c r="M112" s="129">
        <f t="shared" si="365"/>
        <v>0</v>
      </c>
      <c r="N112" s="129">
        <f t="shared" si="365"/>
        <v>0.48364153627311524</v>
      </c>
      <c r="O112" s="129">
        <f t="shared" si="365"/>
        <v>0.56899999999999995</v>
      </c>
      <c r="P112" s="129">
        <f t="shared" si="365"/>
        <v>0.55208333333333337</v>
      </c>
      <c r="Q112" s="129">
        <f t="shared" si="365"/>
        <v>0.58678632805041053</v>
      </c>
      <c r="R112" s="129">
        <f t="shared" si="365"/>
        <v>0.55037802808208613</v>
      </c>
      <c r="S112" s="129">
        <f t="shared" si="365"/>
        <v>0.55207496653279786</v>
      </c>
      <c r="T112" s="129">
        <f t="shared" ref="T112:U112" si="366">T29/T25</f>
        <v>0.53978068128791412</v>
      </c>
      <c r="U112" s="129">
        <f t="shared" si="366"/>
        <v>0.50728640822935522</v>
      </c>
      <c r="V112" s="101" t="e">
        <f t="shared" si="173"/>
        <v>#DIV/0!</v>
      </c>
      <c r="W112" s="10"/>
      <c r="X112" s="129">
        <f t="shared" ref="X112:AG112" si="367">X29/X25</f>
        <v>0.53978068128791412</v>
      </c>
      <c r="Y112" s="129">
        <f t="shared" si="367"/>
        <v>0.53978068128791412</v>
      </c>
      <c r="Z112" s="129">
        <f t="shared" si="367"/>
        <v>0.53978068128791412</v>
      </c>
      <c r="AA112" s="129">
        <f t="shared" si="367"/>
        <v>0.53978068128791401</v>
      </c>
      <c r="AB112" s="129">
        <f t="shared" si="367"/>
        <v>0.53978068128791401</v>
      </c>
      <c r="AC112" s="129">
        <f t="shared" si="367"/>
        <v>0.53978068128791401</v>
      </c>
      <c r="AD112" s="129">
        <f t="shared" si="367"/>
        <v>0.53978068128791401</v>
      </c>
      <c r="AE112" s="129">
        <f t="shared" si="367"/>
        <v>0.5397806812879139</v>
      </c>
      <c r="AF112" s="129">
        <f t="shared" si="367"/>
        <v>0.5397806812879139</v>
      </c>
      <c r="AG112" s="129">
        <f t="shared" si="367"/>
        <v>0.53978068128791401</v>
      </c>
      <c r="AH112" s="116" t="e">
        <f t="shared" si="334"/>
        <v>#DIV/0!</v>
      </c>
      <c r="AI112" s="124"/>
      <c r="AJ112" s="124"/>
    </row>
    <row r="113" spans="1:36">
      <c r="B113" s="10" t="s">
        <v>314</v>
      </c>
      <c r="C113" s="129"/>
      <c r="D113" s="129"/>
      <c r="E113" s="129"/>
      <c r="F113" s="129"/>
      <c r="G113" s="129">
        <f t="shared" ref="G113" si="368">G29/G51</f>
        <v>0</v>
      </c>
      <c r="H113" s="129" t="e">
        <f t="shared" ref="H113:I113" si="369">H29/H51</f>
        <v>#DIV/0!</v>
      </c>
      <c r="I113" s="129" t="e">
        <f t="shared" si="369"/>
        <v>#DIV/0!</v>
      </c>
      <c r="J113" s="129" t="e">
        <f>J29/J51</f>
        <v>#DIV/0!</v>
      </c>
      <c r="K113" s="129" t="e">
        <f t="shared" ref="K113:S113" si="370">K29/K51</f>
        <v>#DIV/0!</v>
      </c>
      <c r="L113" s="129" t="e">
        <f t="shared" si="370"/>
        <v>#DIV/0!</v>
      </c>
      <c r="M113" s="129">
        <f t="shared" si="370"/>
        <v>0</v>
      </c>
      <c r="N113" s="129">
        <f t="shared" si="370"/>
        <v>0.60968320382546326</v>
      </c>
      <c r="O113" s="129">
        <f t="shared" si="370"/>
        <v>0.70391752577319588</v>
      </c>
      <c r="P113" s="129">
        <f t="shared" si="370"/>
        <v>0.74791533033996149</v>
      </c>
      <c r="Q113" s="129">
        <f t="shared" si="370"/>
        <v>0.80932314985514875</v>
      </c>
      <c r="R113" s="129">
        <f t="shared" si="370"/>
        <v>0.78343949044585992</v>
      </c>
      <c r="S113" s="129">
        <f t="shared" si="370"/>
        <v>0.78150464278946374</v>
      </c>
      <c r="T113" s="129">
        <f t="shared" ref="T113:U113" si="371">T29/T51</f>
        <v>0.83504782530229205</v>
      </c>
      <c r="U113" s="129">
        <f t="shared" si="371"/>
        <v>0.80235010545344987</v>
      </c>
      <c r="V113" s="101" t="e">
        <f t="shared" si="173"/>
        <v>#DIV/0!</v>
      </c>
      <c r="W113" s="10"/>
      <c r="X113" s="129">
        <f t="shared" ref="X113:AG113" si="372">X29/X51</f>
        <v>0.83504782530229194</v>
      </c>
      <c r="Y113" s="129">
        <f t="shared" si="372"/>
        <v>0.83504782530229194</v>
      </c>
      <c r="Z113" s="129">
        <f t="shared" si="372"/>
        <v>0.83504782530229194</v>
      </c>
      <c r="AA113" s="129">
        <f t="shared" si="372"/>
        <v>0.83504782530229194</v>
      </c>
      <c r="AB113" s="129">
        <f t="shared" si="372"/>
        <v>0.83504782530229205</v>
      </c>
      <c r="AC113" s="129">
        <f t="shared" si="372"/>
        <v>0.83504782530229194</v>
      </c>
      <c r="AD113" s="129">
        <f t="shared" si="372"/>
        <v>0.83504782530229194</v>
      </c>
      <c r="AE113" s="129">
        <f t="shared" si="372"/>
        <v>0.83504782530229194</v>
      </c>
      <c r="AF113" s="129">
        <f t="shared" si="372"/>
        <v>0.83504782530229194</v>
      </c>
      <c r="AG113" s="129">
        <f t="shared" si="372"/>
        <v>0.83504782530229194</v>
      </c>
      <c r="AH113" s="116" t="e">
        <f t="shared" ref="AH113" si="373">((AG113/J113)^(1/($AG$3-$K$1) ))-1</f>
        <v>#DIV/0!</v>
      </c>
      <c r="AI113" s="124"/>
      <c r="AJ113" s="124"/>
    </row>
    <row r="114" spans="1:36" ht="12" customHeight="1">
      <c r="B114" s="10" t="s">
        <v>313</v>
      </c>
      <c r="C114" s="129"/>
      <c r="D114" s="129"/>
      <c r="E114" s="129"/>
      <c r="F114" s="148"/>
      <c r="G114" s="148">
        <f t="shared" ref="G114" si="374">G29/G55</f>
        <v>0</v>
      </c>
      <c r="H114" s="148" t="e">
        <f t="shared" ref="H114:I114" si="375">H29/H55</f>
        <v>#DIV/0!</v>
      </c>
      <c r="I114" s="148" t="e">
        <f t="shared" si="375"/>
        <v>#DIV/0!</v>
      </c>
      <c r="J114" s="148" t="e">
        <f t="shared" ref="J114:S114" si="376">J29/J55</f>
        <v>#DIV/0!</v>
      </c>
      <c r="K114" s="148" t="e">
        <f t="shared" si="376"/>
        <v>#DIV/0!</v>
      </c>
      <c r="L114" s="148" t="e">
        <f t="shared" si="376"/>
        <v>#DIV/0!</v>
      </c>
      <c r="M114" s="148">
        <f t="shared" si="376"/>
        <v>0</v>
      </c>
      <c r="N114" s="148">
        <f t="shared" si="376"/>
        <v>2.6086956521739131</v>
      </c>
      <c r="O114" s="148">
        <f t="shared" si="376"/>
        <v>3.7599118942731278</v>
      </c>
      <c r="P114" s="148">
        <f t="shared" si="376"/>
        <v>3.1989026063100137</v>
      </c>
      <c r="Q114" s="148">
        <f t="shared" si="376"/>
        <v>5.1647058823529415</v>
      </c>
      <c r="R114" s="148">
        <f t="shared" si="376"/>
        <v>4.196470588235294</v>
      </c>
      <c r="S114" s="148">
        <f t="shared" si="376"/>
        <v>4.8290398126463696</v>
      </c>
      <c r="T114" s="148">
        <f t="shared" ref="T114:U114" si="377">T29/T55</f>
        <v>4.4404990403071016</v>
      </c>
      <c r="U114" s="148">
        <f t="shared" si="377"/>
        <v>3.6379781420765029</v>
      </c>
      <c r="V114" s="101" t="e">
        <f t="shared" si="173"/>
        <v>#DIV/0!</v>
      </c>
      <c r="W114" s="10"/>
      <c r="X114" s="148">
        <f t="shared" ref="X114:AG114" si="378">X29/X55</f>
        <v>4.4404990403071016</v>
      </c>
      <c r="Y114" s="148">
        <f t="shared" si="378"/>
        <v>4.4404990403071016</v>
      </c>
      <c r="Z114" s="148">
        <f t="shared" si="378"/>
        <v>4.4404990403071007</v>
      </c>
      <c r="AA114" s="148">
        <f t="shared" si="378"/>
        <v>4.4404990403071007</v>
      </c>
      <c r="AB114" s="148">
        <f t="shared" si="378"/>
        <v>4.4404990403071007</v>
      </c>
      <c r="AC114" s="148">
        <f t="shared" si="378"/>
        <v>4.4404990403071007</v>
      </c>
      <c r="AD114" s="148">
        <f t="shared" si="378"/>
        <v>4.4404990403071007</v>
      </c>
      <c r="AE114" s="148">
        <f t="shared" si="378"/>
        <v>4.4404990403070999</v>
      </c>
      <c r="AF114" s="148">
        <f t="shared" si="378"/>
        <v>4.4404990403070999</v>
      </c>
      <c r="AG114" s="148">
        <f t="shared" si="378"/>
        <v>4.4404990403071007</v>
      </c>
      <c r="AH114" s="116" t="e">
        <f t="shared" ref="AH114" si="379">((AG114/J114)^(1/($AG$3-$K$1) ))-1</f>
        <v>#DIV/0!</v>
      </c>
      <c r="AI114" s="124"/>
      <c r="AJ114" s="124"/>
    </row>
    <row r="115" spans="1:36" ht="12" customHeight="1">
      <c r="B115" s="10" t="s">
        <v>270</v>
      </c>
      <c r="C115" s="129"/>
      <c r="D115" s="129"/>
      <c r="E115" s="129"/>
      <c r="F115" s="148"/>
      <c r="G115" s="148" t="e">
        <f t="shared" ref="G115" si="380">G29/G12</f>
        <v>#DIV/0!</v>
      </c>
      <c r="H115" s="148" t="e">
        <f t="shared" ref="H115:I115" si="381">H29/H12</f>
        <v>#DIV/0!</v>
      </c>
      <c r="I115" s="148" t="e">
        <f t="shared" si="381"/>
        <v>#DIV/0!</v>
      </c>
      <c r="J115" s="148" t="e">
        <f t="shared" ref="J115:S115" si="382">J29/J12</f>
        <v>#DIV/0!</v>
      </c>
      <c r="K115" s="148" t="e">
        <f t="shared" si="382"/>
        <v>#DIV/0!</v>
      </c>
      <c r="L115" s="148" t="e">
        <f t="shared" si="382"/>
        <v>#DIV/0!</v>
      </c>
      <c r="M115" s="148" t="e">
        <f t="shared" si="382"/>
        <v>#DIV/0!</v>
      </c>
      <c r="N115" s="148">
        <f t="shared" si="382"/>
        <v>6.257668711656442</v>
      </c>
      <c r="O115" s="148">
        <f t="shared" si="382"/>
        <v>15.106194690265486</v>
      </c>
      <c r="P115" s="148">
        <f t="shared" si="382"/>
        <v>6.2857142857142856</v>
      </c>
      <c r="Q115" s="148">
        <f t="shared" si="382"/>
        <v>3.9296675191815855</v>
      </c>
      <c r="R115" s="148">
        <f t="shared" si="382"/>
        <v>4.138051044083527</v>
      </c>
      <c r="S115" s="148">
        <f t="shared" si="382"/>
        <v>10.258706467661691</v>
      </c>
      <c r="T115" s="148">
        <f t="shared" ref="T115:U115" si="383">T29/T12</f>
        <v>7.7895622895622898</v>
      </c>
      <c r="U115" s="148">
        <f t="shared" si="383"/>
        <v>8.9663299663299671</v>
      </c>
      <c r="V115" s="101" t="e">
        <f t="shared" si="173"/>
        <v>#DIV/0!</v>
      </c>
      <c r="W115" s="10"/>
      <c r="X115" s="129">
        <f t="shared" ref="X115:AG115" si="384">X29/X12</f>
        <v>7.7895622895622898</v>
      </c>
      <c r="Y115" s="129">
        <f t="shared" si="384"/>
        <v>7.7895622895622898</v>
      </c>
      <c r="Z115" s="129">
        <f t="shared" si="384"/>
        <v>7.7895622895622898</v>
      </c>
      <c r="AA115" s="129">
        <f t="shared" si="384"/>
        <v>7.7895622895622889</v>
      </c>
      <c r="AB115" s="129">
        <f t="shared" si="384"/>
        <v>7.7895622895622889</v>
      </c>
      <c r="AC115" s="129">
        <f t="shared" si="384"/>
        <v>7.7895622895622889</v>
      </c>
      <c r="AD115" s="129">
        <f t="shared" si="384"/>
        <v>7.7895622895622889</v>
      </c>
      <c r="AE115" s="129">
        <f t="shared" si="384"/>
        <v>7.7895622895622889</v>
      </c>
      <c r="AF115" s="129">
        <f t="shared" si="384"/>
        <v>7.7895622895622889</v>
      </c>
      <c r="AG115" s="129">
        <f t="shared" si="384"/>
        <v>7.789562289562288</v>
      </c>
      <c r="AH115" s="116" t="e">
        <f t="shared" si="334"/>
        <v>#DIV/0!</v>
      </c>
      <c r="AI115" s="124"/>
      <c r="AJ115" s="124"/>
    </row>
    <row r="116" spans="1:36" ht="12" customHeight="1">
      <c r="B116" s="10" t="s">
        <v>315</v>
      </c>
      <c r="C116" s="129"/>
      <c r="D116" s="129"/>
      <c r="E116" s="129"/>
      <c r="F116" s="148"/>
      <c r="G116" s="148" t="e">
        <f t="shared" ref="G116" si="385">G29/G23</f>
        <v>#DIV/0!</v>
      </c>
      <c r="H116" s="148" t="e">
        <f t="shared" ref="H116:I116" si="386">H29/H23</f>
        <v>#DIV/0!</v>
      </c>
      <c r="I116" s="148" t="e">
        <f t="shared" si="386"/>
        <v>#DIV/0!</v>
      </c>
      <c r="J116" s="148" t="e">
        <f>J29/J23</f>
        <v>#DIV/0!</v>
      </c>
      <c r="K116" s="148" t="e">
        <f t="shared" ref="K116:S116" si="387">K29/K23</f>
        <v>#DIV/0!</v>
      </c>
      <c r="L116" s="148" t="e">
        <f t="shared" si="387"/>
        <v>#DIV/0!</v>
      </c>
      <c r="M116" s="148" t="e">
        <f t="shared" si="387"/>
        <v>#DIV/0!</v>
      </c>
      <c r="N116" s="148" t="e">
        <f t="shared" si="387"/>
        <v>#DIV/0!</v>
      </c>
      <c r="O116" s="148" t="e">
        <f t="shared" si="387"/>
        <v>#DIV/0!</v>
      </c>
      <c r="P116" s="148" t="e">
        <f t="shared" si="387"/>
        <v>#DIV/0!</v>
      </c>
      <c r="Q116" s="148" t="e">
        <f t="shared" si="387"/>
        <v>#DIV/0!</v>
      </c>
      <c r="R116" s="148" t="e">
        <f t="shared" si="387"/>
        <v>#DIV/0!</v>
      </c>
      <c r="S116" s="148" t="e">
        <f t="shared" si="387"/>
        <v>#DIV/0!</v>
      </c>
      <c r="T116" s="148" t="e">
        <f t="shared" ref="T116:U116" si="388">T29/T23</f>
        <v>#DIV/0!</v>
      </c>
      <c r="U116" s="148" t="e">
        <f t="shared" si="388"/>
        <v>#DIV/0!</v>
      </c>
      <c r="V116" s="101" t="e">
        <f t="shared" si="173"/>
        <v>#DIV/0!</v>
      </c>
      <c r="W116" s="10"/>
      <c r="X116" s="148" t="e">
        <f t="shared" ref="X116:AG116" si="389">X29/X23</f>
        <v>#DIV/0!</v>
      </c>
      <c r="Y116" s="148" t="e">
        <f t="shared" si="389"/>
        <v>#DIV/0!</v>
      </c>
      <c r="Z116" s="148" t="e">
        <f t="shared" si="389"/>
        <v>#DIV/0!</v>
      </c>
      <c r="AA116" s="148" t="e">
        <f t="shared" si="389"/>
        <v>#DIV/0!</v>
      </c>
      <c r="AB116" s="148" t="e">
        <f t="shared" si="389"/>
        <v>#DIV/0!</v>
      </c>
      <c r="AC116" s="148" t="e">
        <f t="shared" si="389"/>
        <v>#DIV/0!</v>
      </c>
      <c r="AD116" s="148" t="e">
        <f t="shared" si="389"/>
        <v>#DIV/0!</v>
      </c>
      <c r="AE116" s="148" t="e">
        <f t="shared" si="389"/>
        <v>#DIV/0!</v>
      </c>
      <c r="AF116" s="148" t="e">
        <f t="shared" si="389"/>
        <v>#DIV/0!</v>
      </c>
      <c r="AG116" s="148" t="e">
        <f t="shared" si="389"/>
        <v>#DIV/0!</v>
      </c>
      <c r="AH116" s="116" t="e">
        <f t="shared" ref="AH116" si="390">((AG116/J116)^(1/($AG$3-$K$1) ))-1</f>
        <v>#DIV/0!</v>
      </c>
      <c r="AI116" s="124"/>
      <c r="AJ116" s="124"/>
    </row>
    <row r="117" spans="1:36" ht="12" customHeight="1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>
      <c r="B118" s="10" t="s">
        <v>347</v>
      </c>
      <c r="C118" s="129"/>
      <c r="D118" s="129"/>
      <c r="E118" s="129"/>
      <c r="F118" s="109"/>
      <c r="G118" s="109" t="e">
        <f t="shared" ref="G118" si="391">1/G112</f>
        <v>#DIV/0!</v>
      </c>
      <c r="H118" s="109" t="e">
        <f t="shared" ref="H118:I118" si="392">1/H112</f>
        <v>#DIV/0!</v>
      </c>
      <c r="I118" s="109" t="e">
        <f t="shared" si="392"/>
        <v>#DIV/0!</v>
      </c>
      <c r="J118" s="109" t="e">
        <f>1/J112</f>
        <v>#DIV/0!</v>
      </c>
      <c r="K118" s="109" t="e">
        <f t="shared" ref="K118:S118" si="393">1/K112</f>
        <v>#DIV/0!</v>
      </c>
      <c r="L118" s="109" t="e">
        <f t="shared" si="393"/>
        <v>#DIV/0!</v>
      </c>
      <c r="M118" s="109" t="e">
        <f t="shared" si="393"/>
        <v>#DIV/0!</v>
      </c>
      <c r="N118" s="109">
        <f t="shared" si="393"/>
        <v>2.0676470588235292</v>
      </c>
      <c r="O118" s="109">
        <f t="shared" si="393"/>
        <v>1.7574692442882252</v>
      </c>
      <c r="P118" s="109">
        <f t="shared" si="393"/>
        <v>1.811320754716981</v>
      </c>
      <c r="Q118" s="109">
        <f t="shared" si="393"/>
        <v>1.7041978522616337</v>
      </c>
      <c r="R118" s="109">
        <f t="shared" si="393"/>
        <v>1.816932996916176</v>
      </c>
      <c r="S118" s="109">
        <f t="shared" si="393"/>
        <v>1.8113482056256063</v>
      </c>
      <c r="T118" s="109">
        <f t="shared" ref="T118:U118" si="394">1/T112</f>
        <v>1.852604279230603</v>
      </c>
      <c r="U118" s="109">
        <f t="shared" si="394"/>
        <v>1.9712730003755161</v>
      </c>
      <c r="V118" s="101" t="e">
        <f t="shared" si="173"/>
        <v>#DIV/0!</v>
      </c>
      <c r="W118" s="10"/>
      <c r="X118" s="109">
        <f t="shared" ref="X118:AG118" si="395">1/X112</f>
        <v>1.852604279230603</v>
      </c>
      <c r="Y118" s="109">
        <f t="shared" si="395"/>
        <v>1.852604279230603</v>
      </c>
      <c r="Z118" s="109">
        <f t="shared" si="395"/>
        <v>1.852604279230603</v>
      </c>
      <c r="AA118" s="109">
        <f t="shared" si="395"/>
        <v>1.8526042792306034</v>
      </c>
      <c r="AB118" s="109">
        <f t="shared" si="395"/>
        <v>1.8526042792306034</v>
      </c>
      <c r="AC118" s="109">
        <f t="shared" si="395"/>
        <v>1.8526042792306034</v>
      </c>
      <c r="AD118" s="109">
        <f t="shared" si="395"/>
        <v>1.8526042792306034</v>
      </c>
      <c r="AE118" s="109">
        <f t="shared" si="395"/>
        <v>1.8526042792306039</v>
      </c>
      <c r="AF118" s="109">
        <f t="shared" si="395"/>
        <v>1.8526042792306039</v>
      </c>
      <c r="AG118" s="109">
        <f t="shared" si="395"/>
        <v>1.8526042792306034</v>
      </c>
      <c r="AH118" s="116" t="e">
        <f t="shared" si="334"/>
        <v>#DIV/0!</v>
      </c>
      <c r="AI118" s="124"/>
      <c r="AJ118" s="124"/>
    </row>
    <row r="119" spans="1:36" ht="12" customHeight="1">
      <c r="B119" s="10" t="s">
        <v>348</v>
      </c>
      <c r="C119" s="129"/>
      <c r="D119" s="129"/>
      <c r="E119" s="129"/>
      <c r="F119" s="109"/>
      <c r="G119" s="109" t="e">
        <f t="shared" ref="G119" si="396">1/G113</f>
        <v>#DIV/0!</v>
      </c>
      <c r="H119" s="109" t="e">
        <f t="shared" ref="H119:I119" si="397">1/H113</f>
        <v>#DIV/0!</v>
      </c>
      <c r="I119" s="109" t="e">
        <f t="shared" si="397"/>
        <v>#DIV/0!</v>
      </c>
      <c r="J119" s="109" t="e">
        <f t="shared" ref="J119:S122" si="398">1/J113</f>
        <v>#DIV/0!</v>
      </c>
      <c r="K119" s="109" t="e">
        <f t="shared" si="398"/>
        <v>#DIV/0!</v>
      </c>
      <c r="L119" s="109" t="e">
        <f t="shared" si="398"/>
        <v>#DIV/0!</v>
      </c>
      <c r="M119" s="109" t="e">
        <f t="shared" si="398"/>
        <v>#DIV/0!</v>
      </c>
      <c r="N119" s="109">
        <f t="shared" si="398"/>
        <v>1.6401960784313725</v>
      </c>
      <c r="O119" s="109">
        <f t="shared" si="398"/>
        <v>1.4206209724663152</v>
      </c>
      <c r="P119" s="109">
        <f t="shared" si="398"/>
        <v>1.33704974271012</v>
      </c>
      <c r="Q119" s="109">
        <f t="shared" si="398"/>
        <v>1.2356003904978849</v>
      </c>
      <c r="R119" s="109">
        <f t="shared" si="398"/>
        <v>1.2764227642276422</v>
      </c>
      <c r="S119" s="109">
        <f t="shared" si="398"/>
        <v>1.2795829291949563</v>
      </c>
      <c r="T119" s="109">
        <f t="shared" ref="T119:U119" si="399">1/T113</f>
        <v>1.197536200561919</v>
      </c>
      <c r="U119" s="109">
        <f t="shared" si="399"/>
        <v>1.2463387157341344</v>
      </c>
      <c r="V119" s="101" t="e">
        <f t="shared" si="173"/>
        <v>#DIV/0!</v>
      </c>
      <c r="W119" s="10"/>
      <c r="X119" s="109">
        <f t="shared" ref="X119:AG119" si="400">1/X113</f>
        <v>1.1975362005619192</v>
      </c>
      <c r="Y119" s="109">
        <f t="shared" si="400"/>
        <v>1.1975362005619192</v>
      </c>
      <c r="Z119" s="109">
        <f t="shared" si="400"/>
        <v>1.1975362005619192</v>
      </c>
      <c r="AA119" s="109">
        <f t="shared" si="400"/>
        <v>1.1975362005619192</v>
      </c>
      <c r="AB119" s="109">
        <f t="shared" si="400"/>
        <v>1.197536200561919</v>
      </c>
      <c r="AC119" s="109">
        <f t="shared" si="400"/>
        <v>1.1975362005619192</v>
      </c>
      <c r="AD119" s="109">
        <f t="shared" si="400"/>
        <v>1.1975362005619192</v>
      </c>
      <c r="AE119" s="109">
        <f t="shared" si="400"/>
        <v>1.1975362005619192</v>
      </c>
      <c r="AF119" s="109">
        <f t="shared" si="400"/>
        <v>1.1975362005619192</v>
      </c>
      <c r="AG119" s="109">
        <f t="shared" si="400"/>
        <v>1.1975362005619192</v>
      </c>
      <c r="AH119" s="116" t="e">
        <f t="shared" si="334"/>
        <v>#DIV/0!</v>
      </c>
      <c r="AI119" s="124"/>
      <c r="AJ119" s="124"/>
    </row>
    <row r="120" spans="1:36" ht="12" customHeight="1">
      <c r="B120" s="10" t="s">
        <v>349</v>
      </c>
      <c r="C120" s="129"/>
      <c r="D120" s="129"/>
      <c r="E120" s="129"/>
      <c r="F120" s="109"/>
      <c r="G120" s="109" t="e">
        <f t="shared" ref="G120" si="401">1/G114</f>
        <v>#DIV/0!</v>
      </c>
      <c r="H120" s="109" t="e">
        <f t="shared" ref="H120:I120" si="402">1/H114</f>
        <v>#DIV/0!</v>
      </c>
      <c r="I120" s="109" t="e">
        <f t="shared" si="402"/>
        <v>#DIV/0!</v>
      </c>
      <c r="J120" s="109" t="e">
        <f t="shared" si="398"/>
        <v>#DIV/0!</v>
      </c>
      <c r="K120" s="109" t="e">
        <f t="shared" si="398"/>
        <v>#DIV/0!</v>
      </c>
      <c r="L120" s="109" t="e">
        <f t="shared" si="398"/>
        <v>#DIV/0!</v>
      </c>
      <c r="M120" s="109" t="e">
        <f t="shared" si="398"/>
        <v>#DIV/0!</v>
      </c>
      <c r="N120" s="109">
        <f t="shared" si="398"/>
        <v>0.3833333333333333</v>
      </c>
      <c r="O120" s="109">
        <f t="shared" si="398"/>
        <v>0.2659636789689514</v>
      </c>
      <c r="P120" s="109">
        <f t="shared" si="398"/>
        <v>0.31260720411663806</v>
      </c>
      <c r="Q120" s="109">
        <f t="shared" si="398"/>
        <v>0.19362186788154898</v>
      </c>
      <c r="R120" s="109">
        <f t="shared" si="398"/>
        <v>0.23829548640313991</v>
      </c>
      <c r="S120" s="109">
        <f t="shared" si="398"/>
        <v>0.2070805043646945</v>
      </c>
      <c r="T120" s="109">
        <f t="shared" ref="T120:U120" si="403">1/T114</f>
        <v>0.22519991355089691</v>
      </c>
      <c r="U120" s="109">
        <f t="shared" si="403"/>
        <v>0.27487795719113778</v>
      </c>
      <c r="V120" s="101" t="e">
        <f t="shared" si="173"/>
        <v>#DIV/0!</v>
      </c>
      <c r="W120" s="10"/>
      <c r="X120" s="109">
        <f t="shared" ref="X120:AG120" si="404">1/X114</f>
        <v>0.22519991355089691</v>
      </c>
      <c r="Y120" s="109">
        <f t="shared" si="404"/>
        <v>0.22519991355089691</v>
      </c>
      <c r="Z120" s="109">
        <f t="shared" si="404"/>
        <v>0.22519991355089697</v>
      </c>
      <c r="AA120" s="109">
        <f t="shared" si="404"/>
        <v>0.22519991355089697</v>
      </c>
      <c r="AB120" s="109">
        <f t="shared" si="404"/>
        <v>0.22519991355089697</v>
      </c>
      <c r="AC120" s="109">
        <f t="shared" si="404"/>
        <v>0.22519991355089697</v>
      </c>
      <c r="AD120" s="109">
        <f t="shared" si="404"/>
        <v>0.22519991355089697</v>
      </c>
      <c r="AE120" s="109">
        <f t="shared" si="404"/>
        <v>0.225199913550897</v>
      </c>
      <c r="AF120" s="109">
        <f t="shared" si="404"/>
        <v>0.225199913550897</v>
      </c>
      <c r="AG120" s="109">
        <f t="shared" si="404"/>
        <v>0.22519991355089697</v>
      </c>
      <c r="AH120" s="116" t="e">
        <f t="shared" si="334"/>
        <v>#DIV/0!</v>
      </c>
      <c r="AI120" s="124"/>
      <c r="AJ120" s="124"/>
    </row>
    <row r="121" spans="1:36" ht="12" customHeight="1">
      <c r="B121" s="10" t="s">
        <v>350</v>
      </c>
      <c r="C121" s="129"/>
      <c r="D121" s="129"/>
      <c r="E121" s="129"/>
      <c r="F121" s="109"/>
      <c r="G121" s="109" t="e">
        <f t="shared" ref="G121" si="405">1/G115</f>
        <v>#DIV/0!</v>
      </c>
      <c r="H121" s="109" t="e">
        <f t="shared" ref="H121:I121" si="406">1/H115</f>
        <v>#DIV/0!</v>
      </c>
      <c r="I121" s="109" t="e">
        <f t="shared" si="406"/>
        <v>#DIV/0!</v>
      </c>
      <c r="J121" s="109" t="e">
        <f t="shared" si="398"/>
        <v>#DIV/0!</v>
      </c>
      <c r="K121" s="109" t="e">
        <f t="shared" si="398"/>
        <v>#DIV/0!</v>
      </c>
      <c r="L121" s="109" t="e">
        <f t="shared" si="398"/>
        <v>#DIV/0!</v>
      </c>
      <c r="M121" s="109" t="e">
        <f t="shared" si="398"/>
        <v>#DIV/0!</v>
      </c>
      <c r="N121" s="109">
        <f t="shared" si="398"/>
        <v>0.15980392156862744</v>
      </c>
      <c r="O121" s="109">
        <f t="shared" si="398"/>
        <v>6.6198008201523148E-2</v>
      </c>
      <c r="P121" s="109">
        <f t="shared" si="398"/>
        <v>0.15909090909090909</v>
      </c>
      <c r="Q121" s="109">
        <f t="shared" si="398"/>
        <v>0.25447445493003579</v>
      </c>
      <c r="R121" s="109">
        <f t="shared" si="398"/>
        <v>0.24165965797589009</v>
      </c>
      <c r="S121" s="109">
        <f t="shared" si="398"/>
        <v>9.7478176527643068E-2</v>
      </c>
      <c r="T121" s="109">
        <f t="shared" ref="T121:U121" si="407">1/T115</f>
        <v>0.12837691808947482</v>
      </c>
      <c r="U121" s="109">
        <f t="shared" si="407"/>
        <v>0.11152835148328952</v>
      </c>
      <c r="V121" s="101" t="e">
        <f t="shared" si="173"/>
        <v>#DIV/0!</v>
      </c>
      <c r="W121" s="10"/>
      <c r="X121" s="109">
        <f t="shared" ref="X121:AG121" si="408">1/X115</f>
        <v>0.12837691808947482</v>
      </c>
      <c r="Y121" s="109">
        <f t="shared" si="408"/>
        <v>0.12837691808947482</v>
      </c>
      <c r="Z121" s="109">
        <f t="shared" si="408"/>
        <v>0.12837691808947482</v>
      </c>
      <c r="AA121" s="109">
        <f t="shared" si="408"/>
        <v>0.12837691808947482</v>
      </c>
      <c r="AB121" s="109">
        <f t="shared" si="408"/>
        <v>0.12837691808947482</v>
      </c>
      <c r="AC121" s="109">
        <f t="shared" si="408"/>
        <v>0.12837691808947482</v>
      </c>
      <c r="AD121" s="109">
        <f t="shared" si="408"/>
        <v>0.12837691808947482</v>
      </c>
      <c r="AE121" s="109">
        <f t="shared" si="408"/>
        <v>0.12837691808947482</v>
      </c>
      <c r="AF121" s="109">
        <f t="shared" si="408"/>
        <v>0.12837691808947482</v>
      </c>
      <c r="AG121" s="109">
        <f t="shared" si="408"/>
        <v>0.12837691808947485</v>
      </c>
      <c r="AH121" s="116" t="e">
        <f t="shared" si="334"/>
        <v>#DIV/0!</v>
      </c>
      <c r="AI121" s="124"/>
      <c r="AJ121" s="124"/>
    </row>
    <row r="122" spans="1:36" ht="12" customHeight="1">
      <c r="B122" s="10" t="s">
        <v>351</v>
      </c>
      <c r="C122" s="129"/>
      <c r="D122" s="129"/>
      <c r="E122" s="129"/>
      <c r="F122" s="109"/>
      <c r="G122" s="109" t="e">
        <f t="shared" ref="G122" si="409">1/G116</f>
        <v>#DIV/0!</v>
      </c>
      <c r="H122" s="109" t="e">
        <f t="shared" ref="H122:I122" si="410">1/H116</f>
        <v>#DIV/0!</v>
      </c>
      <c r="I122" s="109" t="e">
        <f t="shared" si="410"/>
        <v>#DIV/0!</v>
      </c>
      <c r="J122" s="109" t="e">
        <f t="shared" si="398"/>
        <v>#DIV/0!</v>
      </c>
      <c r="K122" s="109" t="e">
        <f t="shared" si="398"/>
        <v>#DIV/0!</v>
      </c>
      <c r="L122" s="109" t="e">
        <f t="shared" si="398"/>
        <v>#DIV/0!</v>
      </c>
      <c r="M122" s="109" t="e">
        <f t="shared" si="398"/>
        <v>#DIV/0!</v>
      </c>
      <c r="N122" s="109" t="e">
        <f t="shared" si="398"/>
        <v>#DIV/0!</v>
      </c>
      <c r="O122" s="109" t="e">
        <f t="shared" si="398"/>
        <v>#DIV/0!</v>
      </c>
      <c r="P122" s="109" t="e">
        <f t="shared" si="398"/>
        <v>#DIV/0!</v>
      </c>
      <c r="Q122" s="109" t="e">
        <f t="shared" si="398"/>
        <v>#DIV/0!</v>
      </c>
      <c r="R122" s="109" t="e">
        <f t="shared" si="398"/>
        <v>#DIV/0!</v>
      </c>
      <c r="S122" s="109" t="e">
        <f t="shared" si="398"/>
        <v>#DIV/0!</v>
      </c>
      <c r="T122" s="109" t="e">
        <f t="shared" ref="T122:U122" si="411">1/T116</f>
        <v>#DIV/0!</v>
      </c>
      <c r="U122" s="109" t="e">
        <f t="shared" si="411"/>
        <v>#DIV/0!</v>
      </c>
      <c r="V122" s="101" t="e">
        <f t="shared" si="173"/>
        <v>#DIV/0!</v>
      </c>
      <c r="W122" s="10"/>
      <c r="X122" s="109" t="e">
        <f t="shared" ref="X122:AG122" si="412">1/X116</f>
        <v>#DIV/0!</v>
      </c>
      <c r="Y122" s="109" t="e">
        <f t="shared" si="412"/>
        <v>#DIV/0!</v>
      </c>
      <c r="Z122" s="109" t="e">
        <f t="shared" si="412"/>
        <v>#DIV/0!</v>
      </c>
      <c r="AA122" s="109" t="e">
        <f t="shared" si="412"/>
        <v>#DIV/0!</v>
      </c>
      <c r="AB122" s="109" t="e">
        <f t="shared" si="412"/>
        <v>#DIV/0!</v>
      </c>
      <c r="AC122" s="109" t="e">
        <f t="shared" si="412"/>
        <v>#DIV/0!</v>
      </c>
      <c r="AD122" s="109" t="e">
        <f t="shared" si="412"/>
        <v>#DIV/0!</v>
      </c>
      <c r="AE122" s="109" t="e">
        <f t="shared" si="412"/>
        <v>#DIV/0!</v>
      </c>
      <c r="AF122" s="109" t="e">
        <f t="shared" si="412"/>
        <v>#DIV/0!</v>
      </c>
      <c r="AG122" s="109" t="e">
        <f t="shared" si="412"/>
        <v>#DIV/0!</v>
      </c>
      <c r="AH122" s="116" t="e">
        <f t="shared" si="334"/>
        <v>#DIV/0!</v>
      </c>
      <c r="AI122" s="124"/>
      <c r="AJ122" s="124"/>
    </row>
    <row r="123" spans="1:36" ht="12" customHeight="1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>
      <c r="A124" s="301" t="s">
        <v>423</v>
      </c>
      <c r="B124" s="179" t="s">
        <v>430</v>
      </c>
      <c r="C124" s="129"/>
      <c r="D124" s="129"/>
      <c r="E124" s="129"/>
      <c r="F124" s="148"/>
      <c r="G124" s="148" t="e">
        <f t="shared" ref="G124" si="413">G25/(G36+G38)</f>
        <v>#DIV/0!</v>
      </c>
      <c r="H124" s="148" t="e">
        <f t="shared" ref="H124:I124" si="414">H25/(H36+H38)</f>
        <v>#DIV/0!</v>
      </c>
      <c r="I124" s="148" t="e">
        <f t="shared" si="414"/>
        <v>#DIV/0!</v>
      </c>
      <c r="J124" s="148" t="e">
        <f t="shared" ref="J124:T124" si="415">J25/(J36+J38)</f>
        <v>#DIV/0!</v>
      </c>
      <c r="K124" s="148" t="e">
        <f t="shared" si="415"/>
        <v>#DIV/0!</v>
      </c>
      <c r="L124" s="148" t="e">
        <f t="shared" si="415"/>
        <v>#DIV/0!</v>
      </c>
      <c r="M124" s="148" t="e">
        <f t="shared" si="415"/>
        <v>#DIV/0!</v>
      </c>
      <c r="N124" s="148" t="e">
        <f t="shared" si="415"/>
        <v>#DIV/0!</v>
      </c>
      <c r="O124" s="148" t="e">
        <f t="shared" si="415"/>
        <v>#DIV/0!</v>
      </c>
      <c r="P124" s="148" t="e">
        <f t="shared" si="415"/>
        <v>#DIV/0!</v>
      </c>
      <c r="Q124" s="148" t="e">
        <f t="shared" si="415"/>
        <v>#DIV/0!</v>
      </c>
      <c r="R124" s="148" t="e">
        <f t="shared" si="415"/>
        <v>#DIV/0!</v>
      </c>
      <c r="S124" s="148" t="e">
        <f t="shared" si="415"/>
        <v>#DIV/0!</v>
      </c>
      <c r="T124" s="148" t="e">
        <f t="shared" si="415"/>
        <v>#DIV/0!</v>
      </c>
      <c r="U124" s="148" t="e">
        <f t="shared" ref="U124" si="416">U25/(U36+U38)</f>
        <v>#DIV/0!</v>
      </c>
      <c r="V124" s="101" t="e">
        <f t="shared" si="173"/>
        <v>#DIV/0!</v>
      </c>
      <c r="W124" s="10"/>
      <c r="X124" s="148" t="e">
        <f t="shared" ref="X124:AG124" si="417">X25/(X36+X38)</f>
        <v>#DIV/0!</v>
      </c>
      <c r="Y124" s="148" t="e">
        <f t="shared" si="417"/>
        <v>#DIV/0!</v>
      </c>
      <c r="Z124" s="148" t="e">
        <f t="shared" si="417"/>
        <v>#DIV/0!</v>
      </c>
      <c r="AA124" s="148" t="e">
        <f t="shared" si="417"/>
        <v>#DIV/0!</v>
      </c>
      <c r="AB124" s="148" t="e">
        <f t="shared" si="417"/>
        <v>#DIV/0!</v>
      </c>
      <c r="AC124" s="148" t="e">
        <f t="shared" si="417"/>
        <v>#DIV/0!</v>
      </c>
      <c r="AD124" s="148" t="e">
        <f t="shared" si="417"/>
        <v>#DIV/0!</v>
      </c>
      <c r="AE124" s="148" t="e">
        <f t="shared" si="417"/>
        <v>#DIV/0!</v>
      </c>
      <c r="AF124" s="148" t="e">
        <f t="shared" si="417"/>
        <v>#DIV/0!</v>
      </c>
      <c r="AG124" s="148" t="e">
        <f t="shared" si="417"/>
        <v>#DIV/0!</v>
      </c>
      <c r="AH124" s="116" t="e">
        <f t="shared" ref="AH124:AH132" si="418">((AG124/J124)^(1/($AG$3-$K$1) ))-1</f>
        <v>#DIV/0!</v>
      </c>
      <c r="AI124" s="124"/>
      <c r="AJ124" s="124"/>
    </row>
    <row r="125" spans="1:36" ht="12" customHeight="1">
      <c r="A125" s="301"/>
      <c r="B125" s="179" t="s">
        <v>425</v>
      </c>
      <c r="C125" s="129"/>
      <c r="D125" s="129"/>
      <c r="E125" s="129"/>
      <c r="F125" s="148"/>
      <c r="G125" s="148" t="e">
        <f t="shared" ref="G125" si="419">G25/G43</f>
        <v>#DIV/0!</v>
      </c>
      <c r="H125" s="148" t="e">
        <f t="shared" ref="H125:I125" si="420">H25/H43</f>
        <v>#DIV/0!</v>
      </c>
      <c r="I125" s="148" t="e">
        <f t="shared" si="420"/>
        <v>#DIV/0!</v>
      </c>
      <c r="J125" s="148" t="e">
        <f t="shared" ref="J125:T125" si="421">J25/J43</f>
        <v>#DIV/0!</v>
      </c>
      <c r="K125" s="148" t="e">
        <f t="shared" si="421"/>
        <v>#DIV/0!</v>
      </c>
      <c r="L125" s="148" t="e">
        <f t="shared" si="421"/>
        <v>#DIV/0!</v>
      </c>
      <c r="M125" s="148" t="e">
        <f t="shared" si="421"/>
        <v>#DIV/0!</v>
      </c>
      <c r="N125" s="148" t="e">
        <f t="shared" si="421"/>
        <v>#DIV/0!</v>
      </c>
      <c r="O125" s="148" t="e">
        <f t="shared" si="421"/>
        <v>#DIV/0!</v>
      </c>
      <c r="P125" s="148" t="e">
        <f t="shared" si="421"/>
        <v>#DIV/0!</v>
      </c>
      <c r="Q125" s="148" t="e">
        <f t="shared" si="421"/>
        <v>#DIV/0!</v>
      </c>
      <c r="R125" s="148" t="e">
        <f t="shared" si="421"/>
        <v>#DIV/0!</v>
      </c>
      <c r="S125" s="148" t="e">
        <f t="shared" si="421"/>
        <v>#DIV/0!</v>
      </c>
      <c r="T125" s="148" t="e">
        <f t="shared" si="421"/>
        <v>#DIV/0!</v>
      </c>
      <c r="U125" s="148" t="e">
        <f t="shared" ref="U125" si="422">U25/U43</f>
        <v>#DIV/0!</v>
      </c>
      <c r="V125" s="101" t="e">
        <f t="shared" si="173"/>
        <v>#DIV/0!</v>
      </c>
      <c r="W125" s="10"/>
      <c r="X125" s="148" t="e">
        <f t="shared" ref="X125:AG125" si="423">X25/X43</f>
        <v>#DIV/0!</v>
      </c>
      <c r="Y125" s="148" t="e">
        <f t="shared" si="423"/>
        <v>#DIV/0!</v>
      </c>
      <c r="Z125" s="148" t="e">
        <f t="shared" si="423"/>
        <v>#DIV/0!</v>
      </c>
      <c r="AA125" s="148" t="e">
        <f t="shared" si="423"/>
        <v>#DIV/0!</v>
      </c>
      <c r="AB125" s="148" t="e">
        <f t="shared" si="423"/>
        <v>#DIV/0!</v>
      </c>
      <c r="AC125" s="148" t="e">
        <f t="shared" si="423"/>
        <v>#DIV/0!</v>
      </c>
      <c r="AD125" s="148" t="e">
        <f t="shared" si="423"/>
        <v>#DIV/0!</v>
      </c>
      <c r="AE125" s="148" t="e">
        <f t="shared" si="423"/>
        <v>#DIV/0!</v>
      </c>
      <c r="AF125" s="148" t="e">
        <f t="shared" si="423"/>
        <v>#DIV/0!</v>
      </c>
      <c r="AG125" s="148" t="e">
        <f t="shared" si="423"/>
        <v>#DIV/0!</v>
      </c>
      <c r="AH125" s="116" t="e">
        <f t="shared" si="418"/>
        <v>#DIV/0!</v>
      </c>
      <c r="AI125" s="124"/>
      <c r="AJ125" s="124"/>
    </row>
    <row r="126" spans="1:36" ht="12" customHeight="1">
      <c r="A126" s="301"/>
      <c r="B126" s="179" t="s">
        <v>431</v>
      </c>
      <c r="C126" s="129"/>
      <c r="D126" s="129"/>
      <c r="E126" s="129"/>
      <c r="F126" s="148"/>
      <c r="G126" s="148" t="e">
        <f t="shared" ref="G126" si="424">G43/(G36)</f>
        <v>#DIV/0!</v>
      </c>
      <c r="H126" s="148" t="e">
        <f t="shared" ref="H126:I126" si="425">H43/(H36)</f>
        <v>#DIV/0!</v>
      </c>
      <c r="I126" s="148" t="e">
        <f t="shared" si="425"/>
        <v>#DIV/0!</v>
      </c>
      <c r="J126" s="148" t="e">
        <f t="shared" ref="J126:T126" si="426">J43/(J36)</f>
        <v>#DIV/0!</v>
      </c>
      <c r="K126" s="148" t="e">
        <f t="shared" si="426"/>
        <v>#DIV/0!</v>
      </c>
      <c r="L126" s="148" t="e">
        <f t="shared" si="426"/>
        <v>#DIV/0!</v>
      </c>
      <c r="M126" s="148" t="e">
        <f t="shared" si="426"/>
        <v>#DIV/0!</v>
      </c>
      <c r="N126" s="148" t="e">
        <f t="shared" si="426"/>
        <v>#DIV/0!</v>
      </c>
      <c r="O126" s="148" t="e">
        <f t="shared" si="426"/>
        <v>#DIV/0!</v>
      </c>
      <c r="P126" s="148" t="e">
        <f t="shared" si="426"/>
        <v>#DIV/0!</v>
      </c>
      <c r="Q126" s="148" t="e">
        <f t="shared" si="426"/>
        <v>#DIV/0!</v>
      </c>
      <c r="R126" s="148" t="e">
        <f t="shared" si="426"/>
        <v>#DIV/0!</v>
      </c>
      <c r="S126" s="148" t="e">
        <f t="shared" si="426"/>
        <v>#DIV/0!</v>
      </c>
      <c r="T126" s="148" t="e">
        <f t="shared" si="426"/>
        <v>#DIV/0!</v>
      </c>
      <c r="U126" s="148" t="e">
        <f t="shared" ref="U126" si="427">U43/(U36)</f>
        <v>#DIV/0!</v>
      </c>
      <c r="V126" s="101" t="e">
        <f t="shared" si="173"/>
        <v>#DIV/0!</v>
      </c>
      <c r="W126" s="10"/>
      <c r="X126" s="148" t="e">
        <f t="shared" ref="X126:AG126" si="428">X43/(X36+X38)</f>
        <v>#DIV/0!</v>
      </c>
      <c r="Y126" s="148" t="e">
        <f t="shared" si="428"/>
        <v>#DIV/0!</v>
      </c>
      <c r="Z126" s="148" t="e">
        <f t="shared" si="428"/>
        <v>#DIV/0!</v>
      </c>
      <c r="AA126" s="148" t="e">
        <f t="shared" si="428"/>
        <v>#DIV/0!</v>
      </c>
      <c r="AB126" s="148" t="e">
        <f t="shared" si="428"/>
        <v>#DIV/0!</v>
      </c>
      <c r="AC126" s="148" t="e">
        <f t="shared" si="428"/>
        <v>#DIV/0!</v>
      </c>
      <c r="AD126" s="148" t="e">
        <f t="shared" si="428"/>
        <v>#DIV/0!</v>
      </c>
      <c r="AE126" s="148" t="e">
        <f t="shared" si="428"/>
        <v>#DIV/0!</v>
      </c>
      <c r="AF126" s="148" t="e">
        <f t="shared" si="428"/>
        <v>#DIV/0!</v>
      </c>
      <c r="AG126" s="148" t="e">
        <f t="shared" si="428"/>
        <v>#DIV/0!</v>
      </c>
      <c r="AH126" s="116" t="e">
        <f t="shared" si="418"/>
        <v>#DIV/0!</v>
      </c>
      <c r="AI126" s="124"/>
      <c r="AJ126" s="124"/>
    </row>
    <row r="127" spans="1:36" ht="12" customHeight="1">
      <c r="A127" s="301"/>
      <c r="B127" s="179" t="s">
        <v>429</v>
      </c>
      <c r="C127" s="129"/>
      <c r="D127" s="129"/>
      <c r="E127" s="129"/>
      <c r="F127" s="148"/>
      <c r="G127" s="148" t="e">
        <f t="shared" ref="G127" si="429">G43/G38</f>
        <v>#DIV/0!</v>
      </c>
      <c r="H127" s="148" t="e">
        <f t="shared" ref="H127:I127" si="430">H43/H38</f>
        <v>#DIV/0!</v>
      </c>
      <c r="I127" s="148" t="e">
        <f t="shared" si="430"/>
        <v>#DIV/0!</v>
      </c>
      <c r="J127" s="148" t="e">
        <f t="shared" ref="J127:T127" si="431">J43/J38</f>
        <v>#DIV/0!</v>
      </c>
      <c r="K127" s="148" t="e">
        <f t="shared" si="431"/>
        <v>#DIV/0!</v>
      </c>
      <c r="L127" s="148" t="e">
        <f t="shared" si="431"/>
        <v>#DIV/0!</v>
      </c>
      <c r="M127" s="148" t="e">
        <f t="shared" si="431"/>
        <v>#DIV/0!</v>
      </c>
      <c r="N127" s="148" t="e">
        <f t="shared" si="431"/>
        <v>#DIV/0!</v>
      </c>
      <c r="O127" s="148" t="e">
        <f t="shared" si="431"/>
        <v>#DIV/0!</v>
      </c>
      <c r="P127" s="148" t="e">
        <f t="shared" si="431"/>
        <v>#DIV/0!</v>
      </c>
      <c r="Q127" s="148" t="e">
        <f t="shared" si="431"/>
        <v>#DIV/0!</v>
      </c>
      <c r="R127" s="148" t="e">
        <f t="shared" si="431"/>
        <v>#DIV/0!</v>
      </c>
      <c r="S127" s="148" t="e">
        <f t="shared" si="431"/>
        <v>#DIV/0!</v>
      </c>
      <c r="T127" s="148" t="e">
        <f t="shared" si="431"/>
        <v>#DIV/0!</v>
      </c>
      <c r="U127" s="148" t="e">
        <f t="shared" ref="U127" si="432">U43/U38</f>
        <v>#DIV/0!</v>
      </c>
      <c r="V127" s="101" t="e">
        <f t="shared" si="173"/>
        <v>#DIV/0!</v>
      </c>
      <c r="W127" s="10"/>
      <c r="X127" s="148" t="e">
        <f t="shared" ref="X127:AG127" si="433">X43/X38</f>
        <v>#DIV/0!</v>
      </c>
      <c r="Y127" s="148" t="e">
        <f t="shared" si="433"/>
        <v>#DIV/0!</v>
      </c>
      <c r="Z127" s="148" t="e">
        <f t="shared" si="433"/>
        <v>#DIV/0!</v>
      </c>
      <c r="AA127" s="148" t="e">
        <f t="shared" si="433"/>
        <v>#DIV/0!</v>
      </c>
      <c r="AB127" s="148" t="e">
        <f t="shared" si="433"/>
        <v>#DIV/0!</v>
      </c>
      <c r="AC127" s="148" t="e">
        <f t="shared" si="433"/>
        <v>#DIV/0!</v>
      </c>
      <c r="AD127" s="148" t="e">
        <f t="shared" si="433"/>
        <v>#DIV/0!</v>
      </c>
      <c r="AE127" s="148" t="e">
        <f t="shared" si="433"/>
        <v>#DIV/0!</v>
      </c>
      <c r="AF127" s="148" t="e">
        <f t="shared" si="433"/>
        <v>#DIV/0!</v>
      </c>
      <c r="AG127" s="148" t="e">
        <f t="shared" si="433"/>
        <v>#DIV/0!</v>
      </c>
      <c r="AH127" s="116" t="e">
        <f t="shared" si="418"/>
        <v>#DIV/0!</v>
      </c>
      <c r="AI127" s="124"/>
      <c r="AJ127" s="124"/>
    </row>
    <row r="128" spans="1:36" ht="12" customHeight="1">
      <c r="A128" s="301"/>
      <c r="B128" s="179" t="s">
        <v>428</v>
      </c>
      <c r="C128" s="129"/>
      <c r="D128" s="129"/>
      <c r="E128" s="129"/>
      <c r="F128" s="148"/>
      <c r="G128" s="148" t="e">
        <f t="shared" ref="G128" si="434">G43/(G36+G38)</f>
        <v>#DIV/0!</v>
      </c>
      <c r="H128" s="148" t="e">
        <f t="shared" ref="H128:I128" si="435">H43/(H36+H38)</f>
        <v>#DIV/0!</v>
      </c>
      <c r="I128" s="148" t="e">
        <f t="shared" si="435"/>
        <v>#DIV/0!</v>
      </c>
      <c r="J128" s="148" t="e">
        <f t="shared" ref="J128:T128" si="436">J43/(J36+J38)</f>
        <v>#DIV/0!</v>
      </c>
      <c r="K128" s="148" t="e">
        <f t="shared" si="436"/>
        <v>#DIV/0!</v>
      </c>
      <c r="L128" s="148" t="e">
        <f t="shared" si="436"/>
        <v>#DIV/0!</v>
      </c>
      <c r="M128" s="148" t="e">
        <f t="shared" si="436"/>
        <v>#DIV/0!</v>
      </c>
      <c r="N128" s="148" t="e">
        <f t="shared" si="436"/>
        <v>#DIV/0!</v>
      </c>
      <c r="O128" s="148" t="e">
        <f t="shared" si="436"/>
        <v>#DIV/0!</v>
      </c>
      <c r="P128" s="148" t="e">
        <f t="shared" si="436"/>
        <v>#DIV/0!</v>
      </c>
      <c r="Q128" s="148" t="e">
        <f t="shared" si="436"/>
        <v>#DIV/0!</v>
      </c>
      <c r="R128" s="148" t="e">
        <f t="shared" si="436"/>
        <v>#DIV/0!</v>
      </c>
      <c r="S128" s="148" t="e">
        <f t="shared" si="436"/>
        <v>#DIV/0!</v>
      </c>
      <c r="T128" s="148" t="e">
        <f t="shared" si="436"/>
        <v>#DIV/0!</v>
      </c>
      <c r="U128" s="148" t="e">
        <f t="shared" ref="U128" si="437">U43/(U36+U38)</f>
        <v>#DIV/0!</v>
      </c>
      <c r="V128" s="101" t="e">
        <f t="shared" si="173"/>
        <v>#DIV/0!</v>
      </c>
      <c r="W128" s="10"/>
      <c r="X128" s="148" t="e">
        <f t="shared" ref="X128:AG128" si="438">X43/(X36+X38)</f>
        <v>#DIV/0!</v>
      </c>
      <c r="Y128" s="148" t="e">
        <f t="shared" si="438"/>
        <v>#DIV/0!</v>
      </c>
      <c r="Z128" s="148" t="e">
        <f t="shared" si="438"/>
        <v>#DIV/0!</v>
      </c>
      <c r="AA128" s="148" t="e">
        <f t="shared" si="438"/>
        <v>#DIV/0!</v>
      </c>
      <c r="AB128" s="148" t="e">
        <f t="shared" si="438"/>
        <v>#DIV/0!</v>
      </c>
      <c r="AC128" s="148" t="e">
        <f t="shared" si="438"/>
        <v>#DIV/0!</v>
      </c>
      <c r="AD128" s="148" t="e">
        <f t="shared" si="438"/>
        <v>#DIV/0!</v>
      </c>
      <c r="AE128" s="148" t="e">
        <f t="shared" si="438"/>
        <v>#DIV/0!</v>
      </c>
      <c r="AF128" s="148" t="e">
        <f t="shared" si="438"/>
        <v>#DIV/0!</v>
      </c>
      <c r="AG128" s="148" t="e">
        <f t="shared" si="438"/>
        <v>#DIV/0!</v>
      </c>
      <c r="AH128" s="116" t="e">
        <f>((AG128/J128)^(1/($AG$3-$K$1) ))-1</f>
        <v>#DIV/0!</v>
      </c>
      <c r="AI128" s="124"/>
      <c r="AJ128" s="124"/>
    </row>
    <row r="129" spans="1:36" ht="12" customHeight="1">
      <c r="A129" s="301"/>
      <c r="B129" s="179" t="s">
        <v>434</v>
      </c>
      <c r="C129" s="129"/>
      <c r="D129" s="129"/>
      <c r="E129" s="129"/>
      <c r="F129" s="148"/>
      <c r="G129" s="148">
        <f t="shared" ref="G129" si="439">G47/G25</f>
        <v>0</v>
      </c>
      <c r="H129" s="148" t="e">
        <f t="shared" ref="H129:I129" si="440">H47/H25</f>
        <v>#DIV/0!</v>
      </c>
      <c r="I129" s="148" t="e">
        <f t="shared" si="440"/>
        <v>#DIV/0!</v>
      </c>
      <c r="J129" s="148" t="e">
        <f t="shared" ref="J129:T129" si="441">J47/J25</f>
        <v>#DIV/0!</v>
      </c>
      <c r="K129" s="148" t="e">
        <f t="shared" si="441"/>
        <v>#DIV/0!</v>
      </c>
      <c r="L129" s="148" t="e">
        <f t="shared" si="441"/>
        <v>#DIV/0!</v>
      </c>
      <c r="M129" s="148">
        <f t="shared" si="441"/>
        <v>0</v>
      </c>
      <c r="N129" s="148">
        <f t="shared" si="441"/>
        <v>0</v>
      </c>
      <c r="O129" s="148">
        <f t="shared" si="441"/>
        <v>0</v>
      </c>
      <c r="P129" s="148">
        <f t="shared" si="441"/>
        <v>0</v>
      </c>
      <c r="Q129" s="148">
        <f t="shared" si="441"/>
        <v>0</v>
      </c>
      <c r="R129" s="148">
        <f t="shared" si="441"/>
        <v>0</v>
      </c>
      <c r="S129" s="148">
        <f t="shared" si="441"/>
        <v>0</v>
      </c>
      <c r="T129" s="148">
        <f t="shared" si="441"/>
        <v>0</v>
      </c>
      <c r="U129" s="148">
        <f t="shared" ref="U129" si="442">U47/U25</f>
        <v>9.5247166396799691E-5</v>
      </c>
      <c r="V129" s="101" t="e">
        <f t="shared" si="173"/>
        <v>#DIV/0!</v>
      </c>
      <c r="W129" s="10"/>
      <c r="X129" s="148">
        <f t="shared" ref="X129:AG129" si="443">X47/X25</f>
        <v>0</v>
      </c>
      <c r="Y129" s="148">
        <f t="shared" si="443"/>
        <v>0</v>
      </c>
      <c r="Z129" s="148">
        <f t="shared" si="443"/>
        <v>0</v>
      </c>
      <c r="AA129" s="148">
        <f t="shared" si="443"/>
        <v>0</v>
      </c>
      <c r="AB129" s="148">
        <f t="shared" si="443"/>
        <v>0</v>
      </c>
      <c r="AC129" s="148">
        <f t="shared" si="443"/>
        <v>0</v>
      </c>
      <c r="AD129" s="148">
        <f t="shared" si="443"/>
        <v>0</v>
      </c>
      <c r="AE129" s="148">
        <f t="shared" si="443"/>
        <v>0</v>
      </c>
      <c r="AF129" s="148">
        <f t="shared" si="443"/>
        <v>0</v>
      </c>
      <c r="AG129" s="148">
        <f t="shared" si="443"/>
        <v>0</v>
      </c>
      <c r="AH129" s="116" t="e">
        <f>((AG129/J129)^(1/($AG$3-$K$1) ))-1</f>
        <v>#DIV/0!</v>
      </c>
      <c r="AI129" s="124"/>
      <c r="AJ129" s="124"/>
    </row>
    <row r="130" spans="1:36" ht="12" customHeight="1">
      <c r="A130" s="301"/>
      <c r="B130" s="179" t="s">
        <v>432</v>
      </c>
      <c r="C130" s="129"/>
      <c r="D130" s="129"/>
      <c r="E130" s="129"/>
      <c r="F130" s="183"/>
      <c r="G130" s="183" t="e">
        <f t="shared" ref="G130" si="444">G55/G49</f>
        <v>#DIV/0!</v>
      </c>
      <c r="H130" s="183" t="e">
        <f t="shared" ref="H130:I130" si="445">H55/H49</f>
        <v>#DIV/0!</v>
      </c>
      <c r="I130" s="183" t="e">
        <f t="shared" si="445"/>
        <v>#DIV/0!</v>
      </c>
      <c r="J130" s="183" t="e">
        <f t="shared" ref="J130:T130" si="446">J55/J49</f>
        <v>#DIV/0!</v>
      </c>
      <c r="K130" s="183" t="e">
        <f t="shared" si="446"/>
        <v>#DIV/0!</v>
      </c>
      <c r="L130" s="183" t="e">
        <f t="shared" si="446"/>
        <v>#DIV/0!</v>
      </c>
      <c r="M130" s="183" t="e">
        <f t="shared" si="446"/>
        <v>#DIV/0!</v>
      </c>
      <c r="N130" s="183" t="e">
        <f t="shared" si="446"/>
        <v>#DIV/0!</v>
      </c>
      <c r="O130" s="183" t="e">
        <f t="shared" si="446"/>
        <v>#DIV/0!</v>
      </c>
      <c r="P130" s="183" t="e">
        <f t="shared" si="446"/>
        <v>#DIV/0!</v>
      </c>
      <c r="Q130" s="183" t="e">
        <f t="shared" si="446"/>
        <v>#DIV/0!</v>
      </c>
      <c r="R130" s="183" t="e">
        <f t="shared" si="446"/>
        <v>#DIV/0!</v>
      </c>
      <c r="S130" s="183" t="e">
        <f t="shared" si="446"/>
        <v>#DIV/0!</v>
      </c>
      <c r="T130" s="183" t="e">
        <f t="shared" si="446"/>
        <v>#DIV/0!</v>
      </c>
      <c r="U130" s="183">
        <f t="shared" ref="U130" si="447">U55/U49</f>
        <v>1464</v>
      </c>
      <c r="V130" s="101" t="e">
        <f t="shared" ref="V130:V167" si="448">((T130/G130)^(1/($K$2-$K$1) ))-1</f>
        <v>#DIV/0!</v>
      </c>
      <c r="W130" s="10"/>
      <c r="X130" s="183" t="e">
        <f t="shared" ref="X130:AG130" si="449">X55/X49</f>
        <v>#DIV/0!</v>
      </c>
      <c r="Y130" s="183" t="e">
        <f t="shared" si="449"/>
        <v>#DIV/0!</v>
      </c>
      <c r="Z130" s="183" t="e">
        <f t="shared" si="449"/>
        <v>#DIV/0!</v>
      </c>
      <c r="AA130" s="183" t="e">
        <f t="shared" si="449"/>
        <v>#DIV/0!</v>
      </c>
      <c r="AB130" s="183" t="e">
        <f t="shared" si="449"/>
        <v>#DIV/0!</v>
      </c>
      <c r="AC130" s="183" t="e">
        <f t="shared" si="449"/>
        <v>#DIV/0!</v>
      </c>
      <c r="AD130" s="183" t="e">
        <f t="shared" si="449"/>
        <v>#DIV/0!</v>
      </c>
      <c r="AE130" s="183" t="e">
        <f t="shared" si="449"/>
        <v>#DIV/0!</v>
      </c>
      <c r="AF130" s="183" t="e">
        <f t="shared" si="449"/>
        <v>#DIV/0!</v>
      </c>
      <c r="AG130" s="183" t="e">
        <f t="shared" si="449"/>
        <v>#DIV/0!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301"/>
      <c r="B131" s="179" t="s">
        <v>426</v>
      </c>
      <c r="C131" s="129"/>
      <c r="D131" s="129"/>
      <c r="E131" s="129"/>
      <c r="F131" s="148"/>
      <c r="G131" s="148" t="e">
        <f t="shared" ref="G131" si="450">G55/G43</f>
        <v>#DIV/0!</v>
      </c>
      <c r="H131" s="148" t="e">
        <f t="shared" ref="H131:I131" si="451">H55/H43</f>
        <v>#DIV/0!</v>
      </c>
      <c r="I131" s="148" t="e">
        <f t="shared" si="451"/>
        <v>#DIV/0!</v>
      </c>
      <c r="J131" s="148" t="e">
        <f t="shared" ref="J131:T131" si="452">J55/J43</f>
        <v>#DIV/0!</v>
      </c>
      <c r="K131" s="148" t="e">
        <f t="shared" si="452"/>
        <v>#DIV/0!</v>
      </c>
      <c r="L131" s="148" t="e">
        <f t="shared" si="452"/>
        <v>#DIV/0!</v>
      </c>
      <c r="M131" s="148" t="e">
        <f t="shared" si="452"/>
        <v>#DIV/0!</v>
      </c>
      <c r="N131" s="148" t="e">
        <f t="shared" si="452"/>
        <v>#DIV/0!</v>
      </c>
      <c r="O131" s="148" t="e">
        <f t="shared" si="452"/>
        <v>#DIV/0!</v>
      </c>
      <c r="P131" s="148" t="e">
        <f t="shared" si="452"/>
        <v>#DIV/0!</v>
      </c>
      <c r="Q131" s="148" t="e">
        <f t="shared" si="452"/>
        <v>#DIV/0!</v>
      </c>
      <c r="R131" s="148" t="e">
        <f t="shared" si="452"/>
        <v>#DIV/0!</v>
      </c>
      <c r="S131" s="148" t="e">
        <f t="shared" si="452"/>
        <v>#DIV/0!</v>
      </c>
      <c r="T131" s="148" t="e">
        <f t="shared" si="452"/>
        <v>#DIV/0!</v>
      </c>
      <c r="U131" s="148" t="e">
        <f t="shared" ref="U131" si="453">U55/U43</f>
        <v>#DIV/0!</v>
      </c>
      <c r="V131" s="101" t="e">
        <f t="shared" si="448"/>
        <v>#DIV/0!</v>
      </c>
      <c r="W131" s="10"/>
      <c r="X131" s="148" t="e">
        <f t="shared" ref="X131:AG131" si="454">X55/X43</f>
        <v>#DIV/0!</v>
      </c>
      <c r="Y131" s="148" t="e">
        <f t="shared" si="454"/>
        <v>#DIV/0!</v>
      </c>
      <c r="Z131" s="148" t="e">
        <f t="shared" si="454"/>
        <v>#DIV/0!</v>
      </c>
      <c r="AA131" s="148" t="e">
        <f t="shared" si="454"/>
        <v>#DIV/0!</v>
      </c>
      <c r="AB131" s="148" t="e">
        <f t="shared" si="454"/>
        <v>#DIV/0!</v>
      </c>
      <c r="AC131" s="148" t="e">
        <f t="shared" si="454"/>
        <v>#DIV/0!</v>
      </c>
      <c r="AD131" s="148" t="e">
        <f t="shared" si="454"/>
        <v>#DIV/0!</v>
      </c>
      <c r="AE131" s="148" t="e">
        <f t="shared" si="454"/>
        <v>#DIV/0!</v>
      </c>
      <c r="AF131" s="148" t="e">
        <f t="shared" si="454"/>
        <v>#DIV/0!</v>
      </c>
      <c r="AG131" s="148" t="e">
        <f t="shared" si="454"/>
        <v>#DIV/0!</v>
      </c>
      <c r="AH131" s="116" t="e">
        <f t="shared" si="418"/>
        <v>#DIV/0!</v>
      </c>
      <c r="AI131" s="124"/>
      <c r="AJ131" s="124"/>
    </row>
    <row r="132" spans="1:36" ht="12" customHeight="1">
      <c r="A132" s="301"/>
      <c r="B132" s="179" t="s">
        <v>427</v>
      </c>
      <c r="C132" s="129"/>
      <c r="D132" s="129"/>
      <c r="E132" s="129"/>
      <c r="F132" s="148"/>
      <c r="G132" s="148" t="e">
        <f t="shared" ref="G132" si="455">G55/(G36+G38)</f>
        <v>#DIV/0!</v>
      </c>
      <c r="H132" s="148" t="e">
        <f t="shared" ref="H132:I132" si="456">H55/(H36+H38)</f>
        <v>#DIV/0!</v>
      </c>
      <c r="I132" s="148" t="e">
        <f t="shared" si="456"/>
        <v>#DIV/0!</v>
      </c>
      <c r="J132" s="148" t="e">
        <f t="shared" ref="J132:T132" si="457">J55/(J36+J38)</f>
        <v>#DIV/0!</v>
      </c>
      <c r="K132" s="148" t="e">
        <f t="shared" si="457"/>
        <v>#DIV/0!</v>
      </c>
      <c r="L132" s="148" t="e">
        <f t="shared" si="457"/>
        <v>#DIV/0!</v>
      </c>
      <c r="M132" s="148" t="e">
        <f t="shared" si="457"/>
        <v>#DIV/0!</v>
      </c>
      <c r="N132" s="148" t="e">
        <f t="shared" si="457"/>
        <v>#DIV/0!</v>
      </c>
      <c r="O132" s="148" t="e">
        <f t="shared" si="457"/>
        <v>#DIV/0!</v>
      </c>
      <c r="P132" s="148" t="e">
        <f t="shared" si="457"/>
        <v>#DIV/0!</v>
      </c>
      <c r="Q132" s="148" t="e">
        <f t="shared" si="457"/>
        <v>#DIV/0!</v>
      </c>
      <c r="R132" s="148" t="e">
        <f t="shared" si="457"/>
        <v>#DIV/0!</v>
      </c>
      <c r="S132" s="148" t="e">
        <f t="shared" si="457"/>
        <v>#DIV/0!</v>
      </c>
      <c r="T132" s="148" t="e">
        <f t="shared" si="457"/>
        <v>#DIV/0!</v>
      </c>
      <c r="U132" s="148" t="e">
        <f t="shared" ref="U132" si="458">U55/(U36+U38)</f>
        <v>#DIV/0!</v>
      </c>
      <c r="V132" s="101" t="e">
        <f t="shared" si="448"/>
        <v>#DIV/0!</v>
      </c>
      <c r="W132" s="10"/>
      <c r="X132" s="148" t="e">
        <f t="shared" ref="X132:AG132" si="459">X55/(X36+X38)</f>
        <v>#DIV/0!</v>
      </c>
      <c r="Y132" s="148" t="e">
        <f t="shared" si="459"/>
        <v>#DIV/0!</v>
      </c>
      <c r="Z132" s="148" t="e">
        <f t="shared" si="459"/>
        <v>#DIV/0!</v>
      </c>
      <c r="AA132" s="148" t="e">
        <f t="shared" si="459"/>
        <v>#DIV/0!</v>
      </c>
      <c r="AB132" s="148" t="e">
        <f t="shared" si="459"/>
        <v>#DIV/0!</v>
      </c>
      <c r="AC132" s="148" t="e">
        <f t="shared" si="459"/>
        <v>#DIV/0!</v>
      </c>
      <c r="AD132" s="148" t="e">
        <f t="shared" si="459"/>
        <v>#DIV/0!</v>
      </c>
      <c r="AE132" s="148" t="e">
        <f t="shared" si="459"/>
        <v>#DIV/0!</v>
      </c>
      <c r="AF132" s="148" t="e">
        <f t="shared" si="459"/>
        <v>#DIV/0!</v>
      </c>
      <c r="AG132" s="148" t="e">
        <f t="shared" si="459"/>
        <v>#DIV/0!</v>
      </c>
      <c r="AH132" s="116" t="e">
        <f t="shared" si="418"/>
        <v>#DIV/0!</v>
      </c>
      <c r="AI132" s="124"/>
      <c r="AJ132" s="124"/>
    </row>
    <row r="133" spans="1:36" ht="12" customHeight="1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1"/>
      <c r="AI133" s="124"/>
      <c r="AJ133" s="124"/>
    </row>
    <row r="134" spans="1:36">
      <c r="B134" s="10" t="s">
        <v>271</v>
      </c>
      <c r="C134" s="129"/>
      <c r="D134" s="129"/>
      <c r="E134" s="129"/>
      <c r="F134" s="140"/>
      <c r="G134" s="140">
        <f t="shared" ref="G134" si="460">G10-(G12+G13)</f>
        <v>-1629</v>
      </c>
      <c r="H134" s="140">
        <f t="shared" ref="H134:I134" si="461">H10-(H12+H13)</f>
        <v>0</v>
      </c>
      <c r="I134" s="140">
        <f t="shared" si="461"/>
        <v>0</v>
      </c>
      <c r="J134" s="140">
        <f t="shared" ref="J134:T134" si="462">J10-(J12+J13)</f>
        <v>0</v>
      </c>
      <c r="K134" s="140">
        <f t="shared" si="462"/>
        <v>0</v>
      </c>
      <c r="L134" s="140">
        <f t="shared" si="462"/>
        <v>0</v>
      </c>
      <c r="M134" s="140">
        <f t="shared" si="462"/>
        <v>-1629</v>
      </c>
      <c r="N134" s="140">
        <f t="shared" si="462"/>
        <v>12235</v>
      </c>
      <c r="O134" s="140">
        <f t="shared" si="462"/>
        <v>16883</v>
      </c>
      <c r="P134" s="140">
        <f t="shared" si="462"/>
        <v>20017</v>
      </c>
      <c r="Q134" s="140">
        <f t="shared" si="462"/>
        <v>32341</v>
      </c>
      <c r="R134" s="140">
        <f t="shared" si="462"/>
        <v>38579</v>
      </c>
      <c r="S134" s="140">
        <f t="shared" si="462"/>
        <v>47650</v>
      </c>
      <c r="T134" s="140">
        <f t="shared" si="462"/>
        <v>53206</v>
      </c>
      <c r="U134" s="140">
        <f t="shared" ref="U134" si="463">U10-(U12+U13)</f>
        <v>53206</v>
      </c>
      <c r="V134" s="101" t="e">
        <f t="shared" si="448"/>
        <v>#NUM!</v>
      </c>
      <c r="W134" s="10"/>
      <c r="X134" s="140">
        <f t="shared" ref="X134:AG134" si="464">X10-(X12+X13)</f>
        <v>61186.899999999994</v>
      </c>
      <c r="Y134" s="140">
        <f t="shared" si="464"/>
        <v>70364.934999999983</v>
      </c>
      <c r="Z134" s="140">
        <f t="shared" si="464"/>
        <v>80919.675249999971</v>
      </c>
      <c r="AA134" s="140">
        <f t="shared" si="464"/>
        <v>93057.626537499978</v>
      </c>
      <c r="AB134" s="140">
        <f t="shared" si="464"/>
        <v>107016.27051812496</v>
      </c>
      <c r="AC134" s="140">
        <f t="shared" si="464"/>
        <v>123068.7110958437</v>
      </c>
      <c r="AD134" s="140">
        <f t="shared" si="464"/>
        <v>141529.01776022025</v>
      </c>
      <c r="AE134" s="140">
        <f t="shared" si="464"/>
        <v>162758.37042425325</v>
      </c>
      <c r="AF134" s="140">
        <f t="shared" si="464"/>
        <v>187172.12598789122</v>
      </c>
      <c r="AG134" s="140">
        <f t="shared" si="464"/>
        <v>215247.94488607493</v>
      </c>
      <c r="AH134" s="116" t="e">
        <f t="shared" si="334"/>
        <v>#DIV/0!</v>
      </c>
      <c r="AI134" s="124"/>
      <c r="AJ134" s="124"/>
    </row>
    <row r="135" spans="1:36" ht="12" customHeight="1">
      <c r="B135" s="10" t="s">
        <v>266</v>
      </c>
      <c r="C135" s="10"/>
      <c r="D135" s="10"/>
      <c r="E135" s="10"/>
      <c r="F135" s="129"/>
      <c r="G135" s="129" t="e">
        <f t="shared" ref="G135" si="465">G55/G18</f>
        <v>#DIV/0!</v>
      </c>
      <c r="H135" s="129" t="e">
        <f t="shared" ref="H135:I135" si="466">H55/H18</f>
        <v>#DIV/0!</v>
      </c>
      <c r="I135" s="129" t="e">
        <f t="shared" si="466"/>
        <v>#DIV/0!</v>
      </c>
      <c r="J135" s="129" t="e">
        <f t="shared" ref="J135:T135" si="467">J55/J18</f>
        <v>#DIV/0!</v>
      </c>
      <c r="K135" s="129" t="e">
        <f t="shared" si="467"/>
        <v>#DIV/0!</v>
      </c>
      <c r="L135" s="129" t="e">
        <f t="shared" si="467"/>
        <v>#DIV/0!</v>
      </c>
      <c r="M135" s="129" t="e">
        <f t="shared" si="467"/>
        <v>#DIV/0!</v>
      </c>
      <c r="N135" s="129">
        <f t="shared" si="467"/>
        <v>0.81799163179916323</v>
      </c>
      <c r="O135" s="129">
        <f t="shared" si="467"/>
        <v>0.87140115163147791</v>
      </c>
      <c r="P135" s="129">
        <f t="shared" si="467"/>
        <v>0.64513274336283188</v>
      </c>
      <c r="Q135" s="129">
        <f t="shared" si="467"/>
        <v>0.43525969275786391</v>
      </c>
      <c r="R135" s="129">
        <f t="shared" si="467"/>
        <v>0.71790540540540537</v>
      </c>
      <c r="S135" s="129">
        <f t="shared" si="467"/>
        <v>0.65091463414634143</v>
      </c>
      <c r="T135" s="129">
        <f t="shared" si="467"/>
        <v>0.86186931348221674</v>
      </c>
      <c r="U135" s="129">
        <f t="shared" ref="U135" si="468">U55/U18</f>
        <v>1.2109181141439207</v>
      </c>
      <c r="V135" s="101" t="e">
        <f t="shared" si="448"/>
        <v>#DIV/0!</v>
      </c>
      <c r="W135" s="10"/>
      <c r="X135" s="129">
        <f t="shared" ref="X135:AG135" si="469">X55/X18</f>
        <v>0.86186931348221674</v>
      </c>
      <c r="Y135" s="129">
        <f t="shared" si="469"/>
        <v>0.86186931348221674</v>
      </c>
      <c r="Z135" s="129">
        <f t="shared" si="469"/>
        <v>0.86186931348221674</v>
      </c>
      <c r="AA135" s="129">
        <f t="shared" si="469"/>
        <v>0.86186931348221674</v>
      </c>
      <c r="AB135" s="129">
        <f t="shared" si="469"/>
        <v>0.86186931348221674</v>
      </c>
      <c r="AC135" s="129">
        <f t="shared" si="469"/>
        <v>0.86186931348221674</v>
      </c>
      <c r="AD135" s="129">
        <f t="shared" si="469"/>
        <v>0.86186931348221685</v>
      </c>
      <c r="AE135" s="129">
        <f t="shared" si="469"/>
        <v>0.86186931348221674</v>
      </c>
      <c r="AF135" s="129">
        <f t="shared" si="469"/>
        <v>0.86186931348221674</v>
      </c>
      <c r="AG135" s="129">
        <f t="shared" si="469"/>
        <v>0.86186931348221663</v>
      </c>
      <c r="AH135" s="116" t="e">
        <f t="shared" si="334"/>
        <v>#DIV/0!</v>
      </c>
      <c r="AI135" s="10"/>
      <c r="AJ135" s="10"/>
    </row>
    <row r="136" spans="1:36">
      <c r="B136" s="10" t="s">
        <v>267</v>
      </c>
      <c r="C136" s="10"/>
      <c r="D136" s="10"/>
      <c r="E136" s="10"/>
      <c r="F136" s="129"/>
      <c r="G136" s="129">
        <f t="shared" ref="G136" si="470">G55/G25</f>
        <v>0.18271257905832747</v>
      </c>
      <c r="H136" s="129" t="e">
        <f t="shared" ref="H136:I136" si="471">H55/H25</f>
        <v>#DIV/0!</v>
      </c>
      <c r="I136" s="129" t="e">
        <f t="shared" si="471"/>
        <v>#DIV/0!</v>
      </c>
      <c r="J136" s="129" t="e">
        <f t="shared" ref="J136:T136" si="472">J55/J25</f>
        <v>#DIV/0!</v>
      </c>
      <c r="K136" s="129" t="e">
        <f t="shared" si="472"/>
        <v>#DIV/0!</v>
      </c>
      <c r="L136" s="129" t="e">
        <f t="shared" si="472"/>
        <v>#DIV/0!</v>
      </c>
      <c r="M136" s="129">
        <f t="shared" si="472"/>
        <v>0.18271257905832747</v>
      </c>
      <c r="N136" s="129">
        <f t="shared" si="472"/>
        <v>0.18539592223802751</v>
      </c>
      <c r="O136" s="129">
        <f t="shared" si="472"/>
        <v>0.15133333333333332</v>
      </c>
      <c r="P136" s="129">
        <f t="shared" si="472"/>
        <v>0.17258522727272727</v>
      </c>
      <c r="Q136" s="129">
        <f t="shared" si="472"/>
        <v>0.11361466488447584</v>
      </c>
      <c r="R136" s="129">
        <f t="shared" si="472"/>
        <v>0.1311525999074217</v>
      </c>
      <c r="S136" s="129">
        <f t="shared" si="472"/>
        <v>0.1143239625167336</v>
      </c>
      <c r="T136" s="129">
        <f t="shared" si="472"/>
        <v>0.1215585627624825</v>
      </c>
      <c r="U136" s="129">
        <f t="shared" ref="U136" si="473">U55/U25</f>
        <v>0.13944185160491476</v>
      </c>
      <c r="V136" s="101">
        <f t="shared" si="448"/>
        <v>-4.9664093315566649E-2</v>
      </c>
      <c r="W136" s="10"/>
      <c r="X136" s="129">
        <f t="shared" ref="X136:AG136" si="474">X55/X25</f>
        <v>0.1215585627624825</v>
      </c>
      <c r="Y136" s="129">
        <f t="shared" si="474"/>
        <v>0.12155856276248252</v>
      </c>
      <c r="Z136" s="129">
        <f t="shared" si="474"/>
        <v>0.1215585627624825</v>
      </c>
      <c r="AA136" s="129">
        <f t="shared" si="474"/>
        <v>0.1215585627624825</v>
      </c>
      <c r="AB136" s="129">
        <f t="shared" si="474"/>
        <v>0.1215585627624825</v>
      </c>
      <c r="AC136" s="129">
        <f t="shared" si="474"/>
        <v>0.12155856276248249</v>
      </c>
      <c r="AD136" s="129">
        <f t="shared" si="474"/>
        <v>0.1215585627624825</v>
      </c>
      <c r="AE136" s="129">
        <f t="shared" si="474"/>
        <v>0.1215585627624825</v>
      </c>
      <c r="AF136" s="129">
        <f t="shared" si="474"/>
        <v>0.1215585627624825</v>
      </c>
      <c r="AG136" s="129">
        <f t="shared" si="474"/>
        <v>0.12155856276248249</v>
      </c>
      <c r="AH136" s="116" t="e">
        <f t="shared" si="334"/>
        <v>#DIV/0!</v>
      </c>
      <c r="AI136" s="10"/>
      <c r="AJ136" s="10"/>
    </row>
    <row r="137" spans="1:36">
      <c r="B137" s="10" t="s">
        <v>293</v>
      </c>
      <c r="C137" s="10"/>
      <c r="D137" s="10"/>
      <c r="E137" s="129"/>
      <c r="F137" s="129"/>
      <c r="G137" s="129" t="e">
        <f t="shared" ref="G137" si="475">G25/G18</f>
        <v>#DIV/0!</v>
      </c>
      <c r="H137" s="129" t="e">
        <f t="shared" ref="H137:I137" si="476">H25/H18</f>
        <v>#DIV/0!</v>
      </c>
      <c r="I137" s="129" t="e">
        <f t="shared" si="476"/>
        <v>#DIV/0!</v>
      </c>
      <c r="J137" s="129" t="e">
        <f t="shared" ref="J137:T137" si="477">J25/J18</f>
        <v>#DIV/0!</v>
      </c>
      <c r="K137" s="129" t="e">
        <f t="shared" si="477"/>
        <v>#DIV/0!</v>
      </c>
      <c r="L137" s="129" t="e">
        <f t="shared" si="477"/>
        <v>#DIV/0!</v>
      </c>
      <c r="M137" s="129" t="e">
        <f t="shared" si="477"/>
        <v>#DIV/0!</v>
      </c>
      <c r="N137" s="129">
        <f t="shared" si="477"/>
        <v>4.4121338912133892</v>
      </c>
      <c r="O137" s="129">
        <f t="shared" si="477"/>
        <v>5.7581573896353166</v>
      </c>
      <c r="P137" s="129">
        <f t="shared" si="477"/>
        <v>3.7380530973451327</v>
      </c>
      <c r="Q137" s="129">
        <f t="shared" si="477"/>
        <v>3.831016825164594</v>
      </c>
      <c r="R137" s="129">
        <f t="shared" si="477"/>
        <v>5.4738175675675675</v>
      </c>
      <c r="S137" s="129">
        <f t="shared" si="477"/>
        <v>5.6935975609756095</v>
      </c>
      <c r="T137" s="129">
        <f t="shared" si="477"/>
        <v>7.0901571546732836</v>
      </c>
      <c r="U137" s="129">
        <f t="shared" ref="U137" si="478">U25/U18</f>
        <v>8.6840363937138125</v>
      </c>
      <c r="V137" s="101" t="e">
        <f t="shared" si="448"/>
        <v>#DIV/0!</v>
      </c>
      <c r="W137" s="10"/>
      <c r="X137" s="129">
        <f t="shared" ref="X137:AG137" si="479">X25/X18</f>
        <v>7.0901571546732836</v>
      </c>
      <c r="Y137" s="129">
        <f t="shared" si="479"/>
        <v>7.0901571546732836</v>
      </c>
      <c r="Z137" s="129">
        <f t="shared" si="479"/>
        <v>7.0901571546732836</v>
      </c>
      <c r="AA137" s="129">
        <f t="shared" si="479"/>
        <v>7.0901571546732844</v>
      </c>
      <c r="AB137" s="129">
        <f t="shared" si="479"/>
        <v>7.0901571546732844</v>
      </c>
      <c r="AC137" s="129">
        <f t="shared" si="479"/>
        <v>7.0901571546732844</v>
      </c>
      <c r="AD137" s="129">
        <f t="shared" si="479"/>
        <v>7.0901571546732844</v>
      </c>
      <c r="AE137" s="129">
        <f t="shared" si="479"/>
        <v>7.0901571546732844</v>
      </c>
      <c r="AF137" s="129">
        <f t="shared" si="479"/>
        <v>7.0901571546732836</v>
      </c>
      <c r="AG137" s="129">
        <f t="shared" si="479"/>
        <v>7.0901571546732836</v>
      </c>
      <c r="AH137" s="116" t="e">
        <f t="shared" si="334"/>
        <v>#DIV/0!</v>
      </c>
      <c r="AI137" s="10"/>
      <c r="AJ137" s="10"/>
    </row>
    <row r="138" spans="1:36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>
      <c r="B139" s="10" t="s">
        <v>279</v>
      </c>
      <c r="C139" s="10"/>
      <c r="D139" s="10"/>
      <c r="E139" s="142"/>
      <c r="F139" s="142"/>
      <c r="G139" s="142">
        <f t="shared" ref="G139" si="480">G88*G57</f>
        <v>1.42</v>
      </c>
      <c r="H139" s="142">
        <f t="shared" ref="H139:I139" si="481">H88*H57</f>
        <v>0</v>
      </c>
      <c r="I139" s="142">
        <f t="shared" si="481"/>
        <v>0</v>
      </c>
      <c r="J139" s="142">
        <f t="shared" ref="J139:T139" si="482">J88*J57</f>
        <v>0</v>
      </c>
      <c r="K139" s="142">
        <f t="shared" si="482"/>
        <v>0</v>
      </c>
      <c r="L139" s="142">
        <f t="shared" si="482"/>
        <v>0</v>
      </c>
      <c r="M139" s="142">
        <f t="shared" si="482"/>
        <v>0</v>
      </c>
      <c r="N139" s="142">
        <f t="shared" si="482"/>
        <v>0</v>
      </c>
      <c r="O139" s="142">
        <f t="shared" si="482"/>
        <v>0</v>
      </c>
      <c r="P139" s="142">
        <f t="shared" si="482"/>
        <v>128.7525</v>
      </c>
      <c r="Q139" s="142">
        <f t="shared" si="482"/>
        <v>128.88</v>
      </c>
      <c r="R139" s="142">
        <f t="shared" si="482"/>
        <v>137.61600000000001</v>
      </c>
      <c r="S139" s="142">
        <f t="shared" si="482"/>
        <v>140.26400000000001</v>
      </c>
      <c r="T139" s="142">
        <f t="shared" si="482"/>
        <v>140</v>
      </c>
      <c r="U139" s="142">
        <f t="shared" ref="U139" si="483">U88*U57</f>
        <v>199</v>
      </c>
      <c r="V139" s="101">
        <f t="shared" si="448"/>
        <v>0.77512917313113805</v>
      </c>
      <c r="W139" s="10"/>
      <c r="X139" s="142">
        <f t="shared" ref="X139:AG139" si="484">X88*X57</f>
        <v>145.65600000000001</v>
      </c>
      <c r="Y139" s="142">
        <f t="shared" si="484"/>
        <v>151.54050240000001</v>
      </c>
      <c r="Z139" s="142">
        <f t="shared" si="484"/>
        <v>157.66273869696002</v>
      </c>
      <c r="AA139" s="142">
        <f t="shared" si="484"/>
        <v>164.03231334031719</v>
      </c>
      <c r="AB139" s="142">
        <f t="shared" si="484"/>
        <v>170.65921879926603</v>
      </c>
      <c r="AC139" s="142">
        <f t="shared" si="484"/>
        <v>177.55385123875638</v>
      </c>
      <c r="AD139" s="142">
        <f t="shared" si="484"/>
        <v>184.72702682880214</v>
      </c>
      <c r="AE139" s="142">
        <f t="shared" si="484"/>
        <v>192.18999871268576</v>
      </c>
      <c r="AF139" s="142">
        <f t="shared" si="484"/>
        <v>199.95447466067827</v>
      </c>
      <c r="AG139" s="142">
        <f t="shared" si="484"/>
        <v>208.03263543696968</v>
      </c>
      <c r="AH139" s="116" t="e">
        <f t="shared" si="334"/>
        <v>#DIV/0!</v>
      </c>
      <c r="AI139" s="10"/>
      <c r="AJ139" s="10"/>
    </row>
    <row r="140" spans="1:36">
      <c r="B140" s="10" t="s">
        <v>280</v>
      </c>
      <c r="C140" s="10"/>
      <c r="D140" s="10"/>
      <c r="E140" s="142"/>
      <c r="F140" s="142"/>
      <c r="G140" s="142">
        <f t="shared" ref="G140" si="485">(G139*0.17)+G139</f>
        <v>1.6614</v>
      </c>
      <c r="H140" s="142">
        <f t="shared" ref="H140:I140" si="486">(H139*0.17)+H139</f>
        <v>0</v>
      </c>
      <c r="I140" s="142">
        <f t="shared" si="486"/>
        <v>0</v>
      </c>
      <c r="J140" s="142">
        <f t="shared" ref="J140:S140" si="487">(J139*0.17)+J139</f>
        <v>0</v>
      </c>
      <c r="K140" s="142">
        <f t="shared" si="487"/>
        <v>0</v>
      </c>
      <c r="L140" s="142">
        <f t="shared" si="487"/>
        <v>0</v>
      </c>
      <c r="M140" s="142">
        <f t="shared" si="487"/>
        <v>0</v>
      </c>
      <c r="N140" s="142">
        <f t="shared" si="487"/>
        <v>0</v>
      </c>
      <c r="O140" s="142">
        <f t="shared" si="487"/>
        <v>0</v>
      </c>
      <c r="P140" s="142">
        <f t="shared" si="487"/>
        <v>150.64042499999999</v>
      </c>
      <c r="Q140" s="142">
        <f t="shared" si="487"/>
        <v>150.78960000000001</v>
      </c>
      <c r="R140" s="142">
        <f t="shared" si="487"/>
        <v>161.01072000000002</v>
      </c>
      <c r="S140" s="142">
        <f t="shared" si="487"/>
        <v>164.10888</v>
      </c>
      <c r="T140" s="142">
        <f t="shared" ref="T140:U140" si="488">(T139*0.17)+T139</f>
        <v>163.80000000000001</v>
      </c>
      <c r="U140" s="142">
        <f t="shared" si="488"/>
        <v>232.83</v>
      </c>
      <c r="V140" s="101">
        <f t="shared" si="448"/>
        <v>0.77512917313113805</v>
      </c>
      <c r="W140" s="10"/>
      <c r="X140" s="142">
        <f t="shared" ref="X140:AG140" si="489">(X139*0.17)+X139</f>
        <v>170.41752000000002</v>
      </c>
      <c r="Y140" s="142">
        <f t="shared" si="489"/>
        <v>177.30238780800002</v>
      </c>
      <c r="Z140" s="142">
        <f t="shared" si="489"/>
        <v>184.46540427544323</v>
      </c>
      <c r="AA140" s="142">
        <f t="shared" si="489"/>
        <v>191.91780660817111</v>
      </c>
      <c r="AB140" s="142">
        <f t="shared" si="489"/>
        <v>199.67128599514126</v>
      </c>
      <c r="AC140" s="142">
        <f t="shared" si="489"/>
        <v>207.73800594934497</v>
      </c>
      <c r="AD140" s="142">
        <f t="shared" si="489"/>
        <v>216.13062138969849</v>
      </c>
      <c r="AE140" s="142">
        <f t="shared" si="489"/>
        <v>224.86229849384233</v>
      </c>
      <c r="AF140" s="142">
        <f t="shared" si="489"/>
        <v>233.94673535299358</v>
      </c>
      <c r="AG140" s="142">
        <f t="shared" si="489"/>
        <v>243.39818346125452</v>
      </c>
      <c r="AH140" s="116" t="e">
        <f t="shared" si="334"/>
        <v>#DIV/0!</v>
      </c>
      <c r="AI140" s="10"/>
      <c r="AJ140" s="10"/>
    </row>
    <row r="141" spans="1:36">
      <c r="B141" s="10" t="s">
        <v>281</v>
      </c>
      <c r="C141" s="10"/>
      <c r="D141" s="10"/>
      <c r="E141" s="10"/>
      <c r="F141" s="129"/>
      <c r="G141" s="129">
        <f t="shared" ref="G141" si="490">G140/G55</f>
        <v>6.3899999999999998E-3</v>
      </c>
      <c r="H141" s="129" t="e">
        <f t="shared" ref="H141:I141" si="491">H140/H55</f>
        <v>#DIV/0!</v>
      </c>
      <c r="I141" s="129" t="e">
        <f t="shared" si="491"/>
        <v>#DIV/0!</v>
      </c>
      <c r="J141" s="129" t="e">
        <f t="shared" ref="J141:T141" si="492">J140/J55</f>
        <v>#DIV/0!</v>
      </c>
      <c r="K141" s="129" t="e">
        <f t="shared" si="492"/>
        <v>#DIV/0!</v>
      </c>
      <c r="L141" s="129" t="e">
        <f t="shared" si="492"/>
        <v>#DIV/0!</v>
      </c>
      <c r="M141" s="129">
        <f t="shared" si="492"/>
        <v>0</v>
      </c>
      <c r="N141" s="129">
        <f t="shared" si="492"/>
        <v>0</v>
      </c>
      <c r="O141" s="129">
        <f t="shared" si="492"/>
        <v>0</v>
      </c>
      <c r="P141" s="129">
        <f t="shared" si="492"/>
        <v>0.2066398148148148</v>
      </c>
      <c r="Q141" s="129">
        <f t="shared" si="492"/>
        <v>0.25342789915966391</v>
      </c>
      <c r="R141" s="129">
        <f t="shared" si="492"/>
        <v>0.18942437647058827</v>
      </c>
      <c r="S141" s="129">
        <f t="shared" si="492"/>
        <v>0.19216496487119439</v>
      </c>
      <c r="T141" s="129">
        <f t="shared" si="492"/>
        <v>0.15719769673704415</v>
      </c>
      <c r="U141" s="129">
        <f t="shared" ref="U141" si="493">U140/U55</f>
        <v>0.15903688524590165</v>
      </c>
      <c r="V141" s="101">
        <f t="shared" si="448"/>
        <v>0.49234132386190588</v>
      </c>
      <c r="W141" s="10"/>
      <c r="X141" s="129">
        <f t="shared" ref="X141:AG141" si="494">X140/X55</f>
        <v>0.14221607276975717</v>
      </c>
      <c r="Y141" s="129">
        <f t="shared" si="494"/>
        <v>0.12866226270404815</v>
      </c>
      <c r="Z141" s="129">
        <f t="shared" si="494"/>
        <v>0.11640018966721019</v>
      </c>
      <c r="AA141" s="129">
        <f t="shared" si="494"/>
        <v>0.10530674550414389</v>
      </c>
      <c r="AB141" s="129">
        <f t="shared" si="494"/>
        <v>9.5270554802183757E-2</v>
      </c>
      <c r="AC141" s="129">
        <f t="shared" si="494"/>
        <v>8.6190856709732172E-2</v>
      </c>
      <c r="AD141" s="129">
        <f t="shared" si="494"/>
        <v>7.797649332243943E-2</v>
      </c>
      <c r="AE141" s="129">
        <f t="shared" si="494"/>
        <v>7.0544994480579132E-2</v>
      </c>
      <c r="AF141" s="129">
        <f t="shared" si="494"/>
        <v>6.3821749789212651E-2</v>
      </c>
      <c r="AG141" s="129">
        <f t="shared" si="494"/>
        <v>5.7739259548432044E-2</v>
      </c>
      <c r="AH141" s="116" t="e">
        <f t="shared" si="334"/>
        <v>#DIV/0!</v>
      </c>
      <c r="AI141" s="10"/>
      <c r="AJ141" s="10"/>
    </row>
    <row r="142" spans="1:36">
      <c r="B142" s="10" t="s">
        <v>274</v>
      </c>
      <c r="C142" s="10"/>
      <c r="D142" s="10"/>
      <c r="E142" s="10"/>
      <c r="F142" s="129"/>
      <c r="G142" s="129">
        <f t="shared" ref="G142" si="495">1-G141</f>
        <v>0.99360999999999999</v>
      </c>
      <c r="H142" s="129" t="e">
        <f t="shared" ref="H142:I142" si="496">1-H141</f>
        <v>#DIV/0!</v>
      </c>
      <c r="I142" s="129" t="e">
        <f t="shared" si="496"/>
        <v>#DIV/0!</v>
      </c>
      <c r="J142" s="129" t="e">
        <f>1-J141</f>
        <v>#DIV/0!</v>
      </c>
      <c r="K142" s="129" t="e">
        <f t="shared" ref="K142:S142" si="497">1-K141</f>
        <v>#DIV/0!</v>
      </c>
      <c r="L142" s="129" t="e">
        <f t="shared" si="497"/>
        <v>#DIV/0!</v>
      </c>
      <c r="M142" s="129">
        <f t="shared" si="497"/>
        <v>1</v>
      </c>
      <c r="N142" s="129">
        <f t="shared" si="497"/>
        <v>1</v>
      </c>
      <c r="O142" s="129">
        <f t="shared" si="497"/>
        <v>1</v>
      </c>
      <c r="P142" s="129">
        <f t="shared" si="497"/>
        <v>0.79336018518518525</v>
      </c>
      <c r="Q142" s="129">
        <f t="shared" si="497"/>
        <v>0.74657210084033609</v>
      </c>
      <c r="R142" s="129">
        <f t="shared" si="497"/>
        <v>0.8105756235294117</v>
      </c>
      <c r="S142" s="129">
        <f t="shared" si="497"/>
        <v>0.80783503512880561</v>
      </c>
      <c r="T142" s="129">
        <f t="shared" ref="T142:U142" si="498">1-T141</f>
        <v>0.84280230326295591</v>
      </c>
      <c r="U142" s="129">
        <f t="shared" si="498"/>
        <v>0.84096311475409835</v>
      </c>
      <c r="V142" s="101">
        <f t="shared" si="448"/>
        <v>-2.0366292548753884E-2</v>
      </c>
      <c r="W142" s="10"/>
      <c r="X142" s="129">
        <f t="shared" ref="X142:AG142" si="499">1-X141</f>
        <v>0.85778392723024277</v>
      </c>
      <c r="Y142" s="129">
        <f t="shared" si="499"/>
        <v>0.87133773729595188</v>
      </c>
      <c r="Z142" s="129">
        <f t="shared" si="499"/>
        <v>0.88359981033278978</v>
      </c>
      <c r="AA142" s="129">
        <f t="shared" si="499"/>
        <v>0.89469325449585613</v>
      </c>
      <c r="AB142" s="129">
        <f t="shared" si="499"/>
        <v>0.90472944519781628</v>
      </c>
      <c r="AC142" s="129">
        <f t="shared" si="499"/>
        <v>0.91380914329026786</v>
      </c>
      <c r="AD142" s="129">
        <f t="shared" si="499"/>
        <v>0.92202350667756061</v>
      </c>
      <c r="AE142" s="129">
        <f t="shared" si="499"/>
        <v>0.92945500551942084</v>
      </c>
      <c r="AF142" s="129">
        <f t="shared" si="499"/>
        <v>0.93617825021078738</v>
      </c>
      <c r="AG142" s="129">
        <f t="shared" si="499"/>
        <v>0.94226074045156794</v>
      </c>
      <c r="AH142" s="116" t="e">
        <f t="shared" si="334"/>
        <v>#DIV/0!</v>
      </c>
      <c r="AI142" s="10"/>
      <c r="AJ142" s="10"/>
    </row>
    <row r="143" spans="1:36">
      <c r="B143" s="10" t="s">
        <v>395</v>
      </c>
      <c r="C143" s="10"/>
      <c r="D143" s="10"/>
      <c r="E143" s="10"/>
      <c r="F143" s="129"/>
      <c r="G143" s="129" t="e">
        <f t="shared" ref="G143" si="500">G140/G20</f>
        <v>#DIV/0!</v>
      </c>
      <c r="H143" s="129" t="e">
        <f t="shared" ref="H143:I143" si="501">H140/H20</f>
        <v>#DIV/0!</v>
      </c>
      <c r="I143" s="129" t="e">
        <f t="shared" si="501"/>
        <v>#DIV/0!</v>
      </c>
      <c r="J143" s="129" t="e">
        <f t="shared" ref="J143:T143" si="502">J140/J20</f>
        <v>#DIV/0!</v>
      </c>
      <c r="K143" s="129" t="e">
        <f t="shared" si="502"/>
        <v>#DIV/0!</v>
      </c>
      <c r="L143" s="129" t="e">
        <f t="shared" si="502"/>
        <v>#DIV/0!</v>
      </c>
      <c r="M143" s="129" t="e">
        <f t="shared" si="502"/>
        <v>#DIV/0!</v>
      </c>
      <c r="N143" s="129" t="e">
        <f t="shared" si="502"/>
        <v>#DIV/0!</v>
      </c>
      <c r="O143" s="129" t="e">
        <f t="shared" si="502"/>
        <v>#DIV/0!</v>
      </c>
      <c r="P143" s="129" t="e">
        <f t="shared" si="502"/>
        <v>#DIV/0!</v>
      </c>
      <c r="Q143" s="129" t="e">
        <f t="shared" si="502"/>
        <v>#DIV/0!</v>
      </c>
      <c r="R143" s="129" t="e">
        <f t="shared" si="502"/>
        <v>#DIV/0!</v>
      </c>
      <c r="S143" s="129" t="e">
        <f t="shared" si="502"/>
        <v>#DIV/0!</v>
      </c>
      <c r="T143" s="129" t="e">
        <f t="shared" si="502"/>
        <v>#DIV/0!</v>
      </c>
      <c r="U143" s="129" t="e">
        <f t="shared" ref="U143" si="503">U140/U20</f>
        <v>#DIV/0!</v>
      </c>
      <c r="V143" s="101" t="e">
        <f t="shared" si="448"/>
        <v>#DIV/0!</v>
      </c>
      <c r="W143" s="10"/>
      <c r="X143" s="129" t="e">
        <f t="shared" ref="X143:AG143" si="504">X140/X20</f>
        <v>#DIV/0!</v>
      </c>
      <c r="Y143" s="129" t="e">
        <f t="shared" si="504"/>
        <v>#DIV/0!</v>
      </c>
      <c r="Z143" s="129" t="e">
        <f t="shared" si="504"/>
        <v>#DIV/0!</v>
      </c>
      <c r="AA143" s="129" t="e">
        <f t="shared" si="504"/>
        <v>#DIV/0!</v>
      </c>
      <c r="AB143" s="129" t="e">
        <f t="shared" si="504"/>
        <v>#DIV/0!</v>
      </c>
      <c r="AC143" s="129" t="e">
        <f t="shared" si="504"/>
        <v>#DIV/0!</v>
      </c>
      <c r="AD143" s="129" t="e">
        <f t="shared" si="504"/>
        <v>#DIV/0!</v>
      </c>
      <c r="AE143" s="129" t="e">
        <f t="shared" si="504"/>
        <v>#DIV/0!</v>
      </c>
      <c r="AF143" s="129" t="e">
        <f t="shared" si="504"/>
        <v>#DIV/0!</v>
      </c>
      <c r="AG143" s="129" t="e">
        <f t="shared" si="504"/>
        <v>#DIV/0!</v>
      </c>
      <c r="AH143" s="116" t="s">
        <v>396</v>
      </c>
      <c r="AI143" s="10"/>
      <c r="AJ143" s="10"/>
    </row>
    <row r="144" spans="1:36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>
      <c r="B145" s="10" t="s">
        <v>278</v>
      </c>
      <c r="C145" s="129"/>
      <c r="D145" s="129"/>
      <c r="E145" s="129"/>
      <c r="F145" s="129"/>
      <c r="G145" s="129">
        <f t="shared" ref="G145" si="505">G31/G25</f>
        <v>0</v>
      </c>
      <c r="H145" s="129" t="e">
        <f t="shared" ref="H145:I145" si="506">H31/H25</f>
        <v>#DIV/0!</v>
      </c>
      <c r="I145" s="129" t="e">
        <f t="shared" si="506"/>
        <v>#DIV/0!</v>
      </c>
      <c r="J145" s="129" t="e">
        <f t="shared" ref="J145:T145" si="507">J31/J25</f>
        <v>#DIV/0!</v>
      </c>
      <c r="K145" s="129" t="e">
        <f t="shared" si="507"/>
        <v>#DIV/0!</v>
      </c>
      <c r="L145" s="129" t="e">
        <f t="shared" si="507"/>
        <v>#DIV/0!</v>
      </c>
      <c r="M145" s="129">
        <f t="shared" si="507"/>
        <v>0</v>
      </c>
      <c r="N145" s="129">
        <f t="shared" si="507"/>
        <v>0</v>
      </c>
      <c r="O145" s="129">
        <f t="shared" si="507"/>
        <v>0</v>
      </c>
      <c r="P145" s="129">
        <f t="shared" si="507"/>
        <v>0</v>
      </c>
      <c r="Q145" s="129">
        <f t="shared" si="507"/>
        <v>0</v>
      </c>
      <c r="R145" s="129">
        <f t="shared" si="507"/>
        <v>0</v>
      </c>
      <c r="S145" s="129">
        <f t="shared" si="507"/>
        <v>0</v>
      </c>
      <c r="T145" s="129">
        <f t="shared" si="507"/>
        <v>0</v>
      </c>
      <c r="U145" s="129">
        <f t="shared" ref="U145" si="508">U31/U25</f>
        <v>0</v>
      </c>
      <c r="V145" s="101" t="e">
        <f t="shared" si="448"/>
        <v>#DIV/0!</v>
      </c>
      <c r="W145" s="10"/>
      <c r="X145" s="129">
        <f t="shared" ref="X145:AG145" si="509">X31/X25</f>
        <v>0</v>
      </c>
      <c r="Y145" s="129">
        <f t="shared" si="509"/>
        <v>0</v>
      </c>
      <c r="Z145" s="129">
        <f t="shared" si="509"/>
        <v>0</v>
      </c>
      <c r="AA145" s="129">
        <f t="shared" si="509"/>
        <v>0</v>
      </c>
      <c r="AB145" s="129">
        <f t="shared" si="509"/>
        <v>0</v>
      </c>
      <c r="AC145" s="129">
        <f t="shared" si="509"/>
        <v>0</v>
      </c>
      <c r="AD145" s="129">
        <f t="shared" si="509"/>
        <v>0</v>
      </c>
      <c r="AE145" s="129">
        <f t="shared" si="509"/>
        <v>0</v>
      </c>
      <c r="AF145" s="129">
        <f t="shared" si="509"/>
        <v>0</v>
      </c>
      <c r="AG145" s="129">
        <f t="shared" si="509"/>
        <v>0</v>
      </c>
      <c r="AH145" s="116" t="e">
        <f t="shared" si="334"/>
        <v>#DIV/0!</v>
      </c>
      <c r="AI145" s="10"/>
      <c r="AJ145" s="10"/>
    </row>
    <row r="146" spans="2:36">
      <c r="B146" s="10" t="s">
        <v>275</v>
      </c>
      <c r="C146" s="129"/>
      <c r="D146" s="129"/>
      <c r="E146" s="129"/>
      <c r="F146" s="129"/>
      <c r="G146" s="129">
        <f t="shared" ref="G146" si="510">G32/G25</f>
        <v>0</v>
      </c>
      <c r="H146" s="129" t="e">
        <f t="shared" ref="H146:I146" si="511">H32/H25</f>
        <v>#DIV/0!</v>
      </c>
      <c r="I146" s="129" t="e">
        <f t="shared" si="511"/>
        <v>#DIV/0!</v>
      </c>
      <c r="J146" s="129" t="e">
        <f t="shared" ref="J146:T146" si="512">J32/J25</f>
        <v>#DIV/0!</v>
      </c>
      <c r="K146" s="129" t="e">
        <f t="shared" si="512"/>
        <v>#DIV/0!</v>
      </c>
      <c r="L146" s="129" t="e">
        <f t="shared" si="512"/>
        <v>#DIV/0!</v>
      </c>
      <c r="M146" s="129">
        <f t="shared" si="512"/>
        <v>0</v>
      </c>
      <c r="N146" s="129">
        <f t="shared" si="512"/>
        <v>0</v>
      </c>
      <c r="O146" s="129">
        <f t="shared" si="512"/>
        <v>0</v>
      </c>
      <c r="P146" s="129">
        <f t="shared" si="512"/>
        <v>0</v>
      </c>
      <c r="Q146" s="129">
        <f t="shared" si="512"/>
        <v>0</v>
      </c>
      <c r="R146" s="129">
        <f t="shared" si="512"/>
        <v>0</v>
      </c>
      <c r="S146" s="129">
        <f t="shared" si="512"/>
        <v>0</v>
      </c>
      <c r="T146" s="129">
        <f t="shared" si="512"/>
        <v>0</v>
      </c>
      <c r="U146" s="129">
        <f t="shared" ref="U146" si="513">U32/U25</f>
        <v>0</v>
      </c>
      <c r="V146" s="101" t="e">
        <f t="shared" si="448"/>
        <v>#DIV/0!</v>
      </c>
      <c r="W146" s="10"/>
      <c r="X146" s="129">
        <f t="shared" ref="X146:AG146" si="514">X32/X25</f>
        <v>0</v>
      </c>
      <c r="Y146" s="129">
        <f t="shared" si="514"/>
        <v>0</v>
      </c>
      <c r="Z146" s="129">
        <f t="shared" si="514"/>
        <v>0</v>
      </c>
      <c r="AA146" s="129">
        <f t="shared" si="514"/>
        <v>0</v>
      </c>
      <c r="AB146" s="129">
        <f t="shared" si="514"/>
        <v>0</v>
      </c>
      <c r="AC146" s="129">
        <f t="shared" si="514"/>
        <v>0</v>
      </c>
      <c r="AD146" s="129">
        <f t="shared" si="514"/>
        <v>0</v>
      </c>
      <c r="AE146" s="129">
        <f t="shared" si="514"/>
        <v>0</v>
      </c>
      <c r="AF146" s="129">
        <f t="shared" si="514"/>
        <v>0</v>
      </c>
      <c r="AG146" s="129">
        <f t="shared" si="514"/>
        <v>0</v>
      </c>
      <c r="AH146" s="116" t="e">
        <f t="shared" si="334"/>
        <v>#DIV/0!</v>
      </c>
      <c r="AI146" s="10"/>
      <c r="AJ146" s="10"/>
    </row>
    <row r="147" spans="2:36">
      <c r="B147" s="10" t="s">
        <v>403</v>
      </c>
      <c r="C147" s="129"/>
      <c r="D147" s="129"/>
      <c r="E147" s="129"/>
      <c r="F147" s="129"/>
      <c r="G147" s="129">
        <f t="shared" ref="G147" si="515">(G31+G32)/G25</f>
        <v>0</v>
      </c>
      <c r="H147" s="129" t="e">
        <f t="shared" ref="H147:I147" si="516">(H31+H32)/H25</f>
        <v>#DIV/0!</v>
      </c>
      <c r="I147" s="129" t="e">
        <f t="shared" si="516"/>
        <v>#DIV/0!</v>
      </c>
      <c r="J147" s="129" t="e">
        <f t="shared" ref="J147:T147" si="517">(J31+J32)/J25</f>
        <v>#DIV/0!</v>
      </c>
      <c r="K147" s="129" t="e">
        <f t="shared" si="517"/>
        <v>#DIV/0!</v>
      </c>
      <c r="L147" s="129" t="e">
        <f t="shared" si="517"/>
        <v>#DIV/0!</v>
      </c>
      <c r="M147" s="129">
        <f t="shared" si="517"/>
        <v>0</v>
      </c>
      <c r="N147" s="129">
        <f t="shared" si="517"/>
        <v>0</v>
      </c>
      <c r="O147" s="129">
        <f t="shared" si="517"/>
        <v>0</v>
      </c>
      <c r="P147" s="129">
        <f t="shared" si="517"/>
        <v>0</v>
      </c>
      <c r="Q147" s="129">
        <f t="shared" si="517"/>
        <v>0</v>
      </c>
      <c r="R147" s="129">
        <f t="shared" si="517"/>
        <v>0</v>
      </c>
      <c r="S147" s="129">
        <f t="shared" si="517"/>
        <v>0</v>
      </c>
      <c r="T147" s="129">
        <f t="shared" si="517"/>
        <v>0</v>
      </c>
      <c r="U147" s="129">
        <f t="shared" ref="U147" si="518">(U31+U32)/U25</f>
        <v>0</v>
      </c>
      <c r="V147" s="101" t="e">
        <f t="shared" si="448"/>
        <v>#DIV/0!</v>
      </c>
      <c r="W147" s="10"/>
      <c r="X147" s="129">
        <f t="shared" ref="X147:AG147" si="519">(X31+X32)/X25</f>
        <v>0</v>
      </c>
      <c r="Y147" s="129">
        <f t="shared" si="519"/>
        <v>0</v>
      </c>
      <c r="Z147" s="129">
        <f t="shared" si="519"/>
        <v>0</v>
      </c>
      <c r="AA147" s="129">
        <f t="shared" si="519"/>
        <v>0</v>
      </c>
      <c r="AB147" s="129">
        <f t="shared" si="519"/>
        <v>0</v>
      </c>
      <c r="AC147" s="129">
        <f t="shared" si="519"/>
        <v>0</v>
      </c>
      <c r="AD147" s="129">
        <f t="shared" si="519"/>
        <v>0</v>
      </c>
      <c r="AE147" s="129">
        <f t="shared" si="519"/>
        <v>0</v>
      </c>
      <c r="AF147" s="129">
        <f t="shared" si="519"/>
        <v>0</v>
      </c>
      <c r="AG147" s="129">
        <f t="shared" si="519"/>
        <v>0</v>
      </c>
      <c r="AH147" s="116" t="e">
        <f t="shared" si="334"/>
        <v>#DIV/0!</v>
      </c>
      <c r="AI147" s="10"/>
      <c r="AJ147" s="10"/>
    </row>
    <row r="148" spans="2:36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>
      <c r="B149" s="10" t="s">
        <v>299</v>
      </c>
      <c r="C149" s="10"/>
      <c r="D149" s="10"/>
      <c r="E149" s="10"/>
      <c r="F149" s="129"/>
      <c r="G149" s="129">
        <f t="shared" ref="G149" si="520">G27/G25</f>
        <v>0.78215038650737878</v>
      </c>
      <c r="H149" s="129" t="e">
        <f t="shared" ref="H149:I149" si="521">H27/H25</f>
        <v>#DIV/0!</v>
      </c>
      <c r="I149" s="129" t="e">
        <f t="shared" si="521"/>
        <v>#DIV/0!</v>
      </c>
      <c r="J149" s="129" t="e">
        <f t="shared" ref="J149:T149" si="522">J27/J25</f>
        <v>#DIV/0!</v>
      </c>
      <c r="K149" s="129" t="e">
        <f t="shared" si="522"/>
        <v>#DIV/0!</v>
      </c>
      <c r="L149" s="129" t="e">
        <f t="shared" si="522"/>
        <v>#DIV/0!</v>
      </c>
      <c r="M149" s="129">
        <f t="shared" si="522"/>
        <v>0.78215038650737878</v>
      </c>
      <c r="N149" s="129">
        <f t="shared" si="522"/>
        <v>0.20151730678046467</v>
      </c>
      <c r="O149" s="129">
        <f t="shared" si="522"/>
        <v>0.18533333333333332</v>
      </c>
      <c r="P149" s="129">
        <f t="shared" si="522"/>
        <v>0.19839015151515152</v>
      </c>
      <c r="Q149" s="129">
        <f t="shared" si="522"/>
        <v>0.24021386289860608</v>
      </c>
      <c r="R149" s="129">
        <f t="shared" si="522"/>
        <v>0.25351026076222805</v>
      </c>
      <c r="S149" s="129">
        <f t="shared" si="522"/>
        <v>0.26921017402945113</v>
      </c>
      <c r="T149" s="129">
        <f t="shared" si="522"/>
        <v>0.32652823145123661</v>
      </c>
      <c r="U149" s="129">
        <f t="shared" ref="U149" si="523">U27/U25</f>
        <v>0.32212591675397656</v>
      </c>
      <c r="V149" s="101">
        <f t="shared" si="448"/>
        <v>-0.10344113530836674</v>
      </c>
      <c r="W149" s="10"/>
      <c r="X149" s="129">
        <f t="shared" ref="X149:AG149" si="524">X27/X25</f>
        <v>0.32652823145123661</v>
      </c>
      <c r="Y149" s="129">
        <f t="shared" si="524"/>
        <v>0.32652823145123666</v>
      </c>
      <c r="Z149" s="129">
        <f t="shared" si="524"/>
        <v>0.32652823145123666</v>
      </c>
      <c r="AA149" s="129">
        <f t="shared" si="524"/>
        <v>0.32652823145123666</v>
      </c>
      <c r="AB149" s="129">
        <f t="shared" si="524"/>
        <v>0.32652823145123661</v>
      </c>
      <c r="AC149" s="129">
        <f t="shared" si="524"/>
        <v>0.32652823145123661</v>
      </c>
      <c r="AD149" s="129">
        <f t="shared" si="524"/>
        <v>0.32652823145123661</v>
      </c>
      <c r="AE149" s="129">
        <f t="shared" si="524"/>
        <v>0.32652823145123661</v>
      </c>
      <c r="AF149" s="129">
        <f t="shared" si="524"/>
        <v>0.32652823145123666</v>
      </c>
      <c r="AG149" s="129">
        <f t="shared" si="524"/>
        <v>0.32652823145123666</v>
      </c>
      <c r="AH149" s="116" t="e">
        <f t="shared" si="334"/>
        <v>#DIV/0!</v>
      </c>
      <c r="AI149" s="10"/>
      <c r="AJ149" s="10"/>
    </row>
    <row r="150" spans="2:36">
      <c r="B150" s="10" t="str">
        <f>B33</f>
        <v>Top Expenses ( Other exp )</v>
      </c>
      <c r="C150" s="10"/>
      <c r="D150" s="10"/>
      <c r="E150" s="10"/>
      <c r="F150" s="129"/>
      <c r="G150" s="129">
        <f t="shared" ref="G150" si="525">G33/G25</f>
        <v>7.0274068868587496E-6</v>
      </c>
      <c r="H150" s="129" t="e">
        <f t="shared" ref="H150:I150" si="526">H33/H25</f>
        <v>#DIV/0!</v>
      </c>
      <c r="I150" s="129" t="e">
        <f t="shared" si="526"/>
        <v>#DIV/0!</v>
      </c>
      <c r="J150" s="129" t="e">
        <f t="shared" ref="J150:T150" si="527">J33/J25</f>
        <v>#DIV/0!</v>
      </c>
      <c r="K150" s="129" t="e">
        <f t="shared" si="527"/>
        <v>#DIV/0!</v>
      </c>
      <c r="L150" s="129" t="e">
        <f t="shared" si="527"/>
        <v>#DIV/0!</v>
      </c>
      <c r="M150" s="129">
        <f t="shared" si="527"/>
        <v>7.0274068868587496E-6</v>
      </c>
      <c r="N150" s="129">
        <f t="shared" si="527"/>
        <v>7.8236130867709822E-2</v>
      </c>
      <c r="O150" s="129">
        <f t="shared" si="527"/>
        <v>7.3666666666666672E-2</v>
      </c>
      <c r="P150" s="129">
        <f t="shared" si="527"/>
        <v>8.5227272727272721E-2</v>
      </c>
      <c r="Q150" s="129">
        <f t="shared" si="527"/>
        <v>0.10654955126981096</v>
      </c>
      <c r="R150" s="129">
        <f t="shared" si="527"/>
        <v>9.7052923931492049E-2</v>
      </c>
      <c r="S150" s="129">
        <f t="shared" si="527"/>
        <v>9.9330655957161978E-2</v>
      </c>
      <c r="T150" s="129">
        <f t="shared" si="527"/>
        <v>8.3411105926271586E-2</v>
      </c>
      <c r="U150" s="129">
        <f t="shared" ref="U150" si="528">U33/U25</f>
        <v>0.27354986189160874</v>
      </c>
      <c r="V150" s="101">
        <f t="shared" si="448"/>
        <v>2.2307518184253929</v>
      </c>
      <c r="W150" s="10"/>
      <c r="X150" s="129">
        <f t="shared" ref="X150:AG150" si="529">X33/X25</f>
        <v>8.3411105926271573E-2</v>
      </c>
      <c r="Y150" s="129">
        <f t="shared" si="529"/>
        <v>8.3411105926271573E-2</v>
      </c>
      <c r="Z150" s="129">
        <f t="shared" si="529"/>
        <v>8.3411105926271573E-2</v>
      </c>
      <c r="AA150" s="129">
        <f t="shared" si="529"/>
        <v>8.3411105926271573E-2</v>
      </c>
      <c r="AB150" s="129">
        <f t="shared" si="529"/>
        <v>8.3411105926271559E-2</v>
      </c>
      <c r="AC150" s="129">
        <f t="shared" si="529"/>
        <v>8.3411105926271559E-2</v>
      </c>
      <c r="AD150" s="129">
        <f t="shared" si="529"/>
        <v>8.3411105926271573E-2</v>
      </c>
      <c r="AE150" s="129">
        <f t="shared" si="529"/>
        <v>8.3411105926271559E-2</v>
      </c>
      <c r="AF150" s="129">
        <f t="shared" si="529"/>
        <v>8.3411105926271559E-2</v>
      </c>
      <c r="AG150" s="129">
        <f t="shared" si="529"/>
        <v>8.3411105926271559E-2</v>
      </c>
      <c r="AH150" s="116" t="e">
        <f t="shared" si="334"/>
        <v>#DIV/0!</v>
      </c>
      <c r="AI150" s="10"/>
      <c r="AJ150" s="10"/>
    </row>
    <row r="151" spans="2:36">
      <c r="B151" s="10" t="str">
        <f>B34</f>
        <v>2nd highest Expenses Comp. ( Employee )</v>
      </c>
      <c r="C151" s="10"/>
      <c r="D151" s="10"/>
      <c r="E151" s="10"/>
      <c r="F151" s="129"/>
      <c r="G151" s="129">
        <f t="shared" ref="G151" si="530">G34/G25</f>
        <v>0</v>
      </c>
      <c r="H151" s="129" t="e">
        <f t="shared" ref="H151:I151" si="531">H34/H25</f>
        <v>#DIV/0!</v>
      </c>
      <c r="I151" s="129" t="e">
        <f t="shared" si="531"/>
        <v>#DIV/0!</v>
      </c>
      <c r="J151" s="129" t="e">
        <f t="shared" ref="J151:T151" si="532">J34/J25</f>
        <v>#DIV/0!</v>
      </c>
      <c r="K151" s="129" t="e">
        <f t="shared" si="532"/>
        <v>#DIV/0!</v>
      </c>
      <c r="L151" s="129" t="e">
        <f t="shared" si="532"/>
        <v>#DIV/0!</v>
      </c>
      <c r="M151" s="129">
        <f t="shared" si="532"/>
        <v>0</v>
      </c>
      <c r="N151" s="129">
        <f t="shared" si="532"/>
        <v>4.4570886676149835E-2</v>
      </c>
      <c r="O151" s="129">
        <f t="shared" si="532"/>
        <v>5.0333333333333334E-2</v>
      </c>
      <c r="P151" s="129">
        <f t="shared" si="532"/>
        <v>4.8532196969696968E-2</v>
      </c>
      <c r="Q151" s="129">
        <f t="shared" si="532"/>
        <v>5.2320030551842658E-2</v>
      </c>
      <c r="R151" s="129">
        <f t="shared" si="532"/>
        <v>5.4312606079308746E-2</v>
      </c>
      <c r="S151" s="129">
        <f t="shared" si="532"/>
        <v>6.5327978580990625E-2</v>
      </c>
      <c r="T151" s="129">
        <f t="shared" si="532"/>
        <v>5.7512832477834813E-2</v>
      </c>
      <c r="U151" s="129">
        <f t="shared" ref="U151" si="533">U34/U25</f>
        <v>4.7909324697590246E-2</v>
      </c>
      <c r="V151" s="101" t="e">
        <f t="shared" si="448"/>
        <v>#DIV/0!</v>
      </c>
      <c r="W151" s="10"/>
      <c r="X151" s="129">
        <f t="shared" ref="X151:AG151" si="534">X34/X25</f>
        <v>5.7512832477834806E-2</v>
      </c>
      <c r="Y151" s="129">
        <f t="shared" si="534"/>
        <v>5.7512832477834806E-2</v>
      </c>
      <c r="Z151" s="129">
        <f t="shared" si="534"/>
        <v>5.7512832477834806E-2</v>
      </c>
      <c r="AA151" s="129">
        <f t="shared" si="534"/>
        <v>5.7512832477834799E-2</v>
      </c>
      <c r="AB151" s="129">
        <f t="shared" si="534"/>
        <v>5.7512832477834799E-2</v>
      </c>
      <c r="AC151" s="129">
        <f t="shared" si="534"/>
        <v>5.7512832477834792E-2</v>
      </c>
      <c r="AD151" s="129">
        <f t="shared" si="534"/>
        <v>5.7512832477834792E-2</v>
      </c>
      <c r="AE151" s="129">
        <f t="shared" si="534"/>
        <v>5.7512832477834792E-2</v>
      </c>
      <c r="AF151" s="129">
        <f t="shared" si="534"/>
        <v>5.7512832477834799E-2</v>
      </c>
      <c r="AG151" s="129">
        <f t="shared" si="534"/>
        <v>5.7512832477834799E-2</v>
      </c>
      <c r="AH151" s="116" t="e">
        <f t="shared" si="334"/>
        <v>#DIV/0!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0"/>
      <c r="W152" s="1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01" t="e">
        <f t="shared" si="448"/>
        <v>#DIV/0!</v>
      </c>
      <c r="W153" s="1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>
      <c r="B154" s="10" t="s">
        <v>310</v>
      </c>
      <c r="C154" s="10"/>
      <c r="D154" s="10"/>
      <c r="E154" s="10"/>
      <c r="F154" s="15"/>
      <c r="G154" s="15" t="e">
        <f t="shared" ref="G154" si="535">G15/G9</f>
        <v>#DIV/0!</v>
      </c>
      <c r="H154" s="15" t="e">
        <f t="shared" ref="H154:I154" si="536">H15/H9</f>
        <v>#DIV/0!</v>
      </c>
      <c r="I154" s="15" t="e">
        <f t="shared" si="536"/>
        <v>#DIV/0!</v>
      </c>
      <c r="J154" s="15" t="e">
        <f t="shared" ref="J154:T154" si="537">J15/J9</f>
        <v>#DIV/0!</v>
      </c>
      <c r="K154" s="15" t="e">
        <f t="shared" si="537"/>
        <v>#DIV/0!</v>
      </c>
      <c r="L154" s="15" t="e">
        <f t="shared" si="537"/>
        <v>#DIV/0!</v>
      </c>
      <c r="M154" s="15" t="e">
        <f t="shared" si="537"/>
        <v>#DIV/0!</v>
      </c>
      <c r="N154" s="15">
        <f t="shared" si="537"/>
        <v>4.8899056334000573E-2</v>
      </c>
      <c r="O154" s="15">
        <f t="shared" si="537"/>
        <v>2.8054718293531185E-2</v>
      </c>
      <c r="P154" s="15">
        <f t="shared" si="537"/>
        <v>0.22689075630252101</v>
      </c>
      <c r="Q154" s="15">
        <f t="shared" si="537"/>
        <v>0.45116537180910099</v>
      </c>
      <c r="R154" s="15">
        <f t="shared" si="537"/>
        <v>0.37751175716118002</v>
      </c>
      <c r="S154" s="15">
        <f t="shared" si="537"/>
        <v>0.1413007593265104</v>
      </c>
      <c r="T154" s="15">
        <f t="shared" si="537"/>
        <v>0.21646831778706979</v>
      </c>
      <c r="U154" s="15">
        <f t="shared" ref="U154" si="538">U15/U9</f>
        <v>0.21646831778706979</v>
      </c>
      <c r="V154" s="101" t="e">
        <f t="shared" si="448"/>
        <v>#DIV/0!</v>
      </c>
      <c r="W154" s="10"/>
      <c r="X154" s="10">
        <f t="shared" ref="X154:AG154" si="539">X15/X9</f>
        <v>0.21646831778706979</v>
      </c>
      <c r="Y154" s="10">
        <f t="shared" si="539"/>
        <v>0.21646831778706982</v>
      </c>
      <c r="Z154" s="10">
        <f t="shared" si="539"/>
        <v>0.21646831778706985</v>
      </c>
      <c r="AA154" s="10">
        <f t="shared" si="539"/>
        <v>0.21646831778706985</v>
      </c>
      <c r="AB154" s="10">
        <f t="shared" si="539"/>
        <v>0.21646831778706982</v>
      </c>
      <c r="AC154" s="10">
        <f t="shared" si="539"/>
        <v>0.21646831778706982</v>
      </c>
      <c r="AD154" s="10">
        <f t="shared" si="539"/>
        <v>0.21646831778706985</v>
      </c>
      <c r="AE154" s="10">
        <f t="shared" si="539"/>
        <v>0.21646831778706985</v>
      </c>
      <c r="AF154" s="10">
        <f t="shared" si="539"/>
        <v>0.21646831778706985</v>
      </c>
      <c r="AG154" s="10">
        <f t="shared" si="539"/>
        <v>0.21646831778706985</v>
      </c>
      <c r="AH154" s="116" t="e">
        <f t="shared" si="334"/>
        <v>#DIV/0!</v>
      </c>
      <c r="AI154" s="10"/>
      <c r="AJ154" s="10"/>
    </row>
    <row r="155" spans="2:36">
      <c r="B155" s="10" t="s">
        <v>300</v>
      </c>
      <c r="C155" s="10"/>
      <c r="D155" s="10"/>
      <c r="E155" s="10"/>
      <c r="F155" s="15"/>
      <c r="G155" s="15" t="e">
        <f t="shared" ref="G155" si="540">G12/G9</f>
        <v>#DIV/0!</v>
      </c>
      <c r="H155" s="15" t="e">
        <f t="shared" ref="H155:I155" si="541">H12/H9</f>
        <v>#DIV/0!</v>
      </c>
      <c r="I155" s="15" t="e">
        <f t="shared" si="541"/>
        <v>#DIV/0!</v>
      </c>
      <c r="J155" s="15" t="e">
        <f t="shared" ref="J155:T155" si="542">J12/J9</f>
        <v>#DIV/0!</v>
      </c>
      <c r="K155" s="15" t="e">
        <f t="shared" si="542"/>
        <v>#DIV/0!</v>
      </c>
      <c r="L155" s="15" t="e">
        <f t="shared" si="542"/>
        <v>#DIV/0!</v>
      </c>
      <c r="M155" s="15" t="e">
        <f t="shared" si="542"/>
        <v>#DIV/0!</v>
      </c>
      <c r="N155" s="15">
        <f t="shared" si="542"/>
        <v>4.661138118387189E-2</v>
      </c>
      <c r="O155" s="15">
        <f t="shared" si="542"/>
        <v>2.6199860885694412E-2</v>
      </c>
      <c r="P155" s="15">
        <f t="shared" si="542"/>
        <v>0.20784313725490197</v>
      </c>
      <c r="Q155" s="15">
        <f t="shared" si="542"/>
        <v>0.43396226415094341</v>
      </c>
      <c r="R155" s="15">
        <f t="shared" si="542"/>
        <v>0.36853356135100468</v>
      </c>
      <c r="S155" s="15">
        <f t="shared" si="542"/>
        <v>0.13271706833938593</v>
      </c>
      <c r="T155" s="15">
        <f t="shared" si="542"/>
        <v>0.19105821807655193</v>
      </c>
      <c r="U155" s="15">
        <f t="shared" ref="U155" si="543">U12/U9</f>
        <v>0.19105821807655193</v>
      </c>
      <c r="V155" s="101" t="e">
        <f t="shared" si="448"/>
        <v>#DIV/0!</v>
      </c>
      <c r="W155" s="110"/>
      <c r="X155" s="10">
        <f t="shared" ref="X155:AG155" si="544">X12/X9</f>
        <v>0.19105821807655193</v>
      </c>
      <c r="Y155" s="10">
        <f t="shared" si="544"/>
        <v>0.19105821807655193</v>
      </c>
      <c r="Z155" s="10">
        <f t="shared" si="544"/>
        <v>0.19105821807655196</v>
      </c>
      <c r="AA155" s="10">
        <f t="shared" si="544"/>
        <v>0.19105821807655196</v>
      </c>
      <c r="AB155" s="10">
        <f t="shared" si="544"/>
        <v>0.19105821807655196</v>
      </c>
      <c r="AC155" s="10">
        <f t="shared" si="544"/>
        <v>0.19105821807655193</v>
      </c>
      <c r="AD155" s="10">
        <f t="shared" si="544"/>
        <v>0.19105821807655196</v>
      </c>
      <c r="AE155" s="10">
        <f t="shared" si="544"/>
        <v>0.19105821807655196</v>
      </c>
      <c r="AF155" s="10">
        <f t="shared" si="544"/>
        <v>0.19105821807655196</v>
      </c>
      <c r="AG155" s="10">
        <f t="shared" si="544"/>
        <v>0.19105821807655196</v>
      </c>
      <c r="AH155" s="101">
        <f t="shared" ref="AH155" si="545">((AG155/X155)^(1/($K$2-$K$1) ))-1</f>
        <v>0</v>
      </c>
      <c r="AI155" s="10"/>
      <c r="AJ155" s="10"/>
    </row>
    <row r="156" spans="2:36">
      <c r="B156" s="10" t="s">
        <v>302</v>
      </c>
      <c r="C156" s="10"/>
      <c r="D156" s="10"/>
      <c r="E156" s="10"/>
      <c r="F156" s="15"/>
      <c r="G156" s="15">
        <f t="shared" ref="G156" si="546">G25/360</f>
        <v>3.9527777777777779</v>
      </c>
      <c r="H156" s="15">
        <f t="shared" ref="H156:I156" si="547">H25/360</f>
        <v>0</v>
      </c>
      <c r="I156" s="15">
        <f t="shared" si="547"/>
        <v>0</v>
      </c>
      <c r="J156" s="15">
        <f t="shared" ref="J156:T156" si="548">J25/360</f>
        <v>0</v>
      </c>
      <c r="K156" s="15">
        <f t="shared" si="548"/>
        <v>0</v>
      </c>
      <c r="L156" s="15">
        <f t="shared" si="548"/>
        <v>0</v>
      </c>
      <c r="M156" s="15">
        <f t="shared" si="548"/>
        <v>3.9527777777777779</v>
      </c>
      <c r="N156" s="15">
        <f t="shared" si="548"/>
        <v>5.8583333333333334</v>
      </c>
      <c r="O156" s="15">
        <f t="shared" si="548"/>
        <v>8.3333333333333339</v>
      </c>
      <c r="P156" s="15">
        <f t="shared" si="548"/>
        <v>11.733333333333333</v>
      </c>
      <c r="Q156" s="15">
        <f t="shared" si="548"/>
        <v>14.547222222222222</v>
      </c>
      <c r="R156" s="15">
        <f t="shared" si="548"/>
        <v>18.002777777777776</v>
      </c>
      <c r="S156" s="15">
        <f t="shared" si="548"/>
        <v>20.75</v>
      </c>
      <c r="T156" s="15">
        <f t="shared" si="548"/>
        <v>23.81111111111111</v>
      </c>
      <c r="U156" s="15">
        <f t="shared" ref="U156" si="549">U25/360</f>
        <v>29.163888888888888</v>
      </c>
      <c r="V156" s="101">
        <f t="shared" si="448"/>
        <v>0.2516550553405037</v>
      </c>
      <c r="W156" s="110"/>
      <c r="X156" s="15">
        <f t="shared" ref="X156:AG156" si="550">X25/360</f>
        <v>27.382777777777775</v>
      </c>
      <c r="Y156" s="15">
        <f t="shared" si="550"/>
        <v>31.490194444444437</v>
      </c>
      <c r="Z156" s="15">
        <f t="shared" si="550"/>
        <v>36.213723611111099</v>
      </c>
      <c r="AA156" s="15">
        <f t="shared" si="550"/>
        <v>41.64578215277777</v>
      </c>
      <c r="AB156" s="15">
        <f t="shared" si="550"/>
        <v>47.892649475694434</v>
      </c>
      <c r="AC156" s="15">
        <f t="shared" si="550"/>
        <v>55.076546897048594</v>
      </c>
      <c r="AD156" s="15">
        <f t="shared" si="550"/>
        <v>63.338028931605876</v>
      </c>
      <c r="AE156" s="15">
        <f t="shared" si="550"/>
        <v>72.838733271346754</v>
      </c>
      <c r="AF156" s="15">
        <f t="shared" si="550"/>
        <v>83.764543262048761</v>
      </c>
      <c r="AG156" s="15">
        <f t="shared" si="550"/>
        <v>96.329224751356051</v>
      </c>
      <c r="AH156" s="101">
        <f t="shared" ref="AH156:AH167" si="551">((AG156/X156)^(1/($K$2-$K$1) ))-1</f>
        <v>0.17026730107347476</v>
      </c>
      <c r="AI156" s="10"/>
      <c r="AJ156" s="10"/>
    </row>
    <row r="157" spans="2:36">
      <c r="B157" s="10" t="s">
        <v>301</v>
      </c>
      <c r="C157" s="10"/>
      <c r="D157" s="10"/>
      <c r="E157" s="10"/>
      <c r="F157" s="15"/>
      <c r="G157" s="15">
        <f t="shared" ref="G157" si="552">G27/360</f>
        <v>3.0916666666666668</v>
      </c>
      <c r="H157" s="15">
        <f t="shared" ref="H157:I157" si="553">H27/360</f>
        <v>0</v>
      </c>
      <c r="I157" s="15">
        <f t="shared" si="553"/>
        <v>0</v>
      </c>
      <c r="J157" s="15">
        <f t="shared" ref="J157:T157" si="554">J27/360</f>
        <v>0</v>
      </c>
      <c r="K157" s="15">
        <f t="shared" si="554"/>
        <v>0</v>
      </c>
      <c r="L157" s="15">
        <f t="shared" si="554"/>
        <v>0</v>
      </c>
      <c r="M157" s="15">
        <f t="shared" si="554"/>
        <v>3.0916666666666668</v>
      </c>
      <c r="N157" s="15">
        <f t="shared" si="554"/>
        <v>1.1805555555555556</v>
      </c>
      <c r="O157" s="15">
        <f t="shared" si="554"/>
        <v>1.5444444444444445</v>
      </c>
      <c r="P157" s="15">
        <f t="shared" si="554"/>
        <v>2.3277777777777779</v>
      </c>
      <c r="Q157" s="15">
        <f t="shared" si="554"/>
        <v>3.4944444444444445</v>
      </c>
      <c r="R157" s="15">
        <f t="shared" si="554"/>
        <v>4.5638888888888891</v>
      </c>
      <c r="S157" s="15">
        <f t="shared" si="554"/>
        <v>5.5861111111111112</v>
      </c>
      <c r="T157" s="15">
        <f t="shared" si="554"/>
        <v>7.7750000000000004</v>
      </c>
      <c r="U157" s="15">
        <f t="shared" ref="U157" si="555">U27/360</f>
        <v>9.3944444444444439</v>
      </c>
      <c r="V157" s="101">
        <f t="shared" si="448"/>
        <v>0.12218243540162543</v>
      </c>
      <c r="W157" s="110"/>
      <c r="X157" s="15">
        <f t="shared" ref="X157:AG157" si="556">X27/360</f>
        <v>8.9412500000000001</v>
      </c>
      <c r="Y157" s="15">
        <f t="shared" si="556"/>
        <v>10.282437499999999</v>
      </c>
      <c r="Z157" s="15">
        <f t="shared" si="556"/>
        <v>11.824803124999999</v>
      </c>
      <c r="AA157" s="15">
        <f t="shared" si="556"/>
        <v>13.598523593749999</v>
      </c>
      <c r="AB157" s="15">
        <f t="shared" si="556"/>
        <v>15.638302132812496</v>
      </c>
      <c r="AC157" s="15">
        <f t="shared" si="556"/>
        <v>17.984047452734369</v>
      </c>
      <c r="AD157" s="15">
        <f t="shared" si="556"/>
        <v>20.681654570644525</v>
      </c>
      <c r="AE157" s="15">
        <f t="shared" si="556"/>
        <v>23.783902756241201</v>
      </c>
      <c r="AF157" s="15">
        <f t="shared" si="556"/>
        <v>27.351488169677381</v>
      </c>
      <c r="AG157" s="15">
        <f t="shared" si="556"/>
        <v>31.454211395128986</v>
      </c>
      <c r="AH157" s="101">
        <f t="shared" si="551"/>
        <v>0.17026730107347476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10"/>
      <c r="W158" s="1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>
      <c r="B159" s="10" t="s">
        <v>311</v>
      </c>
      <c r="C159" s="10"/>
      <c r="D159" s="10"/>
      <c r="E159" s="10"/>
      <c r="F159" s="15"/>
      <c r="G159" s="15">
        <f t="shared" ref="G159" si="557">G10/G7</f>
        <v>0</v>
      </c>
      <c r="H159" s="15" t="e">
        <f t="shared" ref="H159:I159" si="558">H10/H7</f>
        <v>#DIV/0!</v>
      </c>
      <c r="I159" s="15" t="e">
        <f t="shared" si="558"/>
        <v>#DIV/0!</v>
      </c>
      <c r="J159" s="15" t="e">
        <f t="shared" ref="J159:T159" si="559">J10/J7</f>
        <v>#DIV/0!</v>
      </c>
      <c r="K159" s="15" t="e">
        <f t="shared" si="559"/>
        <v>#DIV/0!</v>
      </c>
      <c r="L159" s="15" t="e">
        <f t="shared" si="559"/>
        <v>#DIV/0!</v>
      </c>
      <c r="M159" s="15">
        <f t="shared" si="559"/>
        <v>0</v>
      </c>
      <c r="N159" s="15">
        <f t="shared" si="559"/>
        <v>4.5416810792113456</v>
      </c>
      <c r="O159" s="15">
        <f t="shared" si="559"/>
        <v>3.738425925925926</v>
      </c>
      <c r="P159" s="15">
        <f t="shared" si="559"/>
        <v>3.5739549839228295</v>
      </c>
      <c r="Q159" s="15">
        <f t="shared" si="559"/>
        <v>5.2531868131868134</v>
      </c>
      <c r="R159" s="15">
        <f t="shared" si="559"/>
        <v>5.4386871688848686</v>
      </c>
      <c r="S159" s="15">
        <f t="shared" si="559"/>
        <v>6.1387963843958131</v>
      </c>
      <c r="T159" s="15">
        <f t="shared" si="559"/>
        <v>6.5675853738882175</v>
      </c>
      <c r="U159" s="15">
        <f t="shared" ref="U159" si="560">U10/U7</f>
        <v>4.4030477031802118</v>
      </c>
      <c r="V159" s="101" t="e">
        <f t="shared" si="448"/>
        <v>#DIV/0!</v>
      </c>
      <c r="W159" s="110"/>
      <c r="X159" s="15">
        <f t="shared" ref="X159:AG159" si="561">X10/X7</f>
        <v>6.5675853738882175</v>
      </c>
      <c r="Y159" s="15">
        <f t="shared" si="561"/>
        <v>6.5675853738882175</v>
      </c>
      <c r="Z159" s="15">
        <f t="shared" si="561"/>
        <v>6.5675853738882175</v>
      </c>
      <c r="AA159" s="15">
        <f t="shared" si="561"/>
        <v>6.5675853738882175</v>
      </c>
      <c r="AB159" s="15">
        <f t="shared" si="561"/>
        <v>6.5675853738882175</v>
      </c>
      <c r="AC159" s="15">
        <f t="shared" si="561"/>
        <v>6.5675853738882175</v>
      </c>
      <c r="AD159" s="15">
        <f t="shared" si="561"/>
        <v>6.5675853738882175</v>
      </c>
      <c r="AE159" s="15">
        <f t="shared" si="561"/>
        <v>6.5675853738882166</v>
      </c>
      <c r="AF159" s="15">
        <f t="shared" si="561"/>
        <v>6.5675853738882166</v>
      </c>
      <c r="AG159" s="15">
        <f t="shared" si="561"/>
        <v>6.5675853738882166</v>
      </c>
      <c r="AH159" s="101">
        <f t="shared" si="551"/>
        <v>0</v>
      </c>
      <c r="AI159" s="10"/>
      <c r="AJ159" s="10"/>
    </row>
    <row r="160" spans="2:36">
      <c r="B160" s="10" t="s">
        <v>303</v>
      </c>
      <c r="C160" s="10"/>
      <c r="D160" s="10"/>
      <c r="E160" s="10"/>
      <c r="F160" s="15"/>
      <c r="G160" s="15">
        <f t="shared" ref="G160" si="562">G10/(G10+G7)</f>
        <v>0</v>
      </c>
      <c r="H160" s="15" t="e">
        <f t="shared" ref="H160:I160" si="563">H10/(H10+H7)</f>
        <v>#DIV/0!</v>
      </c>
      <c r="I160" s="15" t="e">
        <f t="shared" si="563"/>
        <v>#DIV/0!</v>
      </c>
      <c r="J160" s="15" t="e">
        <f t="shared" ref="J160:T160" si="564">J10/(J10+J7)</f>
        <v>#DIV/0!</v>
      </c>
      <c r="K160" s="15" t="e">
        <f t="shared" si="564"/>
        <v>#DIV/0!</v>
      </c>
      <c r="L160" s="15" t="e">
        <f t="shared" si="564"/>
        <v>#DIV/0!</v>
      </c>
      <c r="M160" s="15">
        <f t="shared" si="564"/>
        <v>0</v>
      </c>
      <c r="N160" s="15">
        <f t="shared" si="564"/>
        <v>0.81954934148929526</v>
      </c>
      <c r="O160" s="15">
        <f t="shared" si="564"/>
        <v>0.78895945285784075</v>
      </c>
      <c r="P160" s="15">
        <f t="shared" si="564"/>
        <v>0.78137082601054486</v>
      </c>
      <c r="Q160" s="15">
        <f t="shared" si="564"/>
        <v>0.84008154084071418</v>
      </c>
      <c r="R160" s="15">
        <f t="shared" si="564"/>
        <v>0.8446888358184993</v>
      </c>
      <c r="S160" s="15">
        <f t="shared" si="564"/>
        <v>0.85992036386052018</v>
      </c>
      <c r="T160" s="15">
        <f t="shared" si="564"/>
        <v>0.86785745378565837</v>
      </c>
      <c r="U160" s="15">
        <f t="shared" ref="U160" si="565">U10/(U10+U7)</f>
        <v>0.81491927243000206</v>
      </c>
      <c r="V160" s="101" t="e">
        <f t="shared" si="448"/>
        <v>#DIV/0!</v>
      </c>
      <c r="W160" s="110"/>
      <c r="X160" s="15">
        <f t="shared" ref="X160:AG160" si="566">X10/(X10+X7)</f>
        <v>0.86785745378565826</v>
      </c>
      <c r="Y160" s="15">
        <f t="shared" si="566"/>
        <v>0.86785745378565837</v>
      </c>
      <c r="Z160" s="15">
        <f t="shared" si="566"/>
        <v>0.86785745378565837</v>
      </c>
      <c r="AA160" s="15">
        <f t="shared" si="566"/>
        <v>0.86785745378565837</v>
      </c>
      <c r="AB160" s="15">
        <f t="shared" si="566"/>
        <v>0.86785745378565837</v>
      </c>
      <c r="AC160" s="15">
        <f t="shared" si="566"/>
        <v>0.86785745378565826</v>
      </c>
      <c r="AD160" s="15">
        <f t="shared" si="566"/>
        <v>0.86785745378565837</v>
      </c>
      <c r="AE160" s="15">
        <f t="shared" si="566"/>
        <v>0.86785745378565837</v>
      </c>
      <c r="AF160" s="15">
        <f t="shared" si="566"/>
        <v>0.86785745378565837</v>
      </c>
      <c r="AG160" s="15">
        <f t="shared" si="566"/>
        <v>0.86785745378565826</v>
      </c>
      <c r="AH160" s="101">
        <f t="shared" si="551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10"/>
      <c r="W161" s="1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>
      <c r="B162" s="10" t="s">
        <v>308</v>
      </c>
      <c r="C162" s="10"/>
      <c r="D162" s="10"/>
      <c r="E162" s="10"/>
      <c r="F162" s="15"/>
      <c r="G162" s="15">
        <f t="shared" ref="G162" si="567">G16</f>
        <v>2.12</v>
      </c>
      <c r="H162" s="15">
        <f t="shared" ref="H162:I162" si="568">H16</f>
        <v>0</v>
      </c>
      <c r="I162" s="15">
        <f t="shared" si="568"/>
        <v>0</v>
      </c>
      <c r="J162" s="15">
        <f t="shared" ref="J162:T162" si="569">J16</f>
        <v>0</v>
      </c>
      <c r="K162" s="15">
        <f t="shared" si="569"/>
        <v>0</v>
      </c>
      <c r="L162" s="15">
        <f t="shared" si="569"/>
        <v>0</v>
      </c>
      <c r="M162" s="15">
        <f t="shared" si="569"/>
        <v>2.12</v>
      </c>
      <c r="N162" s="15">
        <f t="shared" si="569"/>
        <v>14776</v>
      </c>
      <c r="O162" s="15">
        <f t="shared" si="569"/>
        <v>21194</v>
      </c>
      <c r="P162" s="15">
        <f t="shared" si="569"/>
        <v>25387</v>
      </c>
      <c r="Q162" s="15">
        <f t="shared" si="569"/>
        <v>38581</v>
      </c>
      <c r="R162" s="15">
        <f t="shared" si="569"/>
        <v>45924</v>
      </c>
      <c r="S162" s="15">
        <f t="shared" si="569"/>
        <v>55226</v>
      </c>
      <c r="T162" s="15">
        <f t="shared" si="569"/>
        <v>61787</v>
      </c>
      <c r="U162" s="15">
        <f t="shared" ref="U162" si="570">U16</f>
        <v>61787</v>
      </c>
      <c r="V162" s="101">
        <f t="shared" si="448"/>
        <v>2.6146824957334927</v>
      </c>
      <c r="W162" s="110"/>
      <c r="X162" s="15">
        <f t="shared" ref="X162:AG162" si="571">X16</f>
        <v>71055.049999999988</v>
      </c>
      <c r="Y162" s="15">
        <f t="shared" si="571"/>
        <v>81713.307499999981</v>
      </c>
      <c r="Z162" s="15">
        <f t="shared" si="571"/>
        <v>93970.303624999971</v>
      </c>
      <c r="AA162" s="15">
        <f t="shared" si="571"/>
        <v>108065.84916874996</v>
      </c>
      <c r="AB162" s="15">
        <f t="shared" si="571"/>
        <v>124275.72654406245</v>
      </c>
      <c r="AC162" s="15">
        <f t="shared" si="571"/>
        <v>142917.08552567181</v>
      </c>
      <c r="AD162" s="15">
        <f t="shared" si="571"/>
        <v>164354.64835452256</v>
      </c>
      <c r="AE162" s="15">
        <f t="shared" si="571"/>
        <v>189007.84560770093</v>
      </c>
      <c r="AF162" s="15">
        <f t="shared" si="571"/>
        <v>217359.02244885606</v>
      </c>
      <c r="AG162" s="15">
        <f t="shared" si="571"/>
        <v>249962.87581618445</v>
      </c>
      <c r="AH162" s="101">
        <f t="shared" si="551"/>
        <v>0.17026730107347476</v>
      </c>
      <c r="AI162" s="10"/>
      <c r="AJ162" s="10"/>
    </row>
    <row r="163" spans="2:36">
      <c r="B163" s="10" t="s">
        <v>309</v>
      </c>
      <c r="C163" s="10"/>
      <c r="D163" s="10"/>
      <c r="E163" s="10"/>
      <c r="F163" s="102"/>
      <c r="G163" s="102">
        <f t="shared" ref="G163" si="572">G162*365/G25</f>
        <v>0.54378074490513006</v>
      </c>
      <c r="H163" s="102" t="e">
        <f t="shared" ref="H163:I163" si="573">H162*365/H25</f>
        <v>#DIV/0!</v>
      </c>
      <c r="I163" s="102" t="e">
        <f t="shared" si="573"/>
        <v>#DIV/0!</v>
      </c>
      <c r="J163" s="102" t="e">
        <f t="shared" ref="J163:T163" si="574">J162*365/J25</f>
        <v>#DIV/0!</v>
      </c>
      <c r="K163" s="102" t="e">
        <f t="shared" si="574"/>
        <v>#DIV/0!</v>
      </c>
      <c r="L163" s="102" t="e">
        <f t="shared" si="574"/>
        <v>#DIV/0!</v>
      </c>
      <c r="M163" s="102">
        <f t="shared" si="574"/>
        <v>0.54378074490513006</v>
      </c>
      <c r="N163" s="102">
        <f t="shared" si="574"/>
        <v>2557.2498814604078</v>
      </c>
      <c r="O163" s="102">
        <f t="shared" si="574"/>
        <v>2578.6033333333335</v>
      </c>
      <c r="P163" s="102">
        <f t="shared" si="574"/>
        <v>2193.715672348485</v>
      </c>
      <c r="Q163" s="102">
        <f t="shared" si="574"/>
        <v>2688.9564636242121</v>
      </c>
      <c r="R163" s="102">
        <f t="shared" si="574"/>
        <v>2586.3693874402097</v>
      </c>
      <c r="S163" s="102">
        <f t="shared" si="574"/>
        <v>2698.4591700133869</v>
      </c>
      <c r="T163" s="102">
        <f t="shared" si="574"/>
        <v>2630.9210219318711</v>
      </c>
      <c r="U163" s="102">
        <f t="shared" ref="U163" si="575">U162*365/U25</f>
        <v>2148.0383846080581</v>
      </c>
      <c r="V163" s="101">
        <f t="shared" si="448"/>
        <v>1.8879222596597462</v>
      </c>
      <c r="W163" s="110"/>
      <c r="X163" s="102">
        <f t="shared" ref="X163:AG163" si="576">X162*365/X25</f>
        <v>2630.9210219318711</v>
      </c>
      <c r="Y163" s="102">
        <f t="shared" si="576"/>
        <v>2630.9210219318711</v>
      </c>
      <c r="Z163" s="102">
        <f t="shared" si="576"/>
        <v>2630.9210219318711</v>
      </c>
      <c r="AA163" s="102">
        <f t="shared" si="576"/>
        <v>2630.9210219318711</v>
      </c>
      <c r="AB163" s="102">
        <f t="shared" si="576"/>
        <v>2630.9210219318707</v>
      </c>
      <c r="AC163" s="102">
        <f t="shared" si="576"/>
        <v>2630.9210219318711</v>
      </c>
      <c r="AD163" s="102">
        <f t="shared" si="576"/>
        <v>2630.9210219318707</v>
      </c>
      <c r="AE163" s="102">
        <f t="shared" si="576"/>
        <v>2630.9210219318711</v>
      </c>
      <c r="AF163" s="102">
        <f t="shared" si="576"/>
        <v>2630.9210219318707</v>
      </c>
      <c r="AG163" s="102">
        <f t="shared" si="576"/>
        <v>2630.9210219318711</v>
      </c>
      <c r="AH163" s="101">
        <f t="shared" si="551"/>
        <v>0</v>
      </c>
      <c r="AI163" s="10"/>
      <c r="AJ163" s="10"/>
    </row>
    <row r="164" spans="2:36">
      <c r="B164" s="10" t="s">
        <v>312</v>
      </c>
      <c r="C164" s="10"/>
      <c r="D164" s="10"/>
      <c r="E164" s="10"/>
      <c r="F164" s="112"/>
      <c r="G164" s="112" t="e">
        <f t="shared" ref="G164" si="577">G98/G29</f>
        <v>#DIV/0!</v>
      </c>
      <c r="H164" s="112" t="e">
        <f t="shared" ref="H164:I164" si="578">H98/H29</f>
        <v>#DIV/0!</v>
      </c>
      <c r="I164" s="112" t="e">
        <f t="shared" si="578"/>
        <v>#DIV/0!</v>
      </c>
      <c r="J164" s="112" t="e">
        <f t="shared" ref="J164:T164" si="579">J98/J29</f>
        <v>#DIV/0!</v>
      </c>
      <c r="K164" s="112" t="e">
        <f t="shared" si="579"/>
        <v>#DIV/0!</v>
      </c>
      <c r="L164" s="112" t="e">
        <f t="shared" si="579"/>
        <v>#DIV/0!</v>
      </c>
      <c r="M164" s="112" t="e">
        <f t="shared" si="579"/>
        <v>#DIV/0!</v>
      </c>
      <c r="N164" s="112">
        <f t="shared" si="579"/>
        <v>1.1575131111018861E-2</v>
      </c>
      <c r="O164" s="112">
        <f t="shared" si="579"/>
        <v>8.2753012900699911E-3</v>
      </c>
      <c r="P164" s="112">
        <f t="shared" si="579"/>
        <v>7.7884880451454547E-3</v>
      </c>
      <c r="Q164" s="112">
        <f t="shared" si="579"/>
        <v>7.1904119558768905E-3</v>
      </c>
      <c r="R164" s="112">
        <f t="shared" si="579"/>
        <v>7.4201997687922457E-3</v>
      </c>
      <c r="S164" s="112">
        <f t="shared" si="579"/>
        <v>7.298140245223044E-3</v>
      </c>
      <c r="T164" s="112">
        <f t="shared" si="579"/>
        <v>6.8430640032109665E-3</v>
      </c>
      <c r="U164" s="112">
        <f t="shared" ref="U164" si="580">U98/U29</f>
        <v>6.2630086217795693E-3</v>
      </c>
      <c r="V164" s="101" t="e">
        <f t="shared" si="448"/>
        <v>#DIV/0!</v>
      </c>
      <c r="W164" s="110"/>
      <c r="X164" s="112">
        <f t="shared" ref="X164:AG164" si="581">X98/X29</f>
        <v>6.7088862776578115E-3</v>
      </c>
      <c r="Y164" s="112">
        <f t="shared" si="581"/>
        <v>6.5773394878998149E-3</v>
      </c>
      <c r="Z164" s="112">
        <f t="shared" si="581"/>
        <v>6.448372046960602E-3</v>
      </c>
      <c r="AA164" s="112">
        <f t="shared" si="581"/>
        <v>6.3219333793731397E-3</v>
      </c>
      <c r="AB164" s="112">
        <f t="shared" si="581"/>
        <v>6.1979739013462145E-3</v>
      </c>
      <c r="AC164" s="112">
        <f t="shared" si="581"/>
        <v>6.076445001319819E-3</v>
      </c>
      <c r="AD164" s="112">
        <f t="shared" si="581"/>
        <v>5.957299020901783E-3</v>
      </c>
      <c r="AE164" s="112">
        <f t="shared" si="581"/>
        <v>5.8404892361782184E-3</v>
      </c>
      <c r="AF164" s="112">
        <f t="shared" si="581"/>
        <v>5.7259698393904105E-3</v>
      </c>
      <c r="AG164" s="112">
        <f t="shared" si="581"/>
        <v>5.6136959209709897E-3</v>
      </c>
      <c r="AH164" s="101">
        <f t="shared" si="551"/>
        <v>-2.2031634620501617E-2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0"/>
      <c r="W165" s="1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>
      <c r="B166" s="10" t="s">
        <v>319</v>
      </c>
      <c r="C166" s="10"/>
      <c r="D166" s="10"/>
      <c r="E166" s="10"/>
      <c r="F166" s="157"/>
      <c r="G166" s="157" t="e">
        <f t="shared" ref="G166" si="582">G25/G14</f>
        <v>#DIV/0!</v>
      </c>
      <c r="H166" s="157" t="e">
        <f t="shared" ref="H166:I166" si="583">H25/H14</f>
        <v>#DIV/0!</v>
      </c>
      <c r="I166" s="157" t="e">
        <f t="shared" si="583"/>
        <v>#DIV/0!</v>
      </c>
      <c r="J166" s="157" t="e">
        <f t="shared" ref="J166:T166" si="584">J25/J14</f>
        <v>#DIV/0!</v>
      </c>
      <c r="K166" s="157" t="e">
        <f t="shared" si="584"/>
        <v>#DIV/0!</v>
      </c>
      <c r="L166" s="157" t="e">
        <f t="shared" si="584"/>
        <v>#DIV/0!</v>
      </c>
      <c r="M166" s="157" t="e">
        <f t="shared" si="584"/>
        <v>#DIV/0!</v>
      </c>
      <c r="N166" s="157" t="e">
        <f t="shared" si="584"/>
        <v>#DIV/0!</v>
      </c>
      <c r="O166" s="157" t="e">
        <f t="shared" si="584"/>
        <v>#DIV/0!</v>
      </c>
      <c r="P166" s="157" t="e">
        <f t="shared" si="584"/>
        <v>#DIV/0!</v>
      </c>
      <c r="Q166" s="157" t="e">
        <f t="shared" si="584"/>
        <v>#DIV/0!</v>
      </c>
      <c r="R166" s="157" t="e">
        <f t="shared" si="584"/>
        <v>#DIV/0!</v>
      </c>
      <c r="S166" s="157" t="e">
        <f t="shared" si="584"/>
        <v>#DIV/0!</v>
      </c>
      <c r="T166" s="157" t="e">
        <f t="shared" si="584"/>
        <v>#DIV/0!</v>
      </c>
      <c r="U166" s="157" t="e">
        <f t="shared" ref="U166" si="585">U25/U14</f>
        <v>#DIV/0!</v>
      </c>
      <c r="V166" s="101" t="e">
        <f t="shared" si="448"/>
        <v>#DIV/0!</v>
      </c>
      <c r="W166" s="110"/>
      <c r="X166" s="10" t="e">
        <f t="shared" ref="X166:AG166" si="586">X25/X14</f>
        <v>#DIV/0!</v>
      </c>
      <c r="Y166" s="10" t="e">
        <f t="shared" si="586"/>
        <v>#DIV/0!</v>
      </c>
      <c r="Z166" s="10" t="e">
        <f t="shared" si="586"/>
        <v>#DIV/0!</v>
      </c>
      <c r="AA166" s="10" t="e">
        <f t="shared" si="586"/>
        <v>#DIV/0!</v>
      </c>
      <c r="AB166" s="10" t="e">
        <f t="shared" si="586"/>
        <v>#DIV/0!</v>
      </c>
      <c r="AC166" s="10" t="e">
        <f t="shared" si="586"/>
        <v>#DIV/0!</v>
      </c>
      <c r="AD166" s="10" t="e">
        <f t="shared" si="586"/>
        <v>#DIV/0!</v>
      </c>
      <c r="AE166" s="10" t="e">
        <f t="shared" si="586"/>
        <v>#DIV/0!</v>
      </c>
      <c r="AF166" s="10" t="e">
        <f t="shared" si="586"/>
        <v>#DIV/0!</v>
      </c>
      <c r="AG166" s="10" t="e">
        <f t="shared" si="586"/>
        <v>#DIV/0!</v>
      </c>
      <c r="AH166" s="101" t="e">
        <f t="shared" si="551"/>
        <v>#DIV/0!</v>
      </c>
      <c r="AI166" s="10"/>
      <c r="AJ166" s="10"/>
    </row>
    <row r="167" spans="2:36">
      <c r="B167" s="10" t="s">
        <v>320</v>
      </c>
      <c r="C167" s="10"/>
      <c r="D167" s="10"/>
      <c r="E167" s="10"/>
      <c r="F167" s="157"/>
      <c r="G167" s="157" t="e">
        <f t="shared" ref="G167" si="587">G27/G14</f>
        <v>#DIV/0!</v>
      </c>
      <c r="H167" s="157" t="e">
        <f t="shared" ref="H167:I167" si="588">H27/H14</f>
        <v>#DIV/0!</v>
      </c>
      <c r="I167" s="157" t="e">
        <f t="shared" si="588"/>
        <v>#DIV/0!</v>
      </c>
      <c r="J167" s="157" t="e">
        <f t="shared" ref="J167:T167" si="589">J27/J14</f>
        <v>#DIV/0!</v>
      </c>
      <c r="K167" s="157" t="e">
        <f t="shared" si="589"/>
        <v>#DIV/0!</v>
      </c>
      <c r="L167" s="157" t="e">
        <f t="shared" si="589"/>
        <v>#DIV/0!</v>
      </c>
      <c r="M167" s="157" t="e">
        <f t="shared" si="589"/>
        <v>#DIV/0!</v>
      </c>
      <c r="N167" s="157" t="e">
        <f t="shared" si="589"/>
        <v>#DIV/0!</v>
      </c>
      <c r="O167" s="157" t="e">
        <f t="shared" si="589"/>
        <v>#DIV/0!</v>
      </c>
      <c r="P167" s="157" t="e">
        <f t="shared" si="589"/>
        <v>#DIV/0!</v>
      </c>
      <c r="Q167" s="157" t="e">
        <f t="shared" si="589"/>
        <v>#DIV/0!</v>
      </c>
      <c r="R167" s="157" t="e">
        <f t="shared" si="589"/>
        <v>#DIV/0!</v>
      </c>
      <c r="S167" s="157" t="e">
        <f t="shared" si="589"/>
        <v>#DIV/0!</v>
      </c>
      <c r="T167" s="157" t="e">
        <f t="shared" si="589"/>
        <v>#DIV/0!</v>
      </c>
      <c r="U167" s="157" t="e">
        <f t="shared" ref="U167" si="590">U27/U14</f>
        <v>#DIV/0!</v>
      </c>
      <c r="V167" s="101" t="e">
        <f t="shared" si="448"/>
        <v>#DIV/0!</v>
      </c>
      <c r="W167" s="110"/>
      <c r="X167" s="10" t="e">
        <f t="shared" ref="X167:AG167" si="591">X27/X14</f>
        <v>#DIV/0!</v>
      </c>
      <c r="Y167" s="10" t="e">
        <f t="shared" si="591"/>
        <v>#DIV/0!</v>
      </c>
      <c r="Z167" s="10" t="e">
        <f t="shared" si="591"/>
        <v>#DIV/0!</v>
      </c>
      <c r="AA167" s="10" t="e">
        <f t="shared" si="591"/>
        <v>#DIV/0!</v>
      </c>
      <c r="AB167" s="10" t="e">
        <f t="shared" si="591"/>
        <v>#DIV/0!</v>
      </c>
      <c r="AC167" s="10" t="e">
        <f t="shared" si="591"/>
        <v>#DIV/0!</v>
      </c>
      <c r="AD167" s="10" t="e">
        <f t="shared" si="591"/>
        <v>#DIV/0!</v>
      </c>
      <c r="AE167" s="10" t="e">
        <f t="shared" si="591"/>
        <v>#DIV/0!</v>
      </c>
      <c r="AF167" s="10" t="e">
        <f t="shared" si="591"/>
        <v>#DIV/0!</v>
      </c>
      <c r="AG167" s="10" t="e">
        <f t="shared" si="591"/>
        <v>#DIV/0!</v>
      </c>
      <c r="AH167" s="101" t="e">
        <f t="shared" si="551"/>
        <v>#DIV/0!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413</v>
      </c>
      <c r="U169" s="13" t="s">
        <v>413</v>
      </c>
      <c r="V169" s="13"/>
      <c r="W169" s="13" t="s">
        <v>510</v>
      </c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>
        <f>AVERAGE(P102:T102)</f>
        <v>4.6514285714285712</v>
      </c>
      <c r="U170" s="112">
        <f>AVERAGE(Q102:U102)</f>
        <v>5.4914285714285711</v>
      </c>
      <c r="V170" s="137" t="e">
        <f>AVERAGE(G72:T72)</f>
        <v>#DIV/0!</v>
      </c>
      <c r="W170" s="137">
        <f>AVERAGE(G102:T102)</f>
        <v>2.2183673469387757</v>
      </c>
      <c r="X170" s="171" t="s">
        <v>374</v>
      </c>
      <c r="Y170" s="172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>
        <f>X171+Y171</f>
        <v>64.598678451511901</v>
      </c>
      <c r="X171" s="112">
        <f>PV($C$1, ($AG$3-$X$3), 0, -AG72)</f>
        <v>5.6172763870879905</v>
      </c>
      <c r="Y171" s="112">
        <f>PV($C$1, ($AG$3-$X$3), 0, -AJ72)</f>
        <v>58.981402064423911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592">X172+Y172</f>
        <v>564.58749007477832</v>
      </c>
      <c r="X172" s="112">
        <f>PV($C$1, ($AG$3-$X$3), 0, -AG74)</f>
        <v>49.09456435432854</v>
      </c>
      <c r="Y172" s="112">
        <f>PV($C$1, ($AG$3-$X$3), 0, -AJ74)</f>
        <v>515.49292572044976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592"/>
        <v>373.20925554520318</v>
      </c>
      <c r="X173" s="112">
        <f>PV($C$1, ($AG$3-$X$3), 0, -AG75)</f>
        <v>32.452978743061145</v>
      </c>
      <c r="Y173" s="112">
        <f>PV($C$1, ($AG$3-$X$3), 0, -AJ75)</f>
        <v>340.75627680214205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592"/>
        <v>3707.9765420953731</v>
      </c>
      <c r="X174" s="112">
        <f>PV($C$1, ($AG$3-$X$3), 0, -AG76)</f>
        <v>322.43274279090195</v>
      </c>
      <c r="Y174" s="112">
        <f>PV($C$1, ($AG$3-$X$3), 0, -AJ76)</f>
        <v>3385.5437993044711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592"/>
        <v>36.824966410938643</v>
      </c>
      <c r="X175" s="112">
        <f>PV($C$1, ($AG$3-$X$3), 0, -AG82)</f>
        <v>3.2021709922555335</v>
      </c>
      <c r="Y175" s="112">
        <f>PV($C$1, ($AG$3-$X$3), 0, -AJ82)</f>
        <v>33.622795418683111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592"/>
        <v>-3143.3890520205946</v>
      </c>
      <c r="X177" s="112">
        <f>PV($C$1, ($AG$3-$X$3), 0, -AG78)</f>
        <v>-273.3381784365734</v>
      </c>
      <c r="Y177" s="112">
        <f>PV($C$1, ($AG$3-$X$3), 0, -$AJ$78)</f>
        <v>-2870.0508735840212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592"/>
        <v>-3336.1311741950199</v>
      </c>
      <c r="X178" s="112">
        <f>PV($C$1, ($AG$3-$X$3), 0, -AG79)</f>
        <v>-290.09836297347994</v>
      </c>
      <c r="Y178" s="112">
        <f>PV($C$1, ($AG$3-$X$3), 0, -$AJ$79)</f>
        <v>-3046.0328112215398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592"/>
        <v>-3294.4086112412119</v>
      </c>
      <c r="X179" s="112">
        <f>PV($C$1, ($AG$3-$X$3), 0, -AG80)</f>
        <v>-286.47031402097491</v>
      </c>
      <c r="Y179" s="112">
        <f>PV($C$1, ($AG$3-$X$3), 0, -$AJ$80)</f>
        <v>-3007.938297220237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592"/>
        <v>41.722562953807596</v>
      </c>
      <c r="X181" s="112">
        <f>PV($C$1, ($AG$3-$X$3), 0, -AG85)</f>
        <v>3.6280489525050075</v>
      </c>
      <c r="Y181" s="112">
        <f>PV($C$1, ($AG$3-$X$3), 0, -AJ85)</f>
        <v>38.094514001302592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592"/>
        <v>2553.6523003733628</v>
      </c>
      <c r="X182" s="112">
        <f>PV($C$1, ($AG$3-$X$3), 0, -AG86)</f>
        <v>333.08508265739511</v>
      </c>
      <c r="Y182" s="112">
        <f>PV($C$1, ($AG$3-$X$3), 0, -AJ86)</f>
        <v>2220.5672177159677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593">X184+Y184</f>
        <v>7855.6500000000015</v>
      </c>
      <c r="X184" s="112">
        <f>PV($C$1, ($AG$3-$X$3), 0, -AG12)</f>
        <v>683.09999999999991</v>
      </c>
      <c r="Y184" s="112">
        <f>PV($C$1, ($AG$3-$X$3), 0, -AJ12)</f>
        <v>7172.5500000000011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44.804939257400335</v>
      </c>
      <c r="X185" s="118">
        <f>X184/S57</f>
        <v>3.8960816745565499</v>
      </c>
      <c r="Y185" s="118">
        <f>Y184/S57</f>
        <v>40.908857582843787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594">X188+Y188</f>
        <v>8.5391429445141593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5.6284228741481783</v>
      </c>
      <c r="Y188" s="112">
        <f>PV($C$1, ($AG$3-$X$3), 0, -AJ88)</f>
        <v>2.910720070365981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592"/>
        <v>0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</v>
      </c>
      <c r="Y190" s="112">
        <f>PV($C$1, ($AG$3-$X$3), 0, -AJ90)</f>
        <v>0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595">X192+Y192</f>
        <v>0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2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595"/>
        <v>0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0</v>
      </c>
      <c r="Y193" s="112">
        <f>PV($C$1, ($AG$3-$X$3), 0, -AJ93)</f>
        <v>0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595"/>
        <v>0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2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595"/>
        <v>0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0</v>
      </c>
      <c r="Y195" s="112">
        <f>PV($C$1, ($AG$3-$X$3), 0, -AJ95)</f>
        <v>0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0</v>
      </c>
      <c r="X196" s="95">
        <f t="shared" ref="X196:Y196" si="596">X193+X194+X195</f>
        <v>0</v>
      </c>
      <c r="Y196" s="95">
        <f t="shared" si="596"/>
        <v>0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0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8" s="112">
        <f>PV($C$1, ($AG$3-$X$3), 0, -AJ96)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60">
        <v>41729</v>
      </c>
      <c r="U199" s="10">
        <v>157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93" t="s">
        <v>209</v>
      </c>
      <c r="C200" s="10"/>
      <c r="D200" s="10"/>
      <c r="E200" s="10"/>
      <c r="F200" s="178"/>
      <c r="G200" s="178"/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73">
        <v>0</v>
      </c>
      <c r="R200" s="173">
        <v>0</v>
      </c>
      <c r="S200" s="173">
        <v>0</v>
      </c>
      <c r="T200" s="13" t="s">
        <v>335</v>
      </c>
      <c r="U200" s="10">
        <v>125</v>
      </c>
      <c r="V200" s="10">
        <v>100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40</v>
      </c>
      <c r="O201" s="12">
        <v>46</v>
      </c>
      <c r="P201" s="12">
        <v>70</v>
      </c>
      <c r="Q201" s="12">
        <v>74</v>
      </c>
      <c r="R201" s="12">
        <v>63</v>
      </c>
      <c r="S201" s="12">
        <v>64</v>
      </c>
      <c r="T201" s="12">
        <v>124</v>
      </c>
      <c r="U201" s="12">
        <v>125</v>
      </c>
      <c r="V201" s="101" t="e">
        <f t="shared" ref="V201:V227" si="597">((T201/H201)^(1/($K$2-$K$1) ))-1</f>
        <v>#DIV/0!</v>
      </c>
      <c r="W201" s="21">
        <v>0.15</v>
      </c>
      <c r="X201" s="174">
        <v>125</v>
      </c>
      <c r="Y201" s="102">
        <f t="shared" ref="Y201:AG201" si="598">X201*(1+$W201)</f>
        <v>143.75</v>
      </c>
      <c r="Z201" s="102">
        <f t="shared" si="598"/>
        <v>165.3125</v>
      </c>
      <c r="AA201" s="102">
        <f t="shared" si="598"/>
        <v>190.10937499999997</v>
      </c>
      <c r="AB201" s="102">
        <f t="shared" si="598"/>
        <v>218.62578124999996</v>
      </c>
      <c r="AC201" s="102">
        <f t="shared" si="598"/>
        <v>251.41964843749994</v>
      </c>
      <c r="AD201" s="102">
        <f t="shared" si="598"/>
        <v>289.13259570312493</v>
      </c>
      <c r="AE201" s="102">
        <f t="shared" si="598"/>
        <v>332.50248505859366</v>
      </c>
      <c r="AF201" s="102">
        <f t="shared" si="598"/>
        <v>382.37785781738268</v>
      </c>
      <c r="AG201" s="102">
        <f t="shared" si="598"/>
        <v>439.73453648999003</v>
      </c>
      <c r="AH201" s="116" t="e">
        <f t="shared" ref="AH201:AH208" si="599">((AG201/J201)^(1/($AG$3-$K$1) ))-1</f>
        <v>#DIV/0!</v>
      </c>
      <c r="AI201" s="21">
        <f t="shared" ref="AI201:AI208" si="600">$O$1</f>
        <v>0.05</v>
      </c>
      <c r="AJ201" s="109" t="e">
        <f t="shared" ref="AJ201:AJ212" si="601">(AG201*(1+AH201))/($C$1-AI201)</f>
        <v>#DIV/0!</v>
      </c>
    </row>
    <row r="202" spans="2:36">
      <c r="B202" s="10" t="s">
        <v>306</v>
      </c>
      <c r="C202" s="15"/>
      <c r="D202" s="15"/>
      <c r="E202" s="15"/>
      <c r="F202" s="15"/>
      <c r="G202" s="15">
        <f t="shared" ref="G202" si="602">G201/G66</f>
        <v>0</v>
      </c>
      <c r="H202" s="15" t="e">
        <f t="shared" ref="H202:I202" si="603">H201/H66</f>
        <v>#DIV/0!</v>
      </c>
      <c r="I202" s="15" t="e">
        <f t="shared" si="603"/>
        <v>#DIV/0!</v>
      </c>
      <c r="J202" s="15" t="e">
        <f t="shared" ref="J202:T202" si="604">J201/J66</f>
        <v>#DIV/0!</v>
      </c>
      <c r="K202" s="15" t="e">
        <f t="shared" si="604"/>
        <v>#DIV/0!</v>
      </c>
      <c r="L202" s="15" t="e">
        <f t="shared" si="604"/>
        <v>#DIV/0!</v>
      </c>
      <c r="M202" s="15">
        <f t="shared" si="604"/>
        <v>0</v>
      </c>
      <c r="N202" s="15">
        <f t="shared" si="604"/>
        <v>2.6875296348980555</v>
      </c>
      <c r="O202" s="15">
        <f t="shared" si="604"/>
        <v>2.6322733333333335</v>
      </c>
      <c r="P202" s="15">
        <f t="shared" si="604"/>
        <v>2.8449100378787877</v>
      </c>
      <c r="Q202" s="15">
        <f t="shared" si="604"/>
        <v>2.4281382470880275</v>
      </c>
      <c r="R202" s="15">
        <f t="shared" si="604"/>
        <v>1.6721586174973</v>
      </c>
      <c r="S202" s="15">
        <f t="shared" si="604"/>
        <v>1.5021579651941099</v>
      </c>
      <c r="T202" s="15">
        <f t="shared" si="604"/>
        <v>2.5314979001399909</v>
      </c>
      <c r="U202" s="15">
        <f t="shared" ref="U202" si="605">U201/U66</f>
        <v>2.3692732641203924</v>
      </c>
      <c r="V202" s="101" t="e">
        <f t="shared" si="597"/>
        <v>#DIV/0!</v>
      </c>
      <c r="W202" s="110"/>
      <c r="X202" s="15">
        <f t="shared" ref="X202:AG202" si="606">X201/X66</f>
        <v>2.2634360607843536</v>
      </c>
      <c r="Y202" s="15">
        <f t="shared" si="606"/>
        <v>2.3087047820000408</v>
      </c>
      <c r="Z202" s="15">
        <f t="shared" si="606"/>
        <v>2.3548788776400418</v>
      </c>
      <c r="AA202" s="15">
        <f t="shared" si="606"/>
        <v>2.4019764551928424</v>
      </c>
      <c r="AB202" s="15">
        <f t="shared" si="606"/>
        <v>2.4500159842966993</v>
      </c>
      <c r="AC202" s="15">
        <f t="shared" si="606"/>
        <v>2.4990163039826339</v>
      </c>
      <c r="AD202" s="15">
        <f t="shared" si="606"/>
        <v>2.5489966300622866</v>
      </c>
      <c r="AE202" s="15">
        <f t="shared" si="606"/>
        <v>2.5999765626635325</v>
      </c>
      <c r="AF202" s="15">
        <f t="shared" si="606"/>
        <v>2.6519760939168031</v>
      </c>
      <c r="AG202" s="15">
        <f t="shared" si="606"/>
        <v>2.7050156157951393</v>
      </c>
      <c r="AH202" s="116" t="e">
        <f t="shared" ref="AH202" si="607">((AG202/J202)^(1/($AG$3-$K$1) ))-1</f>
        <v>#DIV/0!</v>
      </c>
      <c r="AI202" s="21">
        <f t="shared" si="600"/>
        <v>0.05</v>
      </c>
      <c r="AJ202" s="109" t="e">
        <f t="shared" ref="AJ202" si="608">(AG202*(1+AH202))/($C$1-AI202)</f>
        <v>#DIV/0!</v>
      </c>
    </row>
    <row r="203" spans="2:36">
      <c r="B203" s="10" t="s">
        <v>334</v>
      </c>
      <c r="C203" s="15"/>
      <c r="D203" s="15"/>
      <c r="E203" s="15"/>
      <c r="F203" s="15"/>
      <c r="G203" s="15">
        <f t="shared" ref="G203" si="609">G201/G72</f>
        <v>0</v>
      </c>
      <c r="H203" s="15" t="e">
        <f t="shared" ref="H203:I203" si="610">H201/H72</f>
        <v>#DIV/0!</v>
      </c>
      <c r="I203" s="15" t="e">
        <f t="shared" si="610"/>
        <v>#DIV/0!</v>
      </c>
      <c r="J203" s="15" t="e">
        <f t="shared" ref="J203:T203" si="611">J201/J72</f>
        <v>#DIV/0!</v>
      </c>
      <c r="K203" s="15" t="e">
        <f t="shared" si="611"/>
        <v>#DIV/0!</v>
      </c>
      <c r="L203" s="15" t="e">
        <f t="shared" si="611"/>
        <v>#DIV/0!</v>
      </c>
      <c r="M203" s="15">
        <f t="shared" si="611"/>
        <v>0</v>
      </c>
      <c r="N203" s="15">
        <f t="shared" si="611"/>
        <v>14.496163682864449</v>
      </c>
      <c r="O203" s="15">
        <f t="shared" si="611"/>
        <v>17.393876651982378</v>
      </c>
      <c r="P203" s="15">
        <f t="shared" si="611"/>
        <v>16.484087791495199</v>
      </c>
      <c r="Q203" s="15">
        <f t="shared" si="611"/>
        <v>21.371697478991599</v>
      </c>
      <c r="R203" s="15">
        <f t="shared" si="611"/>
        <v>12.749717647058825</v>
      </c>
      <c r="S203" s="15">
        <f t="shared" si="611"/>
        <v>13.139484777517566</v>
      </c>
      <c r="T203" s="15">
        <f t="shared" si="611"/>
        <v>20.825335892514396</v>
      </c>
      <c r="U203" s="15">
        <f t="shared" ref="U203" si="612">U201/U72</f>
        <v>16.991120218579237</v>
      </c>
      <c r="V203" s="101" t="e">
        <f t="shared" si="597"/>
        <v>#DIV/0!</v>
      </c>
      <c r="W203" s="110"/>
      <c r="X203" s="102">
        <f t="shared" ref="X203:AG203" si="613">X201/X72</f>
        <v>18.620128515396811</v>
      </c>
      <c r="Y203" s="102">
        <f t="shared" si="613"/>
        <v>18.992531085704751</v>
      </c>
      <c r="Z203" s="102">
        <f t="shared" si="613"/>
        <v>19.372381707418846</v>
      </c>
      <c r="AA203" s="102">
        <f t="shared" si="613"/>
        <v>19.759829341567222</v>
      </c>
      <c r="AB203" s="102">
        <f t="shared" si="613"/>
        <v>20.155025928398569</v>
      </c>
      <c r="AC203" s="102">
        <f t="shared" si="613"/>
        <v>20.55812644696654</v>
      </c>
      <c r="AD203" s="102">
        <f t="shared" si="613"/>
        <v>20.969288975905872</v>
      </c>
      <c r="AE203" s="102">
        <f t="shared" si="613"/>
        <v>21.388674755423992</v>
      </c>
      <c r="AF203" s="102">
        <f t="shared" si="613"/>
        <v>21.816448250532471</v>
      </c>
      <c r="AG203" s="102">
        <f t="shared" si="613"/>
        <v>22.252777215543126</v>
      </c>
      <c r="AH203" s="116" t="e">
        <f t="shared" si="599"/>
        <v>#DIV/0!</v>
      </c>
      <c r="AI203" s="21">
        <f t="shared" si="600"/>
        <v>0.05</v>
      </c>
      <c r="AJ203" s="109" t="e">
        <f t="shared" si="601"/>
        <v>#DIV/0!</v>
      </c>
    </row>
    <row r="204" spans="2:36">
      <c r="B204" s="10" t="s">
        <v>407</v>
      </c>
      <c r="C204" s="15"/>
      <c r="D204" s="15"/>
      <c r="E204" s="15"/>
      <c r="F204" s="15"/>
      <c r="G204" s="15">
        <f t="shared" ref="G204" si="614">G201/G70</f>
        <v>0</v>
      </c>
      <c r="H204" s="15" t="e">
        <f t="shared" ref="H204:I204" si="615">H201/H70</f>
        <v>#DIV/0!</v>
      </c>
      <c r="I204" s="15" t="e">
        <f t="shared" si="615"/>
        <v>#DIV/0!</v>
      </c>
      <c r="J204" s="15" t="e">
        <f t="shared" ref="J204:T204" si="616">J201/J70</f>
        <v>#DIV/0!</v>
      </c>
      <c r="K204" s="15" t="e">
        <f t="shared" si="616"/>
        <v>#DIV/0!</v>
      </c>
      <c r="L204" s="15" t="e">
        <f t="shared" si="616"/>
        <v>#DIV/0!</v>
      </c>
      <c r="M204" s="15">
        <f t="shared" si="616"/>
        <v>0</v>
      </c>
      <c r="N204" s="15">
        <f t="shared" si="616"/>
        <v>3.3879258816497311</v>
      </c>
      <c r="O204" s="15">
        <f t="shared" si="616"/>
        <v>3.2564206185567008</v>
      </c>
      <c r="P204" s="15">
        <f t="shared" si="616"/>
        <v>3.8540410519563819</v>
      </c>
      <c r="Q204" s="15">
        <f t="shared" si="616"/>
        <v>3.3490018435607056</v>
      </c>
      <c r="R204" s="15">
        <f t="shared" si="616"/>
        <v>2.380245991653855</v>
      </c>
      <c r="S204" s="15">
        <f t="shared" si="616"/>
        <v>2.1264203145726741</v>
      </c>
      <c r="T204" s="15">
        <f t="shared" si="616"/>
        <v>3.9162606027792819</v>
      </c>
      <c r="U204" s="15">
        <f t="shared" ref="U204" si="617">U201/U70</f>
        <v>3.7473636637541432</v>
      </c>
      <c r="V204" s="101" t="e">
        <f t="shared" si="597"/>
        <v>#DIV/0!</v>
      </c>
      <c r="W204" s="110"/>
      <c r="X204" s="15">
        <f t="shared" ref="X204:AG204" si="618">X201/X70</f>
        <v>3.5015654057107883</v>
      </c>
      <c r="Y204" s="15">
        <f t="shared" si="618"/>
        <v>3.5715967138250044</v>
      </c>
      <c r="Z204" s="15">
        <f t="shared" si="618"/>
        <v>3.6430286481015055</v>
      </c>
      <c r="AA204" s="15">
        <f t="shared" si="618"/>
        <v>3.7158892210635353</v>
      </c>
      <c r="AB204" s="15">
        <f t="shared" si="618"/>
        <v>3.7902070054848065</v>
      </c>
      <c r="AC204" s="15">
        <f t="shared" si="618"/>
        <v>3.8660111455945025</v>
      </c>
      <c r="AD204" s="15">
        <f t="shared" si="618"/>
        <v>3.9433313685063931</v>
      </c>
      <c r="AE204" s="15">
        <f t="shared" si="618"/>
        <v>4.022197995876521</v>
      </c>
      <c r="AF204" s="15">
        <f t="shared" si="618"/>
        <v>4.1026419557940521</v>
      </c>
      <c r="AG204" s="15">
        <f t="shared" si="618"/>
        <v>4.1846947949099329</v>
      </c>
      <c r="AH204" s="116" t="e">
        <f t="shared" ref="AH204:AH205" si="619">((AG204/J204)^(1/($AG$3-$K$1) ))-1</f>
        <v>#DIV/0!</v>
      </c>
      <c r="AI204" s="21">
        <f t="shared" si="600"/>
        <v>0.05</v>
      </c>
      <c r="AJ204" s="109" t="e">
        <f t="shared" ref="AJ204:AJ205" si="620">(AG204*(1+AH204))/($C$1-AI204)</f>
        <v>#DIV/0!</v>
      </c>
    </row>
    <row r="205" spans="2:36">
      <c r="B205" s="10" t="s">
        <v>408</v>
      </c>
      <c r="C205" s="15"/>
      <c r="D205" s="15"/>
      <c r="E205" s="15"/>
      <c r="F205" s="15"/>
      <c r="G205" s="15">
        <f t="shared" ref="G205" si="621">G201/G71</f>
        <v>0</v>
      </c>
      <c r="H205" s="15" t="e">
        <f t="shared" ref="H205:I205" si="622">H201/H71</f>
        <v>#DIV/0!</v>
      </c>
      <c r="I205" s="15" t="e">
        <f t="shared" si="622"/>
        <v>#DIV/0!</v>
      </c>
      <c r="J205" s="15" t="e">
        <f t="shared" ref="J205:T205" si="623">J201/J71</f>
        <v>#DIV/0!</v>
      </c>
      <c r="K205" s="15" t="e">
        <f t="shared" si="623"/>
        <v>#DIV/0!</v>
      </c>
      <c r="L205" s="15" t="e">
        <f t="shared" si="623"/>
        <v>#DIV/0!</v>
      </c>
      <c r="M205" s="15">
        <f t="shared" si="623"/>
        <v>0</v>
      </c>
      <c r="N205" s="15">
        <f t="shared" si="623"/>
        <v>9.3841059602648986</v>
      </c>
      <c r="O205" s="15">
        <f t="shared" si="623"/>
        <v>11.545058479532162</v>
      </c>
      <c r="P205" s="15">
        <f t="shared" si="623"/>
        <v>12.162854251012144</v>
      </c>
      <c r="Q205" s="15">
        <f t="shared" si="623"/>
        <v>15.413527272727274</v>
      </c>
      <c r="R205" s="15">
        <f t="shared" si="623"/>
        <v>9.2232000000000003</v>
      </c>
      <c r="S205" s="15">
        <f t="shared" si="623"/>
        <v>8.9625559105431325</v>
      </c>
      <c r="T205" s="15">
        <f t="shared" si="623"/>
        <v>20.129870129870131</v>
      </c>
      <c r="U205" s="15">
        <f t="shared" ref="U205" si="624">U201/U71</f>
        <v>14.304197814836114</v>
      </c>
      <c r="V205" s="101" t="e">
        <f t="shared" si="597"/>
        <v>#DIV/0!</v>
      </c>
      <c r="W205" s="110"/>
      <c r="X205" s="15">
        <f t="shared" ref="X205:AG205" si="625">X201/X71</f>
        <v>17.998306041784303</v>
      </c>
      <c r="Y205" s="15">
        <f t="shared" si="625"/>
        <v>18.358272162619993</v>
      </c>
      <c r="Z205" s="15">
        <f t="shared" si="625"/>
        <v>18.725437605872397</v>
      </c>
      <c r="AA205" s="15">
        <f t="shared" si="625"/>
        <v>19.099946357989843</v>
      </c>
      <c r="AB205" s="15">
        <f t="shared" si="625"/>
        <v>19.481945285149642</v>
      </c>
      <c r="AC205" s="15">
        <f t="shared" si="625"/>
        <v>19.871584190852634</v>
      </c>
      <c r="AD205" s="15">
        <f t="shared" si="625"/>
        <v>20.269015874669684</v>
      </c>
      <c r="AE205" s="15">
        <f t="shared" si="625"/>
        <v>20.674396192163083</v>
      </c>
      <c r="AF205" s="15">
        <f t="shared" si="625"/>
        <v>21.087884116006343</v>
      </c>
      <c r="AG205" s="15">
        <f t="shared" si="625"/>
        <v>21.50964179832647</v>
      </c>
      <c r="AH205" s="116" t="e">
        <f t="shared" si="619"/>
        <v>#DIV/0!</v>
      </c>
      <c r="AI205" s="21">
        <f t="shared" si="600"/>
        <v>0.05</v>
      </c>
      <c r="AJ205" s="109" t="e">
        <f t="shared" si="620"/>
        <v>#DIV/0!</v>
      </c>
    </row>
    <row r="206" spans="2:36">
      <c r="B206" s="10" t="s">
        <v>216</v>
      </c>
      <c r="C206" s="15"/>
      <c r="D206" s="15"/>
      <c r="E206" s="15"/>
      <c r="F206" s="15"/>
      <c r="G206" s="15">
        <f t="shared" ref="G206" si="626">G201/G75</f>
        <v>0</v>
      </c>
      <c r="H206" s="15" t="e">
        <f t="shared" ref="H206:I206" si="627">H201/H75</f>
        <v>#DIV/0!</v>
      </c>
      <c r="I206" s="15" t="e">
        <f t="shared" si="627"/>
        <v>#DIV/0!</v>
      </c>
      <c r="J206" s="15" t="e">
        <f t="shared" ref="J206:T206" si="628">J201/J75</f>
        <v>#DIV/0!</v>
      </c>
      <c r="K206" s="15" t="e">
        <f t="shared" si="628"/>
        <v>#DIV/0!</v>
      </c>
      <c r="L206" s="15" t="e">
        <f t="shared" si="628"/>
        <v>#DIV/0!</v>
      </c>
      <c r="M206" s="15">
        <f t="shared" si="628"/>
        <v>0</v>
      </c>
      <c r="N206" s="15">
        <f t="shared" si="628"/>
        <v>3.845318860244233</v>
      </c>
      <c r="O206" s="15">
        <f t="shared" si="628"/>
        <v>2.5993482554312046</v>
      </c>
      <c r="P206" s="15">
        <f t="shared" si="628"/>
        <v>3.2019451105782042</v>
      </c>
      <c r="Q206" s="15">
        <f t="shared" si="628"/>
        <v>3.0962162162162161</v>
      </c>
      <c r="R206" s="15">
        <f t="shared" si="628"/>
        <v>2.3275902061855671</v>
      </c>
      <c r="S206" s="15">
        <f t="shared" si="628"/>
        <v>2.1080443359008081</v>
      </c>
      <c r="T206" s="15">
        <f t="shared" si="628"/>
        <v>3.6046511627906979</v>
      </c>
      <c r="U206" s="15">
        <f t="shared" ref="U206" si="629">U201/U75</f>
        <v>2.3569262838734129</v>
      </c>
      <c r="V206" s="101" t="e">
        <f t="shared" si="597"/>
        <v>#DIV/0!</v>
      </c>
      <c r="W206" s="110"/>
      <c r="X206" s="102">
        <f t="shared" ref="X206:AG206" si="630">X201/X75</f>
        <v>3.2229524772497475</v>
      </c>
      <c r="Y206" s="102">
        <f t="shared" si="630"/>
        <v>3.2874115267947426</v>
      </c>
      <c r="Z206" s="102">
        <f t="shared" si="630"/>
        <v>3.3531597573306375</v>
      </c>
      <c r="AA206" s="102">
        <f t="shared" si="630"/>
        <v>3.4202229524772498</v>
      </c>
      <c r="AB206" s="102">
        <f t="shared" si="630"/>
        <v>3.4886274115267955</v>
      </c>
      <c r="AC206" s="102">
        <f t="shared" si="630"/>
        <v>3.5583999597573319</v>
      </c>
      <c r="AD206" s="102">
        <f t="shared" si="630"/>
        <v>3.6295679589524781</v>
      </c>
      <c r="AE206" s="102">
        <f t="shared" si="630"/>
        <v>3.7021593181315278</v>
      </c>
      <c r="AF206" s="102">
        <f t="shared" si="630"/>
        <v>3.7762025044941585</v>
      </c>
      <c r="AG206" s="102">
        <f t="shared" si="630"/>
        <v>3.8517265545840416</v>
      </c>
      <c r="AH206" s="116" t="e">
        <f t="shared" si="599"/>
        <v>#DIV/0!</v>
      </c>
      <c r="AI206" s="21">
        <f t="shared" si="600"/>
        <v>0.05</v>
      </c>
      <c r="AJ206" s="109" t="e">
        <f t="shared" si="601"/>
        <v>#DIV/0!</v>
      </c>
    </row>
    <row r="207" spans="2:36">
      <c r="B207" s="10" t="s">
        <v>217</v>
      </c>
      <c r="C207" s="15"/>
      <c r="D207" s="15"/>
      <c r="E207" s="15"/>
      <c r="F207" s="15"/>
      <c r="G207" s="15">
        <f t="shared" ref="G207" si="631">G201/G84</f>
        <v>0</v>
      </c>
      <c r="H207" s="15" t="e">
        <f t="shared" ref="H207:I207" si="632">H201/H84</f>
        <v>#DIV/0!</v>
      </c>
      <c r="I207" s="15" t="e">
        <f t="shared" si="632"/>
        <v>#DIV/0!</v>
      </c>
      <c r="J207" s="15" t="e">
        <f t="shared" ref="J207:T207" si="633">J201/J84</f>
        <v>#DIV/0!</v>
      </c>
      <c r="K207" s="15" t="e">
        <f t="shared" si="633"/>
        <v>#DIV/0!</v>
      </c>
      <c r="L207" s="15" t="e">
        <f t="shared" si="633"/>
        <v>#DIV/0!</v>
      </c>
      <c r="M207" s="15">
        <f t="shared" si="633"/>
        <v>0</v>
      </c>
      <c r="N207" s="15">
        <f t="shared" si="633"/>
        <v>6.3329608938547475</v>
      </c>
      <c r="O207" s="15">
        <f t="shared" si="633"/>
        <v>8.9533106575963721</v>
      </c>
      <c r="P207" s="15">
        <f t="shared" si="633"/>
        <v>5.4301400813375507</v>
      </c>
      <c r="Q207" s="15">
        <f t="shared" si="633"/>
        <v>3.6207744874715262</v>
      </c>
      <c r="R207" s="15">
        <f t="shared" si="633"/>
        <v>3.0866590714896045</v>
      </c>
      <c r="S207" s="15">
        <f t="shared" si="633"/>
        <v>2.8300428751576296</v>
      </c>
      <c r="T207" s="15">
        <f t="shared" si="633"/>
        <v>3.2853898561695689</v>
      </c>
      <c r="U207" s="15">
        <f t="shared" ref="U207" si="634">U201/U84</f>
        <v>3.766086298258895</v>
      </c>
      <c r="V207" s="101" t="e">
        <f t="shared" si="597"/>
        <v>#DIV/0!</v>
      </c>
      <c r="W207" s="110"/>
      <c r="X207" s="102">
        <f t="shared" ref="X207:AG207" si="635">X201/X84</f>
        <v>2.9374979429286117</v>
      </c>
      <c r="Y207" s="102">
        <f t="shared" si="635"/>
        <v>2.9962479017871839</v>
      </c>
      <c r="Z207" s="102">
        <f t="shared" si="635"/>
        <v>3.0561728598229281</v>
      </c>
      <c r="AA207" s="102">
        <f t="shared" si="635"/>
        <v>3.1172963170193864</v>
      </c>
      <c r="AB207" s="102">
        <f t="shared" si="635"/>
        <v>3.1796422433597744</v>
      </c>
      <c r="AC207" s="102">
        <f t="shared" si="635"/>
        <v>3.2432350882269692</v>
      </c>
      <c r="AD207" s="102">
        <f t="shared" si="635"/>
        <v>3.3080997899915086</v>
      </c>
      <c r="AE207" s="102">
        <f t="shared" si="635"/>
        <v>3.3742617857913397</v>
      </c>
      <c r="AF207" s="102">
        <f t="shared" si="635"/>
        <v>3.4417470215071662</v>
      </c>
      <c r="AG207" s="102">
        <f t="shared" si="635"/>
        <v>3.51058196193731</v>
      </c>
      <c r="AH207" s="116" t="e">
        <f t="shared" si="599"/>
        <v>#DIV/0!</v>
      </c>
      <c r="AI207" s="21">
        <f t="shared" si="600"/>
        <v>0.05</v>
      </c>
      <c r="AJ207" s="109" t="e">
        <f t="shared" si="601"/>
        <v>#DIV/0!</v>
      </c>
    </row>
    <row r="208" spans="2:36">
      <c r="B208" s="10" t="s">
        <v>218</v>
      </c>
      <c r="C208" s="15"/>
      <c r="D208" s="15"/>
      <c r="E208" s="15"/>
      <c r="F208" s="15"/>
      <c r="G208" s="15">
        <f t="shared" ref="G208" si="636">G201/G86</f>
        <v>0</v>
      </c>
      <c r="H208" s="15" t="e">
        <f t="shared" ref="H208:I208" si="637">H201/H86</f>
        <v>#DIV/0!</v>
      </c>
      <c r="I208" s="15" t="e">
        <f t="shared" si="637"/>
        <v>#DIV/0!</v>
      </c>
      <c r="J208" s="15" t="e">
        <f t="shared" ref="J208:T208" si="638">J201/J86</f>
        <v>#DIV/0!</v>
      </c>
      <c r="K208" s="15" t="e">
        <f t="shared" si="638"/>
        <v>#DIV/0!</v>
      </c>
      <c r="L208" s="15" t="e">
        <f t="shared" si="638"/>
        <v>#DIV/0!</v>
      </c>
      <c r="M208" s="15">
        <f t="shared" si="638"/>
        <v>0</v>
      </c>
      <c r="N208" s="15">
        <f t="shared" si="638"/>
        <v>0.38359501894964804</v>
      </c>
      <c r="O208" s="15">
        <f t="shared" si="638"/>
        <v>0.37259696140417098</v>
      </c>
      <c r="P208" s="15">
        <f t="shared" si="638"/>
        <v>0.47334856422578486</v>
      </c>
      <c r="Q208" s="15">
        <f t="shared" si="638"/>
        <v>0.32959643347761852</v>
      </c>
      <c r="R208" s="15">
        <f t="shared" si="638"/>
        <v>0.23598249281421479</v>
      </c>
      <c r="S208" s="15">
        <f t="shared" si="638"/>
        <v>0.20318545612573791</v>
      </c>
      <c r="T208" s="15">
        <f t="shared" si="638"/>
        <v>0.3512065644876754</v>
      </c>
      <c r="U208" s="15">
        <f t="shared" ref="U208" si="639">U201/U86</f>
        <v>0.40259277841617169</v>
      </c>
      <c r="V208" s="101" t="e">
        <f t="shared" si="597"/>
        <v>#DIV/0!</v>
      </c>
      <c r="W208" s="110"/>
      <c r="X208" s="102">
        <f t="shared" ref="X208:AG208" si="640">X201/X86</f>
        <v>0.31401708956647001</v>
      </c>
      <c r="Y208" s="102">
        <f t="shared" si="640"/>
        <v>0.32029743135779942</v>
      </c>
      <c r="Z208" s="102">
        <f t="shared" si="640"/>
        <v>0.32670337998495541</v>
      </c>
      <c r="AA208" s="102">
        <f t="shared" si="640"/>
        <v>0.33323744758465446</v>
      </c>
      <c r="AB208" s="102">
        <f t="shared" si="640"/>
        <v>0.33990219653634757</v>
      </c>
      <c r="AC208" s="102">
        <f t="shared" si="640"/>
        <v>0.34670024046707459</v>
      </c>
      <c r="AD208" s="102">
        <f t="shared" si="640"/>
        <v>0.35363424527641613</v>
      </c>
      <c r="AE208" s="102">
        <f t="shared" si="640"/>
        <v>0.3607069301819445</v>
      </c>
      <c r="AF208" s="102">
        <f t="shared" si="640"/>
        <v>0.36792106878558334</v>
      </c>
      <c r="AG208" s="102">
        <f t="shared" si="640"/>
        <v>0.37527949016129497</v>
      </c>
      <c r="AH208" s="116" t="e">
        <f t="shared" si="599"/>
        <v>#DIV/0!</v>
      </c>
      <c r="AI208" s="21">
        <f t="shared" si="600"/>
        <v>0.05</v>
      </c>
      <c r="AJ208" s="109" t="e">
        <f t="shared" si="601"/>
        <v>#DIV/0!</v>
      </c>
    </row>
    <row r="209" spans="2:36">
      <c r="B209" s="10" t="s">
        <v>232</v>
      </c>
      <c r="C209" s="15"/>
      <c r="D209" s="15"/>
      <c r="E209" s="15"/>
      <c r="F209" s="15"/>
      <c r="G209" s="159">
        <f t="shared" ref="G209" si="641">G201/G80</f>
        <v>0</v>
      </c>
      <c r="H209" s="159" t="e">
        <f t="shared" ref="H209:I209" si="642">H201/H80</f>
        <v>#DIV/0!</v>
      </c>
      <c r="I209" s="159" t="e">
        <f t="shared" si="642"/>
        <v>#DIV/0!</v>
      </c>
      <c r="J209" s="159" t="e">
        <f t="shared" ref="J209:T209" si="643">J201/J80</f>
        <v>#DIV/0!</v>
      </c>
      <c r="K209" s="159" t="e">
        <f t="shared" si="643"/>
        <v>#DIV/0!</v>
      </c>
      <c r="L209" s="159" t="e">
        <f t="shared" si="643"/>
        <v>#DIV/0!</v>
      </c>
      <c r="M209" s="159">
        <f t="shared" si="643"/>
        <v>0</v>
      </c>
      <c r="N209" s="159">
        <f t="shared" si="643"/>
        <v>-0.41784002948765203</v>
      </c>
      <c r="O209" s="159">
        <f t="shared" si="643"/>
        <v>-0.45898401627433882</v>
      </c>
      <c r="P209" s="159">
        <f t="shared" si="643"/>
        <v>-0.69102357676825754</v>
      </c>
      <c r="Q209" s="159">
        <f t="shared" si="643"/>
        <v>-0.42363194189959025</v>
      </c>
      <c r="R209" s="159">
        <f t="shared" si="643"/>
        <v>-0.30265758091993183</v>
      </c>
      <c r="S209" s="159">
        <f t="shared" si="643"/>
        <v>-0.24495983234369545</v>
      </c>
      <c r="T209" s="159">
        <f t="shared" si="643"/>
        <v>-0.40835528791870535</v>
      </c>
      <c r="U209" s="159">
        <f t="shared" ref="U209" si="644">U201/U80</f>
        <v>-0.51116864969278508</v>
      </c>
      <c r="V209" s="101" t="e">
        <f t="shared" si="597"/>
        <v>#DIV/0!</v>
      </c>
      <c r="W209" s="110"/>
      <c r="X209" s="159">
        <f t="shared" ref="X209:AG209" si="645">X201/X80</f>
        <v>-0.3651143002078186</v>
      </c>
      <c r="Y209" s="159">
        <f t="shared" si="645"/>
        <v>-0.37241658621197499</v>
      </c>
      <c r="Z209" s="159">
        <f t="shared" si="645"/>
        <v>-0.37986491793621457</v>
      </c>
      <c r="AA209" s="159">
        <f t="shared" si="645"/>
        <v>-0.38746221629493877</v>
      </c>
      <c r="AB209" s="159">
        <f t="shared" si="645"/>
        <v>-0.39521146062083751</v>
      </c>
      <c r="AC209" s="159">
        <f t="shared" si="645"/>
        <v>-0.40311568983325435</v>
      </c>
      <c r="AD209" s="159">
        <f t="shared" si="645"/>
        <v>-0.41117800362991946</v>
      </c>
      <c r="AE209" s="159">
        <f t="shared" si="645"/>
        <v>-0.41940156370251797</v>
      </c>
      <c r="AF209" s="159">
        <f t="shared" si="645"/>
        <v>-0.42778959497656827</v>
      </c>
      <c r="AG209" s="159">
        <f t="shared" si="645"/>
        <v>-0.43634538687609958</v>
      </c>
      <c r="AH209" s="116" t="e">
        <f t="shared" ref="AH209" si="646">((AG209/J209)^(1/($AG$3-$K$1) ))-1</f>
        <v>#DIV/0!</v>
      </c>
      <c r="AI209" s="21">
        <f t="shared" ref="AI209:AI212" si="647">$O$1</f>
        <v>0.05</v>
      </c>
      <c r="AJ209" s="109" t="e">
        <f t="shared" si="601"/>
        <v>#DIV/0!</v>
      </c>
    </row>
    <row r="210" spans="2:36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647"/>
        <v>0.05</v>
      </c>
      <c r="AJ210" s="109"/>
    </row>
    <row r="211" spans="2:36">
      <c r="B211" s="10" t="s">
        <v>265</v>
      </c>
      <c r="C211" s="129"/>
      <c r="D211" s="129"/>
      <c r="E211" s="129"/>
      <c r="F211" s="129"/>
      <c r="G211" s="129" t="e">
        <f t="shared" ref="G211" si="648">G59/G201</f>
        <v>#DIV/0!</v>
      </c>
      <c r="H211" s="129" t="e">
        <f t="shared" ref="H211:I211" si="649">H59/H201</f>
        <v>#DIV/0!</v>
      </c>
      <c r="I211" s="129" t="e">
        <f t="shared" si="649"/>
        <v>#DIV/0!</v>
      </c>
      <c r="J211" s="129" t="e">
        <f t="shared" ref="J211:T211" si="650">J59/J201</f>
        <v>#DIV/0!</v>
      </c>
      <c r="K211" s="129" t="e">
        <f t="shared" si="650"/>
        <v>#DIV/0!</v>
      </c>
      <c r="L211" s="129" t="e">
        <f t="shared" si="650"/>
        <v>#DIV/0!</v>
      </c>
      <c r="M211" s="129" t="e">
        <f t="shared" si="650"/>
        <v>#DIV/0!</v>
      </c>
      <c r="N211" s="129">
        <f t="shared" si="650"/>
        <v>0</v>
      </c>
      <c r="O211" s="129">
        <f t="shared" si="650"/>
        <v>0</v>
      </c>
      <c r="P211" s="129">
        <f t="shared" si="650"/>
        <v>1.0714285714285714E-2</v>
      </c>
      <c r="Q211" s="129">
        <f t="shared" si="650"/>
        <v>1.0135135135135136E-2</v>
      </c>
      <c r="R211" s="129">
        <f t="shared" si="650"/>
        <v>1.2698412698412698E-2</v>
      </c>
      <c r="S211" s="129">
        <f t="shared" si="650"/>
        <v>1.2500000000000001E-2</v>
      </c>
      <c r="T211" s="129">
        <f t="shared" si="650"/>
        <v>6.4516129032258064E-3</v>
      </c>
      <c r="U211" s="129">
        <f t="shared" ref="U211" si="651">U59/U201</f>
        <v>8.0000000000000002E-3</v>
      </c>
      <c r="V211" s="101" t="e">
        <f t="shared" si="597"/>
        <v>#DIV/0!</v>
      </c>
      <c r="W211" s="110"/>
      <c r="X211" s="129">
        <f t="shared" ref="X211:AG211" si="652">X59/X201</f>
        <v>6.5280000000000008E-3</v>
      </c>
      <c r="Y211" s="129">
        <f t="shared" si="652"/>
        <v>5.7900521739130441E-3</v>
      </c>
      <c r="Z211" s="129">
        <f t="shared" si="652"/>
        <v>5.1355245368620043E-3</v>
      </c>
      <c r="AA211" s="129">
        <f t="shared" si="652"/>
        <v>4.5549869805210832E-3</v>
      </c>
      <c r="AB211" s="129">
        <f t="shared" si="652"/>
        <v>4.0400754088100038E-3</v>
      </c>
      <c r="AC211" s="129">
        <f t="shared" si="652"/>
        <v>3.583371232161917E-3</v>
      </c>
      <c r="AD211" s="129">
        <f t="shared" si="652"/>
        <v>3.1782944841783956E-3</v>
      </c>
      <c r="AE211" s="129">
        <f t="shared" si="652"/>
        <v>2.8190090207495335E-3</v>
      </c>
      <c r="AF211" s="129">
        <f t="shared" si="652"/>
        <v>2.5003384357952388E-3</v>
      </c>
      <c r="AG211" s="129">
        <f t="shared" si="652"/>
        <v>2.2176914821836033E-3</v>
      </c>
      <c r="AH211" s="116" t="e">
        <f t="shared" ref="AH211:AH216" si="653">((AG211/J211)^(1/($AG$3-$K$1) ))-1</f>
        <v>#DIV/0!</v>
      </c>
      <c r="AI211" s="21">
        <f t="shared" si="647"/>
        <v>0.05</v>
      </c>
      <c r="AJ211" s="109" t="e">
        <f t="shared" si="601"/>
        <v>#DIV/0!</v>
      </c>
    </row>
    <row r="212" spans="2:36">
      <c r="B212" s="10" t="s">
        <v>132</v>
      </c>
      <c r="C212" s="129"/>
      <c r="D212" s="129"/>
      <c r="E212" s="129"/>
      <c r="F212" s="129"/>
      <c r="G212" s="142">
        <f t="shared" ref="G212" si="654">G201*G57</f>
        <v>0</v>
      </c>
      <c r="H212" s="142">
        <f t="shared" ref="H212:I212" si="655">H201*H57</f>
        <v>0</v>
      </c>
      <c r="I212" s="142">
        <f t="shared" si="655"/>
        <v>0</v>
      </c>
      <c r="J212" s="142">
        <f t="shared" ref="J212:T212" si="656">J201*J57</f>
        <v>0</v>
      </c>
      <c r="K212" s="142">
        <f t="shared" si="656"/>
        <v>0</v>
      </c>
      <c r="L212" s="142">
        <f t="shared" si="656"/>
        <v>0</v>
      </c>
      <c r="M212" s="142">
        <f t="shared" si="656"/>
        <v>0</v>
      </c>
      <c r="N212" s="142">
        <f t="shared" si="656"/>
        <v>5668</v>
      </c>
      <c r="O212" s="142">
        <f t="shared" si="656"/>
        <v>7896.82</v>
      </c>
      <c r="P212" s="142">
        <f t="shared" si="656"/>
        <v>12016.9</v>
      </c>
      <c r="Q212" s="142">
        <f t="shared" si="656"/>
        <v>12716.16</v>
      </c>
      <c r="R212" s="142">
        <f t="shared" si="656"/>
        <v>10837.26</v>
      </c>
      <c r="S212" s="142">
        <f t="shared" si="656"/>
        <v>11221.12</v>
      </c>
      <c r="T212" s="142">
        <f t="shared" si="656"/>
        <v>21700</v>
      </c>
      <c r="U212" s="142">
        <f t="shared" ref="U212" si="657">U201*U57</f>
        <v>24875</v>
      </c>
      <c r="V212" s="101" t="e">
        <f t="shared" si="597"/>
        <v>#DIV/0!</v>
      </c>
      <c r="W212" s="110"/>
      <c r="X212" s="142">
        <f t="shared" ref="X212:AG212" si="658">X201*X57</f>
        <v>22312.5</v>
      </c>
      <c r="Y212" s="142">
        <f t="shared" si="658"/>
        <v>26172.5625</v>
      </c>
      <c r="Z212" s="142">
        <f t="shared" si="658"/>
        <v>30700.415812499999</v>
      </c>
      <c r="AA212" s="142">
        <f t="shared" si="658"/>
        <v>36011.587748062491</v>
      </c>
      <c r="AB212" s="142">
        <f t="shared" si="658"/>
        <v>42241.592428477306</v>
      </c>
      <c r="AC212" s="142">
        <f t="shared" si="658"/>
        <v>49549.387918603883</v>
      </c>
      <c r="AD212" s="142">
        <f t="shared" si="658"/>
        <v>58121.432028522351</v>
      </c>
      <c r="AE212" s="142">
        <f t="shared" si="658"/>
        <v>68176.439769456716</v>
      </c>
      <c r="AF212" s="142">
        <f t="shared" si="658"/>
        <v>79970.963849572727</v>
      </c>
      <c r="AG212" s="142">
        <f t="shared" si="658"/>
        <v>93805.940595548804</v>
      </c>
      <c r="AH212" s="116" t="e">
        <f t="shared" si="653"/>
        <v>#DIV/0!</v>
      </c>
      <c r="AI212" s="21">
        <f t="shared" si="647"/>
        <v>0.05</v>
      </c>
      <c r="AJ212" s="109" t="e">
        <f t="shared" si="601"/>
        <v>#DIV/0!</v>
      </c>
    </row>
    <row r="213" spans="2:36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>
      <c r="B214" s="10" t="s">
        <v>316</v>
      </c>
      <c r="C214" s="138"/>
      <c r="D214" s="138"/>
      <c r="E214" s="138"/>
      <c r="F214" s="138"/>
      <c r="G214" s="138" t="e">
        <f t="shared" ref="G214" si="659">G72/G201</f>
        <v>#DIV/0!</v>
      </c>
      <c r="H214" s="138" t="e">
        <f t="shared" ref="H214:I214" si="660">H72/H201</f>
        <v>#DIV/0!</v>
      </c>
      <c r="I214" s="138" t="e">
        <f t="shared" si="660"/>
        <v>#DIV/0!</v>
      </c>
      <c r="J214" s="138" t="e">
        <f t="shared" ref="J214:T214" si="661">J72/J201</f>
        <v>#DIV/0!</v>
      </c>
      <c r="K214" s="138" t="e">
        <f t="shared" si="661"/>
        <v>#DIV/0!</v>
      </c>
      <c r="L214" s="138" t="e">
        <f t="shared" si="661"/>
        <v>#DIV/0!</v>
      </c>
      <c r="M214" s="138" t="e">
        <f t="shared" si="661"/>
        <v>#DIV/0!</v>
      </c>
      <c r="N214" s="138">
        <f t="shared" si="661"/>
        <v>6.8983768525052933E-2</v>
      </c>
      <c r="O214" s="138">
        <f t="shared" si="661"/>
        <v>5.7491496577103195E-2</v>
      </c>
      <c r="P214" s="138">
        <f t="shared" si="661"/>
        <v>6.06645640722649E-2</v>
      </c>
      <c r="Q214" s="138">
        <f t="shared" si="661"/>
        <v>4.6790855100910966E-2</v>
      </c>
      <c r="R214" s="138">
        <f t="shared" si="661"/>
        <v>7.8433109476011467E-2</v>
      </c>
      <c r="S214" s="138">
        <f t="shared" si="661"/>
        <v>7.6106484914161859E-2</v>
      </c>
      <c r="T214" s="138">
        <f t="shared" si="661"/>
        <v>4.8018433179723506E-2</v>
      </c>
      <c r="U214" s="138">
        <f t="shared" ref="U214" si="662">U72/U201</f>
        <v>5.8854271356783922E-2</v>
      </c>
      <c r="V214" s="101" t="e">
        <f t="shared" si="597"/>
        <v>#DIV/0!</v>
      </c>
      <c r="W214" s="110"/>
      <c r="X214" s="138">
        <f t="shared" ref="X214:AG214" si="663">X72/X201</f>
        <v>5.370532212885154E-2</v>
      </c>
      <c r="Y214" s="138">
        <f t="shared" si="663"/>
        <v>5.2652276596913274E-2</v>
      </c>
      <c r="Z214" s="138">
        <f t="shared" si="663"/>
        <v>5.1619879016581632E-2</v>
      </c>
      <c r="AA214" s="138">
        <f t="shared" si="663"/>
        <v>5.0607724526060431E-2</v>
      </c>
      <c r="AB214" s="138">
        <f t="shared" si="663"/>
        <v>4.9615416202020021E-2</v>
      </c>
      <c r="AC214" s="138">
        <f t="shared" si="663"/>
        <v>4.8642564903941199E-2</v>
      </c>
      <c r="AD214" s="138">
        <f t="shared" si="663"/>
        <v>4.7688789121510977E-2</v>
      </c>
      <c r="AE214" s="138">
        <f t="shared" si="663"/>
        <v>4.6753714825010756E-2</v>
      </c>
      <c r="AF214" s="138">
        <f t="shared" si="663"/>
        <v>4.5836975318637993E-2</v>
      </c>
      <c r="AG214" s="138">
        <f t="shared" si="663"/>
        <v>4.4938211096703908E-2</v>
      </c>
      <c r="AH214" s="116" t="e">
        <f t="shared" ref="AH214" si="664">((AG214/J214)^(1/($AG$3-$K$1) ))-1</f>
        <v>#DIV/0!</v>
      </c>
      <c r="AI214" s="21">
        <f t="shared" ref="AI214" si="665">$O$1</f>
        <v>0.05</v>
      </c>
      <c r="AJ214" s="109" t="e">
        <f t="shared" ref="AJ214" si="666">(AG214*(1+AH214))/($C$1-AI214)</f>
        <v>#DIV/0!</v>
      </c>
    </row>
    <row r="215" spans="2:36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" si="667">G203</f>
        <v>0</v>
      </c>
      <c r="H215" s="158" t="e">
        <f t="shared" ref="H215:I215" si="668">H203</f>
        <v>#DIV/0!</v>
      </c>
      <c r="I215" s="158" t="e">
        <f t="shared" si="668"/>
        <v>#DIV/0!</v>
      </c>
      <c r="J215" s="158" t="e">
        <f t="shared" ref="J215:T215" si="669">J203</f>
        <v>#DIV/0!</v>
      </c>
      <c r="K215" s="158" t="e">
        <f t="shared" si="669"/>
        <v>#DIV/0!</v>
      </c>
      <c r="L215" s="158" t="e">
        <f t="shared" si="669"/>
        <v>#DIV/0!</v>
      </c>
      <c r="M215" s="158">
        <f t="shared" si="669"/>
        <v>0</v>
      </c>
      <c r="N215" s="158">
        <f t="shared" si="669"/>
        <v>14.496163682864449</v>
      </c>
      <c r="O215" s="158">
        <f t="shared" si="669"/>
        <v>17.393876651982378</v>
      </c>
      <c r="P215" s="158">
        <f t="shared" si="669"/>
        <v>16.484087791495199</v>
      </c>
      <c r="Q215" s="158">
        <f t="shared" si="669"/>
        <v>21.371697478991599</v>
      </c>
      <c r="R215" s="158">
        <f t="shared" si="669"/>
        <v>12.749717647058825</v>
      </c>
      <c r="S215" s="158">
        <f t="shared" si="669"/>
        <v>13.139484777517566</v>
      </c>
      <c r="T215" s="158">
        <f t="shared" si="669"/>
        <v>20.825335892514396</v>
      </c>
      <c r="U215" s="158">
        <f t="shared" ref="U215" si="670">U203</f>
        <v>16.991120218579237</v>
      </c>
      <c r="V215" s="101" t="e">
        <f t="shared" si="597"/>
        <v>#DIV/0!</v>
      </c>
      <c r="W215" s="110"/>
      <c r="X215" s="129">
        <f t="shared" ref="X215:AG215" si="671">X203</f>
        <v>18.620128515396811</v>
      </c>
      <c r="Y215" s="129">
        <f t="shared" si="671"/>
        <v>18.992531085704751</v>
      </c>
      <c r="Z215" s="129">
        <f t="shared" si="671"/>
        <v>19.372381707418846</v>
      </c>
      <c r="AA215" s="129">
        <f t="shared" si="671"/>
        <v>19.759829341567222</v>
      </c>
      <c r="AB215" s="129">
        <f t="shared" si="671"/>
        <v>20.155025928398569</v>
      </c>
      <c r="AC215" s="129">
        <f t="shared" si="671"/>
        <v>20.55812644696654</v>
      </c>
      <c r="AD215" s="129">
        <f t="shared" si="671"/>
        <v>20.969288975905872</v>
      </c>
      <c r="AE215" s="129">
        <f t="shared" si="671"/>
        <v>21.388674755423992</v>
      </c>
      <c r="AF215" s="129">
        <f t="shared" si="671"/>
        <v>21.816448250532471</v>
      </c>
      <c r="AG215" s="129">
        <f t="shared" si="671"/>
        <v>22.252777215543126</v>
      </c>
      <c r="AH215" s="116" t="e">
        <f t="shared" ref="AH215" si="672">((AG215/J215)^(1/($AG$3-$K$1) ))-1</f>
        <v>#DIV/0!</v>
      </c>
      <c r="AI215" s="21">
        <f t="shared" ref="AI215:AI217" si="673">$O$1</f>
        <v>0.05</v>
      </c>
      <c r="AJ215" s="158" t="e">
        <f>(AJ202)/($O$2*100)</f>
        <v>#DIV/0!</v>
      </c>
    </row>
    <row r="216" spans="2:36">
      <c r="B216" s="10" t="s">
        <v>437</v>
      </c>
      <c r="C216" s="158"/>
      <c r="D216" s="158"/>
      <c r="E216" s="158"/>
      <c r="F216" s="158"/>
      <c r="G216" s="158">
        <f t="shared" ref="G216" si="674">(G203)/($O$2*100)</f>
        <v>0</v>
      </c>
      <c r="H216" s="158" t="e">
        <f t="shared" ref="H216:I216" si="675">(H203)/($O$2*100)</f>
        <v>#DIV/0!</v>
      </c>
      <c r="I216" s="158" t="e">
        <f t="shared" si="675"/>
        <v>#DIV/0!</v>
      </c>
      <c r="J216" s="158" t="e">
        <f t="shared" ref="J216:T216" si="676">(J203)/($O$2*100)</f>
        <v>#DIV/0!</v>
      </c>
      <c r="K216" s="158" t="e">
        <f t="shared" si="676"/>
        <v>#DIV/0!</v>
      </c>
      <c r="L216" s="158" t="e">
        <f t="shared" si="676"/>
        <v>#DIV/0!</v>
      </c>
      <c r="M216" s="158">
        <f t="shared" si="676"/>
        <v>0</v>
      </c>
      <c r="N216" s="158">
        <f t="shared" si="676"/>
        <v>0.9664109121909632</v>
      </c>
      <c r="O216" s="158">
        <f t="shared" si="676"/>
        <v>1.1595917767988253</v>
      </c>
      <c r="P216" s="158">
        <f t="shared" si="676"/>
        <v>1.09893918609968</v>
      </c>
      <c r="Q216" s="158">
        <f t="shared" si="676"/>
        <v>1.4247798319327734</v>
      </c>
      <c r="R216" s="158">
        <f t="shared" si="676"/>
        <v>0.84998117647058835</v>
      </c>
      <c r="S216" s="158">
        <f t="shared" si="676"/>
        <v>0.87596565183450437</v>
      </c>
      <c r="T216" s="158">
        <f t="shared" si="676"/>
        <v>1.3883557261676265</v>
      </c>
      <c r="U216" s="158">
        <f t="shared" ref="U216" si="677">(U203)/($O$2*100)</f>
        <v>1.1327413479052824</v>
      </c>
      <c r="V216" s="101" t="e">
        <f t="shared" si="597"/>
        <v>#DIV/0!</v>
      </c>
      <c r="W216" s="110"/>
      <c r="X216" s="158">
        <f t="shared" ref="X216:AG216" si="678">(X203)/($O$2*100)</f>
        <v>1.2413419010264541</v>
      </c>
      <c r="Y216" s="158">
        <f t="shared" si="678"/>
        <v>1.2661687390469833</v>
      </c>
      <c r="Z216" s="158">
        <f t="shared" si="678"/>
        <v>1.2914921138279232</v>
      </c>
      <c r="AA216" s="158">
        <f t="shared" si="678"/>
        <v>1.3173219561044816</v>
      </c>
      <c r="AB216" s="158">
        <f t="shared" si="678"/>
        <v>1.3436683952265713</v>
      </c>
      <c r="AC216" s="158">
        <f t="shared" si="678"/>
        <v>1.3705417631311028</v>
      </c>
      <c r="AD216" s="158">
        <f t="shared" si="678"/>
        <v>1.3979525983937249</v>
      </c>
      <c r="AE216" s="158">
        <f t="shared" si="678"/>
        <v>1.4259116503615994</v>
      </c>
      <c r="AF216" s="158">
        <f t="shared" si="678"/>
        <v>1.4544298833688314</v>
      </c>
      <c r="AG216" s="158">
        <f t="shared" si="678"/>
        <v>1.4835184810362085</v>
      </c>
      <c r="AH216" s="116" t="e">
        <f t="shared" si="653"/>
        <v>#DIV/0!</v>
      </c>
      <c r="AI216" s="21">
        <f t="shared" si="673"/>
        <v>0.05</v>
      </c>
      <c r="AJ216" s="158" t="e">
        <f>(AJ203)/($O$2*100)</f>
        <v>#DIV/0!</v>
      </c>
    </row>
    <row r="217" spans="2:36">
      <c r="B217" s="10" t="s">
        <v>438</v>
      </c>
      <c r="C217" s="129"/>
      <c r="D217" s="129"/>
      <c r="E217" s="129"/>
      <c r="F217" s="129"/>
      <c r="G217" s="129">
        <f t="shared" ref="G217" si="679">G216-1</f>
        <v>-1</v>
      </c>
      <c r="H217" s="129" t="e">
        <f t="shared" ref="H217:I217" si="680">H216-1</f>
        <v>#DIV/0!</v>
      </c>
      <c r="I217" s="129" t="e">
        <f t="shared" si="680"/>
        <v>#DIV/0!</v>
      </c>
      <c r="J217" s="129" t="e">
        <f t="shared" ref="J217:S217" si="681">J216-1</f>
        <v>#DIV/0!</v>
      </c>
      <c r="K217" s="129" t="e">
        <f t="shared" si="681"/>
        <v>#DIV/0!</v>
      </c>
      <c r="L217" s="129" t="e">
        <f t="shared" si="681"/>
        <v>#DIV/0!</v>
      </c>
      <c r="M217" s="129">
        <f t="shared" si="681"/>
        <v>-1</v>
      </c>
      <c r="N217" s="129">
        <f t="shared" si="681"/>
        <v>-3.3589087809036799E-2</v>
      </c>
      <c r="O217" s="129">
        <f t="shared" si="681"/>
        <v>0.1595917767988253</v>
      </c>
      <c r="P217" s="129">
        <f t="shared" si="681"/>
        <v>9.8939186099679999E-2</v>
      </c>
      <c r="Q217" s="129">
        <f t="shared" si="681"/>
        <v>0.42477983193277336</v>
      </c>
      <c r="R217" s="129">
        <f t="shared" si="681"/>
        <v>-0.15001882352941165</v>
      </c>
      <c r="S217" s="129">
        <f t="shared" si="681"/>
        <v>-0.12403434816549563</v>
      </c>
      <c r="T217" s="129">
        <f>T216-1</f>
        <v>0.38835572616762648</v>
      </c>
      <c r="U217" s="129">
        <f>U216-1</f>
        <v>0.13274134790528236</v>
      </c>
      <c r="V217" s="101" t="e">
        <f t="shared" si="597"/>
        <v>#DIV/0!</v>
      </c>
      <c r="W217" s="110"/>
      <c r="X217" s="129">
        <f t="shared" ref="X217:AG217" si="682">X216-1</f>
        <v>0.24134190102645414</v>
      </c>
      <c r="Y217" s="129">
        <f t="shared" si="682"/>
        <v>0.26616873904698335</v>
      </c>
      <c r="Z217" s="129">
        <f t="shared" si="682"/>
        <v>0.29149211382792317</v>
      </c>
      <c r="AA217" s="129">
        <f t="shared" si="682"/>
        <v>0.31732195610448155</v>
      </c>
      <c r="AB217" s="129">
        <f t="shared" si="682"/>
        <v>0.34366839522657133</v>
      </c>
      <c r="AC217" s="129">
        <f t="shared" si="682"/>
        <v>0.37054176313110276</v>
      </c>
      <c r="AD217" s="129">
        <f t="shared" si="682"/>
        <v>0.39795259839372488</v>
      </c>
      <c r="AE217" s="129">
        <f t="shared" si="682"/>
        <v>0.42591165036159939</v>
      </c>
      <c r="AF217" s="129">
        <f t="shared" si="682"/>
        <v>0.45442988336883139</v>
      </c>
      <c r="AG217" s="129">
        <f t="shared" si="682"/>
        <v>0.48351848103620854</v>
      </c>
      <c r="AH217" s="116" t="e">
        <f t="shared" ref="AH217" si="683">((AG217/J217)^(1/($AG$3-$K$1) ))-1</f>
        <v>#DIV/0!</v>
      </c>
      <c r="AI217" s="21">
        <f t="shared" si="673"/>
        <v>0.05</v>
      </c>
      <c r="AJ217" s="158" t="e">
        <f>(AJ204)/($O$2*100)</f>
        <v>#DIV/0!</v>
      </c>
    </row>
    <row r="218" spans="2:36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10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>
      <c r="B219" s="10" t="s">
        <v>414</v>
      </c>
      <c r="C219" s="129"/>
      <c r="D219" s="129"/>
      <c r="E219" s="129"/>
      <c r="F219" s="129"/>
      <c r="G219" s="129" t="e">
        <f t="shared" ref="G219:S219" si="684">1/G220</f>
        <v>#DIV/0!</v>
      </c>
      <c r="H219" s="129" t="e">
        <f t="shared" si="684"/>
        <v>#DIV/0!</v>
      </c>
      <c r="I219" s="129" t="e">
        <f t="shared" si="684"/>
        <v>#DIV/0!</v>
      </c>
      <c r="J219" s="129" t="e">
        <f t="shared" si="684"/>
        <v>#DIV/0!</v>
      </c>
      <c r="K219" s="129" t="e">
        <f t="shared" si="684"/>
        <v>#DIV/0!</v>
      </c>
      <c r="L219" s="129" t="e">
        <f t="shared" si="684"/>
        <v>#DIV/0!</v>
      </c>
      <c r="M219" s="129" t="e">
        <f t="shared" si="684"/>
        <v>#DIV/0!</v>
      </c>
      <c r="N219" s="129">
        <f t="shared" si="684"/>
        <v>5.5459183673469387E-2</v>
      </c>
      <c r="O219" s="129">
        <f t="shared" si="684"/>
        <v>4.8225377107364686E-2</v>
      </c>
      <c r="P219" s="129">
        <f t="shared" si="684"/>
        <v>3.1690962099125371E-2</v>
      </c>
      <c r="Q219" s="129">
        <f t="shared" si="684"/>
        <v>2.9977937120794267E-2</v>
      </c>
      <c r="R219" s="129">
        <f t="shared" si="684"/>
        <v>3.5212180110139296E-2</v>
      </c>
      <c r="S219" s="129">
        <f t="shared" si="684"/>
        <v>3.466198979591837E-2</v>
      </c>
      <c r="T219" s="129">
        <f>1/T220</f>
        <v>1.7890059249506256E-2</v>
      </c>
      <c r="U219" s="129">
        <f>1/U220</f>
        <v>1.7746938775510205E-2</v>
      </c>
      <c r="V219" s="101" t="e">
        <f t="shared" si="597"/>
        <v>#DIV/0!</v>
      </c>
      <c r="W219" s="110"/>
      <c r="X219" s="129">
        <f t="shared" ref="X219:AG219" si="685">1/X220</f>
        <v>1.7746938775510205E-2</v>
      </c>
      <c r="Y219" s="129">
        <f t="shared" si="685"/>
        <v>1.5432120674356701E-2</v>
      </c>
      <c r="Z219" s="129">
        <f t="shared" si="685"/>
        <v>1.3419235369005827E-2</v>
      </c>
      <c r="AA219" s="129">
        <f t="shared" si="685"/>
        <v>1.1668900320874634E-2</v>
      </c>
      <c r="AB219" s="129">
        <f t="shared" si="685"/>
        <v>1.0146869844238812E-2</v>
      </c>
      <c r="AC219" s="129">
        <f t="shared" si="685"/>
        <v>8.8233650819467928E-3</v>
      </c>
      <c r="AD219" s="129">
        <f t="shared" si="685"/>
        <v>7.6724913756059075E-3</v>
      </c>
      <c r="AE219" s="129">
        <f t="shared" si="685"/>
        <v>6.6717316309616581E-3</v>
      </c>
      <c r="AF219" s="129">
        <f t="shared" si="685"/>
        <v>5.8015057660536174E-3</v>
      </c>
      <c r="AG219" s="129">
        <f t="shared" si="685"/>
        <v>5.0447876226553199E-3</v>
      </c>
      <c r="AH219" s="116" t="e">
        <f t="shared" ref="AH219" si="686">((AG219/J219)^(1/($AG$3-$K$1) ))-1</f>
        <v>#DIV/0!</v>
      </c>
      <c r="AI219" s="21">
        <f t="shared" ref="AI219:AI222" si="687">$O$1</f>
        <v>0.05</v>
      </c>
      <c r="AJ219" s="158" t="e">
        <f>(AJ206)/($O$2*100)</f>
        <v>#DIV/0!</v>
      </c>
    </row>
    <row r="220" spans="2:36">
      <c r="B220" s="10" t="s">
        <v>415</v>
      </c>
      <c r="C220" s="111"/>
      <c r="D220" s="111"/>
      <c r="E220" s="111"/>
      <c r="F220" s="111"/>
      <c r="G220" s="113">
        <f t="shared" ref="G220" si="688">G201/$W$170</f>
        <v>0</v>
      </c>
      <c r="H220" s="113">
        <f t="shared" ref="H220:I220" si="689">H201/$W$170</f>
        <v>0</v>
      </c>
      <c r="I220" s="113">
        <f t="shared" si="689"/>
        <v>0</v>
      </c>
      <c r="J220" s="113">
        <f t="shared" ref="J220:T220" si="690">J201/$W$170</f>
        <v>0</v>
      </c>
      <c r="K220" s="113">
        <f t="shared" si="690"/>
        <v>0</v>
      </c>
      <c r="L220" s="113">
        <f t="shared" si="690"/>
        <v>0</v>
      </c>
      <c r="M220" s="113">
        <f t="shared" si="690"/>
        <v>0</v>
      </c>
      <c r="N220" s="113">
        <f t="shared" si="690"/>
        <v>18.031278748850045</v>
      </c>
      <c r="O220" s="113">
        <f t="shared" si="690"/>
        <v>20.735970561177552</v>
      </c>
      <c r="P220" s="113">
        <f t="shared" si="690"/>
        <v>31.554737810487577</v>
      </c>
      <c r="Q220" s="113">
        <f t="shared" si="690"/>
        <v>33.35786568537258</v>
      </c>
      <c r="R220" s="113">
        <f t="shared" si="690"/>
        <v>28.399264029438822</v>
      </c>
      <c r="S220" s="113">
        <f t="shared" si="690"/>
        <v>28.85004599816007</v>
      </c>
      <c r="T220" s="113">
        <f t="shared" si="690"/>
        <v>55.89696412143514</v>
      </c>
      <c r="U220" s="113">
        <f t="shared" ref="U220" si="691">U201/$W$170</f>
        <v>56.347746090156392</v>
      </c>
      <c r="V220" s="101" t="e">
        <f t="shared" si="597"/>
        <v>#DIV/0!</v>
      </c>
      <c r="W220" s="110"/>
      <c r="X220" s="113">
        <f t="shared" ref="X220:AG220" si="692">X201/$W$170</f>
        <v>56.347746090156392</v>
      </c>
      <c r="Y220" s="113">
        <f t="shared" si="692"/>
        <v>64.799908003679846</v>
      </c>
      <c r="Z220" s="113">
        <f t="shared" si="692"/>
        <v>74.519894204231818</v>
      </c>
      <c r="AA220" s="113">
        <f t="shared" si="692"/>
        <v>85.697878334866587</v>
      </c>
      <c r="AB220" s="113">
        <f t="shared" si="692"/>
        <v>98.552560085096573</v>
      </c>
      <c r="AC220" s="113">
        <f t="shared" si="692"/>
        <v>113.33544409786106</v>
      </c>
      <c r="AD220" s="113">
        <f t="shared" si="692"/>
        <v>130.33576071254021</v>
      </c>
      <c r="AE220" s="113">
        <f t="shared" si="692"/>
        <v>149.88612481942124</v>
      </c>
      <c r="AF220" s="113">
        <f t="shared" si="692"/>
        <v>172.3690435423344</v>
      </c>
      <c r="AG220" s="113">
        <f t="shared" si="692"/>
        <v>198.22440007368454</v>
      </c>
      <c r="AH220" s="116" t="e">
        <f t="shared" ref="AH220:AH222" si="693">((AG220/J220)^(1/($AG$3-$K$1) ))-1</f>
        <v>#DIV/0!</v>
      </c>
      <c r="AI220" s="21">
        <f t="shared" si="687"/>
        <v>0.05</v>
      </c>
      <c r="AJ220" s="158" t="e">
        <f>(AJ206)/($O$2*100)</f>
        <v>#DIV/0!</v>
      </c>
    </row>
    <row r="221" spans="2:36">
      <c r="B221" s="10" t="s">
        <v>437</v>
      </c>
      <c r="C221" s="111"/>
      <c r="D221" s="111"/>
      <c r="E221" s="111"/>
      <c r="F221" s="111"/>
      <c r="G221" s="158">
        <f t="shared" ref="G221" si="694">(G220)/($O$2*100)</f>
        <v>0</v>
      </c>
      <c r="H221" s="158">
        <f t="shared" ref="H221:I221" si="695">(H220)/($O$2*100)</f>
        <v>0</v>
      </c>
      <c r="I221" s="158">
        <f t="shared" si="695"/>
        <v>0</v>
      </c>
      <c r="J221" s="158">
        <f t="shared" ref="J221:T221" si="696">(J220)/($O$2*100)</f>
        <v>0</v>
      </c>
      <c r="K221" s="158">
        <f t="shared" si="696"/>
        <v>0</v>
      </c>
      <c r="L221" s="158">
        <f t="shared" si="696"/>
        <v>0</v>
      </c>
      <c r="M221" s="158">
        <f t="shared" si="696"/>
        <v>0</v>
      </c>
      <c r="N221" s="158">
        <f t="shared" si="696"/>
        <v>1.2020852499233363</v>
      </c>
      <c r="O221" s="158">
        <f t="shared" si="696"/>
        <v>1.3823980374118368</v>
      </c>
      <c r="P221" s="158">
        <f t="shared" si="696"/>
        <v>2.1036491873658383</v>
      </c>
      <c r="Q221" s="158">
        <f t="shared" si="696"/>
        <v>2.2238577123581722</v>
      </c>
      <c r="R221" s="158">
        <f t="shared" si="696"/>
        <v>1.8932842686292548</v>
      </c>
      <c r="S221" s="158">
        <f t="shared" si="696"/>
        <v>1.9233363998773381</v>
      </c>
      <c r="T221" s="158">
        <f t="shared" si="696"/>
        <v>3.7264642747623427</v>
      </c>
      <c r="U221" s="158">
        <f t="shared" ref="U221" si="697">(U220)/($O$2*100)</f>
        <v>3.7565164060104261</v>
      </c>
      <c r="V221" s="101" t="e">
        <f t="shared" si="597"/>
        <v>#DIV/0!</v>
      </c>
      <c r="W221" s="110"/>
      <c r="X221" s="158">
        <f t="shared" ref="X221:AG221" si="698">(X220)/($O$2*100)</f>
        <v>3.7565164060104261</v>
      </c>
      <c r="Y221" s="158">
        <f t="shared" si="698"/>
        <v>4.3199938669119895</v>
      </c>
      <c r="Z221" s="158">
        <f t="shared" si="698"/>
        <v>4.9679929469487876</v>
      </c>
      <c r="AA221" s="158">
        <f t="shared" si="698"/>
        <v>5.7131918889911057</v>
      </c>
      <c r="AB221" s="158">
        <f t="shared" si="698"/>
        <v>6.5701706723397715</v>
      </c>
      <c r="AC221" s="158">
        <f t="shared" si="698"/>
        <v>7.5556962731907369</v>
      </c>
      <c r="AD221" s="158">
        <f t="shared" si="698"/>
        <v>8.6890507141693476</v>
      </c>
      <c r="AE221" s="158">
        <f t="shared" si="698"/>
        <v>9.9924083212947501</v>
      </c>
      <c r="AF221" s="158">
        <f t="shared" si="698"/>
        <v>11.49126956948896</v>
      </c>
      <c r="AG221" s="158">
        <f t="shared" si="698"/>
        <v>13.214960004912303</v>
      </c>
      <c r="AH221" s="116" t="e">
        <f t="shared" si="693"/>
        <v>#DIV/0!</v>
      </c>
      <c r="AI221" s="21">
        <f t="shared" si="687"/>
        <v>0.05</v>
      </c>
      <c r="AJ221" s="158" t="e">
        <f>(AJ207)/($O$2*100)</f>
        <v>#DIV/0!</v>
      </c>
    </row>
    <row r="222" spans="2:36">
      <c r="B222" s="10" t="s">
        <v>439</v>
      </c>
      <c r="C222" s="111"/>
      <c r="D222" s="111"/>
      <c r="E222" s="111"/>
      <c r="F222" s="111"/>
      <c r="G222" s="129">
        <f t="shared" ref="G222" si="699">G221-1</f>
        <v>-1</v>
      </c>
      <c r="H222" s="129">
        <f t="shared" ref="H222:I222" si="700">H221-1</f>
        <v>-1</v>
      </c>
      <c r="I222" s="129">
        <f t="shared" si="700"/>
        <v>-1</v>
      </c>
      <c r="J222" s="129">
        <f t="shared" ref="J222:T222" si="701">J221-1</f>
        <v>-1</v>
      </c>
      <c r="K222" s="129">
        <f t="shared" si="701"/>
        <v>-1</v>
      </c>
      <c r="L222" s="129">
        <f t="shared" si="701"/>
        <v>-1</v>
      </c>
      <c r="M222" s="129">
        <f t="shared" si="701"/>
        <v>-1</v>
      </c>
      <c r="N222" s="129">
        <f t="shared" si="701"/>
        <v>0.20208524992333632</v>
      </c>
      <c r="O222" s="129">
        <f t="shared" si="701"/>
        <v>0.38239803741183676</v>
      </c>
      <c r="P222" s="129">
        <f t="shared" si="701"/>
        <v>1.1036491873658383</v>
      </c>
      <c r="Q222" s="129">
        <f t="shared" si="701"/>
        <v>1.2238577123581722</v>
      </c>
      <c r="R222" s="129">
        <f t="shared" si="701"/>
        <v>0.89328426862925481</v>
      </c>
      <c r="S222" s="129">
        <f t="shared" si="701"/>
        <v>0.92333639987733807</v>
      </c>
      <c r="T222" s="129">
        <f t="shared" si="701"/>
        <v>2.7264642747623427</v>
      </c>
      <c r="U222" s="129">
        <f t="shared" ref="U222" si="702">U221-1</f>
        <v>2.7565164060104261</v>
      </c>
      <c r="V222" s="101" t="e">
        <f t="shared" si="597"/>
        <v>#NUM!</v>
      </c>
      <c r="W222" s="110"/>
      <c r="X222" s="129">
        <f t="shared" ref="X222:AG222" si="703">X221-1</f>
        <v>2.7565164060104261</v>
      </c>
      <c r="Y222" s="129">
        <f t="shared" si="703"/>
        <v>3.3199938669119895</v>
      </c>
      <c r="Z222" s="129">
        <f t="shared" si="703"/>
        <v>3.9679929469487876</v>
      </c>
      <c r="AA222" s="129">
        <f t="shared" si="703"/>
        <v>4.7131918889911057</v>
      </c>
      <c r="AB222" s="129">
        <f t="shared" si="703"/>
        <v>5.5701706723397715</v>
      </c>
      <c r="AC222" s="129">
        <f t="shared" si="703"/>
        <v>6.5556962731907369</v>
      </c>
      <c r="AD222" s="129">
        <f t="shared" si="703"/>
        <v>7.6890507141693476</v>
      </c>
      <c r="AE222" s="129">
        <f t="shared" si="703"/>
        <v>8.9924083212947501</v>
      </c>
      <c r="AF222" s="129">
        <f t="shared" si="703"/>
        <v>10.49126956948896</v>
      </c>
      <c r="AG222" s="129">
        <f t="shared" si="703"/>
        <v>12.214960004912303</v>
      </c>
      <c r="AH222" s="116">
        <f t="shared" si="693"/>
        <v>-2.1586034741611977</v>
      </c>
      <c r="AI222" s="21">
        <f t="shared" si="687"/>
        <v>0.05</v>
      </c>
      <c r="AJ222" s="158" t="e">
        <f>(AJ208)/($O$2*100)</f>
        <v>#DIV/0!</v>
      </c>
    </row>
    <row r="223" spans="2:36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6"/>
      <c r="O223" s="177"/>
      <c r="P223" s="113"/>
      <c r="Q223" s="113"/>
      <c r="R223" s="113"/>
      <c r="S223" s="113"/>
      <c r="T223" s="113"/>
      <c r="U223" s="113"/>
      <c r="V223" s="110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>
      <c r="B224" s="10" t="s">
        <v>414</v>
      </c>
      <c r="C224" s="111"/>
      <c r="D224" s="111"/>
      <c r="E224" s="111"/>
      <c r="F224" s="111"/>
      <c r="G224" s="129" t="e">
        <f t="shared" ref="G224:U224" si="704">1/G225</f>
        <v>#DIV/0!</v>
      </c>
      <c r="H224" s="129" t="e">
        <f t="shared" si="704"/>
        <v>#DIV/0!</v>
      </c>
      <c r="I224" s="129" t="e">
        <f t="shared" si="704"/>
        <v>#DIV/0!</v>
      </c>
      <c r="J224" s="129" t="e">
        <f t="shared" si="704"/>
        <v>#DIV/0!</v>
      </c>
      <c r="K224" s="129" t="e">
        <f t="shared" si="704"/>
        <v>#DIV/0!</v>
      </c>
      <c r="L224" s="129" t="e">
        <f t="shared" si="704"/>
        <v>#DIV/0!</v>
      </c>
      <c r="M224" s="129" t="e">
        <f t="shared" si="704"/>
        <v>#DIV/0!</v>
      </c>
      <c r="N224" s="129">
        <f t="shared" si="704"/>
        <v>0.11628571428571428</v>
      </c>
      <c r="O224" s="129">
        <f t="shared" si="704"/>
        <v>0.10111801242236025</v>
      </c>
      <c r="P224" s="129">
        <f t="shared" si="704"/>
        <v>6.6448979591836738E-2</v>
      </c>
      <c r="Q224" s="129">
        <f t="shared" si="704"/>
        <v>6.2857142857142848E-2</v>
      </c>
      <c r="R224" s="129">
        <f t="shared" si="704"/>
        <v>7.3832199546485261E-2</v>
      </c>
      <c r="S224" s="129">
        <f t="shared" si="704"/>
        <v>7.2678571428571426E-2</v>
      </c>
      <c r="T224" s="129">
        <f t="shared" si="704"/>
        <v>3.7511520737327192E-2</v>
      </c>
      <c r="U224" s="129">
        <f t="shared" si="704"/>
        <v>3.7211428571428569E-2</v>
      </c>
      <c r="V224" s="101" t="e">
        <f t="shared" si="597"/>
        <v>#DIV/0!</v>
      </c>
      <c r="W224" s="110"/>
      <c r="X224" s="129">
        <f t="shared" ref="X224:AG224" si="705">1/X225</f>
        <v>3.7211428571428569E-2</v>
      </c>
      <c r="Y224" s="129">
        <f t="shared" si="705"/>
        <v>3.2357763975155281E-2</v>
      </c>
      <c r="Z224" s="129">
        <f t="shared" si="705"/>
        <v>2.8137186065352416E-2</v>
      </c>
      <c r="AA224" s="129">
        <f t="shared" si="705"/>
        <v>2.4467118317697756E-2</v>
      </c>
      <c r="AB224" s="129">
        <f t="shared" si="705"/>
        <v>2.1275755058867616E-2</v>
      </c>
      <c r="AC224" s="129">
        <f t="shared" si="705"/>
        <v>1.8500656572928362E-2</v>
      </c>
      <c r="AD224" s="129">
        <f t="shared" si="705"/>
        <v>1.6087527454720314E-2</v>
      </c>
      <c r="AE224" s="129">
        <f t="shared" si="705"/>
        <v>1.398915430845245E-2</v>
      </c>
      <c r="AF224" s="129">
        <f t="shared" si="705"/>
        <v>1.2164482007349956E-2</v>
      </c>
      <c r="AG224" s="129">
        <f t="shared" si="705"/>
        <v>1.0577810441173875E-2</v>
      </c>
      <c r="AH224" s="116" t="e">
        <f t="shared" ref="AH224" si="706">((AG224/J224)^(1/($AG$3-$K$1) ))-1</f>
        <v>#DIV/0!</v>
      </c>
      <c r="AI224" s="21">
        <f t="shared" ref="AI224" si="707">$O$1</f>
        <v>0.05</v>
      </c>
      <c r="AJ224" s="158">
        <f>(AJ210)/($O$2*100)</f>
        <v>0</v>
      </c>
    </row>
    <row r="225" spans="2:36">
      <c r="B225" s="10" t="s">
        <v>416</v>
      </c>
      <c r="C225" s="111"/>
      <c r="D225" s="111"/>
      <c r="E225" s="111"/>
      <c r="F225" s="111"/>
      <c r="G225" s="113">
        <f t="shared" ref="G225" si="708">G201/$T$170</f>
        <v>0</v>
      </c>
      <c r="H225" s="113">
        <f t="shared" ref="H225:I225" si="709">H201/$T$170</f>
        <v>0</v>
      </c>
      <c r="I225" s="113">
        <f t="shared" si="709"/>
        <v>0</v>
      </c>
      <c r="J225" s="113">
        <f t="shared" ref="J225:S225" si="710">J201/$T$170</f>
        <v>0</v>
      </c>
      <c r="K225" s="113">
        <f t="shared" si="710"/>
        <v>0</v>
      </c>
      <c r="L225" s="113">
        <f t="shared" si="710"/>
        <v>0</v>
      </c>
      <c r="M225" s="113">
        <f t="shared" si="710"/>
        <v>0</v>
      </c>
      <c r="N225" s="113">
        <f t="shared" si="710"/>
        <v>8.5995085995085994</v>
      </c>
      <c r="O225" s="113">
        <f t="shared" si="710"/>
        <v>9.8894348894348898</v>
      </c>
      <c r="P225" s="113">
        <f t="shared" si="710"/>
        <v>15.04914004914005</v>
      </c>
      <c r="Q225" s="113">
        <f t="shared" si="710"/>
        <v>15.90909090909091</v>
      </c>
      <c r="R225" s="113">
        <f t="shared" si="710"/>
        <v>13.544226044226045</v>
      </c>
      <c r="S225" s="113">
        <f t="shared" si="710"/>
        <v>13.759213759213759</v>
      </c>
      <c r="T225" s="113">
        <f>T201/$T$170</f>
        <v>26.658476658476658</v>
      </c>
      <c r="U225" s="113">
        <f>U201/$T$170</f>
        <v>26.873464373464376</v>
      </c>
      <c r="V225" s="101" t="e">
        <f t="shared" si="597"/>
        <v>#DIV/0!</v>
      </c>
      <c r="W225" s="110"/>
      <c r="X225" s="113">
        <f t="shared" ref="X225:AG225" si="711">X201/$T$170</f>
        <v>26.873464373464376</v>
      </c>
      <c r="Y225" s="113">
        <f t="shared" si="711"/>
        <v>30.904484029484031</v>
      </c>
      <c r="Z225" s="113">
        <f t="shared" si="711"/>
        <v>35.540156633906633</v>
      </c>
      <c r="AA225" s="113">
        <f t="shared" si="711"/>
        <v>40.871180128992627</v>
      </c>
      <c r="AB225" s="113">
        <f t="shared" si="711"/>
        <v>47.001857148341514</v>
      </c>
      <c r="AC225" s="113">
        <f t="shared" si="711"/>
        <v>54.052135720592744</v>
      </c>
      <c r="AD225" s="113">
        <f t="shared" si="711"/>
        <v>62.159956078681653</v>
      </c>
      <c r="AE225" s="113">
        <f t="shared" si="711"/>
        <v>71.483949490483894</v>
      </c>
      <c r="AF225" s="113">
        <f t="shared" si="711"/>
        <v>82.206541914056473</v>
      </c>
      <c r="AG225" s="113">
        <f t="shared" si="711"/>
        <v>94.537523201164944</v>
      </c>
      <c r="AH225" s="116" t="e">
        <f t="shared" ref="AH225:AH227" si="712">((AG225/J225)^(1/($AG$3-$K$1) ))-1</f>
        <v>#DIV/0!</v>
      </c>
      <c r="AI225" s="21">
        <f t="shared" ref="AI225:AI227" si="713">$O$1</f>
        <v>0.05</v>
      </c>
      <c r="AJ225" s="158">
        <f>(AJ210)/($O$2*100)</f>
        <v>0</v>
      </c>
    </row>
    <row r="226" spans="2:36">
      <c r="B226" s="10" t="s">
        <v>437</v>
      </c>
      <c r="C226" s="111"/>
      <c r="D226" s="111"/>
      <c r="E226" s="111"/>
      <c r="F226" s="111"/>
      <c r="G226" s="158">
        <f t="shared" ref="G226" si="714">(G225)/($O$2*100)</f>
        <v>0</v>
      </c>
      <c r="H226" s="158">
        <f t="shared" ref="H226:I226" si="715">(H225)/($O$2*100)</f>
        <v>0</v>
      </c>
      <c r="I226" s="158">
        <f t="shared" si="715"/>
        <v>0</v>
      </c>
      <c r="J226" s="158">
        <f t="shared" ref="J226:T226" si="716">(J225)/($O$2*100)</f>
        <v>0</v>
      </c>
      <c r="K226" s="158">
        <f t="shared" si="716"/>
        <v>0</v>
      </c>
      <c r="L226" s="158">
        <f t="shared" si="716"/>
        <v>0</v>
      </c>
      <c r="M226" s="158">
        <f t="shared" si="716"/>
        <v>0</v>
      </c>
      <c r="N226" s="158">
        <f t="shared" si="716"/>
        <v>0.57330057330057327</v>
      </c>
      <c r="O226" s="158">
        <f t="shared" si="716"/>
        <v>0.65929565929565936</v>
      </c>
      <c r="P226" s="158">
        <f t="shared" si="716"/>
        <v>1.0032760032760033</v>
      </c>
      <c r="Q226" s="158">
        <f t="shared" si="716"/>
        <v>1.0606060606060608</v>
      </c>
      <c r="R226" s="158">
        <f t="shared" si="716"/>
        <v>0.90294840294840306</v>
      </c>
      <c r="S226" s="158">
        <f t="shared" si="716"/>
        <v>0.91728091728091732</v>
      </c>
      <c r="T226" s="158">
        <f t="shared" si="716"/>
        <v>1.7772317772317772</v>
      </c>
      <c r="U226" s="158">
        <f t="shared" ref="U226" si="717">(U225)/($O$2*100)</f>
        <v>1.7915642915642918</v>
      </c>
      <c r="V226" s="101" t="e">
        <f t="shared" si="597"/>
        <v>#DIV/0!</v>
      </c>
      <c r="W226" s="110"/>
      <c r="X226" s="158">
        <f t="shared" ref="X226:AG226" si="718">(X225)/($O$2*100)</f>
        <v>1.7915642915642918</v>
      </c>
      <c r="Y226" s="158">
        <f t="shared" si="718"/>
        <v>2.0602989352989356</v>
      </c>
      <c r="Z226" s="158">
        <f t="shared" si="718"/>
        <v>2.3693437755937756</v>
      </c>
      <c r="AA226" s="158">
        <f t="shared" si="718"/>
        <v>2.724745341932842</v>
      </c>
      <c r="AB226" s="158">
        <f t="shared" si="718"/>
        <v>3.1334571432227678</v>
      </c>
      <c r="AC226" s="158">
        <f t="shared" si="718"/>
        <v>3.6034757147061831</v>
      </c>
      <c r="AD226" s="158">
        <f t="shared" si="718"/>
        <v>4.1439970719121098</v>
      </c>
      <c r="AE226" s="158">
        <f t="shared" si="718"/>
        <v>4.7655966326989265</v>
      </c>
      <c r="AF226" s="158">
        <f t="shared" si="718"/>
        <v>5.480436127603765</v>
      </c>
      <c r="AG226" s="158">
        <f t="shared" si="718"/>
        <v>6.3025015467443293</v>
      </c>
      <c r="AH226" s="116" t="e">
        <f t="shared" si="712"/>
        <v>#DIV/0!</v>
      </c>
      <c r="AI226" s="21">
        <f t="shared" si="713"/>
        <v>0.05</v>
      </c>
      <c r="AJ226" s="158" t="e">
        <f>(#REF!)/($O$2*100)</f>
        <v>#REF!</v>
      </c>
    </row>
    <row r="227" spans="2:36">
      <c r="B227" s="10" t="s">
        <v>439</v>
      </c>
      <c r="C227" s="111"/>
      <c r="D227" s="111"/>
      <c r="E227" s="111"/>
      <c r="F227" s="111"/>
      <c r="G227" s="129">
        <f t="shared" ref="G227" si="719">G226-1</f>
        <v>-1</v>
      </c>
      <c r="H227" s="129">
        <f t="shared" ref="H227:I227" si="720">H226-1</f>
        <v>-1</v>
      </c>
      <c r="I227" s="129">
        <f t="shared" si="720"/>
        <v>-1</v>
      </c>
      <c r="J227" s="129">
        <f t="shared" ref="J227:T227" si="721">J226-1</f>
        <v>-1</v>
      </c>
      <c r="K227" s="129">
        <f t="shared" si="721"/>
        <v>-1</v>
      </c>
      <c r="L227" s="129">
        <f t="shared" si="721"/>
        <v>-1</v>
      </c>
      <c r="M227" s="129">
        <f t="shared" si="721"/>
        <v>-1</v>
      </c>
      <c r="N227" s="129">
        <f t="shared" si="721"/>
        <v>-0.42669942669942673</v>
      </c>
      <c r="O227" s="129">
        <f t="shared" si="721"/>
        <v>-0.34070434070434064</v>
      </c>
      <c r="P227" s="129">
        <f t="shared" si="721"/>
        <v>3.2760032760033031E-3</v>
      </c>
      <c r="Q227" s="129">
        <f t="shared" si="721"/>
        <v>6.0606060606060774E-2</v>
      </c>
      <c r="R227" s="129">
        <f t="shared" si="721"/>
        <v>-9.7051597051596938E-2</v>
      </c>
      <c r="S227" s="129">
        <f t="shared" si="721"/>
        <v>-8.2719082719082682E-2</v>
      </c>
      <c r="T227" s="129">
        <f t="shared" si="721"/>
        <v>0.77723177723177717</v>
      </c>
      <c r="U227" s="129">
        <f t="shared" ref="U227" si="722">U226-1</f>
        <v>0.79156429156429176</v>
      </c>
      <c r="V227" s="101" t="e">
        <f t="shared" si="597"/>
        <v>#NUM!</v>
      </c>
      <c r="W227" s="110"/>
      <c r="X227" s="129">
        <f t="shared" ref="X227:AG227" si="723">X226-1</f>
        <v>0.79156429156429176</v>
      </c>
      <c r="Y227" s="129">
        <f t="shared" si="723"/>
        <v>1.0602989352989356</v>
      </c>
      <c r="Z227" s="129">
        <f t="shared" si="723"/>
        <v>1.3693437755937756</v>
      </c>
      <c r="AA227" s="129">
        <f t="shared" si="723"/>
        <v>1.724745341932842</v>
      </c>
      <c r="AB227" s="129">
        <f t="shared" si="723"/>
        <v>2.1334571432227678</v>
      </c>
      <c r="AC227" s="129">
        <f t="shared" si="723"/>
        <v>2.6034757147061831</v>
      </c>
      <c r="AD227" s="129">
        <f t="shared" si="723"/>
        <v>3.1439970719121098</v>
      </c>
      <c r="AE227" s="129">
        <f t="shared" si="723"/>
        <v>3.7655966326989265</v>
      </c>
      <c r="AF227" s="129">
        <f t="shared" si="723"/>
        <v>4.480436127603765</v>
      </c>
      <c r="AG227" s="129">
        <f t="shared" si="723"/>
        <v>5.3025015467443293</v>
      </c>
      <c r="AH227" s="116">
        <f t="shared" si="712"/>
        <v>-2.1031041485250777</v>
      </c>
      <c r="AI227" s="21">
        <f t="shared" si="713"/>
        <v>0.05</v>
      </c>
      <c r="AJ227" s="158" t="e">
        <f>(AJ211)/($O$2*100)</f>
        <v>#DIV/0!</v>
      </c>
    </row>
    <row r="228" spans="2:36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6"/>
      <c r="O228" s="177"/>
      <c r="P228" s="113"/>
      <c r="Q228" s="113"/>
      <c r="R228" s="113"/>
      <c r="S228" s="113"/>
      <c r="T228" s="113"/>
      <c r="U228" s="113"/>
      <c r="V228" s="110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>
      <c r="B229" s="10" t="s">
        <v>414</v>
      </c>
      <c r="C229" s="111"/>
      <c r="D229" s="111"/>
      <c r="E229" s="111"/>
      <c r="F229" s="111"/>
      <c r="G229" s="129" t="e">
        <f t="shared" ref="G229:S229" si="724">1/G230</f>
        <v>#DIV/0!</v>
      </c>
      <c r="H229" s="129" t="e">
        <f t="shared" si="724"/>
        <v>#DIV/0!</v>
      </c>
      <c r="I229" s="129" t="e">
        <f t="shared" si="724"/>
        <v>#DIV/0!</v>
      </c>
      <c r="J229" s="129" t="e">
        <f t="shared" si="724"/>
        <v>#DIV/0!</v>
      </c>
      <c r="K229" s="129" t="e">
        <f t="shared" si="724"/>
        <v>#DIV/0!</v>
      </c>
      <c r="L229" s="129" t="e">
        <f t="shared" si="724"/>
        <v>#DIV/0!</v>
      </c>
      <c r="M229" s="129" t="e">
        <f t="shared" si="724"/>
        <v>#DIV/0!</v>
      </c>
      <c r="N229" s="129">
        <f t="shared" si="724"/>
        <v>0.14043190967719976</v>
      </c>
      <c r="O229" s="129">
        <f t="shared" si="724"/>
        <v>0.12211470406713022</v>
      </c>
      <c r="P229" s="129">
        <f t="shared" si="724"/>
        <v>8.0246805529828436E-2</v>
      </c>
      <c r="Q229" s="129">
        <f t="shared" si="724"/>
        <v>7.5909140366053923E-2</v>
      </c>
      <c r="R229" s="129">
        <f t="shared" si="724"/>
        <v>8.9163117255364924E-2</v>
      </c>
      <c r="S229" s="129">
        <f t="shared" si="724"/>
        <v>8.7769943548249851E-2</v>
      </c>
      <c r="T229" s="129">
        <f>1/T230</f>
        <v>4.5300616024903151E-2</v>
      </c>
      <c r="U229" s="129">
        <f>1/U230</f>
        <v>4.4938211096703921E-2</v>
      </c>
      <c r="V229" s="101" t="e">
        <f t="shared" ref="V229:V232" si="725">((T229/H229)^(1/($K$2-$K$1) ))-1</f>
        <v>#DIV/0!</v>
      </c>
      <c r="W229" s="110"/>
      <c r="X229" s="129">
        <f t="shared" ref="X229:AG229" si="726">1/X230</f>
        <v>1.4432197198879548</v>
      </c>
      <c r="Y229" s="129">
        <f t="shared" si="726"/>
        <v>1.4149212940077989</v>
      </c>
      <c r="Z229" s="129">
        <f t="shared" si="726"/>
        <v>1.3871777392233322</v>
      </c>
      <c r="AA229" s="129">
        <f t="shared" si="726"/>
        <v>1.3599781757091494</v>
      </c>
      <c r="AB229" s="129">
        <f t="shared" si="726"/>
        <v>1.3333119369697541</v>
      </c>
      <c r="AC229" s="129">
        <f t="shared" si="726"/>
        <v>1.3071685656566217</v>
      </c>
      <c r="AD229" s="129">
        <f t="shared" si="726"/>
        <v>1.2815378094672762</v>
      </c>
      <c r="AE229" s="129">
        <f t="shared" si="726"/>
        <v>1.2564096171247805</v>
      </c>
      <c r="AF229" s="129">
        <f t="shared" si="726"/>
        <v>1.2317741344360593</v>
      </c>
      <c r="AG229" s="129">
        <f t="shared" si="726"/>
        <v>1.2076217004275092</v>
      </c>
      <c r="AH229" s="116" t="e">
        <f t="shared" ref="AH229:AH232" si="727">((AG229/J229)^(1/($AG$3-$K$1) ))-1</f>
        <v>#DIV/0!</v>
      </c>
      <c r="AI229" s="21">
        <f t="shared" ref="AI229:AI232" si="728">$O$1</f>
        <v>0.05</v>
      </c>
      <c r="AJ229" s="158" t="e">
        <f>(AJ215)/($O$2*100)</f>
        <v>#DIV/0!</v>
      </c>
    </row>
    <row r="230" spans="2:36">
      <c r="B230" s="10" t="s">
        <v>509</v>
      </c>
      <c r="C230" s="111"/>
      <c r="D230" s="111"/>
      <c r="E230" s="111"/>
      <c r="F230" s="111"/>
      <c r="G230" s="113">
        <f t="shared" ref="G230" si="729">G201/$X$171</f>
        <v>0</v>
      </c>
      <c r="H230" s="113">
        <f t="shared" ref="H230:S230" si="730">H201/$X$171</f>
        <v>0</v>
      </c>
      <c r="I230" s="113">
        <f t="shared" si="730"/>
        <v>0</v>
      </c>
      <c r="J230" s="113">
        <f t="shared" si="730"/>
        <v>0</v>
      </c>
      <c r="K230" s="113">
        <f t="shared" si="730"/>
        <v>0</v>
      </c>
      <c r="L230" s="113">
        <f t="shared" si="730"/>
        <v>0</v>
      </c>
      <c r="M230" s="113">
        <f t="shared" si="730"/>
        <v>0</v>
      </c>
      <c r="N230" s="113">
        <f t="shared" si="730"/>
        <v>7.1208887089737978</v>
      </c>
      <c r="O230" s="113">
        <f t="shared" si="730"/>
        <v>8.1890220153198676</v>
      </c>
      <c r="P230" s="113">
        <f t="shared" si="730"/>
        <v>12.461555240704147</v>
      </c>
      <c r="Q230" s="113">
        <f t="shared" si="730"/>
        <v>13.173644111601526</v>
      </c>
      <c r="R230" s="113">
        <f t="shared" si="730"/>
        <v>11.215399716633732</v>
      </c>
      <c r="S230" s="113">
        <f t="shared" si="730"/>
        <v>11.393421934358077</v>
      </c>
      <c r="T230" s="113">
        <f>T201/$X$171</f>
        <v>22.074754997818772</v>
      </c>
      <c r="U230" s="113">
        <f>U201/$X$171</f>
        <v>22.252777215543119</v>
      </c>
      <c r="V230" s="101" t="e">
        <f t="shared" si="725"/>
        <v>#DIV/0!</v>
      </c>
      <c r="W230" s="110"/>
      <c r="X230" s="113">
        <f t="shared" ref="X230:AG230" si="731">X206/$T$170</f>
        <v>0.69289518859791877</v>
      </c>
      <c r="Y230" s="113">
        <f t="shared" si="731"/>
        <v>0.70675309236987716</v>
      </c>
      <c r="Z230" s="113">
        <f t="shared" si="731"/>
        <v>0.7208881542172747</v>
      </c>
      <c r="AA230" s="113">
        <f t="shared" si="731"/>
        <v>0.73530591730162009</v>
      </c>
      <c r="AB230" s="113">
        <f t="shared" si="731"/>
        <v>0.75001203564765262</v>
      </c>
      <c r="AC230" s="113">
        <f t="shared" si="731"/>
        <v>0.76501227636060576</v>
      </c>
      <c r="AD230" s="113">
        <f t="shared" si="731"/>
        <v>0.78031252188781774</v>
      </c>
      <c r="AE230" s="113">
        <f t="shared" si="731"/>
        <v>0.79591877232557418</v>
      </c>
      <c r="AF230" s="113">
        <f t="shared" si="731"/>
        <v>0.81183714777208571</v>
      </c>
      <c r="AG230" s="113">
        <f t="shared" si="731"/>
        <v>0.82807389072752735</v>
      </c>
      <c r="AH230" s="116" t="e">
        <f t="shared" si="727"/>
        <v>#DIV/0!</v>
      </c>
      <c r="AI230" s="21">
        <f t="shared" si="728"/>
        <v>0.05</v>
      </c>
      <c r="AJ230" s="158" t="e">
        <f>(AJ215)/($O$2*100)</f>
        <v>#DIV/0!</v>
      </c>
    </row>
    <row r="231" spans="2:36">
      <c r="B231" s="10" t="s">
        <v>437</v>
      </c>
      <c r="C231" s="111"/>
      <c r="D231" s="111"/>
      <c r="E231" s="111"/>
      <c r="F231" s="111"/>
      <c r="G231" s="158">
        <f t="shared" ref="G231" si="732">(G230)/($O$2*100)</f>
        <v>0</v>
      </c>
      <c r="H231" s="158">
        <f t="shared" ref="H231:T231" si="733">(H230)/($O$2*100)</f>
        <v>0</v>
      </c>
      <c r="I231" s="158">
        <f t="shared" si="733"/>
        <v>0</v>
      </c>
      <c r="J231" s="158">
        <f t="shared" si="733"/>
        <v>0</v>
      </c>
      <c r="K231" s="158">
        <f t="shared" si="733"/>
        <v>0</v>
      </c>
      <c r="L231" s="158">
        <f t="shared" si="733"/>
        <v>0</v>
      </c>
      <c r="M231" s="158">
        <f t="shared" si="733"/>
        <v>0</v>
      </c>
      <c r="N231" s="158">
        <f t="shared" si="733"/>
        <v>0.47472591393158653</v>
      </c>
      <c r="O231" s="158">
        <f t="shared" si="733"/>
        <v>0.54593480102132452</v>
      </c>
      <c r="P231" s="158">
        <f t="shared" si="733"/>
        <v>0.8307703493802765</v>
      </c>
      <c r="Q231" s="158">
        <f t="shared" si="733"/>
        <v>0.87824294077343501</v>
      </c>
      <c r="R231" s="158">
        <f t="shared" si="733"/>
        <v>0.74769331444224874</v>
      </c>
      <c r="S231" s="158">
        <f t="shared" si="733"/>
        <v>0.75956146229053845</v>
      </c>
      <c r="T231" s="158">
        <f t="shared" si="733"/>
        <v>1.471650333187918</v>
      </c>
      <c r="U231" s="158">
        <f t="shared" ref="U231" si="734">(U230)/($O$2*100)</f>
        <v>1.4835184810362079</v>
      </c>
      <c r="V231" s="101" t="e">
        <f t="shared" si="725"/>
        <v>#DIV/0!</v>
      </c>
      <c r="W231" s="110"/>
      <c r="X231" s="158">
        <f t="shared" ref="X231:AG231" si="735">(X230)/($O$2*100)</f>
        <v>4.6193012573194588E-2</v>
      </c>
      <c r="Y231" s="158">
        <f t="shared" si="735"/>
        <v>4.7116872824658478E-2</v>
      </c>
      <c r="Z231" s="158">
        <f t="shared" si="735"/>
        <v>4.8059210281151649E-2</v>
      </c>
      <c r="AA231" s="158">
        <f t="shared" si="735"/>
        <v>4.9020394486774671E-2</v>
      </c>
      <c r="AB231" s="158">
        <f t="shared" si="735"/>
        <v>5.0000802376510174E-2</v>
      </c>
      <c r="AC231" s="158">
        <f t="shared" si="735"/>
        <v>5.1000818424040383E-2</v>
      </c>
      <c r="AD231" s="158">
        <f t="shared" si="735"/>
        <v>5.2020834792521183E-2</v>
      </c>
      <c r="AE231" s="158">
        <f t="shared" si="735"/>
        <v>5.3061251488371611E-2</v>
      </c>
      <c r="AF231" s="158">
        <f t="shared" si="735"/>
        <v>5.4122476518139048E-2</v>
      </c>
      <c r="AG231" s="158">
        <f t="shared" si="735"/>
        <v>5.5204926048501822E-2</v>
      </c>
      <c r="AH231" s="116" t="e">
        <f t="shared" si="727"/>
        <v>#DIV/0!</v>
      </c>
      <c r="AI231" s="21">
        <f t="shared" si="728"/>
        <v>0.05</v>
      </c>
      <c r="AJ231" s="158" t="e">
        <f>(#REF!)/($O$2*100)</f>
        <v>#REF!</v>
      </c>
    </row>
    <row r="232" spans="2:36">
      <c r="B232" s="10" t="s">
        <v>439</v>
      </c>
      <c r="C232" s="111"/>
      <c r="D232" s="111"/>
      <c r="E232" s="111"/>
      <c r="F232" s="111"/>
      <c r="G232" s="129">
        <f t="shared" ref="G232" si="736">G231-1</f>
        <v>-1</v>
      </c>
      <c r="H232" s="129">
        <f t="shared" ref="H232:T232" si="737">H231-1</f>
        <v>-1</v>
      </c>
      <c r="I232" s="129">
        <f t="shared" si="737"/>
        <v>-1</v>
      </c>
      <c r="J232" s="129">
        <f t="shared" si="737"/>
        <v>-1</v>
      </c>
      <c r="K232" s="129">
        <f t="shared" si="737"/>
        <v>-1</v>
      </c>
      <c r="L232" s="129">
        <f t="shared" si="737"/>
        <v>-1</v>
      </c>
      <c r="M232" s="129">
        <f t="shared" si="737"/>
        <v>-1</v>
      </c>
      <c r="N232" s="129">
        <f t="shared" si="737"/>
        <v>-0.52527408606841353</v>
      </c>
      <c r="O232" s="129">
        <f t="shared" si="737"/>
        <v>-0.45406519897867548</v>
      </c>
      <c r="P232" s="129">
        <f t="shared" si="737"/>
        <v>-0.1692296506197235</v>
      </c>
      <c r="Q232" s="129">
        <f t="shared" si="737"/>
        <v>-0.12175705922656499</v>
      </c>
      <c r="R232" s="129">
        <f t="shared" si="737"/>
        <v>-0.25230668555775126</v>
      </c>
      <c r="S232" s="129">
        <f t="shared" si="737"/>
        <v>-0.24043853770946155</v>
      </c>
      <c r="T232" s="129">
        <f t="shared" si="737"/>
        <v>0.47165033318791805</v>
      </c>
      <c r="U232" s="129">
        <f t="shared" ref="U232" si="738">U231-1</f>
        <v>0.48351848103620787</v>
      </c>
      <c r="V232" s="101" t="e">
        <f t="shared" si="725"/>
        <v>#NUM!</v>
      </c>
      <c r="W232" s="110"/>
      <c r="X232" s="129">
        <f t="shared" ref="X232:AG232" si="739">X231-1</f>
        <v>-0.95380698742680536</v>
      </c>
      <c r="Y232" s="129">
        <f t="shared" si="739"/>
        <v>-0.95288312717534152</v>
      </c>
      <c r="Z232" s="129">
        <f t="shared" si="739"/>
        <v>-0.95194078971884832</v>
      </c>
      <c r="AA232" s="129">
        <f t="shared" si="739"/>
        <v>-0.95097960551322536</v>
      </c>
      <c r="AB232" s="129">
        <f t="shared" si="739"/>
        <v>-0.94999919762348983</v>
      </c>
      <c r="AC232" s="129">
        <f t="shared" si="739"/>
        <v>-0.94899918157595964</v>
      </c>
      <c r="AD232" s="129">
        <f t="shared" si="739"/>
        <v>-0.94797916520747882</v>
      </c>
      <c r="AE232" s="129">
        <f t="shared" si="739"/>
        <v>-0.9469387485116284</v>
      </c>
      <c r="AF232" s="129">
        <f t="shared" si="739"/>
        <v>-0.94587752348186094</v>
      </c>
      <c r="AG232" s="129">
        <f t="shared" si="739"/>
        <v>-0.9447950739514982</v>
      </c>
      <c r="AH232" s="116">
        <f t="shared" si="727"/>
        <v>-3.3348521614222637E-3</v>
      </c>
      <c r="AI232" s="21">
        <f t="shared" si="728"/>
        <v>0.05</v>
      </c>
      <c r="AJ232" s="158" t="e">
        <f>(AJ216)/($O$2*100)</f>
        <v>#DIV/0!</v>
      </c>
    </row>
    <row r="233" spans="2:36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6"/>
      <c r="O233" s="177"/>
      <c r="P233" s="113"/>
      <c r="Q233" s="113"/>
      <c r="R233" s="113"/>
      <c r="S233" s="113"/>
      <c r="T233" s="113"/>
      <c r="U233" s="113"/>
      <c r="V233" s="110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6"/>
      <c r="O234" s="177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6"/>
      <c r="O235" s="177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2" t="s">
        <v>296</v>
      </c>
      <c r="O236" s="313"/>
      <c r="P236" s="10"/>
      <c r="Q236" s="10"/>
      <c r="R236" s="10"/>
      <c r="S236" s="93" t="s">
        <v>375</v>
      </c>
      <c r="T236" s="93" t="s">
        <v>374</v>
      </c>
      <c r="U236" s="93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(T201-W188)/T201</f>
        <v>0.93113594399585364</v>
      </c>
      <c r="T237" s="110">
        <f>(T201-X188)/T201</f>
        <v>0.95460949295041786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>
        <f>(S201-(N238*W179))/S201</f>
        <v>52.475134550643936</v>
      </c>
      <c r="Q238" s="10"/>
      <c r="R238" s="10"/>
      <c r="S238" s="110">
        <f>(T201-W179)/T201</f>
        <v>27.567811380977517</v>
      </c>
      <c r="T238" s="110">
        <f>(T201-X179)/T201</f>
        <v>3.3102444679110881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>
        <f>(S201-(N239*W172))/S201</f>
        <v>-7.8216795324184112</v>
      </c>
      <c r="Q239" s="10"/>
      <c r="R239" s="10"/>
      <c r="S239" s="110">
        <f>(T201-W172)/T201</f>
        <v>-3.5531249199578898</v>
      </c>
      <c r="T239" s="110">
        <f>(T201-X172)/T201</f>
        <v>0.60407609391670536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>
        <f>(S201-(N240*W185))/S201</f>
        <v>0.29992282410311977</v>
      </c>
      <c r="Q240" s="10"/>
      <c r="R240" s="10"/>
      <c r="S240" s="110">
        <f>(T201-W185)/T201</f>
        <v>0.63866984469838439</v>
      </c>
      <c r="T240" s="110">
        <f>(T201-X185)/T201</f>
        <v>0.96857998649551169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>
        <f>(S201-(N241*W198))/S201</f>
        <v>1</v>
      </c>
      <c r="Q241" s="10"/>
      <c r="R241" s="10"/>
      <c r="S241" s="110">
        <f>(T201-W198)/T201</f>
        <v>1</v>
      </c>
      <c r="T241" s="110">
        <f>(T201-X198)/T201</f>
        <v>1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T201/W171</f>
        <v>1.9195439128538061</v>
      </c>
      <c r="T242" s="15">
        <f>T201/X171</f>
        <v>22.074754997818772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391</v>
      </c>
      <c r="K243" s="167"/>
      <c r="L243" s="166" t="s">
        <v>392</v>
      </c>
      <c r="M243" s="167"/>
      <c r="N243" s="10"/>
      <c r="O243" s="166" t="s">
        <v>393</v>
      </c>
      <c r="P243" s="167"/>
      <c r="Q243" s="166" t="s">
        <v>394</v>
      </c>
      <c r="R243" s="167"/>
      <c r="S243" s="129">
        <f>1/S242</f>
        <v>0.52095708428638632</v>
      </c>
      <c r="T243" s="129">
        <f>1/T242</f>
        <v>4.5300616024903151E-2</v>
      </c>
      <c r="U243" s="129"/>
      <c r="V243" s="10"/>
      <c r="W243" s="10"/>
      <c r="X243" s="111" t="e">
        <f>U201-X244</f>
        <v>#DIV/0!</v>
      </c>
      <c r="Y243" s="162" t="e">
        <f>X243-Y244</f>
        <v>#DIV/0!</v>
      </c>
      <c r="Z243" s="162" t="e">
        <f t="shared" ref="Z243:AB243" si="740">Y243-Z244</f>
        <v>#DIV/0!</v>
      </c>
      <c r="AA243" s="162" t="e">
        <f t="shared" si="740"/>
        <v>#DIV/0!</v>
      </c>
      <c r="AB243" s="162" t="e">
        <f t="shared" si="740"/>
        <v>#DIV/0!</v>
      </c>
      <c r="AC243" s="162" t="e">
        <f>AB243-AC244</f>
        <v>#DIV/0!</v>
      </c>
      <c r="AD243" s="162" t="e">
        <f t="shared" ref="AD243:AG243" si="741">AC243-AD244</f>
        <v>#DIV/0!</v>
      </c>
      <c r="AE243" s="162" t="e">
        <f t="shared" si="741"/>
        <v>#DIV/0!</v>
      </c>
      <c r="AF243" s="162" t="e">
        <f t="shared" si="741"/>
        <v>#DIV/0!</v>
      </c>
      <c r="AG243" s="162" t="e">
        <f t="shared" si="741"/>
        <v>#DIV/0!</v>
      </c>
      <c r="AH243" s="162" t="e">
        <f t="shared" ref="AH243" si="742">AG243-AH244</f>
        <v>#DIV/0!</v>
      </c>
      <c r="AI243" s="162" t="e">
        <f t="shared" ref="AI243" si="743">AH243-AI244</f>
        <v>#DIV/0!</v>
      </c>
      <c r="AJ243" s="162" t="e">
        <f t="shared" ref="AJ243" si="744">AI243-AJ244</f>
        <v>#DIV/0!</v>
      </c>
      <c r="AK243" s="162" t="e">
        <f t="shared" ref="AK243" si="745">AJ243-AK244</f>
        <v>#DIV/0!</v>
      </c>
      <c r="AL243" s="162" t="e">
        <f t="shared" ref="AL243" si="746">AK243-AL244</f>
        <v>#DIV/0!</v>
      </c>
      <c r="AM243" s="162" t="e">
        <f t="shared" ref="AM243" si="747">AL243-AM244</f>
        <v>#DIV/0!</v>
      </c>
      <c r="AN243" s="162" t="e">
        <f t="shared" ref="AN243" si="748">AM243-AN244</f>
        <v>#DIV/0!</v>
      </c>
      <c r="AO243" s="162" t="e">
        <f t="shared" ref="AO243" si="749">AN243-AO244</f>
        <v>#DIV/0!</v>
      </c>
      <c r="AP243" s="162" t="e">
        <f t="shared" ref="AP243" si="750">AO243-AP244</f>
        <v>#DIV/0!</v>
      </c>
      <c r="AQ243" s="162" t="e">
        <f t="shared" ref="AQ243" si="751">AP243-AQ244</f>
        <v>#DIV/0!</v>
      </c>
      <c r="AR243" s="162" t="e">
        <f t="shared" ref="AR243" si="752">AQ243-AR244</f>
        <v>#DIV/0!</v>
      </c>
      <c r="AS243" s="162" t="e">
        <f t="shared" ref="AS243" si="753">AR243-AS244</f>
        <v>#DIV/0!</v>
      </c>
      <c r="AT243" s="162" t="e">
        <f t="shared" ref="AT243" si="754">AS243-AT244</f>
        <v>#DIV/0!</v>
      </c>
      <c r="AU243" s="162" t="e">
        <f t="shared" ref="AU243" si="755">AT243-AU244</f>
        <v>#DIV/0!</v>
      </c>
      <c r="AV243" s="162" t="e">
        <f t="shared" ref="AV243" si="756">AU243-AV244</f>
        <v>#DIV/0!</v>
      </c>
      <c r="AW243" s="162" t="e">
        <f t="shared" ref="AW243" si="757">AV243-AW244</f>
        <v>#DIV/0!</v>
      </c>
      <c r="AX243" s="162" t="e">
        <f t="shared" ref="AX243" si="758">AW243-AX244</f>
        <v>#DIV/0!</v>
      </c>
    </row>
    <row r="244" spans="2:50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0.15</v>
      </c>
      <c r="O244" s="168">
        <v>0.12</v>
      </c>
      <c r="P244" s="167"/>
      <c r="Q244" s="168">
        <v>0.2</v>
      </c>
      <c r="R244" s="175" t="s">
        <v>231</v>
      </c>
      <c r="S244" s="158">
        <f>T201/W170</f>
        <v>55.89696412143514</v>
      </c>
      <c r="T244" s="158" t="s">
        <v>412</v>
      </c>
      <c r="U244" s="158"/>
      <c r="V244" s="10"/>
      <c r="W244" s="10"/>
      <c r="X244" s="163" t="e">
        <f>V170*(1+$N$244)</f>
        <v>#DIV/0!</v>
      </c>
      <c r="Y244" s="163" t="e">
        <f>X244*(1+$N$244)</f>
        <v>#DIV/0!</v>
      </c>
      <c r="Z244" s="163" t="e">
        <f t="shared" ref="Z244:AG244" si="759">Y244*(1+$N$244)</f>
        <v>#DIV/0!</v>
      </c>
      <c r="AA244" s="163" t="e">
        <f t="shared" si="759"/>
        <v>#DIV/0!</v>
      </c>
      <c r="AB244" s="163" t="e">
        <f t="shared" si="759"/>
        <v>#DIV/0!</v>
      </c>
      <c r="AC244" s="163" t="e">
        <f t="shared" si="759"/>
        <v>#DIV/0!</v>
      </c>
      <c r="AD244" s="163" t="e">
        <f t="shared" si="759"/>
        <v>#DIV/0!</v>
      </c>
      <c r="AE244" s="163" t="e">
        <f t="shared" si="759"/>
        <v>#DIV/0!</v>
      </c>
      <c r="AF244" s="163" t="e">
        <f t="shared" si="759"/>
        <v>#DIV/0!</v>
      </c>
      <c r="AG244" s="163" t="e">
        <f t="shared" si="759"/>
        <v>#DIV/0!</v>
      </c>
      <c r="AH244" s="163" t="e">
        <f t="shared" ref="AH244" si="760">AG244*(1+$N$244)</f>
        <v>#DIV/0!</v>
      </c>
      <c r="AI244" s="163" t="e">
        <f t="shared" ref="AI244" si="761">AH244*(1+$N$244)</f>
        <v>#DIV/0!</v>
      </c>
      <c r="AJ244" s="163" t="e">
        <f t="shared" ref="AJ244" si="762">AI244*(1+$N$244)</f>
        <v>#DIV/0!</v>
      </c>
      <c r="AK244" s="163" t="e">
        <f t="shared" ref="AK244" si="763">AJ244*(1+$N$244)</f>
        <v>#DIV/0!</v>
      </c>
      <c r="AL244" s="163" t="e">
        <f t="shared" ref="AL244" si="764">AK244*(1+$N$244)</f>
        <v>#DIV/0!</v>
      </c>
      <c r="AM244" s="163" t="e">
        <f t="shared" ref="AM244" si="765">AL244*(1+$N$244)</f>
        <v>#DIV/0!</v>
      </c>
      <c r="AN244" s="163" t="e">
        <f t="shared" ref="AN244" si="766">AM244*(1+$N$244)</f>
        <v>#DIV/0!</v>
      </c>
      <c r="AO244" s="163" t="e">
        <f t="shared" ref="AO244" si="767">AN244*(1+$N$244)</f>
        <v>#DIV/0!</v>
      </c>
      <c r="AP244" s="163" t="e">
        <f t="shared" ref="AP244" si="768">AO244*(1+$N$244)</f>
        <v>#DIV/0!</v>
      </c>
      <c r="AQ244" s="163" t="e">
        <f t="shared" ref="AQ244" si="769">AP244*(1+$N$244)</f>
        <v>#DIV/0!</v>
      </c>
      <c r="AR244" s="163" t="e">
        <f t="shared" ref="AR244" si="770">AQ244*(1+$N$244)</f>
        <v>#DIV/0!</v>
      </c>
      <c r="AS244" s="163" t="e">
        <f t="shared" ref="AS244" si="771">AR244*(1+$N$244)</f>
        <v>#DIV/0!</v>
      </c>
      <c r="AT244" s="163" t="e">
        <f t="shared" ref="AT244" si="772">AS244*(1+$N$244)</f>
        <v>#DIV/0!</v>
      </c>
      <c r="AU244" s="163" t="e">
        <f t="shared" ref="AU244" si="773">AT244*(1+$N$244)</f>
        <v>#DIV/0!</v>
      </c>
      <c r="AV244" s="163" t="e">
        <f t="shared" ref="AV244" si="774">AU244*(1+$N$244)</f>
        <v>#DIV/0!</v>
      </c>
      <c r="AW244" s="163" t="e">
        <f t="shared" ref="AW244" si="775">AV244*(1+$N$244)</f>
        <v>#DIV/0!</v>
      </c>
      <c r="AX244" s="163" t="e">
        <f t="shared" ref="AX244" si="776">AW244*(1+$N$244)</f>
        <v>#DIV/0!</v>
      </c>
    </row>
    <row r="245" spans="2:50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8">
        <v>0</v>
      </c>
      <c r="K245" s="169">
        <f>T203</f>
        <v>20.825335892514396</v>
      </c>
      <c r="L245" s="168">
        <v>0.05</v>
      </c>
      <c r="M245" s="167"/>
      <c r="N245" s="161">
        <v>0.15</v>
      </c>
      <c r="O245" s="168">
        <v>0.12</v>
      </c>
      <c r="P245" s="167"/>
      <c r="Q245" s="168">
        <v>0.2</v>
      </c>
      <c r="R245" s="175" t="s">
        <v>411</v>
      </c>
      <c r="S245" s="158">
        <f>T201/T72</f>
        <v>20.825335892514396</v>
      </c>
      <c r="T245" s="158" t="s">
        <v>412</v>
      </c>
      <c r="U245" s="158"/>
      <c r="V245" s="10"/>
      <c r="W245" s="10"/>
      <c r="X245" s="163">
        <f>T72*(1+$N$245)</f>
        <v>6.847428571428571</v>
      </c>
      <c r="Y245" s="163">
        <f>X245*(1+$N$245)</f>
        <v>7.8745428571428562</v>
      </c>
      <c r="Z245" s="163">
        <f t="shared" ref="Z245:AG245" si="777">Y245*(1+$N$245)</f>
        <v>9.0557242857142839</v>
      </c>
      <c r="AA245" s="163">
        <f t="shared" si="777"/>
        <v>10.414082928571426</v>
      </c>
      <c r="AB245" s="163">
        <f t="shared" si="777"/>
        <v>11.976195367857139</v>
      </c>
      <c r="AC245" s="163">
        <f t="shared" si="777"/>
        <v>13.772624673035709</v>
      </c>
      <c r="AD245" s="163">
        <f t="shared" si="777"/>
        <v>15.838518373991064</v>
      </c>
      <c r="AE245" s="163">
        <f t="shared" si="777"/>
        <v>18.214296130089721</v>
      </c>
      <c r="AF245" s="163">
        <f t="shared" si="777"/>
        <v>20.946440549603178</v>
      </c>
      <c r="AG245" s="163">
        <f t="shared" si="777"/>
        <v>24.088406632043654</v>
      </c>
      <c r="AH245" s="163">
        <f t="shared" ref="AH245" si="778">AG245*(1+$N$245)</f>
        <v>27.701667626850199</v>
      </c>
      <c r="AI245" s="163">
        <f t="shared" ref="AI245" si="779">AH245*(1+$N$245)</f>
        <v>31.856917770877725</v>
      </c>
      <c r="AJ245" s="163">
        <f t="shared" ref="AJ245" si="780">AI245*(1+$N$245)</f>
        <v>36.635455436509382</v>
      </c>
      <c r="AK245" s="163">
        <f t="shared" ref="AK245" si="781">AJ245*(1+$N$245)</f>
        <v>42.130773751985785</v>
      </c>
      <c r="AL245" s="163">
        <f t="shared" ref="AL245" si="782">AK245*(1+$N$245)</f>
        <v>48.450389814783648</v>
      </c>
      <c r="AM245" s="163">
        <f t="shared" ref="AM245" si="783">AL245*(1+$N$245)</f>
        <v>55.717948287001192</v>
      </c>
      <c r="AN245" s="163">
        <f t="shared" ref="AN245" si="784">AM245*(1+$N$245)</f>
        <v>64.075640530051373</v>
      </c>
      <c r="AO245" s="163">
        <f t="shared" ref="AO245" si="785">AN245*(1+$N$245)</f>
        <v>73.686986609559071</v>
      </c>
      <c r="AP245" s="163">
        <f t="shared" ref="AP245" si="786">AO245*(1+$N$245)</f>
        <v>84.740034600992928</v>
      </c>
      <c r="AQ245" s="163">
        <f t="shared" ref="AQ245" si="787">AP245*(1+$N$245)</f>
        <v>97.451039791141866</v>
      </c>
      <c r="AR245" s="163">
        <f t="shared" ref="AR245" si="788">AQ245*(1+$N$245)</f>
        <v>112.06869575981314</v>
      </c>
      <c r="AS245" s="163">
        <f t="shared" ref="AS245" si="789">AR245*(1+$N$245)</f>
        <v>128.87900012378509</v>
      </c>
      <c r="AT245" s="163">
        <f t="shared" ref="AT245" si="790">AS245*(1+$N$245)</f>
        <v>148.21085014235285</v>
      </c>
      <c r="AU245" s="163">
        <f t="shared" ref="AU245" si="791">AT245*(1+$N$245)</f>
        <v>170.44247766370577</v>
      </c>
      <c r="AV245" s="163">
        <f t="shared" ref="AV245" si="792">AU245*(1+$N$245)</f>
        <v>196.00884931326163</v>
      </c>
      <c r="AW245" s="163">
        <f t="shared" ref="AW245" si="793">AV245*(1+$N$245)</f>
        <v>225.41017671025085</v>
      </c>
      <c r="AX245" s="163">
        <f t="shared" ref="AX245" si="794">AW245*(1+$N$245)</f>
        <v>259.22170321678846</v>
      </c>
    </row>
    <row r="246" spans="2:50">
      <c r="B246" s="10"/>
      <c r="C246" s="10"/>
      <c r="D246" s="10"/>
      <c r="E246" s="13" t="s">
        <v>397</v>
      </c>
      <c r="F246" s="13"/>
      <c r="G246" s="13"/>
      <c r="H246" s="13"/>
      <c r="I246" s="12"/>
      <c r="J246" s="168">
        <v>0</v>
      </c>
      <c r="K246" s="169"/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0"/>
      <c r="X246" s="111">
        <f>U201-X245</f>
        <v>118.15257142857143</v>
      </c>
      <c r="Y246" s="162">
        <f>X246-Y245</f>
        <v>110.27802857142858</v>
      </c>
      <c r="Z246" s="162">
        <f t="shared" ref="Z246:AE246" si="795">Y246-Z245</f>
        <v>101.2223042857143</v>
      </c>
      <c r="AA246" s="162">
        <f t="shared" si="795"/>
        <v>90.80822135714287</v>
      </c>
      <c r="AB246" s="162">
        <f t="shared" si="795"/>
        <v>78.832025989285725</v>
      </c>
      <c r="AC246" s="162">
        <f t="shared" si="795"/>
        <v>65.059401316250018</v>
      </c>
      <c r="AD246" s="162">
        <f t="shared" si="795"/>
        <v>49.220882942258953</v>
      </c>
      <c r="AE246" s="162">
        <f t="shared" si="795"/>
        <v>31.006586812169232</v>
      </c>
      <c r="AF246" s="162">
        <f>AE246-AF245</f>
        <v>10.060146262566054</v>
      </c>
      <c r="AG246" s="162">
        <f t="shared" ref="AG246" si="796">AF246-AG245</f>
        <v>-14.0282603694776</v>
      </c>
      <c r="AH246" s="162">
        <f t="shared" ref="AH246" si="797">AG246-AH245</f>
        <v>-41.729927996327802</v>
      </c>
      <c r="AI246" s="162">
        <f t="shared" ref="AI246" si="798">AH246-AI245</f>
        <v>-73.586845767205531</v>
      </c>
      <c r="AJ246" s="162">
        <f t="shared" ref="AJ246" si="799">AI246-AJ245</f>
        <v>-110.22230120371492</v>
      </c>
      <c r="AK246" s="162">
        <f t="shared" ref="AK246" si="800">AJ246-AK245</f>
        <v>-152.35307495570072</v>
      </c>
      <c r="AL246" s="162">
        <f t="shared" ref="AL246" si="801">AK246-AL245</f>
        <v>-200.80346477048437</v>
      </c>
      <c r="AM246" s="162">
        <f t="shared" ref="AM246" si="802">AL246-AM245</f>
        <v>-256.52141305748557</v>
      </c>
      <c r="AN246" s="162">
        <f t="shared" ref="AN246" si="803">AM246-AN245</f>
        <v>-320.59705358753695</v>
      </c>
      <c r="AO246" s="162">
        <f t="shared" ref="AO246" si="804">AN246-AO245</f>
        <v>-394.28404019709603</v>
      </c>
      <c r="AP246" s="162">
        <f t="shared" ref="AP246" si="805">AO246-AP245</f>
        <v>-479.02407479808898</v>
      </c>
      <c r="AQ246" s="162">
        <f t="shared" ref="AQ246" si="806">AP246-AQ245</f>
        <v>-576.47511458923088</v>
      </c>
      <c r="AR246" s="162">
        <f t="shared" ref="AR246" si="807">AQ246-AR245</f>
        <v>-688.54381034904407</v>
      </c>
      <c r="AS246" s="162">
        <f t="shared" ref="AS246" si="808">AR246-AS245</f>
        <v>-817.42281047282916</v>
      </c>
      <c r="AT246" s="162">
        <f t="shared" ref="AT246" si="809">AS246-AT245</f>
        <v>-965.63366061518195</v>
      </c>
      <c r="AU246" s="162">
        <f t="shared" ref="AU246" si="810">AT246-AU245</f>
        <v>-1136.0761382788878</v>
      </c>
      <c r="AV246" s="162">
        <f t="shared" ref="AV246" si="811">AU246-AV245</f>
        <v>-1332.0849875921494</v>
      </c>
      <c r="AW246" s="162">
        <f t="shared" ref="AW246" si="812">AV246-AW245</f>
        <v>-1557.4951643024003</v>
      </c>
      <c r="AX246" s="162">
        <f t="shared" ref="AX246" si="813">AW246-AX245</f>
        <v>-1816.7168675191888</v>
      </c>
    </row>
    <row r="247" spans="2:50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255</v>
      </c>
      <c r="C248" s="15"/>
      <c r="D248" s="15"/>
      <c r="E248" s="15"/>
      <c r="F248" s="15"/>
      <c r="G248" s="15"/>
      <c r="H248" s="15" t="e">
        <f t="shared" ref="H248:I248" si="814">H10/H7</f>
        <v>#DIV/0!</v>
      </c>
      <c r="I248" s="15" t="e">
        <f t="shared" si="814"/>
        <v>#DIV/0!</v>
      </c>
      <c r="J248" s="15" t="e">
        <f t="shared" ref="J248:T248" si="815">J10/J7</f>
        <v>#DIV/0!</v>
      </c>
      <c r="K248" s="15" t="e">
        <f t="shared" si="815"/>
        <v>#DIV/0!</v>
      </c>
      <c r="L248" s="15" t="e">
        <f t="shared" si="815"/>
        <v>#DIV/0!</v>
      </c>
      <c r="M248" s="15">
        <f t="shared" si="815"/>
        <v>0</v>
      </c>
      <c r="N248" s="15">
        <f t="shared" si="815"/>
        <v>4.5416810792113456</v>
      </c>
      <c r="O248" s="15">
        <f t="shared" si="815"/>
        <v>3.738425925925926</v>
      </c>
      <c r="P248" s="15">
        <f t="shared" si="815"/>
        <v>3.5739549839228295</v>
      </c>
      <c r="Q248" s="15">
        <f t="shared" si="815"/>
        <v>5.2531868131868134</v>
      </c>
      <c r="R248" s="15">
        <f t="shared" si="815"/>
        <v>5.4386871688848686</v>
      </c>
      <c r="S248" s="15">
        <f t="shared" si="815"/>
        <v>6.1387963843958131</v>
      </c>
      <c r="T248" s="15">
        <f t="shared" si="815"/>
        <v>6.5675853738882175</v>
      </c>
      <c r="U248" s="15"/>
      <c r="V248" s="101" t="e">
        <f t="shared" ref="V248:V250" si="816">((S248/J248)^(1/($K$2-$K$1)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256</v>
      </c>
      <c r="C249" s="96"/>
      <c r="D249" s="96"/>
      <c r="E249" s="96"/>
      <c r="F249" s="96"/>
      <c r="G249" s="96"/>
      <c r="H249" s="96" t="e">
        <f t="shared" ref="H249:I249" si="817">H10/H12</f>
        <v>#DIV/0!</v>
      </c>
      <c r="I249" s="96" t="e">
        <f t="shared" si="817"/>
        <v>#DIV/0!</v>
      </c>
      <c r="J249" s="96" t="e">
        <f t="shared" ref="J249:T249" si="818">J10/J12</f>
        <v>#DIV/0!</v>
      </c>
      <c r="K249" s="96" t="e">
        <f t="shared" si="818"/>
        <v>#DIV/0!</v>
      </c>
      <c r="L249" s="96" t="e">
        <f t="shared" si="818"/>
        <v>#DIV/0!</v>
      </c>
      <c r="M249" s="96" t="e">
        <f t="shared" si="818"/>
        <v>#DIV/0!</v>
      </c>
      <c r="N249" s="96">
        <f t="shared" si="818"/>
        <v>80.552147239263803</v>
      </c>
      <c r="O249" s="96">
        <f t="shared" si="818"/>
        <v>157.21238938053096</v>
      </c>
      <c r="P249" s="96">
        <f t="shared" si="818"/>
        <v>59.919137466307276</v>
      </c>
      <c r="Q249" s="96">
        <f t="shared" si="818"/>
        <v>45.847826086956523</v>
      </c>
      <c r="R249" s="96">
        <f t="shared" si="818"/>
        <v>48.828306264501158</v>
      </c>
      <c r="S249" s="96">
        <f t="shared" si="818"/>
        <v>128.3955223880597</v>
      </c>
      <c r="T249" s="96">
        <f t="shared" si="818"/>
        <v>100.6919191919192</v>
      </c>
      <c r="U249" s="96"/>
      <c r="V249" s="101" t="e">
        <f t="shared" si="816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257</v>
      </c>
      <c r="C250" s="15"/>
      <c r="D250" s="15"/>
      <c r="E250" s="15"/>
      <c r="F250" s="15"/>
      <c r="G250" s="15"/>
      <c r="H250" s="15" t="e">
        <f t="shared" ref="H250:I250" si="819">H10/(H12+H13)</f>
        <v>#DIV/0!</v>
      </c>
      <c r="I250" s="15" t="e">
        <f t="shared" si="819"/>
        <v>#DIV/0!</v>
      </c>
      <c r="J250" s="15" t="e">
        <f t="shared" ref="J250:T250" si="820">J10/(J12+J13)</f>
        <v>#DIV/0!</v>
      </c>
      <c r="K250" s="15" t="e">
        <f t="shared" si="820"/>
        <v>#DIV/0!</v>
      </c>
      <c r="L250" s="15" t="e">
        <f t="shared" si="820"/>
        <v>#DIV/0!</v>
      </c>
      <c r="M250" s="15">
        <f t="shared" si="820"/>
        <v>0</v>
      </c>
      <c r="N250" s="15">
        <f t="shared" si="820"/>
        <v>14.670391061452515</v>
      </c>
      <c r="O250" s="15">
        <f t="shared" si="820"/>
        <v>20.14172335600907</v>
      </c>
      <c r="P250" s="15">
        <f t="shared" si="820"/>
        <v>10.045187528242206</v>
      </c>
      <c r="Q250" s="15">
        <f t="shared" si="820"/>
        <v>10.208712984054669</v>
      </c>
      <c r="R250" s="15">
        <f t="shared" si="820"/>
        <v>11.98803759612646</v>
      </c>
      <c r="S250" s="15">
        <f t="shared" si="820"/>
        <v>13.01765447667087</v>
      </c>
      <c r="T250" s="15">
        <f t="shared" si="820"/>
        <v>9.055412566237699</v>
      </c>
      <c r="U250" s="15"/>
      <c r="V250" s="101" t="e">
        <f t="shared" si="816"/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09" t="s">
        <v>282</v>
      </c>
      <c r="P253" s="310"/>
      <c r="Q253" s="311"/>
      <c r="R253" s="13" t="s">
        <v>285</v>
      </c>
      <c r="S253" s="10"/>
      <c r="T253" s="115"/>
      <c r="U253" s="115"/>
      <c r="V253" s="309" t="s">
        <v>283</v>
      </c>
      <c r="W253" s="310"/>
      <c r="X253" s="311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/>
      <c r="V254" s="143" t="s">
        <v>0</v>
      </c>
      <c r="W254" s="143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4" t="s">
        <v>286</v>
      </c>
      <c r="D255" s="11">
        <v>68</v>
      </c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1</v>
      </c>
      <c r="K255" s="154">
        <f>J255+D256</f>
        <v>2</v>
      </c>
      <c r="L255" s="10"/>
      <c r="M255" s="144" t="s">
        <v>286</v>
      </c>
      <c r="N255" s="144"/>
      <c r="O255" s="11">
        <v>50</v>
      </c>
      <c r="P255" s="150">
        <f>O255</f>
        <v>50</v>
      </c>
      <c r="Q255" s="10"/>
      <c r="R255" s="10"/>
      <c r="S255" s="144" t="s">
        <v>286</v>
      </c>
      <c r="T255" s="144"/>
      <c r="U255" s="144"/>
      <c r="V255" s="11">
        <v>1</v>
      </c>
      <c r="W255" s="150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4" t="s">
        <v>287</v>
      </c>
      <c r="D256" s="11">
        <v>1</v>
      </c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2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44"/>
      <c r="V256" s="11">
        <v>1</v>
      </c>
      <c r="W256" s="150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4" t="s">
        <v>289</v>
      </c>
      <c r="D257" s="145">
        <f>D255*D256</f>
        <v>68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2</v>
      </c>
      <c r="L257" s="10"/>
      <c r="M257" s="144" t="s">
        <v>288</v>
      </c>
      <c r="N257" s="144"/>
      <c r="O257" s="145">
        <f>O255*O256</f>
        <v>50</v>
      </c>
      <c r="P257" s="150">
        <f>O257</f>
        <v>50</v>
      </c>
      <c r="Q257" s="10"/>
      <c r="R257" s="10"/>
      <c r="S257" s="144" t="s">
        <v>289</v>
      </c>
      <c r="T257" s="144"/>
      <c r="U257" s="144"/>
      <c r="V257" s="145">
        <f>V255*V256</f>
        <v>1</v>
      </c>
      <c r="W257" s="150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4"/>
      <c r="D258" s="145"/>
      <c r="E258" s="153" t="s">
        <v>398</v>
      </c>
      <c r="F258" s="153"/>
      <c r="G258" s="12">
        <v>0</v>
      </c>
      <c r="H258" s="12">
        <v>1</v>
      </c>
      <c r="I258" s="144">
        <f t="shared" ref="I258:I261" si="821">G258/H258</f>
        <v>0</v>
      </c>
      <c r="J258" s="144">
        <f t="shared" ref="J258:J260" si="822">I258*K257</f>
        <v>0</v>
      </c>
      <c r="K258" s="144">
        <f t="shared" ref="K258:K260" si="823">J258+K257</f>
        <v>2</v>
      </c>
      <c r="L258" s="10"/>
      <c r="M258" s="144" t="s">
        <v>290</v>
      </c>
      <c r="N258" s="144"/>
      <c r="O258" s="11">
        <v>148</v>
      </c>
      <c r="P258" s="11">
        <v>206</v>
      </c>
      <c r="Q258" s="10"/>
      <c r="R258" s="10"/>
      <c r="S258" s="144" t="s">
        <v>290</v>
      </c>
      <c r="T258" s="144"/>
      <c r="U258" s="144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4"/>
      <c r="D259" s="145"/>
      <c r="E259" s="153" t="s">
        <v>399</v>
      </c>
      <c r="F259" s="153"/>
      <c r="G259" s="12">
        <v>0</v>
      </c>
      <c r="H259" s="12">
        <v>1</v>
      </c>
      <c r="I259" s="144">
        <f t="shared" si="821"/>
        <v>0</v>
      </c>
      <c r="J259" s="144">
        <f t="shared" si="822"/>
        <v>0</v>
      </c>
      <c r="K259" s="144">
        <f t="shared" si="823"/>
        <v>2</v>
      </c>
      <c r="L259" s="10"/>
      <c r="M259" s="144" t="s">
        <v>291</v>
      </c>
      <c r="N259" s="144"/>
      <c r="O259" s="145">
        <f>O258*O256</f>
        <v>148</v>
      </c>
      <c r="P259" s="145">
        <f>P258*P256</f>
        <v>206</v>
      </c>
      <c r="Q259" s="10"/>
      <c r="R259" s="10"/>
      <c r="S259" s="144" t="s">
        <v>287</v>
      </c>
      <c r="T259" s="144"/>
      <c r="U259" s="144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4"/>
      <c r="D260" s="145"/>
      <c r="E260" s="153" t="s">
        <v>400</v>
      </c>
      <c r="F260" s="153"/>
      <c r="G260" s="12">
        <v>0</v>
      </c>
      <c r="H260" s="12">
        <v>1</v>
      </c>
      <c r="I260" s="144">
        <f t="shared" si="821"/>
        <v>0</v>
      </c>
      <c r="J260" s="144">
        <f t="shared" si="822"/>
        <v>0</v>
      </c>
      <c r="K260" s="144">
        <f t="shared" si="823"/>
        <v>2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4"/>
      <c r="V260" s="145">
        <f>V259*V258</f>
        <v>1</v>
      </c>
      <c r="W260" s="145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4"/>
      <c r="D261" s="145"/>
      <c r="E261" s="153" t="s">
        <v>331</v>
      </c>
      <c r="F261" s="153"/>
      <c r="G261" s="12">
        <v>10</v>
      </c>
      <c r="H261" s="12">
        <v>1</v>
      </c>
      <c r="I261" s="144">
        <f t="shared" si="821"/>
        <v>10</v>
      </c>
      <c r="J261" s="144">
        <f>I261*K260</f>
        <v>20</v>
      </c>
      <c r="K261" s="144">
        <f>J261</f>
        <v>20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4"/>
      <c r="D262" s="145"/>
      <c r="E262" s="153" t="s">
        <v>401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2.96</v>
      </c>
      <c r="P262" s="147">
        <f>P259/P257</f>
        <v>4.12</v>
      </c>
      <c r="Q262" s="10"/>
      <c r="R262" s="10"/>
      <c r="S262" s="146" t="s">
        <v>292</v>
      </c>
      <c r="T262" s="146"/>
      <c r="U262" s="146"/>
      <c r="V262" s="147">
        <f>V260/V257</f>
        <v>1</v>
      </c>
      <c r="W262" s="147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4" t="s">
        <v>290</v>
      </c>
      <c r="D263" s="11">
        <v>148</v>
      </c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4" t="s">
        <v>287</v>
      </c>
      <c r="D264" s="11">
        <v>1</v>
      </c>
      <c r="E264" s="153" t="s">
        <v>331</v>
      </c>
      <c r="F264" s="153"/>
      <c r="G264" s="12">
        <v>10</v>
      </c>
      <c r="H264" s="12">
        <v>2</v>
      </c>
      <c r="I264" s="144">
        <f>G264/H264</f>
        <v>5</v>
      </c>
      <c r="J264" s="154">
        <f>I264*D256</f>
        <v>5</v>
      </c>
      <c r="K264" s="154">
        <f>J264</f>
        <v>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4" t="s">
        <v>289</v>
      </c>
      <c r="D265" s="145">
        <f>D264*D263</f>
        <v>148</v>
      </c>
      <c r="E265" s="144"/>
      <c r="F265" s="144"/>
      <c r="G265" s="144"/>
      <c r="H265" s="144"/>
      <c r="I265" s="146" t="s">
        <v>332</v>
      </c>
      <c r="J265" s="144"/>
      <c r="K265" s="144">
        <f>K264</f>
        <v>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25</v>
      </c>
      <c r="K266" s="144">
        <f>J266</f>
        <v>25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6" t="s">
        <v>292</v>
      </c>
      <c r="D267" s="147">
        <f>D265/D257</f>
        <v>2.1764705882352939</v>
      </c>
      <c r="E267" s="153"/>
      <c r="F267" s="153"/>
      <c r="G267" s="144"/>
      <c r="H267" s="144"/>
      <c r="I267" s="146" t="s">
        <v>332</v>
      </c>
      <c r="J267" s="144"/>
      <c r="K267" s="144">
        <f>K266</f>
        <v>25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2" t="s">
        <v>15</v>
      </c>
      <c r="E270" s="303"/>
      <c r="F270" s="303"/>
      <c r="G270" s="303"/>
      <c r="H270" s="303"/>
      <c r="I270" s="303"/>
      <c r="J270" s="304"/>
      <c r="K270" s="10"/>
      <c r="L270" s="302" t="s">
        <v>337</v>
      </c>
      <c r="M270" s="303"/>
      <c r="N270" s="304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>
        <f>D257</f>
        <v>68</v>
      </c>
      <c r="H271" s="11">
        <f>D257</f>
        <v>68</v>
      </c>
      <c r="I271" s="10"/>
      <c r="J271" s="10"/>
      <c r="K271" s="10"/>
      <c r="L271" s="10" t="s">
        <v>16</v>
      </c>
      <c r="M271" s="109"/>
      <c r="N271" s="11">
        <f>H271</f>
        <v>68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>
        <f>D265</f>
        <v>148</v>
      </c>
      <c r="H272" s="11">
        <f>D265</f>
        <v>148</v>
      </c>
      <c r="I272" s="10"/>
      <c r="J272" s="10"/>
      <c r="K272" s="10"/>
      <c r="L272" s="10" t="s">
        <v>17</v>
      </c>
      <c r="M272" s="10"/>
      <c r="N272" s="11">
        <f>H272</f>
        <v>148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>
        <f>((G272/G271)^(1/G273))-1</f>
        <v>8.087452285901664E-2</v>
      </c>
      <c r="H274" s="3">
        <f>((H272/H271)^(1/H273))-1</f>
        <v>8.087452285901664E-2</v>
      </c>
      <c r="I274" s="10"/>
      <c r="J274" s="10"/>
      <c r="K274" s="10"/>
      <c r="L274" s="13" t="s">
        <v>338</v>
      </c>
      <c r="M274" s="13"/>
      <c r="N274" s="170">
        <f>(N272-N271)/N271</f>
        <v>1.1764705882352942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3">
        <f>N272/N271</f>
        <v>2.1764705882352939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>
        <f>((G272/G271)^(1/G276))-1</f>
        <v>8.087452285901664E-2</v>
      </c>
      <c r="H277" s="3">
        <f>((H272/H271)^(1/H276))-1</f>
        <v>8.087452285901664E-2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8" t="s">
        <v>15</v>
      </c>
      <c r="K5" s="288"/>
      <c r="M5" s="288" t="s">
        <v>53</v>
      </c>
      <c r="N5" s="288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8" t="s">
        <v>24</v>
      </c>
      <c r="K14" s="288"/>
      <c r="L14" s="288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88" t="s">
        <v>15</v>
      </c>
      <c r="S5" s="288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8" t="s">
        <v>24</v>
      </c>
      <c r="S14" s="288"/>
      <c r="T14" s="288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88" t="s">
        <v>15</v>
      </c>
      <c r="C2" s="288"/>
      <c r="E2" s="288" t="s">
        <v>53</v>
      </c>
      <c r="F2" s="288"/>
      <c r="H2" s="317" t="s">
        <v>24</v>
      </c>
      <c r="I2" s="318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19" t="s">
        <v>376</v>
      </c>
      <c r="C3" s="320"/>
      <c r="F3" s="319" t="s">
        <v>377</v>
      </c>
      <c r="G3" s="320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2019-02-17T19:45:15Z</dcterms:modified>
</cp:coreProperties>
</file>
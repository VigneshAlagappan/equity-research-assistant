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W59" i="18" l="1"/>
  <c r="C1" i="18"/>
  <c r="AI47" i="18" l="1"/>
  <c r="W47" i="18"/>
  <c r="X47" i="18" s="1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V47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AI57" i="18"/>
  <c r="W57" i="18"/>
  <c r="X57" i="18" s="1"/>
  <c r="Y57" i="18" s="1"/>
  <c r="Z57" i="18" s="1"/>
  <c r="AA57" i="18" s="1"/>
  <c r="AB57" i="18" s="1"/>
  <c r="AC57" i="18" s="1"/>
  <c r="AD57" i="18" s="1"/>
  <c r="AE57" i="18" s="1"/>
  <c r="AF57" i="18" s="1"/>
  <c r="AG57" i="18" s="1"/>
  <c r="V57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G106" i="18"/>
  <c r="H106" i="18"/>
  <c r="I106" i="18"/>
  <c r="J106" i="18"/>
  <c r="K106" i="18"/>
  <c r="L106" i="18"/>
  <c r="M106" i="18"/>
  <c r="N106" i="18"/>
  <c r="O106" i="18"/>
  <c r="P106" i="18"/>
  <c r="Q106" i="18"/>
  <c r="T174" i="18" s="1"/>
  <c r="U229" i="18" s="1"/>
  <c r="U228" i="18" s="1"/>
  <c r="R106" i="18"/>
  <c r="S106" i="18"/>
  <c r="T106" i="18"/>
  <c r="U106" i="18"/>
  <c r="U254" i="18"/>
  <c r="V254" i="18" s="1"/>
  <c r="U253" i="18"/>
  <c r="V253" i="18" s="1"/>
  <c r="U252" i="18"/>
  <c r="V252" i="18" s="1"/>
  <c r="X61" i="18"/>
  <c r="X63" i="18"/>
  <c r="V205" i="18"/>
  <c r="V7" i="18"/>
  <c r="V9" i="18"/>
  <c r="V10" i="18"/>
  <c r="V12" i="18"/>
  <c r="V13" i="18"/>
  <c r="V14" i="18"/>
  <c r="V15" i="18"/>
  <c r="V16" i="18"/>
  <c r="V18" i="18"/>
  <c r="V20" i="18"/>
  <c r="V21" i="18"/>
  <c r="V22" i="18"/>
  <c r="V23" i="18"/>
  <c r="V25" i="18"/>
  <c r="V27" i="18"/>
  <c r="V29" i="18"/>
  <c r="V31" i="18"/>
  <c r="V32" i="18"/>
  <c r="V33" i="18"/>
  <c r="V34" i="18"/>
  <c r="V53" i="18"/>
  <c r="V55" i="18"/>
  <c r="V59" i="18"/>
  <c r="V61" i="18"/>
  <c r="V63" i="18"/>
  <c r="V65" i="18"/>
  <c r="V66" i="18"/>
  <c r="V67" i="18"/>
  <c r="V6" i="18"/>
  <c r="U70" i="18"/>
  <c r="U71" i="18"/>
  <c r="U72" i="18"/>
  <c r="U114" i="18" s="1"/>
  <c r="U74" i="18"/>
  <c r="U75" i="18"/>
  <c r="U209" i="18" s="1"/>
  <c r="U76" i="18"/>
  <c r="U218" i="18" s="1"/>
  <c r="U77" i="18"/>
  <c r="U78" i="18"/>
  <c r="U79" i="18"/>
  <c r="U210" i="18" s="1"/>
  <c r="U80" i="18"/>
  <c r="U82" i="18"/>
  <c r="U83" i="18"/>
  <c r="U84" i="18"/>
  <c r="U213" i="18" s="1"/>
  <c r="U86" i="18"/>
  <c r="U87" i="18"/>
  <c r="U89" i="18"/>
  <c r="U90" i="18"/>
  <c r="U92" i="18"/>
  <c r="U143" i="18" s="1"/>
  <c r="U144" i="18" s="1"/>
  <c r="U145" i="18" s="1"/>
  <c r="U146" i="18" s="1"/>
  <c r="U94" i="18"/>
  <c r="U96" i="18" s="1"/>
  <c r="U97" i="18"/>
  <c r="U98" i="18"/>
  <c r="U99" i="18"/>
  <c r="U100" i="18"/>
  <c r="U102" i="18"/>
  <c r="U168" i="18" s="1"/>
  <c r="U103" i="18"/>
  <c r="U104" i="18"/>
  <c r="U109" i="18"/>
  <c r="U110" i="18"/>
  <c r="U111" i="18"/>
  <c r="U112" i="18"/>
  <c r="U113" i="18"/>
  <c r="U116" i="18"/>
  <c r="U122" i="18" s="1"/>
  <c r="U117" i="18"/>
  <c r="U123" i="18" s="1"/>
  <c r="U118" i="18"/>
  <c r="U124" i="18" s="1"/>
  <c r="U119" i="18"/>
  <c r="U125" i="18" s="1"/>
  <c r="U120" i="18"/>
  <c r="U126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70" i="18"/>
  <c r="U171" i="18"/>
  <c r="U206" i="18"/>
  <c r="U208" i="18"/>
  <c r="U212" i="18"/>
  <c r="U215" i="18"/>
  <c r="U216" i="18"/>
  <c r="U8" i="18"/>
  <c r="U11" i="18"/>
  <c r="U26" i="18"/>
  <c r="U28" i="18"/>
  <c r="U30" i="18"/>
  <c r="U37" i="18"/>
  <c r="U39" i="18"/>
  <c r="U44" i="18"/>
  <c r="U46" i="18"/>
  <c r="U50" i="18"/>
  <c r="U54" i="18"/>
  <c r="U56" i="18"/>
  <c r="U60" i="18"/>
  <c r="U62" i="18"/>
  <c r="U64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V106" i="18" l="1"/>
  <c r="S174" i="18"/>
  <c r="S248" i="18" s="1"/>
  <c r="U207" i="18"/>
  <c r="U88" i="18"/>
  <c r="U211" i="18" s="1"/>
  <c r="AJ47" i="18"/>
  <c r="AJ57" i="18"/>
  <c r="AH57" i="18"/>
  <c r="V151" i="18"/>
  <c r="S249" i="18"/>
  <c r="U147" i="18"/>
  <c r="U230" i="18"/>
  <c r="G215" i="18"/>
  <c r="V215" i="18" s="1"/>
  <c r="G216" i="18"/>
  <c r="V216" i="18" s="1"/>
  <c r="G62" i="18"/>
  <c r="G64" i="18"/>
  <c r="G70" i="18"/>
  <c r="G206" i="18" s="1"/>
  <c r="V206" i="18" s="1"/>
  <c r="G71" i="18"/>
  <c r="V71" i="18" s="1"/>
  <c r="G72" i="18"/>
  <c r="G114" i="18" s="1"/>
  <c r="V114" i="18" s="1"/>
  <c r="G74" i="18"/>
  <c r="G208" i="18" s="1"/>
  <c r="V208" i="18" s="1"/>
  <c r="G75" i="18"/>
  <c r="G209" i="18" s="1"/>
  <c r="V209" i="18" s="1"/>
  <c r="G76" i="18"/>
  <c r="V76" i="18" s="1"/>
  <c r="G77" i="18"/>
  <c r="V77" i="18" s="1"/>
  <c r="G78" i="18"/>
  <c r="V78" i="18" s="1"/>
  <c r="G79" i="18"/>
  <c r="G210" i="18" s="1"/>
  <c r="V210" i="18" s="1"/>
  <c r="G80" i="18"/>
  <c r="V80" i="18" s="1"/>
  <c r="G82" i="18"/>
  <c r="V82" i="18" s="1"/>
  <c r="G83" i="18"/>
  <c r="V83" i="18" s="1"/>
  <c r="G84" i="18"/>
  <c r="G213" i="18" s="1"/>
  <c r="V213" i="18" s="1"/>
  <c r="G86" i="18"/>
  <c r="V86" i="18" s="1"/>
  <c r="G87" i="18"/>
  <c r="V87" i="18" s="1"/>
  <c r="G89" i="18"/>
  <c r="V89" i="18" s="1"/>
  <c r="G90" i="18"/>
  <c r="G212" i="18" s="1"/>
  <c r="V212" i="18" s="1"/>
  <c r="G92" i="18"/>
  <c r="G143" i="18" s="1"/>
  <c r="G144" i="18" s="1"/>
  <c r="G145" i="18" s="1"/>
  <c r="G146" i="18" s="1"/>
  <c r="V146" i="18" s="1"/>
  <c r="G94" i="18"/>
  <c r="G96" i="18" s="1"/>
  <c r="V96" i="18" s="1"/>
  <c r="G97" i="18"/>
  <c r="V97" i="18" s="1"/>
  <c r="G98" i="18"/>
  <c r="V98" i="18" s="1"/>
  <c r="G99" i="18"/>
  <c r="V99" i="18" s="1"/>
  <c r="G100" i="18"/>
  <c r="V100" i="18" s="1"/>
  <c r="G102" i="18"/>
  <c r="G168" i="18" s="1"/>
  <c r="V168" i="18" s="1"/>
  <c r="G103" i="18"/>
  <c r="V103" i="18" s="1"/>
  <c r="G104" i="18"/>
  <c r="V104" i="18" s="1"/>
  <c r="G109" i="18"/>
  <c r="V109" i="18" s="1"/>
  <c r="G110" i="18"/>
  <c r="V110" i="18" s="1"/>
  <c r="G111" i="18"/>
  <c r="V111" i="18" s="1"/>
  <c r="G112" i="18"/>
  <c r="V112" i="18" s="1"/>
  <c r="G113" i="18"/>
  <c r="V113" i="18" s="1"/>
  <c r="G116" i="18"/>
  <c r="G122" i="18" s="1"/>
  <c r="V122" i="18" s="1"/>
  <c r="G117" i="18"/>
  <c r="G123" i="18" s="1"/>
  <c r="V123" i="18" s="1"/>
  <c r="G118" i="18"/>
  <c r="G124" i="18" s="1"/>
  <c r="V124" i="18" s="1"/>
  <c r="G119" i="18"/>
  <c r="G125" i="18" s="1"/>
  <c r="V125" i="18" s="1"/>
  <c r="G120" i="18"/>
  <c r="G126" i="18" s="1"/>
  <c r="V126" i="18" s="1"/>
  <c r="G138" i="18"/>
  <c r="V138" i="18" s="1"/>
  <c r="G139" i="18"/>
  <c r="V139" i="18" s="1"/>
  <c r="G140" i="18"/>
  <c r="V140" i="18" s="1"/>
  <c r="G141" i="18"/>
  <c r="V141" i="18" s="1"/>
  <c r="G149" i="18"/>
  <c r="V149" i="18" s="1"/>
  <c r="G150" i="18"/>
  <c r="V150" i="18" s="1"/>
  <c r="G151" i="18"/>
  <c r="G153" i="18"/>
  <c r="V153" i="18" s="1"/>
  <c r="G154" i="18"/>
  <c r="V154" i="18" s="1"/>
  <c r="G155" i="18"/>
  <c r="V155" i="18" s="1"/>
  <c r="G158" i="18"/>
  <c r="V158" i="18" s="1"/>
  <c r="G159" i="18"/>
  <c r="V159" i="18" s="1"/>
  <c r="G160" i="18"/>
  <c r="V160" i="18" s="1"/>
  <c r="G161" i="18"/>
  <c r="V161" i="18" s="1"/>
  <c r="G163" i="18"/>
  <c r="V163" i="18" s="1"/>
  <c r="G164" i="18"/>
  <c r="V164" i="18" s="1"/>
  <c r="G166" i="18"/>
  <c r="G167" i="18" s="1"/>
  <c r="V167" i="18" s="1"/>
  <c r="G170" i="18"/>
  <c r="V170" i="18" s="1"/>
  <c r="G171" i="18"/>
  <c r="V171" i="18" s="1"/>
  <c r="AI236" i="18"/>
  <c r="AJ235" i="18"/>
  <c r="AI235" i="18"/>
  <c r="AI234" i="18"/>
  <c r="AI233" i="18"/>
  <c r="R62" i="18"/>
  <c r="Q62" i="18"/>
  <c r="P62" i="18"/>
  <c r="O62" i="18"/>
  <c r="N62" i="18"/>
  <c r="M62" i="18"/>
  <c r="L62" i="18"/>
  <c r="K62" i="18"/>
  <c r="J62" i="18"/>
  <c r="I62" i="18"/>
  <c r="H62" i="18"/>
  <c r="R60" i="18"/>
  <c r="Q60" i="18"/>
  <c r="R56" i="18"/>
  <c r="Q56" i="18"/>
  <c r="R54" i="18"/>
  <c r="Q54" i="18"/>
  <c r="R30" i="18"/>
  <c r="Q30" i="18"/>
  <c r="R28" i="18"/>
  <c r="Q28" i="18"/>
  <c r="R26" i="18"/>
  <c r="Q26" i="18"/>
  <c r="R11" i="18"/>
  <c r="Q11" i="18"/>
  <c r="R8" i="18"/>
  <c r="Q8" i="18"/>
  <c r="U224" i="18" l="1"/>
  <c r="V145" i="18"/>
  <c r="U219" i="18"/>
  <c r="U220" i="18"/>
  <c r="U221" i="18" s="1"/>
  <c r="V144" i="18"/>
  <c r="V143" i="18"/>
  <c r="V102" i="18"/>
  <c r="V117" i="18"/>
  <c r="V79" i="18"/>
  <c r="V90" i="18"/>
  <c r="V116" i="18"/>
  <c r="V120" i="18"/>
  <c r="V72" i="18"/>
  <c r="V84" i="18"/>
  <c r="V147" i="18"/>
  <c r="V166" i="18"/>
  <c r="V94" i="18"/>
  <c r="V74" i="18"/>
  <c r="V118" i="18"/>
  <c r="V70" i="18"/>
  <c r="V75" i="18"/>
  <c r="V92" i="18"/>
  <c r="V119" i="18"/>
  <c r="U231" i="18"/>
  <c r="G207" i="18"/>
  <c r="G219" i="18" s="1"/>
  <c r="G88" i="18"/>
  <c r="G147" i="18"/>
  <c r="G218" i="18"/>
  <c r="V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H32" i="20"/>
  <c r="L31" i="20"/>
  <c r="L32" i="20" s="1"/>
  <c r="L33" i="20" s="1"/>
  <c r="H31" i="20"/>
  <c r="C31" i="20"/>
  <c r="C32" i="20" s="1"/>
  <c r="L30" i="20"/>
  <c r="P21" i="20"/>
  <c r="L20" i="20"/>
  <c r="H20" i="20"/>
  <c r="P19" i="20"/>
  <c r="Q19" i="20" s="1"/>
  <c r="R19" i="20" s="1"/>
  <c r="R20" i="20" s="1"/>
  <c r="H19" i="20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V219" i="18" l="1"/>
  <c r="U223" i="18"/>
  <c r="U225" i="18"/>
  <c r="U226" i="18" s="1"/>
  <c r="Q21" i="20"/>
  <c r="R21" i="20" s="1"/>
  <c r="R22" i="20" s="1"/>
  <c r="G211" i="18"/>
  <c r="V211" i="18" s="1"/>
  <c r="V88" i="18"/>
  <c r="G220" i="18"/>
  <c r="V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221" i="18" l="1"/>
  <c r="V221" i="18" s="1"/>
  <c r="V220" i="18"/>
  <c r="B95" i="20"/>
  <c r="F94" i="20"/>
  <c r="I95" i="20"/>
  <c r="M94" i="20"/>
  <c r="N94" i="20" s="1"/>
  <c r="J95" i="20" s="1"/>
  <c r="M50" i="20"/>
  <c r="N50" i="20" s="1"/>
  <c r="H70" i="20"/>
  <c r="F51" i="20"/>
  <c r="G51" i="20" s="1"/>
  <c r="C52" i="20" s="1"/>
  <c r="G93" i="20"/>
  <c r="C94" i="20" s="1"/>
  <c r="N93" i="20"/>
  <c r="J94" i="20" s="1"/>
  <c r="J51" i="20" l="1"/>
  <c r="P50" i="20"/>
  <c r="I96" i="20"/>
  <c r="M95" i="20"/>
  <c r="N95" i="20" s="1"/>
  <c r="J96" i="20" s="1"/>
  <c r="B96" i="20"/>
  <c r="F95" i="20"/>
  <c r="H71" i="20"/>
  <c r="G52" i="20"/>
  <c r="C53" i="20" s="1"/>
  <c r="F52" i="20"/>
  <c r="G94" i="20"/>
  <c r="C95" i="20" s="1"/>
  <c r="H72" i="20" l="1"/>
  <c r="G53" i="20"/>
  <c r="C54" i="20" s="1"/>
  <c r="F53" i="20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7" i="18"/>
  <c r="G279" i="18" s="1"/>
  <c r="G280" i="18" s="1"/>
  <c r="H252" i="18"/>
  <c r="I252" i="18"/>
  <c r="H253" i="18"/>
  <c r="I253" i="18"/>
  <c r="H254" i="18"/>
  <c r="I254" i="18"/>
  <c r="H215" i="18"/>
  <c r="I215" i="18"/>
  <c r="H216" i="18"/>
  <c r="I216" i="18"/>
  <c r="I64" i="18"/>
  <c r="H64" i="18"/>
  <c r="H70" i="18"/>
  <c r="I70" i="18"/>
  <c r="I206" i="18" s="1"/>
  <c r="H71" i="18"/>
  <c r="I71" i="18"/>
  <c r="H72" i="18"/>
  <c r="H114" i="18" s="1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H88" i="18" s="1"/>
  <c r="H211" i="18" s="1"/>
  <c r="I86" i="18"/>
  <c r="H87" i="18"/>
  <c r="I87" i="18"/>
  <c r="I88" i="18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H94" i="18"/>
  <c r="I94" i="18"/>
  <c r="H96" i="18"/>
  <c r="I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I114" i="18"/>
  <c r="H116" i="18"/>
  <c r="I116" i="18"/>
  <c r="H117" i="18"/>
  <c r="I117" i="18"/>
  <c r="H118" i="18"/>
  <c r="I118" i="18"/>
  <c r="I124" i="18" s="1"/>
  <c r="H119" i="18"/>
  <c r="H125" i="18" s="1"/>
  <c r="I119" i="18"/>
  <c r="I125" i="18" s="1"/>
  <c r="H120" i="18"/>
  <c r="I120" i="18"/>
  <c r="H122" i="18"/>
  <c r="I122" i="18"/>
  <c r="H123" i="18"/>
  <c r="I123" i="18"/>
  <c r="H124" i="18"/>
  <c r="H126" i="18"/>
  <c r="I126" i="18"/>
  <c r="H138" i="18"/>
  <c r="I138" i="18"/>
  <c r="H139" i="18"/>
  <c r="I139" i="18"/>
  <c r="H140" i="18"/>
  <c r="I140" i="18"/>
  <c r="H141" i="18"/>
  <c r="I141" i="18"/>
  <c r="I143" i="18"/>
  <c r="I144" i="18" s="1"/>
  <c r="I145" i="18" s="1"/>
  <c r="I146" i="18" s="1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G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J36" i="18"/>
  <c r="I36" i="18" s="1"/>
  <c r="G46" i="18" l="1"/>
  <c r="V45" i="18"/>
  <c r="G39" i="18"/>
  <c r="V38" i="18"/>
  <c r="I147" i="18"/>
  <c r="H145" i="18"/>
  <c r="H146" i="18" s="1"/>
  <c r="H147" i="18"/>
  <c r="G40" i="18"/>
  <c r="V40" i="18" s="1"/>
  <c r="G42" i="18"/>
  <c r="V42" i="18" s="1"/>
  <c r="G41" i="18"/>
  <c r="V41" i="18" s="1"/>
  <c r="H43" i="18"/>
  <c r="G43" i="18" s="1"/>
  <c r="V43" i="18" s="1"/>
  <c r="I129" i="18"/>
  <c r="I130" i="18"/>
  <c r="I131" i="18"/>
  <c r="I132" i="18"/>
  <c r="I135" i="18"/>
  <c r="H49" i="18"/>
  <c r="G49" i="18" s="1"/>
  <c r="V49" i="18" s="1"/>
  <c r="I133" i="18"/>
  <c r="I39" i="18"/>
  <c r="H39" i="18"/>
  <c r="H36" i="18"/>
  <c r="G36" i="18" s="1"/>
  <c r="V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I49" i="18"/>
  <c r="W49" i="18"/>
  <c r="T50" i="18"/>
  <c r="S50" i="18"/>
  <c r="R50" i="18"/>
  <c r="Q50" i="18"/>
  <c r="P50" i="18"/>
  <c r="O50" i="18"/>
  <c r="N50" i="18"/>
  <c r="M50" i="18"/>
  <c r="L50" i="18"/>
  <c r="K50" i="18"/>
  <c r="J50" i="18"/>
  <c r="T134" i="18"/>
  <c r="S134" i="18"/>
  <c r="R134" i="18"/>
  <c r="Q134" i="18"/>
  <c r="P134" i="18"/>
  <c r="O134" i="18"/>
  <c r="N134" i="18"/>
  <c r="M134" i="18"/>
  <c r="L134" i="18"/>
  <c r="K134" i="18"/>
  <c r="X49" i="18" l="1"/>
  <c r="Y49" i="18" s="1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V133" i="18" s="1"/>
  <c r="G50" i="18"/>
  <c r="G129" i="18"/>
  <c r="V129" i="18" s="1"/>
  <c r="G131" i="18"/>
  <c r="V131" i="18" s="1"/>
  <c r="G135" i="18"/>
  <c r="V135" i="18" s="1"/>
  <c r="G44" i="18"/>
  <c r="G130" i="18"/>
  <c r="V130" i="18" s="1"/>
  <c r="G132" i="18"/>
  <c r="V132" i="18" s="1"/>
  <c r="G37" i="18"/>
  <c r="G128" i="18"/>
  <c r="V128" i="18" s="1"/>
  <c r="G136" i="18"/>
  <c r="V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K46" i="18"/>
  <c r="W51" i="18"/>
  <c r="X51" i="18" s="1"/>
  <c r="J51" i="18"/>
  <c r="T46" i="18"/>
  <c r="S46" i="18"/>
  <c r="R46" i="18"/>
  <c r="Q46" i="18"/>
  <c r="P46" i="18"/>
  <c r="O46" i="18"/>
  <c r="N46" i="18"/>
  <c r="M46" i="18"/>
  <c r="L46" i="18"/>
  <c r="J46" i="18"/>
  <c r="T44" i="18"/>
  <c r="S44" i="18"/>
  <c r="R44" i="18"/>
  <c r="Q44" i="18"/>
  <c r="P44" i="18"/>
  <c r="O44" i="18"/>
  <c r="N44" i="18"/>
  <c r="M44" i="18"/>
  <c r="L44" i="18"/>
  <c r="J44" i="18"/>
  <c r="T39" i="18"/>
  <c r="S39" i="18"/>
  <c r="R39" i="18"/>
  <c r="Q39" i="18"/>
  <c r="P39" i="18"/>
  <c r="O39" i="18"/>
  <c r="N39" i="18"/>
  <c r="M39" i="18"/>
  <c r="L39" i="18"/>
  <c r="K39" i="18"/>
  <c r="T37" i="18"/>
  <c r="S37" i="18"/>
  <c r="R37" i="18"/>
  <c r="Q37" i="18"/>
  <c r="P37" i="18"/>
  <c r="O37" i="18"/>
  <c r="N37" i="18"/>
  <c r="M37" i="18"/>
  <c r="L37" i="18"/>
  <c r="K44" i="18"/>
  <c r="J39" i="18"/>
  <c r="J130" i="18"/>
  <c r="I51" i="18" l="1"/>
  <c r="J134" i="18"/>
  <c r="H221" i="18"/>
  <c r="J54" i="20"/>
  <c r="P53" i="20"/>
  <c r="H76" i="20"/>
  <c r="G57" i="20"/>
  <c r="C58" i="20" s="1"/>
  <c r="F57" i="20"/>
  <c r="I102" i="20"/>
  <c r="M101" i="20"/>
  <c r="N101" i="20" s="1"/>
  <c r="J102" i="20" s="1"/>
  <c r="B102" i="20"/>
  <c r="F101" i="20"/>
  <c r="G101" i="20" s="1"/>
  <c r="C102" i="20" s="1"/>
  <c r="J37" i="18"/>
  <c r="K37" i="18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I51" i="18"/>
  <c r="AI45" i="18"/>
  <c r="AI43" i="18"/>
  <c r="AI42" i="18"/>
  <c r="AI41" i="18"/>
  <c r="AI40" i="18"/>
  <c r="AI38" i="18"/>
  <c r="AI36" i="18"/>
  <c r="W40" i="18"/>
  <c r="Y51" i="18"/>
  <c r="Z51" i="18" s="1"/>
  <c r="AA51" i="18" s="1"/>
  <c r="AB51" i="18" s="1"/>
  <c r="AC51" i="18" s="1"/>
  <c r="AD51" i="18" s="1"/>
  <c r="AE51" i="18" s="1"/>
  <c r="AF51" i="18" s="1"/>
  <c r="AG51" i="18" s="1"/>
  <c r="W45" i="18"/>
  <c r="X45" i="18" l="1"/>
  <c r="Y45" i="18" s="1"/>
  <c r="Z45" i="18" s="1"/>
  <c r="AA45" i="18" s="1"/>
  <c r="AB45" i="18" s="1"/>
  <c r="AC45" i="18" s="1"/>
  <c r="AD45" i="18" s="1"/>
  <c r="AE45" i="18" s="1"/>
  <c r="AF45" i="18" s="1"/>
  <c r="AG45" i="18" s="1"/>
  <c r="AH45" i="18" s="1"/>
  <c r="X40" i="18"/>
  <c r="Y40" i="18" s="1"/>
  <c r="Z40" i="18" s="1"/>
  <c r="AA40" i="18" s="1"/>
  <c r="AB40" i="18" s="1"/>
  <c r="AC40" i="18" s="1"/>
  <c r="AD40" i="18" s="1"/>
  <c r="AE40" i="18" s="1"/>
  <c r="AF40" i="18" s="1"/>
  <c r="AG40" i="18" s="1"/>
  <c r="AH40" i="18" s="1"/>
  <c r="H51" i="18"/>
  <c r="G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H51" i="18"/>
  <c r="W43" i="18"/>
  <c r="W42" i="18"/>
  <c r="W41" i="18"/>
  <c r="W38" i="18"/>
  <c r="X38" i="18" s="1"/>
  <c r="W36" i="18"/>
  <c r="X36" i="18" s="1"/>
  <c r="X42" i="18" l="1"/>
  <c r="Y42" i="18" s="1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V134" i="18" s="1"/>
  <c r="V51" i="18"/>
  <c r="X41" i="18"/>
  <c r="Y41" i="18" s="1"/>
  <c r="Z41" i="18" s="1"/>
  <c r="AA41" i="18" s="1"/>
  <c r="AB41" i="18" s="1"/>
  <c r="AC41" i="18" s="1"/>
  <c r="AD41" i="18" s="1"/>
  <c r="AE41" i="18" s="1"/>
  <c r="AF41" i="18" s="1"/>
  <c r="AG41" i="18" s="1"/>
  <c r="AH41" i="18" s="1"/>
  <c r="X43" i="18"/>
  <c r="X131" i="18" s="1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Y38" i="18"/>
  <c r="Y36" i="18"/>
  <c r="B219" i="18"/>
  <c r="AI231" i="18"/>
  <c r="AI228" i="18"/>
  <c r="AI230" i="18"/>
  <c r="AI229" i="18"/>
  <c r="AI226" i="18"/>
  <c r="AI225" i="18"/>
  <c r="AI224" i="18"/>
  <c r="AI223" i="18"/>
  <c r="AI218" i="18"/>
  <c r="AI221" i="18"/>
  <c r="AI220" i="18"/>
  <c r="AI219" i="18"/>
  <c r="AI216" i="18"/>
  <c r="AI215" i="18"/>
  <c r="AI212" i="18"/>
  <c r="AI211" i="18"/>
  <c r="AI214" i="18"/>
  <c r="AI213" i="18"/>
  <c r="AI210" i="18"/>
  <c r="AI209" i="18"/>
  <c r="AI208" i="18"/>
  <c r="AI207" i="18"/>
  <c r="AI206" i="18"/>
  <c r="AI205" i="18"/>
  <c r="AJ228" i="18"/>
  <c r="X132" i="18" l="1"/>
  <c r="Y43" i="18"/>
  <c r="Z43" i="18" s="1"/>
  <c r="AA43" i="18" s="1"/>
  <c r="AB43" i="18" s="1"/>
  <c r="AC43" i="18" s="1"/>
  <c r="AD43" i="18" s="1"/>
  <c r="AE43" i="18" s="1"/>
  <c r="AF43" i="18" s="1"/>
  <c r="AG43" i="18" s="1"/>
  <c r="AH43" i="18" s="1"/>
  <c r="X130" i="18"/>
  <c r="B105" i="20"/>
  <c r="F104" i="20"/>
  <c r="G104" i="20" s="1"/>
  <c r="C105" i="20" s="1"/>
  <c r="I105" i="20"/>
  <c r="M104" i="20"/>
  <c r="N104" i="20" s="1"/>
  <c r="J105" i="20" s="1"/>
  <c r="M55" i="20"/>
  <c r="N55" i="20" s="1"/>
  <c r="H79" i="20"/>
  <c r="F60" i="20"/>
  <c r="G60" i="20" s="1"/>
  <c r="C61" i="20" s="1"/>
  <c r="Z38" i="18"/>
  <c r="Z36" i="18"/>
  <c r="AJ229" i="18"/>
  <c r="T216" i="18"/>
  <c r="S216" i="18"/>
  <c r="R216" i="18"/>
  <c r="Q216" i="18"/>
  <c r="P216" i="18"/>
  <c r="O216" i="18"/>
  <c r="N216" i="18"/>
  <c r="M216" i="18"/>
  <c r="L216" i="18"/>
  <c r="K216" i="18"/>
  <c r="J216" i="18"/>
  <c r="Y132" i="18" l="1"/>
  <c r="Y131" i="18"/>
  <c r="Y130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A38" i="18"/>
  <c r="Z131" i="18"/>
  <c r="AA36" i="18"/>
  <c r="Z132" i="18"/>
  <c r="Z130" i="18"/>
  <c r="T64" i="18"/>
  <c r="S64" i="18"/>
  <c r="R64" i="18"/>
  <c r="Q64" i="18"/>
  <c r="P64" i="18"/>
  <c r="O64" i="18"/>
  <c r="N64" i="18"/>
  <c r="M64" i="18"/>
  <c r="L64" i="18"/>
  <c r="K64" i="18"/>
  <c r="J64" i="18"/>
  <c r="T62" i="18"/>
  <c r="S62" i="18"/>
  <c r="T60" i="18"/>
  <c r="S60" i="18"/>
  <c r="T56" i="18"/>
  <c r="S56" i="18"/>
  <c r="T54" i="18"/>
  <c r="S54" i="18"/>
  <c r="T30" i="18"/>
  <c r="S30" i="18"/>
  <c r="T28" i="18"/>
  <c r="S28" i="18"/>
  <c r="T26" i="18"/>
  <c r="S26" i="18"/>
  <c r="T11" i="18"/>
  <c r="S11" i="18"/>
  <c r="T8" i="18"/>
  <c r="S8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B38" i="18"/>
  <c r="AA131" i="18"/>
  <c r="AB36" i="18"/>
  <c r="AA132" i="18"/>
  <c r="AA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C38" i="18"/>
  <c r="AB131" i="18"/>
  <c r="AC36" i="18"/>
  <c r="AB130" i="18"/>
  <c r="AB132" i="18"/>
  <c r="G224" i="18"/>
  <c r="V224" i="18" s="1"/>
  <c r="AJ49" i="18"/>
  <c r="T229" i="18" l="1"/>
  <c r="G229" i="18"/>
  <c r="V229" i="18" s="1"/>
  <c r="G223" i="18"/>
  <c r="V223" i="18" s="1"/>
  <c r="G225" i="18"/>
  <c r="X229" i="18"/>
  <c r="X230" i="18" s="1"/>
  <c r="X231" i="18" s="1"/>
  <c r="H229" i="18"/>
  <c r="I229" i="18"/>
  <c r="X224" i="18"/>
  <c r="X225" i="18" s="1"/>
  <c r="X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D38" i="18"/>
  <c r="AC131" i="18"/>
  <c r="AD36" i="18"/>
  <c r="AC130" i="18"/>
  <c r="AC132" i="18"/>
  <c r="AJ45" i="18"/>
  <c r="AJ40" i="18"/>
  <c r="AJ51" i="18"/>
  <c r="AJ41" i="18"/>
  <c r="AJ42" i="18"/>
  <c r="AJ43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I75" i="18"/>
  <c r="AI74" i="18"/>
  <c r="AI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V226" i="18" s="1"/>
  <c r="V225" i="18"/>
  <c r="X228" i="18"/>
  <c r="G228" i="18"/>
  <c r="V228" i="18" s="1"/>
  <c r="G230" i="18"/>
  <c r="T223" i="18"/>
  <c r="X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E38" i="18"/>
  <c r="AD131" i="18"/>
  <c r="AE36" i="18"/>
  <c r="AD132" i="18"/>
  <c r="AD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V231" i="18" s="1"/>
  <c r="V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F38" i="18"/>
  <c r="AE131" i="18"/>
  <c r="AF36" i="18"/>
  <c r="AE132" i="18"/>
  <c r="AE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G38" i="18"/>
  <c r="AF131" i="18"/>
  <c r="AG36" i="18"/>
  <c r="AF130" i="18"/>
  <c r="AF132" i="18"/>
  <c r="I265" i="18"/>
  <c r="I262" i="18"/>
  <c r="I263" i="18"/>
  <c r="I264" i="18"/>
  <c r="B113" i="20" l="1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H38" i="18"/>
  <c r="AG131" i="18"/>
  <c r="AH131" i="18" s="1"/>
  <c r="AJ38" i="18"/>
  <c r="AG130" i="18"/>
  <c r="AH130" i="18" s="1"/>
  <c r="AG132" i="18"/>
  <c r="AH132" i="18" s="1"/>
  <c r="AH36" i="18"/>
  <c r="AJ36" i="18"/>
  <c r="T254" i="18"/>
  <c r="T253" i="18"/>
  <c r="T252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T96" i="18" l="1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49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5" i="18"/>
  <c r="N244" i="18"/>
  <c r="N243" i="18"/>
  <c r="N242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 s="1"/>
  <c r="AI55" i="18"/>
  <c r="W55" i="18"/>
  <c r="X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 s="1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Y55" i="18"/>
  <c r="X249" i="18"/>
  <c r="X250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Z55" i="18"/>
  <c r="D261" i="18"/>
  <c r="I261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79" i="18"/>
  <c r="H280" i="18" s="1"/>
  <c r="AI77" i="18"/>
  <c r="K77" i="18"/>
  <c r="L77" i="18"/>
  <c r="M77" i="18"/>
  <c r="N77" i="18"/>
  <c r="O77" i="18"/>
  <c r="P77" i="18"/>
  <c r="Q77" i="18"/>
  <c r="R77" i="18"/>
  <c r="S77" i="18"/>
  <c r="J77" i="18"/>
  <c r="I270" i="18"/>
  <c r="D269" i="18"/>
  <c r="I268" i="18"/>
  <c r="J268" i="18" s="1"/>
  <c r="K268" i="18" s="1"/>
  <c r="K269" i="18" s="1"/>
  <c r="I266" i="18"/>
  <c r="I260" i="18"/>
  <c r="I259" i="18"/>
  <c r="J259" i="18" s="1"/>
  <c r="K259" i="18" s="1"/>
  <c r="H276" i="18" l="1"/>
  <c r="N276" i="18" s="1"/>
  <c r="G276" i="18"/>
  <c r="H275" i="18"/>
  <c r="N275" i="18" s="1"/>
  <c r="N278" i="18" s="1"/>
  <c r="G275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 s="1"/>
  <c r="AA55" i="18"/>
  <c r="D271" i="18"/>
  <c r="J260" i="18"/>
  <c r="K260" i="18" s="1"/>
  <c r="J270" i="18"/>
  <c r="K270" i="18" s="1"/>
  <c r="K271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I14" i="18"/>
  <c r="W14" i="18"/>
  <c r="X14" i="18" s="1"/>
  <c r="P260" i="18"/>
  <c r="P263" i="18" s="1"/>
  <c r="P259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79" i="18" l="1"/>
  <c r="H278" i="18"/>
  <c r="H281" i="18"/>
  <c r="G281" i="18"/>
  <c r="G278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B55" i="18"/>
  <c r="Y14" i="18"/>
  <c r="Z14" i="18" s="1"/>
  <c r="AA14" i="18" s="1"/>
  <c r="AB14" i="18" s="1"/>
  <c r="AC14" i="18" s="1"/>
  <c r="AD14" i="18" s="1"/>
  <c r="AE14" i="18" s="1"/>
  <c r="AF14" i="18" s="1"/>
  <c r="AG14" i="18" s="1"/>
  <c r="J261" i="18"/>
  <c r="K261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I32" i="18"/>
  <c r="W32" i="18"/>
  <c r="X32" i="18" s="1"/>
  <c r="J141" i="18"/>
  <c r="K141" i="18"/>
  <c r="L141" i="18"/>
  <c r="M141" i="18"/>
  <c r="N141" i="18"/>
  <c r="O141" i="18"/>
  <c r="P141" i="18"/>
  <c r="Q141" i="18"/>
  <c r="R141" i="18"/>
  <c r="S141" i="18"/>
  <c r="O263" i="18"/>
  <c r="O261" i="18"/>
  <c r="P261" i="18" s="1"/>
  <c r="P266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F77" i="20" l="1"/>
  <c r="G77" i="20" s="1"/>
  <c r="C78" i="20" s="1"/>
  <c r="M64" i="20"/>
  <c r="N64" i="20" s="1"/>
  <c r="J262" i="18"/>
  <c r="K262" i="18" s="1"/>
  <c r="J263" i="18" s="1"/>
  <c r="K263" i="18" s="1"/>
  <c r="J264" i="18" s="1"/>
  <c r="K264" i="18" s="1"/>
  <c r="J265" i="18" s="1"/>
  <c r="K265" i="18" s="1"/>
  <c r="J266" i="18" s="1"/>
  <c r="K266" i="18" s="1"/>
  <c r="K267" i="18" s="1"/>
  <c r="AC55" i="18"/>
  <c r="AH14" i="18"/>
  <c r="AJ14" i="18"/>
  <c r="Y32" i="18"/>
  <c r="Z32" i="18" s="1"/>
  <c r="AA32" i="18" s="1"/>
  <c r="AB32" i="18" s="1"/>
  <c r="AC32" i="18" s="1"/>
  <c r="AD32" i="18" s="1"/>
  <c r="AE32" i="18" s="1"/>
  <c r="AF32" i="18" s="1"/>
  <c r="AG32" i="18" s="1"/>
  <c r="AH32" i="18" s="1"/>
  <c r="O266" i="18"/>
  <c r="W9" i="18"/>
  <c r="X9" i="18" s="1"/>
  <c r="W10" i="18"/>
  <c r="X10" i="18" s="1"/>
  <c r="W12" i="18"/>
  <c r="X12" i="18" s="1"/>
  <c r="W13" i="18"/>
  <c r="X13" i="18" s="1"/>
  <c r="W15" i="18"/>
  <c r="X15" i="18" s="1"/>
  <c r="W16" i="18"/>
  <c r="X16" i="18" s="1"/>
  <c r="W18" i="18"/>
  <c r="X18" i="18" s="1"/>
  <c r="W20" i="18"/>
  <c r="X20" i="18" s="1"/>
  <c r="W21" i="18"/>
  <c r="X21" i="18" s="1"/>
  <c r="W22" i="18"/>
  <c r="X22" i="18" s="1"/>
  <c r="W23" i="18"/>
  <c r="X23" i="18" s="1"/>
  <c r="W25" i="18"/>
  <c r="W27" i="18"/>
  <c r="X27" i="18" s="1"/>
  <c r="W29" i="18"/>
  <c r="X29" i="18" s="1"/>
  <c r="W31" i="18"/>
  <c r="X31" i="18" s="1"/>
  <c r="W33" i="18"/>
  <c r="X33" i="18" s="1"/>
  <c r="W34" i="18"/>
  <c r="X34" i="18" s="1"/>
  <c r="W53" i="18"/>
  <c r="X53" i="18" s="1"/>
  <c r="W7" i="18"/>
  <c r="X7" i="18" s="1"/>
  <c r="W6" i="18"/>
  <c r="X6" i="18" s="1"/>
  <c r="AI9" i="18"/>
  <c r="AI10" i="18"/>
  <c r="AI11" i="18"/>
  <c r="AI12" i="18"/>
  <c r="AI13" i="18"/>
  <c r="AI15" i="18"/>
  <c r="AI16" i="18"/>
  <c r="AI18" i="18"/>
  <c r="AI20" i="18"/>
  <c r="AI21" i="18"/>
  <c r="AI22" i="18"/>
  <c r="AI23" i="18"/>
  <c r="AI25" i="18"/>
  <c r="AI27" i="18"/>
  <c r="AI29" i="18"/>
  <c r="AI31" i="18"/>
  <c r="AI33" i="18"/>
  <c r="AI34" i="18"/>
  <c r="AI53" i="18"/>
  <c r="AI59" i="18"/>
  <c r="AI61" i="18"/>
  <c r="AI63" i="18"/>
  <c r="AI70" i="18"/>
  <c r="AI71" i="18"/>
  <c r="AI76" i="18"/>
  <c r="AI78" i="18"/>
  <c r="AI79" i="18"/>
  <c r="AI80" i="18"/>
  <c r="AI82" i="18"/>
  <c r="AI83" i="18"/>
  <c r="AI84" i="18"/>
  <c r="AI86" i="18"/>
  <c r="AI87" i="18"/>
  <c r="AI88" i="18"/>
  <c r="AI89" i="18"/>
  <c r="AI91" i="18"/>
  <c r="AI92" i="18"/>
  <c r="AI94" i="18"/>
  <c r="AI96" i="18"/>
  <c r="AI97" i="18"/>
  <c r="AI98" i="18"/>
  <c r="AI99" i="18"/>
  <c r="AI100" i="18"/>
  <c r="AI102" i="18"/>
  <c r="AI103" i="18"/>
  <c r="AI104" i="18"/>
  <c r="AI7" i="18"/>
  <c r="AI6" i="18"/>
  <c r="X25" i="18" l="1"/>
  <c r="X133" i="18" s="1"/>
  <c r="X59" i="18"/>
  <c r="X134" i="18" s="1"/>
  <c r="J65" i="20"/>
  <c r="P64" i="20"/>
  <c r="F78" i="20"/>
  <c r="G78" i="20" s="1"/>
  <c r="AD55" i="18"/>
  <c r="AJ32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X135" i="18" l="1"/>
  <c r="X129" i="18"/>
  <c r="X136" i="18"/>
  <c r="X72" i="18"/>
  <c r="X114" i="18" s="1"/>
  <c r="X128" i="18"/>
  <c r="G81" i="20"/>
  <c r="G82" i="20" s="1"/>
  <c r="C79" i="20"/>
  <c r="M65" i="20"/>
  <c r="N65" i="20"/>
  <c r="J66" i="20" s="1"/>
  <c r="AE55" i="18"/>
  <c r="Y31" i="18"/>
  <c r="X151" i="18"/>
  <c r="Y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F55" i="18"/>
  <c r="Z31" i="18"/>
  <c r="Z29" i="18"/>
  <c r="AJ91" i="18"/>
  <c r="M67" i="20" l="1"/>
  <c r="N67" i="20"/>
  <c r="J68" i="20" s="1"/>
  <c r="AG55" i="18"/>
  <c r="AA31" i="18"/>
  <c r="AA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M68" i="20" l="1"/>
  <c r="N68" i="20" s="1"/>
  <c r="J69" i="20" s="1"/>
  <c r="AH55" i="18"/>
  <c r="AJ55" i="18"/>
  <c r="AB31" i="18"/>
  <c r="X92" i="18"/>
  <c r="AB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Y63" i="18"/>
  <c r="M69" i="20" l="1"/>
  <c r="N69" i="20"/>
  <c r="J70" i="20" s="1"/>
  <c r="AC31" i="18"/>
  <c r="Z63" i="18"/>
  <c r="AC29" i="18"/>
  <c r="S145" i="18"/>
  <c r="Y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/>
  <c r="J71" i="20" s="1"/>
  <c r="AD31" i="18"/>
  <c r="AA63" i="18"/>
  <c r="Z92" i="18"/>
  <c r="AD29" i="18"/>
  <c r="S109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252" i="18"/>
  <c r="L252" i="18"/>
  <c r="M252" i="18"/>
  <c r="N252" i="18"/>
  <c r="O252" i="18"/>
  <c r="P252" i="18"/>
  <c r="Q252" i="18"/>
  <c r="R252" i="18"/>
  <c r="S252" i="18"/>
  <c r="J252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X117" i="18"/>
  <c r="X123" i="18" s="1"/>
  <c r="J218" i="18" l="1"/>
  <c r="M71" i="20"/>
  <c r="N71" i="20" s="1"/>
  <c r="J72" i="20" s="1"/>
  <c r="AE31" i="18"/>
  <c r="AB63" i="18"/>
  <c r="AA92" i="18"/>
  <c r="AE29" i="18"/>
  <c r="Y53" i="18"/>
  <c r="M72" i="20" l="1"/>
  <c r="N72" i="20" s="1"/>
  <c r="J73" i="20" s="1"/>
  <c r="Y117" i="18"/>
  <c r="Y123" i="18" s="1"/>
  <c r="AF31" i="18"/>
  <c r="AC63" i="18"/>
  <c r="AB92" i="18"/>
  <c r="AF29" i="18"/>
  <c r="Z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Y22" i="18"/>
  <c r="Z22" i="18" s="1"/>
  <c r="AA22" i="18" s="1"/>
  <c r="AB22" i="18" s="1"/>
  <c r="AC22" i="18" s="1"/>
  <c r="AD22" i="18" s="1"/>
  <c r="AE22" i="18" s="1"/>
  <c r="AF22" i="18" s="1"/>
  <c r="AG22" i="18" s="1"/>
  <c r="J94" i="18"/>
  <c r="J96" i="18" s="1"/>
  <c r="K94" i="18"/>
  <c r="K96" i="18" s="1"/>
  <c r="K98" i="18"/>
  <c r="K97" i="18"/>
  <c r="N73" i="20" l="1"/>
  <c r="J74" i="20" s="1"/>
  <c r="M73" i="20"/>
  <c r="Z117" i="18"/>
  <c r="Z123" i="18" s="1"/>
  <c r="AG31" i="18"/>
  <c r="AH31" i="18" s="1"/>
  <c r="AD63" i="18"/>
  <c r="AC92" i="18"/>
  <c r="Y23" i="18"/>
  <c r="X120" i="18"/>
  <c r="X126" i="18" s="1"/>
  <c r="AG29" i="18"/>
  <c r="AH22" i="18"/>
  <c r="AJ22" i="18"/>
  <c r="AA53" i="18"/>
  <c r="Y21" i="18"/>
  <c r="M74" i="20" l="1"/>
  <c r="N74" i="20" s="1"/>
  <c r="J75" i="20" s="1"/>
  <c r="AJ31" i="18"/>
  <c r="AA117" i="18"/>
  <c r="AA123" i="18" s="1"/>
  <c r="AD92" i="18"/>
  <c r="AE63" i="18"/>
  <c r="Z23" i="18"/>
  <c r="Y120" i="18"/>
  <c r="Y126" i="18" s="1"/>
  <c r="AJ29" i="18"/>
  <c r="AH29" i="18"/>
  <c r="Y20" i="18"/>
  <c r="X94" i="18"/>
  <c r="Z21" i="18"/>
  <c r="Y9" i="18"/>
  <c r="Z9" i="18" s="1"/>
  <c r="AA9" i="18" s="1"/>
  <c r="AB9" i="18" s="1"/>
  <c r="AC9" i="18" s="1"/>
  <c r="AD9" i="18" s="1"/>
  <c r="AE9" i="18" s="1"/>
  <c r="AF9" i="18" s="1"/>
  <c r="AG9" i="18" s="1"/>
  <c r="AJ9" i="18" s="1"/>
  <c r="X113" i="18"/>
  <c r="Y33" i="18"/>
  <c r="Z33" i="18" s="1"/>
  <c r="AA33" i="18" s="1"/>
  <c r="AB33" i="18" s="1"/>
  <c r="AC33" i="18" s="1"/>
  <c r="AD33" i="18" s="1"/>
  <c r="AE33" i="18" s="1"/>
  <c r="AF33" i="18" s="1"/>
  <c r="AG33" i="18" s="1"/>
  <c r="AJ33" i="18" s="1"/>
  <c r="Y34" i="18"/>
  <c r="Z34" i="18" s="1"/>
  <c r="AA34" i="18" s="1"/>
  <c r="AB34" i="18" s="1"/>
  <c r="AC34" i="18" s="1"/>
  <c r="AD34" i="18" s="1"/>
  <c r="AE34" i="18" s="1"/>
  <c r="AF34" i="18" s="1"/>
  <c r="AG34" i="18" s="1"/>
  <c r="AJ34" i="18" s="1"/>
  <c r="AB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R218" i="18" s="1"/>
  <c r="M75" i="20" l="1"/>
  <c r="N75" i="20" s="1"/>
  <c r="J76" i="20" s="1"/>
  <c r="AB117" i="18"/>
  <c r="AB123" i="18" s="1"/>
  <c r="AE92" i="18"/>
  <c r="AF63" i="18"/>
  <c r="Y94" i="18"/>
  <c r="X160" i="18"/>
  <c r="X170" i="18"/>
  <c r="X161" i="18"/>
  <c r="X171" i="18"/>
  <c r="AA23" i="18"/>
  <c r="Z120" i="18"/>
  <c r="Z126" i="18" s="1"/>
  <c r="X154" i="18"/>
  <c r="X155" i="18"/>
  <c r="X153" i="18"/>
  <c r="X141" i="18"/>
  <c r="S146" i="18"/>
  <c r="X116" i="18"/>
  <c r="X122" i="18" s="1"/>
  <c r="X150" i="18"/>
  <c r="X149" i="18"/>
  <c r="Y18" i="18"/>
  <c r="R207" i="18"/>
  <c r="Z20" i="18"/>
  <c r="Y27" i="18"/>
  <c r="AC53" i="18"/>
  <c r="Y25" i="18"/>
  <c r="Y133" i="18" s="1"/>
  <c r="X109" i="18"/>
  <c r="AA21" i="18"/>
  <c r="AH33" i="18"/>
  <c r="AH34" i="18"/>
  <c r="AH9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Y128" i="18"/>
  <c r="Y129" i="18"/>
  <c r="R220" i="18"/>
  <c r="R221" i="18" s="1"/>
  <c r="R219" i="18"/>
  <c r="AC117" i="18"/>
  <c r="AC123" i="18" s="1"/>
  <c r="Y113" i="18"/>
  <c r="Y151" i="18"/>
  <c r="AG63" i="18"/>
  <c r="AF92" i="18"/>
  <c r="Y161" i="18"/>
  <c r="Y171" i="18"/>
  <c r="Y160" i="18"/>
  <c r="Y170" i="18"/>
  <c r="AB23" i="18"/>
  <c r="AA120" i="18"/>
  <c r="AA126" i="18" s="1"/>
  <c r="Y153" i="18"/>
  <c r="Y155" i="18"/>
  <c r="Y154" i="18"/>
  <c r="Y141" i="18"/>
  <c r="Y116" i="18"/>
  <c r="Y122" i="18" s="1"/>
  <c r="Y150" i="18"/>
  <c r="Y149" i="18"/>
  <c r="Z18" i="18"/>
  <c r="AA20" i="18"/>
  <c r="Z94" i="18"/>
  <c r="Z27" i="18"/>
  <c r="Z25" i="18"/>
  <c r="Y109" i="18"/>
  <c r="AD53" i="18"/>
  <c r="AB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M77" i="20" l="1"/>
  <c r="N77" i="20" s="1"/>
  <c r="J78" i="20" s="1"/>
  <c r="Z129" i="18"/>
  <c r="Z133" i="18"/>
  <c r="Z151" i="18"/>
  <c r="Z128" i="18"/>
  <c r="AD117" i="18"/>
  <c r="AD123" i="18" s="1"/>
  <c r="AJ63" i="18"/>
  <c r="AG92" i="18"/>
  <c r="AH63" i="18"/>
  <c r="Z160" i="18"/>
  <c r="Z170" i="18"/>
  <c r="Z161" i="18"/>
  <c r="Z171" i="18"/>
  <c r="Z113" i="18"/>
  <c r="AC23" i="18"/>
  <c r="AB120" i="18"/>
  <c r="AB126" i="18" s="1"/>
  <c r="Z155" i="18"/>
  <c r="Z154" i="18"/>
  <c r="Z153" i="18"/>
  <c r="Z141" i="18"/>
  <c r="Z116" i="18"/>
  <c r="Z122" i="18" s="1"/>
  <c r="Z150" i="18"/>
  <c r="Z149" i="18"/>
  <c r="AA18" i="18"/>
  <c r="AB20" i="18"/>
  <c r="AA94" i="18"/>
  <c r="AA27" i="18"/>
  <c r="AA25" i="18"/>
  <c r="AA133" i="18" s="1"/>
  <c r="Z109" i="18"/>
  <c r="AE53" i="18"/>
  <c r="AC21" i="18"/>
  <c r="M78" i="20" l="1"/>
  <c r="N78" i="20" s="1"/>
  <c r="AA128" i="18"/>
  <c r="AA129" i="18"/>
  <c r="AE117" i="18"/>
  <c r="AE123" i="18" s="1"/>
  <c r="AA113" i="18"/>
  <c r="AA151" i="18"/>
  <c r="X192" i="18"/>
  <c r="T241" i="18" s="1"/>
  <c r="AJ92" i="18"/>
  <c r="Y192" i="18" s="1"/>
  <c r="S241" i="18" s="1"/>
  <c r="AH92" i="18"/>
  <c r="AA161" i="18"/>
  <c r="AA171" i="18"/>
  <c r="AA160" i="18"/>
  <c r="AA170" i="18"/>
  <c r="AD23" i="18"/>
  <c r="AC120" i="18"/>
  <c r="AC126" i="18" s="1"/>
  <c r="AA141" i="18"/>
  <c r="AA155" i="18"/>
  <c r="AA154" i="18"/>
  <c r="AA153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K76" i="18"/>
  <c r="L76" i="18"/>
  <c r="M76" i="18"/>
  <c r="M218" i="18" s="1"/>
  <c r="N76" i="18"/>
  <c r="N218" i="18" s="1"/>
  <c r="O76" i="18"/>
  <c r="O218" i="18" s="1"/>
  <c r="P76" i="18"/>
  <c r="P218" i="18" s="1"/>
  <c r="Q76" i="18"/>
  <c r="S76" i="18"/>
  <c r="S218" i="18" s="1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X158" i="18"/>
  <c r="X166" i="18"/>
  <c r="X167" i="18" s="1"/>
  <c r="X118" i="18"/>
  <c r="X124" i="18" s="1"/>
  <c r="Q218" i="18" l="1"/>
  <c r="U174" i="18"/>
  <c r="L218" i="18"/>
  <c r="V174" i="18"/>
  <c r="X248" i="18" s="1"/>
  <c r="X247" i="18" s="1"/>
  <c r="K218" i="18"/>
  <c r="N81" i="20"/>
  <c r="N82" i="20" s="1"/>
  <c r="J79" i="20"/>
  <c r="AB129" i="18"/>
  <c r="AB133" i="18"/>
  <c r="AB151" i="18"/>
  <c r="AB128" i="18"/>
  <c r="X215" i="18"/>
  <c r="AF117" i="18"/>
  <c r="AF123" i="18" s="1"/>
  <c r="X138" i="18"/>
  <c r="W192" i="18"/>
  <c r="AB160" i="18"/>
  <c r="AB170" i="18"/>
  <c r="AB113" i="18"/>
  <c r="AB161" i="18"/>
  <c r="AB171" i="18"/>
  <c r="AE23" i="18"/>
  <c r="AD120" i="18"/>
  <c r="AD126" i="18" s="1"/>
  <c r="X111" i="18"/>
  <c r="X112" i="18"/>
  <c r="X164" i="18"/>
  <c r="X163" i="18"/>
  <c r="X119" i="18"/>
  <c r="X125" i="18" s="1"/>
  <c r="X159" i="18"/>
  <c r="K207" i="18"/>
  <c r="AB141" i="18"/>
  <c r="AB154" i="18"/>
  <c r="AB153" i="18"/>
  <c r="AB155" i="18"/>
  <c r="X140" i="18"/>
  <c r="AB116" i="18"/>
  <c r="AB122" i="18" s="1"/>
  <c r="AB150" i="18"/>
  <c r="AB149" i="18"/>
  <c r="X139" i="18"/>
  <c r="AC18" i="18"/>
  <c r="S207" i="18"/>
  <c r="N207" i="18"/>
  <c r="M207" i="18"/>
  <c r="P207" i="18"/>
  <c r="L207" i="18"/>
  <c r="AD20" i="18"/>
  <c r="AC94" i="18"/>
  <c r="K88" i="18"/>
  <c r="K211" i="18" s="1"/>
  <c r="AC27" i="18"/>
  <c r="Y12" i="18"/>
  <c r="Y15" i="18"/>
  <c r="Y158" i="18" s="1"/>
  <c r="Y13" i="18"/>
  <c r="Y10" i="18"/>
  <c r="Y16" i="18"/>
  <c r="Y166" i="18" s="1"/>
  <c r="Y167" i="18" s="1"/>
  <c r="Y6" i="18"/>
  <c r="Y7" i="18"/>
  <c r="AC25" i="18"/>
  <c r="AC133" i="18" s="1"/>
  <c r="AB109" i="18"/>
  <c r="Y59" i="18"/>
  <c r="X110" i="18"/>
  <c r="AG53" i="18"/>
  <c r="O88" i="18"/>
  <c r="O211" i="18" s="1"/>
  <c r="N88" i="18"/>
  <c r="N211" i="18" s="1"/>
  <c r="M88" i="18"/>
  <c r="M211" i="18" s="1"/>
  <c r="AE21" i="18"/>
  <c r="Y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Y134" i="18" l="1"/>
  <c r="Y76" i="18"/>
  <c r="M79" i="20"/>
  <c r="N79" i="20" s="1"/>
  <c r="J80" i="20" s="1"/>
  <c r="Y136" i="18"/>
  <c r="Y135" i="18"/>
  <c r="AC128" i="18"/>
  <c r="AC129" i="18"/>
  <c r="Y215" i="18"/>
  <c r="Y224" i="18"/>
  <c r="Y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C113" i="18"/>
  <c r="AC151" i="18"/>
  <c r="Y118" i="18"/>
  <c r="Y124" i="18" s="1"/>
  <c r="Y72" i="18"/>
  <c r="Y114" i="18" s="1"/>
  <c r="Y249" i="18"/>
  <c r="Z249" i="18" s="1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Y138" i="18"/>
  <c r="AC160" i="18"/>
  <c r="AC170" i="18"/>
  <c r="AC161" i="18"/>
  <c r="AC171" i="18"/>
  <c r="AJ53" i="18"/>
  <c r="AG117" i="18"/>
  <c r="AF23" i="18"/>
  <c r="AE120" i="18"/>
  <c r="AE126" i="18" s="1"/>
  <c r="Y164" i="18"/>
  <c r="Y163" i="18"/>
  <c r="Y119" i="18"/>
  <c r="Y125" i="18" s="1"/>
  <c r="Y159" i="18"/>
  <c r="Y112" i="18"/>
  <c r="AC153" i="18"/>
  <c r="AC154" i="18"/>
  <c r="AC155" i="18"/>
  <c r="AC141" i="18"/>
  <c r="AC116" i="18"/>
  <c r="AC122" i="18" s="1"/>
  <c r="AC150" i="18"/>
  <c r="AC149" i="18"/>
  <c r="Y139" i="18"/>
  <c r="Y140" i="18"/>
  <c r="AD18" i="18"/>
  <c r="AE20" i="18"/>
  <c r="AD94" i="18"/>
  <c r="AD27" i="18"/>
  <c r="Z15" i="18"/>
  <c r="Z158" i="18" s="1"/>
  <c r="Z13" i="18"/>
  <c r="Z12" i="18"/>
  <c r="Z16" i="18"/>
  <c r="Z166" i="18" s="1"/>
  <c r="Z167" i="18" s="1"/>
  <c r="Z10" i="18"/>
  <c r="Z7" i="18"/>
  <c r="Z6" i="18"/>
  <c r="AH53" i="18"/>
  <c r="AD25" i="18"/>
  <c r="AD133" i="18" s="1"/>
  <c r="AC109" i="18"/>
  <c r="Z59" i="18"/>
  <c r="Z134" i="18" s="1"/>
  <c r="Y111" i="18"/>
  <c r="Y110" i="18"/>
  <c r="AF21" i="18"/>
  <c r="Z205" i="18"/>
  <c r="J211" i="18"/>
  <c r="Q211" i="18"/>
  <c r="S211" i="18"/>
  <c r="M80" i="20" l="1"/>
  <c r="N80" i="20" s="1"/>
  <c r="Z135" i="18"/>
  <c r="Z136" i="18"/>
  <c r="AD128" i="18"/>
  <c r="AD129" i="18"/>
  <c r="Y230" i="18"/>
  <c r="Y231" i="18" s="1"/>
  <c r="Y228" i="18"/>
  <c r="Y225" i="18"/>
  <c r="Y226" i="18" s="1"/>
  <c r="Y223" i="18"/>
  <c r="Z215" i="18"/>
  <c r="Z229" i="18"/>
  <c r="Z224" i="18"/>
  <c r="AD113" i="18"/>
  <c r="AD151" i="18"/>
  <c r="Z118" i="18"/>
  <c r="Z124" i="18" s="1"/>
  <c r="Z72" i="18"/>
  <c r="Z114" i="18" s="1"/>
  <c r="Y250" i="18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H117" i="18"/>
  <c r="AG123" i="18"/>
  <c r="AH123" i="18" s="1"/>
  <c r="Y248" i="18"/>
  <c r="Z248" i="18" s="1"/>
  <c r="AA248" i="18" s="1"/>
  <c r="AB248" i="18" s="1"/>
  <c r="AC248" i="18" s="1"/>
  <c r="AD248" i="18" s="1"/>
  <c r="AE248" i="18" s="1"/>
  <c r="AF248" i="18" s="1"/>
  <c r="AG248" i="18" s="1"/>
  <c r="AH248" i="18" s="1"/>
  <c r="Z138" i="18"/>
  <c r="AD160" i="18"/>
  <c r="AD170" i="18"/>
  <c r="AD161" i="18"/>
  <c r="AD171" i="18"/>
  <c r="AG23" i="18"/>
  <c r="AF120" i="18"/>
  <c r="AF126" i="18" s="1"/>
  <c r="Z119" i="18"/>
  <c r="Z125" i="18" s="1"/>
  <c r="Z159" i="18"/>
  <c r="Z164" i="18"/>
  <c r="Z163" i="18"/>
  <c r="Z112" i="18"/>
  <c r="AD155" i="18"/>
  <c r="AD154" i="18"/>
  <c r="AD153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3" i="18"/>
  <c r="AA12" i="18"/>
  <c r="AA15" i="18"/>
  <c r="AA158" i="18" s="1"/>
  <c r="AA10" i="18"/>
  <c r="AA16" i="18"/>
  <c r="AA166" i="18" s="1"/>
  <c r="AA167" i="18" s="1"/>
  <c r="AA6" i="18"/>
  <c r="AA7" i="18"/>
  <c r="AA59" i="18"/>
  <c r="AA134" i="18" s="1"/>
  <c r="Z111" i="18"/>
  <c r="Z110" i="18"/>
  <c r="AE25" i="18"/>
  <c r="AE133" i="18" s="1"/>
  <c r="AD109" i="18"/>
  <c r="AG21" i="18"/>
  <c r="AJ21" i="18" s="1"/>
  <c r="AA205" i="18"/>
  <c r="AA136" i="18" l="1"/>
  <c r="AA135" i="18"/>
  <c r="AE128" i="18"/>
  <c r="AE129" i="18"/>
  <c r="Z225" i="18"/>
  <c r="Z226" i="18" s="1"/>
  <c r="Z223" i="18"/>
  <c r="Z230" i="18"/>
  <c r="Z231" i="18" s="1"/>
  <c r="Z228" i="18"/>
  <c r="AA215" i="18"/>
  <c r="AA224" i="18"/>
  <c r="AA229" i="18"/>
  <c r="AE113" i="18"/>
  <c r="AE151" i="18"/>
  <c r="AA118" i="18"/>
  <c r="AA124" i="18" s="1"/>
  <c r="AA72" i="18"/>
  <c r="AA114" i="18" s="1"/>
  <c r="Y247" i="18"/>
  <c r="Z247" i="18" s="1"/>
  <c r="AA247" i="18" s="1"/>
  <c r="AB247" i="18" s="1"/>
  <c r="AC247" i="18" s="1"/>
  <c r="AD247" i="18" s="1"/>
  <c r="AE247" i="18" s="1"/>
  <c r="AF247" i="18" s="1"/>
  <c r="AG247" i="18" s="1"/>
  <c r="AH247" i="18" s="1"/>
  <c r="AI248" i="18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A138" i="18"/>
  <c r="AE160" i="18"/>
  <c r="AE170" i="18"/>
  <c r="AE161" i="18"/>
  <c r="AE171" i="18"/>
  <c r="AJ23" i="18"/>
  <c r="AG120" i="18"/>
  <c r="AH23" i="18"/>
  <c r="AA112" i="18"/>
  <c r="AA163" i="18"/>
  <c r="AA164" i="18"/>
  <c r="AA119" i="18"/>
  <c r="AA125" i="18" s="1"/>
  <c r="AA159" i="18"/>
  <c r="AE155" i="18"/>
  <c r="AE154" i="18"/>
  <c r="AE153" i="18"/>
  <c r="AE141" i="18"/>
  <c r="AE116" i="18"/>
  <c r="AE122" i="18" s="1"/>
  <c r="AE150" i="18"/>
  <c r="AE149" i="18"/>
  <c r="AA140" i="18"/>
  <c r="AA139" i="18"/>
  <c r="AF18" i="18"/>
  <c r="AG20" i="18"/>
  <c r="AF94" i="18"/>
  <c r="AF27" i="18"/>
  <c r="AB12" i="18"/>
  <c r="AB15" i="18"/>
  <c r="AB158" i="18" s="1"/>
  <c r="AB13" i="18"/>
  <c r="AB16" i="18"/>
  <c r="AB166" i="18" s="1"/>
  <c r="AB167" i="18" s="1"/>
  <c r="AB10" i="18"/>
  <c r="AB7" i="18"/>
  <c r="AB6" i="18"/>
  <c r="AF25" i="18"/>
  <c r="AE109" i="18"/>
  <c r="AB59" i="18"/>
  <c r="AB134" i="18" s="1"/>
  <c r="AA110" i="18"/>
  <c r="AA111" i="18"/>
  <c r="AH21" i="18"/>
  <c r="AB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29" i="18" l="1"/>
  <c r="AF133" i="18"/>
  <c r="AB136" i="18"/>
  <c r="AB135" i="18"/>
  <c r="AF151" i="18"/>
  <c r="AF128" i="18"/>
  <c r="AA230" i="18"/>
  <c r="AA231" i="18" s="1"/>
  <c r="AA228" i="18"/>
  <c r="AA225" i="18"/>
  <c r="AA226" i="18" s="1"/>
  <c r="AA223" i="18"/>
  <c r="AB215" i="18"/>
  <c r="AB229" i="18"/>
  <c r="AB224" i="18"/>
  <c r="AB118" i="18"/>
  <c r="AB124" i="18" s="1"/>
  <c r="AB72" i="18"/>
  <c r="AB114" i="18" s="1"/>
  <c r="AI247" i="18"/>
  <c r="AJ247" i="18" s="1"/>
  <c r="AK247" i="18" s="1"/>
  <c r="AL247" i="18" s="1"/>
  <c r="AM247" i="18" s="1"/>
  <c r="AN247" i="18" s="1"/>
  <c r="AO247" i="18" s="1"/>
  <c r="AP247" i="18" s="1"/>
  <c r="AQ247" i="18" s="1"/>
  <c r="AR247" i="18" s="1"/>
  <c r="AS247" i="18" s="1"/>
  <c r="AT247" i="18" s="1"/>
  <c r="AU247" i="18" s="1"/>
  <c r="AV247" i="18" s="1"/>
  <c r="AW247" i="18" s="1"/>
  <c r="AX247" i="18" s="1"/>
  <c r="AH120" i="18"/>
  <c r="AG126" i="18"/>
  <c r="AH126" i="18" s="1"/>
  <c r="AB138" i="18"/>
  <c r="AF160" i="18"/>
  <c r="AF170" i="18"/>
  <c r="AF161" i="18"/>
  <c r="AF171" i="18"/>
  <c r="AJ20" i="18"/>
  <c r="AF113" i="18"/>
  <c r="AB164" i="18"/>
  <c r="AB163" i="18"/>
  <c r="AB119" i="18"/>
  <c r="AB125" i="18" s="1"/>
  <c r="AB159" i="18"/>
  <c r="AB112" i="18"/>
  <c r="AF154" i="18"/>
  <c r="AF153" i="18"/>
  <c r="AF155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G171" i="18" s="1"/>
  <c r="AH171" i="18" s="1"/>
  <c r="AC15" i="18"/>
  <c r="AC158" i="18" s="1"/>
  <c r="AC13" i="18"/>
  <c r="AC12" i="18"/>
  <c r="AC10" i="18"/>
  <c r="AC16" i="18"/>
  <c r="AC166" i="18" s="1"/>
  <c r="AC167" i="18" s="1"/>
  <c r="AC6" i="18"/>
  <c r="AC7" i="18"/>
  <c r="AC59" i="18"/>
  <c r="AC134" i="18" s="1"/>
  <c r="AB111" i="18"/>
  <c r="AB110" i="18"/>
  <c r="AG25" i="18"/>
  <c r="AG133" i="18" s="1"/>
  <c r="AH133" i="18" s="1"/>
  <c r="AF109" i="18"/>
  <c r="AC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136" i="18" l="1"/>
  <c r="AC135" i="18"/>
  <c r="AG128" i="18"/>
  <c r="AH128" i="18" s="1"/>
  <c r="AG129" i="18"/>
  <c r="AH129" i="18" s="1"/>
  <c r="AB225" i="18"/>
  <c r="AB226" i="18" s="1"/>
  <c r="AB223" i="18"/>
  <c r="AB230" i="18"/>
  <c r="AB231" i="18" s="1"/>
  <c r="AB228" i="18"/>
  <c r="AC215" i="18"/>
  <c r="AC229" i="18"/>
  <c r="AC224" i="18"/>
  <c r="AG113" i="18"/>
  <c r="AH113" i="18" s="1"/>
  <c r="AG151" i="18"/>
  <c r="AH151" i="18" s="1"/>
  <c r="AC118" i="18"/>
  <c r="AC124" i="18" s="1"/>
  <c r="AC72" i="18"/>
  <c r="AC114" i="18" s="1"/>
  <c r="AC138" i="18"/>
  <c r="AG160" i="18"/>
  <c r="AH160" i="18" s="1"/>
  <c r="AG170" i="18"/>
  <c r="AH170" i="18" s="1"/>
  <c r="AC119" i="18"/>
  <c r="AC125" i="18" s="1"/>
  <c r="AC159" i="18"/>
  <c r="AC164" i="18"/>
  <c r="AC163" i="18"/>
  <c r="AJ27" i="18"/>
  <c r="AG161" i="18"/>
  <c r="AH161" i="18" s="1"/>
  <c r="AC112" i="18"/>
  <c r="AG153" i="18"/>
  <c r="AH153" i="18" s="1"/>
  <c r="AG155" i="18"/>
  <c r="AH155" i="18" s="1"/>
  <c r="AG154" i="18"/>
  <c r="AH15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G141" i="18"/>
  <c r="AH141" i="18" s="1"/>
  <c r="AG116" i="18"/>
  <c r="AG150" i="18"/>
  <c r="AH150" i="18" s="1"/>
  <c r="AG149" i="18"/>
  <c r="AH149" i="18" s="1"/>
  <c r="AC140" i="18"/>
  <c r="AC139" i="18"/>
  <c r="AJ25" i="18"/>
  <c r="AJ18" i="18"/>
  <c r="AH18" i="18"/>
  <c r="X194" i="18"/>
  <c r="AJ94" i="18"/>
  <c r="AH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27" i="18"/>
  <c r="AD12" i="18"/>
  <c r="AD15" i="18"/>
  <c r="AD158" i="18" s="1"/>
  <c r="AD13" i="18"/>
  <c r="AD10" i="18"/>
  <c r="AD16" i="18"/>
  <c r="AD166" i="18" s="1"/>
  <c r="AD167" i="18" s="1"/>
  <c r="AD7" i="18"/>
  <c r="AD6" i="18"/>
  <c r="AH25" i="18"/>
  <c r="AG109" i="18"/>
  <c r="AH109" i="18" s="1"/>
  <c r="AD59" i="18"/>
  <c r="AD134" i="18" s="1"/>
  <c r="AC111" i="18"/>
  <c r="AC110" i="18"/>
  <c r="O31" i="9"/>
  <c r="O32" i="9" s="1"/>
  <c r="AD205" i="18"/>
  <c r="P31" i="11"/>
  <c r="N32" i="11"/>
  <c r="T19" i="9"/>
  <c r="D22" i="9"/>
  <c r="AD135" i="18" l="1"/>
  <c r="AD136" i="18"/>
  <c r="AC225" i="18"/>
  <c r="AC226" i="18" s="1"/>
  <c r="AC223" i="18"/>
  <c r="AC230" i="18"/>
  <c r="AC231" i="18" s="1"/>
  <c r="AC228" i="18"/>
  <c r="AD215" i="18"/>
  <c r="AD224" i="18"/>
  <c r="AD229" i="18"/>
  <c r="AD118" i="18"/>
  <c r="AD124" i="18" s="1"/>
  <c r="AD72" i="18"/>
  <c r="AD114" i="18" s="1"/>
  <c r="AH116" i="18"/>
  <c r="AG122" i="18"/>
  <c r="AH122" i="18" s="1"/>
  <c r="AD138" i="18"/>
  <c r="AD164" i="18"/>
  <c r="AD163" i="18"/>
  <c r="AD119" i="18"/>
  <c r="AD125" i="18" s="1"/>
  <c r="AD159" i="18"/>
  <c r="AD112" i="18"/>
  <c r="AD139" i="18"/>
  <c r="AD140" i="18"/>
  <c r="Y194" i="18"/>
  <c r="W194" i="18" s="1"/>
  <c r="AE13" i="18"/>
  <c r="AE12" i="18"/>
  <c r="AE15" i="18"/>
  <c r="AE158" i="18" s="1"/>
  <c r="AE10" i="18"/>
  <c r="AE16" i="18"/>
  <c r="AE166" i="18" s="1"/>
  <c r="AE167" i="18" s="1"/>
  <c r="AE6" i="18"/>
  <c r="AE7" i="18"/>
  <c r="AE59" i="18"/>
  <c r="AE134" i="18" s="1"/>
  <c r="AD111" i="18"/>
  <c r="AD110" i="18"/>
  <c r="AE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E136" i="18" l="1"/>
  <c r="AE135" i="18"/>
  <c r="AD230" i="18"/>
  <c r="AD231" i="18" s="1"/>
  <c r="AD228" i="18"/>
  <c r="AD225" i="18"/>
  <c r="AD226" i="18" s="1"/>
  <c r="AD223" i="18"/>
  <c r="AE215" i="18"/>
  <c r="AE229" i="18"/>
  <c r="AE224" i="18"/>
  <c r="AE118" i="18"/>
  <c r="AE124" i="18" s="1"/>
  <c r="AE72" i="18"/>
  <c r="AE114" i="18" s="1"/>
  <c r="AE138" i="18"/>
  <c r="AE119" i="18"/>
  <c r="AE125" i="18" s="1"/>
  <c r="AE159" i="18"/>
  <c r="AE163" i="18"/>
  <c r="AE164" i="18"/>
  <c r="AE112" i="18"/>
  <c r="AE139" i="18"/>
  <c r="AE140" i="18"/>
  <c r="AF12" i="18"/>
  <c r="AF15" i="18"/>
  <c r="AF158" i="18" s="1"/>
  <c r="AF13" i="18"/>
  <c r="AF10" i="18"/>
  <c r="AF16" i="18"/>
  <c r="AF166" i="18" s="1"/>
  <c r="AF167" i="18" s="1"/>
  <c r="AF7" i="18"/>
  <c r="AF6" i="18"/>
  <c r="AF59" i="18"/>
  <c r="AF134" i="18" s="1"/>
  <c r="AE110" i="18"/>
  <c r="AE111" i="18"/>
  <c r="AF205" i="18"/>
  <c r="N34" i="11"/>
  <c r="O33" i="11"/>
  <c r="AF136" i="18" l="1"/>
  <c r="AF135" i="18"/>
  <c r="AE225" i="18"/>
  <c r="AE226" i="18" s="1"/>
  <c r="AE223" i="18"/>
  <c r="AE230" i="18"/>
  <c r="AE231" i="18" s="1"/>
  <c r="AE228" i="18"/>
  <c r="AF215" i="18"/>
  <c r="AF229" i="18"/>
  <c r="AF224" i="18"/>
  <c r="AF118" i="18"/>
  <c r="AF124" i="18" s="1"/>
  <c r="AF72" i="18"/>
  <c r="AF114" i="18" s="1"/>
  <c r="AF138" i="18"/>
  <c r="AF112" i="18"/>
  <c r="AF163" i="18"/>
  <c r="AF164" i="18"/>
  <c r="AF119" i="18"/>
  <c r="AF125" i="18" s="1"/>
  <c r="AF159" i="18"/>
  <c r="AF139" i="18"/>
  <c r="AF140" i="18"/>
  <c r="AG15" i="18"/>
  <c r="AG13" i="18"/>
  <c r="AJ13" i="18" s="1"/>
  <c r="AG12" i="18"/>
  <c r="AG159" i="18" s="1"/>
  <c r="AH159" i="18" s="1"/>
  <c r="AG10" i="18"/>
  <c r="AG16" i="18"/>
  <c r="AG6" i="18"/>
  <c r="AJ6" i="18" s="1"/>
  <c r="AG7" i="18"/>
  <c r="AJ7" i="18" s="1"/>
  <c r="AG59" i="18"/>
  <c r="AG134" i="18" s="1"/>
  <c r="AH134" i="18" s="1"/>
  <c r="AF111" i="18"/>
  <c r="AF110" i="18"/>
  <c r="AG205" i="18"/>
  <c r="N35" i="11"/>
  <c r="O34" i="11"/>
  <c r="AG136" i="18" l="1"/>
  <c r="AH136" i="18" s="1"/>
  <c r="AG135" i="18"/>
  <c r="AH135" i="18" s="1"/>
  <c r="AF225" i="18"/>
  <c r="AF226" i="18" s="1"/>
  <c r="AF223" i="18"/>
  <c r="AF230" i="18"/>
  <c r="AF231" i="18" s="1"/>
  <c r="AF228" i="18"/>
  <c r="AG215" i="18"/>
  <c r="AH215" i="18" s="1"/>
  <c r="AJ215" i="18" s="1"/>
  <c r="AJ231" i="18" s="1"/>
  <c r="AG229" i="18"/>
  <c r="AG228" i="18" s="1"/>
  <c r="AH228" i="18" s="1"/>
  <c r="AG224" i="18"/>
  <c r="AG223" i="18" s="1"/>
  <c r="AH223" i="18" s="1"/>
  <c r="AG118" i="18"/>
  <c r="AG124" i="18" s="1"/>
  <c r="AH124" i="18" s="1"/>
  <c r="AG72" i="18"/>
  <c r="AG138" i="18"/>
  <c r="AH138" i="18" s="1"/>
  <c r="AJ16" i="18"/>
  <c r="AG166" i="18"/>
  <c r="AG164" i="18"/>
  <c r="AH164" i="18" s="1"/>
  <c r="AG163" i="18"/>
  <c r="AH163" i="18" s="1"/>
  <c r="AJ15" i="18"/>
  <c r="AG158" i="18"/>
  <c r="AH158" i="18" s="1"/>
  <c r="AG112" i="18"/>
  <c r="AH112" i="18" s="1"/>
  <c r="AJ10" i="18"/>
  <c r="AJ12" i="18"/>
  <c r="AG119" i="18"/>
  <c r="AJ59" i="18"/>
  <c r="AG139" i="18"/>
  <c r="AH139" i="18" s="1"/>
  <c r="AG140" i="18"/>
  <c r="AH140" i="18" s="1"/>
  <c r="AH15" i="18"/>
  <c r="AH13" i="18"/>
  <c r="X188" i="18"/>
  <c r="AH12" i="18"/>
  <c r="AH10" i="18"/>
  <c r="AH16" i="18"/>
  <c r="AH7" i="18"/>
  <c r="AH6" i="18"/>
  <c r="AG111" i="18"/>
  <c r="AH111" i="18" s="1"/>
  <c r="AG110" i="18"/>
  <c r="AH110" i="18" s="1"/>
  <c r="AH59" i="18"/>
  <c r="AH205" i="18"/>
  <c r="AJ205" i="18" s="1"/>
  <c r="N36" i="11"/>
  <c r="O35" i="11"/>
  <c r="AG225" i="18" l="1"/>
  <c r="AH224" i="18"/>
  <c r="AH229" i="18"/>
  <c r="AG230" i="18"/>
  <c r="AH72" i="18"/>
  <c r="AJ72" i="18"/>
  <c r="AH118" i="18"/>
  <c r="AG114" i="18"/>
  <c r="AH114" i="18" s="1"/>
  <c r="AH119" i="18"/>
  <c r="AG125" i="18"/>
  <c r="AH125" i="18" s="1"/>
  <c r="AH166" i="18"/>
  <c r="AG167" i="18"/>
  <c r="AH167" i="18" s="1"/>
  <c r="Y188" i="18"/>
  <c r="Y189" i="18" s="1"/>
  <c r="S244" i="18" s="1"/>
  <c r="X189" i="18"/>
  <c r="T244" i="18" s="1"/>
  <c r="N37" i="11"/>
  <c r="O36" i="11"/>
  <c r="AH225" i="18" l="1"/>
  <c r="AG226" i="18"/>
  <c r="AH226" i="18" s="1"/>
  <c r="AG231" i="18"/>
  <c r="AH231" i="18" s="1"/>
  <c r="AH230" i="18"/>
  <c r="W188" i="18"/>
  <c r="W189" i="18"/>
  <c r="N38" i="11"/>
  <c r="O37" i="11"/>
  <c r="P244" i="18" l="1"/>
  <c r="N39" i="11"/>
  <c r="O38" i="11"/>
  <c r="N40" i="11" l="1"/>
  <c r="O39" i="11"/>
  <c r="N41" i="11" l="1"/>
  <c r="O40" i="11"/>
  <c r="N42" i="11" l="1"/>
  <c r="O41" i="11"/>
  <c r="X216" i="18"/>
  <c r="X97" i="18"/>
  <c r="X78" i="18"/>
  <c r="X83" i="18"/>
  <c r="X104" i="18"/>
  <c r="X106" i="18"/>
  <c r="X99" i="18"/>
  <c r="X96" i="18"/>
  <c r="X82" i="18"/>
  <c r="X77" i="18"/>
  <c r="X71" i="18"/>
  <c r="X89" i="18"/>
  <c r="X103" i="18"/>
  <c r="X87" i="18"/>
  <c r="X80" i="18"/>
  <c r="X98" i="18"/>
  <c r="X100" i="18"/>
  <c r="X84" i="18"/>
  <c r="X213" i="18" s="1"/>
  <c r="X70" i="18"/>
  <c r="X206" i="18" s="1"/>
  <c r="X75" i="18"/>
  <c r="X209" i="18" s="1"/>
  <c r="X90" i="18"/>
  <c r="X212" i="18" s="1"/>
  <c r="X102" i="18"/>
  <c r="X168" i="18" s="1"/>
  <c r="X74" i="18"/>
  <c r="X208" i="18" s="1"/>
  <c r="X86" i="18"/>
  <c r="X143" i="18"/>
  <c r="X144" i="18" s="1"/>
  <c r="X76" i="18"/>
  <c r="X218" i="18" s="1"/>
  <c r="X79" i="18"/>
  <c r="Y61" i="18"/>
  <c r="X210" i="18" l="1"/>
  <c r="X234" i="18" s="1"/>
  <c r="X88" i="18"/>
  <c r="X211" i="18" s="1"/>
  <c r="Y80" i="18"/>
  <c r="Y103" i="18"/>
  <c r="Y87" i="18"/>
  <c r="Y99" i="18"/>
  <c r="Y83" i="18"/>
  <c r="Y82" i="18"/>
  <c r="Y216" i="18"/>
  <c r="Y98" i="18"/>
  <c r="Y78" i="18"/>
  <c r="Y102" i="18"/>
  <c r="Y168" i="18" s="1"/>
  <c r="Y90" i="18"/>
  <c r="Y212" i="18" s="1"/>
  <c r="Y74" i="18"/>
  <c r="Y208" i="18" s="1"/>
  <c r="Y143" i="18"/>
  <c r="Y144" i="18" s="1"/>
  <c r="Y96" i="18"/>
  <c r="Y77" i="18"/>
  <c r="Y106" i="18"/>
  <c r="Y89" i="18"/>
  <c r="Y104" i="18"/>
  <c r="Y97" i="18"/>
  <c r="Y100" i="18"/>
  <c r="Y71" i="18"/>
  <c r="Y79" i="18"/>
  <c r="Y210" i="18" s="1"/>
  <c r="Y234" i="18" s="1"/>
  <c r="Y70" i="18"/>
  <c r="Y206" i="18" s="1"/>
  <c r="Y84" i="18"/>
  <c r="Y213" i="18" s="1"/>
  <c r="Y75" i="18"/>
  <c r="Y209" i="18" s="1"/>
  <c r="Y218" i="18"/>
  <c r="Z61" i="18"/>
  <c r="Y86" i="18"/>
  <c r="X145" i="18"/>
  <c r="X146" i="18" s="1"/>
  <c r="X147" i="18"/>
  <c r="X207" i="18"/>
  <c r="X235" i="18" l="1"/>
  <c r="X236" i="18" s="1"/>
  <c r="X233" i="18"/>
  <c r="Y235" i="18"/>
  <c r="Y236" i="18" s="1"/>
  <c r="Y233" i="18"/>
  <c r="Y88" i="18"/>
  <c r="Y211" i="18" s="1"/>
  <c r="X220" i="18"/>
  <c r="X221" i="18" s="1"/>
  <c r="X219" i="18"/>
  <c r="Z97" i="18"/>
  <c r="Z74" i="18"/>
  <c r="Z208" i="18" s="1"/>
  <c r="Z98" i="18"/>
  <c r="Z99" i="18"/>
  <c r="Z103" i="18"/>
  <c r="Z83" i="18"/>
  <c r="Z80" i="18"/>
  <c r="Z106" i="18"/>
  <c r="Z89" i="18"/>
  <c r="Z87" i="18"/>
  <c r="Z70" i="18"/>
  <c r="Z206" i="18" s="1"/>
  <c r="Z79" i="18"/>
  <c r="Z210" i="18" s="1"/>
  <c r="Z234" i="18" s="1"/>
  <c r="Z75" i="18"/>
  <c r="Z209" i="18" s="1"/>
  <c r="Z78" i="18"/>
  <c r="Z77" i="18"/>
  <c r="Z96" i="18"/>
  <c r="Z100" i="18"/>
  <c r="Z71" i="18"/>
  <c r="Z84" i="18"/>
  <c r="Z213" i="18" s="1"/>
  <c r="Z104" i="18"/>
  <c r="Z82" i="18"/>
  <c r="Z216" i="18"/>
  <c r="Z102" i="18"/>
  <c r="Z168" i="18" s="1"/>
  <c r="Z90" i="18"/>
  <c r="Z212" i="18" s="1"/>
  <c r="Z86" i="18"/>
  <c r="Z143" i="18"/>
  <c r="Z144" i="18" s="1"/>
  <c r="Z76" i="18"/>
  <c r="Z218" i="18" s="1"/>
  <c r="AA61" i="18"/>
  <c r="Y207" i="18"/>
  <c r="Y147" i="18"/>
  <c r="Y145" i="18"/>
  <c r="Y146" i="18" s="1"/>
  <c r="Z235" i="18" l="1"/>
  <c r="Z236" i="18" s="1"/>
  <c r="Z233" i="18"/>
  <c r="Y220" i="18"/>
  <c r="Y221" i="18" s="1"/>
  <c r="Y219" i="18"/>
  <c r="AA97" i="18"/>
  <c r="AA216" i="18"/>
  <c r="AA71" i="18"/>
  <c r="AA98" i="18"/>
  <c r="AA83" i="18"/>
  <c r="AA78" i="18"/>
  <c r="AA82" i="18"/>
  <c r="AA96" i="18"/>
  <c r="AA102" i="18"/>
  <c r="AA168" i="18" s="1"/>
  <c r="AA74" i="18"/>
  <c r="AA208" i="18" s="1"/>
  <c r="AA75" i="18"/>
  <c r="AA209" i="18" s="1"/>
  <c r="AA90" i="18"/>
  <c r="AA212" i="18" s="1"/>
  <c r="AA106" i="18"/>
  <c r="AA77" i="18"/>
  <c r="AA100" i="18"/>
  <c r="AA104" i="18"/>
  <c r="AA103" i="18"/>
  <c r="AA80" i="18"/>
  <c r="AA99" i="18"/>
  <c r="AA89" i="18"/>
  <c r="AA87" i="18"/>
  <c r="AA84" i="18"/>
  <c r="AA213" i="18" s="1"/>
  <c r="AA70" i="18"/>
  <c r="AA206" i="18" s="1"/>
  <c r="AA143" i="18"/>
  <c r="AA144" i="18" s="1"/>
  <c r="AA76" i="18"/>
  <c r="AA218" i="18" s="1"/>
  <c r="AA79" i="18"/>
  <c r="AA210" i="18" s="1"/>
  <c r="AA234" i="18" s="1"/>
  <c r="AB61" i="18"/>
  <c r="AA86" i="18"/>
  <c r="Z207" i="18"/>
  <c r="Z145" i="18"/>
  <c r="Z146" i="18" s="1"/>
  <c r="Z147" i="18"/>
  <c r="Z88" i="18"/>
  <c r="Z211" i="18" s="1"/>
  <c r="AA235" i="18" l="1"/>
  <c r="AA236" i="18" s="1"/>
  <c r="AA233" i="18"/>
  <c r="Z220" i="18"/>
  <c r="Z221" i="18" s="1"/>
  <c r="Z219" i="18"/>
  <c r="AA207" i="18"/>
  <c r="AA88" i="18"/>
  <c r="AA211" i="18" s="1"/>
  <c r="AA147" i="18"/>
  <c r="AA145" i="18"/>
  <c r="AA146" i="18" s="1"/>
  <c r="AB77" i="18"/>
  <c r="AB98" i="18"/>
  <c r="AB87" i="18"/>
  <c r="AB97" i="18"/>
  <c r="AB96" i="18"/>
  <c r="AB82" i="18"/>
  <c r="AB71" i="18"/>
  <c r="AB80" i="18"/>
  <c r="AB79" i="18"/>
  <c r="AB210" i="18" s="1"/>
  <c r="AB234" i="18" s="1"/>
  <c r="AB70" i="18"/>
  <c r="AB206" i="18" s="1"/>
  <c r="AB102" i="18"/>
  <c r="AB168" i="18" s="1"/>
  <c r="AB216" i="18"/>
  <c r="AB100" i="18"/>
  <c r="AB78" i="18"/>
  <c r="AB106" i="18"/>
  <c r="AB99" i="18"/>
  <c r="AB83" i="18"/>
  <c r="AB89" i="18"/>
  <c r="AB103" i="18"/>
  <c r="AB104" i="18"/>
  <c r="AB74" i="18"/>
  <c r="AB208" i="18" s="1"/>
  <c r="AB75" i="18"/>
  <c r="AB209" i="18" s="1"/>
  <c r="AB90" i="18"/>
  <c r="AB212" i="18" s="1"/>
  <c r="AB84" i="18"/>
  <c r="AB213" i="18" s="1"/>
  <c r="AB86" i="18"/>
  <c r="AB76" i="18"/>
  <c r="AB218" i="18" s="1"/>
  <c r="AB143" i="18"/>
  <c r="AB144" i="18" s="1"/>
  <c r="AC61" i="18"/>
  <c r="AB235" i="18" l="1"/>
  <c r="AB236" i="18" s="1"/>
  <c r="AB233" i="18"/>
  <c r="AB88" i="18"/>
  <c r="AB211" i="18" s="1"/>
  <c r="AA220" i="18"/>
  <c r="AA221" i="18" s="1"/>
  <c r="AA219" i="18"/>
  <c r="AC77" i="18"/>
  <c r="AC80" i="18"/>
  <c r="AC82" i="18"/>
  <c r="AC71" i="18"/>
  <c r="AC84" i="18"/>
  <c r="AC213" i="18" s="1"/>
  <c r="AC96" i="18"/>
  <c r="AC89" i="18"/>
  <c r="AC97" i="18"/>
  <c r="AC87" i="18"/>
  <c r="AC75" i="18"/>
  <c r="AC209" i="18" s="1"/>
  <c r="AC70" i="18"/>
  <c r="AC206" i="18" s="1"/>
  <c r="AC79" i="18"/>
  <c r="AC210" i="18" s="1"/>
  <c r="AC234" i="18" s="1"/>
  <c r="AC99" i="18"/>
  <c r="AC98" i="18"/>
  <c r="AC78" i="18"/>
  <c r="AC104" i="18"/>
  <c r="AC90" i="18"/>
  <c r="AC212" i="18" s="1"/>
  <c r="AC106" i="18"/>
  <c r="AC216" i="18"/>
  <c r="AC103" i="18"/>
  <c r="AC100" i="18"/>
  <c r="AC83" i="18"/>
  <c r="AC102" i="18"/>
  <c r="AC168" i="18" s="1"/>
  <c r="AC74" i="18"/>
  <c r="AC208" i="18" s="1"/>
  <c r="AD61" i="18"/>
  <c r="AC143" i="18"/>
  <c r="AC144" i="18" s="1"/>
  <c r="AC86" i="18"/>
  <c r="AC76" i="18"/>
  <c r="AC218" i="18" s="1"/>
  <c r="AB145" i="18"/>
  <c r="AB146" i="18" s="1"/>
  <c r="AB147" i="18"/>
  <c r="AB207" i="18"/>
  <c r="AC235" i="18" l="1"/>
  <c r="AC236" i="18" s="1"/>
  <c r="AC233" i="18"/>
  <c r="AB220" i="18"/>
  <c r="AB221" i="18" s="1"/>
  <c r="AB219" i="18"/>
  <c r="AC88" i="18"/>
  <c r="AC211" i="18" s="1"/>
  <c r="AD96" i="18"/>
  <c r="AD83" i="18"/>
  <c r="AD216" i="18"/>
  <c r="AD82" i="18"/>
  <c r="AD84" i="18"/>
  <c r="AD213" i="18" s="1"/>
  <c r="AD99" i="18"/>
  <c r="AD71" i="18"/>
  <c r="AD87" i="18"/>
  <c r="AD104" i="18"/>
  <c r="AD102" i="18"/>
  <c r="AD168" i="18" s="1"/>
  <c r="AD70" i="18"/>
  <c r="AD206" i="18" s="1"/>
  <c r="AD103" i="18"/>
  <c r="AD78" i="18"/>
  <c r="AD80" i="18"/>
  <c r="AD100" i="18"/>
  <c r="AD90" i="18"/>
  <c r="AD212" i="18" s="1"/>
  <c r="AD77" i="18"/>
  <c r="AD106" i="18"/>
  <c r="AD98" i="18"/>
  <c r="AD97" i="18"/>
  <c r="AD89" i="18"/>
  <c r="AD74" i="18"/>
  <c r="AD208" i="18" s="1"/>
  <c r="AD75" i="18"/>
  <c r="AD209" i="18" s="1"/>
  <c r="AD79" i="18"/>
  <c r="AD210" i="18" s="1"/>
  <c r="AD234" i="18" s="1"/>
  <c r="AD143" i="18"/>
  <c r="AD144" i="18" s="1"/>
  <c r="AD76" i="18"/>
  <c r="AD218" i="18" s="1"/>
  <c r="AD86" i="18"/>
  <c r="AE61" i="18"/>
  <c r="AC207" i="18"/>
  <c r="AC145" i="18"/>
  <c r="AC146" i="18" s="1"/>
  <c r="AC147" i="18"/>
  <c r="AD235" i="18" l="1"/>
  <c r="AD236" i="18" s="1"/>
  <c r="AD233" i="18"/>
  <c r="AC220" i="18"/>
  <c r="AC221" i="18" s="1"/>
  <c r="AC219" i="18"/>
  <c r="AD88" i="18"/>
  <c r="AD211" i="18" s="1"/>
  <c r="AD147" i="18"/>
  <c r="AD145" i="18"/>
  <c r="AD146" i="18" s="1"/>
  <c r="AE96" i="18"/>
  <c r="AE98" i="18"/>
  <c r="AE80" i="18"/>
  <c r="AE100" i="18"/>
  <c r="AE70" i="18"/>
  <c r="AE206" i="18" s="1"/>
  <c r="AE78" i="18"/>
  <c r="AE87" i="18"/>
  <c r="AE104" i="18"/>
  <c r="AE99" i="18"/>
  <c r="AE74" i="18"/>
  <c r="AE208" i="18" s="1"/>
  <c r="AE84" i="18"/>
  <c r="AE213" i="18" s="1"/>
  <c r="AE89" i="18"/>
  <c r="AE83" i="18"/>
  <c r="AE216" i="18"/>
  <c r="AE103" i="18"/>
  <c r="AE106" i="18"/>
  <c r="AE97" i="18"/>
  <c r="AE71" i="18"/>
  <c r="AE77" i="18"/>
  <c r="AE82" i="18"/>
  <c r="AE75" i="18"/>
  <c r="AE209" i="18" s="1"/>
  <c r="AE90" i="18"/>
  <c r="AE212" i="18" s="1"/>
  <c r="AE102" i="18"/>
  <c r="AE168" i="18" s="1"/>
  <c r="AE79" i="18"/>
  <c r="AE210" i="18" s="1"/>
  <c r="AE234" i="18" s="1"/>
  <c r="AE143" i="18"/>
  <c r="AE144" i="18" s="1"/>
  <c r="AE86" i="18"/>
  <c r="AE76" i="18"/>
  <c r="AE218" i="18" s="1"/>
  <c r="AF61" i="18"/>
  <c r="AD207" i="18"/>
  <c r="AE235" i="18" l="1"/>
  <c r="AE236" i="18" s="1"/>
  <c r="AE233" i="18"/>
  <c r="AD220" i="18"/>
  <c r="AD221" i="18" s="1"/>
  <c r="AD219" i="18"/>
  <c r="AE207" i="18"/>
  <c r="AE88" i="18"/>
  <c r="AE211" i="18" s="1"/>
  <c r="AE145" i="18"/>
  <c r="AE146" i="18" s="1"/>
  <c r="AE147" i="18"/>
  <c r="AF83" i="18"/>
  <c r="AF96" i="18"/>
  <c r="AF87" i="18"/>
  <c r="AF77" i="18"/>
  <c r="AF102" i="18"/>
  <c r="AF168" i="18" s="1"/>
  <c r="AF104" i="18"/>
  <c r="AF97" i="18"/>
  <c r="AF103" i="18"/>
  <c r="AF80" i="18"/>
  <c r="AF70" i="18"/>
  <c r="AF206" i="18" s="1"/>
  <c r="AF90" i="18"/>
  <c r="AF212" i="18" s="1"/>
  <c r="AF100" i="18"/>
  <c r="AF75" i="18"/>
  <c r="AF209" i="18" s="1"/>
  <c r="AF106" i="18"/>
  <c r="AF98" i="18"/>
  <c r="AF99" i="18"/>
  <c r="AF89" i="18"/>
  <c r="AF82" i="18"/>
  <c r="AF71" i="18"/>
  <c r="AF216" i="18"/>
  <c r="AF78" i="18"/>
  <c r="AF74" i="18"/>
  <c r="AF208" i="18" s="1"/>
  <c r="AF84" i="18"/>
  <c r="AF213" i="18" s="1"/>
  <c r="AF79" i="18"/>
  <c r="AF210" i="18" s="1"/>
  <c r="AF234" i="18" s="1"/>
  <c r="AF143" i="18"/>
  <c r="AF144" i="18" s="1"/>
  <c r="AF76" i="18"/>
  <c r="AF218" i="18" s="1"/>
  <c r="AG61" i="18"/>
  <c r="AF86" i="18"/>
  <c r="AF235" i="18" l="1"/>
  <c r="AF236" i="18" s="1"/>
  <c r="AF233" i="18"/>
  <c r="AE220" i="18"/>
  <c r="AE221" i="18" s="1"/>
  <c r="AE219" i="18"/>
  <c r="AF88" i="18"/>
  <c r="AF211" i="18" s="1"/>
  <c r="AF207" i="18"/>
  <c r="AG216" i="18"/>
  <c r="AG103" i="18"/>
  <c r="AG104" i="18"/>
  <c r="AG71" i="18"/>
  <c r="AH61" i="18"/>
  <c r="AG77" i="18"/>
  <c r="AJ61" i="18"/>
  <c r="AG106" i="18"/>
  <c r="AG102" i="18"/>
  <c r="AG74" i="18"/>
  <c r="AG70" i="18"/>
  <c r="AG75" i="18"/>
  <c r="AG79" i="18"/>
  <c r="AG89" i="18"/>
  <c r="AG76" i="18"/>
  <c r="AG90" i="18"/>
  <c r="AG97" i="18"/>
  <c r="AG99" i="18"/>
  <c r="AG84" i="18"/>
  <c r="AG86" i="18"/>
  <c r="AG82" i="18"/>
  <c r="AG87" i="18"/>
  <c r="AG98" i="18"/>
  <c r="AG96" i="18"/>
  <c r="AG80" i="18"/>
  <c r="AG100" i="18"/>
  <c r="AG143" i="18"/>
  <c r="AG78" i="18"/>
  <c r="AG83" i="18"/>
  <c r="AF147" i="18"/>
  <c r="AF145" i="18"/>
  <c r="AF146" i="18" s="1"/>
  <c r="AG218" i="18" l="1"/>
  <c r="X175" i="18"/>
  <c r="T246" i="18" s="1"/>
  <c r="AF220" i="18"/>
  <c r="AF221" i="18" s="1"/>
  <c r="AF219" i="18"/>
  <c r="AG144" i="18"/>
  <c r="AH143" i="18"/>
  <c r="AH98" i="18"/>
  <c r="X198" i="18"/>
  <c r="AJ98" i="18"/>
  <c r="Y198" i="18" s="1"/>
  <c r="AJ84" i="18"/>
  <c r="Y183" i="18" s="1"/>
  <c r="S242" i="18" s="1"/>
  <c r="AG213" i="18"/>
  <c r="AH84" i="18"/>
  <c r="X183" i="18"/>
  <c r="T242" i="18" s="1"/>
  <c r="AH76" i="18"/>
  <c r="AJ76" i="18"/>
  <c r="Y175" i="18" s="1"/>
  <c r="S246" i="18" s="1"/>
  <c r="AG207" i="18"/>
  <c r="AG219" i="18" s="1"/>
  <c r="AH219" i="18" s="1"/>
  <c r="AJ70" i="18"/>
  <c r="AH70" i="18"/>
  <c r="AG206" i="18"/>
  <c r="AH104" i="18"/>
  <c r="AJ104" i="18"/>
  <c r="X202" i="18"/>
  <c r="T245" i="18" s="1"/>
  <c r="AJ100" i="18"/>
  <c r="Y202" i="18" s="1"/>
  <c r="S245" i="18" s="1"/>
  <c r="AH100" i="18"/>
  <c r="AJ87" i="18"/>
  <c r="AH87" i="18"/>
  <c r="AJ99" i="18"/>
  <c r="Y199" i="18" s="1"/>
  <c r="AH99" i="18"/>
  <c r="X199" i="18"/>
  <c r="AH89" i="18"/>
  <c r="X185" i="18"/>
  <c r="AJ89" i="18"/>
  <c r="Y185" i="18" s="1"/>
  <c r="AH74" i="18"/>
  <c r="AJ74" i="18"/>
  <c r="AG208" i="18"/>
  <c r="AH77" i="18"/>
  <c r="AJ77" i="18"/>
  <c r="AJ103" i="18"/>
  <c r="AH103" i="18"/>
  <c r="AH83" i="18"/>
  <c r="AJ83" i="18"/>
  <c r="Y182" i="18" s="1"/>
  <c r="X182" i="18"/>
  <c r="AH80" i="18"/>
  <c r="X178" i="18"/>
  <c r="AJ80" i="18"/>
  <c r="Y178" i="18" s="1"/>
  <c r="X181" i="18"/>
  <c r="AH82" i="18"/>
  <c r="AJ82" i="18"/>
  <c r="Y181" i="18" s="1"/>
  <c r="AH97" i="18"/>
  <c r="X197" i="18"/>
  <c r="AJ97" i="18"/>
  <c r="Y197" i="18" s="1"/>
  <c r="AH79" i="18"/>
  <c r="AJ79" i="18"/>
  <c r="Y177" i="18" s="1"/>
  <c r="AG210" i="18"/>
  <c r="AG234" i="18" s="1"/>
  <c r="X177" i="18"/>
  <c r="AJ102" i="18"/>
  <c r="AH102" i="18"/>
  <c r="AG168" i="18"/>
  <c r="AH168" i="18" s="1"/>
  <c r="AH216" i="18"/>
  <c r="AJ216" i="18" s="1"/>
  <c r="X176" i="18"/>
  <c r="T243" i="18" s="1"/>
  <c r="AJ78" i="18"/>
  <c r="Y176" i="18" s="1"/>
  <c r="S243" i="18" s="1"/>
  <c r="AH78" i="18"/>
  <c r="AH96" i="18"/>
  <c r="X196" i="18"/>
  <c r="AJ96" i="18"/>
  <c r="Y196" i="18" s="1"/>
  <c r="AH86" i="18"/>
  <c r="AJ86" i="18"/>
  <c r="Y179" i="18" s="1"/>
  <c r="X179" i="18"/>
  <c r="AG88" i="18"/>
  <c r="AH90" i="18"/>
  <c r="AG212" i="18"/>
  <c r="X186" i="18"/>
  <c r="AJ90" i="18"/>
  <c r="Y186" i="18" s="1"/>
  <c r="AH75" i="18"/>
  <c r="AJ75" i="18"/>
  <c r="AG209" i="18"/>
  <c r="AH71" i="18"/>
  <c r="AJ71" i="18"/>
  <c r="G234" i="18" l="1"/>
  <c r="G235" i="18" s="1"/>
  <c r="G236" i="18" s="1"/>
  <c r="U234" i="18"/>
  <c r="AG235" i="18"/>
  <c r="AG236" i="18" s="1"/>
  <c r="AG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W179" i="18"/>
  <c r="Y200" i="18"/>
  <c r="AH218" i="18"/>
  <c r="AJ218" i="18" s="1"/>
  <c r="W196" i="18"/>
  <c r="W181" i="18"/>
  <c r="W177" i="18"/>
  <c r="W185" i="18"/>
  <c r="AJ88" i="18"/>
  <c r="AG211" i="18"/>
  <c r="AH88" i="18"/>
  <c r="AH210" i="18"/>
  <c r="AJ210" i="18" s="1"/>
  <c r="X200" i="18"/>
  <c r="W197" i="18"/>
  <c r="W182" i="18"/>
  <c r="W202" i="18"/>
  <c r="AJ230" i="18"/>
  <c r="W198" i="18"/>
  <c r="AH209" i="18"/>
  <c r="AJ209" i="18" s="1"/>
  <c r="W186" i="18"/>
  <c r="W176" i="18"/>
  <c r="W199" i="18"/>
  <c r="AH213" i="18"/>
  <c r="AJ213" i="18" s="1"/>
  <c r="AH212" i="18"/>
  <c r="AJ212" i="18" s="1"/>
  <c r="AJ226" i="18" s="1"/>
  <c r="W178" i="18"/>
  <c r="AG220" i="18"/>
  <c r="AH207" i="18"/>
  <c r="AJ207" i="18" s="1"/>
  <c r="AJ220" i="18" s="1"/>
  <c r="AJ236" i="18" s="1"/>
  <c r="AH208" i="18"/>
  <c r="AJ208" i="18" s="1"/>
  <c r="AJ221" i="18" s="1"/>
  <c r="AH206" i="18"/>
  <c r="AJ206" i="18" s="1"/>
  <c r="AJ219" i="18" s="1"/>
  <c r="W175" i="18"/>
  <c r="S247" i="18" s="1"/>
  <c r="T247" i="18"/>
  <c r="W183" i="18"/>
  <c r="AG147" i="18"/>
  <c r="AH144" i="18"/>
  <c r="AG145" i="18"/>
  <c r="G233" i="18" l="1"/>
  <c r="U233" i="18"/>
  <c r="V234" i="18"/>
  <c r="U235" i="18"/>
  <c r="AJ234" i="18"/>
  <c r="AJ233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H233" i="18" s="1"/>
  <c r="J235" i="18"/>
  <c r="AH234" i="18"/>
  <c r="S235" i="18"/>
  <c r="S236" i="18" s="1"/>
  <c r="S233" i="18"/>
  <c r="O235" i="18"/>
  <c r="O236" i="18" s="1"/>
  <c r="O233" i="18"/>
  <c r="K235" i="18"/>
  <c r="K236" i="18" s="1"/>
  <c r="K233" i="18"/>
  <c r="AJ224" i="18"/>
  <c r="AJ223" i="18"/>
  <c r="AH220" i="18"/>
  <c r="AG221" i="18"/>
  <c r="AH221" i="18" s="1"/>
  <c r="W200" i="18"/>
  <c r="AH145" i="18"/>
  <c r="AG146" i="18"/>
  <c r="AH146" i="18" s="1"/>
  <c r="P242" i="18"/>
  <c r="P243" i="18"/>
  <c r="P245" i="18"/>
  <c r="AH211" i="18"/>
  <c r="AJ211" i="18" s="1"/>
  <c r="AJ225" i="18" s="1"/>
  <c r="V233" i="18" l="1"/>
  <c r="U236" i="18"/>
  <c r="V236" i="18" s="1"/>
  <c r="V235" i="18"/>
  <c r="J236" i="18"/>
  <c r="AH236" i="18" s="1"/>
  <c r="AH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<sst xmlns="http://schemas.openxmlformats.org/spreadsheetml/2006/main" count="765" uniqueCount="511">
  <si>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</si>
  <si>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</si>
  <si>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</si>
  <si>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</si>
  <si>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</si>
  <si>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</si>
  <si>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</si>
  <si>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</si>
  <si>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</si>
  <si>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</si>
  <si>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</si>
  <si>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</si>
  <si>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</si>
  <si>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</si>
  <si>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</si>
  <si>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</si>
  <si>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</si>
  <si>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</si>
  <si>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</si>
  <si>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</si>
  <si>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</si>
  <si>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</si>
  <si>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</si>
  <si>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</si>
  <si>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</si>
  <si>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</si>
  <si>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</si>
  <si>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</si>
  <si>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</si>
  <si>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</si>
  <si>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</si>
  <si>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</si>
  <si>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</si>
  <si>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</si>
  <si>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</si>
  <si>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</si>
  <si>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</si>
  <si>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</si>
  <si>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</si>
  <si>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</si>
  <si>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</si>
  <si>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</si>
  <si>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</si>
  <si>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</si>
  <si>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</si>
  <si>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</si>
  <si>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</si>
  <si>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</si>
  <si>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</si>
  <si>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</si>
  <si>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</si>
  <si>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</si>
  <si>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</si>
  <si>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</si>
  <si>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</si>
  <si>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</si>
  <si>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</si>
  <si>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</si>
  <si>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</si>
  <si>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</si>
  <si>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</si>
  <si>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</si>
  <si>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</si>
  <si>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</si>
  <si>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</si>
  <si>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</si>
  <si>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</si>
  <si>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</si>
  <si>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</si>
  <si>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</si>
  <si>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</si>
  <si>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</si>
  <si>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</si>
  <si>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</si>
  <si>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</si>
  <si>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</si>
  <si>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</si>
  <si>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</si>
  <si>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</si>
  <si>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</si>
  <si>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</si>
  <si>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</si>
  <si>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</si>
  <si>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</si>
  <si>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</si>
  <si>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</si>
  <si>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</si>
  <si>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</si>
  <si>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</si>
  <si>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</si>
  <si>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</si>
  <si>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</si>
  <si>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</si>
  <si>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</si>
  <si>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</si>
  <si>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</si>
  <si>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</si>
  <si>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</si>
  <si>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</si>
  <si>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</si>
  <si>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</si>
  <si>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</si>
  <si>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</si>
  <si>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</si>
  <si>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</si>
  <si>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</si>
  <si>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</si>
  <si>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</si>
  <si>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</si>
  <si>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</si>
  <si>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</si>
  <si>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</si>
  <si>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</si>
  <si>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</si>
  <si>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</si>
  <si>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</si>
  <si>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</si>
  <si>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</si>
  <si>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</si>
  <si>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</si>
  <si>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</si>
  <si>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</si>
  <si>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</si>
  <si>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</si>
  <si>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</si>
  <si>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</si>
  <si>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</si>
  <si>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</si>
  <si>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</si>
  <si>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</si>
  <si>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</si>
  <si>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</si>
  <si>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</si>
  <si>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</si>
  <si>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</si>
  <si>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</si>
  <si>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</si>
  <si>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</si>
  <si>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</si>
  <si>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</si>
  <si>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</si>
  <si>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</si>
  <si>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</si>
  <si>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</si>
  <si>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</si>
  <si>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</si>
  <si>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</si>
  <si>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</si>
  <si>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</si>
  <si>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</si>
  <si>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</si>
  <si>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</si>
  <si>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</si>
  <si>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</si>
  <si>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</si>
  <si>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</si>
  <si>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</si>
  <si>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</si>
  <si>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</si>
  <si>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</si>
  <si>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</si>
  <si>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</si>
  <si>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</si>
  <si>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</si>
  <si>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</si>
  <si>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</si>
  <si>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</si>
  <si>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</si>
  <si>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</si>
  <si>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</si>
  <si>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</si>
  <si>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</si>
  <si>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</si>
  <si>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</si>
  <si>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</si>
  <si>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</si>
  <si>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</si>
  <si>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</si>
  <si>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</si>
  <si>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</si>
  <si>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</si>
  <si>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</si>
  <si>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</si>
  <si>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</si>
  <si>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</si>
  <si>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</si>
  <si>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</si>
  <si>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</si>
  <si>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</si>
  <si>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</si>
  <si>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</si>
  <si>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</si>
  <si>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</si>
  <si>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</si>
  <si>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</si>
  <si>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</si>
  <si>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</si>
  <si>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</si>
  <si>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</si>
  <si>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</si>
  <si>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</si>
  <si>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</si>
  <si>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</si>
  <si>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</si>
  <si>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</si>
  <si>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</si>
  <si>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</si>
  <si>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</si>
  <si>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</si>
  <si>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</si>
  <si>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</si>
  <si>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</si>
  <si>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</si>
  <si>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</si>
  <si>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</si>
  <si>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</si>
  <si>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</si>
  <si>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</si>
  <si>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</si>
  <si>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</si>
  <si>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</si>
  <si>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</si>
  <si>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</si>
  <si>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</si>
  <si>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</si>
  <si>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</si>
  <si>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</si>
  <si>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</si>
  <si>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</si>
  <si>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</si>
  <si>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</si>
  <si>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</si>
  <si>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</si>
  <si>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</si>
  <si>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</si>
  <si>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</si>
  <si>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</si>
  <si>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</si>
  <si>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</si>
  <si>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</si>
  <si>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</si>
  <si>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</si>
  <si>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</si>
  <si>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</si>
  <si>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</si>
  <si>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</si>
  <si>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</si>
  <si>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</si>
  <si>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</si>
  <si>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</si>
  <si>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</si>
  <si>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</si>
  <si>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</si>
  <si>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</si>
  <si>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</si>
  <si>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</si>
  <si>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</si>
  <si>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</si>
  <si>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</si>
  <si>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</si>
  <si>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</si>
  <si>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</si>
  <si>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</si>
  <si>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</si>
  <si>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</si>
  <si>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</si>
  <si>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</si>
  <si>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</si>
  <si>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</si>
  <si>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</si>
  <si>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</si>
  <si>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</si>
  <si>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</si>
  <si>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</si>
  <si>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</si>
  <si>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</si>
  <si>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</si>
  <si>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</si>
  <si>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</si>
  <si>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</si>
  <si>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</si>
  <si>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</si>
  <si>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</si>
  <si>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</si>
  <si>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</si>
  <si>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</si>
  <si>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</si>
  <si>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</si>
  <si>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</si>
  <si>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</si>
  <si>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</si>
  <si>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</si>
  <si>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</si>
  <si>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</si>
  <si>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</si>
  <si>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</si>
  <si>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</si>
  <si>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</si>
  <si>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</si>
  <si>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</si>
  <si>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</si>
  <si>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</si>
  <si>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</si>
  <si>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</si>
  <si>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</si>
  <si>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</si>
  <si>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</si>
  <si>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</si>
  <si>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</si>
  <si>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</si>
  <si>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</si>
  <si>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</si>
  <si>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</si>
  <si>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</si>
  <si>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</si>
  <si>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</si>
  <si>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</si>
  <si>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</si>
  <si>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</si>
  <si>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</si>
  <si>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</si>
  <si>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</si>
  <si>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</si>
  <si>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</si>
  <si>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</si>
  <si>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</si>
  <si>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</si>
  <si>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</si>
  <si>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</si>
  <si>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</si>
  <si>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</si>
  <si>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</si>
  <si>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</si>
  <si>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</si>
  <si>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</si>
  <si>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</si>
  <si>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</si>
  <si>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</si>
  <si>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</si>
  <si>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</si>
  <si>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</si>
  <si>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</si>
  <si>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</si>
  <si>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</si>
  <si>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</si>
  <si>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</si>
  <si>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</si>
  <si>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</si>
  <si>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</si>
  <si>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</si>
  <si>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</si>
  <si>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</si>
  <si>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</si>
  <si>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</si>
  <si>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</si>
  <si>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</si>
  <si>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</si>
  <si>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</si>
  <si>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</si>
  <si>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</si>
  <si>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</si>
  <si>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</si>
  <si>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</si>
  <si>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</si>
  <si>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</si>
  <si>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</si>
  <si>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</si>
  <si>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</si>
  <si>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</si>
  <si>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</si>
  <si>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</si>
  <si>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</si>
  <si>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</si>
  <si>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</si>
  <si>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</si>
  <si>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</si>
  <si>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</si>
  <si>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</si>
  <si>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</si>
  <si>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</si>
  <si>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</si>
  <si>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</si>
  <si>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</si>
  <si>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</si>
  <si>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</si>
  <si>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</si>
  <si>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</si>
  <si>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</si>
  <si>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</si>
  <si>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</si>
  <si>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</si>
  <si>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</si>
  <si>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</si>
  <si>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</si>
  <si>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</si>
  <si>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</si>
  <si>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</si>
  <si>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</si>
  <si>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</si>
  <si>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</si>
  <si>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</si>
  <si>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</si>
  <si>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</si>
  <si>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</si>
  <si>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</si>
  <si>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</si>
  <si>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</si>
  <si>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</si>
  <si>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</si>
  <si>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</si>
  <si>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</si>
  <si>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</si>
  <si>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</si>
  <si>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</si>
  <si>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</si>
  <si>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</si>
  <si>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</si>
  <si>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</si>
  <si>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</si>
  <si>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</si>
  <si>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</si>
  <si>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</si>
  <si>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</si>
  <si>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</si>
  <si>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</si>
  <si>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</si>
  <si>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</si>
  <si>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</si>
  <si>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</si>
  <si>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</si>
  <si>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</si>
  <si>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</si>
  <si>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</si>
  <si>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</si>
  <si>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</si>
  <si>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</si>
  <si>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</si>
  <si>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</si>
  <si>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</si>
  <si>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</si>
  <si>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</si>
  <si>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</si>
  <si>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</si>
  <si>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</si>
  <si>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</si>
  <si>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</si>
  <si>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</si>
  <si>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</si>
  <si>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</si>
  <si>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</si>
  <si>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</si>
  <si>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</si>
  <si>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</si>
  <si>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</si>
  <si>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</si>
  <si>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</si>
  <si>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</si>
  <si>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</si>
  <si>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</si>
  <si>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</si>
  <si>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</si>
  <si>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</si>
  <si>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</si>
  <si>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</si>
  <si>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</si>
  <si>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</si>
  <si>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</si>
  <si>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</si>
  <si>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</si>
  <si>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</si>
  <si>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</si>
  <si>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</si>
  <si>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</si>
  <si>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</si>
  <si>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</si>
  <si>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</si>
  <si>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</si>
  <si>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</si>
  <si>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</si>
  <si>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</si>
  <si>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</si>
  <si>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</si>
  <si>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</si>
  <si>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</si>
  <si>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</si>
  <si>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</si>
  <si>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</si>
  <si>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</si>
  <si>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</si>
  <si>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</si>
  <si>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</si>
  <si>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</si>
  <si>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</si>
  <si>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</si>
  <si>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</si>
  <si>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</si>
  <si>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</si>
  <si>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</si>
  <si>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</si>
  <si>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</si>
  <si>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</si>
  <si>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</si>
  <si>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</si>
  <si>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</si>
  <si>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</si>
  <si>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</si>
  <si>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</si>
  <si>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</si>
  <si>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</si>
  <si>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1x1</t>
  </si>
  <si>
    <t>1x1, 4x10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</si>
</sst>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B-4D2A-98B1-9C3621C14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07616"/>
        <c:axId val="70586368"/>
      </c:lineChart>
      <c:catAx>
        <c:axId val="6900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70586368"/>
        <c:crosses val="autoZero"/>
        <c:auto val="1"/>
        <c:lblAlgn val="ctr"/>
        <c:lblOffset val="100"/>
        <c:noMultiLvlLbl val="0"/>
      </c:catAx>
      <c:valAx>
        <c:axId val="7058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90076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44" l="0.70000000000000062" r="0.70000000000000062" t="0.750000000000007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8" t="s">
        <v>435</v>
      </c>
      <c r="C3" s="278"/>
      <c r="D3" s="278"/>
      <c r="G3" s="278" t="s">
        <v>436</v>
      </c>
      <c r="H3" s="278"/>
      <c r="I3" s="278"/>
      <c r="P3" s="279" t="s">
        <v>437</v>
      </c>
      <c r="Q3" s="280"/>
      <c r="R3" s="280"/>
      <c r="S3" s="281"/>
      <c r="T3" s="279" t="s">
        <v>438</v>
      </c>
      <c r="U3" s="280"/>
      <c r="V3" s="280"/>
      <c r="W3" s="281"/>
    </row>
    <row r="4" spans="2:23" x14ac:dyDescent="0.25">
      <c r="B4" s="183" t="s">
        <v>439</v>
      </c>
      <c r="C4" s="282">
        <v>9500000</v>
      </c>
      <c r="D4" s="282"/>
      <c r="G4" s="183" t="s">
        <v>440</v>
      </c>
      <c r="H4" s="283">
        <v>200000</v>
      </c>
      <c r="I4" s="283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 x14ac:dyDescent="0.25">
      <c r="B5" s="183" t="s">
        <v>446</v>
      </c>
      <c r="C5" s="284">
        <v>0.08</v>
      </c>
      <c r="D5" s="285"/>
      <c r="G5" s="183" t="s">
        <v>446</v>
      </c>
      <c r="H5" s="286">
        <v>0.12</v>
      </c>
      <c r="I5" s="286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 x14ac:dyDescent="0.25">
      <c r="B6" s="183" t="s">
        <v>448</v>
      </c>
      <c r="C6" s="283">
        <v>30</v>
      </c>
      <c r="D6" s="283"/>
      <c r="G6" s="183" t="s">
        <v>448</v>
      </c>
      <c r="H6" s="283">
        <v>10</v>
      </c>
      <c r="I6" s="283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 x14ac:dyDescent="0.25">
      <c r="B7" s="183"/>
      <c r="C7" s="287"/>
      <c r="D7" s="287"/>
      <c r="G7" s="183"/>
      <c r="H7" s="287"/>
      <c r="I7" s="287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 x14ac:dyDescent="0.25">
      <c r="B8" s="183"/>
      <c r="C8" s="287"/>
      <c r="D8" s="287"/>
      <c r="G8" s="183"/>
      <c r="H8" s="287"/>
      <c r="I8" s="287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 x14ac:dyDescent="0.25">
      <c r="B9" s="201" t="s">
        <v>440</v>
      </c>
      <c r="C9" s="288">
        <f>C4*(1/(1+C5)^C6)</f>
        <v>944084.6592231117</v>
      </c>
      <c r="D9" s="288"/>
      <c r="G9" s="201" t="s">
        <v>453</v>
      </c>
      <c r="H9" s="288">
        <f>H4*((1+H5)^H6)</f>
        <v>621169.64166884217</v>
      </c>
      <c r="I9" s="288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 x14ac:dyDescent="0.25">
      <c r="B10" s="201" t="s">
        <v>455</v>
      </c>
      <c r="C10" s="288">
        <f>C4-C9</f>
        <v>8555915.3407768887</v>
      </c>
      <c r="D10" s="288"/>
      <c r="G10" s="201" t="s">
        <v>455</v>
      </c>
      <c r="H10" s="289">
        <f>H9-H4</f>
        <v>421169.64166884217</v>
      </c>
      <c r="I10" s="289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 x14ac:dyDescent="0.25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 x14ac:dyDescent="0.3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 x14ac:dyDescent="0.25">
      <c r="K13" s="207" t="s">
        <v>319</v>
      </c>
    </row>
    <row r="14" spans="2:23" x14ac:dyDescent="0.25">
      <c r="B14" s="278" t="s">
        <v>459</v>
      </c>
      <c r="C14" s="278"/>
      <c r="D14" s="278"/>
      <c r="G14" s="278" t="s">
        <v>460</v>
      </c>
      <c r="H14" s="278"/>
      <c r="I14" s="278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 x14ac:dyDescent="0.25">
      <c r="B15" s="183" t="s">
        <v>461</v>
      </c>
      <c r="C15" s="283">
        <v>24000</v>
      </c>
      <c r="D15" s="283"/>
      <c r="G15" s="183" t="s">
        <v>461</v>
      </c>
      <c r="H15" s="283">
        <v>200000</v>
      </c>
      <c r="I15" s="283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 x14ac:dyDescent="0.25">
      <c r="B16" s="183" t="s">
        <v>446</v>
      </c>
      <c r="C16" s="284">
        <v>0.1</v>
      </c>
      <c r="D16" s="285"/>
      <c r="G16" s="183" t="s">
        <v>446</v>
      </c>
      <c r="H16" s="284">
        <v>0.12</v>
      </c>
      <c r="I16" s="285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 x14ac:dyDescent="0.25">
      <c r="B17" s="183" t="s">
        <v>448</v>
      </c>
      <c r="C17" s="283">
        <v>20</v>
      </c>
      <c r="D17" s="283"/>
      <c r="G17" s="183" t="s">
        <v>448</v>
      </c>
      <c r="H17" s="283">
        <v>10</v>
      </c>
      <c r="I17" s="283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 x14ac:dyDescent="0.25">
      <c r="B18" s="183"/>
      <c r="C18" s="287"/>
      <c r="D18" s="287"/>
      <c r="G18" s="183"/>
      <c r="H18" s="287"/>
      <c r="I18" s="287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 x14ac:dyDescent="0.25">
      <c r="B19" s="201" t="s">
        <v>462</v>
      </c>
      <c r="C19" s="290">
        <f>( ( 1-  (1/ ( (1+C16)^C17) ) ) / C16)</f>
        <v>8.5135637197585652</v>
      </c>
      <c r="D19" s="291"/>
      <c r="G19" s="201" t="s">
        <v>463</v>
      </c>
      <c r="H19" s="290">
        <f>( ((1+H16)^H17) -1 ) / H16</f>
        <v>17.548735069535095</v>
      </c>
      <c r="I19" s="291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 x14ac:dyDescent="0.25">
      <c r="B20" s="201" t="s">
        <v>464</v>
      </c>
      <c r="C20" s="292">
        <f>C19 * C15</f>
        <v>204325.52927420556</v>
      </c>
      <c r="D20" s="293"/>
      <c r="G20" s="201" t="s">
        <v>465</v>
      </c>
      <c r="H20" s="290">
        <f>H19 * H15</f>
        <v>3509747.013907019</v>
      </c>
      <c r="I20" s="291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 x14ac:dyDescent="0.25">
      <c r="B21" s="201"/>
      <c r="C21" s="294"/>
      <c r="D21" s="295"/>
      <c r="G21" s="201"/>
      <c r="H21" s="294"/>
      <c r="I21" s="295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 x14ac:dyDescent="0.25">
      <c r="B22" s="201"/>
      <c r="C22" s="288"/>
      <c r="D22" s="288"/>
      <c r="G22" s="201"/>
      <c r="H22" s="288"/>
      <c r="I22" s="288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 x14ac:dyDescent="0.25">
      <c r="B26" s="278" t="s">
        <v>466</v>
      </c>
      <c r="C26" s="278"/>
      <c r="D26" s="278"/>
      <c r="G26" s="278" t="s">
        <v>467</v>
      </c>
      <c r="H26" s="278"/>
      <c r="I26" s="278"/>
      <c r="K26" s="278" t="s">
        <v>15</v>
      </c>
      <c r="L26" s="278"/>
    </row>
    <row r="27" spans="2:18" x14ac:dyDescent="0.25">
      <c r="B27" s="183" t="s">
        <v>461</v>
      </c>
      <c r="C27" s="283">
        <v>100</v>
      </c>
      <c r="D27" s="283"/>
      <c r="G27" s="183" t="s">
        <v>461</v>
      </c>
      <c r="H27" s="283">
        <v>200000</v>
      </c>
      <c r="I27" s="283"/>
      <c r="K27" s="10" t="s">
        <v>16</v>
      </c>
      <c r="L27" s="11">
        <v>45</v>
      </c>
      <c r="M27" s="272">
        <v>2000000</v>
      </c>
    </row>
    <row r="28" spans="2:18" x14ac:dyDescent="0.25">
      <c r="B28" s="183" t="s">
        <v>446</v>
      </c>
      <c r="C28" s="284">
        <v>0.05</v>
      </c>
      <c r="D28" s="285"/>
      <c r="G28" s="183" t="s">
        <v>446</v>
      </c>
      <c r="H28" s="284">
        <v>0.12</v>
      </c>
      <c r="I28" s="285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 x14ac:dyDescent="0.25">
      <c r="B29" s="183" t="s">
        <v>448</v>
      </c>
      <c r="C29" s="283">
        <v>3</v>
      </c>
      <c r="D29" s="283"/>
      <c r="G29" s="183" t="s">
        <v>448</v>
      </c>
      <c r="H29" s="283">
        <v>11</v>
      </c>
      <c r="I29" s="283"/>
      <c r="K29" s="10" t="s">
        <v>18</v>
      </c>
      <c r="L29" s="12">
        <v>8</v>
      </c>
      <c r="M29" s="271"/>
    </row>
    <row r="30" spans="2:18" ht="15.75" thickBot="1" x14ac:dyDescent="0.3">
      <c r="B30" s="183"/>
      <c r="C30" s="287"/>
      <c r="D30" s="287"/>
      <c r="G30" s="183"/>
      <c r="H30" s="287"/>
      <c r="I30" s="287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201" t="s">
        <v>462</v>
      </c>
      <c r="C31" s="290">
        <f>( ( ( 1-  (1/ ( (1+C28)^C29) ) ) / C28) ) * (1+C28)</f>
        <v>2.859410430839004</v>
      </c>
      <c r="D31" s="291"/>
      <c r="G31" s="201" t="s">
        <v>463</v>
      </c>
      <c r="H31" s="290">
        <f>(( ((1+H28)^H29) -1 ) / H28 ) * ( 1+H28)</f>
        <v>23.133133271224832</v>
      </c>
      <c r="I31" s="291"/>
      <c r="K31" s="13" t="s">
        <v>20</v>
      </c>
      <c r="L31" s="14">
        <f>L29*12</f>
        <v>96</v>
      </c>
      <c r="M31" s="273"/>
      <c r="P31" s="215" t="s">
        <v>468</v>
      </c>
      <c r="Q31" s="216" t="s">
        <v>469</v>
      </c>
    </row>
    <row r="32" spans="2:18" x14ac:dyDescent="0.25">
      <c r="B32" s="201" t="s">
        <v>470</v>
      </c>
      <c r="C32" s="290">
        <f>C31 * C27</f>
        <v>285.94104308390041</v>
      </c>
      <c r="D32" s="291"/>
      <c r="G32" s="201" t="s">
        <v>471</v>
      </c>
      <c r="H32" s="290">
        <f>H31 * H27</f>
        <v>4626626.6542449668</v>
      </c>
      <c r="I32" s="291"/>
      <c r="K32" s="10" t="s">
        <v>18</v>
      </c>
      <c r="L32" s="15">
        <f>L31/12</f>
        <v>8</v>
      </c>
      <c r="M32" s="274"/>
      <c r="P32" s="217">
        <v>0.05</v>
      </c>
      <c r="Q32" s="218">
        <v>14</v>
      </c>
    </row>
    <row r="33" spans="2:17" x14ac:dyDescent="0.25">
      <c r="B33" s="201"/>
      <c r="C33" s="294"/>
      <c r="D33" s="295"/>
      <c r="G33" s="201"/>
      <c r="H33" s="294"/>
      <c r="I33" s="295"/>
      <c r="K33" s="13" t="s">
        <v>21</v>
      </c>
      <c r="L33" s="3">
        <f>((L28/L27)^(1/L32))-1</f>
        <v>0.23274951685376255</v>
      </c>
      <c r="M33" s="275"/>
      <c r="P33" s="217">
        <v>0.08</v>
      </c>
      <c r="Q33" s="218">
        <v>9</v>
      </c>
    </row>
    <row r="34" spans="2:17" x14ac:dyDescent="0.25">
      <c r="B34" s="201"/>
      <c r="C34" s="288"/>
      <c r="D34" s="288"/>
      <c r="G34" s="201"/>
      <c r="H34" s="288"/>
      <c r="I34" s="288"/>
      <c r="P34" s="217">
        <v>0.1</v>
      </c>
      <c r="Q34" s="218">
        <v>10</v>
      </c>
    </row>
    <row r="35" spans="2:17" x14ac:dyDescent="0.25">
      <c r="P35" s="217">
        <v>0.15</v>
      </c>
      <c r="Q35" s="218">
        <v>5</v>
      </c>
    </row>
    <row r="36" spans="2:17" x14ac:dyDescent="0.25">
      <c r="B36" s="278" t="s">
        <v>24</v>
      </c>
      <c r="C36" s="278"/>
      <c r="D36" s="278"/>
      <c r="E36" s="219"/>
      <c r="G36" s="278" t="s">
        <v>53</v>
      </c>
      <c r="H36" s="278"/>
      <c r="K36" s="278" t="s">
        <v>334</v>
      </c>
      <c r="L36" s="278"/>
      <c r="P36" s="217">
        <v>0.2</v>
      </c>
      <c r="Q36" s="218">
        <v>4</v>
      </c>
    </row>
    <row r="37" spans="2:17" x14ac:dyDescent="0.25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 x14ac:dyDescent="0.25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 x14ac:dyDescent="0.25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 x14ac:dyDescent="0.25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 x14ac:dyDescent="0.3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 x14ac:dyDescent="0.3">
      <c r="C43" s="298" t="s">
        <v>453</v>
      </c>
      <c r="D43" s="298"/>
      <c r="E43" s="298"/>
      <c r="F43" s="298"/>
      <c r="J43" s="298" t="s">
        <v>453</v>
      </c>
      <c r="K43" s="298"/>
      <c r="L43" s="298"/>
      <c r="M43" s="298"/>
    </row>
    <row r="44" spans="2:17" ht="15.75" thickBot="1" x14ac:dyDescent="0.3">
      <c r="B44" s="229"/>
      <c r="C44" s="296" t="s">
        <v>474</v>
      </c>
      <c r="D44" s="297"/>
      <c r="E44" s="230" t="s">
        <v>475</v>
      </c>
      <c r="F44" s="230"/>
      <c r="G44" s="231"/>
      <c r="I44" s="229"/>
      <c r="J44" s="296" t="s">
        <v>476</v>
      </c>
      <c r="K44" s="297"/>
      <c r="L44" s="230" t="s">
        <v>477</v>
      </c>
      <c r="M44" s="230"/>
      <c r="N44" s="231"/>
    </row>
    <row r="45" spans="2:17" ht="15.75" thickBot="1" x14ac:dyDescent="0.3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 x14ac:dyDescent="0.3">
      <c r="B46" s="299" t="s">
        <v>478</v>
      </c>
      <c r="C46" s="300"/>
      <c r="D46" s="300"/>
      <c r="E46" s="300"/>
      <c r="F46" s="300"/>
      <c r="G46" s="301"/>
      <c r="I46" s="299" t="s">
        <v>478</v>
      </c>
      <c r="J46" s="300"/>
      <c r="K46" s="300"/>
      <c r="L46" s="300"/>
      <c r="M46" s="300"/>
      <c r="N46" s="301"/>
    </row>
    <row r="47" spans="2:17" x14ac:dyDescent="0.25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 x14ac:dyDescent="0.25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 x14ac:dyDescent="0.25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 x14ac:dyDescent="0.25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 x14ac:dyDescent="0.25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 x14ac:dyDescent="0.25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 x14ac:dyDescent="0.25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 x14ac:dyDescent="0.25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 x14ac:dyDescent="0.25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 x14ac:dyDescent="0.25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 x14ac:dyDescent="0.25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 x14ac:dyDescent="0.25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 x14ac:dyDescent="0.25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 x14ac:dyDescent="0.25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 x14ac:dyDescent="0.25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 x14ac:dyDescent="0.25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 x14ac:dyDescent="0.25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 x14ac:dyDescent="0.25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2332630920.4101563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 x14ac:dyDescent="0.25">
      <c r="A65">
        <f t="shared" si="8"/>
        <v>2029</v>
      </c>
      <c r="B65" s="238">
        <f t="shared" si="8"/>
        <v>16</v>
      </c>
      <c r="C65" s="239">
        <f t="shared" si="2"/>
        <v>2332630920.4101563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 x14ac:dyDescent="0.25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 x14ac:dyDescent="0.25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 x14ac:dyDescent="0.25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 x14ac:dyDescent="0.25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 x14ac:dyDescent="0.25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 x14ac:dyDescent="0.25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 x14ac:dyDescent="0.25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 x14ac:dyDescent="0.25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 x14ac:dyDescent="0.25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 x14ac:dyDescent="0.25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 x14ac:dyDescent="0.25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 x14ac:dyDescent="0.25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 x14ac:dyDescent="0.25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 x14ac:dyDescent="0.25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 x14ac:dyDescent="0.3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 x14ac:dyDescent="0.3">
      <c r="B81" s="302" t="s">
        <v>486</v>
      </c>
      <c r="C81" s="303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2" t="s">
        <v>486</v>
      </c>
      <c r="J81" s="303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 x14ac:dyDescent="0.3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 x14ac:dyDescent="0.25">
      <c r="G83" s="261"/>
      <c r="H83" s="250">
        <f t="shared" si="14"/>
        <v>0</v>
      </c>
    </row>
    <row r="84" spans="2:14" ht="15.75" thickBot="1" x14ac:dyDescent="0.3">
      <c r="C84" s="298" t="s">
        <v>488</v>
      </c>
      <c r="D84" s="298"/>
      <c r="E84" s="298"/>
      <c r="F84" s="298"/>
      <c r="H84" s="250">
        <f t="shared" si="14"/>
        <v>0</v>
      </c>
      <c r="J84" s="298" t="s">
        <v>488</v>
      </c>
      <c r="K84" s="298"/>
      <c r="L84" s="298"/>
      <c r="M84" s="298"/>
    </row>
    <row r="85" spans="2:14" ht="15.75" thickBot="1" x14ac:dyDescent="0.3">
      <c r="H85" s="250">
        <f t="shared" si="14"/>
        <v>1.4999999999999999E-7</v>
      </c>
    </row>
    <row r="86" spans="2:14" ht="15.75" thickBot="1" x14ac:dyDescent="0.3">
      <c r="B86" s="229"/>
      <c r="C86" s="296" t="s">
        <v>474</v>
      </c>
      <c r="D86" s="297"/>
      <c r="E86" s="230" t="s">
        <v>475</v>
      </c>
      <c r="F86" s="230"/>
      <c r="G86" s="231"/>
      <c r="H86" s="250">
        <f t="shared" si="14"/>
        <v>0</v>
      </c>
      <c r="I86" s="229"/>
      <c r="J86" s="296" t="s">
        <v>489</v>
      </c>
      <c r="K86" s="297"/>
      <c r="L86" s="230" t="s">
        <v>490</v>
      </c>
      <c r="M86" s="230"/>
      <c r="N86" s="231"/>
    </row>
    <row r="87" spans="2:14" ht="15.75" thickBot="1" x14ac:dyDescent="0.3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 x14ac:dyDescent="0.3">
      <c r="B88" s="299" t="s">
        <v>491</v>
      </c>
      <c r="C88" s="300"/>
      <c r="D88" s="300"/>
      <c r="E88" s="300"/>
      <c r="F88" s="300"/>
      <c r="G88" s="301"/>
      <c r="H88" s="250">
        <f t="shared" si="14"/>
        <v>0</v>
      </c>
      <c r="I88" s="299" t="s">
        <v>491</v>
      </c>
      <c r="J88" s="300"/>
      <c r="K88" s="300"/>
      <c r="L88" s="300"/>
      <c r="M88" s="300"/>
      <c r="N88" s="301"/>
    </row>
    <row r="89" spans="2:14" x14ac:dyDescent="0.25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 x14ac:dyDescent="0.25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 x14ac:dyDescent="0.25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 x14ac:dyDescent="0.25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 x14ac:dyDescent="0.25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 x14ac:dyDescent="0.25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 x14ac:dyDescent="0.25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 x14ac:dyDescent="0.25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 x14ac:dyDescent="0.25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 x14ac:dyDescent="0.25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 x14ac:dyDescent="0.25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 x14ac:dyDescent="0.25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 x14ac:dyDescent="0.25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 x14ac:dyDescent="0.25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 x14ac:dyDescent="0.25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 x14ac:dyDescent="0.25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 x14ac:dyDescent="0.25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 x14ac:dyDescent="0.25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 x14ac:dyDescent="0.25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 x14ac:dyDescent="0.25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 x14ac:dyDescent="0.25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 x14ac:dyDescent="0.25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 x14ac:dyDescent="0.25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 x14ac:dyDescent="0.25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 x14ac:dyDescent="0.25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 x14ac:dyDescent="0.25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 x14ac:dyDescent="0.25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 x14ac:dyDescent="0.25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 x14ac:dyDescent="0.25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 x14ac:dyDescent="0.25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 x14ac:dyDescent="0.25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 x14ac:dyDescent="0.25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 x14ac:dyDescent="0.25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 x14ac:dyDescent="0.25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 x14ac:dyDescent="0.3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 x14ac:dyDescent="0.3">
      <c r="B124" s="302" t="s">
        <v>497</v>
      </c>
      <c r="C124" s="303"/>
      <c r="D124" s="255">
        <f>SUM(D91:D123)</f>
        <v>1900</v>
      </c>
      <c r="E124" s="253"/>
      <c r="F124" s="253"/>
      <c r="G124" s="267">
        <f>G121</f>
        <v>1413.1902480939689</v>
      </c>
      <c r="I124" s="302" t="s">
        <v>497</v>
      </c>
      <c r="J124" s="303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 x14ac:dyDescent="0.3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283"/>
  <sheetViews>
    <sheetView tabSelected="1" zoomScale="80" zoomScaleNormal="80" workbookViewId="0">
      <pane xSplit="2" ySplit="3" topLeftCell="C37" activePane="bottomRight" state="frozen"/>
      <selection pane="topRight" activeCell="C1" sqref="C1"/>
      <selection pane="bottomLeft" activeCell="A5" sqref="A5"/>
      <selection pane="bottomRight" activeCell="G67" sqref="G67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 x14ac:dyDescent="0.2">
      <c r="B1" s="106" t="s">
        <v>508</v>
      </c>
      <c r="C1" s="277">
        <f>S2</f>
        <v>0.22</v>
      </c>
      <c r="I1" s="89" t="s">
        <v>209</v>
      </c>
      <c r="K1" s="107">
        <v>2004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 x14ac:dyDescent="0.2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8" t="s">
        <v>240</v>
      </c>
      <c r="AJ2" s="309"/>
    </row>
    <row r="3" spans="2:36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0" t="s">
        <v>241</v>
      </c>
      <c r="AJ3" s="311"/>
    </row>
    <row r="4" spans="2:3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 x14ac:dyDescent="0.2">
      <c r="B6" s="10" t="s">
        <v>10</v>
      </c>
      <c r="C6" s="118"/>
      <c r="D6" s="118"/>
      <c r="E6" s="124"/>
      <c r="F6" s="124"/>
      <c r="G6" s="124">
        <v>90</v>
      </c>
      <c r="H6" s="124">
        <v>145</v>
      </c>
      <c r="I6" s="124">
        <v>206</v>
      </c>
      <c r="J6" s="124">
        <v>296</v>
      </c>
      <c r="K6" s="124">
        <v>386</v>
      </c>
      <c r="L6" s="124">
        <v>405</v>
      </c>
      <c r="M6" s="124">
        <v>801</v>
      </c>
      <c r="N6" s="124">
        <v>1451</v>
      </c>
      <c r="O6" s="124">
        <v>1904</v>
      </c>
      <c r="P6" s="124">
        <v>3103</v>
      </c>
      <c r="Q6" s="124">
        <v>3446</v>
      </c>
      <c r="R6" s="124">
        <v>4835</v>
      </c>
      <c r="S6" s="180">
        <v>4972</v>
      </c>
      <c r="T6" s="180">
        <v>7417</v>
      </c>
      <c r="U6" s="180">
        <v>8246</v>
      </c>
      <c r="V6" s="101">
        <f>((U6/G6)^(1/($K$2-$K$1) ))-1</f>
        <v>0.38083859035633338</v>
      </c>
      <c r="W6" s="21">
        <f>$O$2</f>
        <v>0.15</v>
      </c>
      <c r="X6" s="130">
        <f>U6*(1+$W6)</f>
        <v>9482.9</v>
      </c>
      <c r="Y6" s="130">
        <f>X6*(1+$W6)</f>
        <v>10905.334999999999</v>
      </c>
      <c r="Z6" s="130">
        <f t="shared" ref="Z6:AG6" si="0">Y6*(1+$W6)</f>
        <v>12541.135249999998</v>
      </c>
      <c r="AA6" s="130">
        <f t="shared" si="0"/>
        <v>14422.305537499997</v>
      </c>
      <c r="AB6" s="130">
        <f t="shared" si="0"/>
        <v>16585.651368124996</v>
      </c>
      <c r="AC6" s="130">
        <f t="shared" si="0"/>
        <v>19073.499073343744</v>
      </c>
      <c r="AD6" s="130">
        <f t="shared" si="0"/>
        <v>21934.523934345303</v>
      </c>
      <c r="AE6" s="130">
        <f t="shared" si="0"/>
        <v>25224.702524497097</v>
      </c>
      <c r="AF6" s="130">
        <f t="shared" si="0"/>
        <v>29008.407903171661</v>
      </c>
      <c r="AG6" s="130">
        <f t="shared" si="0"/>
        <v>33359.66908864741</v>
      </c>
      <c r="AH6" s="115">
        <f>((AG6/J6)^(1/($AG$3-$K$1) ))-1</f>
        <v>0.21757881839292348</v>
      </c>
      <c r="AI6" s="21">
        <f>$O$1</f>
        <v>0.01</v>
      </c>
      <c r="AJ6" s="123">
        <f t="shared" ref="AJ6:AJ63" si="1">(AG6*(1+AI6))/($C$1-AI6)</f>
        <v>160444.12275968515</v>
      </c>
    </row>
    <row r="7" spans="2:36" x14ac:dyDescent="0.2">
      <c r="B7" s="10" t="s">
        <v>198</v>
      </c>
      <c r="C7" s="118"/>
      <c r="D7" s="118"/>
      <c r="E7" s="124"/>
      <c r="F7" s="124"/>
      <c r="G7" s="124">
        <v>131</v>
      </c>
      <c r="H7" s="124">
        <v>195</v>
      </c>
      <c r="I7" s="124">
        <v>276</v>
      </c>
      <c r="J7" s="124">
        <v>373</v>
      </c>
      <c r="K7" s="124">
        <v>454</v>
      </c>
      <c r="L7" s="124">
        <v>525</v>
      </c>
      <c r="M7" s="124">
        <v>886</v>
      </c>
      <c r="N7" s="124">
        <v>1555</v>
      </c>
      <c r="O7" s="124">
        <v>2021</v>
      </c>
      <c r="P7" s="124">
        <v>3237</v>
      </c>
      <c r="Q7" s="124">
        <v>3574</v>
      </c>
      <c r="R7" s="124">
        <v>4981</v>
      </c>
      <c r="S7" s="180">
        <v>5389</v>
      </c>
      <c r="T7" s="180">
        <v>7730</v>
      </c>
      <c r="U7" s="180">
        <v>8559</v>
      </c>
      <c r="V7" s="101">
        <f t="shared" ref="V7:V74" si="2">((U7/G7)^(1/($K$2-$K$1) ))-1</f>
        <v>0.34788765290851953</v>
      </c>
      <c r="W7" s="21">
        <f>$O$2</f>
        <v>0.15</v>
      </c>
      <c r="X7" s="130">
        <f>U7*(1+$W7)</f>
        <v>9842.8499999999985</v>
      </c>
      <c r="Y7" s="130">
        <f t="shared" ref="Y7:AG7" si="3">X7*(1+$W7)</f>
        <v>11319.277499999998</v>
      </c>
      <c r="Z7" s="130">
        <f t="shared" si="3"/>
        <v>13017.169124999997</v>
      </c>
      <c r="AA7" s="130">
        <f t="shared" si="3"/>
        <v>14969.744493749995</v>
      </c>
      <c r="AB7" s="130">
        <f t="shared" si="3"/>
        <v>17215.206167812492</v>
      </c>
      <c r="AC7" s="130">
        <f t="shared" si="3"/>
        <v>19797.487092984364</v>
      </c>
      <c r="AD7" s="130">
        <f t="shared" si="3"/>
        <v>22767.110156932016</v>
      </c>
      <c r="AE7" s="130">
        <f t="shared" si="3"/>
        <v>26182.176680471817</v>
      </c>
      <c r="AF7" s="130">
        <f t="shared" si="3"/>
        <v>30109.503182542587</v>
      </c>
      <c r="AG7" s="130">
        <f t="shared" si="3"/>
        <v>34625.928659923971</v>
      </c>
      <c r="AH7" s="115">
        <f>((AG7/J7)^(1/($AG$3-$K$1) ))-1</f>
        <v>0.20777821423169751</v>
      </c>
      <c r="AI7" s="21">
        <f>$O$1</f>
        <v>0.01</v>
      </c>
      <c r="AJ7" s="123">
        <f t="shared" si="1"/>
        <v>166534.22831677721</v>
      </c>
    </row>
    <row r="8" spans="2:36" x14ac:dyDescent="0.2">
      <c r="B8" s="10"/>
      <c r="C8" s="118"/>
      <c r="D8" s="118"/>
      <c r="E8" s="124"/>
      <c r="F8" s="268"/>
      <c r="G8" s="268">
        <f>(G7-F7)/G7</f>
        <v>1</v>
      </c>
      <c r="H8" s="127">
        <f>(H7-G7)/H7</f>
        <v>0.3282051282051282</v>
      </c>
      <c r="I8" s="127">
        <f t="shared" ref="I8:P8" si="4">(I7-H7)/I7</f>
        <v>0.29347826086956524</v>
      </c>
      <c r="J8" s="127">
        <f t="shared" si="4"/>
        <v>0.26005361930294907</v>
      </c>
      <c r="K8" s="127">
        <f t="shared" si="4"/>
        <v>0.17841409691629956</v>
      </c>
      <c r="L8" s="127">
        <f t="shared" si="4"/>
        <v>0.13523809523809524</v>
      </c>
      <c r="M8" s="127">
        <f t="shared" si="4"/>
        <v>0.4074492099322799</v>
      </c>
      <c r="N8" s="127">
        <f t="shared" si="4"/>
        <v>0.43022508038585211</v>
      </c>
      <c r="O8" s="127">
        <f t="shared" si="4"/>
        <v>0.23057892132607619</v>
      </c>
      <c r="P8" s="127">
        <f t="shared" si="4"/>
        <v>0.37565647204201419</v>
      </c>
      <c r="Q8" s="127">
        <f t="shared" ref="Q8:R8" si="5">(Q7-P7)/Q7</f>
        <v>9.4292109681029662E-2</v>
      </c>
      <c r="R8" s="127">
        <f t="shared" si="5"/>
        <v>0.28247339891588036</v>
      </c>
      <c r="S8" s="127">
        <f t="shared" ref="S8:U8" si="6">(S7-R7)/R7</f>
        <v>8.191126279863481E-2</v>
      </c>
      <c r="T8" s="127">
        <f t="shared" si="6"/>
        <v>0.43440341436259045</v>
      </c>
      <c r="U8" s="127">
        <f t="shared" si="6"/>
        <v>0.10724450194049159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 x14ac:dyDescent="0.2">
      <c r="B9" s="10" t="s">
        <v>220</v>
      </c>
      <c r="C9" s="118"/>
      <c r="D9" s="118"/>
      <c r="E9" s="124"/>
      <c r="F9" s="124"/>
      <c r="G9" s="124">
        <v>1199</v>
      </c>
      <c r="H9" s="124">
        <v>26</v>
      </c>
      <c r="I9" s="124">
        <v>34</v>
      </c>
      <c r="J9" s="124">
        <v>47</v>
      </c>
      <c r="K9" s="124">
        <v>60</v>
      </c>
      <c r="L9" s="124">
        <v>85</v>
      </c>
      <c r="M9" s="124">
        <v>94</v>
      </c>
      <c r="N9" s="124">
        <v>19663</v>
      </c>
      <c r="O9" s="124">
        <v>23648</v>
      </c>
      <c r="P9" s="124">
        <v>4815</v>
      </c>
      <c r="Q9" s="124">
        <v>5987</v>
      </c>
      <c r="R9" s="124">
        <v>9048</v>
      </c>
      <c r="S9" s="180">
        <v>11000</v>
      </c>
      <c r="T9" s="180">
        <v>12575</v>
      </c>
      <c r="U9" s="180">
        <v>18790</v>
      </c>
      <c r="V9" s="101">
        <f t="shared" si="2"/>
        <v>0.21720808491360288</v>
      </c>
      <c r="W9" s="21">
        <f t="shared" ref="W9:W59" si="7">$O$2</f>
        <v>0.15</v>
      </c>
      <c r="X9" s="130">
        <f t="shared" ref="X9:X63" si="8">U9*(1+$W9)</f>
        <v>21608.5</v>
      </c>
      <c r="Y9" s="130">
        <f t="shared" ref="Y9" si="9">X9*(1+$W9)</f>
        <v>24849.774999999998</v>
      </c>
      <c r="Z9" s="130">
        <f t="shared" ref="Z9" si="10">Y9*(1+$W9)</f>
        <v>28577.241249999995</v>
      </c>
      <c r="AA9" s="130">
        <f t="shared" ref="AA9" si="11">Z9*(1+$W9)</f>
        <v>32863.827437499989</v>
      </c>
      <c r="AB9" s="130">
        <f t="shared" ref="AB9" si="12">AA9*(1+$W9)</f>
        <v>37793.401553124982</v>
      </c>
      <c r="AC9" s="130">
        <f t="shared" ref="AC9" si="13">AB9*(1+$W9)</f>
        <v>43462.411786093726</v>
      </c>
      <c r="AD9" s="130">
        <f t="shared" ref="AD9" si="14">AC9*(1+$W9)</f>
        <v>49981.773554007777</v>
      </c>
      <c r="AE9" s="130">
        <f t="shared" ref="AE9" si="15">AD9*(1+$W9)</f>
        <v>57479.039587108942</v>
      </c>
      <c r="AF9" s="130">
        <f t="shared" ref="AF9" si="16">AE9*(1+$W9)</f>
        <v>66100.895525175278</v>
      </c>
      <c r="AG9" s="130">
        <f t="shared" ref="AG9" si="17">AF9*(1+$W9)</f>
        <v>76016.029853951564</v>
      </c>
      <c r="AH9" s="115">
        <f>((AG9/J9)^(1/($AG$3-$K$1) ))-1</f>
        <v>0.36050551075388704</v>
      </c>
      <c r="AI9" s="21">
        <f t="shared" ref="AI9:AI103" si="18">$O$1</f>
        <v>0.01</v>
      </c>
      <c r="AJ9" s="123">
        <f t="shared" si="1"/>
        <v>365600.90548805275</v>
      </c>
    </row>
    <row r="10" spans="2:36" x14ac:dyDescent="0.2">
      <c r="B10" s="10" t="s">
        <v>3</v>
      </c>
      <c r="C10" s="118"/>
      <c r="D10" s="118"/>
      <c r="E10" s="124"/>
      <c r="F10" s="124"/>
      <c r="G10" s="124">
        <v>1117</v>
      </c>
      <c r="H10" s="124">
        <v>1668</v>
      </c>
      <c r="I10" s="124">
        <v>2437</v>
      </c>
      <c r="J10" s="124">
        <v>3440</v>
      </c>
      <c r="K10" s="124">
        <v>4258</v>
      </c>
      <c r="L10" s="124">
        <v>6176</v>
      </c>
      <c r="M10" s="124">
        <v>9305</v>
      </c>
      <c r="N10" s="124">
        <v>1295</v>
      </c>
      <c r="O10" s="124">
        <v>1578</v>
      </c>
      <c r="P10" s="124">
        <v>27440</v>
      </c>
      <c r="Q10" s="124">
        <v>33890</v>
      </c>
      <c r="R10" s="124">
        <v>40508</v>
      </c>
      <c r="S10" s="180">
        <v>51556</v>
      </c>
      <c r="T10" s="180">
        <v>71269</v>
      </c>
      <c r="U10" s="180">
        <v>79295</v>
      </c>
      <c r="V10" s="101">
        <f t="shared" si="2"/>
        <v>0.35590119978392187</v>
      </c>
      <c r="W10" s="21">
        <f t="shared" si="7"/>
        <v>0.15</v>
      </c>
      <c r="X10" s="130">
        <f t="shared" si="8"/>
        <v>91189.25</v>
      </c>
      <c r="Y10" s="130">
        <f t="shared" ref="Y10:AG10" si="19">X10*(1+$W10)</f>
        <v>104867.6375</v>
      </c>
      <c r="Z10" s="130">
        <f t="shared" si="19"/>
        <v>120597.78312499999</v>
      </c>
      <c r="AA10" s="130">
        <f t="shared" si="19"/>
        <v>138687.45059374996</v>
      </c>
      <c r="AB10" s="130">
        <f t="shared" si="19"/>
        <v>159490.56818281245</v>
      </c>
      <c r="AC10" s="130">
        <f t="shared" si="19"/>
        <v>183414.15341023431</v>
      </c>
      <c r="AD10" s="130">
        <f t="shared" si="19"/>
        <v>210926.27642176943</v>
      </c>
      <c r="AE10" s="130">
        <f t="shared" si="19"/>
        <v>242565.21788503483</v>
      </c>
      <c r="AF10" s="130">
        <f t="shared" si="19"/>
        <v>278950.00056779</v>
      </c>
      <c r="AG10" s="130">
        <f t="shared" si="19"/>
        <v>320792.50065295846</v>
      </c>
      <c r="AH10" s="115">
        <f t="shared" ref="AH10:AH61" si="20">((AG10/J10)^(1/($AG$3-$K$1) ))-1</f>
        <v>0.20800687751661018</v>
      </c>
      <c r="AI10" s="21">
        <f t="shared" si="18"/>
        <v>0.01</v>
      </c>
      <c r="AJ10" s="123">
        <f t="shared" si="1"/>
        <v>1542859.169807086</v>
      </c>
    </row>
    <row r="11" spans="2:36" x14ac:dyDescent="0.2">
      <c r="B11" s="10"/>
      <c r="C11" s="118"/>
      <c r="D11" s="118"/>
      <c r="E11" s="124"/>
      <c r="F11" s="268"/>
      <c r="G11" s="268">
        <f>(G10-F10)/G10</f>
        <v>1</v>
      </c>
      <c r="H11" s="268">
        <f t="shared" ref="H11:P11" si="21">(H10-G10)/H10</f>
        <v>0.33033573141486811</v>
      </c>
      <c r="I11" s="268">
        <f t="shared" si="21"/>
        <v>0.31555190808370948</v>
      </c>
      <c r="J11" s="268">
        <f t="shared" si="21"/>
        <v>0.29156976744186047</v>
      </c>
      <c r="K11" s="268">
        <f t="shared" si="21"/>
        <v>0.19210897134805072</v>
      </c>
      <c r="L11" s="268">
        <f t="shared" si="21"/>
        <v>0.31055699481865284</v>
      </c>
      <c r="M11" s="268">
        <f t="shared" si="21"/>
        <v>0.33627082213863513</v>
      </c>
      <c r="N11" s="268">
        <f t="shared" si="21"/>
        <v>-6.185328185328185</v>
      </c>
      <c r="O11" s="268">
        <f t="shared" si="21"/>
        <v>0.17934093789607097</v>
      </c>
      <c r="P11" s="268">
        <f t="shared" si="21"/>
        <v>0.94249271137026236</v>
      </c>
      <c r="Q11" s="268">
        <f t="shared" ref="Q11:R11" si="22">(Q10-P10)/Q10</f>
        <v>0.19032162879905576</v>
      </c>
      <c r="R11" s="268">
        <f t="shared" si="22"/>
        <v>0.16337513577564924</v>
      </c>
      <c r="S11" s="127">
        <f t="shared" ref="S11:U11" si="23">(S10-R10)/R10</f>
        <v>0.27273624962970278</v>
      </c>
      <c r="T11" s="127">
        <f t="shared" si="23"/>
        <v>0.38236092792303517</v>
      </c>
      <c r="U11" s="127">
        <f t="shared" si="23"/>
        <v>0.11261558321289761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 x14ac:dyDescent="0.2">
      <c r="B12" s="10" t="s">
        <v>2</v>
      </c>
      <c r="C12" s="118"/>
      <c r="D12" s="118"/>
      <c r="E12" s="124"/>
      <c r="F12" s="124"/>
      <c r="G12" s="124">
        <v>3</v>
      </c>
      <c r="H12" s="124">
        <v>41</v>
      </c>
      <c r="I12" s="124">
        <v>102</v>
      </c>
      <c r="J12" s="124">
        <v>129</v>
      </c>
      <c r="K12" s="124">
        <v>105</v>
      </c>
      <c r="L12" s="124">
        <v>444</v>
      </c>
      <c r="M12" s="124">
        <v>736</v>
      </c>
      <c r="N12" s="124">
        <v>1378</v>
      </c>
      <c r="O12" s="124">
        <v>725</v>
      </c>
      <c r="P12" s="124">
        <v>512</v>
      </c>
      <c r="Q12" s="124">
        <v>983</v>
      </c>
      <c r="R12" s="124">
        <v>687</v>
      </c>
      <c r="S12" s="180">
        <v>3496</v>
      </c>
      <c r="T12" s="180">
        <v>3430</v>
      </c>
      <c r="U12" s="180">
        <v>2468</v>
      </c>
      <c r="V12" s="101">
        <f t="shared" si="2"/>
        <v>0.61521477500877642</v>
      </c>
      <c r="W12" s="21">
        <f t="shared" si="7"/>
        <v>0.15</v>
      </c>
      <c r="X12" s="130">
        <f t="shared" si="8"/>
        <v>2838.2</v>
      </c>
      <c r="Y12" s="130">
        <f t="shared" ref="Y12:AG12" si="24">X12*(1+$W12)</f>
        <v>3263.9299999999994</v>
      </c>
      <c r="Z12" s="130">
        <f t="shared" si="24"/>
        <v>3753.519499999999</v>
      </c>
      <c r="AA12" s="130">
        <f t="shared" si="24"/>
        <v>4316.5474249999988</v>
      </c>
      <c r="AB12" s="130">
        <f t="shared" si="24"/>
        <v>4964.0295387499982</v>
      </c>
      <c r="AC12" s="130">
        <f t="shared" si="24"/>
        <v>5708.6339695624974</v>
      </c>
      <c r="AD12" s="130">
        <f t="shared" si="24"/>
        <v>6564.9290649968716</v>
      </c>
      <c r="AE12" s="130">
        <f t="shared" si="24"/>
        <v>7549.6684247464018</v>
      </c>
      <c r="AF12" s="130">
        <f t="shared" si="24"/>
        <v>8682.1186884583622</v>
      </c>
      <c r="AG12" s="130">
        <f t="shared" si="24"/>
        <v>9984.4364917271159</v>
      </c>
      <c r="AH12" s="115">
        <f t="shared" si="20"/>
        <v>0.19866339699937852</v>
      </c>
      <c r="AI12" s="21">
        <f t="shared" si="18"/>
        <v>0.01</v>
      </c>
      <c r="AJ12" s="123">
        <f t="shared" si="1"/>
        <v>48020.38503163994</v>
      </c>
    </row>
    <row r="13" spans="2:36" x14ac:dyDescent="0.2">
      <c r="B13" s="10" t="s">
        <v>191</v>
      </c>
      <c r="C13" s="118"/>
      <c r="D13" s="118"/>
      <c r="E13" s="124"/>
      <c r="F13" s="124"/>
      <c r="G13" s="124">
        <v>69</v>
      </c>
      <c r="H13" s="124">
        <v>106</v>
      </c>
      <c r="I13" s="124">
        <v>83</v>
      </c>
      <c r="J13" s="124">
        <v>82</v>
      </c>
      <c r="K13" s="124">
        <v>88</v>
      </c>
      <c r="L13" s="124">
        <v>94</v>
      </c>
      <c r="M13" s="124">
        <v>115</v>
      </c>
      <c r="N13" s="124">
        <v>701</v>
      </c>
      <c r="O13" s="124">
        <v>247</v>
      </c>
      <c r="P13" s="124">
        <v>275</v>
      </c>
      <c r="Q13" s="124">
        <v>575</v>
      </c>
      <c r="R13" s="124">
        <v>1751</v>
      </c>
      <c r="S13" s="180">
        <v>1810</v>
      </c>
      <c r="T13" s="180">
        <v>13509</v>
      </c>
      <c r="U13" s="180">
        <v>8103</v>
      </c>
      <c r="V13" s="101">
        <f t="shared" si="2"/>
        <v>0.4055381075129425</v>
      </c>
      <c r="W13" s="21">
        <f t="shared" si="7"/>
        <v>0.15</v>
      </c>
      <c r="X13" s="130">
        <f t="shared" si="8"/>
        <v>9318.4499999999989</v>
      </c>
      <c r="Y13" s="130">
        <f t="shared" ref="Y13:AG13" si="25">X13*(1+$W13)</f>
        <v>10716.217499999997</v>
      </c>
      <c r="Z13" s="130">
        <f t="shared" si="25"/>
        <v>12323.650124999996</v>
      </c>
      <c r="AA13" s="130">
        <f t="shared" si="25"/>
        <v>14172.197643749994</v>
      </c>
      <c r="AB13" s="130">
        <f t="shared" si="25"/>
        <v>16298.027290312491</v>
      </c>
      <c r="AC13" s="130">
        <f t="shared" si="25"/>
        <v>18742.731383859365</v>
      </c>
      <c r="AD13" s="130">
        <f t="shared" si="25"/>
        <v>21554.141091438269</v>
      </c>
      <c r="AE13" s="130">
        <f t="shared" si="25"/>
        <v>24787.262255154008</v>
      </c>
      <c r="AF13" s="130">
        <f t="shared" si="25"/>
        <v>28505.351593427105</v>
      </c>
      <c r="AG13" s="130">
        <f t="shared" si="25"/>
        <v>32781.154332441169</v>
      </c>
      <c r="AH13" s="115">
        <f t="shared" si="20"/>
        <v>0.28353810484893538</v>
      </c>
      <c r="AI13" s="21">
        <f t="shared" si="18"/>
        <v>0.01</v>
      </c>
      <c r="AJ13" s="123">
        <f t="shared" si="1"/>
        <v>157661.74226555039</v>
      </c>
    </row>
    <row r="14" spans="2:36" x14ac:dyDescent="0.2">
      <c r="B14" s="10" t="s">
        <v>315</v>
      </c>
      <c r="C14" s="118"/>
      <c r="D14" s="118"/>
      <c r="E14" s="124"/>
      <c r="F14" s="124"/>
      <c r="G14" s="124">
        <v>0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1477</v>
      </c>
      <c r="O14" s="124">
        <v>1322</v>
      </c>
      <c r="P14" s="124">
        <v>0</v>
      </c>
      <c r="Q14" s="124">
        <v>0</v>
      </c>
      <c r="R14" s="124">
        <v>0</v>
      </c>
      <c r="S14" s="180"/>
      <c r="T14" s="180">
        <v>0</v>
      </c>
      <c r="U14" s="180">
        <v>0</v>
      </c>
      <c r="V14" s="101" t="e">
        <f t="shared" si="2"/>
        <v>#DIV/0!</v>
      </c>
      <c r="W14" s="21">
        <f t="shared" si="7"/>
        <v>0.15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 x14ac:dyDescent="0.2">
      <c r="B15" s="10" t="s">
        <v>11</v>
      </c>
      <c r="C15" s="118"/>
      <c r="D15" s="118"/>
      <c r="E15" s="124"/>
      <c r="F15" s="124"/>
      <c r="G15" s="124">
        <v>3</v>
      </c>
      <c r="H15" s="124">
        <v>43</v>
      </c>
      <c r="I15" s="124">
        <v>104</v>
      </c>
      <c r="J15" s="124">
        <v>132</v>
      </c>
      <c r="K15" s="124">
        <v>108</v>
      </c>
      <c r="L15" s="124">
        <v>449</v>
      </c>
      <c r="M15" s="124">
        <v>746</v>
      </c>
      <c r="N15" s="124">
        <v>2874</v>
      </c>
      <c r="O15" s="124">
        <v>2105</v>
      </c>
      <c r="P15" s="124">
        <v>571</v>
      </c>
      <c r="Q15" s="124">
        <v>1060</v>
      </c>
      <c r="R15" s="124">
        <v>883</v>
      </c>
      <c r="S15" s="180">
        <v>3715</v>
      </c>
      <c r="T15" s="180">
        <v>3442</v>
      </c>
      <c r="U15" s="180">
        <v>2517</v>
      </c>
      <c r="V15" s="101">
        <f t="shared" si="2"/>
        <v>0.61748454635939876</v>
      </c>
      <c r="W15" s="21">
        <f t="shared" si="7"/>
        <v>0.15</v>
      </c>
      <c r="X15" s="130">
        <f t="shared" si="8"/>
        <v>2894.5499999999997</v>
      </c>
      <c r="Y15" s="130">
        <f t="shared" ref="Y15:AG15" si="37">X15*(1+$W15)</f>
        <v>3328.7324999999996</v>
      </c>
      <c r="Z15" s="130">
        <f t="shared" si="37"/>
        <v>3828.0423749999991</v>
      </c>
      <c r="AA15" s="130">
        <f t="shared" si="37"/>
        <v>4402.2487312499989</v>
      </c>
      <c r="AB15" s="130">
        <f t="shared" si="37"/>
        <v>5062.5860409374982</v>
      </c>
      <c r="AC15" s="130">
        <f t="shared" si="37"/>
        <v>5821.9739470781224</v>
      </c>
      <c r="AD15" s="130">
        <f t="shared" si="37"/>
        <v>6695.2700391398403</v>
      </c>
      <c r="AE15" s="130">
        <f t="shared" si="37"/>
        <v>7699.560545010816</v>
      </c>
      <c r="AF15" s="130">
        <f t="shared" si="37"/>
        <v>8854.4946267624382</v>
      </c>
      <c r="AG15" s="130">
        <f t="shared" si="37"/>
        <v>10182.668820776804</v>
      </c>
      <c r="AH15" s="115">
        <f t="shared" si="20"/>
        <v>0.19849709857909592</v>
      </c>
      <c r="AI15" s="21">
        <f t="shared" si="18"/>
        <v>0.01</v>
      </c>
      <c r="AJ15" s="123">
        <f t="shared" si="1"/>
        <v>48973.788138021773</v>
      </c>
    </row>
    <row r="16" spans="2:36" x14ac:dyDescent="0.2">
      <c r="B16" s="10" t="s">
        <v>12</v>
      </c>
      <c r="C16" s="118"/>
      <c r="D16" s="118"/>
      <c r="E16" s="124"/>
      <c r="F16" s="124"/>
      <c r="G16" s="124">
        <v>1166</v>
      </c>
      <c r="H16" s="124">
        <v>1740</v>
      </c>
      <c r="I16" s="124">
        <v>2601</v>
      </c>
      <c r="J16" s="124">
        <v>3703</v>
      </c>
      <c r="K16" s="124">
        <v>4596</v>
      </c>
      <c r="L16" s="124">
        <v>6576</v>
      </c>
      <c r="M16" s="124">
        <v>9888</v>
      </c>
      <c r="N16" s="124">
        <v>1822</v>
      </c>
      <c r="O16" s="124">
        <v>2940</v>
      </c>
      <c r="P16" s="124">
        <v>29964</v>
      </c>
      <c r="Q16" s="124">
        <v>35901</v>
      </c>
      <c r="R16" s="124">
        <v>43160</v>
      </c>
      <c r="S16" s="180">
        <v>54675</v>
      </c>
      <c r="T16" s="180">
        <v>64465</v>
      </c>
      <c r="U16" s="180">
        <v>78771</v>
      </c>
      <c r="V16" s="101">
        <f t="shared" si="2"/>
        <v>0.35110953147685153</v>
      </c>
      <c r="W16" s="21">
        <f t="shared" si="7"/>
        <v>0.15</v>
      </c>
      <c r="X16" s="130">
        <f t="shared" si="8"/>
        <v>90586.65</v>
      </c>
      <c r="Y16" s="130">
        <f t="shared" ref="Y16:AG16" si="38">X16*(1+$W16)</f>
        <v>104174.64749999999</v>
      </c>
      <c r="Z16" s="130">
        <f t="shared" si="38"/>
        <v>119800.84462499998</v>
      </c>
      <c r="AA16" s="130">
        <f t="shared" si="38"/>
        <v>137770.97131874997</v>
      </c>
      <c r="AB16" s="130">
        <f t="shared" si="38"/>
        <v>158436.61701656246</v>
      </c>
      <c r="AC16" s="130">
        <f t="shared" si="38"/>
        <v>182202.10956904682</v>
      </c>
      <c r="AD16" s="130">
        <f t="shared" si="38"/>
        <v>209532.42600440382</v>
      </c>
      <c r="AE16" s="130">
        <f t="shared" si="38"/>
        <v>240962.28990506439</v>
      </c>
      <c r="AF16" s="130">
        <f t="shared" si="38"/>
        <v>277106.63339082402</v>
      </c>
      <c r="AG16" s="130">
        <f t="shared" si="38"/>
        <v>318672.6283994476</v>
      </c>
      <c r="AH16" s="115">
        <f t="shared" si="20"/>
        <v>0.20397174171739052</v>
      </c>
      <c r="AI16" s="21">
        <f t="shared" si="18"/>
        <v>0.01</v>
      </c>
      <c r="AJ16" s="123">
        <f t="shared" si="1"/>
        <v>1532663.5937306767</v>
      </c>
    </row>
    <row r="17" spans="2:36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 x14ac:dyDescent="0.2">
      <c r="B18" s="10" t="s">
        <v>228</v>
      </c>
      <c r="C18" s="118"/>
      <c r="D18" s="118"/>
      <c r="E18" s="124"/>
      <c r="F18" s="124"/>
      <c r="G18" s="124">
        <v>41</v>
      </c>
      <c r="H18" s="124">
        <v>30</v>
      </c>
      <c r="I18" s="124">
        <v>40</v>
      </c>
      <c r="J18" s="124">
        <v>40</v>
      </c>
      <c r="K18" s="124">
        <v>41</v>
      </c>
      <c r="L18" s="124">
        <v>46</v>
      </c>
      <c r="M18" s="124">
        <v>50</v>
      </c>
      <c r="N18" s="124">
        <v>414</v>
      </c>
      <c r="O18" s="124">
        <v>423</v>
      </c>
      <c r="P18" s="124">
        <v>179</v>
      </c>
      <c r="Q18" s="124">
        <v>191</v>
      </c>
      <c r="R18" s="124">
        <v>191</v>
      </c>
      <c r="S18" s="180">
        <v>508</v>
      </c>
      <c r="T18" s="180">
        <v>210</v>
      </c>
      <c r="U18" s="180">
        <v>851</v>
      </c>
      <c r="V18" s="101">
        <f t="shared" si="2"/>
        <v>0.24188629945811724</v>
      </c>
      <c r="W18" s="21">
        <f t="shared" si="7"/>
        <v>0.15</v>
      </c>
      <c r="X18" s="130">
        <f t="shared" si="8"/>
        <v>978.65</v>
      </c>
      <c r="Y18" s="130">
        <f t="shared" ref="Y18:Y34" si="39">X18*(1+$W18)</f>
        <v>1125.4475</v>
      </c>
      <c r="Z18" s="130">
        <f t="shared" ref="Z18:Z34" si="40">Y18*(1+$W18)</f>
        <v>1294.2646249999998</v>
      </c>
      <c r="AA18" s="130">
        <f t="shared" ref="AA18:AA34" si="41">Z18*(1+$W18)</f>
        <v>1488.4043187499997</v>
      </c>
      <c r="AB18" s="130">
        <f t="shared" ref="AB18:AB53" si="42">AA18*(1+$W18)</f>
        <v>1711.6649665624996</v>
      </c>
      <c r="AC18" s="130">
        <f t="shared" ref="AC18:AC53" si="43">AB18*(1+$W18)</f>
        <v>1968.4147115468743</v>
      </c>
      <c r="AD18" s="130">
        <f t="shared" ref="AD18:AD53" si="44">AC18*(1+$W18)</f>
        <v>2263.6769182789053</v>
      </c>
      <c r="AE18" s="130">
        <f t="shared" ref="AE18:AE53" si="45">AD18*(1+$W18)</f>
        <v>2603.2284560207409</v>
      </c>
      <c r="AF18" s="130">
        <f t="shared" ref="AF18:AF53" si="46">AE18*(1+$W18)</f>
        <v>2993.7127244238518</v>
      </c>
      <c r="AG18" s="130">
        <f t="shared" ref="AG18:AG53" si="47">AF18*(1+$W18)</f>
        <v>3442.7696330874292</v>
      </c>
      <c r="AH18" s="115">
        <f t="shared" si="20"/>
        <v>0.20397831680400325</v>
      </c>
      <c r="AI18" s="21">
        <f t="shared" si="18"/>
        <v>0.01</v>
      </c>
      <c r="AJ18" s="123">
        <f t="shared" si="1"/>
        <v>16558.082521039541</v>
      </c>
    </row>
    <row r="19" spans="2:36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 x14ac:dyDescent="0.2">
      <c r="B25" s="10" t="s">
        <v>68</v>
      </c>
      <c r="C25" s="118"/>
      <c r="D25" s="118"/>
      <c r="E25" s="124"/>
      <c r="F25" s="124"/>
      <c r="G25" s="124">
        <v>146</v>
      </c>
      <c r="H25" s="124">
        <v>181</v>
      </c>
      <c r="I25" s="124">
        <v>249</v>
      </c>
      <c r="J25" s="124">
        <v>357</v>
      </c>
      <c r="K25" s="124">
        <v>556</v>
      </c>
      <c r="L25" s="124">
        <v>734</v>
      </c>
      <c r="M25" s="124">
        <v>1042</v>
      </c>
      <c r="N25" s="124">
        <v>2138</v>
      </c>
      <c r="O25" s="124">
        <v>3216</v>
      </c>
      <c r="P25" s="124">
        <v>4140</v>
      </c>
      <c r="Q25" s="124">
        <v>4969</v>
      </c>
      <c r="R25" s="124">
        <v>6422</v>
      </c>
      <c r="S25" s="180">
        <v>7856</v>
      </c>
      <c r="T25" s="180">
        <v>11471</v>
      </c>
      <c r="U25" s="180">
        <v>10529</v>
      </c>
      <c r="V25" s="101">
        <f t="shared" si="2"/>
        <v>0.35742778220204663</v>
      </c>
      <c r="W25" s="21">
        <f t="shared" si="7"/>
        <v>0.15</v>
      </c>
      <c r="X25" s="130">
        <f t="shared" si="8"/>
        <v>12108.349999999999</v>
      </c>
      <c r="Y25" s="130">
        <f t="shared" si="39"/>
        <v>13924.602499999997</v>
      </c>
      <c r="Z25" s="130">
        <f t="shared" si="40"/>
        <v>16013.292874999996</v>
      </c>
      <c r="AA25" s="130">
        <f t="shared" si="41"/>
        <v>18415.286806249995</v>
      </c>
      <c r="AB25" s="130">
        <f t="shared" si="42"/>
        <v>21177.579827187492</v>
      </c>
      <c r="AC25" s="130">
        <f t="shared" si="43"/>
        <v>24354.216801265615</v>
      </c>
      <c r="AD25" s="130">
        <f t="shared" si="44"/>
        <v>28007.349321455455</v>
      </c>
      <c r="AE25" s="130">
        <f t="shared" si="45"/>
        <v>32208.451719673769</v>
      </c>
      <c r="AF25" s="130">
        <f t="shared" si="46"/>
        <v>37039.719477624829</v>
      </c>
      <c r="AG25" s="130">
        <f t="shared" si="47"/>
        <v>42595.677399268548</v>
      </c>
      <c r="AH25" s="115">
        <f t="shared" si="20"/>
        <v>0.22047546898007253</v>
      </c>
      <c r="AI25" s="21">
        <f t="shared" si="18"/>
        <v>0.01</v>
      </c>
      <c r="AJ25" s="123">
        <f t="shared" si="1"/>
        <v>204864.92463457733</v>
      </c>
    </row>
    <row r="26" spans="2:36" s="106" customFormat="1" x14ac:dyDescent="0.2">
      <c r="B26" s="13"/>
      <c r="C26" s="125"/>
      <c r="D26" s="125"/>
      <c r="E26" s="126"/>
      <c r="F26" s="268"/>
      <c r="G26" s="268">
        <f>(G25-F25)/G25</f>
        <v>1</v>
      </c>
      <c r="H26" s="268">
        <f>(H25-G25)/H25</f>
        <v>0.19337016574585636</v>
      </c>
      <c r="I26" s="268">
        <f t="shared" ref="I26:P26" si="68">(I25-H25)/I25</f>
        <v>0.27309236947791166</v>
      </c>
      <c r="J26" s="268">
        <f t="shared" si="68"/>
        <v>0.30252100840336132</v>
      </c>
      <c r="K26" s="268">
        <f t="shared" si="68"/>
        <v>0.3579136690647482</v>
      </c>
      <c r="L26" s="268">
        <f t="shared" si="68"/>
        <v>0.24250681198910082</v>
      </c>
      <c r="M26" s="268">
        <f t="shared" si="68"/>
        <v>0.29558541266794625</v>
      </c>
      <c r="N26" s="268">
        <f t="shared" si="68"/>
        <v>0.51262862488306826</v>
      </c>
      <c r="O26" s="268">
        <f t="shared" si="68"/>
        <v>0.33519900497512439</v>
      </c>
      <c r="P26" s="268">
        <f t="shared" si="68"/>
        <v>0.22318840579710145</v>
      </c>
      <c r="Q26" s="268">
        <f t="shared" ref="Q26:R26" si="69">(Q25-P25)/Q25</f>
        <v>0.16683437311330249</v>
      </c>
      <c r="R26" s="268">
        <f t="shared" si="69"/>
        <v>0.22625350358143881</v>
      </c>
      <c r="S26" s="127">
        <f t="shared" ref="S26:U26" si="70">(S25-R25)/R25</f>
        <v>0.22329492369978199</v>
      </c>
      <c r="T26" s="127">
        <f t="shared" si="70"/>
        <v>0.46015784114052954</v>
      </c>
      <c r="U26" s="127">
        <f t="shared" si="70"/>
        <v>-8.21201290210095E-2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 x14ac:dyDescent="0.2">
      <c r="B27" s="10" t="s">
        <v>218</v>
      </c>
      <c r="C27" s="118"/>
      <c r="D27" s="118"/>
      <c r="E27" s="124"/>
      <c r="F27" s="124"/>
      <c r="G27" s="124">
        <v>21</v>
      </c>
      <c r="H27" s="124">
        <v>27</v>
      </c>
      <c r="I27" s="124">
        <v>31</v>
      </c>
      <c r="J27" s="124">
        <v>39</v>
      </c>
      <c r="K27" s="124">
        <v>56</v>
      </c>
      <c r="L27" s="124">
        <v>82</v>
      </c>
      <c r="M27" s="124">
        <v>124</v>
      </c>
      <c r="N27" s="124">
        <v>270</v>
      </c>
      <c r="O27" s="124">
        <v>373</v>
      </c>
      <c r="P27" s="124">
        <v>401</v>
      </c>
      <c r="Q27" s="124">
        <v>441</v>
      </c>
      <c r="R27" s="124">
        <v>969</v>
      </c>
      <c r="S27" s="180">
        <v>1213</v>
      </c>
      <c r="T27" s="180">
        <v>1477</v>
      </c>
      <c r="U27" s="180">
        <v>1174</v>
      </c>
      <c r="V27" s="101">
        <f t="shared" si="2"/>
        <v>0.33296200870007753</v>
      </c>
      <c r="W27" s="21">
        <f t="shared" si="7"/>
        <v>0.15</v>
      </c>
      <c r="X27" s="130">
        <f t="shared" si="8"/>
        <v>1350.1</v>
      </c>
      <c r="Y27" s="130">
        <f t="shared" si="39"/>
        <v>1552.6149999999998</v>
      </c>
      <c r="Z27" s="130">
        <f t="shared" si="40"/>
        <v>1785.5072499999997</v>
      </c>
      <c r="AA27" s="130">
        <f t="shared" si="41"/>
        <v>2053.3333374999993</v>
      </c>
      <c r="AB27" s="130">
        <f t="shared" si="42"/>
        <v>2361.333338124999</v>
      </c>
      <c r="AC27" s="130">
        <f t="shared" si="43"/>
        <v>2715.5333388437489</v>
      </c>
      <c r="AD27" s="130">
        <f t="shared" si="44"/>
        <v>3122.8633396703108</v>
      </c>
      <c r="AE27" s="130">
        <f t="shared" si="45"/>
        <v>3591.2928406208571</v>
      </c>
      <c r="AF27" s="130">
        <f t="shared" si="46"/>
        <v>4129.9867667139852</v>
      </c>
      <c r="AG27" s="130">
        <f t="shared" si="47"/>
        <v>4749.484781721083</v>
      </c>
      <c r="AH27" s="115">
        <f t="shared" si="20"/>
        <v>0.22151624080725618</v>
      </c>
      <c r="AI27" s="21">
        <f t="shared" si="18"/>
        <v>0.01</v>
      </c>
      <c r="AJ27" s="123">
        <f t="shared" si="1"/>
        <v>22842.760140658542</v>
      </c>
    </row>
    <row r="28" spans="2:36" s="106" customFormat="1" x14ac:dyDescent="0.2">
      <c r="B28" s="13"/>
      <c r="C28" s="125"/>
      <c r="D28" s="125"/>
      <c r="E28" s="126"/>
      <c r="F28" s="268"/>
      <c r="G28" s="268">
        <f t="shared" ref="G28:P28" si="71">(G27-F27)/G27</f>
        <v>1</v>
      </c>
      <c r="H28" s="268">
        <f t="shared" si="71"/>
        <v>0.22222222222222221</v>
      </c>
      <c r="I28" s="268">
        <f t="shared" si="71"/>
        <v>0.12903225806451613</v>
      </c>
      <c r="J28" s="268">
        <f t="shared" si="71"/>
        <v>0.20512820512820512</v>
      </c>
      <c r="K28" s="268">
        <f t="shared" si="71"/>
        <v>0.30357142857142855</v>
      </c>
      <c r="L28" s="268">
        <f t="shared" si="71"/>
        <v>0.31707317073170732</v>
      </c>
      <c r="M28" s="268">
        <f t="shared" si="71"/>
        <v>0.33870967741935482</v>
      </c>
      <c r="N28" s="268">
        <f t="shared" si="71"/>
        <v>0.54074074074074074</v>
      </c>
      <c r="O28" s="268">
        <f t="shared" si="71"/>
        <v>0.27613941018766758</v>
      </c>
      <c r="P28" s="268">
        <f t="shared" si="71"/>
        <v>6.9825436408977551E-2</v>
      </c>
      <c r="Q28" s="268">
        <f t="shared" ref="Q28:R28" si="72">(Q27-P27)/Q27</f>
        <v>9.0702947845804988E-2</v>
      </c>
      <c r="R28" s="268">
        <f t="shared" si="72"/>
        <v>0.54489164086687303</v>
      </c>
      <c r="S28" s="127">
        <f t="shared" ref="S28:U28" si="73">(S27-R27)/R27</f>
        <v>0.25180598555211559</v>
      </c>
      <c r="T28" s="127">
        <f t="shared" si="73"/>
        <v>0.21764220939818632</v>
      </c>
      <c r="U28" s="127">
        <f t="shared" si="73"/>
        <v>-0.20514556533513881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 x14ac:dyDescent="0.2">
      <c r="B29" s="10" t="s">
        <v>268</v>
      </c>
      <c r="C29" s="125"/>
      <c r="D29" s="125"/>
      <c r="E29" s="126"/>
      <c r="F29" s="124"/>
      <c r="G29" s="124">
        <v>97</v>
      </c>
      <c r="H29" s="124">
        <v>115</v>
      </c>
      <c r="I29" s="124">
        <v>161</v>
      </c>
      <c r="J29" s="124">
        <v>249</v>
      </c>
      <c r="K29" s="124">
        <v>391</v>
      </c>
      <c r="L29" s="124">
        <v>525</v>
      </c>
      <c r="M29" s="124">
        <v>702</v>
      </c>
      <c r="N29" s="124">
        <v>1390</v>
      </c>
      <c r="O29" s="124">
        <v>2349</v>
      </c>
      <c r="P29" s="124">
        <v>3119</v>
      </c>
      <c r="Q29" s="124">
        <v>3782</v>
      </c>
      <c r="R29" s="124">
        <v>4460</v>
      </c>
      <c r="S29" s="180">
        <v>5491</v>
      </c>
      <c r="T29" s="180">
        <v>6674</v>
      </c>
      <c r="U29" s="180">
        <v>7587</v>
      </c>
      <c r="V29" s="101">
        <f t="shared" si="2"/>
        <v>0.3653235975532021</v>
      </c>
      <c r="W29" s="21">
        <f t="shared" si="7"/>
        <v>0.15</v>
      </c>
      <c r="X29" s="130">
        <f t="shared" si="8"/>
        <v>8725.0499999999993</v>
      </c>
      <c r="Y29" s="130">
        <f t="shared" ref="Y29" si="74">X29*(1+$W29)</f>
        <v>10033.807499999999</v>
      </c>
      <c r="Z29" s="130">
        <f t="shared" ref="Z29" si="75">Y29*(1+$W29)</f>
        <v>11538.878624999998</v>
      </c>
      <c r="AA29" s="130">
        <f t="shared" ref="AA29" si="76">Z29*(1+$W29)</f>
        <v>13269.710418749995</v>
      </c>
      <c r="AB29" s="130">
        <f t="shared" ref="AB29" si="77">AA29*(1+$W29)</f>
        <v>15260.166981562494</v>
      </c>
      <c r="AC29" s="130">
        <f t="shared" ref="AC29" si="78">AB29*(1+$W29)</f>
        <v>17549.192028796868</v>
      </c>
      <c r="AD29" s="130">
        <f t="shared" ref="AD29" si="79">AC29*(1+$W29)</f>
        <v>20181.570833116395</v>
      </c>
      <c r="AE29" s="130">
        <f t="shared" ref="AE29" si="80">AD29*(1+$W29)</f>
        <v>23208.806458083851</v>
      </c>
      <c r="AF29" s="130">
        <f t="shared" ref="AF29" si="81">AE29*(1+$W29)</f>
        <v>26690.127426796425</v>
      </c>
      <c r="AG29" s="130">
        <f t="shared" ref="AG29" si="82">AF29*(1+$W29)</f>
        <v>30693.646540815887</v>
      </c>
      <c r="AH29" s="115">
        <f t="shared" ref="AH29" si="83">((AG29/J29)^(1/($AG$3-$K$1) ))-1</f>
        <v>0.22213368416472901</v>
      </c>
      <c r="AI29" s="21">
        <f t="shared" si="18"/>
        <v>0.01</v>
      </c>
      <c r="AJ29" s="123">
        <f t="shared" ref="AJ29" si="84">(AG29*(1+AI29))/($C$1-AI29)</f>
        <v>147621.82383916213</v>
      </c>
    </row>
    <row r="30" spans="2:36" s="106" customFormat="1" x14ac:dyDescent="0.2">
      <c r="B30" s="13"/>
      <c r="C30" s="125"/>
      <c r="D30" s="125"/>
      <c r="E30" s="126"/>
      <c r="F30" s="268"/>
      <c r="G30" s="268">
        <f t="shared" ref="G30:P30" si="85">(G29-F29)/G29</f>
        <v>1</v>
      </c>
      <c r="H30" s="268">
        <f t="shared" si="85"/>
        <v>0.15652173913043479</v>
      </c>
      <c r="I30" s="268">
        <f t="shared" si="85"/>
        <v>0.2857142857142857</v>
      </c>
      <c r="J30" s="268">
        <f t="shared" si="85"/>
        <v>0.3534136546184739</v>
      </c>
      <c r="K30" s="268">
        <f t="shared" si="85"/>
        <v>0.3631713554987212</v>
      </c>
      <c r="L30" s="268">
        <f t="shared" si="85"/>
        <v>0.25523809523809526</v>
      </c>
      <c r="M30" s="268">
        <f t="shared" si="85"/>
        <v>0.25213675213675213</v>
      </c>
      <c r="N30" s="268">
        <f t="shared" si="85"/>
        <v>0.49496402877697843</v>
      </c>
      <c r="O30" s="268">
        <f t="shared" si="85"/>
        <v>0.40825883354618986</v>
      </c>
      <c r="P30" s="268">
        <f t="shared" si="85"/>
        <v>0.2468739980763065</v>
      </c>
      <c r="Q30" s="268">
        <f t="shared" ref="Q30:R30" si="86">(Q29-P29)/Q29</f>
        <v>0.17530407191961925</v>
      </c>
      <c r="R30" s="268">
        <f t="shared" si="86"/>
        <v>0.15201793721973095</v>
      </c>
      <c r="S30" s="127">
        <f t="shared" ref="S30:U30" si="87">(S29-R29)/R29</f>
        <v>0.23116591928251121</v>
      </c>
      <c r="T30" s="127">
        <f t="shared" si="87"/>
        <v>0.21544345292296485</v>
      </c>
      <c r="U30" s="127">
        <f t="shared" si="87"/>
        <v>0.13679952052741984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 x14ac:dyDescent="0.2">
      <c r="B33" s="10" t="s">
        <v>498</v>
      </c>
      <c r="C33" s="118"/>
      <c r="D33" s="118"/>
      <c r="E33" s="124"/>
      <c r="F33" s="124"/>
      <c r="G33" s="124">
        <v>97</v>
      </c>
      <c r="H33" s="124">
        <v>115</v>
      </c>
      <c r="I33" s="124">
        <v>161</v>
      </c>
      <c r="J33" s="124">
        <v>249</v>
      </c>
      <c r="K33" s="124">
        <v>391</v>
      </c>
      <c r="L33" s="124">
        <v>525</v>
      </c>
      <c r="M33" s="124">
        <v>702</v>
      </c>
      <c r="N33" s="124">
        <v>1390</v>
      </c>
      <c r="O33" s="124">
        <v>2349</v>
      </c>
      <c r="P33" s="124">
        <v>3119</v>
      </c>
      <c r="Q33" s="124">
        <v>3782</v>
      </c>
      <c r="R33" s="124">
        <v>4460</v>
      </c>
      <c r="S33" s="180">
        <v>5491</v>
      </c>
      <c r="T33" s="180">
        <v>6674</v>
      </c>
      <c r="U33" s="180">
        <v>7587</v>
      </c>
      <c r="V33" s="101">
        <f t="shared" si="2"/>
        <v>0.3653235975532021</v>
      </c>
      <c r="W33" s="21">
        <f t="shared" si="7"/>
        <v>0.15</v>
      </c>
      <c r="X33" s="130">
        <f t="shared" si="8"/>
        <v>8725.0499999999993</v>
      </c>
      <c r="Y33" s="130">
        <f t="shared" si="39"/>
        <v>10033.807499999999</v>
      </c>
      <c r="Z33" s="130">
        <f t="shared" si="40"/>
        <v>11538.878624999998</v>
      </c>
      <c r="AA33" s="130">
        <f t="shared" si="41"/>
        <v>13269.710418749995</v>
      </c>
      <c r="AB33" s="130">
        <f t="shared" si="42"/>
        <v>15260.166981562494</v>
      </c>
      <c r="AC33" s="130">
        <f t="shared" si="43"/>
        <v>17549.192028796868</v>
      </c>
      <c r="AD33" s="130">
        <f t="shared" si="44"/>
        <v>20181.570833116395</v>
      </c>
      <c r="AE33" s="130">
        <f t="shared" si="45"/>
        <v>23208.806458083851</v>
      </c>
      <c r="AF33" s="130">
        <f t="shared" si="46"/>
        <v>26690.127426796425</v>
      </c>
      <c r="AG33" s="130">
        <f t="shared" si="47"/>
        <v>30693.646540815887</v>
      </c>
      <c r="AH33" s="115">
        <f t="shared" si="20"/>
        <v>0.22213368416472901</v>
      </c>
      <c r="AI33" s="21">
        <f t="shared" si="18"/>
        <v>0.01</v>
      </c>
      <c r="AJ33" s="123">
        <f t="shared" si="1"/>
        <v>147621.82383916213</v>
      </c>
    </row>
    <row r="34" spans="1:36" x14ac:dyDescent="0.2">
      <c r="B34" s="10" t="s">
        <v>499</v>
      </c>
      <c r="C34" s="118"/>
      <c r="D34" s="118"/>
      <c r="E34" s="124"/>
      <c r="F34" s="124"/>
      <c r="G34" s="124">
        <v>3</v>
      </c>
      <c r="H34" s="124">
        <v>4</v>
      </c>
      <c r="I34" s="124">
        <v>3</v>
      </c>
      <c r="J34" s="124">
        <v>6</v>
      </c>
      <c r="K34" s="124">
        <v>7</v>
      </c>
      <c r="L34" s="124">
        <v>9</v>
      </c>
      <c r="M34" s="124">
        <v>23</v>
      </c>
      <c r="N34" s="124">
        <v>168</v>
      </c>
      <c r="O34" s="124">
        <v>254</v>
      </c>
      <c r="P34" s="124">
        <v>261</v>
      </c>
      <c r="Q34" s="124">
        <v>264</v>
      </c>
      <c r="R34" s="124">
        <v>710</v>
      </c>
      <c r="S34" s="180">
        <v>751</v>
      </c>
      <c r="T34" s="180">
        <v>937</v>
      </c>
      <c r="U34" s="180">
        <v>709</v>
      </c>
      <c r="V34" s="101">
        <f t="shared" si="2"/>
        <v>0.47753405188007236</v>
      </c>
      <c r="W34" s="21">
        <f t="shared" si="7"/>
        <v>0.15</v>
      </c>
      <c r="X34" s="130">
        <f t="shared" si="8"/>
        <v>815.34999999999991</v>
      </c>
      <c r="Y34" s="130">
        <f t="shared" si="39"/>
        <v>937.6524999999998</v>
      </c>
      <c r="Z34" s="130">
        <f t="shared" si="40"/>
        <v>1078.3003749999998</v>
      </c>
      <c r="AA34" s="130">
        <f t="shared" si="41"/>
        <v>1240.0454312499996</v>
      </c>
      <c r="AB34" s="130">
        <f t="shared" si="42"/>
        <v>1426.0522459374995</v>
      </c>
      <c r="AC34" s="130">
        <f t="shared" si="43"/>
        <v>1639.9600828281243</v>
      </c>
      <c r="AD34" s="130">
        <f t="shared" si="44"/>
        <v>1885.9540952523428</v>
      </c>
      <c r="AE34" s="130">
        <f t="shared" si="45"/>
        <v>2168.8472095401939</v>
      </c>
      <c r="AF34" s="130">
        <f t="shared" si="46"/>
        <v>2494.1742909712229</v>
      </c>
      <c r="AG34" s="130">
        <f t="shared" si="47"/>
        <v>2868.3004346169064</v>
      </c>
      <c r="AH34" s="115">
        <f t="shared" si="20"/>
        <v>0.29313755483007964</v>
      </c>
      <c r="AI34" s="21">
        <f t="shared" si="18"/>
        <v>0.01</v>
      </c>
      <c r="AJ34" s="123">
        <f t="shared" si="1"/>
        <v>13795.159233157503</v>
      </c>
    </row>
    <row r="35" spans="1:36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 x14ac:dyDescent="0.2">
      <c r="A36" s="304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0.15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0.01</v>
      </c>
      <c r="AJ36" s="123">
        <f t="shared" ref="AJ36:AJ51" si="103">(AG36*(1+AI36))/($C$1-AI36)</f>
        <v>0</v>
      </c>
    </row>
    <row r="37" spans="1:36" x14ac:dyDescent="0.2">
      <c r="A37" s="304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 x14ac:dyDescent="0.2">
      <c r="A38" s="304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0.15</v>
      </c>
      <c r="X38" s="130">
        <f t="shared" si="8"/>
        <v>1.1499999999999999</v>
      </c>
      <c r="Y38" s="130">
        <f t="shared" si="93"/>
        <v>1.3224999999999998</v>
      </c>
      <c r="Z38" s="130">
        <f t="shared" si="94"/>
        <v>1.5208749999999995</v>
      </c>
      <c r="AA38" s="130">
        <f t="shared" si="95"/>
        <v>1.7490062499999994</v>
      </c>
      <c r="AB38" s="130">
        <f t="shared" si="96"/>
        <v>2.0113571874999994</v>
      </c>
      <c r="AC38" s="130">
        <f t="shared" si="97"/>
        <v>2.3130607656249991</v>
      </c>
      <c r="AD38" s="130">
        <f t="shared" si="98"/>
        <v>2.6600198804687487</v>
      </c>
      <c r="AE38" s="130">
        <f t="shared" si="99"/>
        <v>3.0590228625390607</v>
      </c>
      <c r="AF38" s="130">
        <f t="shared" si="100"/>
        <v>3.5178762919199196</v>
      </c>
      <c r="AG38" s="130">
        <f t="shared" si="101"/>
        <v>4.0455577357079076</v>
      </c>
      <c r="AH38" s="115" t="e">
        <f t="shared" si="102"/>
        <v>#DIV/0!</v>
      </c>
      <c r="AI38" s="21">
        <f t="shared" si="18"/>
        <v>0.01</v>
      </c>
      <c r="AJ38" s="123">
        <f t="shared" si="103"/>
        <v>19.457206252690412</v>
      </c>
    </row>
    <row r="39" spans="1:36" x14ac:dyDescent="0.2">
      <c r="A39" s="304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 x14ac:dyDescent="0.2">
      <c r="A40" s="304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0.15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0.01</v>
      </c>
      <c r="AJ40" s="123">
        <f t="shared" si="103"/>
        <v>0</v>
      </c>
    </row>
    <row r="41" spans="1:36" x14ac:dyDescent="0.2">
      <c r="A41" s="304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0.15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0.01</v>
      </c>
      <c r="AJ41" s="123">
        <f t="shared" si="103"/>
        <v>0</v>
      </c>
    </row>
    <row r="42" spans="1:36" x14ac:dyDescent="0.2">
      <c r="A42" s="304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0.15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0.01</v>
      </c>
      <c r="AJ42" s="123">
        <f t="shared" si="103"/>
        <v>0</v>
      </c>
    </row>
    <row r="43" spans="1:36" x14ac:dyDescent="0.2">
      <c r="A43" s="304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0.15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0.01</v>
      </c>
      <c r="AJ43" s="123">
        <f t="shared" si="103"/>
        <v>0</v>
      </c>
    </row>
    <row r="44" spans="1:36" x14ac:dyDescent="0.2">
      <c r="A44" s="304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 x14ac:dyDescent="0.2">
      <c r="A45" s="304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0.15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0.01</v>
      </c>
      <c r="AJ45" s="123">
        <f t="shared" si="103"/>
        <v>0</v>
      </c>
    </row>
    <row r="46" spans="1:36" x14ac:dyDescent="0.2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 x14ac:dyDescent="0.2">
      <c r="A47" s="178"/>
      <c r="B47" s="177" t="s">
        <v>507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0.15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0.01</v>
      </c>
      <c r="AJ47" s="123">
        <f t="shared" ref="AJ47" si="181">(AG47*(1+AI47))/($C$1-AI47)</f>
        <v>0</v>
      </c>
    </row>
    <row r="48" spans="1:36" x14ac:dyDescent="0.2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6"/>
      <c r="AI48" s="130"/>
      <c r="AJ48" s="123"/>
    </row>
    <row r="49" spans="1:36" x14ac:dyDescent="0.2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0.15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0.01</v>
      </c>
      <c r="AJ49" s="123">
        <f t="shared" si="103"/>
        <v>0</v>
      </c>
    </row>
    <row r="50" spans="1:36" x14ac:dyDescent="0.2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 x14ac:dyDescent="0.2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0.15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0.01</v>
      </c>
      <c r="AJ51" s="123">
        <f t="shared" si="103"/>
        <v>0</v>
      </c>
    </row>
    <row r="52" spans="1:36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 x14ac:dyDescent="0.2">
      <c r="B53" s="10" t="s">
        <v>229</v>
      </c>
      <c r="C53" s="118"/>
      <c r="D53" s="118"/>
      <c r="E53" s="124"/>
      <c r="F53" s="124"/>
      <c r="G53" s="124">
        <v>125</v>
      </c>
      <c r="H53" s="124">
        <v>151</v>
      </c>
      <c r="I53" s="124">
        <v>213</v>
      </c>
      <c r="J53" s="124">
        <v>317</v>
      </c>
      <c r="K53" s="124">
        <v>497</v>
      </c>
      <c r="L53" s="124">
        <v>647</v>
      </c>
      <c r="M53" s="124">
        <v>917</v>
      </c>
      <c r="N53" s="124">
        <v>1823</v>
      </c>
      <c r="O53" s="124">
        <v>2838</v>
      </c>
      <c r="P53" s="124">
        <v>3720</v>
      </c>
      <c r="Q53" s="124">
        <v>4526</v>
      </c>
      <c r="R53" s="124">
        <v>5450</v>
      </c>
      <c r="S53" s="180">
        <v>6637</v>
      </c>
      <c r="T53" s="180">
        <v>8132</v>
      </c>
      <c r="U53" s="180">
        <v>9339</v>
      </c>
      <c r="V53" s="101">
        <f t="shared" si="2"/>
        <v>0.36086046483794743</v>
      </c>
      <c r="W53" s="21">
        <f t="shared" si="7"/>
        <v>0.15</v>
      </c>
      <c r="X53" s="130">
        <f t="shared" si="8"/>
        <v>10739.849999999999</v>
      </c>
      <c r="Y53" s="130">
        <f t="shared" ref="Y53" si="225">X53*(1+$W53)</f>
        <v>12350.827499999998</v>
      </c>
      <c r="Z53" s="130">
        <f t="shared" ref="Z53" si="226">Y53*(1+$W53)</f>
        <v>14203.451624999996</v>
      </c>
      <c r="AA53" s="130">
        <f t="shared" ref="AA53" si="227">Z53*(1+$W53)</f>
        <v>16333.969368749995</v>
      </c>
      <c r="AB53" s="130">
        <f t="shared" si="42"/>
        <v>18784.064774062492</v>
      </c>
      <c r="AC53" s="130">
        <f t="shared" si="43"/>
        <v>21601.674490171863</v>
      </c>
      <c r="AD53" s="130">
        <f t="shared" si="44"/>
        <v>24841.925663697639</v>
      </c>
      <c r="AE53" s="130">
        <f t="shared" si="45"/>
        <v>28568.214513252282</v>
      </c>
      <c r="AF53" s="130">
        <f t="shared" si="46"/>
        <v>32853.446690240118</v>
      </c>
      <c r="AG53" s="130">
        <f t="shared" si="47"/>
        <v>37781.463693776132</v>
      </c>
      <c r="AH53" s="115">
        <f t="shared" si="20"/>
        <v>0.22041952331879311</v>
      </c>
      <c r="AI53" s="21">
        <f t="shared" si="18"/>
        <v>0.01</v>
      </c>
      <c r="AJ53" s="123">
        <f t="shared" si="1"/>
        <v>181710.84919387571</v>
      </c>
    </row>
    <row r="54" spans="1:36" s="106" customFormat="1" x14ac:dyDescent="0.2">
      <c r="B54" s="13"/>
      <c r="C54" s="125"/>
      <c r="D54" s="125"/>
      <c r="E54" s="126"/>
      <c r="F54" s="268"/>
      <c r="G54" s="268">
        <f t="shared" ref="G54:P54" si="228">(G53-F53)/G53</f>
        <v>1</v>
      </c>
      <c r="H54" s="268">
        <f t="shared" si="228"/>
        <v>0.17218543046357615</v>
      </c>
      <c r="I54" s="268">
        <f t="shared" si="228"/>
        <v>0.29107981220657275</v>
      </c>
      <c r="J54" s="268">
        <f t="shared" si="228"/>
        <v>0.32807570977917982</v>
      </c>
      <c r="K54" s="268">
        <f t="shared" si="228"/>
        <v>0.36217303822937624</v>
      </c>
      <c r="L54" s="268">
        <f t="shared" si="228"/>
        <v>0.23183925811437403</v>
      </c>
      <c r="M54" s="268">
        <f t="shared" si="228"/>
        <v>0.29443838604143946</v>
      </c>
      <c r="N54" s="268">
        <f t="shared" si="228"/>
        <v>0.49698299506308286</v>
      </c>
      <c r="O54" s="268">
        <f t="shared" si="228"/>
        <v>0.35764622973925297</v>
      </c>
      <c r="P54" s="268">
        <f t="shared" si="228"/>
        <v>0.23709677419354838</v>
      </c>
      <c r="Q54" s="268">
        <f t="shared" ref="Q54:R54" si="229">(Q53-P53)/Q53</f>
        <v>0.17808219178082191</v>
      </c>
      <c r="R54" s="268">
        <f t="shared" si="229"/>
        <v>0.16954128440366972</v>
      </c>
      <c r="S54" s="127">
        <f t="shared" ref="S54:U54" si="230">(S53-R53)/R53</f>
        <v>0.21779816513761469</v>
      </c>
      <c r="T54" s="127">
        <f t="shared" si="230"/>
        <v>0.22525237306011753</v>
      </c>
      <c r="U54" s="127">
        <f t="shared" si="230"/>
        <v>0.14842597147073291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 x14ac:dyDescent="0.2">
      <c r="B55" s="10" t="s">
        <v>342</v>
      </c>
      <c r="C55" s="125"/>
      <c r="D55" s="125"/>
      <c r="E55" s="126"/>
      <c r="F55" s="124"/>
      <c r="G55" s="124">
        <v>27</v>
      </c>
      <c r="H55" s="124">
        <v>36</v>
      </c>
      <c r="I55" s="124">
        <v>55</v>
      </c>
      <c r="J55" s="124">
        <v>66</v>
      </c>
      <c r="K55" s="124">
        <v>106</v>
      </c>
      <c r="L55" s="124">
        <v>124</v>
      </c>
      <c r="M55" s="124">
        <v>213</v>
      </c>
      <c r="N55" s="124">
        <v>470</v>
      </c>
      <c r="O55" s="124">
        <v>485</v>
      </c>
      <c r="P55" s="124">
        <v>610</v>
      </c>
      <c r="Q55" s="124">
        <v>735</v>
      </c>
      <c r="R55" s="124">
        <v>965</v>
      </c>
      <c r="S55" s="180">
        <v>1120</v>
      </c>
      <c r="T55" s="180">
        <v>3276</v>
      </c>
      <c r="U55" s="180">
        <v>1738</v>
      </c>
      <c r="V55" s="101">
        <f t="shared" si="2"/>
        <v>0.34645504439014996</v>
      </c>
      <c r="W55" s="21">
        <f t="shared" si="7"/>
        <v>0.15</v>
      </c>
      <c r="X55" s="130">
        <f t="shared" si="8"/>
        <v>1998.6999999999998</v>
      </c>
      <c r="Y55" s="130">
        <f t="shared" ref="Y55" si="231">X55*(1+$W55)</f>
        <v>2298.5049999999997</v>
      </c>
      <c r="Z55" s="130">
        <f t="shared" ref="Z55" si="232">Y55*(1+$W55)</f>
        <v>2643.2807499999994</v>
      </c>
      <c r="AA55" s="130">
        <f t="shared" ref="AA55" si="233">Z55*(1+$W55)</f>
        <v>3039.7728624999991</v>
      </c>
      <c r="AB55" s="130">
        <f t="shared" ref="AB55" si="234">AA55*(1+$W55)</f>
        <v>3495.7387918749987</v>
      </c>
      <c r="AC55" s="130">
        <f t="shared" ref="AC55" si="235">AB55*(1+$W55)</f>
        <v>4020.0996106562484</v>
      </c>
      <c r="AD55" s="130">
        <f t="shared" ref="AD55" si="236">AC55*(1+$W55)</f>
        <v>4623.1145522546849</v>
      </c>
      <c r="AE55" s="130">
        <f t="shared" ref="AE55" si="237">AD55*(1+$W55)</f>
        <v>5316.5817350928874</v>
      </c>
      <c r="AF55" s="130">
        <f t="shared" ref="AF55" si="238">AE55*(1+$W55)</f>
        <v>6114.0689953568199</v>
      </c>
      <c r="AG55" s="130">
        <f t="shared" ref="AG55" si="239">AF55*(1+$W55)</f>
        <v>7031.1793446603424</v>
      </c>
      <c r="AH55" s="115">
        <f t="shared" ref="AH55" si="240">((AG55/J55)^(1/($AG$3-$K$1) ))-1</f>
        <v>0.21472651122675379</v>
      </c>
      <c r="AI55" s="21">
        <f t="shared" si="18"/>
        <v>0.01</v>
      </c>
      <c r="AJ55" s="123">
        <f t="shared" ref="AJ55" si="241">(AG55*(1+AI55))/($C$1-AI55)</f>
        <v>33816.624467175934</v>
      </c>
    </row>
    <row r="56" spans="1:36" s="106" customFormat="1" x14ac:dyDescent="0.2">
      <c r="B56" s="13"/>
      <c r="C56" s="125"/>
      <c r="D56" s="125"/>
      <c r="E56" s="126"/>
      <c r="F56" s="268"/>
      <c r="G56" s="268">
        <f t="shared" ref="G56:P56" si="242">(G55-F55)/G55</f>
        <v>1</v>
      </c>
      <c r="H56" s="268">
        <f t="shared" si="242"/>
        <v>0.25</v>
      </c>
      <c r="I56" s="268">
        <f t="shared" si="242"/>
        <v>0.34545454545454546</v>
      </c>
      <c r="J56" s="268">
        <f t="shared" si="242"/>
        <v>0.16666666666666666</v>
      </c>
      <c r="K56" s="268">
        <f t="shared" si="242"/>
        <v>0.37735849056603776</v>
      </c>
      <c r="L56" s="268">
        <f t="shared" si="242"/>
        <v>0.14516129032258066</v>
      </c>
      <c r="M56" s="268">
        <f t="shared" si="242"/>
        <v>0.41784037558685444</v>
      </c>
      <c r="N56" s="268">
        <f t="shared" si="242"/>
        <v>0.54680851063829783</v>
      </c>
      <c r="O56" s="268">
        <f t="shared" si="242"/>
        <v>3.0927835051546393E-2</v>
      </c>
      <c r="P56" s="268">
        <f t="shared" si="242"/>
        <v>0.20491803278688525</v>
      </c>
      <c r="Q56" s="268">
        <f t="shared" ref="Q56:R56" si="243">(Q55-P55)/Q55</f>
        <v>0.17006802721088435</v>
      </c>
      <c r="R56" s="268">
        <f t="shared" si="243"/>
        <v>0.23834196891191708</v>
      </c>
      <c r="S56" s="127">
        <f t="shared" ref="S56:U56" si="244">(S55-R55)/R55</f>
        <v>0.16062176165803108</v>
      </c>
      <c r="T56" s="127">
        <f t="shared" si="244"/>
        <v>1.925</v>
      </c>
      <c r="U56" s="127">
        <f t="shared" si="244"/>
        <v>-0.46947496947496947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 x14ac:dyDescent="0.2">
      <c r="B57" s="10" t="s">
        <v>506</v>
      </c>
      <c r="C57" s="125"/>
      <c r="D57" s="125"/>
      <c r="E57" s="126"/>
      <c r="F57" s="268"/>
      <c r="G57" s="124">
        <v>1</v>
      </c>
      <c r="H57" s="124">
        <v>1</v>
      </c>
      <c r="I57" s="124">
        <v>1</v>
      </c>
      <c r="J57" s="124">
        <v>2</v>
      </c>
      <c r="K57" s="124">
        <v>2</v>
      </c>
      <c r="L57" s="124">
        <v>2</v>
      </c>
      <c r="M57" s="124">
        <v>3</v>
      </c>
      <c r="N57" s="124">
        <v>7</v>
      </c>
      <c r="O57" s="124">
        <v>7</v>
      </c>
      <c r="P57" s="124">
        <v>8</v>
      </c>
      <c r="Q57" s="124">
        <v>11</v>
      </c>
      <c r="R57" s="124">
        <v>27</v>
      </c>
      <c r="S57" s="180">
        <v>29</v>
      </c>
      <c r="T57" s="180">
        <v>43</v>
      </c>
      <c r="U57" s="180">
        <v>28</v>
      </c>
      <c r="V57" s="101">
        <f t="shared" si="2"/>
        <v>0.26872772609879814</v>
      </c>
      <c r="W57" s="21">
        <f t="shared" si="7"/>
        <v>0.15</v>
      </c>
      <c r="X57" s="130">
        <f t="shared" ref="X57" si="245">U57*(1+$W57)</f>
        <v>32.199999999999996</v>
      </c>
      <c r="Y57" s="130">
        <f t="shared" ref="Y57" si="246">X57*(1+$W57)</f>
        <v>37.029999999999994</v>
      </c>
      <c r="Z57" s="130">
        <f t="shared" ref="Z57" si="247">Y57*(1+$W57)</f>
        <v>42.584499999999991</v>
      </c>
      <c r="AA57" s="130">
        <f t="shared" ref="AA57" si="248">Z57*(1+$W57)</f>
        <v>48.972174999999986</v>
      </c>
      <c r="AB57" s="130">
        <f t="shared" ref="AB57" si="249">AA57*(1+$W57)</f>
        <v>56.31800124999998</v>
      </c>
      <c r="AC57" s="130">
        <f t="shared" ref="AC57" si="250">AB57*(1+$W57)</f>
        <v>64.76570143749997</v>
      </c>
      <c r="AD57" s="130">
        <f t="shared" ref="AD57" si="251">AC57*(1+$W57)</f>
        <v>74.480556653124964</v>
      </c>
      <c r="AE57" s="130">
        <f t="shared" ref="AE57" si="252">AD57*(1+$W57)</f>
        <v>85.652640151093706</v>
      </c>
      <c r="AF57" s="130">
        <f t="shared" ref="AF57" si="253">AE57*(1+$W57)</f>
        <v>98.500536173757752</v>
      </c>
      <c r="AG57" s="130">
        <f t="shared" ref="AG57" si="254">AF57*(1+$W57)</f>
        <v>113.2756165998214</v>
      </c>
      <c r="AH57" s="115">
        <f t="shared" ref="AH57" si="255">((AG57/J57)^(1/($AG$3-$K$1) ))-1</f>
        <v>0.18316714572435044</v>
      </c>
      <c r="AI57" s="21">
        <f t="shared" si="18"/>
        <v>0.01</v>
      </c>
      <c r="AJ57" s="123">
        <f t="shared" ref="AJ57" si="256">(AG57*(1+AI57))/($C$1-AI57)</f>
        <v>544.80177507533153</v>
      </c>
    </row>
    <row r="58" spans="1:36" s="106" customFormat="1" x14ac:dyDescent="0.2">
      <c r="B58" s="13"/>
      <c r="C58" s="125"/>
      <c r="D58" s="125"/>
      <c r="E58" s="126"/>
      <c r="F58" s="268"/>
      <c r="G58" s="268">
        <f t="shared" ref="G58" si="257">(G57-F57)/G57</f>
        <v>1</v>
      </c>
      <c r="H58" s="268">
        <f t="shared" ref="H58" si="258">(H57-G57)/H57</f>
        <v>0</v>
      </c>
      <c r="I58" s="268">
        <f t="shared" ref="I58" si="259">(I57-H57)/I57</f>
        <v>0</v>
      </c>
      <c r="J58" s="268">
        <f t="shared" ref="J58" si="260">(J57-I57)/J57</f>
        <v>0.5</v>
      </c>
      <c r="K58" s="268">
        <f t="shared" ref="K58" si="261">(K57-J57)/K57</f>
        <v>0</v>
      </c>
      <c r="L58" s="268">
        <f t="shared" ref="L58" si="262">(L57-K57)/L57</f>
        <v>0</v>
      </c>
      <c r="M58" s="268">
        <f t="shared" ref="M58" si="263">(M57-L57)/M57</f>
        <v>0.33333333333333331</v>
      </c>
      <c r="N58" s="268">
        <f t="shared" ref="N58" si="264">(N57-M57)/N57</f>
        <v>0.5714285714285714</v>
      </c>
      <c r="O58" s="268">
        <f t="shared" ref="O58" si="265">(O57-N57)/O57</f>
        <v>0</v>
      </c>
      <c r="P58" s="268">
        <f t="shared" ref="P58" si="266">(P57-O57)/P57</f>
        <v>0.125</v>
      </c>
      <c r="Q58" s="268">
        <f t="shared" ref="Q58" si="267">(Q57-P57)/Q57</f>
        <v>0.27272727272727271</v>
      </c>
      <c r="R58" s="268">
        <f t="shared" ref="R58" si="268">(R57-Q57)/R57</f>
        <v>0.59259259259259256</v>
      </c>
      <c r="S58" s="127">
        <f t="shared" ref="S58" si="269">(S57-R57)/R57</f>
        <v>7.407407407407407E-2</v>
      </c>
      <c r="T58" s="127">
        <f t="shared" ref="T58" si="270">(T57-S57)/S57</f>
        <v>0.48275862068965519</v>
      </c>
      <c r="U58" s="127">
        <f t="shared" ref="U58" si="271">(U57-T57)/T57</f>
        <v>-0.34883720930232559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 x14ac:dyDescent="0.2">
      <c r="B59" s="10" t="s">
        <v>343</v>
      </c>
      <c r="C59" s="118"/>
      <c r="D59" s="118"/>
      <c r="E59" s="124"/>
      <c r="F59" s="124"/>
      <c r="G59" s="124">
        <v>22</v>
      </c>
      <c r="H59" s="124">
        <v>31</v>
      </c>
      <c r="I59" s="124">
        <v>45</v>
      </c>
      <c r="J59" s="124">
        <v>53</v>
      </c>
      <c r="K59" s="124">
        <v>86</v>
      </c>
      <c r="L59" s="124">
        <v>98</v>
      </c>
      <c r="M59" s="124">
        <v>162</v>
      </c>
      <c r="N59" s="124">
        <v>357</v>
      </c>
      <c r="O59" s="124">
        <v>355</v>
      </c>
      <c r="P59" s="124">
        <v>451</v>
      </c>
      <c r="Q59" s="124">
        <v>529</v>
      </c>
      <c r="R59" s="124">
        <v>641</v>
      </c>
      <c r="S59" s="180">
        <v>744</v>
      </c>
      <c r="T59" s="180">
        <v>2796</v>
      </c>
      <c r="U59" s="180">
        <v>1153</v>
      </c>
      <c r="V59" s="101">
        <f t="shared" si="2"/>
        <v>0.32682840080293962</v>
      </c>
      <c r="W59" s="21">
        <f t="shared" si="7"/>
        <v>0.15</v>
      </c>
      <c r="X59" s="130">
        <f t="shared" si="8"/>
        <v>1325.9499999999998</v>
      </c>
      <c r="Y59" s="130">
        <f t="shared" ref="Y59:AG59" si="272">X59*(1+$W59)</f>
        <v>1524.8424999999997</v>
      </c>
      <c r="Z59" s="130">
        <f t="shared" si="272"/>
        <v>1753.5688749999995</v>
      </c>
      <c r="AA59" s="130">
        <f t="shared" si="272"/>
        <v>2016.6042062499992</v>
      </c>
      <c r="AB59" s="130">
        <f t="shared" si="272"/>
        <v>2319.0948371874988</v>
      </c>
      <c r="AC59" s="130">
        <f t="shared" si="272"/>
        <v>2666.9590627656235</v>
      </c>
      <c r="AD59" s="130">
        <f t="shared" si="272"/>
        <v>3067.0029221804666</v>
      </c>
      <c r="AE59" s="130">
        <f t="shared" si="272"/>
        <v>3527.0533605075361</v>
      </c>
      <c r="AF59" s="130">
        <f t="shared" si="272"/>
        <v>4056.1113645836663</v>
      </c>
      <c r="AG59" s="130">
        <f t="shared" si="272"/>
        <v>4664.5280692712158</v>
      </c>
      <c r="AH59" s="115">
        <f t="shared" si="20"/>
        <v>0.20509742938583031</v>
      </c>
      <c r="AI59" s="21">
        <f t="shared" si="18"/>
        <v>0.01</v>
      </c>
      <c r="AJ59" s="123">
        <f t="shared" si="1"/>
        <v>22434.158809352037</v>
      </c>
    </row>
    <row r="60" spans="1:36" s="106" customFormat="1" x14ac:dyDescent="0.2">
      <c r="B60" s="13"/>
      <c r="C60" s="125"/>
      <c r="D60" s="125"/>
      <c r="E60" s="126"/>
      <c r="F60" s="268"/>
      <c r="G60" s="268">
        <f>(G59-F59)/G59</f>
        <v>1</v>
      </c>
      <c r="H60" s="268">
        <f t="shared" ref="H60:P60" si="273">(H59-G59)/H59</f>
        <v>0.29032258064516131</v>
      </c>
      <c r="I60" s="268">
        <f t="shared" si="273"/>
        <v>0.31111111111111112</v>
      </c>
      <c r="J60" s="268">
        <f t="shared" si="273"/>
        <v>0.15094339622641509</v>
      </c>
      <c r="K60" s="268">
        <f t="shared" si="273"/>
        <v>0.38372093023255816</v>
      </c>
      <c r="L60" s="268">
        <f t="shared" si="273"/>
        <v>0.12244897959183673</v>
      </c>
      <c r="M60" s="268">
        <f t="shared" si="273"/>
        <v>0.39506172839506171</v>
      </c>
      <c r="N60" s="268">
        <f t="shared" si="273"/>
        <v>0.54621848739495793</v>
      </c>
      <c r="O60" s="268">
        <f t="shared" si="273"/>
        <v>-5.6338028169014088E-3</v>
      </c>
      <c r="P60" s="268">
        <f t="shared" si="273"/>
        <v>0.21286031042128603</v>
      </c>
      <c r="Q60" s="268">
        <f t="shared" ref="Q60:R60" si="274">(Q59-P59)/Q59</f>
        <v>0.14744801512287334</v>
      </c>
      <c r="R60" s="268">
        <f t="shared" si="274"/>
        <v>0.17472698907956319</v>
      </c>
      <c r="S60" s="127">
        <f t="shared" ref="S60:U60" si="275">(S59-R59)/R59</f>
        <v>0.1606864274570983</v>
      </c>
      <c r="T60" s="127">
        <f t="shared" si="275"/>
        <v>2.7580645161290325</v>
      </c>
      <c r="U60" s="127">
        <f t="shared" si="275"/>
        <v>-0.58762517882689558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 x14ac:dyDescent="0.2">
      <c r="B61" s="10" t="s">
        <v>197</v>
      </c>
      <c r="C61" s="119"/>
      <c r="D61" s="119"/>
      <c r="E61" s="122"/>
      <c r="F61" s="124"/>
      <c r="G61" s="270">
        <v>3.57</v>
      </c>
      <c r="H61" s="270">
        <v>5.01</v>
      </c>
      <c r="I61" s="270">
        <v>5.01</v>
      </c>
      <c r="J61" s="270">
        <v>5.01</v>
      </c>
      <c r="K61" s="270">
        <v>6.05</v>
      </c>
      <c r="L61" s="270">
        <v>6.05</v>
      </c>
      <c r="M61" s="270">
        <v>8.1999999999999993</v>
      </c>
      <c r="N61" s="270">
        <v>10.44</v>
      </c>
      <c r="O61" s="270">
        <v>11.68</v>
      </c>
      <c r="P61" s="270">
        <v>12.82</v>
      </c>
      <c r="Q61" s="122">
        <v>12.84</v>
      </c>
      <c r="R61" s="122">
        <v>14.56</v>
      </c>
      <c r="S61" s="122">
        <v>29.17</v>
      </c>
      <c r="T61" s="122">
        <v>31.31</v>
      </c>
      <c r="U61" s="122">
        <v>31.36</v>
      </c>
      <c r="V61" s="101">
        <f t="shared" si="2"/>
        <v>0.16790549743980865</v>
      </c>
      <c r="W61" s="21">
        <v>0.05</v>
      </c>
      <c r="X61" s="130">
        <f t="shared" si="8"/>
        <v>32.927999999999997</v>
      </c>
      <c r="Y61" s="130">
        <f>X61*(1+$W61)</f>
        <v>34.574399999999997</v>
      </c>
      <c r="Z61" s="130">
        <f t="shared" ref="Z61:AG61" si="276">Y61*(1+$W61)</f>
        <v>36.30312</v>
      </c>
      <c r="AA61" s="130">
        <f t="shared" si="276"/>
        <v>38.118276000000002</v>
      </c>
      <c r="AB61" s="130">
        <f t="shared" si="276"/>
        <v>40.024189800000002</v>
      </c>
      <c r="AC61" s="130">
        <f t="shared" si="276"/>
        <v>42.025399290000003</v>
      </c>
      <c r="AD61" s="130">
        <f t="shared" si="276"/>
        <v>44.126669254500008</v>
      </c>
      <c r="AE61" s="130">
        <f t="shared" si="276"/>
        <v>46.333002717225014</v>
      </c>
      <c r="AF61" s="130">
        <f t="shared" si="276"/>
        <v>48.649652853086266</v>
      </c>
      <c r="AG61" s="130">
        <f t="shared" si="276"/>
        <v>51.08213549574058</v>
      </c>
      <c r="AH61" s="115">
        <f t="shared" si="20"/>
        <v>0.10158489348201094</v>
      </c>
      <c r="AI61" s="21">
        <f t="shared" si="18"/>
        <v>0.01</v>
      </c>
      <c r="AJ61" s="123">
        <f t="shared" si="1"/>
        <v>245.68074690808567</v>
      </c>
    </row>
    <row r="62" spans="1:36" x14ac:dyDescent="0.2">
      <c r="B62" s="10"/>
      <c r="C62" s="119"/>
      <c r="D62" s="119"/>
      <c r="E62" s="120"/>
      <c r="F62" s="268"/>
      <c r="G62" s="268">
        <f t="shared" ref="G62" si="277">(G61-E61)/G61</f>
        <v>1</v>
      </c>
      <c r="H62" s="268">
        <f>(H61-F61)/H61</f>
        <v>1</v>
      </c>
      <c r="I62" s="268">
        <f t="shared" ref="I62:R62" si="278">(I61-H61)/I61</f>
        <v>0</v>
      </c>
      <c r="J62" s="268">
        <f t="shared" si="278"/>
        <v>0</v>
      </c>
      <c r="K62" s="268">
        <f t="shared" si="278"/>
        <v>0.17190082644628099</v>
      </c>
      <c r="L62" s="268">
        <f t="shared" si="278"/>
        <v>0</v>
      </c>
      <c r="M62" s="268">
        <f t="shared" si="278"/>
        <v>0.26219512195121947</v>
      </c>
      <c r="N62" s="268">
        <f t="shared" si="278"/>
        <v>0.21455938697318011</v>
      </c>
      <c r="O62" s="268">
        <f t="shared" si="278"/>
        <v>0.10616438356164386</v>
      </c>
      <c r="P62" s="268">
        <f t="shared" si="278"/>
        <v>8.8923556942277729E-2</v>
      </c>
      <c r="Q62" s="268">
        <f t="shared" si="278"/>
        <v>1.5576323987538609E-3</v>
      </c>
      <c r="R62" s="268">
        <f t="shared" si="278"/>
        <v>0.11813186813186817</v>
      </c>
      <c r="S62" s="127">
        <f t="shared" ref="S62:U62" si="279">(S61-R61)/R61</f>
        <v>1.0034340659340659</v>
      </c>
      <c r="T62" s="127">
        <f t="shared" si="279"/>
        <v>7.3363044223517207E-2</v>
      </c>
      <c r="U62" s="127">
        <f t="shared" si="279"/>
        <v>1.5969338869371037E-3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 x14ac:dyDescent="0.2">
      <c r="B63" s="10" t="s">
        <v>232</v>
      </c>
      <c r="C63" s="122"/>
      <c r="D63" s="122"/>
      <c r="E63" s="122"/>
      <c r="F63" s="124"/>
      <c r="G63" s="122">
        <v>2.5</v>
      </c>
      <c r="H63" s="122">
        <v>2</v>
      </c>
      <c r="I63" s="122">
        <v>2.5</v>
      </c>
      <c r="J63" s="122">
        <v>1.5</v>
      </c>
      <c r="K63" s="122">
        <v>2.5</v>
      </c>
      <c r="L63" s="122">
        <v>2.5</v>
      </c>
      <c r="M63" s="122">
        <v>3</v>
      </c>
      <c r="N63" s="122">
        <v>3.5</v>
      </c>
      <c r="O63" s="122">
        <v>3.5</v>
      </c>
      <c r="P63" s="122">
        <v>5</v>
      </c>
      <c r="Q63" s="122">
        <v>5</v>
      </c>
      <c r="R63" s="122">
        <v>6</v>
      </c>
      <c r="S63" s="122">
        <v>5</v>
      </c>
      <c r="T63" s="122">
        <v>4</v>
      </c>
      <c r="U63" s="122">
        <v>5.5</v>
      </c>
      <c r="V63" s="101">
        <f t="shared" si="2"/>
        <v>5.7934458345175521E-2</v>
      </c>
      <c r="W63" s="21">
        <v>0.02</v>
      </c>
      <c r="X63" s="130">
        <f t="shared" si="8"/>
        <v>5.61</v>
      </c>
      <c r="Y63" s="130">
        <f t="shared" ref="Y63" si="280">X63*(1+$W63)</f>
        <v>5.7222000000000008</v>
      </c>
      <c r="Z63" s="130">
        <f t="shared" ref="Z63" si="281">Y63*(1+$W63)</f>
        <v>5.8366440000000006</v>
      </c>
      <c r="AA63" s="130">
        <f t="shared" ref="AA63" si="282">Z63*(1+$W63)</f>
        <v>5.9533768800000004</v>
      </c>
      <c r="AB63" s="130">
        <f t="shared" ref="AB63" si="283">AA63*(1+$W63)</f>
        <v>6.0724444176000008</v>
      </c>
      <c r="AC63" s="130">
        <f t="shared" ref="AC63" si="284">AB63*(1+$W63)</f>
        <v>6.1938933059520007</v>
      </c>
      <c r="AD63" s="130">
        <f t="shared" ref="AD63" si="285">AC63*(1+$W63)</f>
        <v>6.3177711720710406</v>
      </c>
      <c r="AE63" s="130">
        <f t="shared" ref="AE63" si="286">AD63*(1+$W63)</f>
        <v>6.4441265955124614</v>
      </c>
      <c r="AF63" s="130">
        <f t="shared" ref="AF63" si="287">AE63*(1+$W63)</f>
        <v>6.5730091274227105</v>
      </c>
      <c r="AG63" s="130">
        <f t="shared" ref="AG63" si="288">AF63*(1+$W63)</f>
        <v>6.7044693099711647</v>
      </c>
      <c r="AH63" s="115">
        <f t="shared" ref="AH63" si="289">((AG63/J63)^(1/($AG$3-$K$1) ))-1</f>
        <v>6.4375120569589939E-2</v>
      </c>
      <c r="AI63" s="21">
        <f t="shared" si="18"/>
        <v>0.01</v>
      </c>
      <c r="AJ63" s="123">
        <f t="shared" si="1"/>
        <v>32.245304776527988</v>
      </c>
    </row>
    <row r="64" spans="1:36" x14ac:dyDescent="0.2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>
        <f t="shared" ref="I64" si="292">(I63-H63)/H63</f>
        <v>0.25</v>
      </c>
      <c r="J64" s="127">
        <f t="shared" ref="J64:U64" si="293">(J63-I63)/I63</f>
        <v>-0.4</v>
      </c>
      <c r="K64" s="127">
        <f t="shared" si="293"/>
        <v>0.66666666666666663</v>
      </c>
      <c r="L64" s="127">
        <f t="shared" si="293"/>
        <v>0</v>
      </c>
      <c r="M64" s="127">
        <f t="shared" si="293"/>
        <v>0.2</v>
      </c>
      <c r="N64" s="127">
        <f t="shared" si="293"/>
        <v>0.16666666666666666</v>
      </c>
      <c r="O64" s="127">
        <f t="shared" si="293"/>
        <v>0</v>
      </c>
      <c r="P64" s="127">
        <f t="shared" si="293"/>
        <v>0.42857142857142855</v>
      </c>
      <c r="Q64" s="127">
        <f t="shared" si="293"/>
        <v>0</v>
      </c>
      <c r="R64" s="127">
        <f t="shared" si="293"/>
        <v>0.2</v>
      </c>
      <c r="S64" s="127">
        <f t="shared" si="293"/>
        <v>-0.16666666666666666</v>
      </c>
      <c r="T64" s="127">
        <f t="shared" si="293"/>
        <v>-0.2</v>
      </c>
      <c r="U64" s="127">
        <f t="shared" si="293"/>
        <v>0.375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 t="s">
        <v>509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 x14ac:dyDescent="0.2">
      <c r="B67" s="10" t="s">
        <v>367</v>
      </c>
      <c r="C67" s="10"/>
      <c r="D67" s="10"/>
      <c r="E67" s="108"/>
      <c r="F67" s="124"/>
      <c r="G67" s="124" t="s">
        <v>510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#VALUE!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 x14ac:dyDescent="0.2">
      <c r="B70" s="10" t="s">
        <v>252</v>
      </c>
      <c r="C70" s="111"/>
      <c r="D70" s="111"/>
      <c r="E70" s="111"/>
      <c r="F70" s="111"/>
      <c r="G70" s="111">
        <f t="shared" ref="G70" si="294">G25/G61</f>
        <v>40.896358543417371</v>
      </c>
      <c r="H70" s="111">
        <f t="shared" ref="H70:I70" si="295">H25/H61</f>
        <v>36.127744510978047</v>
      </c>
      <c r="I70" s="111">
        <f t="shared" si="295"/>
        <v>49.700598802395213</v>
      </c>
      <c r="J70" s="111">
        <f t="shared" ref="J70:S70" si="296">J25/J61</f>
        <v>71.257485029940128</v>
      </c>
      <c r="K70" s="111">
        <f t="shared" si="296"/>
        <v>91.900826446280988</v>
      </c>
      <c r="L70" s="111">
        <f t="shared" si="296"/>
        <v>121.32231404958678</v>
      </c>
      <c r="M70" s="111">
        <f t="shared" si="296"/>
        <v>127.07317073170732</v>
      </c>
      <c r="N70" s="111">
        <f t="shared" si="296"/>
        <v>204.78927203065135</v>
      </c>
      <c r="O70" s="111">
        <f t="shared" si="296"/>
        <v>275.34246575342468</v>
      </c>
      <c r="P70" s="111">
        <f t="shared" si="296"/>
        <v>322.93291731669268</v>
      </c>
      <c r="Q70" s="111">
        <f t="shared" si="296"/>
        <v>386.99376947040497</v>
      </c>
      <c r="R70" s="111">
        <f t="shared" si="296"/>
        <v>441.07142857142856</v>
      </c>
      <c r="S70" s="111">
        <f t="shared" si="296"/>
        <v>269.31779225231401</v>
      </c>
      <c r="T70" s="111">
        <f t="shared" ref="T70:U70" si="297">T25/T61</f>
        <v>366.36857234110511</v>
      </c>
      <c r="U70" s="111">
        <f t="shared" si="297"/>
        <v>335.74617346938777</v>
      </c>
      <c r="V70" s="101">
        <f t="shared" si="2"/>
        <v>0.16227535975958141</v>
      </c>
      <c r="W70" s="109"/>
      <c r="X70" s="134">
        <f t="shared" ref="X70:AG70" si="298">X25/X61</f>
        <v>367.72199951409135</v>
      </c>
      <c r="Y70" s="134">
        <f t="shared" si="298"/>
        <v>402.74314232495715</v>
      </c>
      <c r="Z70" s="134">
        <f t="shared" si="298"/>
        <v>441.09963207019109</v>
      </c>
      <c r="AA70" s="134">
        <f t="shared" si="298"/>
        <v>483.10912083878071</v>
      </c>
      <c r="AB70" s="134">
        <f t="shared" si="298"/>
        <v>529.11951329961687</v>
      </c>
      <c r="AC70" s="134">
        <f t="shared" si="298"/>
        <v>579.5118478995804</v>
      </c>
      <c r="AD70" s="134">
        <f t="shared" si="298"/>
        <v>634.70345246144507</v>
      </c>
      <c r="AE70" s="134">
        <f t="shared" si="298"/>
        <v>695.1514003149158</v>
      </c>
      <c r="AF70" s="134">
        <f t="shared" si="298"/>
        <v>761.35629558300298</v>
      </c>
      <c r="AG70" s="134">
        <f t="shared" si="298"/>
        <v>833.8664189718603</v>
      </c>
      <c r="AH70" s="115">
        <f t="shared" ref="AH70" si="299">((AG70/J70)^(1/($AG$3-$K$1) ))-1</f>
        <v>0.10792683904938016</v>
      </c>
      <c r="AI70" s="21">
        <f t="shared" si="18"/>
        <v>0.01</v>
      </c>
      <c r="AJ70" s="123">
        <f t="shared" ref="AJ70:AJ71" si="300">(AG70*(1+AI70))/($C$1-AI70)</f>
        <v>4010.5003960075192</v>
      </c>
    </row>
    <row r="71" spans="2:36" x14ac:dyDescent="0.2">
      <c r="B71" s="10" t="s">
        <v>253</v>
      </c>
      <c r="C71" s="111"/>
      <c r="D71" s="111"/>
      <c r="E71" s="111"/>
      <c r="F71" s="111"/>
      <c r="G71" s="111">
        <f t="shared" ref="G71" si="301">G27/G61</f>
        <v>5.882352941176471</v>
      </c>
      <c r="H71" s="111">
        <f t="shared" ref="H71:I71" si="302">H27/H61</f>
        <v>5.3892215568862278</v>
      </c>
      <c r="I71" s="111">
        <f t="shared" si="302"/>
        <v>6.1876247504990021</v>
      </c>
      <c r="J71" s="111">
        <f t="shared" ref="J71:S71" si="303">J27/J61</f>
        <v>7.7844311377245514</v>
      </c>
      <c r="K71" s="111">
        <f t="shared" si="303"/>
        <v>9.2561983471074392</v>
      </c>
      <c r="L71" s="111">
        <f t="shared" si="303"/>
        <v>13.553719008264464</v>
      </c>
      <c r="M71" s="111">
        <f t="shared" si="303"/>
        <v>15.121951219512196</v>
      </c>
      <c r="N71" s="111">
        <f t="shared" si="303"/>
        <v>25.862068965517242</v>
      </c>
      <c r="O71" s="111">
        <f t="shared" si="303"/>
        <v>31.934931506849317</v>
      </c>
      <c r="P71" s="111">
        <f t="shared" si="303"/>
        <v>31.279251170046802</v>
      </c>
      <c r="Q71" s="111">
        <f t="shared" si="303"/>
        <v>34.345794392523366</v>
      </c>
      <c r="R71" s="111">
        <f t="shared" si="303"/>
        <v>66.552197802197796</v>
      </c>
      <c r="S71" s="111">
        <f t="shared" si="303"/>
        <v>41.583818992115184</v>
      </c>
      <c r="T71" s="111">
        <f t="shared" ref="T71:U71" si="304">T27/T61</f>
        <v>47.173427020121366</v>
      </c>
      <c r="U71" s="111">
        <f t="shared" si="304"/>
        <v>37.436224489795919</v>
      </c>
      <c r="V71" s="101">
        <f t="shared" si="2"/>
        <v>0.14132694094007836</v>
      </c>
      <c r="W71" s="109"/>
      <c r="X71" s="134">
        <f t="shared" ref="X71:AG71" si="305">X27/X61</f>
        <v>41.001579203109813</v>
      </c>
      <c r="Y71" s="134">
        <f t="shared" si="305"/>
        <v>44.906491508167889</v>
      </c>
      <c r="Z71" s="134">
        <f t="shared" si="305"/>
        <v>49.183300223231491</v>
      </c>
      <c r="AA71" s="134">
        <f t="shared" si="305"/>
        <v>53.86742405401543</v>
      </c>
      <c r="AB71" s="134">
        <f t="shared" si="305"/>
        <v>58.997654916302615</v>
      </c>
      <c r="AC71" s="134">
        <f t="shared" si="305"/>
        <v>64.616479194045723</v>
      </c>
      <c r="AD71" s="134">
        <f t="shared" si="305"/>
        <v>70.770429593478624</v>
      </c>
      <c r="AE71" s="134">
        <f t="shared" si="305"/>
        <v>77.510470507143239</v>
      </c>
      <c r="AF71" s="134">
        <f t="shared" si="305"/>
        <v>84.892420079252105</v>
      </c>
      <c r="AG71" s="134">
        <f t="shared" si="305"/>
        <v>92.977412467752302</v>
      </c>
      <c r="AH71" s="115">
        <f t="shared" ref="AH71" si="306">((AG71/J71)^(1/($AG$3-$K$1) ))-1</f>
        <v>0.10887163398378963</v>
      </c>
      <c r="AI71" s="21">
        <f t="shared" si="18"/>
        <v>0.01</v>
      </c>
      <c r="AJ71" s="123">
        <f t="shared" si="300"/>
        <v>447.17707901157058</v>
      </c>
    </row>
    <row r="72" spans="2:36" x14ac:dyDescent="0.2">
      <c r="B72" s="10" t="s">
        <v>369</v>
      </c>
      <c r="C72" s="111"/>
      <c r="D72" s="111"/>
      <c r="E72" s="111"/>
      <c r="F72" s="111"/>
      <c r="G72" s="111">
        <f t="shared" ref="G72" si="307">G55-G59</f>
        <v>5</v>
      </c>
      <c r="H72" s="111">
        <f t="shared" ref="H72:I72" si="308">H55-H59</f>
        <v>5</v>
      </c>
      <c r="I72" s="111">
        <f t="shared" si="308"/>
        <v>10</v>
      </c>
      <c r="J72" s="111">
        <f>J55-J59</f>
        <v>13</v>
      </c>
      <c r="K72" s="111">
        <f t="shared" ref="K72:S72" si="309">K55-K59</f>
        <v>20</v>
      </c>
      <c r="L72" s="111">
        <f t="shared" si="309"/>
        <v>26</v>
      </c>
      <c r="M72" s="111">
        <f t="shared" si="309"/>
        <v>51</v>
      </c>
      <c r="N72" s="111">
        <f t="shared" si="309"/>
        <v>113</v>
      </c>
      <c r="O72" s="111">
        <f t="shared" si="309"/>
        <v>130</v>
      </c>
      <c r="P72" s="111">
        <f t="shared" si="309"/>
        <v>159</v>
      </c>
      <c r="Q72" s="111">
        <f t="shared" si="309"/>
        <v>206</v>
      </c>
      <c r="R72" s="111">
        <f t="shared" si="309"/>
        <v>324</v>
      </c>
      <c r="S72" s="111">
        <f t="shared" si="309"/>
        <v>376</v>
      </c>
      <c r="T72" s="111">
        <f t="shared" ref="T72:U72" si="310">T55-T59</f>
        <v>480</v>
      </c>
      <c r="U72" s="111">
        <f t="shared" si="310"/>
        <v>585</v>
      </c>
      <c r="V72" s="101">
        <f t="shared" si="2"/>
        <v>0.40516576924953163</v>
      </c>
      <c r="W72" s="109"/>
      <c r="X72" s="111">
        <f t="shared" ref="X72:AG72" si="311">X55-X59</f>
        <v>672.75</v>
      </c>
      <c r="Y72" s="111">
        <f t="shared" si="311"/>
        <v>773.66249999999991</v>
      </c>
      <c r="Z72" s="111">
        <f t="shared" si="311"/>
        <v>889.71187499999996</v>
      </c>
      <c r="AA72" s="111">
        <f t="shared" si="311"/>
        <v>1023.1686562499999</v>
      </c>
      <c r="AB72" s="111">
        <f t="shared" si="311"/>
        <v>1176.6439546874999</v>
      </c>
      <c r="AC72" s="111">
        <f t="shared" si="311"/>
        <v>1353.1405478906249</v>
      </c>
      <c r="AD72" s="111">
        <f t="shared" si="311"/>
        <v>1556.1116300742183</v>
      </c>
      <c r="AE72" s="111">
        <f t="shared" si="311"/>
        <v>1789.5283745853512</v>
      </c>
      <c r="AF72" s="111">
        <f t="shared" si="311"/>
        <v>2057.9576307731536</v>
      </c>
      <c r="AG72" s="111">
        <f t="shared" si="311"/>
        <v>2366.6512753891266</v>
      </c>
      <c r="AH72" s="115">
        <f t="shared" ref="AH72" si="312">((AG72/J72)^(1/($AG$3-$K$1) ))-1</f>
        <v>0.24215165276166606</v>
      </c>
      <c r="AI72" s="21">
        <f t="shared" si="18"/>
        <v>0.01</v>
      </c>
      <c r="AJ72" s="123">
        <f t="shared" ref="AJ72" si="313">(AG72*(1+AI72))/($C$1-AI72)</f>
        <v>11382.465657823896</v>
      </c>
    </row>
    <row r="73" spans="2:36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 x14ac:dyDescent="0.2">
      <c r="B74" s="10" t="s">
        <v>402</v>
      </c>
      <c r="C74" s="111"/>
      <c r="D74" s="111"/>
      <c r="E74" s="111"/>
      <c r="F74" s="15"/>
      <c r="G74" s="15">
        <f t="shared" ref="G74" si="314">G53/G61</f>
        <v>35.0140056022409</v>
      </c>
      <c r="H74" s="15">
        <f t="shared" ref="H74:I74" si="315">H53/H61</f>
        <v>30.139720558882235</v>
      </c>
      <c r="I74" s="15">
        <f t="shared" si="315"/>
        <v>42.514970059880241</v>
      </c>
      <c r="J74" s="15">
        <f t="shared" ref="J74:S74" si="316">J53/J61</f>
        <v>63.273453093812378</v>
      </c>
      <c r="K74" s="15">
        <f t="shared" si="316"/>
        <v>82.148760330578511</v>
      </c>
      <c r="L74" s="15">
        <f t="shared" si="316"/>
        <v>106.94214876033058</v>
      </c>
      <c r="M74" s="15">
        <f t="shared" si="316"/>
        <v>111.82926829268294</v>
      </c>
      <c r="N74" s="15">
        <f t="shared" si="316"/>
        <v>174.61685823754789</v>
      </c>
      <c r="O74" s="15">
        <f t="shared" si="316"/>
        <v>242.97945205479454</v>
      </c>
      <c r="P74" s="15">
        <f t="shared" si="316"/>
        <v>290.17160686427457</v>
      </c>
      <c r="Q74" s="15">
        <f t="shared" si="316"/>
        <v>352.49221183800626</v>
      </c>
      <c r="R74" s="15">
        <f t="shared" si="316"/>
        <v>374.3131868131868</v>
      </c>
      <c r="S74" s="15">
        <f t="shared" si="316"/>
        <v>227.52828248200206</v>
      </c>
      <c r="T74" s="15">
        <f>T53/T61</f>
        <v>259.72532737144684</v>
      </c>
      <c r="U74" s="15">
        <f>U53/U61</f>
        <v>297.79974489795921</v>
      </c>
      <c r="V74" s="101">
        <f t="shared" si="2"/>
        <v>0.16521453818063159</v>
      </c>
      <c r="W74" s="109"/>
      <c r="X74" s="96">
        <f>X53/X61</f>
        <v>326.16162536443147</v>
      </c>
      <c r="Y74" s="96">
        <f t="shared" ref="Y74:AG74" si="317">Y53/Y61</f>
        <v>357.22463730390109</v>
      </c>
      <c r="Z74" s="96">
        <f t="shared" si="317"/>
        <v>391.24603133284404</v>
      </c>
      <c r="AA74" s="96">
        <f t="shared" si="317"/>
        <v>428.50755812644815</v>
      </c>
      <c r="AB74" s="96">
        <f t="shared" si="317"/>
        <v>469.3178017575384</v>
      </c>
      <c r="AC74" s="96">
        <f t="shared" si="317"/>
        <v>514.01473525825634</v>
      </c>
      <c r="AD74" s="96">
        <f t="shared" si="317"/>
        <v>562.96851956856631</v>
      </c>
      <c r="AE74" s="96">
        <f t="shared" si="317"/>
        <v>616.58456905128673</v>
      </c>
      <c r="AF74" s="96">
        <f t="shared" si="317"/>
        <v>675.3069089609329</v>
      </c>
      <c r="AG74" s="96">
        <f t="shared" si="317"/>
        <v>739.62185267149789</v>
      </c>
      <c r="AH74" s="115">
        <f t="shared" ref="AH74:AH75" si="318">((AG74/J74)^(1/($AG$3-$K$1) ))-1</f>
        <v>0.10787605253114596</v>
      </c>
      <c r="AI74" s="21">
        <f t="shared" si="18"/>
        <v>0.01</v>
      </c>
      <c r="AJ74" s="123">
        <f t="shared" ref="AJ74:AJ75" si="319">(AG74*(1+AI74))/($C$1-AI74)</f>
        <v>3557.2289104676802</v>
      </c>
    </row>
    <row r="75" spans="2:36" x14ac:dyDescent="0.2">
      <c r="B75" s="10" t="s">
        <v>403</v>
      </c>
      <c r="C75" s="111"/>
      <c r="D75" s="111"/>
      <c r="E75" s="111"/>
      <c r="F75" s="15"/>
      <c r="G75" s="15">
        <f t="shared" ref="G75" si="320">G55/G61</f>
        <v>7.5630252100840343</v>
      </c>
      <c r="H75" s="15">
        <f t="shared" ref="H75:I75" si="321">H55/H61</f>
        <v>7.1856287425149707</v>
      </c>
      <c r="I75" s="15">
        <f t="shared" si="321"/>
        <v>10.978043912175648</v>
      </c>
      <c r="J75" s="15">
        <f t="shared" ref="J75:S75" si="322">J55/J61</f>
        <v>13.173652694610778</v>
      </c>
      <c r="K75" s="15">
        <f t="shared" si="322"/>
        <v>17.520661157024794</v>
      </c>
      <c r="L75" s="15">
        <f t="shared" si="322"/>
        <v>20.495867768595041</v>
      </c>
      <c r="M75" s="15">
        <f t="shared" si="322"/>
        <v>25.975609756097562</v>
      </c>
      <c r="N75" s="15">
        <f t="shared" si="322"/>
        <v>45.019157088122604</v>
      </c>
      <c r="O75" s="15">
        <f t="shared" si="322"/>
        <v>41.523972602739725</v>
      </c>
      <c r="P75" s="15">
        <f t="shared" si="322"/>
        <v>47.581903276131044</v>
      </c>
      <c r="Q75" s="15">
        <f t="shared" si="322"/>
        <v>57.242990654205606</v>
      </c>
      <c r="R75" s="15">
        <f t="shared" si="322"/>
        <v>66.277472527472526</v>
      </c>
      <c r="S75" s="15">
        <f t="shared" si="322"/>
        <v>38.395611930065137</v>
      </c>
      <c r="T75" s="15">
        <f>T55/T61</f>
        <v>104.63110827211754</v>
      </c>
      <c r="U75" s="15">
        <f>U55/U61</f>
        <v>55.420918367346943</v>
      </c>
      <c r="V75" s="101">
        <f t="shared" ref="V75:V138" si="323">((U75/G75)^(1/($K$2-$K$1) ))-1</f>
        <v>0.15288013228959341</v>
      </c>
      <c r="W75" s="109"/>
      <c r="X75" s="96">
        <f>X55/X61</f>
        <v>60.699101068999028</v>
      </c>
      <c r="Y75" s="96">
        <f t="shared" ref="Y75:AG75" si="324">Y55/Y61</f>
        <v>66.479967837475115</v>
      </c>
      <c r="Z75" s="96">
        <f t="shared" si="324"/>
        <v>72.811393345806081</v>
      </c>
      <c r="AA75" s="96">
        <f t="shared" si="324"/>
        <v>79.745811759692359</v>
      </c>
      <c r="AB75" s="96">
        <f t="shared" si="324"/>
        <v>87.340650974901152</v>
      </c>
      <c r="AC75" s="96">
        <f t="shared" si="324"/>
        <v>95.658808210606011</v>
      </c>
      <c r="AD75" s="96">
        <f t="shared" si="324"/>
        <v>104.76917089733037</v>
      </c>
      <c r="AE75" s="96">
        <f t="shared" si="324"/>
        <v>114.74718717326657</v>
      </c>
      <c r="AF75" s="96">
        <f t="shared" si="324"/>
        <v>125.67549071357766</v>
      </c>
      <c r="AG75" s="96">
        <f t="shared" si="324"/>
        <v>137.64458506725171</v>
      </c>
      <c r="AH75" s="115">
        <f t="shared" si="318"/>
        <v>0.10270803313861032</v>
      </c>
      <c r="AI75" s="21">
        <f t="shared" si="18"/>
        <v>0.01</v>
      </c>
      <c r="AJ75" s="123">
        <f t="shared" si="319"/>
        <v>662.00490913297256</v>
      </c>
    </row>
    <row r="76" spans="2:36" x14ac:dyDescent="0.2">
      <c r="B76" s="10" t="s">
        <v>214</v>
      </c>
      <c r="C76" s="15"/>
      <c r="D76" s="15"/>
      <c r="E76" s="15"/>
      <c r="F76" s="111"/>
      <c r="G76" s="111">
        <f t="shared" ref="G76" si="325">G59/G61</f>
        <v>6.1624649859943981</v>
      </c>
      <c r="H76" s="111">
        <f t="shared" ref="H76:I76" si="326">H59/H61</f>
        <v>6.1876247504990021</v>
      </c>
      <c r="I76" s="111">
        <f t="shared" si="326"/>
        <v>8.9820359281437128</v>
      </c>
      <c r="J76" s="111">
        <f t="shared" ref="J76:S76" si="327">J59/J61</f>
        <v>10.578842315369261</v>
      </c>
      <c r="K76" s="111">
        <f t="shared" si="327"/>
        <v>14.214876033057852</v>
      </c>
      <c r="L76" s="111">
        <f t="shared" si="327"/>
        <v>16.198347107438018</v>
      </c>
      <c r="M76" s="111">
        <f t="shared" si="327"/>
        <v>19.756097560975611</v>
      </c>
      <c r="N76" s="111">
        <f t="shared" si="327"/>
        <v>34.195402298850574</v>
      </c>
      <c r="O76" s="111">
        <f t="shared" si="327"/>
        <v>30.393835616438356</v>
      </c>
      <c r="P76" s="111">
        <f t="shared" si="327"/>
        <v>35.17940717628705</v>
      </c>
      <c r="Q76" s="111">
        <f t="shared" si="327"/>
        <v>41.199376947040498</v>
      </c>
      <c r="R76" s="111">
        <f t="shared" si="327"/>
        <v>44.02472527472527</v>
      </c>
      <c r="S76" s="111">
        <f t="shared" si="327"/>
        <v>25.505656496400409</v>
      </c>
      <c r="T76" s="111">
        <f t="shared" ref="T76:U76" si="328">T59/T61</f>
        <v>89.300542957521557</v>
      </c>
      <c r="U76" s="111">
        <f t="shared" si="328"/>
        <v>36.766581632653065</v>
      </c>
      <c r="V76" s="101">
        <f t="shared" si="323"/>
        <v>0.13607513939399141</v>
      </c>
      <c r="W76" s="109"/>
      <c r="X76" s="134">
        <f t="shared" ref="X76:AG76" si="329">X59/X61</f>
        <v>40.268160835762878</v>
      </c>
      <c r="Y76" s="134">
        <f>Y59/Y61</f>
        <v>44.103223772502197</v>
      </c>
      <c r="Z76" s="134">
        <f t="shared" si="329"/>
        <v>48.303530798454773</v>
      </c>
      <c r="AA76" s="134">
        <f t="shared" si="329"/>
        <v>52.903867064974264</v>
      </c>
      <c r="AB76" s="134">
        <f t="shared" si="329"/>
        <v>57.942330594971814</v>
      </c>
      <c r="AC76" s="134">
        <f t="shared" si="329"/>
        <v>63.460647794492928</v>
      </c>
      <c r="AD76" s="134">
        <f t="shared" si="329"/>
        <v>69.504519013016051</v>
      </c>
      <c r="AE76" s="134">
        <f t="shared" si="329"/>
        <v>76.12399701425565</v>
      </c>
      <c r="AF76" s="134">
        <f t="shared" si="329"/>
        <v>83.373901491803807</v>
      </c>
      <c r="AG76" s="134">
        <f t="shared" si="329"/>
        <v>91.314273062451775</v>
      </c>
      <c r="AH76" s="115">
        <f t="shared" ref="AH76:AH90" si="330">((AG76/J76)^(1/($AG$3-$K$1) ))-1</f>
        <v>9.3966916681859747E-2</v>
      </c>
      <c r="AI76" s="21">
        <f t="shared" si="18"/>
        <v>0.01</v>
      </c>
      <c r="AJ76" s="123">
        <f t="shared" ref="AJ76:AJ104" si="331">(AG76*(1+AI76))/($C$1-AI76)</f>
        <v>439.17817044322044</v>
      </c>
    </row>
    <row r="77" spans="2:36" x14ac:dyDescent="0.2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>
        <f t="shared" ref="H77:I77" si="333">H20/H61</f>
        <v>0</v>
      </c>
      <c r="I77" s="111">
        <f t="shared" si="333"/>
        <v>0</v>
      </c>
      <c r="J77" s="111">
        <f>J20/J61</f>
        <v>0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0.01</v>
      </c>
      <c r="AJ77" s="123">
        <f t="shared" si="331"/>
        <v>0</v>
      </c>
    </row>
    <row r="78" spans="2:36" x14ac:dyDescent="0.2">
      <c r="B78" s="10" t="s">
        <v>202</v>
      </c>
      <c r="C78" s="15"/>
      <c r="D78" s="15"/>
      <c r="E78" s="15"/>
      <c r="F78" s="111"/>
      <c r="G78" s="111">
        <f t="shared" ref="G78" si="338">G7/G61</f>
        <v>36.694677871148464</v>
      </c>
      <c r="H78" s="111">
        <f t="shared" ref="H78:I78" si="339">H7/H61</f>
        <v>38.922155688622759</v>
      </c>
      <c r="I78" s="111">
        <f t="shared" si="339"/>
        <v>55.08982035928144</v>
      </c>
      <c r="J78" s="111">
        <f t="shared" ref="J78:S78" si="340">J7/J61</f>
        <v>74.451097804391225</v>
      </c>
      <c r="K78" s="111">
        <f t="shared" si="340"/>
        <v>75.041322314049594</v>
      </c>
      <c r="L78" s="111">
        <f t="shared" si="340"/>
        <v>86.776859504132233</v>
      </c>
      <c r="M78" s="111">
        <f t="shared" si="340"/>
        <v>108.04878048780489</v>
      </c>
      <c r="N78" s="111">
        <f t="shared" si="340"/>
        <v>148.94636015325671</v>
      </c>
      <c r="O78" s="111">
        <f t="shared" si="340"/>
        <v>173.03082191780823</v>
      </c>
      <c r="P78" s="111">
        <f t="shared" si="340"/>
        <v>252.49609984399376</v>
      </c>
      <c r="Q78" s="111">
        <f t="shared" si="340"/>
        <v>278.34890965732086</v>
      </c>
      <c r="R78" s="111">
        <f t="shared" si="340"/>
        <v>342.10164835164835</v>
      </c>
      <c r="S78" s="111">
        <f t="shared" si="340"/>
        <v>184.74460061707234</v>
      </c>
      <c r="T78" s="111">
        <f t="shared" ref="T78:U78" si="341">T7/T61</f>
        <v>246.8859789204727</v>
      </c>
      <c r="U78" s="111">
        <f t="shared" si="341"/>
        <v>272.92729591836735</v>
      </c>
      <c r="V78" s="101">
        <f t="shared" si="323"/>
        <v>0.1541067799263327</v>
      </c>
      <c r="W78" s="109"/>
      <c r="X78" s="134">
        <f t="shared" ref="X78:AG78" si="342">X7/X61</f>
        <v>298.92037172011658</v>
      </c>
      <c r="Y78" s="134">
        <f t="shared" si="342"/>
        <v>327.38897855060389</v>
      </c>
      <c r="Z78" s="134">
        <f t="shared" si="342"/>
        <v>358.56888126970898</v>
      </c>
      <c r="AA78" s="134">
        <f t="shared" si="342"/>
        <v>392.71829853349072</v>
      </c>
      <c r="AB78" s="134">
        <f t="shared" si="342"/>
        <v>430.12004125096598</v>
      </c>
      <c r="AC78" s="134">
        <f t="shared" si="342"/>
        <v>471.08385470343887</v>
      </c>
      <c r="AD78" s="134">
        <f t="shared" si="342"/>
        <v>515.94898372281386</v>
      </c>
      <c r="AE78" s="134">
        <f t="shared" si="342"/>
        <v>565.08698217260553</v>
      </c>
      <c r="AF78" s="134">
        <f t="shared" si="342"/>
        <v>618.90478999856794</v>
      </c>
      <c r="AG78" s="134">
        <f t="shared" si="342"/>
        <v>677.84810333176483</v>
      </c>
      <c r="AH78" s="115">
        <f t="shared" si="330"/>
        <v>9.6400487495810872E-2</v>
      </c>
      <c r="AI78" s="21">
        <f t="shared" si="18"/>
        <v>0.01</v>
      </c>
      <c r="AJ78" s="123">
        <f t="shared" si="331"/>
        <v>3260.126592214679</v>
      </c>
    </row>
    <row r="79" spans="2:36" x14ac:dyDescent="0.2">
      <c r="B79" s="10" t="s">
        <v>203</v>
      </c>
      <c r="C79" s="108"/>
      <c r="D79" s="108"/>
      <c r="E79" s="108"/>
      <c r="F79" s="121"/>
      <c r="G79" s="121">
        <f t="shared" ref="G79" si="343">G6/G61</f>
        <v>25.210084033613448</v>
      </c>
      <c r="H79" s="121">
        <f t="shared" ref="H79:I79" si="344">H6/H61</f>
        <v>28.942115768463076</v>
      </c>
      <c r="I79" s="121">
        <f t="shared" si="344"/>
        <v>41.117764471057889</v>
      </c>
      <c r="J79" s="121">
        <f t="shared" ref="J79:S79" si="345">J6/J61</f>
        <v>59.081836327345314</v>
      </c>
      <c r="K79" s="121">
        <f t="shared" si="345"/>
        <v>63.801652892561982</v>
      </c>
      <c r="L79" s="121">
        <f t="shared" si="345"/>
        <v>66.942148760330582</v>
      </c>
      <c r="M79" s="121">
        <f t="shared" si="345"/>
        <v>97.682926829268297</v>
      </c>
      <c r="N79" s="121">
        <f t="shared" si="345"/>
        <v>138.98467432950193</v>
      </c>
      <c r="O79" s="121">
        <f t="shared" si="345"/>
        <v>163.01369863013699</v>
      </c>
      <c r="P79" s="121">
        <f t="shared" si="345"/>
        <v>242.04368174726989</v>
      </c>
      <c r="Q79" s="121">
        <f t="shared" si="345"/>
        <v>268.38006230529595</v>
      </c>
      <c r="R79" s="121">
        <f t="shared" si="345"/>
        <v>332.07417582417582</v>
      </c>
      <c r="S79" s="121">
        <f t="shared" si="345"/>
        <v>170.4490915323963</v>
      </c>
      <c r="T79" s="121">
        <f t="shared" ref="T79:U79" si="346">T6/T61</f>
        <v>236.88917278824658</v>
      </c>
      <c r="U79" s="121">
        <f t="shared" si="346"/>
        <v>262.94642857142856</v>
      </c>
      <c r="V79" s="101">
        <f t="shared" si="323"/>
        <v>0.18232048173700699</v>
      </c>
      <c r="W79" s="109"/>
      <c r="X79" s="133">
        <f t="shared" ref="X79:AG79" si="347">X6/X61</f>
        <v>287.98894557823132</v>
      </c>
      <c r="Y79" s="133">
        <f t="shared" si="347"/>
        <v>315.41646420472949</v>
      </c>
      <c r="Z79" s="133">
        <f t="shared" si="347"/>
        <v>345.45612746232274</v>
      </c>
      <c r="AA79" s="133">
        <f t="shared" si="347"/>
        <v>378.35671103016296</v>
      </c>
      <c r="AB79" s="133">
        <f t="shared" si="347"/>
        <v>414.39068350922611</v>
      </c>
      <c r="AC79" s="133">
        <f t="shared" si="347"/>
        <v>453.85646289105711</v>
      </c>
      <c r="AD79" s="133">
        <f t="shared" si="347"/>
        <v>497.08088792830051</v>
      </c>
      <c r="AE79" s="133">
        <f t="shared" si="347"/>
        <v>544.42192487385284</v>
      </c>
      <c r="AF79" s="133">
        <f t="shared" si="347"/>
        <v>596.27163200469602</v>
      </c>
      <c r="AG79" s="133">
        <f t="shared" si="347"/>
        <v>653.05940648133367</v>
      </c>
      <c r="AH79" s="115">
        <f t="shared" si="330"/>
        <v>0.10529730899292389</v>
      </c>
      <c r="AI79" s="21">
        <f t="shared" si="18"/>
        <v>0.01</v>
      </c>
      <c r="AJ79" s="123">
        <f t="shared" si="331"/>
        <v>3140.9047645054625</v>
      </c>
    </row>
    <row r="80" spans="2:36" x14ac:dyDescent="0.2">
      <c r="B80" s="10" t="s">
        <v>204</v>
      </c>
      <c r="C80" s="108"/>
      <c r="D80" s="108"/>
      <c r="E80" s="108"/>
      <c r="F80" s="121"/>
      <c r="G80" s="121">
        <f t="shared" ref="G80" si="348">G10/G61</f>
        <v>312.88515406162469</v>
      </c>
      <c r="H80" s="121">
        <f t="shared" ref="H80:I80" si="349">H10/H61</f>
        <v>332.93413173652698</v>
      </c>
      <c r="I80" s="121">
        <f t="shared" si="349"/>
        <v>486.42714570858283</v>
      </c>
      <c r="J80" s="121">
        <f t="shared" ref="J80:S80" si="350">J10/J61</f>
        <v>686.62674650698602</v>
      </c>
      <c r="K80" s="121">
        <f t="shared" si="350"/>
        <v>703.80165289256206</v>
      </c>
      <c r="L80" s="121">
        <f t="shared" si="350"/>
        <v>1020.8264462809917</v>
      </c>
      <c r="M80" s="121">
        <f t="shared" si="350"/>
        <v>1134.7560975609756</v>
      </c>
      <c r="N80" s="121">
        <f t="shared" si="350"/>
        <v>124.04214559386973</v>
      </c>
      <c r="O80" s="121">
        <f t="shared" si="350"/>
        <v>135.10273972602741</v>
      </c>
      <c r="P80" s="121">
        <f t="shared" si="350"/>
        <v>2140.4056162246488</v>
      </c>
      <c r="Q80" s="121">
        <f t="shared" si="350"/>
        <v>2639.4080996884736</v>
      </c>
      <c r="R80" s="121">
        <f t="shared" si="350"/>
        <v>2782.1428571428569</v>
      </c>
      <c r="S80" s="121">
        <f t="shared" si="350"/>
        <v>1767.4322934521767</v>
      </c>
      <c r="T80" s="121">
        <f t="shared" ref="T80:U80" si="351">T10/T61</f>
        <v>2276.2376237623762</v>
      </c>
      <c r="U80" s="121">
        <f t="shared" si="351"/>
        <v>2528.5395408163267</v>
      </c>
      <c r="V80" s="101">
        <f t="shared" si="323"/>
        <v>0.16096824850659819</v>
      </c>
      <c r="W80" s="109"/>
      <c r="X80" s="133">
        <f t="shared" ref="X80:AG80" si="352">X10/X61</f>
        <v>2769.3528304178817</v>
      </c>
      <c r="Y80" s="133">
        <f t="shared" si="352"/>
        <v>3033.1007190291084</v>
      </c>
      <c r="Z80" s="133">
        <f t="shared" si="352"/>
        <v>3321.9674541747372</v>
      </c>
      <c r="AA80" s="133">
        <f t="shared" si="352"/>
        <v>3638.3453069532829</v>
      </c>
      <c r="AB80" s="133">
        <f t="shared" si="352"/>
        <v>3984.8543838059763</v>
      </c>
      <c r="AC80" s="133">
        <f t="shared" si="352"/>
        <v>4364.3643251208314</v>
      </c>
      <c r="AD80" s="133">
        <f t="shared" si="352"/>
        <v>4780.0180703704327</v>
      </c>
      <c r="AE80" s="133">
        <f t="shared" si="352"/>
        <v>5235.2578865961868</v>
      </c>
      <c r="AF80" s="133">
        <f t="shared" si="352"/>
        <v>5733.8538757958231</v>
      </c>
      <c r="AG80" s="133">
        <f t="shared" si="352"/>
        <v>6279.9351973001858</v>
      </c>
      <c r="AH80" s="115">
        <f t="shared" si="330"/>
        <v>9.6608064130408344E-2</v>
      </c>
      <c r="AI80" s="21">
        <f t="shared" si="18"/>
        <v>0.01</v>
      </c>
      <c r="AJ80" s="123">
        <f t="shared" si="331"/>
        <v>30203.497853681845</v>
      </c>
    </row>
    <row r="81" spans="2:36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 x14ac:dyDescent="0.2">
      <c r="B82" s="10" t="s">
        <v>221</v>
      </c>
      <c r="C82" s="108"/>
      <c r="D82" s="108"/>
      <c r="E82" s="108"/>
      <c r="F82" s="121"/>
      <c r="G82" s="121">
        <f t="shared" ref="G82" si="353">(G7-G10)/G61</f>
        <v>-276.1904761904762</v>
      </c>
      <c r="H82" s="121">
        <f t="shared" ref="H82:I82" si="354">(H7-H10)/H61</f>
        <v>-294.01197604790423</v>
      </c>
      <c r="I82" s="121">
        <f t="shared" si="354"/>
        <v>-431.33732534930141</v>
      </c>
      <c r="J82" s="121">
        <f t="shared" ref="J82:S82" si="355">(J7-J10)/J61</f>
        <v>-612.1756487025948</v>
      </c>
      <c r="K82" s="121">
        <f t="shared" si="355"/>
        <v>-628.76033057851237</v>
      </c>
      <c r="L82" s="121">
        <f t="shared" si="355"/>
        <v>-934.04958677685954</v>
      </c>
      <c r="M82" s="121">
        <f t="shared" si="355"/>
        <v>-1026.7073170731708</v>
      </c>
      <c r="N82" s="121">
        <f t="shared" si="355"/>
        <v>24.904214559386975</v>
      </c>
      <c r="O82" s="121">
        <f t="shared" si="355"/>
        <v>37.928082191780824</v>
      </c>
      <c r="P82" s="121">
        <f t="shared" si="355"/>
        <v>-1887.9095163806551</v>
      </c>
      <c r="Q82" s="121">
        <f t="shared" si="355"/>
        <v>-2361.0591900311529</v>
      </c>
      <c r="R82" s="121">
        <f t="shared" si="355"/>
        <v>-2440.0412087912086</v>
      </c>
      <c r="S82" s="121">
        <f t="shared" si="355"/>
        <v>-1582.6876928351044</v>
      </c>
      <c r="T82" s="121">
        <f t="shared" ref="T82:U82" si="356">(T7-T10)/T61</f>
        <v>-2029.3516448419036</v>
      </c>
      <c r="U82" s="121">
        <f t="shared" si="356"/>
        <v>-2255.612244897959</v>
      </c>
      <c r="V82" s="101">
        <f t="shared" si="323"/>
        <v>0.16184137655955033</v>
      </c>
      <c r="W82" s="109"/>
      <c r="X82" s="133">
        <f t="shared" ref="X82:AG82" si="357">(X7-X10)/X61</f>
        <v>-2470.432458697765</v>
      </c>
      <c r="Y82" s="133">
        <f t="shared" si="357"/>
        <v>-2705.7117404785045</v>
      </c>
      <c r="Z82" s="133">
        <f t="shared" si="357"/>
        <v>-2963.3985729050282</v>
      </c>
      <c r="AA82" s="133">
        <f t="shared" si="357"/>
        <v>-3245.6270084197922</v>
      </c>
      <c r="AB82" s="133">
        <f t="shared" si="357"/>
        <v>-3554.7343425550102</v>
      </c>
      <c r="AC82" s="133">
        <f t="shared" si="357"/>
        <v>-3893.2804704173918</v>
      </c>
      <c r="AD82" s="133">
        <f t="shared" si="357"/>
        <v>-4264.0690866476189</v>
      </c>
      <c r="AE82" s="133">
        <f t="shared" si="357"/>
        <v>-4670.1709044235822</v>
      </c>
      <c r="AF82" s="133">
        <f t="shared" si="357"/>
        <v>-5114.9490857972551</v>
      </c>
      <c r="AG82" s="133">
        <f t="shared" si="357"/>
        <v>-5602.0870939684219</v>
      </c>
      <c r="AH82" s="115">
        <f t="shared" si="330"/>
        <v>9.6633247493118635E-2</v>
      </c>
      <c r="AI82" s="21">
        <f t="shared" si="18"/>
        <v>0.01</v>
      </c>
      <c r="AJ82" s="123">
        <f t="shared" si="331"/>
        <v>-26943.371261467171</v>
      </c>
    </row>
    <row r="83" spans="2:36" x14ac:dyDescent="0.2">
      <c r="B83" s="10" t="s">
        <v>222</v>
      </c>
      <c r="C83" s="108"/>
      <c r="D83" s="108"/>
      <c r="E83" s="108"/>
      <c r="F83" s="121"/>
      <c r="G83" s="121">
        <f t="shared" ref="G83" si="358">(G7-G10-G9)/G61</f>
        <v>-612.04481792717093</v>
      </c>
      <c r="H83" s="121">
        <f t="shared" ref="H83:I83" si="359">(H7-H10-H9)/H61</f>
        <v>-299.20159680638722</v>
      </c>
      <c r="I83" s="121">
        <f t="shared" si="359"/>
        <v>-438.12375249501002</v>
      </c>
      <c r="J83" s="121">
        <f t="shared" ref="J83:S83" si="360">(J7-J10-J9)/J61</f>
        <v>-621.55688622754496</v>
      </c>
      <c r="K83" s="121">
        <f t="shared" si="360"/>
        <v>-638.67768595041321</v>
      </c>
      <c r="L83" s="121">
        <f t="shared" si="360"/>
        <v>-948.09917355371908</v>
      </c>
      <c r="M83" s="121">
        <f t="shared" si="360"/>
        <v>-1038.1707317073171</v>
      </c>
      <c r="N83" s="121">
        <f t="shared" si="360"/>
        <v>-1858.5249042145595</v>
      </c>
      <c r="O83" s="121">
        <f t="shared" si="360"/>
        <v>-1986.7294520547946</v>
      </c>
      <c r="P83" s="121">
        <f t="shared" si="360"/>
        <v>-2263.4945397815914</v>
      </c>
      <c r="Q83" s="121">
        <f t="shared" si="360"/>
        <v>-2827.336448598131</v>
      </c>
      <c r="R83" s="121">
        <f t="shared" si="360"/>
        <v>-3061.4697802197802</v>
      </c>
      <c r="S83" s="121">
        <f t="shared" si="360"/>
        <v>-1959.7874528625298</v>
      </c>
      <c r="T83" s="121">
        <f t="shared" ref="T83:U83" si="361">(T7-T10-T9)/T61</f>
        <v>-2430.9805174065796</v>
      </c>
      <c r="U83" s="121">
        <f t="shared" si="361"/>
        <v>-2854.783163265306</v>
      </c>
      <c r="V83" s="101">
        <f t="shared" si="323"/>
        <v>0.11627373752615977</v>
      </c>
      <c r="W83" s="109"/>
      <c r="X83" s="133">
        <f t="shared" ref="X83:AG83" si="362">(X7-X10-X9)/X61</f>
        <v>-3126.6672740524782</v>
      </c>
      <c r="Y83" s="133">
        <f t="shared" si="362"/>
        <v>-3424.4451096765238</v>
      </c>
      <c r="Z83" s="133">
        <f t="shared" si="362"/>
        <v>-3750.5827391695257</v>
      </c>
      <c r="AA83" s="133">
        <f t="shared" si="362"/>
        <v>-4107.7810952809077</v>
      </c>
      <c r="AB83" s="133">
        <f t="shared" si="362"/>
        <v>-4498.9983424505181</v>
      </c>
      <c r="AC83" s="133">
        <f t="shared" si="362"/>
        <v>-4927.4743750648522</v>
      </c>
      <c r="AD83" s="133">
        <f t="shared" si="362"/>
        <v>-5396.7576488805526</v>
      </c>
      <c r="AE83" s="133">
        <f t="shared" si="362"/>
        <v>-5910.7345678215561</v>
      </c>
      <c r="AF83" s="133">
        <f t="shared" si="362"/>
        <v>-6473.661669518845</v>
      </c>
      <c r="AG83" s="133">
        <f t="shared" si="362"/>
        <v>-7090.2008761396874</v>
      </c>
      <c r="AH83" s="115">
        <f t="shared" si="330"/>
        <v>0.10674882366480931</v>
      </c>
      <c r="AI83" s="21">
        <f t="shared" si="18"/>
        <v>0.01</v>
      </c>
      <c r="AJ83" s="123">
        <f t="shared" si="331"/>
        <v>-34100.489928100404</v>
      </c>
    </row>
    <row r="84" spans="2:36" x14ac:dyDescent="0.2">
      <c r="B84" s="10" t="s">
        <v>227</v>
      </c>
      <c r="C84" s="108"/>
      <c r="D84" s="108"/>
      <c r="E84" s="108"/>
      <c r="F84" s="121"/>
      <c r="G84" s="121">
        <f t="shared" ref="G84" si="363">(G7+G15-G10-G9)/G61</f>
        <v>-611.20448179271716</v>
      </c>
      <c r="H84" s="121">
        <f t="shared" ref="H84:I84" si="364">(H7+H15-H10-H9)/H61</f>
        <v>-290.61876247504989</v>
      </c>
      <c r="I84" s="121">
        <f t="shared" si="364"/>
        <v>-417.36526946107784</v>
      </c>
      <c r="J84" s="121">
        <f t="shared" ref="J84:S84" si="365">(J7+J15-J10-J9)/J61</f>
        <v>-595.2095808383234</v>
      </c>
      <c r="K84" s="121">
        <f t="shared" si="365"/>
        <v>-620.82644628099172</v>
      </c>
      <c r="L84" s="121">
        <f t="shared" si="365"/>
        <v>-873.88429752066122</v>
      </c>
      <c r="M84" s="121">
        <f t="shared" si="365"/>
        <v>-947.19512195121956</v>
      </c>
      <c r="N84" s="121">
        <f t="shared" si="365"/>
        <v>-1583.2375478927204</v>
      </c>
      <c r="O84" s="121">
        <f t="shared" si="365"/>
        <v>-1806.5068493150686</v>
      </c>
      <c r="P84" s="121">
        <f t="shared" si="365"/>
        <v>-2218.9547581903275</v>
      </c>
      <c r="Q84" s="121">
        <f t="shared" si="365"/>
        <v>-2744.7819314641747</v>
      </c>
      <c r="R84" s="121">
        <f t="shared" si="365"/>
        <v>-3000.8241758241757</v>
      </c>
      <c r="S84" s="121">
        <f t="shared" si="365"/>
        <v>-1832.4305793623585</v>
      </c>
      <c r="T84" s="121">
        <f t="shared" ref="T84:U84" si="366">(T7+T15-T10-T9)/T61</f>
        <v>-2321.0475886298309</v>
      </c>
      <c r="U84" s="121">
        <f t="shared" si="366"/>
        <v>-2774.5216836734694</v>
      </c>
      <c r="V84" s="101">
        <f t="shared" si="323"/>
        <v>0.11411157216225898</v>
      </c>
      <c r="W84" s="109"/>
      <c r="X84" s="133">
        <f t="shared" ref="X84:AG84" si="367">(X7+X15-X10-X9)/X61</f>
        <v>-3038.7618440233241</v>
      </c>
      <c r="Y84" s="133">
        <f t="shared" si="367"/>
        <v>-3328.1677339303069</v>
      </c>
      <c r="Z84" s="133">
        <f t="shared" si="367"/>
        <v>-3645.1360895427165</v>
      </c>
      <c r="AA84" s="133">
        <f t="shared" si="367"/>
        <v>-3992.2919075944028</v>
      </c>
      <c r="AB84" s="133">
        <f t="shared" si="367"/>
        <v>-4372.5101845081554</v>
      </c>
      <c r="AC84" s="133">
        <f t="shared" si="367"/>
        <v>-4788.9397258898844</v>
      </c>
      <c r="AD84" s="133">
        <f t="shared" si="367"/>
        <v>-5245.0292235936822</v>
      </c>
      <c r="AE84" s="133">
        <f t="shared" si="367"/>
        <v>-5744.555816316888</v>
      </c>
      <c r="AF84" s="133">
        <f t="shared" si="367"/>
        <v>-6291.6563702518279</v>
      </c>
      <c r="AG84" s="133">
        <f t="shared" si="367"/>
        <v>-6890.8617388472394</v>
      </c>
      <c r="AH84" s="115">
        <f t="shared" si="330"/>
        <v>0.10743136003475673</v>
      </c>
      <c r="AI84" s="21">
        <f t="shared" si="18"/>
        <v>0.01</v>
      </c>
      <c r="AJ84" s="123">
        <f t="shared" si="331"/>
        <v>-33141.763601122439</v>
      </c>
    </row>
    <row r="85" spans="2:36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 x14ac:dyDescent="0.2">
      <c r="B86" s="10" t="s">
        <v>205</v>
      </c>
      <c r="C86" s="108"/>
      <c r="D86" s="108"/>
      <c r="E86" s="108"/>
      <c r="F86" s="121"/>
      <c r="G86" s="121">
        <f t="shared" ref="G86" si="368">G12/G61</f>
        <v>0.84033613445378152</v>
      </c>
      <c r="H86" s="121">
        <f t="shared" ref="H86:I86" si="369">H12/H61</f>
        <v>8.1836327345309385</v>
      </c>
      <c r="I86" s="121">
        <f t="shared" si="369"/>
        <v>20.359281437125748</v>
      </c>
      <c r="J86" s="121">
        <f t="shared" ref="J86:S86" si="370">J12/J61</f>
        <v>25.748502994011979</v>
      </c>
      <c r="K86" s="121">
        <f t="shared" si="370"/>
        <v>17.355371900826448</v>
      </c>
      <c r="L86" s="121">
        <f t="shared" si="370"/>
        <v>73.388429752066116</v>
      </c>
      <c r="M86" s="121">
        <f t="shared" si="370"/>
        <v>89.756097560975618</v>
      </c>
      <c r="N86" s="121">
        <f t="shared" si="370"/>
        <v>131.99233716475098</v>
      </c>
      <c r="O86" s="121">
        <f t="shared" si="370"/>
        <v>62.071917808219183</v>
      </c>
      <c r="P86" s="121">
        <f t="shared" si="370"/>
        <v>39.937597503900157</v>
      </c>
      <c r="Q86" s="121">
        <f t="shared" si="370"/>
        <v>76.557632398753896</v>
      </c>
      <c r="R86" s="121">
        <f t="shared" si="370"/>
        <v>47.184065934065934</v>
      </c>
      <c r="S86" s="121">
        <f t="shared" si="370"/>
        <v>119.84916009598902</v>
      </c>
      <c r="T86" s="121">
        <f t="shared" ref="T86:U86" si="371">T12/T61</f>
        <v>109.54966464388374</v>
      </c>
      <c r="U86" s="121">
        <f t="shared" si="371"/>
        <v>78.698979591836732</v>
      </c>
      <c r="V86" s="101">
        <f t="shared" si="323"/>
        <v>0.38300126041835081</v>
      </c>
      <c r="W86" s="109"/>
      <c r="X86" s="133">
        <f t="shared" ref="X86:AG86" si="372">X12/X61</f>
        <v>86.194120505344998</v>
      </c>
      <c r="Y86" s="133">
        <f t="shared" si="372"/>
        <v>94.403084362996893</v>
      </c>
      <c r="Z86" s="133">
        <f t="shared" si="372"/>
        <v>103.39385430232991</v>
      </c>
      <c r="AA86" s="133">
        <f t="shared" si="372"/>
        <v>113.24088804540894</v>
      </c>
      <c r="AB86" s="133">
        <f t="shared" si="372"/>
        <v>124.02573452592407</v>
      </c>
      <c r="AC86" s="133">
        <f t="shared" si="372"/>
        <v>135.83770924267873</v>
      </c>
      <c r="AD86" s="133">
        <f t="shared" si="372"/>
        <v>148.77463393245762</v>
      </c>
      <c r="AE86" s="133">
        <f t="shared" si="372"/>
        <v>162.94364668792974</v>
      </c>
      <c r="AF86" s="133">
        <f t="shared" si="372"/>
        <v>178.46208922963734</v>
      </c>
      <c r="AG86" s="133">
        <f t="shared" si="372"/>
        <v>195.45847868007897</v>
      </c>
      <c r="AH86" s="115">
        <f t="shared" si="330"/>
        <v>8.812621168987822E-2</v>
      </c>
      <c r="AI86" s="21">
        <f t="shared" si="18"/>
        <v>0.01</v>
      </c>
      <c r="AJ86" s="123">
        <f t="shared" si="331"/>
        <v>940.06220698514164</v>
      </c>
    </row>
    <row r="87" spans="2:36" x14ac:dyDescent="0.2">
      <c r="B87" s="10" t="s">
        <v>212</v>
      </c>
      <c r="C87" s="108"/>
      <c r="D87" s="108"/>
      <c r="E87" s="108"/>
      <c r="F87" s="121"/>
      <c r="G87" s="121">
        <f t="shared" ref="G87" si="373">G13/G61</f>
        <v>19.327731092436977</v>
      </c>
      <c r="H87" s="121">
        <f t="shared" ref="H87:I87" si="374">H13/H61</f>
        <v>21.157684630738522</v>
      </c>
      <c r="I87" s="121">
        <f t="shared" si="374"/>
        <v>16.56686626746507</v>
      </c>
      <c r="J87" s="121">
        <f t="shared" ref="J87:S87" si="375">J13/J61</f>
        <v>16.367265469061877</v>
      </c>
      <c r="K87" s="121">
        <f t="shared" si="375"/>
        <v>14.545454545454547</v>
      </c>
      <c r="L87" s="121">
        <f t="shared" si="375"/>
        <v>15.537190082644628</v>
      </c>
      <c r="M87" s="121">
        <f t="shared" si="375"/>
        <v>14.02439024390244</v>
      </c>
      <c r="N87" s="121">
        <f t="shared" si="375"/>
        <v>67.145593869731798</v>
      </c>
      <c r="O87" s="121">
        <f t="shared" si="375"/>
        <v>21.147260273972602</v>
      </c>
      <c r="P87" s="121">
        <f t="shared" si="375"/>
        <v>21.450858034321371</v>
      </c>
      <c r="Q87" s="121">
        <f t="shared" si="375"/>
        <v>44.781931464174455</v>
      </c>
      <c r="R87" s="121">
        <f t="shared" si="375"/>
        <v>120.26098901098901</v>
      </c>
      <c r="S87" s="121">
        <f t="shared" si="375"/>
        <v>62.050051422694544</v>
      </c>
      <c r="T87" s="121">
        <f t="shared" ref="T87:U87" si="376">T13/T61</f>
        <v>431.45959757266053</v>
      </c>
      <c r="U87" s="121">
        <f t="shared" si="376"/>
        <v>258.38647959183675</v>
      </c>
      <c r="V87" s="101">
        <f t="shared" si="323"/>
        <v>0.20346903974170316</v>
      </c>
      <c r="W87" s="109"/>
      <c r="X87" s="133">
        <f t="shared" ref="X87:AG87" si="377">X13/X61</f>
        <v>282.99471574344022</v>
      </c>
      <c r="Y87" s="133">
        <f t="shared" si="377"/>
        <v>309.94659343329164</v>
      </c>
      <c r="Z87" s="133">
        <f t="shared" si="377"/>
        <v>339.4653166174146</v>
      </c>
      <c r="AA87" s="133">
        <f t="shared" si="377"/>
        <v>371.79534677145404</v>
      </c>
      <c r="AB87" s="133">
        <f t="shared" si="377"/>
        <v>407.20442741635435</v>
      </c>
      <c r="AC87" s="133">
        <f t="shared" si="377"/>
        <v>445.98580145600715</v>
      </c>
      <c r="AD87" s="133">
        <f t="shared" si="377"/>
        <v>488.46063968991251</v>
      </c>
      <c r="AE87" s="133">
        <f t="shared" si="377"/>
        <v>534.98070061276121</v>
      </c>
      <c r="AF87" s="133">
        <f t="shared" si="377"/>
        <v>585.93124352826226</v>
      </c>
      <c r="AG87" s="133">
        <f t="shared" si="377"/>
        <v>641.73421910238233</v>
      </c>
      <c r="AH87" s="115">
        <f t="shared" si="330"/>
        <v>0.16517402557308736</v>
      </c>
      <c r="AI87" s="21">
        <f t="shared" si="18"/>
        <v>0.01</v>
      </c>
      <c r="AJ87" s="123">
        <f t="shared" si="331"/>
        <v>3086.4360061590774</v>
      </c>
    </row>
    <row r="88" spans="2:36" x14ac:dyDescent="0.2">
      <c r="B88" s="10" t="s">
        <v>213</v>
      </c>
      <c r="C88" s="108"/>
      <c r="D88" s="108"/>
      <c r="E88" s="108"/>
      <c r="F88" s="121"/>
      <c r="G88" s="121">
        <f t="shared" ref="G88" si="378">(G86+G87)</f>
        <v>20.168067226890759</v>
      </c>
      <c r="H88" s="121">
        <f t="shared" ref="H88:I88" si="379">(H86+H87)</f>
        <v>29.341317365269461</v>
      </c>
      <c r="I88" s="121">
        <f t="shared" si="379"/>
        <v>36.926147704590818</v>
      </c>
      <c r="J88" s="121">
        <f t="shared" ref="J88:S88" si="380">(J86+J87)</f>
        <v>42.115768463073856</v>
      </c>
      <c r="K88" s="121">
        <f t="shared" si="380"/>
        <v>31.900826446280995</v>
      </c>
      <c r="L88" s="121">
        <f t="shared" si="380"/>
        <v>88.925619834710744</v>
      </c>
      <c r="M88" s="121">
        <f t="shared" si="380"/>
        <v>103.78048780487806</v>
      </c>
      <c r="N88" s="121">
        <f t="shared" si="380"/>
        <v>199.13793103448279</v>
      </c>
      <c r="O88" s="121">
        <f t="shared" si="380"/>
        <v>83.219178082191789</v>
      </c>
      <c r="P88" s="121">
        <f t="shared" si="380"/>
        <v>61.388455538221528</v>
      </c>
      <c r="Q88" s="121">
        <f t="shared" si="380"/>
        <v>121.33956386292834</v>
      </c>
      <c r="R88" s="121">
        <f t="shared" ref="R88" si="381">(R86+R87)</f>
        <v>167.44505494505495</v>
      </c>
      <c r="S88" s="121">
        <f t="shared" si="380"/>
        <v>181.89921151868356</v>
      </c>
      <c r="T88" s="121">
        <f t="shared" ref="T88:U88" si="382">(T86+T87)</f>
        <v>541.00926221654424</v>
      </c>
      <c r="U88" s="121">
        <f t="shared" si="382"/>
        <v>337.08545918367349</v>
      </c>
      <c r="V88" s="101">
        <f t="shared" si="323"/>
        <v>0.22282005483371337</v>
      </c>
      <c r="W88" s="109"/>
      <c r="X88" s="133">
        <f t="shared" ref="X88:AG88" si="383">(X86+X87)</f>
        <v>369.18883624878521</v>
      </c>
      <c r="Y88" s="133">
        <f t="shared" si="383"/>
        <v>404.34967779628852</v>
      </c>
      <c r="Z88" s="133">
        <f t="shared" si="383"/>
        <v>442.85917091974454</v>
      </c>
      <c r="AA88" s="133">
        <f t="shared" si="383"/>
        <v>485.03623481686299</v>
      </c>
      <c r="AB88" s="133">
        <f t="shared" si="383"/>
        <v>531.23016194227841</v>
      </c>
      <c r="AC88" s="133">
        <f t="shared" si="383"/>
        <v>581.82351069868582</v>
      </c>
      <c r="AD88" s="133">
        <f t="shared" si="383"/>
        <v>637.23527362237019</v>
      </c>
      <c r="AE88" s="133">
        <f t="shared" si="383"/>
        <v>697.9243473006909</v>
      </c>
      <c r="AF88" s="133">
        <f t="shared" si="383"/>
        <v>764.39333275789954</v>
      </c>
      <c r="AG88" s="133">
        <f t="shared" si="383"/>
        <v>837.19269778246132</v>
      </c>
      <c r="AH88" s="115">
        <f t="shared" si="330"/>
        <v>0.13265904101425297</v>
      </c>
      <c r="AI88" s="21">
        <f t="shared" si="18"/>
        <v>0.01</v>
      </c>
      <c r="AJ88" s="123">
        <f t="shared" si="331"/>
        <v>4026.4982131442189</v>
      </c>
    </row>
    <row r="89" spans="2:36" x14ac:dyDescent="0.2">
      <c r="B89" s="10" t="s">
        <v>206</v>
      </c>
      <c r="C89" s="108"/>
      <c r="D89" s="108"/>
      <c r="E89" s="108"/>
      <c r="F89" s="121"/>
      <c r="G89" s="121">
        <f t="shared" ref="G89" si="384">G15/G61</f>
        <v>0.84033613445378152</v>
      </c>
      <c r="H89" s="121">
        <f t="shared" ref="H89:I89" si="385">H15/H61</f>
        <v>8.5828343313373257</v>
      </c>
      <c r="I89" s="121">
        <f t="shared" si="385"/>
        <v>20.758483033932137</v>
      </c>
      <c r="J89" s="121">
        <f t="shared" ref="J89:S89" si="386">J15/J61</f>
        <v>26.347305389221557</v>
      </c>
      <c r="K89" s="121">
        <f t="shared" si="386"/>
        <v>17.851239669421489</v>
      </c>
      <c r="L89" s="121">
        <f t="shared" si="386"/>
        <v>74.214876033057848</v>
      </c>
      <c r="M89" s="121">
        <f t="shared" si="386"/>
        <v>90.975609756097569</v>
      </c>
      <c r="N89" s="121">
        <f t="shared" si="386"/>
        <v>275.28735632183907</v>
      </c>
      <c r="O89" s="121">
        <f t="shared" si="386"/>
        <v>180.22260273972603</v>
      </c>
      <c r="P89" s="121">
        <f t="shared" si="386"/>
        <v>44.539781591263647</v>
      </c>
      <c r="Q89" s="121">
        <f t="shared" si="386"/>
        <v>82.554517133956381</v>
      </c>
      <c r="R89" s="121">
        <f t="shared" si="386"/>
        <v>60.645604395604394</v>
      </c>
      <c r="S89" s="121">
        <f t="shared" si="386"/>
        <v>127.3568735001714</v>
      </c>
      <c r="T89" s="121">
        <f t="shared" ref="T89:U89" si="387">T15/T61</f>
        <v>109.93292877674865</v>
      </c>
      <c r="U89" s="121">
        <f t="shared" si="387"/>
        <v>80.261479591836732</v>
      </c>
      <c r="V89" s="101">
        <f t="shared" si="323"/>
        <v>0.3849447150519647</v>
      </c>
      <c r="W89" s="109"/>
      <c r="X89" s="133">
        <f t="shared" ref="X89:AG89" si="388">X15/X61</f>
        <v>87.905430029154516</v>
      </c>
      <c r="Y89" s="133">
        <f t="shared" si="388"/>
        <v>96.277375746216848</v>
      </c>
      <c r="Z89" s="133">
        <f t="shared" si="388"/>
        <v>105.44664962680891</v>
      </c>
      <c r="AA89" s="133">
        <f t="shared" si="388"/>
        <v>115.48918768650499</v>
      </c>
      <c r="AB89" s="133">
        <f t="shared" si="388"/>
        <v>126.48815794236259</v>
      </c>
      <c r="AC89" s="133">
        <f t="shared" si="388"/>
        <v>138.53464917496854</v>
      </c>
      <c r="AD89" s="133">
        <f t="shared" si="388"/>
        <v>151.72842528687028</v>
      </c>
      <c r="AE89" s="133">
        <f t="shared" si="388"/>
        <v>166.17875150466742</v>
      </c>
      <c r="AF89" s="133">
        <f t="shared" si="388"/>
        <v>182.00529926701668</v>
      </c>
      <c r="AG89" s="133">
        <f t="shared" si="388"/>
        <v>199.33913729244685</v>
      </c>
      <c r="AH89" s="115">
        <f t="shared" si="330"/>
        <v>8.7975248816960505E-2</v>
      </c>
      <c r="AI89" s="21">
        <f t="shared" si="18"/>
        <v>0.01</v>
      </c>
      <c r="AJ89" s="123">
        <f t="shared" si="331"/>
        <v>958.72632697795871</v>
      </c>
    </row>
    <row r="90" spans="2:36" x14ac:dyDescent="0.2">
      <c r="B90" s="10" t="s">
        <v>207</v>
      </c>
      <c r="C90" s="108"/>
      <c r="D90" s="108"/>
      <c r="E90" s="108"/>
      <c r="F90" s="121"/>
      <c r="G90" s="121">
        <f t="shared" ref="G90" si="389">G16/G61</f>
        <v>326.61064425770309</v>
      </c>
      <c r="H90" s="121">
        <f t="shared" ref="H90:I90" si="390">H16/H61</f>
        <v>347.30538922155688</v>
      </c>
      <c r="I90" s="121">
        <f t="shared" si="390"/>
        <v>519.16167664670661</v>
      </c>
      <c r="J90" s="121">
        <f t="shared" ref="J90:S90" si="391">J16/J61</f>
        <v>739.121756487026</v>
      </c>
      <c r="K90" s="121">
        <f t="shared" si="391"/>
        <v>759.66942148760336</v>
      </c>
      <c r="L90" s="121">
        <f t="shared" si="391"/>
        <v>1086.9421487603306</v>
      </c>
      <c r="M90" s="121">
        <f t="shared" si="391"/>
        <v>1205.8536585365855</v>
      </c>
      <c r="N90" s="121">
        <f t="shared" si="391"/>
        <v>174.52107279693487</v>
      </c>
      <c r="O90" s="121">
        <f t="shared" si="391"/>
        <v>251.7123287671233</v>
      </c>
      <c r="P90" s="121">
        <f t="shared" si="391"/>
        <v>2337.2854914196569</v>
      </c>
      <c r="Q90" s="121">
        <f t="shared" si="391"/>
        <v>2796.0280373831774</v>
      </c>
      <c r="R90" s="121">
        <f t="shared" si="391"/>
        <v>2964.2857142857142</v>
      </c>
      <c r="S90" s="121">
        <f t="shared" si="391"/>
        <v>1874.357216318135</v>
      </c>
      <c r="T90" s="121">
        <f t="shared" ref="T90:U90" si="392">T16/T61</f>
        <v>2058.9268604279782</v>
      </c>
      <c r="U90" s="121">
        <f t="shared" si="392"/>
        <v>2511.8303571428573</v>
      </c>
      <c r="V90" s="101">
        <f t="shared" si="323"/>
        <v>0.15686546080881425</v>
      </c>
      <c r="W90" s="109"/>
      <c r="X90" s="133">
        <f t="shared" ref="X90:AG90" si="393">X16/X61</f>
        <v>2751.0522959183672</v>
      </c>
      <c r="Y90" s="133">
        <f t="shared" si="393"/>
        <v>3013.0572764820213</v>
      </c>
      <c r="Z90" s="133">
        <f t="shared" si="393"/>
        <v>3300.0151123374517</v>
      </c>
      <c r="AA90" s="133">
        <f t="shared" si="393"/>
        <v>3614.3022658933987</v>
      </c>
      <c r="AB90" s="133">
        <f t="shared" si="393"/>
        <v>3958.5215293118176</v>
      </c>
      <c r="AC90" s="133">
        <f t="shared" si="393"/>
        <v>4335.5235797224668</v>
      </c>
      <c r="AD90" s="133">
        <f t="shared" si="393"/>
        <v>4748.4305873150815</v>
      </c>
      <c r="AE90" s="133">
        <f t="shared" si="393"/>
        <v>5200.6620718212789</v>
      </c>
      <c r="AF90" s="133">
        <f t="shared" si="393"/>
        <v>5695.9632215185429</v>
      </c>
      <c r="AG90" s="133">
        <f t="shared" si="393"/>
        <v>6238.4359092822133</v>
      </c>
      <c r="AH90" s="115">
        <f t="shared" si="330"/>
        <v>9.2945036593361507E-2</v>
      </c>
      <c r="AI90" s="114"/>
      <c r="AJ90" s="123">
        <f t="shared" si="331"/>
        <v>28356.526860373695</v>
      </c>
    </row>
    <row r="91" spans="2:36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331"/>
        <v>0</v>
      </c>
    </row>
    <row r="92" spans="2:36" x14ac:dyDescent="0.2">
      <c r="B92" s="10" t="s">
        <v>232</v>
      </c>
      <c r="C92" s="135"/>
      <c r="D92" s="135"/>
      <c r="E92" s="135"/>
      <c r="F92" s="135"/>
      <c r="G92" s="135">
        <f t="shared" ref="G92" si="394">G63</f>
        <v>2.5</v>
      </c>
      <c r="H92" s="135">
        <f t="shared" ref="H92:I92" si="395">H63</f>
        <v>2</v>
      </c>
      <c r="I92" s="135">
        <f t="shared" si="395"/>
        <v>2.5</v>
      </c>
      <c r="J92" s="135">
        <f t="shared" ref="J92:S92" si="396">J63</f>
        <v>1.5</v>
      </c>
      <c r="K92" s="135">
        <f t="shared" si="396"/>
        <v>2.5</v>
      </c>
      <c r="L92" s="135">
        <f t="shared" si="396"/>
        <v>2.5</v>
      </c>
      <c r="M92" s="135">
        <f t="shared" si="396"/>
        <v>3</v>
      </c>
      <c r="N92" s="135">
        <f t="shared" si="396"/>
        <v>3.5</v>
      </c>
      <c r="O92" s="135">
        <f t="shared" si="396"/>
        <v>3.5</v>
      </c>
      <c r="P92" s="135">
        <f t="shared" si="396"/>
        <v>5</v>
      </c>
      <c r="Q92" s="135">
        <f t="shared" si="396"/>
        <v>5</v>
      </c>
      <c r="R92" s="135">
        <f t="shared" si="396"/>
        <v>6</v>
      </c>
      <c r="S92" s="135">
        <f t="shared" si="396"/>
        <v>5</v>
      </c>
      <c r="T92" s="135">
        <f t="shared" ref="T92:U92" si="397">T63</f>
        <v>4</v>
      </c>
      <c r="U92" s="135">
        <f t="shared" si="397"/>
        <v>5.5</v>
      </c>
      <c r="V92" s="101">
        <f t="shared" si="323"/>
        <v>5.7934458345175521E-2</v>
      </c>
      <c r="W92" s="109"/>
      <c r="X92" s="135">
        <f t="shared" ref="X92:AG92" si="398">X63</f>
        <v>5.61</v>
      </c>
      <c r="Y92" s="135">
        <f t="shared" si="398"/>
        <v>5.7222000000000008</v>
      </c>
      <c r="Z92" s="135">
        <f t="shared" si="398"/>
        <v>5.8366440000000006</v>
      </c>
      <c r="AA92" s="135">
        <f t="shared" si="398"/>
        <v>5.9533768800000004</v>
      </c>
      <c r="AB92" s="135">
        <f t="shared" si="398"/>
        <v>6.0724444176000008</v>
      </c>
      <c r="AC92" s="135">
        <f t="shared" si="398"/>
        <v>6.1938933059520007</v>
      </c>
      <c r="AD92" s="135">
        <f t="shared" si="398"/>
        <v>6.3177711720710406</v>
      </c>
      <c r="AE92" s="135">
        <f t="shared" si="398"/>
        <v>6.4441265955124614</v>
      </c>
      <c r="AF92" s="135">
        <f t="shared" si="398"/>
        <v>6.5730091274227105</v>
      </c>
      <c r="AG92" s="135">
        <f t="shared" si="398"/>
        <v>6.7044693099711647</v>
      </c>
      <c r="AH92" s="115">
        <f t="shared" ref="AH92" si="399">((AG92/J92)^(1/($AG$3-$K$1) ))-1</f>
        <v>6.4375120569589939E-2</v>
      </c>
      <c r="AI92" s="21">
        <f t="shared" si="18"/>
        <v>0.01</v>
      </c>
      <c r="AJ92" s="123">
        <f t="shared" si="331"/>
        <v>32.245304776527988</v>
      </c>
    </row>
    <row r="93" spans="2:36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 x14ac:dyDescent="0.2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0.01</v>
      </c>
      <c r="AJ94" s="123">
        <f t="shared" si="331"/>
        <v>0</v>
      </c>
    </row>
    <row r="95" spans="2:36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 x14ac:dyDescent="0.2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>
        <f t="shared" ref="H96:I96" si="407">H94/H61</f>
        <v>0</v>
      </c>
      <c r="I96" s="121">
        <f t="shared" si="407"/>
        <v>0</v>
      </c>
      <c r="J96" s="121">
        <f t="shared" ref="J96:S96" si="408">J94/J61</f>
        <v>0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0.01</v>
      </c>
      <c r="AJ96" s="123">
        <f t="shared" si="331"/>
        <v>0</v>
      </c>
    </row>
    <row r="97" spans="2:36" x14ac:dyDescent="0.2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>
        <f t="shared" ref="H97:I97" si="412">H20/H61</f>
        <v>0</v>
      </c>
      <c r="I97" s="121">
        <f t="shared" si="412"/>
        <v>0</v>
      </c>
      <c r="J97" s="121">
        <f t="shared" ref="J97:S97" si="413">J20/J61</f>
        <v>0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0.01</v>
      </c>
      <c r="AJ97" s="123">
        <f t="shared" si="331"/>
        <v>0</v>
      </c>
    </row>
    <row r="98" spans="2:36" x14ac:dyDescent="0.2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>
        <f t="shared" ref="H98:I98" si="417">H21/H61</f>
        <v>0</v>
      </c>
      <c r="I98" s="121">
        <f t="shared" si="417"/>
        <v>0</v>
      </c>
      <c r="J98" s="121">
        <f t="shared" ref="J98:S98" si="418">J21/J61</f>
        <v>0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0.01</v>
      </c>
      <c r="AJ98" s="123">
        <f t="shared" si="331"/>
        <v>0</v>
      </c>
    </row>
    <row r="99" spans="2:36" x14ac:dyDescent="0.2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>
        <f t="shared" ref="H99:I99" si="422">H22/H61</f>
        <v>0</v>
      </c>
      <c r="I99" s="121">
        <f t="shared" si="422"/>
        <v>0</v>
      </c>
      <c r="J99" s="121">
        <f t="shared" ref="J99:S99" si="423">J22/J61</f>
        <v>0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0.01</v>
      </c>
      <c r="AJ99" s="123">
        <f t="shared" si="331"/>
        <v>0</v>
      </c>
    </row>
    <row r="100" spans="2:36" x14ac:dyDescent="0.2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>
        <f t="shared" ref="H100:I100" si="427">H23/H61</f>
        <v>0</v>
      </c>
      <c r="I100" s="121">
        <f t="shared" si="427"/>
        <v>0</v>
      </c>
      <c r="J100" s="121">
        <f t="shared" ref="J100:S100" si="428">J23/J61</f>
        <v>0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0.01</v>
      </c>
      <c r="AJ100" s="123">
        <f t="shared" si="331"/>
        <v>0</v>
      </c>
    </row>
    <row r="101" spans="2:36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 x14ac:dyDescent="0.2">
      <c r="B102" s="10" t="s">
        <v>430</v>
      </c>
      <c r="C102" s="121"/>
      <c r="D102" s="121"/>
      <c r="E102" s="121"/>
      <c r="F102" s="121"/>
      <c r="G102" s="121">
        <f t="shared" ref="G102" si="432">G53/G61</f>
        <v>35.0140056022409</v>
      </c>
      <c r="H102" s="121">
        <f t="shared" ref="H102:I102" si="433">H53/H61</f>
        <v>30.139720558882235</v>
      </c>
      <c r="I102" s="121">
        <f t="shared" si="433"/>
        <v>42.514970059880241</v>
      </c>
      <c r="J102" s="121">
        <f t="shared" ref="J102:S102" si="434">J53/J61</f>
        <v>63.273453093812378</v>
      </c>
      <c r="K102" s="121">
        <f t="shared" si="434"/>
        <v>82.148760330578511</v>
      </c>
      <c r="L102" s="121">
        <f t="shared" si="434"/>
        <v>106.94214876033058</v>
      </c>
      <c r="M102" s="121">
        <f t="shared" si="434"/>
        <v>111.82926829268294</v>
      </c>
      <c r="N102" s="121">
        <f t="shared" si="434"/>
        <v>174.61685823754789</v>
      </c>
      <c r="O102" s="121">
        <f t="shared" si="434"/>
        <v>242.97945205479454</v>
      </c>
      <c r="P102" s="121">
        <f t="shared" si="434"/>
        <v>290.17160686427457</v>
      </c>
      <c r="Q102" s="121">
        <f t="shared" si="434"/>
        <v>352.49221183800626</v>
      </c>
      <c r="R102" s="121">
        <f t="shared" si="434"/>
        <v>374.3131868131868</v>
      </c>
      <c r="S102" s="121">
        <f t="shared" si="434"/>
        <v>227.52828248200206</v>
      </c>
      <c r="T102" s="121">
        <f t="shared" ref="T102:U102" si="435">T53/T61</f>
        <v>259.72532737144684</v>
      </c>
      <c r="U102" s="121">
        <f t="shared" si="435"/>
        <v>297.79974489795921</v>
      </c>
      <c r="V102" s="101">
        <f t="shared" si="323"/>
        <v>0.16521453818063159</v>
      </c>
      <c r="W102" s="109"/>
      <c r="X102" s="121">
        <f t="shared" ref="X102:AG102" si="436">X53/X61</f>
        <v>326.16162536443147</v>
      </c>
      <c r="Y102" s="121">
        <f t="shared" si="436"/>
        <v>357.22463730390109</v>
      </c>
      <c r="Z102" s="121">
        <f t="shared" si="436"/>
        <v>391.24603133284404</v>
      </c>
      <c r="AA102" s="121">
        <f t="shared" si="436"/>
        <v>428.50755812644815</v>
      </c>
      <c r="AB102" s="121">
        <f t="shared" si="436"/>
        <v>469.3178017575384</v>
      </c>
      <c r="AC102" s="121">
        <f t="shared" si="436"/>
        <v>514.01473525825634</v>
      </c>
      <c r="AD102" s="121">
        <f t="shared" si="436"/>
        <v>562.96851956856631</v>
      </c>
      <c r="AE102" s="121">
        <f t="shared" si="436"/>
        <v>616.58456905128673</v>
      </c>
      <c r="AF102" s="121">
        <f t="shared" si="436"/>
        <v>675.3069089609329</v>
      </c>
      <c r="AG102" s="121">
        <f t="shared" si="436"/>
        <v>739.62185267149789</v>
      </c>
      <c r="AH102" s="115">
        <f t="shared" ref="AH102:AH104" si="437">((AG102/J102)^(1/($AG$3-$K$1) ))-1</f>
        <v>0.10787605253114596</v>
      </c>
      <c r="AI102" s="21">
        <f t="shared" si="18"/>
        <v>0.01</v>
      </c>
      <c r="AJ102" s="123">
        <f t="shared" si="331"/>
        <v>3557.2289104676802</v>
      </c>
    </row>
    <row r="103" spans="2:36" x14ac:dyDescent="0.2">
      <c r="B103" s="10" t="s">
        <v>431</v>
      </c>
      <c r="C103" s="121"/>
      <c r="D103" s="121"/>
      <c r="E103" s="121"/>
      <c r="F103" s="121"/>
      <c r="G103" s="121">
        <f t="shared" ref="G103" si="438">G59/G61</f>
        <v>6.1624649859943981</v>
      </c>
      <c r="H103" s="121">
        <f t="shared" ref="H103:I103" si="439">H59/H61</f>
        <v>6.1876247504990021</v>
      </c>
      <c r="I103" s="121">
        <f t="shared" si="439"/>
        <v>8.9820359281437128</v>
      </c>
      <c r="J103" s="121">
        <f t="shared" ref="J103:S103" si="440">J59/J61</f>
        <v>10.578842315369261</v>
      </c>
      <c r="K103" s="121">
        <f t="shared" si="440"/>
        <v>14.214876033057852</v>
      </c>
      <c r="L103" s="121">
        <f t="shared" si="440"/>
        <v>16.198347107438018</v>
      </c>
      <c r="M103" s="121">
        <f t="shared" si="440"/>
        <v>19.756097560975611</v>
      </c>
      <c r="N103" s="121">
        <f t="shared" si="440"/>
        <v>34.195402298850574</v>
      </c>
      <c r="O103" s="121">
        <f t="shared" si="440"/>
        <v>30.393835616438356</v>
      </c>
      <c r="P103" s="121">
        <f t="shared" si="440"/>
        <v>35.17940717628705</v>
      </c>
      <c r="Q103" s="121">
        <f t="shared" si="440"/>
        <v>41.199376947040498</v>
      </c>
      <c r="R103" s="121">
        <f t="shared" si="440"/>
        <v>44.02472527472527</v>
      </c>
      <c r="S103" s="121">
        <f t="shared" si="440"/>
        <v>25.505656496400409</v>
      </c>
      <c r="T103" s="121">
        <f t="shared" ref="T103:U103" si="441">T59/T61</f>
        <v>89.300542957521557</v>
      </c>
      <c r="U103" s="121">
        <f t="shared" si="441"/>
        <v>36.766581632653065</v>
      </c>
      <c r="V103" s="101">
        <f t="shared" si="323"/>
        <v>0.13607513939399141</v>
      </c>
      <c r="W103" s="109"/>
      <c r="X103" s="121">
        <f t="shared" ref="X103:AG103" si="442">X59/X61</f>
        <v>40.268160835762878</v>
      </c>
      <c r="Y103" s="121">
        <f t="shared" si="442"/>
        <v>44.103223772502197</v>
      </c>
      <c r="Z103" s="121">
        <f t="shared" si="442"/>
        <v>48.303530798454773</v>
      </c>
      <c r="AA103" s="121">
        <f t="shared" si="442"/>
        <v>52.903867064974264</v>
      </c>
      <c r="AB103" s="121">
        <f t="shared" si="442"/>
        <v>57.942330594971814</v>
      </c>
      <c r="AC103" s="121">
        <f t="shared" si="442"/>
        <v>63.460647794492928</v>
      </c>
      <c r="AD103" s="121">
        <f t="shared" si="442"/>
        <v>69.504519013016051</v>
      </c>
      <c r="AE103" s="121">
        <f t="shared" si="442"/>
        <v>76.12399701425565</v>
      </c>
      <c r="AF103" s="121">
        <f t="shared" si="442"/>
        <v>83.373901491803807</v>
      </c>
      <c r="AG103" s="121">
        <f t="shared" si="442"/>
        <v>91.314273062451775</v>
      </c>
      <c r="AH103" s="115">
        <f t="shared" si="437"/>
        <v>9.3966916681859747E-2</v>
      </c>
      <c r="AI103" s="21">
        <f t="shared" si="18"/>
        <v>0.01</v>
      </c>
      <c r="AJ103" s="123">
        <f t="shared" si="331"/>
        <v>439.17817044322044</v>
      </c>
    </row>
    <row r="104" spans="2:36" x14ac:dyDescent="0.2">
      <c r="B104" s="10" t="s">
        <v>259</v>
      </c>
      <c r="C104" s="121"/>
      <c r="D104" s="121"/>
      <c r="E104" s="121"/>
      <c r="F104" s="121"/>
      <c r="G104" s="121">
        <f t="shared" ref="G104" si="443">G6/G61</f>
        <v>25.210084033613448</v>
      </c>
      <c r="H104" s="121">
        <f t="shared" ref="H104:I104" si="444">H6/H61</f>
        <v>28.942115768463076</v>
      </c>
      <c r="I104" s="121">
        <f t="shared" si="444"/>
        <v>41.117764471057889</v>
      </c>
      <c r="J104" s="121">
        <f t="shared" ref="J104:S104" si="445">J6/J61</f>
        <v>59.081836327345314</v>
      </c>
      <c r="K104" s="121">
        <f t="shared" si="445"/>
        <v>63.801652892561982</v>
      </c>
      <c r="L104" s="121">
        <f t="shared" si="445"/>
        <v>66.942148760330582</v>
      </c>
      <c r="M104" s="121">
        <f t="shared" si="445"/>
        <v>97.682926829268297</v>
      </c>
      <c r="N104" s="121">
        <f t="shared" si="445"/>
        <v>138.98467432950193</v>
      </c>
      <c r="O104" s="121">
        <f t="shared" si="445"/>
        <v>163.01369863013699</v>
      </c>
      <c r="P104" s="121">
        <f t="shared" si="445"/>
        <v>242.04368174726989</v>
      </c>
      <c r="Q104" s="121">
        <f t="shared" si="445"/>
        <v>268.38006230529595</v>
      </c>
      <c r="R104" s="121">
        <f t="shared" si="445"/>
        <v>332.07417582417582</v>
      </c>
      <c r="S104" s="121">
        <f t="shared" si="445"/>
        <v>170.4490915323963</v>
      </c>
      <c r="T104" s="121">
        <f t="shared" ref="T104:U104" si="446">T6/T61</f>
        <v>236.88917278824658</v>
      </c>
      <c r="U104" s="121">
        <f t="shared" si="446"/>
        <v>262.94642857142856</v>
      </c>
      <c r="V104" s="101">
        <f t="shared" si="323"/>
        <v>0.18232048173700699</v>
      </c>
      <c r="W104" s="109"/>
      <c r="X104" s="121">
        <f t="shared" ref="X104:AG104" si="447">X6/X61</f>
        <v>287.98894557823132</v>
      </c>
      <c r="Y104" s="121">
        <f t="shared" si="447"/>
        <v>315.41646420472949</v>
      </c>
      <c r="Z104" s="121">
        <f t="shared" si="447"/>
        <v>345.45612746232274</v>
      </c>
      <c r="AA104" s="121">
        <f t="shared" si="447"/>
        <v>378.35671103016296</v>
      </c>
      <c r="AB104" s="121">
        <f t="shared" si="447"/>
        <v>414.39068350922611</v>
      </c>
      <c r="AC104" s="121">
        <f t="shared" si="447"/>
        <v>453.85646289105711</v>
      </c>
      <c r="AD104" s="121">
        <f t="shared" si="447"/>
        <v>497.08088792830051</v>
      </c>
      <c r="AE104" s="121">
        <f t="shared" si="447"/>
        <v>544.42192487385284</v>
      </c>
      <c r="AF104" s="121">
        <f t="shared" si="447"/>
        <v>596.27163200469602</v>
      </c>
      <c r="AG104" s="121">
        <f t="shared" si="447"/>
        <v>653.05940648133367</v>
      </c>
      <c r="AH104" s="115">
        <f t="shared" si="437"/>
        <v>0.10529730899292389</v>
      </c>
      <c r="AI104" s="21">
        <f t="shared" ref="AI104" si="448">$O$1</f>
        <v>0.01</v>
      </c>
      <c r="AJ104" s="123">
        <f t="shared" si="331"/>
        <v>3140.9047645054625</v>
      </c>
    </row>
    <row r="105" spans="2:36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 x14ac:dyDescent="0.2">
      <c r="B106" s="10" t="s">
        <v>407</v>
      </c>
      <c r="C106" s="108"/>
      <c r="D106" s="108"/>
      <c r="E106" s="108"/>
      <c r="F106" s="121"/>
      <c r="G106" s="121">
        <f t="shared" ref="G106:T106" si="449">G59/$U$61</f>
        <v>0.70153061224489799</v>
      </c>
      <c r="H106" s="121">
        <f t="shared" si="449"/>
        <v>0.98852040816326536</v>
      </c>
      <c r="I106" s="121">
        <f t="shared" si="449"/>
        <v>1.4349489795918369</v>
      </c>
      <c r="J106" s="121">
        <f t="shared" si="449"/>
        <v>1.6900510204081634</v>
      </c>
      <c r="K106" s="121">
        <f t="shared" si="449"/>
        <v>2.7423469387755102</v>
      </c>
      <c r="L106" s="121">
        <f t="shared" si="449"/>
        <v>3.125</v>
      </c>
      <c r="M106" s="121">
        <f t="shared" si="449"/>
        <v>5.1658163265306127</v>
      </c>
      <c r="N106" s="121">
        <f t="shared" si="449"/>
        <v>11.383928571428571</v>
      </c>
      <c r="O106" s="121">
        <f t="shared" si="449"/>
        <v>11.32015306122449</v>
      </c>
      <c r="P106" s="121">
        <f t="shared" si="449"/>
        <v>14.381377551020408</v>
      </c>
      <c r="Q106" s="121">
        <f t="shared" si="449"/>
        <v>16.868622448979593</v>
      </c>
      <c r="R106" s="121">
        <f t="shared" si="449"/>
        <v>20.440051020408163</v>
      </c>
      <c r="S106" s="121">
        <f t="shared" si="449"/>
        <v>23.724489795918366</v>
      </c>
      <c r="T106" s="121">
        <f t="shared" si="449"/>
        <v>89.158163265306129</v>
      </c>
      <c r="U106" s="121">
        <f>U59/$U$61</f>
        <v>36.766581632653065</v>
      </c>
      <c r="V106" s="101">
        <f t="shared" si="323"/>
        <v>0.32682840080293962</v>
      </c>
      <c r="W106" s="109"/>
      <c r="X106" s="121">
        <f t="shared" ref="X106:AG106" si="450">X59/X61</f>
        <v>40.268160835762878</v>
      </c>
      <c r="Y106" s="121">
        <f t="shared" si="450"/>
        <v>44.103223772502197</v>
      </c>
      <c r="Z106" s="121">
        <f t="shared" si="450"/>
        <v>48.303530798454773</v>
      </c>
      <c r="AA106" s="121">
        <f t="shared" si="450"/>
        <v>52.903867064974264</v>
      </c>
      <c r="AB106" s="121">
        <f t="shared" si="450"/>
        <v>57.942330594971814</v>
      </c>
      <c r="AC106" s="121">
        <f t="shared" si="450"/>
        <v>63.460647794492928</v>
      </c>
      <c r="AD106" s="121">
        <f t="shared" si="450"/>
        <v>69.504519013016051</v>
      </c>
      <c r="AE106" s="121">
        <f t="shared" si="450"/>
        <v>76.12399701425565</v>
      </c>
      <c r="AF106" s="121">
        <f t="shared" si="450"/>
        <v>83.373901491803807</v>
      </c>
      <c r="AG106" s="121">
        <f t="shared" si="450"/>
        <v>91.314273062451775</v>
      </c>
      <c r="AH106" s="116"/>
      <c r="AI106" s="10"/>
      <c r="AJ106" s="130"/>
    </row>
    <row r="107" spans="2:36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 x14ac:dyDescent="0.2">
      <c r="B109" s="10" t="s">
        <v>257</v>
      </c>
      <c r="C109" s="128"/>
      <c r="D109" s="128"/>
      <c r="E109" s="128"/>
      <c r="F109" s="128"/>
      <c r="G109" s="128">
        <f t="shared" ref="G109" si="451">G53/G25</f>
        <v>0.85616438356164382</v>
      </c>
      <c r="H109" s="128">
        <f t="shared" ref="H109:I109" si="452">H53/H25</f>
        <v>0.83425414364640882</v>
      </c>
      <c r="I109" s="128">
        <f t="shared" si="452"/>
        <v>0.85542168674698793</v>
      </c>
      <c r="J109" s="128">
        <f t="shared" ref="J109:S109" si="453">J53/J25</f>
        <v>0.88795518207282909</v>
      </c>
      <c r="K109" s="128">
        <f t="shared" si="453"/>
        <v>0.89388489208633093</v>
      </c>
      <c r="L109" s="128">
        <f t="shared" si="453"/>
        <v>0.88147138964577654</v>
      </c>
      <c r="M109" s="128">
        <f t="shared" si="453"/>
        <v>0.8800383877159309</v>
      </c>
      <c r="N109" s="128">
        <f t="shared" si="453"/>
        <v>0.85266604303087001</v>
      </c>
      <c r="O109" s="128">
        <f t="shared" si="453"/>
        <v>0.8824626865671642</v>
      </c>
      <c r="P109" s="128">
        <f t="shared" si="453"/>
        <v>0.89855072463768115</v>
      </c>
      <c r="Q109" s="128">
        <f t="shared" si="453"/>
        <v>0.91084725296840408</v>
      </c>
      <c r="R109" s="128">
        <f t="shared" si="453"/>
        <v>0.84864528184366239</v>
      </c>
      <c r="S109" s="128">
        <f t="shared" si="453"/>
        <v>0.84483197556008149</v>
      </c>
      <c r="T109" s="128">
        <f t="shared" ref="T109:U109" si="454">T53/T25</f>
        <v>0.70891814140005227</v>
      </c>
      <c r="U109" s="128">
        <f t="shared" si="454"/>
        <v>0.88697882040079778</v>
      </c>
      <c r="V109" s="101">
        <f t="shared" si="323"/>
        <v>2.5288141887978011E-3</v>
      </c>
      <c r="W109" s="128"/>
      <c r="X109" s="128">
        <f t="shared" ref="X109:AG109" si="455">X53/X25</f>
        <v>0.88697882040079778</v>
      </c>
      <c r="Y109" s="128">
        <f t="shared" si="455"/>
        <v>0.88697882040079778</v>
      </c>
      <c r="Z109" s="128">
        <f t="shared" si="455"/>
        <v>0.88697882040079778</v>
      </c>
      <c r="AA109" s="128">
        <f t="shared" si="455"/>
        <v>0.88697882040079778</v>
      </c>
      <c r="AB109" s="128">
        <f t="shared" si="455"/>
        <v>0.88697882040079778</v>
      </c>
      <c r="AC109" s="128">
        <f t="shared" si="455"/>
        <v>0.88697882040079767</v>
      </c>
      <c r="AD109" s="128">
        <f t="shared" si="455"/>
        <v>0.88697882040079767</v>
      </c>
      <c r="AE109" s="128">
        <f t="shared" si="455"/>
        <v>0.88697882040079767</v>
      </c>
      <c r="AF109" s="128">
        <f t="shared" si="455"/>
        <v>0.88697882040079756</v>
      </c>
      <c r="AG109" s="128">
        <f t="shared" si="455"/>
        <v>0.88697882040079756</v>
      </c>
      <c r="AH109" s="115">
        <f t="shared" ref="AH109:AH158" si="456">((AG109/J109)^(1/($AG$3-$K$1) ))-1</f>
        <v>-4.5839234545264063E-5</v>
      </c>
      <c r="AI109" s="123"/>
      <c r="AJ109" s="123"/>
    </row>
    <row r="110" spans="2:36" x14ac:dyDescent="0.2">
      <c r="B110" s="10" t="s">
        <v>219</v>
      </c>
      <c r="C110" s="128"/>
      <c r="D110" s="128"/>
      <c r="E110" s="128"/>
      <c r="F110" s="128"/>
      <c r="G110" s="128">
        <f t="shared" ref="G110" si="457">G59/G25</f>
        <v>0.15068493150684931</v>
      </c>
      <c r="H110" s="128">
        <f t="shared" ref="H110:I110" si="458">H59/H25</f>
        <v>0.17127071823204421</v>
      </c>
      <c r="I110" s="128">
        <f t="shared" si="458"/>
        <v>0.18072289156626506</v>
      </c>
      <c r="J110" s="128">
        <f t="shared" ref="J110:S110" si="459">J59/J25</f>
        <v>0.1484593837535014</v>
      </c>
      <c r="K110" s="128">
        <f t="shared" si="459"/>
        <v>0.15467625899280577</v>
      </c>
      <c r="L110" s="128">
        <f t="shared" si="459"/>
        <v>0.1335149863760218</v>
      </c>
      <c r="M110" s="128">
        <f t="shared" si="459"/>
        <v>0.15547024952015356</v>
      </c>
      <c r="N110" s="128">
        <f t="shared" si="459"/>
        <v>0.16697848456501402</v>
      </c>
      <c r="O110" s="128">
        <f t="shared" si="459"/>
        <v>0.11038557213930349</v>
      </c>
      <c r="P110" s="128">
        <f t="shared" si="459"/>
        <v>0.10893719806763286</v>
      </c>
      <c r="Q110" s="128">
        <f t="shared" si="459"/>
        <v>0.10646005232441134</v>
      </c>
      <c r="R110" s="128">
        <f t="shared" si="459"/>
        <v>9.9813142323263784E-2</v>
      </c>
      <c r="S110" s="128">
        <f t="shared" si="459"/>
        <v>9.4704684317718946E-2</v>
      </c>
      <c r="T110" s="128">
        <f t="shared" ref="T110:U110" si="460">T59/T25</f>
        <v>0.24374509632987534</v>
      </c>
      <c r="U110" s="128">
        <f t="shared" si="460"/>
        <v>0.10950707569569759</v>
      </c>
      <c r="V110" s="101">
        <f t="shared" si="323"/>
        <v>-2.2542179996837941E-2</v>
      </c>
      <c r="W110" s="128"/>
      <c r="X110" s="128">
        <f t="shared" ref="X110:AG110" si="461">X59/X25</f>
        <v>0.10950707569569759</v>
      </c>
      <c r="Y110" s="128">
        <f t="shared" si="461"/>
        <v>0.10950707569569761</v>
      </c>
      <c r="Z110" s="128">
        <f t="shared" si="461"/>
        <v>0.10950707569569759</v>
      </c>
      <c r="AA110" s="128">
        <f t="shared" si="461"/>
        <v>0.10950707569569758</v>
      </c>
      <c r="AB110" s="128">
        <f t="shared" si="461"/>
        <v>0.10950707569569758</v>
      </c>
      <c r="AC110" s="128">
        <f t="shared" si="461"/>
        <v>0.10950707569569758</v>
      </c>
      <c r="AD110" s="128">
        <f t="shared" si="461"/>
        <v>0.10950707569569758</v>
      </c>
      <c r="AE110" s="128">
        <f t="shared" si="461"/>
        <v>0.10950707569569758</v>
      </c>
      <c r="AF110" s="128">
        <f t="shared" si="461"/>
        <v>0.10950707569569758</v>
      </c>
      <c r="AG110" s="128">
        <f t="shared" si="461"/>
        <v>0.10950707569569759</v>
      </c>
      <c r="AH110" s="115">
        <f t="shared" si="456"/>
        <v>-1.2600039890267811E-2</v>
      </c>
      <c r="AI110" s="123"/>
      <c r="AJ110" s="123"/>
    </row>
    <row r="111" spans="2:36" x14ac:dyDescent="0.2">
      <c r="B111" s="10" t="s">
        <v>301</v>
      </c>
      <c r="C111" s="128"/>
      <c r="D111" s="128"/>
      <c r="E111" s="128"/>
      <c r="F111" s="128"/>
      <c r="G111" s="128">
        <f t="shared" ref="G111" si="462">G59/G7</f>
        <v>0.16793893129770993</v>
      </c>
      <c r="H111" s="128">
        <f t="shared" ref="H111:I111" si="463">H59/H7</f>
        <v>0.15897435897435896</v>
      </c>
      <c r="I111" s="128">
        <f t="shared" si="463"/>
        <v>0.16304347826086957</v>
      </c>
      <c r="J111" s="128">
        <f>J59/J7</f>
        <v>0.14209115281501342</v>
      </c>
      <c r="K111" s="128">
        <f t="shared" ref="K111:R111" si="464">K59/K7</f>
        <v>0.1894273127753304</v>
      </c>
      <c r="L111" s="128">
        <f t="shared" si="464"/>
        <v>0.18666666666666668</v>
      </c>
      <c r="M111" s="128">
        <f t="shared" si="464"/>
        <v>0.18284424379232506</v>
      </c>
      <c r="N111" s="128">
        <f t="shared" si="464"/>
        <v>0.22958199356913184</v>
      </c>
      <c r="O111" s="128">
        <f t="shared" si="464"/>
        <v>0.17565561603166749</v>
      </c>
      <c r="P111" s="128">
        <f t="shared" si="464"/>
        <v>0.13932653691689836</v>
      </c>
      <c r="Q111" s="128">
        <f t="shared" si="464"/>
        <v>0.14801343033016229</v>
      </c>
      <c r="R111" s="128">
        <f t="shared" si="464"/>
        <v>0.1286890182694238</v>
      </c>
      <c r="S111" s="128">
        <f t="shared" ref="S111:T111" si="465">S59/S7</f>
        <v>0.13805900909259602</v>
      </c>
      <c r="T111" s="128">
        <f t="shared" si="465"/>
        <v>0.36170763260025873</v>
      </c>
      <c r="U111" s="128">
        <f t="shared" ref="U111" si="466">U59/U7</f>
        <v>0.13471199906531137</v>
      </c>
      <c r="V111" s="101">
        <f t="shared" si="323"/>
        <v>-1.5623892733298339E-2</v>
      </c>
      <c r="W111" s="10"/>
      <c r="X111" s="128">
        <f t="shared" ref="X111" si="467">X59/X7</f>
        <v>0.13471199906531137</v>
      </c>
      <c r="Y111" s="128">
        <f t="shared" ref="Y111:AG111" si="468">Y59/Y7</f>
        <v>0.13471199906531137</v>
      </c>
      <c r="Z111" s="128">
        <f t="shared" si="468"/>
        <v>0.13471199906531137</v>
      </c>
      <c r="AA111" s="128">
        <f t="shared" si="468"/>
        <v>0.13471199906531137</v>
      </c>
      <c r="AB111" s="128">
        <f t="shared" si="468"/>
        <v>0.13471199906531137</v>
      </c>
      <c r="AC111" s="128">
        <f t="shared" si="468"/>
        <v>0.13471199906531137</v>
      </c>
      <c r="AD111" s="128">
        <f t="shared" si="468"/>
        <v>0.13471199906531137</v>
      </c>
      <c r="AE111" s="128">
        <f t="shared" si="468"/>
        <v>0.13471199906531134</v>
      </c>
      <c r="AF111" s="128">
        <f t="shared" si="468"/>
        <v>0.13471199906531137</v>
      </c>
      <c r="AG111" s="128">
        <f t="shared" si="468"/>
        <v>0.13471199906531137</v>
      </c>
      <c r="AH111" s="115">
        <f t="shared" si="456"/>
        <v>-2.2196002662397962E-3</v>
      </c>
      <c r="AI111" s="123"/>
      <c r="AJ111" s="123"/>
    </row>
    <row r="112" spans="2:36" x14ac:dyDescent="0.2">
      <c r="B112" s="10" t="s">
        <v>302</v>
      </c>
      <c r="C112" s="128"/>
      <c r="D112" s="128"/>
      <c r="E112" s="128"/>
      <c r="F112" s="128"/>
      <c r="G112" s="128">
        <f t="shared" ref="G112" si="469">(G59)/(G7+G10)</f>
        <v>1.7628205128205128E-2</v>
      </c>
      <c r="H112" s="128">
        <f t="shared" ref="H112:I112" si="470">(H59)/(H7+H10)</f>
        <v>1.6639828234031134E-2</v>
      </c>
      <c r="I112" s="128">
        <f t="shared" si="470"/>
        <v>1.6586804275709546E-2</v>
      </c>
      <c r="J112" s="128">
        <f>(J59)/(J7+J10)</f>
        <v>1.3899816417519015E-2</v>
      </c>
      <c r="K112" s="128">
        <f t="shared" ref="K112:R112" si="471">(K59)/(K7+K10)</f>
        <v>1.8251273344651951E-2</v>
      </c>
      <c r="L112" s="128">
        <f t="shared" si="471"/>
        <v>1.4624682883151769E-2</v>
      </c>
      <c r="M112" s="128">
        <f t="shared" si="471"/>
        <v>1.5896379158080658E-2</v>
      </c>
      <c r="N112" s="128">
        <f t="shared" si="471"/>
        <v>0.12526315789473685</v>
      </c>
      <c r="O112" s="128">
        <f t="shared" si="471"/>
        <v>9.8638510697415943E-2</v>
      </c>
      <c r="P112" s="128">
        <f t="shared" si="471"/>
        <v>1.4701567949929915E-2</v>
      </c>
      <c r="Q112" s="128">
        <f t="shared" si="471"/>
        <v>1.4120222079863335E-2</v>
      </c>
      <c r="R112" s="128">
        <f t="shared" si="471"/>
        <v>1.4091318780364483E-2</v>
      </c>
      <c r="S112" s="128">
        <f t="shared" ref="S112:T112" si="472">(S59)/(S7+S10)</f>
        <v>1.3065238387918166E-2</v>
      </c>
      <c r="T112" s="128">
        <f t="shared" si="472"/>
        <v>3.5392853074089549E-2</v>
      </c>
      <c r="U112" s="128">
        <f t="shared" ref="U112" si="473">(U59)/(U7+U10)</f>
        <v>1.3124046713866187E-2</v>
      </c>
      <c r="V112" s="101">
        <f t="shared" si="323"/>
        <v>-2.0854754476876014E-2</v>
      </c>
      <c r="W112" s="10"/>
      <c r="X112" s="128">
        <f t="shared" ref="X112:AG112" si="474">(X59)/(X7+X10)</f>
        <v>1.3124046713866185E-2</v>
      </c>
      <c r="Y112" s="128">
        <f t="shared" si="474"/>
        <v>1.3124046713866185E-2</v>
      </c>
      <c r="Z112" s="128">
        <f t="shared" si="474"/>
        <v>1.3124046713866185E-2</v>
      </c>
      <c r="AA112" s="128">
        <f t="shared" si="474"/>
        <v>1.3124046713866187E-2</v>
      </c>
      <c r="AB112" s="128">
        <f t="shared" si="474"/>
        <v>1.3124046713866185E-2</v>
      </c>
      <c r="AC112" s="128">
        <f t="shared" si="474"/>
        <v>1.3124046713866184E-2</v>
      </c>
      <c r="AD112" s="128">
        <f t="shared" si="474"/>
        <v>1.3124046713866185E-2</v>
      </c>
      <c r="AE112" s="128">
        <f t="shared" si="474"/>
        <v>1.3124046713866184E-2</v>
      </c>
      <c r="AF112" s="128">
        <f t="shared" si="474"/>
        <v>1.3124046713866185E-2</v>
      </c>
      <c r="AG112" s="128">
        <f t="shared" si="474"/>
        <v>1.3124046713866185E-2</v>
      </c>
      <c r="AH112" s="115">
        <f t="shared" si="456"/>
        <v>-2.3900334012199043E-3</v>
      </c>
      <c r="AI112" s="123"/>
      <c r="AJ112" s="123"/>
    </row>
    <row r="113" spans="1:36" x14ac:dyDescent="0.2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>
        <f t="shared" ref="H113:I113" si="476">H20/H25</f>
        <v>0</v>
      </c>
      <c r="I113" s="128">
        <f t="shared" si="476"/>
        <v>0</v>
      </c>
      <c r="J113" s="128">
        <f>J20/J25</f>
        <v>0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 x14ac:dyDescent="0.2">
      <c r="B114" s="10" t="s">
        <v>370</v>
      </c>
      <c r="C114" s="128"/>
      <c r="D114" s="128"/>
      <c r="E114" s="128"/>
      <c r="F114" s="128"/>
      <c r="G114" s="128">
        <f t="shared" ref="G114" si="480">G72/G25</f>
        <v>3.4246575342465752E-2</v>
      </c>
      <c r="H114" s="128">
        <f t="shared" ref="H114:I114" si="481">H72/H25</f>
        <v>2.7624309392265192E-2</v>
      </c>
      <c r="I114" s="128">
        <f t="shared" si="481"/>
        <v>4.0160642570281124E-2</v>
      </c>
      <c r="J114" s="128">
        <f>J72/J25</f>
        <v>3.6414565826330535E-2</v>
      </c>
      <c r="K114" s="128">
        <f t="shared" ref="K114:S114" si="482">K72/K25</f>
        <v>3.5971223021582732E-2</v>
      </c>
      <c r="L114" s="128">
        <f t="shared" si="482"/>
        <v>3.5422343324250684E-2</v>
      </c>
      <c r="M114" s="128">
        <f t="shared" si="482"/>
        <v>4.894433781190019E-2</v>
      </c>
      <c r="N114" s="128">
        <f t="shared" si="482"/>
        <v>5.2853133769878394E-2</v>
      </c>
      <c r="O114" s="128">
        <f t="shared" si="482"/>
        <v>4.0422885572139307E-2</v>
      </c>
      <c r="P114" s="128">
        <f t="shared" si="482"/>
        <v>3.8405797101449278E-2</v>
      </c>
      <c r="Q114" s="128">
        <f t="shared" si="482"/>
        <v>4.1457033608371906E-2</v>
      </c>
      <c r="R114" s="128">
        <f t="shared" si="482"/>
        <v>5.0451572718779196E-2</v>
      </c>
      <c r="S114" s="128">
        <f t="shared" si="482"/>
        <v>4.7861507128309569E-2</v>
      </c>
      <c r="T114" s="128">
        <f t="shared" ref="T114:U114" si="483">T72/T25</f>
        <v>4.1844651730450703E-2</v>
      </c>
      <c r="U114" s="128">
        <f t="shared" si="483"/>
        <v>5.5560831987843097E-2</v>
      </c>
      <c r="V114" s="101">
        <f t="shared" si="323"/>
        <v>3.51679755441896E-2</v>
      </c>
      <c r="W114" s="10"/>
      <c r="X114" s="128">
        <f t="shared" ref="X114:AG114" si="484">X72/X25</f>
        <v>5.5560831987843104E-2</v>
      </c>
      <c r="Y114" s="128">
        <f t="shared" si="484"/>
        <v>5.5560831987843104E-2</v>
      </c>
      <c r="Z114" s="128">
        <f t="shared" si="484"/>
        <v>5.5560831987843111E-2</v>
      </c>
      <c r="AA114" s="128">
        <f t="shared" si="484"/>
        <v>5.5560831987843111E-2</v>
      </c>
      <c r="AB114" s="128">
        <f t="shared" si="484"/>
        <v>5.5560831987843118E-2</v>
      </c>
      <c r="AC114" s="128">
        <f t="shared" si="484"/>
        <v>5.5560831987843118E-2</v>
      </c>
      <c r="AD114" s="128">
        <f t="shared" si="484"/>
        <v>5.5560831987843111E-2</v>
      </c>
      <c r="AE114" s="128">
        <f t="shared" si="484"/>
        <v>5.5560831987843125E-2</v>
      </c>
      <c r="AF114" s="128">
        <f t="shared" si="484"/>
        <v>5.5560831987843125E-2</v>
      </c>
      <c r="AG114" s="128">
        <f t="shared" si="484"/>
        <v>5.5560831987843132E-2</v>
      </c>
      <c r="AH114" s="115">
        <f t="shared" si="456"/>
        <v>1.7760442001925725E-2</v>
      </c>
      <c r="AI114" s="123"/>
      <c r="AJ114" s="123"/>
    </row>
    <row r="115" spans="1:36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 x14ac:dyDescent="0.2">
      <c r="B116" s="10" t="s">
        <v>267</v>
      </c>
      <c r="C116" s="128"/>
      <c r="D116" s="128"/>
      <c r="E116" s="128"/>
      <c r="F116" s="128"/>
      <c r="G116" s="128">
        <f t="shared" ref="G116" si="485">G29/G25</f>
        <v>0.66438356164383561</v>
      </c>
      <c r="H116" s="128">
        <f t="shared" ref="H116:I116" si="486">H29/H25</f>
        <v>0.63535911602209949</v>
      </c>
      <c r="I116" s="128">
        <f t="shared" si="486"/>
        <v>0.64658634538152615</v>
      </c>
      <c r="J116" s="128">
        <f>J29/J25</f>
        <v>0.69747899159663862</v>
      </c>
      <c r="K116" s="128">
        <f t="shared" ref="K116:S116" si="487">K29/K25</f>
        <v>0.7032374100719424</v>
      </c>
      <c r="L116" s="128">
        <f t="shared" si="487"/>
        <v>0.71525885558583102</v>
      </c>
      <c r="M116" s="128">
        <f t="shared" si="487"/>
        <v>0.6737044145873321</v>
      </c>
      <c r="N116" s="128">
        <f t="shared" si="487"/>
        <v>0.65014031805425632</v>
      </c>
      <c r="O116" s="128">
        <f t="shared" si="487"/>
        <v>0.73041044776119401</v>
      </c>
      <c r="P116" s="128">
        <f t="shared" si="487"/>
        <v>0.75338164251207729</v>
      </c>
      <c r="Q116" s="128">
        <f t="shared" si="487"/>
        <v>0.76111893741195413</v>
      </c>
      <c r="R116" s="128">
        <f t="shared" si="487"/>
        <v>0.69448769853628156</v>
      </c>
      <c r="S116" s="128">
        <f t="shared" si="487"/>
        <v>0.69895621181262724</v>
      </c>
      <c r="T116" s="128">
        <f t="shared" ref="T116:U116" si="488">T29/T25</f>
        <v>0.58181501176880834</v>
      </c>
      <c r="U116" s="128">
        <f t="shared" si="488"/>
        <v>0.72058125178079591</v>
      </c>
      <c r="V116" s="101">
        <f t="shared" si="323"/>
        <v>5.8167480102306879E-3</v>
      </c>
      <c r="W116" s="10"/>
      <c r="X116" s="128">
        <f t="shared" ref="X116:AG116" si="489">X29/X25</f>
        <v>0.72058125178079591</v>
      </c>
      <c r="Y116" s="128">
        <f t="shared" si="489"/>
        <v>0.72058125178079602</v>
      </c>
      <c r="Z116" s="128">
        <f t="shared" si="489"/>
        <v>0.72058125178079591</v>
      </c>
      <c r="AA116" s="128">
        <f t="shared" si="489"/>
        <v>0.72058125178079591</v>
      </c>
      <c r="AB116" s="128">
        <f t="shared" si="489"/>
        <v>0.72058125178079591</v>
      </c>
      <c r="AC116" s="128">
        <f t="shared" si="489"/>
        <v>0.72058125178079591</v>
      </c>
      <c r="AD116" s="128">
        <f t="shared" si="489"/>
        <v>0.72058125178079591</v>
      </c>
      <c r="AE116" s="128">
        <f t="shared" si="489"/>
        <v>0.7205812517807958</v>
      </c>
      <c r="AF116" s="128">
        <f t="shared" si="489"/>
        <v>0.72058125178079591</v>
      </c>
      <c r="AG116" s="128">
        <f t="shared" si="489"/>
        <v>0.72058125178079591</v>
      </c>
      <c r="AH116" s="115">
        <f t="shared" si="456"/>
        <v>1.3586632642788032E-3</v>
      </c>
      <c r="AI116" s="123"/>
      <c r="AJ116" s="123"/>
    </row>
    <row r="117" spans="1:36" x14ac:dyDescent="0.2">
      <c r="B117" s="10" t="s">
        <v>311</v>
      </c>
      <c r="C117" s="128"/>
      <c r="D117" s="128"/>
      <c r="E117" s="128"/>
      <c r="F117" s="128"/>
      <c r="G117" s="128">
        <f t="shared" ref="G117" si="490">G29/G53</f>
        <v>0.77600000000000002</v>
      </c>
      <c r="H117" s="128">
        <f t="shared" ref="H117:I117" si="491">H29/H53</f>
        <v>0.76158940397350994</v>
      </c>
      <c r="I117" s="128">
        <f t="shared" si="491"/>
        <v>0.755868544600939</v>
      </c>
      <c r="J117" s="128">
        <f>J29/J53</f>
        <v>0.78548895899053628</v>
      </c>
      <c r="K117" s="128">
        <f t="shared" ref="K117:S117" si="492">K29/K53</f>
        <v>0.78672032193158958</v>
      </c>
      <c r="L117" s="128">
        <f t="shared" si="492"/>
        <v>0.81143740340030912</v>
      </c>
      <c r="M117" s="128">
        <f t="shared" si="492"/>
        <v>0.76553980370774266</v>
      </c>
      <c r="N117" s="128">
        <f t="shared" si="492"/>
        <v>0.7624794295117937</v>
      </c>
      <c r="O117" s="128">
        <f t="shared" si="492"/>
        <v>0.82769556025369984</v>
      </c>
      <c r="P117" s="128">
        <f t="shared" si="492"/>
        <v>0.83844086021505382</v>
      </c>
      <c r="Q117" s="128">
        <f t="shared" si="492"/>
        <v>0.83561643835616439</v>
      </c>
      <c r="R117" s="128">
        <f t="shared" si="492"/>
        <v>0.81834862385321105</v>
      </c>
      <c r="S117" s="128">
        <f t="shared" si="492"/>
        <v>0.82733162573451857</v>
      </c>
      <c r="T117" s="128">
        <f t="shared" ref="T117:U117" si="493">T29/T53</f>
        <v>0.82070831283817014</v>
      </c>
      <c r="U117" s="128">
        <f t="shared" si="493"/>
        <v>0.81239961451975584</v>
      </c>
      <c r="V117" s="101">
        <f t="shared" si="323"/>
        <v>3.2796402207087016E-3</v>
      </c>
      <c r="W117" s="10"/>
      <c r="X117" s="128">
        <f t="shared" ref="X117:AG117" si="494">X29/X53</f>
        <v>0.81239961451975595</v>
      </c>
      <c r="Y117" s="128">
        <f t="shared" si="494"/>
        <v>0.81239961451975595</v>
      </c>
      <c r="Z117" s="128">
        <f t="shared" si="494"/>
        <v>0.81239961451975595</v>
      </c>
      <c r="AA117" s="128">
        <f t="shared" si="494"/>
        <v>0.81239961451975584</v>
      </c>
      <c r="AB117" s="128">
        <f t="shared" si="494"/>
        <v>0.81239961451975584</v>
      </c>
      <c r="AC117" s="128">
        <f t="shared" si="494"/>
        <v>0.81239961451975595</v>
      </c>
      <c r="AD117" s="128">
        <f t="shared" si="494"/>
        <v>0.81239961451975595</v>
      </c>
      <c r="AE117" s="128">
        <f t="shared" si="494"/>
        <v>0.81239961451975595</v>
      </c>
      <c r="AF117" s="128">
        <f t="shared" si="494"/>
        <v>0.81239961451975595</v>
      </c>
      <c r="AG117" s="128">
        <f t="shared" si="494"/>
        <v>0.81239961451975606</v>
      </c>
      <c r="AH117" s="115">
        <f t="shared" ref="AH117" si="495">((AG117/J117)^(1/($AG$3-$K$1) ))-1</f>
        <v>1.404566883094871E-3</v>
      </c>
      <c r="AI117" s="123"/>
      <c r="AJ117" s="123"/>
    </row>
    <row r="118" spans="1:36" ht="12" customHeight="1" x14ac:dyDescent="0.2">
      <c r="B118" s="10" t="s">
        <v>310</v>
      </c>
      <c r="C118" s="128"/>
      <c r="D118" s="128"/>
      <c r="E118" s="128"/>
      <c r="F118" s="146"/>
      <c r="G118" s="146">
        <f t="shared" ref="G118" si="496">G29/G59</f>
        <v>4.4090909090909092</v>
      </c>
      <c r="H118" s="146">
        <f t="shared" ref="H118:I118" si="497">H29/H59</f>
        <v>3.7096774193548385</v>
      </c>
      <c r="I118" s="146">
        <f t="shared" si="497"/>
        <v>3.5777777777777779</v>
      </c>
      <c r="J118" s="146">
        <f t="shared" ref="J118:S118" si="498">J29/J59</f>
        <v>4.6981132075471699</v>
      </c>
      <c r="K118" s="146">
        <f t="shared" si="498"/>
        <v>4.5465116279069768</v>
      </c>
      <c r="L118" s="146">
        <f t="shared" si="498"/>
        <v>5.3571428571428568</v>
      </c>
      <c r="M118" s="146">
        <f t="shared" si="498"/>
        <v>4.333333333333333</v>
      </c>
      <c r="N118" s="146">
        <f t="shared" si="498"/>
        <v>3.8935574229691876</v>
      </c>
      <c r="O118" s="146">
        <f t="shared" si="498"/>
        <v>6.6169014084507038</v>
      </c>
      <c r="P118" s="146">
        <f t="shared" si="498"/>
        <v>6.9157427937915745</v>
      </c>
      <c r="Q118" s="146">
        <f t="shared" si="498"/>
        <v>7.1493383742911156</v>
      </c>
      <c r="R118" s="146">
        <f t="shared" si="498"/>
        <v>6.9578783151326054</v>
      </c>
      <c r="S118" s="146">
        <f t="shared" si="498"/>
        <v>7.3803763440860219</v>
      </c>
      <c r="T118" s="146">
        <f t="shared" ref="T118:U118" si="499">T29/T59</f>
        <v>2.3869814020028612</v>
      </c>
      <c r="U118" s="146">
        <f t="shared" si="499"/>
        <v>6.580225498699046</v>
      </c>
      <c r="V118" s="101">
        <f t="shared" si="323"/>
        <v>2.9012942990191526E-2</v>
      </c>
      <c r="W118" s="10"/>
      <c r="X118" s="146">
        <f t="shared" ref="X118:AG118" si="500">X29/X59</f>
        <v>6.580225498699046</v>
      </c>
      <c r="Y118" s="146">
        <f t="shared" si="500"/>
        <v>6.580225498699046</v>
      </c>
      <c r="Z118" s="146">
        <f t="shared" si="500"/>
        <v>6.5802254986990469</v>
      </c>
      <c r="AA118" s="146">
        <f t="shared" si="500"/>
        <v>6.580225498699046</v>
      </c>
      <c r="AB118" s="146">
        <f t="shared" si="500"/>
        <v>6.5802254986990469</v>
      </c>
      <c r="AC118" s="146">
        <f t="shared" si="500"/>
        <v>6.5802254986990469</v>
      </c>
      <c r="AD118" s="146">
        <f t="shared" si="500"/>
        <v>6.5802254986990469</v>
      </c>
      <c r="AE118" s="146">
        <f t="shared" si="500"/>
        <v>6.5802254986990469</v>
      </c>
      <c r="AF118" s="146">
        <f t="shared" si="500"/>
        <v>6.5802254986990469</v>
      </c>
      <c r="AG118" s="146">
        <f t="shared" si="500"/>
        <v>6.5802254986990469</v>
      </c>
      <c r="AH118" s="115">
        <f t="shared" ref="AH118" si="501">((AG118/J118)^(1/($AG$3-$K$1) ))-1</f>
        <v>1.4136827748094438E-2</v>
      </c>
      <c r="AI118" s="123"/>
      <c r="AJ118" s="123"/>
    </row>
    <row r="119" spans="1:36" ht="12" customHeight="1" x14ac:dyDescent="0.2">
      <c r="B119" s="10" t="s">
        <v>269</v>
      </c>
      <c r="C119" s="128"/>
      <c r="D119" s="128"/>
      <c r="E119" s="128"/>
      <c r="F119" s="146"/>
      <c r="G119" s="146">
        <f t="shared" ref="G119" si="502">G29/G12</f>
        <v>32.333333333333336</v>
      </c>
      <c r="H119" s="146">
        <f t="shared" ref="H119:I119" si="503">H29/H12</f>
        <v>2.8048780487804876</v>
      </c>
      <c r="I119" s="146">
        <f t="shared" si="503"/>
        <v>1.5784313725490196</v>
      </c>
      <c r="J119" s="146">
        <f t="shared" ref="J119:S119" si="504">J29/J12</f>
        <v>1.930232558139535</v>
      </c>
      <c r="K119" s="146">
        <f t="shared" si="504"/>
        <v>3.7238095238095239</v>
      </c>
      <c r="L119" s="146">
        <f t="shared" si="504"/>
        <v>1.1824324324324325</v>
      </c>
      <c r="M119" s="146">
        <f t="shared" si="504"/>
        <v>0.95380434782608692</v>
      </c>
      <c r="N119" s="146">
        <f t="shared" si="504"/>
        <v>1.0087082728592163</v>
      </c>
      <c r="O119" s="146">
        <f t="shared" si="504"/>
        <v>3.24</v>
      </c>
      <c r="P119" s="146">
        <f t="shared" si="504"/>
        <v>6.091796875</v>
      </c>
      <c r="Q119" s="146">
        <f t="shared" si="504"/>
        <v>3.8474059003051884</v>
      </c>
      <c r="R119" s="146">
        <f t="shared" si="504"/>
        <v>6.4919941775836971</v>
      </c>
      <c r="S119" s="146">
        <f t="shared" si="504"/>
        <v>1.5706521739130435</v>
      </c>
      <c r="T119" s="146">
        <f t="shared" ref="T119:U119" si="505">T29/T12</f>
        <v>1.9457725947521867</v>
      </c>
      <c r="U119" s="146">
        <f t="shared" si="505"/>
        <v>3.0741491085899515</v>
      </c>
      <c r="V119" s="101">
        <f t="shared" si="323"/>
        <v>-0.15471080460752751</v>
      </c>
      <c r="W119" s="10"/>
      <c r="X119" s="128">
        <f t="shared" ref="X119:AG119" si="506">X29/X12</f>
        <v>3.0741491085899515</v>
      </c>
      <c r="Y119" s="128">
        <f t="shared" si="506"/>
        <v>3.0741491085899515</v>
      </c>
      <c r="Z119" s="128">
        <f t="shared" si="506"/>
        <v>3.0741491085899515</v>
      </c>
      <c r="AA119" s="128">
        <f t="shared" si="506"/>
        <v>3.0741491085899511</v>
      </c>
      <c r="AB119" s="128">
        <f t="shared" si="506"/>
        <v>3.0741491085899511</v>
      </c>
      <c r="AC119" s="128">
        <f t="shared" si="506"/>
        <v>3.0741491085899515</v>
      </c>
      <c r="AD119" s="128">
        <f t="shared" si="506"/>
        <v>3.0741491085899511</v>
      </c>
      <c r="AE119" s="128">
        <f t="shared" si="506"/>
        <v>3.0741491085899511</v>
      </c>
      <c r="AF119" s="128">
        <f t="shared" si="506"/>
        <v>3.0741491085899506</v>
      </c>
      <c r="AG119" s="128">
        <f t="shared" si="506"/>
        <v>3.0741491085899506</v>
      </c>
      <c r="AH119" s="115">
        <f t="shared" si="456"/>
        <v>1.9580381968869576E-2</v>
      </c>
      <c r="AI119" s="123"/>
      <c r="AJ119" s="123"/>
    </row>
    <row r="120" spans="1:36" ht="12" customHeight="1" x14ac:dyDescent="0.2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 x14ac:dyDescent="0.2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513">1/G116</f>
        <v>1.5051546391752577</v>
      </c>
      <c r="H122" s="108">
        <f t="shared" ref="H122:I122" si="514">1/H116</f>
        <v>1.5739130434782607</v>
      </c>
      <c r="I122" s="108">
        <f t="shared" si="514"/>
        <v>1.5465838509316769</v>
      </c>
      <c r="J122" s="108">
        <f>1/J116</f>
        <v>1.4337349397590362</v>
      </c>
      <c r="K122" s="108">
        <f t="shared" ref="K122:S122" si="515">1/K116</f>
        <v>1.421994884910486</v>
      </c>
      <c r="L122" s="108">
        <f t="shared" si="515"/>
        <v>1.3980952380952383</v>
      </c>
      <c r="M122" s="108">
        <f t="shared" si="515"/>
        <v>1.4843304843304843</v>
      </c>
      <c r="N122" s="108">
        <f t="shared" si="515"/>
        <v>1.5381294964028778</v>
      </c>
      <c r="O122" s="108">
        <f t="shared" si="515"/>
        <v>1.3690932311621966</v>
      </c>
      <c r="P122" s="108">
        <f t="shared" si="515"/>
        <v>1.3273485091375441</v>
      </c>
      <c r="Q122" s="108">
        <f t="shared" si="515"/>
        <v>1.3138551031200423</v>
      </c>
      <c r="R122" s="108">
        <f t="shared" si="515"/>
        <v>1.4399103139013452</v>
      </c>
      <c r="S122" s="108">
        <f t="shared" si="515"/>
        <v>1.4307047896558005</v>
      </c>
      <c r="T122" s="108">
        <f t="shared" ref="T122:U122" si="516">1/T116</f>
        <v>1.7187593646988311</v>
      </c>
      <c r="U122" s="108">
        <f t="shared" si="516"/>
        <v>1.387768551469619</v>
      </c>
      <c r="V122" s="101">
        <f t="shared" si="323"/>
        <v>-5.7831091217537267E-3</v>
      </c>
      <c r="W122" s="10"/>
      <c r="X122" s="108">
        <f t="shared" ref="X122:AG122" si="517">1/X116</f>
        <v>1.387768551469619</v>
      </c>
      <c r="Y122" s="108">
        <f t="shared" si="517"/>
        <v>1.3877685514696187</v>
      </c>
      <c r="Z122" s="108">
        <f t="shared" si="517"/>
        <v>1.387768551469619</v>
      </c>
      <c r="AA122" s="108">
        <f t="shared" si="517"/>
        <v>1.387768551469619</v>
      </c>
      <c r="AB122" s="108">
        <f t="shared" si="517"/>
        <v>1.387768551469619</v>
      </c>
      <c r="AC122" s="108">
        <f t="shared" si="517"/>
        <v>1.387768551469619</v>
      </c>
      <c r="AD122" s="108">
        <f t="shared" si="517"/>
        <v>1.387768551469619</v>
      </c>
      <c r="AE122" s="108">
        <f t="shared" si="517"/>
        <v>1.3877685514696192</v>
      </c>
      <c r="AF122" s="108">
        <f t="shared" si="517"/>
        <v>1.387768551469619</v>
      </c>
      <c r="AG122" s="108">
        <f t="shared" si="517"/>
        <v>1.387768551469619</v>
      </c>
      <c r="AH122" s="115">
        <f t="shared" si="456"/>
        <v>-1.3568198030561307E-3</v>
      </c>
      <c r="AI122" s="123"/>
      <c r="AJ122" s="123"/>
    </row>
    <row r="123" spans="1:36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518">1/G117</f>
        <v>1.2886597938144329</v>
      </c>
      <c r="H123" s="108">
        <f t="shared" ref="H123:I123" si="519">1/H117</f>
        <v>1.3130434782608695</v>
      </c>
      <c r="I123" s="108">
        <f t="shared" si="519"/>
        <v>1.3229813664596273</v>
      </c>
      <c r="J123" s="108">
        <f t="shared" ref="J123:S126" si="520">1/J117</f>
        <v>1.2730923694779117</v>
      </c>
      <c r="K123" s="108">
        <f t="shared" si="520"/>
        <v>1.2710997442455243</v>
      </c>
      <c r="L123" s="108">
        <f t="shared" si="520"/>
        <v>1.2323809523809524</v>
      </c>
      <c r="M123" s="108">
        <f t="shared" si="520"/>
        <v>1.3062678062678061</v>
      </c>
      <c r="N123" s="108">
        <f t="shared" si="520"/>
        <v>1.3115107913669066</v>
      </c>
      <c r="O123" s="108">
        <f t="shared" si="520"/>
        <v>1.2081736909323115</v>
      </c>
      <c r="P123" s="108">
        <f t="shared" si="520"/>
        <v>1.1926899647322859</v>
      </c>
      <c r="Q123" s="108">
        <f t="shared" si="520"/>
        <v>1.1967213114754098</v>
      </c>
      <c r="R123" s="108">
        <f t="shared" si="520"/>
        <v>1.2219730941704035</v>
      </c>
      <c r="S123" s="108">
        <f t="shared" si="520"/>
        <v>1.2087051538881808</v>
      </c>
      <c r="T123" s="108">
        <f t="shared" ref="T123:U123" si="521">1/T117</f>
        <v>1.2184596943362302</v>
      </c>
      <c r="U123" s="108">
        <f t="shared" si="521"/>
        <v>1.2309213127718466</v>
      </c>
      <c r="V123" s="101">
        <f t="shared" si="323"/>
        <v>-3.2689193413584228E-3</v>
      </c>
      <c r="W123" s="10"/>
      <c r="X123" s="108">
        <f t="shared" ref="X123:AG123" si="522">1/X117</f>
        <v>1.2309213127718464</v>
      </c>
      <c r="Y123" s="108">
        <f t="shared" si="522"/>
        <v>1.2309213127718464</v>
      </c>
      <c r="Z123" s="108">
        <f t="shared" si="522"/>
        <v>1.2309213127718464</v>
      </c>
      <c r="AA123" s="108">
        <f t="shared" si="522"/>
        <v>1.2309213127718466</v>
      </c>
      <c r="AB123" s="108">
        <f t="shared" si="522"/>
        <v>1.2309213127718466</v>
      </c>
      <c r="AC123" s="108">
        <f t="shared" si="522"/>
        <v>1.2309213127718464</v>
      </c>
      <c r="AD123" s="108">
        <f t="shared" si="522"/>
        <v>1.2309213127718464</v>
      </c>
      <c r="AE123" s="108">
        <f t="shared" si="522"/>
        <v>1.2309213127718464</v>
      </c>
      <c r="AF123" s="108">
        <f t="shared" si="522"/>
        <v>1.2309213127718464</v>
      </c>
      <c r="AG123" s="108">
        <f t="shared" si="522"/>
        <v>1.2309213127718464</v>
      </c>
      <c r="AH123" s="115">
        <f t="shared" si="456"/>
        <v>-1.402596842020265E-3</v>
      </c>
      <c r="AI123" s="123"/>
      <c r="AJ123" s="123"/>
    </row>
    <row r="124" spans="1:36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523">1/G118</f>
        <v>0.22680412371134021</v>
      </c>
      <c r="H124" s="108">
        <f t="shared" ref="H124:I124" si="524">1/H118</f>
        <v>0.26956521739130435</v>
      </c>
      <c r="I124" s="108">
        <f t="shared" si="524"/>
        <v>0.27950310559006208</v>
      </c>
      <c r="J124" s="108">
        <f t="shared" si="520"/>
        <v>0.21285140562248997</v>
      </c>
      <c r="K124" s="108">
        <f t="shared" si="520"/>
        <v>0.21994884910485932</v>
      </c>
      <c r="L124" s="108">
        <f t="shared" si="520"/>
        <v>0.18666666666666668</v>
      </c>
      <c r="M124" s="108">
        <f t="shared" si="520"/>
        <v>0.23076923076923078</v>
      </c>
      <c r="N124" s="108">
        <f t="shared" si="520"/>
        <v>0.2568345323741007</v>
      </c>
      <c r="O124" s="108">
        <f t="shared" si="520"/>
        <v>0.15112813963388677</v>
      </c>
      <c r="P124" s="108">
        <f t="shared" si="520"/>
        <v>0.14459762744469382</v>
      </c>
      <c r="Q124" s="108">
        <f t="shared" si="520"/>
        <v>0.13987308302485457</v>
      </c>
      <c r="R124" s="108">
        <f t="shared" si="520"/>
        <v>0.1437219730941704</v>
      </c>
      <c r="S124" s="108">
        <f t="shared" si="520"/>
        <v>0.13549444545620104</v>
      </c>
      <c r="T124" s="108">
        <f t="shared" ref="T124:U124" si="525">1/T118</f>
        <v>0.41893916691639199</v>
      </c>
      <c r="U124" s="108">
        <f t="shared" si="525"/>
        <v>0.15197047581389217</v>
      </c>
      <c r="V124" s="101">
        <f t="shared" si="323"/>
        <v>-2.8194925231827761E-2</v>
      </c>
      <c r="W124" s="10"/>
      <c r="X124" s="108">
        <f t="shared" ref="X124:AG124" si="526">1/X118</f>
        <v>0.15197047581389217</v>
      </c>
      <c r="Y124" s="108">
        <f t="shared" si="526"/>
        <v>0.15197047581389217</v>
      </c>
      <c r="Z124" s="108">
        <f t="shared" si="526"/>
        <v>0.15197047581389217</v>
      </c>
      <c r="AA124" s="108">
        <f t="shared" si="526"/>
        <v>0.15197047581389217</v>
      </c>
      <c r="AB124" s="108">
        <f t="shared" si="526"/>
        <v>0.15197047581389217</v>
      </c>
      <c r="AC124" s="108">
        <f t="shared" si="526"/>
        <v>0.15197047581389217</v>
      </c>
      <c r="AD124" s="108">
        <f t="shared" si="526"/>
        <v>0.15197047581389217</v>
      </c>
      <c r="AE124" s="108">
        <f t="shared" si="526"/>
        <v>0.15197047581389217</v>
      </c>
      <c r="AF124" s="108">
        <f t="shared" si="526"/>
        <v>0.15197047581389217</v>
      </c>
      <c r="AG124" s="108">
        <f t="shared" si="526"/>
        <v>0.15197047581389217</v>
      </c>
      <c r="AH124" s="115">
        <f t="shared" si="456"/>
        <v>-1.393976370968153E-2</v>
      </c>
      <c r="AI124" s="123"/>
      <c r="AJ124" s="123"/>
    </row>
    <row r="125" spans="1:36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527">1/G119</f>
        <v>3.0927835051546389E-2</v>
      </c>
      <c r="H125" s="108">
        <f t="shared" ref="H125:I125" si="528">1/H119</f>
        <v>0.35652173913043478</v>
      </c>
      <c r="I125" s="108">
        <f t="shared" si="528"/>
        <v>0.63354037267080743</v>
      </c>
      <c r="J125" s="108">
        <f t="shared" si="520"/>
        <v>0.51807228915662651</v>
      </c>
      <c r="K125" s="108">
        <f t="shared" si="520"/>
        <v>0.26854219948849106</v>
      </c>
      <c r="L125" s="108">
        <f t="shared" si="520"/>
        <v>0.84571428571428575</v>
      </c>
      <c r="M125" s="108">
        <f t="shared" si="520"/>
        <v>1.0484330484330484</v>
      </c>
      <c r="N125" s="108">
        <f t="shared" si="520"/>
        <v>0.99136690647482018</v>
      </c>
      <c r="O125" s="108">
        <f t="shared" si="520"/>
        <v>0.30864197530864196</v>
      </c>
      <c r="P125" s="108">
        <f t="shared" si="520"/>
        <v>0.16415517794164797</v>
      </c>
      <c r="Q125" s="108">
        <f t="shared" si="520"/>
        <v>0.25991538868323638</v>
      </c>
      <c r="R125" s="108">
        <f t="shared" si="520"/>
        <v>0.15403587443946187</v>
      </c>
      <c r="S125" s="108">
        <f t="shared" si="520"/>
        <v>0.63667820069204151</v>
      </c>
      <c r="T125" s="108">
        <f t="shared" ref="T125:U125" si="529">1/T119</f>
        <v>0.51393467186095299</v>
      </c>
      <c r="U125" s="108">
        <f t="shared" si="529"/>
        <v>0.32529326479504417</v>
      </c>
      <c r="V125" s="101">
        <f t="shared" si="323"/>
        <v>0.18302706984879236</v>
      </c>
      <c r="W125" s="10"/>
      <c r="X125" s="108">
        <f t="shared" ref="X125:AG125" si="530">1/X119</f>
        <v>0.32529326479504417</v>
      </c>
      <c r="Y125" s="108">
        <f t="shared" si="530"/>
        <v>0.32529326479504417</v>
      </c>
      <c r="Z125" s="108">
        <f t="shared" si="530"/>
        <v>0.32529326479504417</v>
      </c>
      <c r="AA125" s="108">
        <f t="shared" si="530"/>
        <v>0.32529326479504417</v>
      </c>
      <c r="AB125" s="108">
        <f t="shared" si="530"/>
        <v>0.32529326479504417</v>
      </c>
      <c r="AC125" s="108">
        <f t="shared" si="530"/>
        <v>0.32529326479504417</v>
      </c>
      <c r="AD125" s="108">
        <f t="shared" si="530"/>
        <v>0.32529326479504417</v>
      </c>
      <c r="AE125" s="108">
        <f t="shared" si="530"/>
        <v>0.32529326479504417</v>
      </c>
      <c r="AF125" s="108">
        <f t="shared" si="530"/>
        <v>0.32529326479504422</v>
      </c>
      <c r="AG125" s="108">
        <f t="shared" si="530"/>
        <v>0.32529326479504422</v>
      </c>
      <c r="AH125" s="115">
        <f t="shared" si="456"/>
        <v>-1.9204353393950879E-2</v>
      </c>
      <c r="AI125" s="123"/>
      <c r="AJ125" s="123"/>
    </row>
    <row r="126" spans="1:36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 x14ac:dyDescent="0.2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10529</v>
      </c>
      <c r="V128" s="101" t="e">
        <f t="shared" si="323"/>
        <v>#DIV/0!</v>
      </c>
      <c r="W128" s="10"/>
      <c r="X128" s="146">
        <f t="shared" ref="X128:AG128" si="539">X25/(X36+X38)</f>
        <v>10529</v>
      </c>
      <c r="Y128" s="146">
        <f t="shared" si="539"/>
        <v>10529</v>
      </c>
      <c r="Z128" s="146">
        <f t="shared" si="539"/>
        <v>10529</v>
      </c>
      <c r="AA128" s="146">
        <f t="shared" si="539"/>
        <v>10529</v>
      </c>
      <c r="AB128" s="146">
        <f t="shared" si="539"/>
        <v>10529</v>
      </c>
      <c r="AC128" s="146">
        <f t="shared" si="539"/>
        <v>10529</v>
      </c>
      <c r="AD128" s="146">
        <f t="shared" si="539"/>
        <v>10529</v>
      </c>
      <c r="AE128" s="146">
        <f t="shared" si="539"/>
        <v>10529</v>
      </c>
      <c r="AF128" s="146">
        <f t="shared" si="539"/>
        <v>10528.999999999998</v>
      </c>
      <c r="AG128" s="146">
        <f t="shared" si="539"/>
        <v>10528.999999999998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 x14ac:dyDescent="0.2">
      <c r="A129" s="304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 x14ac:dyDescent="0.2">
      <c r="A130" s="304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 x14ac:dyDescent="0.2">
      <c r="A131" s="304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 x14ac:dyDescent="0.2">
      <c r="A132" s="304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 x14ac:dyDescent="0.2">
      <c r="A133" s="304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>
        <f t="shared" ref="H133:I133" si="562">H49/H25</f>
        <v>0</v>
      </c>
      <c r="I133" s="146">
        <f t="shared" si="562"/>
        <v>0</v>
      </c>
      <c r="J133" s="146">
        <f t="shared" ref="J133:T133" si="563">J49/J25</f>
        <v>0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 x14ac:dyDescent="0.2">
      <c r="A134" s="304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 x14ac:dyDescent="0.2">
      <c r="A135" s="304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 x14ac:dyDescent="0.2">
      <c r="A136" s="304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1153</v>
      </c>
      <c r="V136" s="101" t="e">
        <f t="shared" si="323"/>
        <v>#DIV/0!</v>
      </c>
      <c r="W136" s="10"/>
      <c r="X136" s="146">
        <f t="shared" ref="X136:AG136" si="580">X59/(X36+X38)</f>
        <v>1153</v>
      </c>
      <c r="Y136" s="146">
        <f t="shared" si="580"/>
        <v>1153</v>
      </c>
      <c r="Z136" s="146">
        <f t="shared" si="580"/>
        <v>1153</v>
      </c>
      <c r="AA136" s="146">
        <f t="shared" si="580"/>
        <v>1153</v>
      </c>
      <c r="AB136" s="146">
        <f t="shared" si="580"/>
        <v>1152.9999999999998</v>
      </c>
      <c r="AC136" s="146">
        <f t="shared" si="580"/>
        <v>1152.9999999999998</v>
      </c>
      <c r="AD136" s="146">
        <f t="shared" si="580"/>
        <v>1152.9999999999998</v>
      </c>
      <c r="AE136" s="146">
        <f t="shared" si="580"/>
        <v>1152.9999999999998</v>
      </c>
      <c r="AF136" s="146">
        <f t="shared" si="580"/>
        <v>1152.9999999999998</v>
      </c>
      <c r="AG136" s="146">
        <f t="shared" si="580"/>
        <v>1152.9999999999995</v>
      </c>
      <c r="AH136" s="115" t="e">
        <f t="shared" si="540"/>
        <v>#DIV/0!</v>
      </c>
      <c r="AI136" s="123"/>
      <c r="AJ136" s="123"/>
    </row>
    <row r="137" spans="1:36" ht="12" customHeight="1" x14ac:dyDescent="0.2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 x14ac:dyDescent="0.2">
      <c r="B138" s="10" t="s">
        <v>270</v>
      </c>
      <c r="C138" s="128"/>
      <c r="D138" s="128"/>
      <c r="E138" s="128"/>
      <c r="F138" s="138"/>
      <c r="G138" s="138">
        <f t="shared" ref="G138" si="581">G10-(G12+G13)</f>
        <v>1045</v>
      </c>
      <c r="H138" s="138">
        <f t="shared" ref="H138:I138" si="582">H10-(H12+H13)</f>
        <v>1521</v>
      </c>
      <c r="I138" s="138">
        <f t="shared" si="582"/>
        <v>2252</v>
      </c>
      <c r="J138" s="138">
        <f t="shared" ref="J138:T138" si="583">J10-(J12+J13)</f>
        <v>3229</v>
      </c>
      <c r="K138" s="138">
        <f t="shared" si="583"/>
        <v>4065</v>
      </c>
      <c r="L138" s="138">
        <f t="shared" si="583"/>
        <v>5638</v>
      </c>
      <c r="M138" s="138">
        <f t="shared" si="583"/>
        <v>8454</v>
      </c>
      <c r="N138" s="138">
        <f t="shared" si="583"/>
        <v>-784</v>
      </c>
      <c r="O138" s="138">
        <f t="shared" si="583"/>
        <v>606</v>
      </c>
      <c r="P138" s="138">
        <f t="shared" si="583"/>
        <v>26653</v>
      </c>
      <c r="Q138" s="138">
        <f t="shared" si="583"/>
        <v>32332</v>
      </c>
      <c r="R138" s="138">
        <f t="shared" si="583"/>
        <v>38070</v>
      </c>
      <c r="S138" s="138">
        <f t="shared" si="583"/>
        <v>46250</v>
      </c>
      <c r="T138" s="138">
        <f t="shared" si="583"/>
        <v>54330</v>
      </c>
      <c r="U138" s="138">
        <f t="shared" ref="U138" si="584">U10-(U12+U13)</f>
        <v>68724</v>
      </c>
      <c r="V138" s="101">
        <f t="shared" si="323"/>
        <v>0.34851748316692666</v>
      </c>
      <c r="W138" s="10"/>
      <c r="X138" s="138">
        <f t="shared" ref="X138:AG138" si="585">X10-(X12+X13)</f>
        <v>79032.600000000006</v>
      </c>
      <c r="Y138" s="138">
        <f t="shared" si="585"/>
        <v>90887.49</v>
      </c>
      <c r="Z138" s="138">
        <f t="shared" si="585"/>
        <v>104520.61349999999</v>
      </c>
      <c r="AA138" s="138">
        <f t="shared" si="585"/>
        <v>120198.70552499997</v>
      </c>
      <c r="AB138" s="138">
        <f t="shared" si="585"/>
        <v>138228.51135374996</v>
      </c>
      <c r="AC138" s="138">
        <f t="shared" si="585"/>
        <v>158962.78805681245</v>
      </c>
      <c r="AD138" s="138">
        <f t="shared" si="585"/>
        <v>182807.2062653343</v>
      </c>
      <c r="AE138" s="138">
        <f t="shared" si="585"/>
        <v>210228.2872051344</v>
      </c>
      <c r="AF138" s="138">
        <f t="shared" si="585"/>
        <v>241762.53028590453</v>
      </c>
      <c r="AG138" s="138">
        <f t="shared" si="585"/>
        <v>278026.90982879017</v>
      </c>
      <c r="AH138" s="115">
        <f t="shared" si="456"/>
        <v>0.20399804801136834</v>
      </c>
      <c r="AI138" s="123"/>
      <c r="AJ138" s="123"/>
    </row>
    <row r="139" spans="1:36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586">G59/G18</f>
        <v>0.53658536585365857</v>
      </c>
      <c r="H139" s="128">
        <f t="shared" ref="H139:I139" si="587">H59/H18</f>
        <v>1.0333333333333334</v>
      </c>
      <c r="I139" s="128">
        <f t="shared" si="587"/>
        <v>1.125</v>
      </c>
      <c r="J139" s="128">
        <f t="shared" ref="J139:T139" si="588">J59/J18</f>
        <v>1.325</v>
      </c>
      <c r="K139" s="128">
        <f t="shared" si="588"/>
        <v>2.0975609756097562</v>
      </c>
      <c r="L139" s="128">
        <f t="shared" si="588"/>
        <v>2.1304347826086958</v>
      </c>
      <c r="M139" s="128">
        <f t="shared" si="588"/>
        <v>3.24</v>
      </c>
      <c r="N139" s="128">
        <f t="shared" si="588"/>
        <v>0.8623188405797102</v>
      </c>
      <c r="O139" s="128">
        <f t="shared" si="588"/>
        <v>0.83924349881796689</v>
      </c>
      <c r="P139" s="128">
        <f t="shared" si="588"/>
        <v>2.5195530726256985</v>
      </c>
      <c r="Q139" s="128">
        <f t="shared" si="588"/>
        <v>2.7696335078534031</v>
      </c>
      <c r="R139" s="128">
        <f t="shared" si="588"/>
        <v>3.3560209424083771</v>
      </c>
      <c r="S139" s="128">
        <f t="shared" si="588"/>
        <v>1.4645669291338583</v>
      </c>
      <c r="T139" s="128">
        <f t="shared" si="588"/>
        <v>13.314285714285715</v>
      </c>
      <c r="U139" s="128">
        <f t="shared" ref="U139" si="589">U59/U18</f>
        <v>1.3548766157461809</v>
      </c>
      <c r="V139" s="101">
        <f t="shared" ref="V139:V171" si="590">((U139/G139)^(1/($K$2-$K$1) ))-1</f>
        <v>6.8397647499522263E-2</v>
      </c>
      <c r="W139" s="10"/>
      <c r="X139" s="128">
        <f t="shared" ref="X139:AG139" si="591">X59/X18</f>
        <v>1.3548766157461809</v>
      </c>
      <c r="Y139" s="128">
        <f t="shared" si="591"/>
        <v>1.3548766157461807</v>
      </c>
      <c r="Z139" s="128">
        <f t="shared" si="591"/>
        <v>1.3548766157461807</v>
      </c>
      <c r="AA139" s="128">
        <f t="shared" si="591"/>
        <v>1.3548766157461807</v>
      </c>
      <c r="AB139" s="128">
        <f t="shared" si="591"/>
        <v>1.3548766157461807</v>
      </c>
      <c r="AC139" s="128">
        <f t="shared" si="591"/>
        <v>1.3548766157461807</v>
      </c>
      <c r="AD139" s="128">
        <f t="shared" si="591"/>
        <v>1.3548766157461807</v>
      </c>
      <c r="AE139" s="128">
        <f t="shared" si="591"/>
        <v>1.3548766157461805</v>
      </c>
      <c r="AF139" s="128">
        <f t="shared" si="591"/>
        <v>1.3548766157461805</v>
      </c>
      <c r="AG139" s="128">
        <f t="shared" si="591"/>
        <v>1.3548766157461807</v>
      </c>
      <c r="AH139" s="115">
        <f t="shared" si="456"/>
        <v>9.2951223972015384E-4</v>
      </c>
      <c r="AI139" s="10"/>
      <c r="AJ139" s="10"/>
    </row>
    <row r="140" spans="1:36" x14ac:dyDescent="0.2">
      <c r="B140" s="10" t="s">
        <v>266</v>
      </c>
      <c r="C140" s="10"/>
      <c r="D140" s="10"/>
      <c r="E140" s="10"/>
      <c r="F140" s="128"/>
      <c r="G140" s="128">
        <f t="shared" ref="G140" si="592">G59/G25</f>
        <v>0.15068493150684931</v>
      </c>
      <c r="H140" s="128">
        <f t="shared" ref="H140:I140" si="593">H59/H25</f>
        <v>0.17127071823204421</v>
      </c>
      <c r="I140" s="128">
        <f t="shared" si="593"/>
        <v>0.18072289156626506</v>
      </c>
      <c r="J140" s="128">
        <f t="shared" ref="J140:T140" si="594">J59/J25</f>
        <v>0.1484593837535014</v>
      </c>
      <c r="K140" s="128">
        <f t="shared" si="594"/>
        <v>0.15467625899280577</v>
      </c>
      <c r="L140" s="128">
        <f t="shared" si="594"/>
        <v>0.1335149863760218</v>
      </c>
      <c r="M140" s="128">
        <f t="shared" si="594"/>
        <v>0.15547024952015356</v>
      </c>
      <c r="N140" s="128">
        <f t="shared" si="594"/>
        <v>0.16697848456501402</v>
      </c>
      <c r="O140" s="128">
        <f t="shared" si="594"/>
        <v>0.11038557213930349</v>
      </c>
      <c r="P140" s="128">
        <f t="shared" si="594"/>
        <v>0.10893719806763286</v>
      </c>
      <c r="Q140" s="128">
        <f t="shared" si="594"/>
        <v>0.10646005232441134</v>
      </c>
      <c r="R140" s="128">
        <f t="shared" si="594"/>
        <v>9.9813142323263784E-2</v>
      </c>
      <c r="S140" s="128">
        <f t="shared" si="594"/>
        <v>9.4704684317718946E-2</v>
      </c>
      <c r="T140" s="128">
        <f t="shared" si="594"/>
        <v>0.24374509632987534</v>
      </c>
      <c r="U140" s="128">
        <f t="shared" ref="U140" si="595">U59/U25</f>
        <v>0.10950707569569759</v>
      </c>
      <c r="V140" s="101">
        <f t="shared" si="590"/>
        <v>-2.2542179996837941E-2</v>
      </c>
      <c r="W140" s="10"/>
      <c r="X140" s="128">
        <f t="shared" ref="X140:AG140" si="596">X59/X25</f>
        <v>0.10950707569569759</v>
      </c>
      <c r="Y140" s="128">
        <f t="shared" si="596"/>
        <v>0.10950707569569761</v>
      </c>
      <c r="Z140" s="128">
        <f t="shared" si="596"/>
        <v>0.10950707569569759</v>
      </c>
      <c r="AA140" s="128">
        <f t="shared" si="596"/>
        <v>0.10950707569569758</v>
      </c>
      <c r="AB140" s="128">
        <f t="shared" si="596"/>
        <v>0.10950707569569758</v>
      </c>
      <c r="AC140" s="128">
        <f t="shared" si="596"/>
        <v>0.10950707569569758</v>
      </c>
      <c r="AD140" s="128">
        <f t="shared" si="596"/>
        <v>0.10950707569569758</v>
      </c>
      <c r="AE140" s="128">
        <f t="shared" si="596"/>
        <v>0.10950707569569758</v>
      </c>
      <c r="AF140" s="128">
        <f t="shared" si="596"/>
        <v>0.10950707569569758</v>
      </c>
      <c r="AG140" s="128">
        <f t="shared" si="596"/>
        <v>0.10950707569569759</v>
      </c>
      <c r="AH140" s="115">
        <f t="shared" si="456"/>
        <v>-1.2600039890267811E-2</v>
      </c>
      <c r="AI140" s="10"/>
      <c r="AJ140" s="10"/>
    </row>
    <row r="141" spans="1:36" x14ac:dyDescent="0.2">
      <c r="B141" s="10" t="s">
        <v>290</v>
      </c>
      <c r="C141" s="10"/>
      <c r="D141" s="10"/>
      <c r="E141" s="128"/>
      <c r="F141" s="128"/>
      <c r="G141" s="128">
        <f t="shared" ref="G141" si="597">G25/G18</f>
        <v>3.5609756097560976</v>
      </c>
      <c r="H141" s="128">
        <f t="shared" ref="H141:I141" si="598">H25/H18</f>
        <v>6.0333333333333332</v>
      </c>
      <c r="I141" s="128">
        <f t="shared" si="598"/>
        <v>6.2249999999999996</v>
      </c>
      <c r="J141" s="128">
        <f t="shared" ref="J141:T141" si="599">J25/J18</f>
        <v>8.9250000000000007</v>
      </c>
      <c r="K141" s="128">
        <f t="shared" si="599"/>
        <v>13.560975609756097</v>
      </c>
      <c r="L141" s="128">
        <f t="shared" si="599"/>
        <v>15.956521739130435</v>
      </c>
      <c r="M141" s="128">
        <f t="shared" si="599"/>
        <v>20.84</v>
      </c>
      <c r="N141" s="128">
        <f t="shared" si="599"/>
        <v>5.1642512077294684</v>
      </c>
      <c r="O141" s="128">
        <f t="shared" si="599"/>
        <v>7.6028368794326244</v>
      </c>
      <c r="P141" s="128">
        <f t="shared" si="599"/>
        <v>23.128491620111731</v>
      </c>
      <c r="Q141" s="128">
        <f t="shared" si="599"/>
        <v>26.015706806282722</v>
      </c>
      <c r="R141" s="128">
        <f t="shared" si="599"/>
        <v>33.623036649214662</v>
      </c>
      <c r="S141" s="128">
        <f t="shared" si="599"/>
        <v>15.464566929133857</v>
      </c>
      <c r="T141" s="128">
        <f t="shared" si="599"/>
        <v>54.623809523809527</v>
      </c>
      <c r="U141" s="128">
        <f t="shared" ref="U141" si="600">U25/U18</f>
        <v>12.372502937720329</v>
      </c>
      <c r="V141" s="101">
        <f t="shared" si="590"/>
        <v>9.3037086240781219E-2</v>
      </c>
      <c r="W141" s="10"/>
      <c r="X141" s="128">
        <f t="shared" ref="X141:AG141" si="601">X25/X18</f>
        <v>12.372502937720327</v>
      </c>
      <c r="Y141" s="128">
        <f t="shared" si="601"/>
        <v>12.372502937720327</v>
      </c>
      <c r="Z141" s="128">
        <f t="shared" si="601"/>
        <v>12.372502937720327</v>
      </c>
      <c r="AA141" s="128">
        <f t="shared" si="601"/>
        <v>12.372502937720329</v>
      </c>
      <c r="AB141" s="128">
        <f t="shared" si="601"/>
        <v>12.372502937720327</v>
      </c>
      <c r="AC141" s="128">
        <f t="shared" si="601"/>
        <v>12.372502937720329</v>
      </c>
      <c r="AD141" s="128">
        <f t="shared" si="601"/>
        <v>12.372502937720329</v>
      </c>
      <c r="AE141" s="128">
        <f t="shared" si="601"/>
        <v>12.372502937720327</v>
      </c>
      <c r="AF141" s="128">
        <f t="shared" si="601"/>
        <v>12.372502937720327</v>
      </c>
      <c r="AG141" s="128">
        <f t="shared" si="601"/>
        <v>12.372502937720327</v>
      </c>
      <c r="AH141" s="115">
        <f t="shared" si="456"/>
        <v>1.3702200401632947E-2</v>
      </c>
      <c r="AI141" s="10"/>
      <c r="AJ141" s="10"/>
    </row>
    <row r="142" spans="1:36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 x14ac:dyDescent="0.2">
      <c r="B143" s="10" t="s">
        <v>278</v>
      </c>
      <c r="C143" s="10"/>
      <c r="D143" s="10"/>
      <c r="E143" s="140"/>
      <c r="F143" s="140"/>
      <c r="G143" s="140">
        <f t="shared" ref="G143" si="602">G92*G61</f>
        <v>8.9249999999999989</v>
      </c>
      <c r="H143" s="140">
        <f t="shared" ref="H143:I143" si="603">H92*H61</f>
        <v>10.02</v>
      </c>
      <c r="I143" s="140">
        <f t="shared" si="603"/>
        <v>12.524999999999999</v>
      </c>
      <c r="J143" s="140">
        <f t="shared" ref="J143:T143" si="604">J92*J61</f>
        <v>7.5149999999999997</v>
      </c>
      <c r="K143" s="140">
        <f t="shared" si="604"/>
        <v>15.125</v>
      </c>
      <c r="L143" s="140">
        <f t="shared" si="604"/>
        <v>15.125</v>
      </c>
      <c r="M143" s="140">
        <f t="shared" si="604"/>
        <v>24.599999999999998</v>
      </c>
      <c r="N143" s="140">
        <f t="shared" si="604"/>
        <v>36.54</v>
      </c>
      <c r="O143" s="140">
        <f t="shared" si="604"/>
        <v>40.879999999999995</v>
      </c>
      <c r="P143" s="140">
        <f t="shared" si="604"/>
        <v>64.099999999999994</v>
      </c>
      <c r="Q143" s="140">
        <f t="shared" si="604"/>
        <v>64.2</v>
      </c>
      <c r="R143" s="140">
        <f t="shared" si="604"/>
        <v>87.36</v>
      </c>
      <c r="S143" s="140">
        <f t="shared" si="604"/>
        <v>145.85000000000002</v>
      </c>
      <c r="T143" s="140">
        <f t="shared" si="604"/>
        <v>125.24</v>
      </c>
      <c r="U143" s="140">
        <f t="shared" ref="U143" si="605">U92*U61</f>
        <v>172.48</v>
      </c>
      <c r="V143" s="101">
        <f t="shared" si="590"/>
        <v>0.2355674698323369</v>
      </c>
      <c r="W143" s="10"/>
      <c r="X143" s="140">
        <f t="shared" ref="X143:AG143" si="606">X92*X61</f>
        <v>184.72608</v>
      </c>
      <c r="Y143" s="140">
        <f t="shared" si="606"/>
        <v>197.84163168000001</v>
      </c>
      <c r="Z143" s="140">
        <f t="shared" si="606"/>
        <v>211.88838752928001</v>
      </c>
      <c r="AA143" s="140">
        <f t="shared" si="606"/>
        <v>226.93246304385892</v>
      </c>
      <c r="AB143" s="140">
        <f t="shared" si="606"/>
        <v>243.04466791997291</v>
      </c>
      <c r="AC143" s="140">
        <f t="shared" si="606"/>
        <v>260.300839342291</v>
      </c>
      <c r="AD143" s="140">
        <f t="shared" si="606"/>
        <v>278.78219893559367</v>
      </c>
      <c r="AE143" s="140">
        <f t="shared" si="606"/>
        <v>298.57573506002086</v>
      </c>
      <c r="AF143" s="140">
        <f t="shared" si="606"/>
        <v>319.77461224928231</v>
      </c>
      <c r="AG143" s="140">
        <f t="shared" si="606"/>
        <v>342.47860971898137</v>
      </c>
      <c r="AH143" s="115">
        <f t="shared" si="456"/>
        <v>0.172499553817554</v>
      </c>
      <c r="AI143" s="10"/>
      <c r="AJ143" s="10"/>
    </row>
    <row r="144" spans="1:36" x14ac:dyDescent="0.2">
      <c r="B144" s="10" t="s">
        <v>279</v>
      </c>
      <c r="C144" s="10"/>
      <c r="D144" s="10"/>
      <c r="E144" s="140"/>
      <c r="F144" s="140"/>
      <c r="G144" s="140">
        <f t="shared" ref="G144" si="607">(G143*0.17)+G143</f>
        <v>10.44225</v>
      </c>
      <c r="H144" s="140">
        <f t="shared" ref="H144:I144" si="608">(H143*0.17)+H143</f>
        <v>11.7234</v>
      </c>
      <c r="I144" s="140">
        <f t="shared" si="608"/>
        <v>14.654249999999998</v>
      </c>
      <c r="J144" s="140">
        <f t="shared" ref="J144:S144" si="609">(J143*0.17)+J143</f>
        <v>8.7925500000000003</v>
      </c>
      <c r="K144" s="140">
        <f t="shared" si="609"/>
        <v>17.696249999999999</v>
      </c>
      <c r="L144" s="140">
        <f t="shared" si="609"/>
        <v>17.696249999999999</v>
      </c>
      <c r="M144" s="140">
        <f t="shared" si="609"/>
        <v>28.781999999999996</v>
      </c>
      <c r="N144" s="140">
        <f t="shared" si="609"/>
        <v>42.751800000000003</v>
      </c>
      <c r="O144" s="140">
        <f t="shared" si="609"/>
        <v>47.829599999999992</v>
      </c>
      <c r="P144" s="140">
        <f t="shared" si="609"/>
        <v>74.997</v>
      </c>
      <c r="Q144" s="140">
        <f t="shared" si="609"/>
        <v>75.114000000000004</v>
      </c>
      <c r="R144" s="140">
        <f t="shared" si="609"/>
        <v>102.21120000000001</v>
      </c>
      <c r="S144" s="140">
        <f t="shared" si="609"/>
        <v>170.64450000000002</v>
      </c>
      <c r="T144" s="140">
        <f t="shared" ref="T144:U144" si="610">(T143*0.17)+T143</f>
        <v>146.5308</v>
      </c>
      <c r="U144" s="140">
        <f t="shared" si="610"/>
        <v>201.80159999999998</v>
      </c>
      <c r="V144" s="101">
        <f t="shared" si="590"/>
        <v>0.23556746983233667</v>
      </c>
      <c r="W144" s="10"/>
      <c r="X144" s="140">
        <f t="shared" ref="X144:AG144" si="611">(X143*0.17)+X143</f>
        <v>216.1295136</v>
      </c>
      <c r="Y144" s="140">
        <f t="shared" si="611"/>
        <v>231.4747090656</v>
      </c>
      <c r="Z144" s="140">
        <f t="shared" si="611"/>
        <v>247.90941340925761</v>
      </c>
      <c r="AA144" s="140">
        <f t="shared" si="611"/>
        <v>265.51098176131495</v>
      </c>
      <c r="AB144" s="140">
        <f t="shared" si="611"/>
        <v>284.3622614663683</v>
      </c>
      <c r="AC144" s="140">
        <f t="shared" si="611"/>
        <v>304.55198203048047</v>
      </c>
      <c r="AD144" s="140">
        <f t="shared" si="611"/>
        <v>326.17517275464462</v>
      </c>
      <c r="AE144" s="140">
        <f t="shared" si="611"/>
        <v>349.3336100202244</v>
      </c>
      <c r="AF144" s="140">
        <f t="shared" si="611"/>
        <v>374.13629633166033</v>
      </c>
      <c r="AG144" s="140">
        <f t="shared" si="611"/>
        <v>400.69997337120822</v>
      </c>
      <c r="AH144" s="115">
        <f t="shared" si="456"/>
        <v>0.172499553817554</v>
      </c>
      <c r="AI144" s="10"/>
      <c r="AJ144" s="10"/>
    </row>
    <row r="145" spans="2:36" x14ac:dyDescent="0.2">
      <c r="B145" s="10" t="s">
        <v>280</v>
      </c>
      <c r="C145" s="10"/>
      <c r="D145" s="10"/>
      <c r="E145" s="10"/>
      <c r="F145" s="128"/>
      <c r="G145" s="128">
        <f t="shared" ref="G145" si="612">G144/G59</f>
        <v>0.47464772727272725</v>
      </c>
      <c r="H145" s="128">
        <f t="shared" ref="H145:I145" si="613">H144/H59</f>
        <v>0.37817419354838711</v>
      </c>
      <c r="I145" s="128">
        <f t="shared" si="613"/>
        <v>0.32564999999999994</v>
      </c>
      <c r="J145" s="128">
        <f t="shared" ref="J145:T145" si="614">J144/J59</f>
        <v>0.16589716981132077</v>
      </c>
      <c r="K145" s="128">
        <f t="shared" si="614"/>
        <v>0.20577034883720929</v>
      </c>
      <c r="L145" s="128">
        <f t="shared" si="614"/>
        <v>0.18057397959183671</v>
      </c>
      <c r="M145" s="128">
        <f t="shared" si="614"/>
        <v>0.17766666666666664</v>
      </c>
      <c r="N145" s="128">
        <f t="shared" si="614"/>
        <v>0.11975294117647059</v>
      </c>
      <c r="O145" s="128">
        <f t="shared" si="614"/>
        <v>0.13473126760563378</v>
      </c>
      <c r="P145" s="128">
        <f t="shared" si="614"/>
        <v>0.16629046563192904</v>
      </c>
      <c r="Q145" s="128">
        <f t="shared" si="614"/>
        <v>0.14199243856332705</v>
      </c>
      <c r="R145" s="128">
        <f t="shared" si="614"/>
        <v>0.15945585023400938</v>
      </c>
      <c r="S145" s="128">
        <f t="shared" si="614"/>
        <v>0.22936088709677421</v>
      </c>
      <c r="T145" s="128">
        <f t="shared" si="614"/>
        <v>5.2407296137339056E-2</v>
      </c>
      <c r="U145" s="128">
        <f t="shared" ref="U145" si="615">U144/U59</f>
        <v>0.17502307025151775</v>
      </c>
      <c r="V145" s="101">
        <f t="shared" si="590"/>
        <v>-6.878126132616369E-2</v>
      </c>
      <c r="W145" s="10"/>
      <c r="X145" s="128">
        <f t="shared" ref="X145:AG145" si="616">X144/X59</f>
        <v>0.16299974629510919</v>
      </c>
      <c r="Y145" s="128">
        <f t="shared" si="616"/>
        <v>0.15180237241918429</v>
      </c>
      <c r="Z145" s="128">
        <f t="shared" si="616"/>
        <v>0.14137420944430124</v>
      </c>
      <c r="AA145" s="128">
        <f t="shared" si="616"/>
        <v>0.13166241592595362</v>
      </c>
      <c r="AB145" s="128">
        <f t="shared" si="616"/>
        <v>0.12261778039712724</v>
      </c>
      <c r="AC145" s="128">
        <f t="shared" si="616"/>
        <v>0.11419447200462896</v>
      </c>
      <c r="AD145" s="128">
        <f t="shared" si="616"/>
        <v>0.10634980827561534</v>
      </c>
      <c r="AE145" s="128">
        <f t="shared" si="616"/>
        <v>9.9044038837551349E-2</v>
      </c>
      <c r="AF145" s="128">
        <f t="shared" si="616"/>
        <v>9.2240143995667392E-2</v>
      </c>
      <c r="AG145" s="128">
        <f t="shared" si="616"/>
        <v>8.5903647147269377E-2</v>
      </c>
      <c r="AH145" s="115">
        <f t="shared" si="456"/>
        <v>-2.7049991787709171E-2</v>
      </c>
      <c r="AI145" s="10"/>
      <c r="AJ145" s="10"/>
    </row>
    <row r="146" spans="2:36" x14ac:dyDescent="0.2">
      <c r="B146" s="10" t="s">
        <v>273</v>
      </c>
      <c r="C146" s="10"/>
      <c r="D146" s="10"/>
      <c r="E146" s="10"/>
      <c r="F146" s="128"/>
      <c r="G146" s="128">
        <f t="shared" ref="G146" si="617">1-G145</f>
        <v>0.52535227272727281</v>
      </c>
      <c r="H146" s="128">
        <f t="shared" ref="H146:I146" si="618">1-H145</f>
        <v>0.62182580645161289</v>
      </c>
      <c r="I146" s="128">
        <f t="shared" si="618"/>
        <v>0.67435</v>
      </c>
      <c r="J146" s="128">
        <f>1-J145</f>
        <v>0.83410283018867926</v>
      </c>
      <c r="K146" s="128">
        <f t="shared" ref="K146:S146" si="619">1-K145</f>
        <v>0.79422965116279065</v>
      </c>
      <c r="L146" s="128">
        <f t="shared" si="619"/>
        <v>0.81942602040816326</v>
      </c>
      <c r="M146" s="128">
        <f t="shared" si="619"/>
        <v>0.82233333333333336</v>
      </c>
      <c r="N146" s="128">
        <f t="shared" si="619"/>
        <v>0.88024705882352938</v>
      </c>
      <c r="O146" s="128">
        <f t="shared" si="619"/>
        <v>0.86526873239436619</v>
      </c>
      <c r="P146" s="128">
        <f t="shared" si="619"/>
        <v>0.83370953436807094</v>
      </c>
      <c r="Q146" s="128">
        <f t="shared" si="619"/>
        <v>0.85800756143667289</v>
      </c>
      <c r="R146" s="128">
        <f t="shared" si="619"/>
        <v>0.84054414976599068</v>
      </c>
      <c r="S146" s="128">
        <f t="shared" si="619"/>
        <v>0.77063911290322573</v>
      </c>
      <c r="T146" s="128">
        <f t="shared" ref="T146:U146" si="620">1-T145</f>
        <v>0.94759270386266092</v>
      </c>
      <c r="U146" s="128">
        <f t="shared" si="620"/>
        <v>0.82497692974848225</v>
      </c>
      <c r="V146" s="101">
        <f t="shared" si="590"/>
        <v>3.27599090352233E-2</v>
      </c>
      <c r="W146" s="10"/>
      <c r="X146" s="128">
        <f t="shared" ref="X146:AG146" si="621">1-X145</f>
        <v>0.83700025370489084</v>
      </c>
      <c r="Y146" s="128">
        <f t="shared" si="621"/>
        <v>0.84819762758081574</v>
      </c>
      <c r="Z146" s="128">
        <f t="shared" si="621"/>
        <v>0.85862579055569876</v>
      </c>
      <c r="AA146" s="128">
        <f t="shared" si="621"/>
        <v>0.86833758407404638</v>
      </c>
      <c r="AB146" s="128">
        <f t="shared" si="621"/>
        <v>0.87738221960287277</v>
      </c>
      <c r="AC146" s="128">
        <f t="shared" si="621"/>
        <v>0.88580552799537104</v>
      </c>
      <c r="AD146" s="128">
        <f t="shared" si="621"/>
        <v>0.89365019172438465</v>
      </c>
      <c r="AE146" s="128">
        <f t="shared" si="621"/>
        <v>0.90095596116244869</v>
      </c>
      <c r="AF146" s="128">
        <f t="shared" si="621"/>
        <v>0.90775985600433262</v>
      </c>
      <c r="AG146" s="128">
        <f t="shared" si="621"/>
        <v>0.91409635285273061</v>
      </c>
      <c r="AH146" s="115">
        <f t="shared" si="456"/>
        <v>3.8230932994125499E-3</v>
      </c>
      <c r="AI146" s="10"/>
      <c r="AJ146" s="10"/>
    </row>
    <row r="147" spans="2:36" x14ac:dyDescent="0.2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 x14ac:dyDescent="0.2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>
        <f t="shared" ref="H149:I149" si="628">H31/H25</f>
        <v>0</v>
      </c>
      <c r="I149" s="128">
        <f t="shared" si="628"/>
        <v>0</v>
      </c>
      <c r="J149" s="128">
        <f t="shared" ref="J149:T149" si="629">J31/J25</f>
        <v>0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 x14ac:dyDescent="0.2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>
        <f t="shared" ref="H150:I150" si="633">H32/H25</f>
        <v>0</v>
      </c>
      <c r="I150" s="128">
        <f t="shared" si="633"/>
        <v>0</v>
      </c>
      <c r="J150" s="128">
        <f t="shared" ref="J150:T150" si="634">J32/J25</f>
        <v>0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 x14ac:dyDescent="0.2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>
        <f t="shared" ref="H151:I151" si="638">(H31+H32)/H25</f>
        <v>0</v>
      </c>
      <c r="I151" s="128">
        <f t="shared" si="638"/>
        <v>0</v>
      </c>
      <c r="J151" s="128">
        <f t="shared" ref="J151:T151" si="639">(J31+J32)/J25</f>
        <v>0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 x14ac:dyDescent="0.2">
      <c r="B153" s="10" t="s">
        <v>296</v>
      </c>
      <c r="C153" s="10"/>
      <c r="D153" s="10"/>
      <c r="E153" s="10"/>
      <c r="F153" s="128"/>
      <c r="G153" s="128">
        <f t="shared" ref="G153" si="642">G27/G25</f>
        <v>0.14383561643835616</v>
      </c>
      <c r="H153" s="128">
        <f t="shared" ref="H153:I153" si="643">H27/H25</f>
        <v>0.14917127071823205</v>
      </c>
      <c r="I153" s="128">
        <f t="shared" si="643"/>
        <v>0.12449799196787148</v>
      </c>
      <c r="J153" s="128">
        <f t="shared" ref="J153:T153" si="644">J27/J25</f>
        <v>0.1092436974789916</v>
      </c>
      <c r="K153" s="128">
        <f t="shared" si="644"/>
        <v>0.10071942446043165</v>
      </c>
      <c r="L153" s="128">
        <f t="shared" si="644"/>
        <v>0.11171662125340599</v>
      </c>
      <c r="M153" s="128">
        <f t="shared" si="644"/>
        <v>0.11900191938579655</v>
      </c>
      <c r="N153" s="128">
        <f t="shared" si="644"/>
        <v>0.12628624883068287</v>
      </c>
      <c r="O153" s="128">
        <f t="shared" si="644"/>
        <v>0.11598258706467662</v>
      </c>
      <c r="P153" s="128">
        <f t="shared" si="644"/>
        <v>9.6859903381642506E-2</v>
      </c>
      <c r="Q153" s="128">
        <f t="shared" si="644"/>
        <v>8.8750251559669951E-2</v>
      </c>
      <c r="R153" s="128">
        <f t="shared" si="644"/>
        <v>0.15088757396449703</v>
      </c>
      <c r="S153" s="128">
        <f t="shared" si="644"/>
        <v>0.15440427698574338</v>
      </c>
      <c r="T153" s="128">
        <f t="shared" si="644"/>
        <v>0.12875948042890767</v>
      </c>
      <c r="U153" s="128">
        <f t="shared" ref="U153" si="645">U27/U25</f>
        <v>0.1115015671003894</v>
      </c>
      <c r="V153" s="101">
        <f t="shared" si="590"/>
        <v>-1.8023628087440735E-2</v>
      </c>
      <c r="W153" s="10"/>
      <c r="X153" s="128">
        <f t="shared" ref="X153:AG153" si="646">X27/X25</f>
        <v>0.1115015671003894</v>
      </c>
      <c r="Y153" s="128">
        <f t="shared" si="646"/>
        <v>0.1115015671003894</v>
      </c>
      <c r="Z153" s="128">
        <f t="shared" si="646"/>
        <v>0.11150156710038941</v>
      </c>
      <c r="AA153" s="128">
        <f t="shared" si="646"/>
        <v>0.1115015671003894</v>
      </c>
      <c r="AB153" s="128">
        <f t="shared" si="646"/>
        <v>0.1115015671003894</v>
      </c>
      <c r="AC153" s="128">
        <f t="shared" si="646"/>
        <v>0.1115015671003894</v>
      </c>
      <c r="AD153" s="128">
        <f t="shared" si="646"/>
        <v>0.1115015671003894</v>
      </c>
      <c r="AE153" s="128">
        <f t="shared" si="646"/>
        <v>0.1115015671003894</v>
      </c>
      <c r="AF153" s="128">
        <f t="shared" si="646"/>
        <v>0.1115015671003894</v>
      </c>
      <c r="AG153" s="128">
        <f t="shared" si="646"/>
        <v>0.11150156710038941</v>
      </c>
      <c r="AH153" s="115">
        <f t="shared" si="456"/>
        <v>8.5275931686967787E-4</v>
      </c>
      <c r="AI153" s="10"/>
      <c r="AJ153" s="10"/>
    </row>
    <row r="154" spans="2:36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7">G33/G25</f>
        <v>0.66438356164383561</v>
      </c>
      <c r="H154" s="128">
        <f t="shared" ref="H154:I154" si="648">H33/H25</f>
        <v>0.63535911602209949</v>
      </c>
      <c r="I154" s="128">
        <f t="shared" si="648"/>
        <v>0.64658634538152615</v>
      </c>
      <c r="J154" s="128">
        <f t="shared" ref="J154:T154" si="649">J33/J25</f>
        <v>0.69747899159663862</v>
      </c>
      <c r="K154" s="128">
        <f t="shared" si="649"/>
        <v>0.7032374100719424</v>
      </c>
      <c r="L154" s="128">
        <f t="shared" si="649"/>
        <v>0.71525885558583102</v>
      </c>
      <c r="M154" s="128">
        <f t="shared" si="649"/>
        <v>0.6737044145873321</v>
      </c>
      <c r="N154" s="128">
        <f t="shared" si="649"/>
        <v>0.65014031805425632</v>
      </c>
      <c r="O154" s="128">
        <f t="shared" si="649"/>
        <v>0.73041044776119401</v>
      </c>
      <c r="P154" s="128">
        <f t="shared" si="649"/>
        <v>0.75338164251207729</v>
      </c>
      <c r="Q154" s="128">
        <f t="shared" si="649"/>
        <v>0.76111893741195413</v>
      </c>
      <c r="R154" s="128">
        <f t="shared" si="649"/>
        <v>0.69448769853628156</v>
      </c>
      <c r="S154" s="128">
        <f t="shared" si="649"/>
        <v>0.69895621181262724</v>
      </c>
      <c r="T154" s="128">
        <f t="shared" si="649"/>
        <v>0.58181501176880834</v>
      </c>
      <c r="U154" s="128">
        <f t="shared" ref="U154" si="650">U33/U25</f>
        <v>0.72058125178079591</v>
      </c>
      <c r="V154" s="101">
        <f t="shared" si="590"/>
        <v>5.8167480102306879E-3</v>
      </c>
      <c r="W154" s="10"/>
      <c r="X154" s="128">
        <f t="shared" ref="X154:AG154" si="651">X33/X25</f>
        <v>0.72058125178079591</v>
      </c>
      <c r="Y154" s="128">
        <f t="shared" si="651"/>
        <v>0.72058125178079602</v>
      </c>
      <c r="Z154" s="128">
        <f t="shared" si="651"/>
        <v>0.72058125178079591</v>
      </c>
      <c r="AA154" s="128">
        <f t="shared" si="651"/>
        <v>0.72058125178079591</v>
      </c>
      <c r="AB154" s="128">
        <f t="shared" si="651"/>
        <v>0.72058125178079591</v>
      </c>
      <c r="AC154" s="128">
        <f t="shared" si="651"/>
        <v>0.72058125178079591</v>
      </c>
      <c r="AD154" s="128">
        <f t="shared" si="651"/>
        <v>0.72058125178079591</v>
      </c>
      <c r="AE154" s="128">
        <f t="shared" si="651"/>
        <v>0.7205812517807958</v>
      </c>
      <c r="AF154" s="128">
        <f t="shared" si="651"/>
        <v>0.72058125178079591</v>
      </c>
      <c r="AG154" s="128">
        <f t="shared" si="651"/>
        <v>0.72058125178079591</v>
      </c>
      <c r="AH154" s="115">
        <f t="shared" si="456"/>
        <v>1.3586632642788032E-3</v>
      </c>
      <c r="AI154" s="10"/>
      <c r="AJ154" s="10"/>
    </row>
    <row r="155" spans="2:36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52">G34/G25</f>
        <v>2.0547945205479451E-2</v>
      </c>
      <c r="H155" s="128">
        <f t="shared" ref="H155:I155" si="653">H34/H25</f>
        <v>2.2099447513812154E-2</v>
      </c>
      <c r="I155" s="128">
        <f t="shared" si="653"/>
        <v>1.2048192771084338E-2</v>
      </c>
      <c r="J155" s="128">
        <f t="shared" ref="J155:T155" si="654">J34/J25</f>
        <v>1.680672268907563E-2</v>
      </c>
      <c r="K155" s="128">
        <f t="shared" si="654"/>
        <v>1.2589928057553957E-2</v>
      </c>
      <c r="L155" s="128">
        <f t="shared" si="654"/>
        <v>1.226158038147139E-2</v>
      </c>
      <c r="M155" s="128">
        <f t="shared" si="654"/>
        <v>2.2072936660268713E-2</v>
      </c>
      <c r="N155" s="128">
        <f t="shared" si="654"/>
        <v>7.8578110383536015E-2</v>
      </c>
      <c r="O155" s="128">
        <f t="shared" si="654"/>
        <v>7.8980099502487564E-2</v>
      </c>
      <c r="P155" s="128">
        <f t="shared" si="654"/>
        <v>6.3043478260869562E-2</v>
      </c>
      <c r="Q155" s="128">
        <f t="shared" si="654"/>
        <v>5.3129402294224193E-2</v>
      </c>
      <c r="R155" s="128">
        <f t="shared" si="654"/>
        <v>0.11055745873559639</v>
      </c>
      <c r="S155" s="128">
        <f t="shared" si="654"/>
        <v>9.5595723014256617E-2</v>
      </c>
      <c r="T155" s="128">
        <f t="shared" si="654"/>
        <v>8.1684247232150647E-2</v>
      </c>
      <c r="U155" s="128">
        <f t="shared" ref="U155" si="655">U34/U25</f>
        <v>6.7337828853642326E-2</v>
      </c>
      <c r="V155" s="101">
        <f t="shared" si="590"/>
        <v>8.8480780526818847E-2</v>
      </c>
      <c r="W155" s="10"/>
      <c r="X155" s="128">
        <f t="shared" ref="X155:AG155" si="656">X34/X25</f>
        <v>6.7337828853642326E-2</v>
      </c>
      <c r="Y155" s="128">
        <f t="shared" si="656"/>
        <v>6.7337828853642326E-2</v>
      </c>
      <c r="Z155" s="128">
        <f t="shared" si="656"/>
        <v>6.7337828853642326E-2</v>
      </c>
      <c r="AA155" s="128">
        <f t="shared" si="656"/>
        <v>6.7337828853642326E-2</v>
      </c>
      <c r="AB155" s="128">
        <f t="shared" si="656"/>
        <v>6.7337828853642326E-2</v>
      </c>
      <c r="AC155" s="128">
        <f t="shared" si="656"/>
        <v>6.7337828853642326E-2</v>
      </c>
      <c r="AD155" s="128">
        <f t="shared" si="656"/>
        <v>6.7337828853642326E-2</v>
      </c>
      <c r="AE155" s="128">
        <f t="shared" si="656"/>
        <v>6.7337828853642326E-2</v>
      </c>
      <c r="AF155" s="128">
        <f t="shared" si="656"/>
        <v>6.7337828853642326E-2</v>
      </c>
      <c r="AG155" s="128">
        <f t="shared" si="656"/>
        <v>6.733782885364234E-2</v>
      </c>
      <c r="AH155" s="115">
        <f t="shared" si="456"/>
        <v>5.9535883921312704E-2</v>
      </c>
      <c r="AI155" s="10"/>
      <c r="AJ155" s="10"/>
    </row>
    <row r="156" spans="2:36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 x14ac:dyDescent="0.2">
      <c r="B158" s="10" t="s">
        <v>307</v>
      </c>
      <c r="C158" s="10"/>
      <c r="D158" s="10"/>
      <c r="E158" s="10"/>
      <c r="F158" s="15"/>
      <c r="G158" s="15">
        <f t="shared" ref="G158" si="657">G15/G9</f>
        <v>2.5020850708924102E-3</v>
      </c>
      <c r="H158" s="15">
        <f t="shared" ref="H158:I158" si="658">H15/H9</f>
        <v>1.6538461538461537</v>
      </c>
      <c r="I158" s="15">
        <f t="shared" si="658"/>
        <v>3.0588235294117645</v>
      </c>
      <c r="J158" s="15">
        <f t="shared" ref="J158:T158" si="659">J15/J9</f>
        <v>2.8085106382978724</v>
      </c>
      <c r="K158" s="15">
        <f t="shared" si="659"/>
        <v>1.8</v>
      </c>
      <c r="L158" s="15">
        <f t="shared" si="659"/>
        <v>5.2823529411764705</v>
      </c>
      <c r="M158" s="15">
        <f t="shared" si="659"/>
        <v>7.9361702127659575</v>
      </c>
      <c r="N158" s="15">
        <f t="shared" si="659"/>
        <v>0.14616284392005288</v>
      </c>
      <c r="O158" s="15">
        <f t="shared" si="659"/>
        <v>8.90138700947226E-2</v>
      </c>
      <c r="P158" s="15">
        <f t="shared" si="659"/>
        <v>0.1185877466251298</v>
      </c>
      <c r="Q158" s="15">
        <f t="shared" si="659"/>
        <v>0.1770502755971271</v>
      </c>
      <c r="R158" s="15">
        <f t="shared" si="659"/>
        <v>9.759062776304156E-2</v>
      </c>
      <c r="S158" s="15">
        <f t="shared" si="659"/>
        <v>0.33772727272727271</v>
      </c>
      <c r="T158" s="15">
        <f t="shared" si="659"/>
        <v>0.27371769383697814</v>
      </c>
      <c r="U158" s="15">
        <f t="shared" ref="U158" si="660">U15/U9</f>
        <v>0.13395423097392231</v>
      </c>
      <c r="V158" s="101">
        <f t="shared" si="590"/>
        <v>0.32884801407986664</v>
      </c>
      <c r="W158" s="10"/>
      <c r="X158" s="10">
        <f t="shared" ref="X158:AG158" si="661">X15/X9</f>
        <v>0.13395423097392228</v>
      </c>
      <c r="Y158" s="10">
        <f t="shared" si="661"/>
        <v>0.13395423097392228</v>
      </c>
      <c r="Z158" s="10">
        <f t="shared" si="661"/>
        <v>0.13395423097392228</v>
      </c>
      <c r="AA158" s="10">
        <f t="shared" si="661"/>
        <v>0.13395423097392231</v>
      </c>
      <c r="AB158" s="10">
        <f t="shared" si="661"/>
        <v>0.13395423097392231</v>
      </c>
      <c r="AC158" s="10">
        <f t="shared" si="661"/>
        <v>0.13395423097392231</v>
      </c>
      <c r="AD158" s="10">
        <f t="shared" si="661"/>
        <v>0.13395423097392231</v>
      </c>
      <c r="AE158" s="10">
        <f t="shared" si="661"/>
        <v>0.13395423097392231</v>
      </c>
      <c r="AF158" s="10">
        <f t="shared" si="661"/>
        <v>0.13395423097392234</v>
      </c>
      <c r="AG158" s="10">
        <f t="shared" si="661"/>
        <v>0.13395423097392234</v>
      </c>
      <c r="AH158" s="115">
        <f t="shared" si="456"/>
        <v>-0.11907957071413744</v>
      </c>
      <c r="AI158" s="10"/>
      <c r="AJ158" s="10"/>
    </row>
    <row r="159" spans="2:36" x14ac:dyDescent="0.2">
      <c r="B159" s="10" t="s">
        <v>297</v>
      </c>
      <c r="C159" s="10"/>
      <c r="D159" s="10"/>
      <c r="E159" s="10"/>
      <c r="F159" s="15"/>
      <c r="G159" s="15">
        <f t="shared" ref="G159" si="662">G12/G9</f>
        <v>2.5020850708924102E-3</v>
      </c>
      <c r="H159" s="15">
        <f t="shared" ref="H159:I159" si="663">H12/H9</f>
        <v>1.5769230769230769</v>
      </c>
      <c r="I159" s="15">
        <f t="shared" si="663"/>
        <v>3</v>
      </c>
      <c r="J159" s="15">
        <f t="shared" ref="J159:T159" si="664">J12/J9</f>
        <v>2.7446808510638299</v>
      </c>
      <c r="K159" s="15">
        <f t="shared" si="664"/>
        <v>1.75</v>
      </c>
      <c r="L159" s="15">
        <f t="shared" si="664"/>
        <v>5.223529411764706</v>
      </c>
      <c r="M159" s="15">
        <f t="shared" si="664"/>
        <v>7.8297872340425529</v>
      </c>
      <c r="N159" s="15">
        <f t="shared" si="664"/>
        <v>7.0080862533692723E-2</v>
      </c>
      <c r="O159" s="15">
        <f t="shared" si="664"/>
        <v>3.0657983761840323E-2</v>
      </c>
      <c r="P159" s="15">
        <f t="shared" si="664"/>
        <v>0.1063343717549325</v>
      </c>
      <c r="Q159" s="15">
        <f t="shared" si="664"/>
        <v>0.16418907633205279</v>
      </c>
      <c r="R159" s="15">
        <f t="shared" si="664"/>
        <v>7.5928381962864722E-2</v>
      </c>
      <c r="S159" s="15">
        <f t="shared" si="664"/>
        <v>0.31781818181818183</v>
      </c>
      <c r="T159" s="15">
        <f t="shared" si="664"/>
        <v>0.2727634194831014</v>
      </c>
      <c r="U159" s="15">
        <f t="shared" ref="U159" si="665">U12/U9</f>
        <v>0.13134646088344865</v>
      </c>
      <c r="V159" s="101">
        <f t="shared" si="590"/>
        <v>0.32698327839600561</v>
      </c>
      <c r="W159" s="109"/>
      <c r="X159" s="10">
        <f t="shared" ref="X159:AG159" si="666">X12/X9</f>
        <v>0.13134646088344865</v>
      </c>
      <c r="Y159" s="10">
        <f t="shared" si="666"/>
        <v>0.13134646088344862</v>
      </c>
      <c r="Z159" s="10">
        <f t="shared" si="666"/>
        <v>0.13134646088344862</v>
      </c>
      <c r="AA159" s="10">
        <f t="shared" si="666"/>
        <v>0.13134646088344865</v>
      </c>
      <c r="AB159" s="10">
        <f t="shared" si="666"/>
        <v>0.13134646088344865</v>
      </c>
      <c r="AC159" s="10">
        <f t="shared" si="666"/>
        <v>0.13134646088344865</v>
      </c>
      <c r="AD159" s="10">
        <f t="shared" si="666"/>
        <v>0.13134646088344867</v>
      </c>
      <c r="AE159" s="10">
        <f t="shared" si="666"/>
        <v>0.13134646088344867</v>
      </c>
      <c r="AF159" s="10">
        <f t="shared" si="666"/>
        <v>0.13134646088344867</v>
      </c>
      <c r="AG159" s="10">
        <f t="shared" si="666"/>
        <v>0.13134646088344867</v>
      </c>
      <c r="AH159" s="101">
        <f t="shared" ref="AH159" si="667">((AG159/X159)^(1/($K$2-$K$1) ))-1</f>
        <v>0</v>
      </c>
      <c r="AI159" s="10"/>
      <c r="AJ159" s="10"/>
    </row>
    <row r="160" spans="2:36" x14ac:dyDescent="0.2">
      <c r="B160" s="10" t="s">
        <v>299</v>
      </c>
      <c r="C160" s="10"/>
      <c r="D160" s="10"/>
      <c r="E160" s="10"/>
      <c r="F160" s="15"/>
      <c r="G160" s="15">
        <f t="shared" ref="G160" si="668">G25/360</f>
        <v>0.40555555555555556</v>
      </c>
      <c r="H160" s="15">
        <f t="shared" ref="H160:I160" si="669">H25/360</f>
        <v>0.50277777777777777</v>
      </c>
      <c r="I160" s="15">
        <f t="shared" si="669"/>
        <v>0.69166666666666665</v>
      </c>
      <c r="J160" s="15">
        <f t="shared" ref="J160:T160" si="670">J25/360</f>
        <v>0.9916666666666667</v>
      </c>
      <c r="K160" s="15">
        <f t="shared" si="670"/>
        <v>1.5444444444444445</v>
      </c>
      <c r="L160" s="15">
        <f t="shared" si="670"/>
        <v>2.0388888888888888</v>
      </c>
      <c r="M160" s="15">
        <f t="shared" si="670"/>
        <v>2.8944444444444444</v>
      </c>
      <c r="N160" s="15">
        <f t="shared" si="670"/>
        <v>5.9388888888888891</v>
      </c>
      <c r="O160" s="15">
        <f t="shared" si="670"/>
        <v>8.9333333333333336</v>
      </c>
      <c r="P160" s="15">
        <f t="shared" si="670"/>
        <v>11.5</v>
      </c>
      <c r="Q160" s="15">
        <f t="shared" si="670"/>
        <v>13.802777777777777</v>
      </c>
      <c r="R160" s="15">
        <f t="shared" si="670"/>
        <v>17.838888888888889</v>
      </c>
      <c r="S160" s="15">
        <f t="shared" si="670"/>
        <v>21.822222222222223</v>
      </c>
      <c r="T160" s="15">
        <f t="shared" si="670"/>
        <v>31.863888888888887</v>
      </c>
      <c r="U160" s="15">
        <f t="shared" ref="U160" si="671">U25/360</f>
        <v>29.247222222222224</v>
      </c>
      <c r="V160" s="101">
        <f t="shared" si="590"/>
        <v>0.35742778220204663</v>
      </c>
      <c r="W160" s="109"/>
      <c r="X160" s="15">
        <f t="shared" ref="X160:AG160" si="672">X25/360</f>
        <v>33.634305555555549</v>
      </c>
      <c r="Y160" s="15">
        <f t="shared" si="672"/>
        <v>38.679451388888879</v>
      </c>
      <c r="Z160" s="15">
        <f t="shared" si="672"/>
        <v>44.481369097222213</v>
      </c>
      <c r="AA160" s="15">
        <f t="shared" si="672"/>
        <v>51.15357446180554</v>
      </c>
      <c r="AB160" s="15">
        <f t="shared" si="672"/>
        <v>58.826610631076363</v>
      </c>
      <c r="AC160" s="15">
        <f t="shared" si="672"/>
        <v>67.650602225737813</v>
      </c>
      <c r="AD160" s="15">
        <f t="shared" si="672"/>
        <v>77.79819255959849</v>
      </c>
      <c r="AE160" s="15">
        <f t="shared" si="672"/>
        <v>89.467921443538245</v>
      </c>
      <c r="AF160" s="15">
        <f t="shared" si="672"/>
        <v>102.88810966006896</v>
      </c>
      <c r="AG160" s="15">
        <f t="shared" si="672"/>
        <v>118.32132610907931</v>
      </c>
      <c r="AH160" s="101">
        <f t="shared" ref="AH160:AH171" si="673">((AG160/X160)^(1/($K$2-$K$1) ))-1</f>
        <v>9.4006847318931053E-2</v>
      </c>
      <c r="AI160" s="10"/>
      <c r="AJ160" s="10"/>
    </row>
    <row r="161" spans="2:36" x14ac:dyDescent="0.2">
      <c r="B161" s="10" t="s">
        <v>298</v>
      </c>
      <c r="C161" s="10"/>
      <c r="D161" s="10"/>
      <c r="E161" s="10"/>
      <c r="F161" s="15"/>
      <c r="G161" s="15">
        <f t="shared" ref="G161" si="674">G27/360</f>
        <v>5.8333333333333334E-2</v>
      </c>
      <c r="H161" s="15">
        <f t="shared" ref="H161:I161" si="675">H27/360</f>
        <v>7.4999999999999997E-2</v>
      </c>
      <c r="I161" s="15">
        <f t="shared" si="675"/>
        <v>8.611111111111111E-2</v>
      </c>
      <c r="J161" s="15">
        <f t="shared" ref="J161:T161" si="676">J27/360</f>
        <v>0.10833333333333334</v>
      </c>
      <c r="K161" s="15">
        <f t="shared" si="676"/>
        <v>0.15555555555555556</v>
      </c>
      <c r="L161" s="15">
        <f t="shared" si="676"/>
        <v>0.22777777777777777</v>
      </c>
      <c r="M161" s="15">
        <f t="shared" si="676"/>
        <v>0.34444444444444444</v>
      </c>
      <c r="N161" s="15">
        <f t="shared" si="676"/>
        <v>0.75</v>
      </c>
      <c r="O161" s="15">
        <f t="shared" si="676"/>
        <v>1.0361111111111112</v>
      </c>
      <c r="P161" s="15">
        <f t="shared" si="676"/>
        <v>1.1138888888888889</v>
      </c>
      <c r="Q161" s="15">
        <f t="shared" si="676"/>
        <v>1.2250000000000001</v>
      </c>
      <c r="R161" s="15">
        <f t="shared" si="676"/>
        <v>2.6916666666666669</v>
      </c>
      <c r="S161" s="15">
        <f t="shared" si="676"/>
        <v>3.3694444444444445</v>
      </c>
      <c r="T161" s="15">
        <f t="shared" si="676"/>
        <v>4.1027777777777779</v>
      </c>
      <c r="U161" s="15">
        <f t="shared" ref="U161" si="677">U27/360</f>
        <v>3.2611111111111111</v>
      </c>
      <c r="V161" s="101">
        <f t="shared" si="590"/>
        <v>0.33296200870007753</v>
      </c>
      <c r="W161" s="109"/>
      <c r="X161" s="15">
        <f t="shared" ref="X161:AG161" si="678">X27/360</f>
        <v>3.7502777777777774</v>
      </c>
      <c r="Y161" s="15">
        <f t="shared" si="678"/>
        <v>4.3128194444444441</v>
      </c>
      <c r="Z161" s="15">
        <f t="shared" si="678"/>
        <v>4.9597423611111102</v>
      </c>
      <c r="AA161" s="15">
        <f t="shared" si="678"/>
        <v>5.7037037152777756</v>
      </c>
      <c r="AB161" s="15">
        <f t="shared" si="678"/>
        <v>6.5592592725694416</v>
      </c>
      <c r="AC161" s="15">
        <f t="shared" si="678"/>
        <v>7.5431481634548581</v>
      </c>
      <c r="AD161" s="15">
        <f t="shared" si="678"/>
        <v>8.6746203879730857</v>
      </c>
      <c r="AE161" s="15">
        <f t="shared" si="678"/>
        <v>9.9758134461690471</v>
      </c>
      <c r="AF161" s="15">
        <f t="shared" si="678"/>
        <v>11.472185463094403</v>
      </c>
      <c r="AG161" s="15">
        <f t="shared" si="678"/>
        <v>13.193013282558564</v>
      </c>
      <c r="AH161" s="101">
        <f t="shared" si="673"/>
        <v>9.4006847318931053E-2</v>
      </c>
      <c r="AI161" s="10"/>
      <c r="AJ161" s="10"/>
    </row>
    <row r="162" spans="2:36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 x14ac:dyDescent="0.2">
      <c r="B163" s="10" t="s">
        <v>308</v>
      </c>
      <c r="C163" s="10"/>
      <c r="D163" s="10"/>
      <c r="E163" s="10"/>
      <c r="F163" s="15"/>
      <c r="G163" s="15">
        <f t="shared" ref="G163" si="679">G10/G7</f>
        <v>8.5267175572519083</v>
      </c>
      <c r="H163" s="15">
        <f t="shared" ref="H163:I163" si="680">H10/H7</f>
        <v>8.5538461538461537</v>
      </c>
      <c r="I163" s="15">
        <f t="shared" si="680"/>
        <v>8.829710144927537</v>
      </c>
      <c r="J163" s="15">
        <f t="shared" ref="J163:T163" si="681">J10/J7</f>
        <v>9.2225201072386067</v>
      </c>
      <c r="K163" s="15">
        <f t="shared" si="681"/>
        <v>9.3788546255506606</v>
      </c>
      <c r="L163" s="15">
        <f t="shared" si="681"/>
        <v>11.763809523809524</v>
      </c>
      <c r="M163" s="15">
        <f t="shared" si="681"/>
        <v>10.502257336343115</v>
      </c>
      <c r="N163" s="15">
        <f t="shared" si="681"/>
        <v>0.83279742765273312</v>
      </c>
      <c r="O163" s="15">
        <f t="shared" si="681"/>
        <v>0.78080158337456707</v>
      </c>
      <c r="P163" s="15">
        <f t="shared" si="681"/>
        <v>8.476984862527031</v>
      </c>
      <c r="Q163" s="15">
        <f t="shared" si="681"/>
        <v>9.4823726916620039</v>
      </c>
      <c r="R163" s="15">
        <f t="shared" si="681"/>
        <v>8.1325035133507324</v>
      </c>
      <c r="S163" s="15">
        <f t="shared" si="681"/>
        <v>9.5668955279272598</v>
      </c>
      <c r="T163" s="15">
        <f t="shared" si="681"/>
        <v>9.2197930142302713</v>
      </c>
      <c r="U163" s="15">
        <f t="shared" ref="U163" si="682">U10/U7</f>
        <v>9.2645168828134121</v>
      </c>
      <c r="V163" s="101">
        <f t="shared" si="590"/>
        <v>5.9452632110030823E-3</v>
      </c>
      <c r="W163" s="109"/>
      <c r="X163" s="15">
        <f t="shared" ref="X163:AG163" si="683">X10/X7</f>
        <v>9.2645168828134139</v>
      </c>
      <c r="Y163" s="15">
        <f t="shared" si="683"/>
        <v>9.2645168828134139</v>
      </c>
      <c r="Z163" s="15">
        <f t="shared" si="683"/>
        <v>9.2645168828134139</v>
      </c>
      <c r="AA163" s="15">
        <f t="shared" si="683"/>
        <v>9.2645168828134139</v>
      </c>
      <c r="AB163" s="15">
        <f t="shared" si="683"/>
        <v>9.2645168828134139</v>
      </c>
      <c r="AC163" s="15">
        <f t="shared" si="683"/>
        <v>9.2645168828134157</v>
      </c>
      <c r="AD163" s="15">
        <f t="shared" si="683"/>
        <v>9.2645168828134139</v>
      </c>
      <c r="AE163" s="15">
        <f t="shared" si="683"/>
        <v>9.2645168828134139</v>
      </c>
      <c r="AF163" s="15">
        <f t="shared" si="683"/>
        <v>9.2645168828134139</v>
      </c>
      <c r="AG163" s="15">
        <f t="shared" si="683"/>
        <v>9.2645168828134139</v>
      </c>
      <c r="AH163" s="101">
        <f t="shared" si="673"/>
        <v>0</v>
      </c>
      <c r="AI163" s="10"/>
      <c r="AJ163" s="10"/>
    </row>
    <row r="164" spans="2:36" x14ac:dyDescent="0.2">
      <c r="B164" s="10" t="s">
        <v>300</v>
      </c>
      <c r="C164" s="10"/>
      <c r="D164" s="10"/>
      <c r="E164" s="10"/>
      <c r="F164" s="15"/>
      <c r="G164" s="15">
        <f t="shared" ref="G164" si="684">G10/(G10+G7)</f>
        <v>0.89503205128205132</v>
      </c>
      <c r="H164" s="15">
        <f t="shared" ref="H164:I164" si="685">H10/(H10+H7)</f>
        <v>0.89533011272141705</v>
      </c>
      <c r="I164" s="15">
        <f t="shared" si="685"/>
        <v>0.8982676004423148</v>
      </c>
      <c r="J164" s="15">
        <f t="shared" ref="J164:T164" si="686">J10/(J10+J7)</f>
        <v>0.90217676370312094</v>
      </c>
      <c r="K164" s="15">
        <f t="shared" si="686"/>
        <v>0.90365025466893034</v>
      </c>
      <c r="L164" s="15">
        <f t="shared" si="686"/>
        <v>0.9216534845545441</v>
      </c>
      <c r="M164" s="15">
        <f t="shared" si="686"/>
        <v>0.91306054361691691</v>
      </c>
      <c r="N164" s="15">
        <f t="shared" si="686"/>
        <v>0.45438596491228073</v>
      </c>
      <c r="O164" s="15">
        <f t="shared" si="686"/>
        <v>0.43845512642400669</v>
      </c>
      <c r="P164" s="15">
        <f t="shared" si="686"/>
        <v>0.8944812074192392</v>
      </c>
      <c r="Q164" s="15">
        <f t="shared" si="686"/>
        <v>0.90460175101430707</v>
      </c>
      <c r="R164" s="15">
        <f t="shared" si="686"/>
        <v>0.89050100024181666</v>
      </c>
      <c r="S164" s="15">
        <f t="shared" si="686"/>
        <v>0.90536482570901744</v>
      </c>
      <c r="T164" s="15">
        <f t="shared" si="686"/>
        <v>0.90215066013493839</v>
      </c>
      <c r="U164" s="15">
        <f t="shared" ref="U164" si="687">U10/(U10+U7)</f>
        <v>0.90257700275457009</v>
      </c>
      <c r="V164" s="101">
        <f t="shared" si="590"/>
        <v>5.9978544633620956E-4</v>
      </c>
      <c r="W164" s="109"/>
      <c r="X164" s="15">
        <f t="shared" ref="X164:AG164" si="688">X10/(X10+X7)</f>
        <v>0.90257700275456998</v>
      </c>
      <c r="Y164" s="15">
        <f t="shared" si="688"/>
        <v>0.90257700275457009</v>
      </c>
      <c r="Z164" s="15">
        <f t="shared" si="688"/>
        <v>0.9025770027545702</v>
      </c>
      <c r="AA164" s="15">
        <f t="shared" si="688"/>
        <v>0.9025770027545702</v>
      </c>
      <c r="AB164" s="15">
        <f t="shared" si="688"/>
        <v>0.90257700275457009</v>
      </c>
      <c r="AC164" s="15">
        <f t="shared" si="688"/>
        <v>0.90257700275457009</v>
      </c>
      <c r="AD164" s="15">
        <f t="shared" si="688"/>
        <v>0.9025770027545702</v>
      </c>
      <c r="AE164" s="15">
        <f t="shared" si="688"/>
        <v>0.90257700275457009</v>
      </c>
      <c r="AF164" s="15">
        <f t="shared" si="688"/>
        <v>0.90257700275457009</v>
      </c>
      <c r="AG164" s="15">
        <f t="shared" si="688"/>
        <v>0.90257700275457009</v>
      </c>
      <c r="AH164" s="101">
        <f t="shared" si="673"/>
        <v>0</v>
      </c>
      <c r="AI164" s="10"/>
      <c r="AJ164" s="10"/>
    </row>
    <row r="165" spans="2:36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 x14ac:dyDescent="0.2">
      <c r="B166" s="10" t="s">
        <v>305</v>
      </c>
      <c r="C166" s="10"/>
      <c r="D166" s="10"/>
      <c r="E166" s="10"/>
      <c r="F166" s="15"/>
      <c r="G166" s="15">
        <f t="shared" ref="G166" si="689">G16</f>
        <v>1166</v>
      </c>
      <c r="H166" s="15">
        <f t="shared" ref="H166:I166" si="690">H16</f>
        <v>1740</v>
      </c>
      <c r="I166" s="15">
        <f t="shared" si="690"/>
        <v>2601</v>
      </c>
      <c r="J166" s="15">
        <f t="shared" ref="J166:T166" si="691">J16</f>
        <v>3703</v>
      </c>
      <c r="K166" s="15">
        <f t="shared" si="691"/>
        <v>4596</v>
      </c>
      <c r="L166" s="15">
        <f t="shared" si="691"/>
        <v>6576</v>
      </c>
      <c r="M166" s="15">
        <f t="shared" si="691"/>
        <v>9888</v>
      </c>
      <c r="N166" s="15">
        <f t="shared" si="691"/>
        <v>1822</v>
      </c>
      <c r="O166" s="15">
        <f t="shared" si="691"/>
        <v>2940</v>
      </c>
      <c r="P166" s="15">
        <f t="shared" si="691"/>
        <v>29964</v>
      </c>
      <c r="Q166" s="15">
        <f t="shared" si="691"/>
        <v>35901</v>
      </c>
      <c r="R166" s="15">
        <f t="shared" si="691"/>
        <v>43160</v>
      </c>
      <c r="S166" s="15">
        <f t="shared" si="691"/>
        <v>54675</v>
      </c>
      <c r="T166" s="15">
        <f t="shared" si="691"/>
        <v>64465</v>
      </c>
      <c r="U166" s="15">
        <f t="shared" ref="U166" si="692">U16</f>
        <v>78771</v>
      </c>
      <c r="V166" s="101">
        <f t="shared" si="590"/>
        <v>0.35110953147685153</v>
      </c>
      <c r="W166" s="109"/>
      <c r="X166" s="15">
        <f t="shared" ref="X166:AG166" si="693">X16</f>
        <v>90586.65</v>
      </c>
      <c r="Y166" s="15">
        <f t="shared" si="693"/>
        <v>104174.64749999999</v>
      </c>
      <c r="Z166" s="15">
        <f t="shared" si="693"/>
        <v>119800.84462499998</v>
      </c>
      <c r="AA166" s="15">
        <f t="shared" si="693"/>
        <v>137770.97131874997</v>
      </c>
      <c r="AB166" s="15">
        <f t="shared" si="693"/>
        <v>158436.61701656246</v>
      </c>
      <c r="AC166" s="15">
        <f t="shared" si="693"/>
        <v>182202.10956904682</v>
      </c>
      <c r="AD166" s="15">
        <f t="shared" si="693"/>
        <v>209532.42600440382</v>
      </c>
      <c r="AE166" s="15">
        <f t="shared" si="693"/>
        <v>240962.28990506439</v>
      </c>
      <c r="AF166" s="15">
        <f t="shared" si="693"/>
        <v>277106.63339082402</v>
      </c>
      <c r="AG166" s="15">
        <f t="shared" si="693"/>
        <v>318672.6283994476</v>
      </c>
      <c r="AH166" s="101">
        <f t="shared" si="673"/>
        <v>9.4006847318931053E-2</v>
      </c>
      <c r="AI166" s="10"/>
      <c r="AJ166" s="10"/>
    </row>
    <row r="167" spans="2:36" x14ac:dyDescent="0.2">
      <c r="B167" s="10" t="s">
        <v>306</v>
      </c>
      <c r="C167" s="10"/>
      <c r="D167" s="10"/>
      <c r="E167" s="10"/>
      <c r="F167" s="102"/>
      <c r="G167" s="102">
        <f t="shared" ref="G167" si="694">G166*365/G25</f>
        <v>2915</v>
      </c>
      <c r="H167" s="102">
        <f t="shared" ref="H167:I167" si="695">H166*365/H25</f>
        <v>3508.8397790055251</v>
      </c>
      <c r="I167" s="102">
        <f t="shared" si="695"/>
        <v>3812.7108433734938</v>
      </c>
      <c r="J167" s="102">
        <f t="shared" ref="J167:T167" si="696">J166*365/J25</f>
        <v>3785.9803921568628</v>
      </c>
      <c r="K167" s="102">
        <f t="shared" si="696"/>
        <v>3017.1582733812947</v>
      </c>
      <c r="L167" s="102">
        <f t="shared" si="696"/>
        <v>3270.0817438692097</v>
      </c>
      <c r="M167" s="102">
        <f t="shared" si="696"/>
        <v>3463.6468330134358</v>
      </c>
      <c r="N167" s="102">
        <f t="shared" si="696"/>
        <v>311.05238540692238</v>
      </c>
      <c r="O167" s="102">
        <f t="shared" si="696"/>
        <v>333.67537313432837</v>
      </c>
      <c r="P167" s="102">
        <f t="shared" si="696"/>
        <v>2641.753623188406</v>
      </c>
      <c r="Q167" s="102">
        <f t="shared" si="696"/>
        <v>2637.1231636144093</v>
      </c>
      <c r="R167" s="102">
        <f t="shared" si="696"/>
        <v>2453.0364372469635</v>
      </c>
      <c r="S167" s="102">
        <f t="shared" si="696"/>
        <v>2540.2717668024438</v>
      </c>
      <c r="T167" s="102">
        <f t="shared" si="696"/>
        <v>2051.2357248714147</v>
      </c>
      <c r="U167" s="102">
        <f t="shared" ref="U167" si="697">U166*365/U25</f>
        <v>2730.6880995346187</v>
      </c>
      <c r="V167" s="101">
        <f t="shared" si="590"/>
        <v>-4.6545759620046923E-3</v>
      </c>
      <c r="W167" s="109"/>
      <c r="X167" s="102">
        <f t="shared" ref="X167:AG167" si="698">X166*365/X25</f>
        <v>2730.6880995346187</v>
      </c>
      <c r="Y167" s="102">
        <f t="shared" si="698"/>
        <v>2730.6880995346191</v>
      </c>
      <c r="Z167" s="102">
        <f t="shared" si="698"/>
        <v>2730.6880995346191</v>
      </c>
      <c r="AA167" s="102">
        <f t="shared" si="698"/>
        <v>2730.6880995346191</v>
      </c>
      <c r="AB167" s="102">
        <f t="shared" si="698"/>
        <v>2730.6880995346191</v>
      </c>
      <c r="AC167" s="102">
        <f t="shared" si="698"/>
        <v>2730.6880995346191</v>
      </c>
      <c r="AD167" s="102">
        <f t="shared" si="698"/>
        <v>2730.6880995346191</v>
      </c>
      <c r="AE167" s="102">
        <f t="shared" si="698"/>
        <v>2730.6880995346191</v>
      </c>
      <c r="AF167" s="102">
        <f t="shared" si="698"/>
        <v>2730.6880995346196</v>
      </c>
      <c r="AG167" s="102">
        <f t="shared" si="698"/>
        <v>2730.6880995346191</v>
      </c>
      <c r="AH167" s="101">
        <f t="shared" si="673"/>
        <v>0</v>
      </c>
      <c r="AI167" s="10"/>
      <c r="AJ167" s="10"/>
    </row>
    <row r="168" spans="2:36" x14ac:dyDescent="0.2">
      <c r="B168" s="10" t="s">
        <v>309</v>
      </c>
      <c r="C168" s="10"/>
      <c r="D168" s="10"/>
      <c r="E168" s="10"/>
      <c r="F168" s="111"/>
      <c r="G168" s="111">
        <f t="shared" ref="G168" si="699">G102/G29</f>
        <v>0.36096912992000929</v>
      </c>
      <c r="H168" s="111">
        <f t="shared" ref="H168:I168" si="700">H102/H29</f>
        <v>0.26208452659897596</v>
      </c>
      <c r="I168" s="111">
        <f t="shared" si="700"/>
        <v>0.26406813701788967</v>
      </c>
      <c r="J168" s="111">
        <f t="shared" ref="J168:T168" si="701">J102/J29</f>
        <v>0.25411025338880472</v>
      </c>
      <c r="K168" s="111">
        <f t="shared" si="701"/>
        <v>0.21009913128025196</v>
      </c>
      <c r="L168" s="111">
        <f t="shared" si="701"/>
        <v>0.20369933097205825</v>
      </c>
      <c r="M168" s="111">
        <f t="shared" si="701"/>
        <v>0.15930095198387884</v>
      </c>
      <c r="N168" s="111">
        <f t="shared" si="701"/>
        <v>0.12562363901981863</v>
      </c>
      <c r="O168" s="111">
        <f t="shared" si="701"/>
        <v>0.10343952833324586</v>
      </c>
      <c r="P168" s="111">
        <f t="shared" si="701"/>
        <v>9.3033538590661935E-2</v>
      </c>
      <c r="Q168" s="111">
        <f t="shared" si="701"/>
        <v>9.3202594351667445E-2</v>
      </c>
      <c r="R168" s="111">
        <f t="shared" si="701"/>
        <v>8.3926723500714534E-2</v>
      </c>
      <c r="S168" s="111">
        <f t="shared" si="701"/>
        <v>4.143658395228593E-2</v>
      </c>
      <c r="T168" s="111">
        <f t="shared" si="701"/>
        <v>3.8915991515050471E-2</v>
      </c>
      <c r="U168" s="111">
        <f t="shared" ref="U168" si="702">U102/U29</f>
        <v>3.9251317371551235E-2</v>
      </c>
      <c r="V168" s="101">
        <f t="shared" si="590"/>
        <v>-0.14656529758306847</v>
      </c>
      <c r="W168" s="109"/>
      <c r="X168" s="111">
        <f t="shared" ref="X168:AG168" si="703">X102/X29</f>
        <v>3.7382207020524985E-2</v>
      </c>
      <c r="Y168" s="111">
        <f t="shared" si="703"/>
        <v>3.5602101924309501E-2</v>
      </c>
      <c r="Z168" s="111">
        <f t="shared" si="703"/>
        <v>3.3906763737437624E-2</v>
      </c>
      <c r="AA168" s="111">
        <f t="shared" si="703"/>
        <v>3.2292155940416782E-2</v>
      </c>
      <c r="AB168" s="111">
        <f t="shared" si="703"/>
        <v>3.0754434228968366E-2</v>
      </c>
      <c r="AC168" s="111">
        <f t="shared" si="703"/>
        <v>2.9289937360922252E-2</v>
      </c>
      <c r="AD168" s="111">
        <f t="shared" si="703"/>
        <v>2.7895178438973569E-2</v>
      </c>
      <c r="AE168" s="111">
        <f t="shared" si="703"/>
        <v>2.6566836608546252E-2</v>
      </c>
      <c r="AF168" s="111">
        <f t="shared" si="703"/>
        <v>2.5301749150996426E-2</v>
      </c>
      <c r="AG168" s="111">
        <f t="shared" si="703"/>
        <v>2.4096903953329932E-2</v>
      </c>
      <c r="AH168" s="101">
        <f t="shared" si="673"/>
        <v>-3.0878323215488224E-2</v>
      </c>
      <c r="AI168" s="10"/>
      <c r="AJ168" s="10"/>
    </row>
    <row r="169" spans="2:36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 x14ac:dyDescent="0.2">
      <c r="B170" s="10" t="s">
        <v>316</v>
      </c>
      <c r="C170" s="10"/>
      <c r="D170" s="10"/>
      <c r="E170" s="10"/>
      <c r="F170" s="155"/>
      <c r="G170" s="155" t="e">
        <f t="shared" ref="G170" si="704">G25/G14</f>
        <v>#DIV/0!</v>
      </c>
      <c r="H170" s="155" t="e">
        <f t="shared" ref="H170:I170" si="705">H25/H14</f>
        <v>#DIV/0!</v>
      </c>
      <c r="I170" s="155" t="e">
        <f t="shared" si="705"/>
        <v>#DIV/0!</v>
      </c>
      <c r="J170" s="155" t="e">
        <f t="shared" ref="J170:T170" si="706">J25/J14</f>
        <v>#DIV/0!</v>
      </c>
      <c r="K170" s="155" t="e">
        <f t="shared" si="706"/>
        <v>#DIV/0!</v>
      </c>
      <c r="L170" s="155" t="e">
        <f t="shared" si="706"/>
        <v>#DIV/0!</v>
      </c>
      <c r="M170" s="155" t="e">
        <f t="shared" si="706"/>
        <v>#DIV/0!</v>
      </c>
      <c r="N170" s="155">
        <f t="shared" si="706"/>
        <v>1.4475287745429926</v>
      </c>
      <c r="O170" s="155">
        <f t="shared" si="706"/>
        <v>2.4326777609682297</v>
      </c>
      <c r="P170" s="155" t="e">
        <f t="shared" si="706"/>
        <v>#DIV/0!</v>
      </c>
      <c r="Q170" s="155" t="e">
        <f t="shared" si="706"/>
        <v>#DIV/0!</v>
      </c>
      <c r="R170" s="155" t="e">
        <f t="shared" si="706"/>
        <v>#DIV/0!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 x14ac:dyDescent="0.2">
      <c r="B171" s="10" t="s">
        <v>317</v>
      </c>
      <c r="C171" s="10"/>
      <c r="D171" s="10"/>
      <c r="E171" s="10"/>
      <c r="F171" s="155"/>
      <c r="G171" s="155" t="e">
        <f t="shared" ref="G171" si="709">G27/G14</f>
        <v>#DIV/0!</v>
      </c>
      <c r="H171" s="155" t="e">
        <f t="shared" ref="H171:I171" si="710">H27/H14</f>
        <v>#DIV/0!</v>
      </c>
      <c r="I171" s="155" t="e">
        <f t="shared" si="710"/>
        <v>#DIV/0!</v>
      </c>
      <c r="J171" s="155" t="e">
        <f t="shared" ref="J171:T171" si="711">J27/J14</f>
        <v>#DIV/0!</v>
      </c>
      <c r="K171" s="155" t="e">
        <f t="shared" si="711"/>
        <v>#DIV/0!</v>
      </c>
      <c r="L171" s="155" t="e">
        <f t="shared" si="711"/>
        <v>#DIV/0!</v>
      </c>
      <c r="M171" s="155" t="e">
        <f t="shared" si="711"/>
        <v>#DIV/0!</v>
      </c>
      <c r="N171" s="155">
        <f t="shared" si="711"/>
        <v>0.18280297901150983</v>
      </c>
      <c r="O171" s="155">
        <f t="shared" si="711"/>
        <v>0.28214826021180028</v>
      </c>
      <c r="P171" s="155" t="e">
        <f t="shared" si="711"/>
        <v>#DIV/0!</v>
      </c>
      <c r="Q171" s="155" t="e">
        <f t="shared" si="711"/>
        <v>#DIV/0!</v>
      </c>
      <c r="R171" s="155" t="e">
        <f t="shared" si="711"/>
        <v>#DIV/0!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501</v>
      </c>
      <c r="T173" s="13" t="s">
        <v>410</v>
      </c>
      <c r="U173" s="13" t="s">
        <v>410</v>
      </c>
      <c r="V173" s="13" t="s">
        <v>502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14.508928571428571</v>
      </c>
      <c r="T174" s="111">
        <f>AVERAGE(Q106:U106)</f>
        <v>37.391581632653065</v>
      </c>
      <c r="U174" s="111">
        <f>AVERAGE(Q76:U76)</f>
        <v>47.359376661668158</v>
      </c>
      <c r="V174" s="111">
        <f>AVERAGE(L76:U76)</f>
        <v>37.251997306833047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88.601428911250025</v>
      </c>
      <c r="X175" s="111">
        <f>PV($C$1, ($AG$3-$X$3), 0, -AG76)</f>
        <v>15.25106563226435</v>
      </c>
      <c r="Y175" s="111">
        <f>PV($C$1, ($AG$3-$X$3), 0, -AJ76)</f>
        <v>73.350363278985682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657.71000004457005</v>
      </c>
      <c r="X176" s="111">
        <f>PV($C$1, ($AG$3-$X$3), 0, -AG78)</f>
        <v>113.21237705685219</v>
      </c>
      <c r="Y176" s="111">
        <f>PV($C$1, ($AG$3-$X$3), 0, -AJ78)</f>
        <v>544.49762298771782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633.65774744333748</v>
      </c>
      <c r="X177" s="111">
        <f>PV($C$1, ($AG$3-$X$3), 0, -AG79)</f>
        <v>109.07223521565645</v>
      </c>
      <c r="Y177" s="111">
        <f>PV($C$1, ($AG$3-$X$3), 0, -AJ79)</f>
        <v>524.58551222768108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6093.3653994081278</v>
      </c>
      <c r="X178" s="111">
        <f>PV($C$1, ($AG$3-$X$3), 0, -AG80)</f>
        <v>1048.857978586645</v>
      </c>
      <c r="Y178" s="111">
        <f>PV($C$1, ($AG$3-$X$3), 0, -AJ80)</f>
        <v>5044.5074208214828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189.65162753943201</v>
      </c>
      <c r="X179" s="111">
        <f>PV($C$1, ($AG$3-$X$3), 0, -AG86)</f>
        <v>32.644952281377648</v>
      </c>
      <c r="Y179" s="111">
        <f>PV($C$1, ($AG$3-$X$3), 0, -AJ86)</f>
        <v>157.00667525805437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-5435.6553993635589</v>
      </c>
      <c r="X181" s="111">
        <f>PV($C$1, ($AG$3-$X$3), 0, -AG82)</f>
        <v>-935.645601529793</v>
      </c>
      <c r="Y181" s="111">
        <f>PV($C$1, ($AG$3-$X$3), 0, -$AJ$82)</f>
        <v>-4500.0097978337662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-6879.5589980126388</v>
      </c>
      <c r="X182" s="111">
        <f>PV($C$1, ($AG$3-$X$3), 0, -AG83)</f>
        <v>-1184.1863849038148</v>
      </c>
      <c r="Y182" s="111">
        <f>PV($C$1, ($AG$3-$X$3), 0, -$AJ$83)</f>
        <v>-5695.3726131088242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-6686.1420018551216</v>
      </c>
      <c r="X183" s="111">
        <f>PV($C$1, ($AG$3-$X$3), 0, -AG84)</f>
        <v>-1150.8932954012912</v>
      </c>
      <c r="Y183" s="111">
        <f>PV($C$1, ($AG$3-$X$3), 0, -$AJ$84)</f>
        <v>-5535.24870645383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193.41699615751642</v>
      </c>
      <c r="X185" s="111">
        <f>PV($C$1, ($AG$3-$X$3), 0, -AG89)</f>
        <v>33.293089502523316</v>
      </c>
      <c r="Y185" s="111">
        <f>PV($C$1, ($AG$3-$X$3), 0, -AJ89)</f>
        <v>160.12390665499311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5777.9581444504311</v>
      </c>
      <c r="X186" s="111">
        <f>PV($C$1, ($AG$3-$X$3), 0, -AG90)</f>
        <v>1041.9268785074551</v>
      </c>
      <c r="Y186" s="111">
        <f>PV($C$1, ($AG$3-$X$3), 0, -AJ90)</f>
        <v>4736.0312659429765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9687.8101349569934</v>
      </c>
      <c r="X188" s="111">
        <f>PV($C$1, ($AG$3-$X$3), 0, -AG12)</f>
        <v>1667.5738756893186</v>
      </c>
      <c r="Y188" s="111">
        <f>PV($C$1, ($AG$3-$X$3), 0, -AJ12)</f>
        <v>8020.2362592676755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332.11553428032204</v>
      </c>
      <c r="X189" s="117">
        <f>X188/S61</f>
        <v>57.167428031858705</v>
      </c>
      <c r="Y189" s="117">
        <f>Y188/S61</f>
        <v>274.94810624846332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37.475024677203578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32.089500125714679</v>
      </c>
      <c r="Y192" s="111">
        <f>PV($C$1, ($AG$3-$X$3), 0, -AJ92)</f>
        <v>5.3855245514888992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 x14ac:dyDescent="0.2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 x14ac:dyDescent="0.2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510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 x14ac:dyDescent="0.2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230</v>
      </c>
      <c r="V204" s="10">
        <v>150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23</v>
      </c>
      <c r="H205" s="12">
        <v>32</v>
      </c>
      <c r="I205" s="12">
        <v>65</v>
      </c>
      <c r="J205" s="12">
        <v>61</v>
      </c>
      <c r="K205" s="12">
        <v>107</v>
      </c>
      <c r="L205" s="12">
        <v>54</v>
      </c>
      <c r="M205" s="12">
        <v>205</v>
      </c>
      <c r="N205" s="12">
        <v>268</v>
      </c>
      <c r="O205" s="12">
        <v>239</v>
      </c>
      <c r="P205" s="12">
        <v>162</v>
      </c>
      <c r="Q205" s="12">
        <v>218</v>
      </c>
      <c r="R205" s="12">
        <v>467</v>
      </c>
      <c r="S205" s="12">
        <v>196</v>
      </c>
      <c r="T205" s="12">
        <v>367</v>
      </c>
      <c r="U205" s="12">
        <v>230</v>
      </c>
      <c r="V205" s="101">
        <f t="shared" ref="V205:V236" si="719">((U205/G205)^(1/($K$2-$K$1) ))-1</f>
        <v>0.17876863479358729</v>
      </c>
      <c r="W205" s="21">
        <v>0</v>
      </c>
      <c r="X205" s="172">
        <v>50</v>
      </c>
      <c r="Y205" s="102">
        <f t="shared" ref="Y205:AG205" si="720">X205*(1+$W205)</f>
        <v>50</v>
      </c>
      <c r="Z205" s="102">
        <f t="shared" si="720"/>
        <v>50</v>
      </c>
      <c r="AA205" s="102">
        <f t="shared" si="720"/>
        <v>50</v>
      </c>
      <c r="AB205" s="102">
        <f t="shared" si="720"/>
        <v>50</v>
      </c>
      <c r="AC205" s="102">
        <f t="shared" si="720"/>
        <v>50</v>
      </c>
      <c r="AD205" s="102">
        <f t="shared" si="720"/>
        <v>50</v>
      </c>
      <c r="AE205" s="102">
        <f t="shared" si="720"/>
        <v>50</v>
      </c>
      <c r="AF205" s="102">
        <f t="shared" si="720"/>
        <v>50</v>
      </c>
      <c r="AG205" s="102">
        <f t="shared" si="720"/>
        <v>50</v>
      </c>
      <c r="AH205" s="115">
        <f t="shared" ref="AH205:AH212" si="721">((AG205/J205)^(1/($AG$3-$K$1) ))-1</f>
        <v>-8.2512226881688022E-3</v>
      </c>
      <c r="AI205" s="21">
        <f t="shared" ref="AI205:AI212" si="722">$O$1</f>
        <v>0.01</v>
      </c>
      <c r="AJ205" s="108">
        <f t="shared" ref="AJ205:AJ216" si="723">(AG205*(1+AH205))/($C$1-AI205)</f>
        <v>236.13066126472171</v>
      </c>
    </row>
    <row r="206" spans="2:36" x14ac:dyDescent="0.2">
      <c r="B206" s="10" t="s">
        <v>303</v>
      </c>
      <c r="C206" s="15"/>
      <c r="D206" s="15"/>
      <c r="E206" s="15"/>
      <c r="F206" s="15"/>
      <c r="G206" s="15">
        <f t="shared" ref="G206" si="724">G205/G70</f>
        <v>0.56239726027397252</v>
      </c>
      <c r="H206" s="15">
        <f t="shared" ref="H206:I206" si="725">H205/H70</f>
        <v>0.88574585635359104</v>
      </c>
      <c r="I206" s="15">
        <f t="shared" si="725"/>
        <v>1.3078313253012048</v>
      </c>
      <c r="J206" s="15">
        <f t="shared" ref="J206:T206" si="726">J205/J70</f>
        <v>0.85605042016806709</v>
      </c>
      <c r="K206" s="15">
        <f t="shared" si="726"/>
        <v>1.1642985611510792</v>
      </c>
      <c r="L206" s="15">
        <f t="shared" si="726"/>
        <v>0.44509536784741144</v>
      </c>
      <c r="M206" s="15">
        <f t="shared" si="726"/>
        <v>1.6132437619961613</v>
      </c>
      <c r="N206" s="15">
        <f t="shared" si="726"/>
        <v>1.3086623012160898</v>
      </c>
      <c r="O206" s="15">
        <f t="shared" si="726"/>
        <v>0.86800995024875616</v>
      </c>
      <c r="P206" s="15">
        <f t="shared" si="726"/>
        <v>0.50165217391304351</v>
      </c>
      <c r="Q206" s="15">
        <f t="shared" si="726"/>
        <v>0.56331656268866981</v>
      </c>
      <c r="R206" s="15">
        <f t="shared" si="726"/>
        <v>1.0587854251012145</v>
      </c>
      <c r="S206" s="15">
        <f t="shared" si="726"/>
        <v>0.72776476578411409</v>
      </c>
      <c r="T206" s="15">
        <f t="shared" si="726"/>
        <v>1.0017234765931478</v>
      </c>
      <c r="U206" s="15">
        <f t="shared" ref="U206" si="727">U205/U70</f>
        <v>0.68504131446481142</v>
      </c>
      <c r="V206" s="101">
        <f t="shared" si="719"/>
        <v>1.419050562804447E-2</v>
      </c>
      <c r="W206" s="109"/>
      <c r="X206" s="15">
        <f t="shared" ref="X206:AG206" si="728">X205/X70</f>
        <v>0.13597228358942381</v>
      </c>
      <c r="Y206" s="15">
        <f t="shared" si="728"/>
        <v>0.1241486067555609</v>
      </c>
      <c r="Z206" s="15">
        <f t="shared" si="728"/>
        <v>0.11335307573333823</v>
      </c>
      <c r="AA206" s="15">
        <f t="shared" si="728"/>
        <v>0.10349628653913491</v>
      </c>
      <c r="AB206" s="15">
        <f t="shared" si="728"/>
        <v>9.4496609448775373E-2</v>
      </c>
      <c r="AC206" s="15">
        <f t="shared" si="728"/>
        <v>8.6279512974968817E-2</v>
      </c>
      <c r="AD206" s="15">
        <f t="shared" si="728"/>
        <v>7.8776946629319361E-2</v>
      </c>
      <c r="AE206" s="15">
        <f t="shared" si="728"/>
        <v>7.1926777357204666E-2</v>
      </c>
      <c r="AF206" s="15">
        <f t="shared" si="728"/>
        <v>6.5672274978317305E-2</v>
      </c>
      <c r="AG206" s="15">
        <f t="shared" si="728"/>
        <v>5.9961642371507112E-2</v>
      </c>
      <c r="AH206" s="115">
        <f t="shared" ref="AH206" si="729">((AG206/J206)^(1/($AG$3-$K$1) ))-1</f>
        <v>-0.10486077026280161</v>
      </c>
      <c r="AI206" s="21">
        <f t="shared" si="722"/>
        <v>0.01</v>
      </c>
      <c r="AJ206" s="108">
        <f t="shared" ref="AJ206" si="730">(AG206*(1+AH206))/($C$1-AI206)</f>
        <v>0.25559056364861066</v>
      </c>
    </row>
    <row r="207" spans="2:36" x14ac:dyDescent="0.2">
      <c r="B207" s="10" t="s">
        <v>331</v>
      </c>
      <c r="C207" s="15"/>
      <c r="D207" s="15"/>
      <c r="E207" s="15"/>
      <c r="F207" s="15"/>
      <c r="G207" s="15">
        <f t="shared" ref="G207" si="731">G205/G76</f>
        <v>3.732272727272727</v>
      </c>
      <c r="H207" s="15">
        <f t="shared" ref="H207:I207" si="732">H205/H76</f>
        <v>5.1716129032258067</v>
      </c>
      <c r="I207" s="15">
        <f t="shared" si="732"/>
        <v>7.2366666666666664</v>
      </c>
      <c r="J207" s="15">
        <f t="shared" ref="J207:T207" si="733">J205/J76</f>
        <v>5.7662264150943399</v>
      </c>
      <c r="K207" s="15">
        <f t="shared" si="733"/>
        <v>7.5273255813953481</v>
      </c>
      <c r="L207" s="15">
        <f t="shared" si="733"/>
        <v>3.333673469387755</v>
      </c>
      <c r="M207" s="15">
        <f t="shared" si="733"/>
        <v>10.376543209876543</v>
      </c>
      <c r="N207" s="15">
        <f t="shared" si="733"/>
        <v>7.8373109243697483</v>
      </c>
      <c r="O207" s="15">
        <f t="shared" si="733"/>
        <v>7.8634366197183097</v>
      </c>
      <c r="P207" s="15">
        <f t="shared" si="733"/>
        <v>4.6049667405764971</v>
      </c>
      <c r="Q207" s="15">
        <f t="shared" si="733"/>
        <v>5.2913421550094517</v>
      </c>
      <c r="R207" s="15">
        <f t="shared" si="733"/>
        <v>10.607675507020282</v>
      </c>
      <c r="S207" s="15">
        <f t="shared" si="733"/>
        <v>7.6845698924731192</v>
      </c>
      <c r="T207" s="15">
        <f t="shared" si="733"/>
        <v>4.1097174535050076</v>
      </c>
      <c r="U207" s="15">
        <f t="shared" ref="U207" si="734">U205/U76</f>
        <v>6.2556808326105804</v>
      </c>
      <c r="V207" s="101">
        <f t="shared" si="719"/>
        <v>3.7579816615272099E-2</v>
      </c>
      <c r="W207" s="109"/>
      <c r="X207" s="102">
        <f t="shared" ref="X207:AG207" si="735">X205/X76</f>
        <v>1.2416757796296993</v>
      </c>
      <c r="Y207" s="102">
        <f t="shared" si="735"/>
        <v>1.1337039727053777</v>
      </c>
      <c r="Z207" s="102">
        <f t="shared" si="735"/>
        <v>1.0351210185570845</v>
      </c>
      <c r="AA207" s="102">
        <f t="shared" si="735"/>
        <v>0.94511049520429458</v>
      </c>
      <c r="AB207" s="102">
        <f t="shared" si="735"/>
        <v>0.86292697388218209</v>
      </c>
      <c r="AC207" s="102">
        <f t="shared" si="735"/>
        <v>0.78788984571851417</v>
      </c>
      <c r="AD207" s="102">
        <f t="shared" si="735"/>
        <v>0.71937768522125223</v>
      </c>
      <c r="AE207" s="102">
        <f t="shared" si="735"/>
        <v>0.65682310389766529</v>
      </c>
      <c r="AF207" s="102">
        <f t="shared" si="735"/>
        <v>0.59970805138482486</v>
      </c>
      <c r="AG207" s="102">
        <f t="shared" si="735"/>
        <v>0.54755952517744888</v>
      </c>
      <c r="AH207" s="115">
        <f t="shared" si="721"/>
        <v>-9.3438053574845803E-2</v>
      </c>
      <c r="AI207" s="21">
        <f t="shared" si="722"/>
        <v>0.01</v>
      </c>
      <c r="AJ207" s="108">
        <f t="shared" si="723"/>
        <v>2.3637934710881012</v>
      </c>
    </row>
    <row r="208" spans="2:36" x14ac:dyDescent="0.2">
      <c r="B208" s="10" t="s">
        <v>404</v>
      </c>
      <c r="C208" s="15"/>
      <c r="D208" s="15"/>
      <c r="E208" s="15"/>
      <c r="F208" s="15"/>
      <c r="G208" s="15">
        <f t="shared" ref="G208" si="736">G205/G74</f>
        <v>0.65687999999999991</v>
      </c>
      <c r="H208" s="15">
        <f t="shared" ref="H208:I208" si="737">H205/H74</f>
        <v>1.0617218543046358</v>
      </c>
      <c r="I208" s="15">
        <f t="shared" si="737"/>
        <v>1.5288732394366196</v>
      </c>
      <c r="J208" s="15">
        <f t="shared" ref="J208:T208" si="738">J205/J74</f>
        <v>0.96406940063091473</v>
      </c>
      <c r="K208" s="15">
        <f t="shared" si="738"/>
        <v>1.3025150905432596</v>
      </c>
      <c r="L208" s="15">
        <f t="shared" si="738"/>
        <v>0.50494590417310659</v>
      </c>
      <c r="M208" s="15">
        <f t="shared" si="738"/>
        <v>1.833151581243184</v>
      </c>
      <c r="N208" s="15">
        <f t="shared" si="738"/>
        <v>1.5347888096544158</v>
      </c>
      <c r="O208" s="15">
        <f t="shared" si="738"/>
        <v>0.98362226920366447</v>
      </c>
      <c r="P208" s="15">
        <f t="shared" si="738"/>
        <v>0.55829032258064515</v>
      </c>
      <c r="Q208" s="15">
        <f t="shared" si="738"/>
        <v>0.6184533804684047</v>
      </c>
      <c r="R208" s="15">
        <f t="shared" si="738"/>
        <v>1.2476183486238532</v>
      </c>
      <c r="S208" s="15">
        <f t="shared" si="738"/>
        <v>0.86143136959469646</v>
      </c>
      <c r="T208" s="15">
        <f t="shared" si="738"/>
        <v>1.4130312346286276</v>
      </c>
      <c r="U208" s="15">
        <f t="shared" ref="U208" si="739">U205/U74</f>
        <v>0.77233108469857581</v>
      </c>
      <c r="V208" s="101">
        <f t="shared" si="719"/>
        <v>1.1632275575722995E-2</v>
      </c>
      <c r="W208" s="109"/>
      <c r="X208" s="15">
        <f t="shared" ref="X208:AG208" si="740">X205/X74</f>
        <v>0.15329823042221261</v>
      </c>
      <c r="Y208" s="15">
        <f t="shared" si="740"/>
        <v>0.13996794951593328</v>
      </c>
      <c r="Z208" s="15">
        <f t="shared" si="740"/>
        <v>0.12779682347106952</v>
      </c>
      <c r="AA208" s="15">
        <f t="shared" si="740"/>
        <v>0.11668405621271566</v>
      </c>
      <c r="AB208" s="15">
        <f t="shared" si="740"/>
        <v>0.10653761654204474</v>
      </c>
      <c r="AC208" s="15">
        <f t="shared" si="740"/>
        <v>9.7273475973171292E-2</v>
      </c>
      <c r="AD208" s="15">
        <f t="shared" si="740"/>
        <v>8.8814912845069469E-2</v>
      </c>
      <c r="AE208" s="15">
        <f t="shared" si="740"/>
        <v>8.1091876945498229E-2</v>
      </c>
      <c r="AF208" s="15">
        <f t="shared" si="740"/>
        <v>7.4040409385020142E-2</v>
      </c>
      <c r="AG208" s="15">
        <f t="shared" si="740"/>
        <v>6.7602112916757523E-2</v>
      </c>
      <c r="AH208" s="115">
        <f t="shared" ref="AH208:AH209" si="741">((AG208/J208)^(1/($AG$3-$K$1) ))-1</f>
        <v>-0.10481973588471449</v>
      </c>
      <c r="AI208" s="21">
        <f t="shared" si="722"/>
        <v>0.01</v>
      </c>
      <c r="AJ208" s="108">
        <f t="shared" ref="AJ208:AJ209" si="742">(AG208*(1+AH208))/($C$1-AI208)</f>
        <v>0.28817179664559217</v>
      </c>
    </row>
    <row r="209" spans="2:36" x14ac:dyDescent="0.2">
      <c r="B209" s="10" t="s">
        <v>405</v>
      </c>
      <c r="C209" s="15"/>
      <c r="D209" s="15"/>
      <c r="E209" s="15"/>
      <c r="F209" s="15"/>
      <c r="G209" s="15">
        <f t="shared" ref="G209" si="743">G205/G75</f>
        <v>3.0411111111111109</v>
      </c>
      <c r="H209" s="15">
        <f t="shared" ref="H209:I209" si="744">H205/H75</f>
        <v>4.4533333333333331</v>
      </c>
      <c r="I209" s="15">
        <f t="shared" si="744"/>
        <v>5.9209090909090909</v>
      </c>
      <c r="J209" s="15">
        <f t="shared" ref="J209:T209" si="745">J205/J75</f>
        <v>4.6304545454545458</v>
      </c>
      <c r="K209" s="15">
        <f t="shared" si="745"/>
        <v>6.1070754716981135</v>
      </c>
      <c r="L209" s="15">
        <f t="shared" si="745"/>
        <v>2.6346774193548388</v>
      </c>
      <c r="M209" s="15">
        <f t="shared" si="745"/>
        <v>7.892018779342723</v>
      </c>
      <c r="N209" s="15">
        <f t="shared" si="745"/>
        <v>5.9530212765957451</v>
      </c>
      <c r="O209" s="15">
        <f t="shared" si="745"/>
        <v>5.7557113402061857</v>
      </c>
      <c r="P209" s="15">
        <f t="shared" si="745"/>
        <v>3.404655737704918</v>
      </c>
      <c r="Q209" s="15">
        <f t="shared" si="745"/>
        <v>3.8083265306122449</v>
      </c>
      <c r="R209" s="15">
        <f t="shared" si="745"/>
        <v>7.0461347150259073</v>
      </c>
      <c r="S209" s="15">
        <f t="shared" si="745"/>
        <v>5.1047500000000001</v>
      </c>
      <c r="T209" s="15">
        <f t="shared" si="745"/>
        <v>3.5075610500610499</v>
      </c>
      <c r="U209" s="15">
        <f t="shared" ref="U209" si="746">U205/U75</f>
        <v>4.1500575373993094</v>
      </c>
      <c r="V209" s="101">
        <f t="shared" si="719"/>
        <v>2.2455502336205635E-2</v>
      </c>
      <c r="W209" s="109"/>
      <c r="X209" s="15">
        <f t="shared" ref="X209:AG210" si="747">X205/X75</f>
        <v>0.82373542802821831</v>
      </c>
      <c r="Y209" s="15">
        <f t="shared" si="747"/>
        <v>0.75210626037359074</v>
      </c>
      <c r="Z209" s="15">
        <f t="shared" si="747"/>
        <v>0.68670571599327856</v>
      </c>
      <c r="AA209" s="15">
        <f t="shared" si="747"/>
        <v>0.62699217547212394</v>
      </c>
      <c r="AB209" s="15">
        <f t="shared" si="747"/>
        <v>0.57247111673541762</v>
      </c>
      <c r="AC209" s="15">
        <f t="shared" si="747"/>
        <v>0.52269101962799003</v>
      </c>
      <c r="AD209" s="15">
        <f t="shared" si="747"/>
        <v>0.47723962661686059</v>
      </c>
      <c r="AE209" s="15">
        <f t="shared" si="747"/>
        <v>0.43574052865017715</v>
      </c>
      <c r="AF209" s="15">
        <f t="shared" si="747"/>
        <v>0.39785004789798784</v>
      </c>
      <c r="AG209" s="15">
        <f t="shared" si="747"/>
        <v>0.36325439155903244</v>
      </c>
      <c r="AH209" s="115">
        <f t="shared" si="741"/>
        <v>-0.10062432891774498</v>
      </c>
      <c r="AI209" s="21">
        <f t="shared" si="722"/>
        <v>0.01</v>
      </c>
      <c r="AJ209" s="108">
        <f t="shared" si="742"/>
        <v>1.5557245818189576</v>
      </c>
    </row>
    <row r="210" spans="2:36" x14ac:dyDescent="0.2">
      <c r="B210" s="10" t="s">
        <v>215</v>
      </c>
      <c r="C210" s="15"/>
      <c r="D210" s="15"/>
      <c r="E210" s="15"/>
      <c r="F210" s="15"/>
      <c r="G210" s="15">
        <f t="shared" ref="G210" si="748">G205/G79</f>
        <v>0.91233333333333322</v>
      </c>
      <c r="H210" s="15">
        <f t="shared" ref="H210:I210" si="749">H205/H79</f>
        <v>1.1056551724137931</v>
      </c>
      <c r="I210" s="15">
        <f t="shared" si="749"/>
        <v>1.5808252427184464</v>
      </c>
      <c r="J210" s="15">
        <f t="shared" ref="J210:T210" si="750">J205/J79</f>
        <v>1.0324662162162161</v>
      </c>
      <c r="K210" s="15">
        <f t="shared" si="750"/>
        <v>1.6770725388601035</v>
      </c>
      <c r="L210" s="15">
        <f t="shared" si="750"/>
        <v>0.80666666666666664</v>
      </c>
      <c r="M210" s="15">
        <f t="shared" si="750"/>
        <v>2.0986267166042447</v>
      </c>
      <c r="N210" s="15">
        <f t="shared" si="750"/>
        <v>1.9282701585113713</v>
      </c>
      <c r="O210" s="15">
        <f t="shared" si="750"/>
        <v>1.4661344537815126</v>
      </c>
      <c r="P210" s="15">
        <f t="shared" si="750"/>
        <v>0.66930067676442151</v>
      </c>
      <c r="Q210" s="15">
        <f t="shared" si="750"/>
        <v>0.81228090539756237</v>
      </c>
      <c r="R210" s="15">
        <f t="shared" si="750"/>
        <v>1.4063123061013443</v>
      </c>
      <c r="S210" s="15">
        <f t="shared" si="750"/>
        <v>1.1499034593724859</v>
      </c>
      <c r="T210" s="15">
        <f t="shared" si="750"/>
        <v>1.5492476742618309</v>
      </c>
      <c r="U210" s="15">
        <f t="shared" ref="U210" si="751">U205/U79</f>
        <v>0.87470288624787784</v>
      </c>
      <c r="V210" s="101">
        <f t="shared" si="719"/>
        <v>-3.0041321268505783E-3</v>
      </c>
      <c r="W210" s="109"/>
      <c r="X210" s="15">
        <f t="shared" si="747"/>
        <v>3.3766698246785682E-3</v>
      </c>
      <c r="Y210" s="102">
        <f t="shared" ref="Y210:AG210" si="752">Y205/Y79</f>
        <v>0.15852057731376432</v>
      </c>
      <c r="Z210" s="102">
        <f t="shared" si="752"/>
        <v>0.1447361792864805</v>
      </c>
      <c r="AA210" s="102">
        <f t="shared" si="752"/>
        <v>0.132150424565917</v>
      </c>
      <c r="AB210" s="102">
        <f t="shared" si="752"/>
        <v>0.1206590832993155</v>
      </c>
      <c r="AC210" s="102">
        <f t="shared" si="752"/>
        <v>0.11016698909937504</v>
      </c>
      <c r="AD210" s="102">
        <f t="shared" si="752"/>
        <v>0.10058725091682072</v>
      </c>
      <c r="AE210" s="102">
        <f t="shared" si="752"/>
        <v>9.1840533445792835E-2</v>
      </c>
      <c r="AF210" s="102">
        <f t="shared" si="752"/>
        <v>8.3854400102680415E-2</v>
      </c>
      <c r="AG210" s="102">
        <f t="shared" si="752"/>
        <v>7.6562713137229954E-2</v>
      </c>
      <c r="AH210" s="115">
        <f t="shared" si="721"/>
        <v>-0.10273121155479059</v>
      </c>
      <c r="AI210" s="21">
        <f t="shared" si="722"/>
        <v>0.01</v>
      </c>
      <c r="AJ210" s="108">
        <f t="shared" si="723"/>
        <v>0.32713015646057358</v>
      </c>
    </row>
    <row r="211" spans="2:36" x14ac:dyDescent="0.2">
      <c r="B211" s="10" t="s">
        <v>216</v>
      </c>
      <c r="C211" s="15"/>
      <c r="D211" s="15"/>
      <c r="E211" s="15"/>
      <c r="F211" s="15"/>
      <c r="G211" s="15">
        <f t="shared" ref="G211" si="753">G205/G88</f>
        <v>1.1404166666666664</v>
      </c>
      <c r="H211" s="15">
        <f t="shared" ref="H211:I211" si="754">H205/H88</f>
        <v>1.0906122448979592</v>
      </c>
      <c r="I211" s="15">
        <f t="shared" si="754"/>
        <v>1.7602702702702704</v>
      </c>
      <c r="J211" s="15">
        <f t="shared" ref="J211:T211" si="755">J205/J88</f>
        <v>1.448388625592417</v>
      </c>
      <c r="K211" s="15">
        <f t="shared" si="755"/>
        <v>3.3541450777202071</v>
      </c>
      <c r="L211" s="15">
        <f t="shared" si="755"/>
        <v>0.60724907063197031</v>
      </c>
      <c r="M211" s="15">
        <f t="shared" si="755"/>
        <v>1.9753231492361925</v>
      </c>
      <c r="N211" s="15">
        <f t="shared" si="755"/>
        <v>1.3458008658008656</v>
      </c>
      <c r="O211" s="15">
        <f t="shared" si="755"/>
        <v>2.8719341563786007</v>
      </c>
      <c r="P211" s="15">
        <f t="shared" si="755"/>
        <v>2.6389326556543837</v>
      </c>
      <c r="Q211" s="15">
        <f t="shared" si="755"/>
        <v>1.7966110397946085</v>
      </c>
      <c r="R211" s="15">
        <f t="shared" si="755"/>
        <v>2.7889745693191141</v>
      </c>
      <c r="S211" s="15">
        <f t="shared" si="755"/>
        <v>1.077519788918206</v>
      </c>
      <c r="T211" s="15">
        <f t="shared" si="755"/>
        <v>0.67836176869945097</v>
      </c>
      <c r="U211" s="15">
        <f t="shared" ref="U211" si="756">U205/U88</f>
        <v>0.68231955349541196</v>
      </c>
      <c r="V211" s="101">
        <f t="shared" si="719"/>
        <v>-3.6024450094675919E-2</v>
      </c>
      <c r="W211" s="109"/>
      <c r="X211" s="102">
        <f t="shared" ref="X211:AG211" si="757">X205/X88</f>
        <v>0.13543204748018575</v>
      </c>
      <c r="Y211" s="102">
        <f t="shared" si="757"/>
        <v>0.12365534769930005</v>
      </c>
      <c r="Z211" s="102">
        <f t="shared" si="757"/>
        <v>0.11290270876892614</v>
      </c>
      <c r="AA211" s="102">
        <f t="shared" si="757"/>
        <v>0.10308508191945431</v>
      </c>
      <c r="AB211" s="102">
        <f t="shared" si="757"/>
        <v>9.4121161752545257E-2</v>
      </c>
      <c r="AC211" s="102">
        <f t="shared" si="757"/>
        <v>8.593671290449785E-2</v>
      </c>
      <c r="AD211" s="102">
        <f t="shared" si="757"/>
        <v>7.8463955260628479E-2</v>
      </c>
      <c r="AE211" s="102">
        <f t="shared" si="757"/>
        <v>7.1641002629269507E-2</v>
      </c>
      <c r="AF211" s="102">
        <f t="shared" si="757"/>
        <v>6.5411350226724327E-2</v>
      </c>
      <c r="AG211" s="102">
        <f t="shared" si="757"/>
        <v>5.9723406728748311E-2</v>
      </c>
      <c r="AH211" s="115">
        <f t="shared" si="721"/>
        <v>-0.12440660304644025</v>
      </c>
      <c r="AI211" s="21">
        <f t="shared" si="722"/>
        <v>0.01</v>
      </c>
      <c r="AJ211" s="108">
        <f t="shared" si="723"/>
        <v>0.24901628845363727</v>
      </c>
    </row>
    <row r="212" spans="2:36" x14ac:dyDescent="0.2">
      <c r="B212" s="10" t="s">
        <v>217</v>
      </c>
      <c r="C212" s="15"/>
      <c r="D212" s="15"/>
      <c r="E212" s="15"/>
      <c r="F212" s="15"/>
      <c r="G212" s="15">
        <f t="shared" ref="G212" si="758">G205/G90</f>
        <v>7.0420240137221271E-2</v>
      </c>
      <c r="H212" s="15">
        <f t="shared" ref="H212:I212" si="759">H205/H90</f>
        <v>9.2137931034482756E-2</v>
      </c>
      <c r="I212" s="15">
        <f t="shared" si="759"/>
        <v>0.12520184544405996</v>
      </c>
      <c r="J212" s="15">
        <f t="shared" ref="J212:T212" si="760">J205/J90</f>
        <v>8.2530380772346743E-2</v>
      </c>
      <c r="K212" s="15">
        <f t="shared" si="760"/>
        <v>0.14085073977371626</v>
      </c>
      <c r="L212" s="15">
        <f t="shared" si="760"/>
        <v>4.9680656934306566E-2</v>
      </c>
      <c r="M212" s="15">
        <f t="shared" si="760"/>
        <v>0.17000404530744334</v>
      </c>
      <c r="N212" s="15">
        <f t="shared" si="760"/>
        <v>1.5356311745334796</v>
      </c>
      <c r="O212" s="15">
        <f t="shared" si="760"/>
        <v>0.94949659863945579</v>
      </c>
      <c r="P212" s="15">
        <f t="shared" si="760"/>
        <v>6.9311173408089705E-2</v>
      </c>
      <c r="Q212" s="15">
        <f t="shared" si="760"/>
        <v>7.7967744631068772E-2</v>
      </c>
      <c r="R212" s="15">
        <f t="shared" si="760"/>
        <v>0.15754216867469881</v>
      </c>
      <c r="S212" s="15">
        <f t="shared" si="760"/>
        <v>0.10456918152720622</v>
      </c>
      <c r="T212" s="15">
        <f t="shared" si="760"/>
        <v>0.17824819669588149</v>
      </c>
      <c r="U212" s="15">
        <f t="shared" ref="U212" si="761">U205/U90</f>
        <v>9.1566693326224108E-2</v>
      </c>
      <c r="V212" s="101">
        <f t="shared" si="719"/>
        <v>1.8933207643229144E-2</v>
      </c>
      <c r="W212" s="109"/>
      <c r="X212" s="102">
        <f t="shared" ref="X212:AG212" si="762">X205/X90</f>
        <v>1.8174863514656962E-2</v>
      </c>
      <c r="Y212" s="102">
        <f t="shared" si="762"/>
        <v>1.6594440600338965E-2</v>
      </c>
      <c r="Z212" s="102">
        <f t="shared" si="762"/>
        <v>1.5151445765526883E-2</v>
      </c>
      <c r="AA212" s="102">
        <f t="shared" si="762"/>
        <v>1.3833928742437591E-2</v>
      </c>
      <c r="AB212" s="102">
        <f t="shared" si="762"/>
        <v>1.2630978417008235E-2</v>
      </c>
      <c r="AC212" s="102">
        <f t="shared" si="762"/>
        <v>1.1532632467703171E-2</v>
      </c>
      <c r="AD212" s="102">
        <f t="shared" si="762"/>
        <v>1.0529794861815942E-2</v>
      </c>
      <c r="AE212" s="102">
        <f t="shared" si="762"/>
        <v>9.6141605260058622E-3</v>
      </c>
      <c r="AF212" s="102">
        <f t="shared" si="762"/>
        <v>8.7781465672227433E-3</v>
      </c>
      <c r="AG212" s="102">
        <f t="shared" si="762"/>
        <v>8.0148294744207677E-3</v>
      </c>
      <c r="AH212" s="115">
        <f t="shared" si="721"/>
        <v>-9.2590437664598846E-2</v>
      </c>
      <c r="AI212" s="21">
        <f t="shared" si="722"/>
        <v>0.01</v>
      </c>
      <c r="AJ212" s="108">
        <f t="shared" si="723"/>
        <v>3.4632061455128677E-2</v>
      </c>
    </row>
    <row r="213" spans="2:36" x14ac:dyDescent="0.2">
      <c r="B213" s="10" t="s">
        <v>231</v>
      </c>
      <c r="C213" s="15"/>
      <c r="D213" s="15"/>
      <c r="E213" s="15"/>
      <c r="F213" s="15"/>
      <c r="G213" s="157">
        <f t="shared" ref="G213" si="763">G205/G84</f>
        <v>-3.7630614115490374E-2</v>
      </c>
      <c r="H213" s="157">
        <f t="shared" ref="H213:I213" si="764">H205/H84</f>
        <v>-0.11010989010989011</v>
      </c>
      <c r="I213" s="157">
        <f t="shared" si="764"/>
        <v>-0.15573888091822094</v>
      </c>
      <c r="J213" s="157">
        <f t="shared" ref="J213:T213" si="765">J205/J84</f>
        <v>-0.10248490945674044</v>
      </c>
      <c r="K213" s="157">
        <f t="shared" si="765"/>
        <v>-0.17235090521831736</v>
      </c>
      <c r="L213" s="157">
        <f t="shared" si="765"/>
        <v>-6.1793077359561181E-2</v>
      </c>
      <c r="M213" s="157">
        <f t="shared" si="765"/>
        <v>-0.21642847946440066</v>
      </c>
      <c r="N213" s="157">
        <f t="shared" si="765"/>
        <v>-0.16927339826970778</v>
      </c>
      <c r="O213" s="157">
        <f t="shared" si="765"/>
        <v>-0.1322995260663507</v>
      </c>
      <c r="P213" s="157">
        <f t="shared" si="765"/>
        <v>-7.3007346996168315E-2</v>
      </c>
      <c r="Q213" s="157">
        <f t="shared" si="765"/>
        <v>-7.9423431603438968E-2</v>
      </c>
      <c r="R213" s="157">
        <f t="shared" si="765"/>
        <v>-0.15562391284445665</v>
      </c>
      <c r="S213" s="157">
        <f t="shared" si="765"/>
        <v>-0.10696176008381353</v>
      </c>
      <c r="T213" s="157">
        <f t="shared" si="765"/>
        <v>-0.15811825737560545</v>
      </c>
      <c r="U213" s="157">
        <f t="shared" ref="U213" si="766">U205/U84</f>
        <v>-8.2897171556965368E-2</v>
      </c>
      <c r="V213" s="101">
        <f t="shared" si="719"/>
        <v>5.8034638762294311E-2</v>
      </c>
      <c r="W213" s="109"/>
      <c r="X213" s="112">
        <f t="shared" ref="X213:AG213" si="767">X205/X84</f>
        <v>-1.6454069968773841E-2</v>
      </c>
      <c r="Y213" s="112">
        <f t="shared" si="767"/>
        <v>-1.5023281275836988E-2</v>
      </c>
      <c r="Z213" s="112">
        <f t="shared" si="767"/>
        <v>-1.37169089909816E-2</v>
      </c>
      <c r="AA213" s="112">
        <f t="shared" si="767"/>
        <v>-1.2524134296113638E-2</v>
      </c>
      <c r="AB213" s="112">
        <f t="shared" si="767"/>
        <v>-1.1435079139929845E-2</v>
      </c>
      <c r="AC213" s="112">
        <f t="shared" si="767"/>
        <v>-1.0440724432109857E-2</v>
      </c>
      <c r="AD213" s="112">
        <f t="shared" si="767"/>
        <v>-9.5328353510568276E-3</v>
      </c>
      <c r="AE213" s="112">
        <f t="shared" si="767"/>
        <v>-8.7038931466171063E-3</v>
      </c>
      <c r="AF213" s="112">
        <f t="shared" si="767"/>
        <v>-7.9470328729982307E-3</v>
      </c>
      <c r="AG213" s="112">
        <f t="shared" si="767"/>
        <v>-7.2559865362157756E-3</v>
      </c>
      <c r="AH213" s="115">
        <f t="shared" ref="AH213" si="768">((AG213/J213)^(1/($AG$3-$K$1) ))-1</f>
        <v>-0.10446027347400999</v>
      </c>
      <c r="AI213" s="21">
        <f t="shared" ref="AI213:AI216" si="769">$O$1</f>
        <v>0.01</v>
      </c>
      <c r="AJ213" s="108">
        <f t="shared" si="723"/>
        <v>-3.0942972372947339E-2</v>
      </c>
    </row>
    <row r="214" spans="2:36" x14ac:dyDescent="0.2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0.01</v>
      </c>
      <c r="AJ214" s="108"/>
    </row>
    <row r="215" spans="2:36" x14ac:dyDescent="0.2">
      <c r="B215" s="10" t="s">
        <v>264</v>
      </c>
      <c r="C215" s="128"/>
      <c r="D215" s="128"/>
      <c r="E215" s="128"/>
      <c r="F215" s="128"/>
      <c r="G215" s="128">
        <f t="shared" ref="G215" si="770">G63/G205</f>
        <v>0.10869565217391304</v>
      </c>
      <c r="H215" s="128">
        <f t="shared" ref="H215:I215" si="771">H63/H205</f>
        <v>6.25E-2</v>
      </c>
      <c r="I215" s="128">
        <f t="shared" si="771"/>
        <v>3.8461538461538464E-2</v>
      </c>
      <c r="J215" s="128">
        <f t="shared" ref="J215:T215" si="772">J63/J205</f>
        <v>2.4590163934426229E-2</v>
      </c>
      <c r="K215" s="128">
        <f t="shared" si="772"/>
        <v>2.336448598130841E-2</v>
      </c>
      <c r="L215" s="128">
        <f t="shared" si="772"/>
        <v>4.6296296296296294E-2</v>
      </c>
      <c r="M215" s="128">
        <f t="shared" si="772"/>
        <v>1.4634146341463415E-2</v>
      </c>
      <c r="N215" s="128">
        <f t="shared" si="772"/>
        <v>1.3059701492537313E-2</v>
      </c>
      <c r="O215" s="128">
        <f t="shared" si="772"/>
        <v>1.4644351464435146E-2</v>
      </c>
      <c r="P215" s="128">
        <f t="shared" si="772"/>
        <v>3.0864197530864196E-2</v>
      </c>
      <c r="Q215" s="128">
        <f t="shared" si="772"/>
        <v>2.2935779816513763E-2</v>
      </c>
      <c r="R215" s="128">
        <f t="shared" si="772"/>
        <v>1.284796573875803E-2</v>
      </c>
      <c r="S215" s="128">
        <f t="shared" si="772"/>
        <v>2.5510204081632654E-2</v>
      </c>
      <c r="T215" s="128">
        <f t="shared" si="772"/>
        <v>1.0899182561307902E-2</v>
      </c>
      <c r="U215" s="128">
        <f t="shared" ref="U215" si="773">U63/U205</f>
        <v>2.391304347826087E-2</v>
      </c>
      <c r="V215" s="101">
        <f t="shared" si="719"/>
        <v>-0.1025088154551812</v>
      </c>
      <c r="W215" s="109"/>
      <c r="X215" s="128">
        <f t="shared" ref="X215:AG215" si="774">X63/X205</f>
        <v>0.11220000000000001</v>
      </c>
      <c r="Y215" s="128">
        <f t="shared" si="774"/>
        <v>0.11444400000000002</v>
      </c>
      <c r="Z215" s="128">
        <f t="shared" si="774"/>
        <v>0.11673288000000001</v>
      </c>
      <c r="AA215" s="128">
        <f t="shared" si="774"/>
        <v>0.11906753760000001</v>
      </c>
      <c r="AB215" s="128">
        <f t="shared" si="774"/>
        <v>0.12144888835200002</v>
      </c>
      <c r="AC215" s="128">
        <f t="shared" si="774"/>
        <v>0.12387786611904002</v>
      </c>
      <c r="AD215" s="128">
        <f t="shared" si="774"/>
        <v>0.12635542344142081</v>
      </c>
      <c r="AE215" s="128">
        <f t="shared" si="774"/>
        <v>0.12888253191024923</v>
      </c>
      <c r="AF215" s="128">
        <f t="shared" si="774"/>
        <v>0.13146018254845421</v>
      </c>
      <c r="AG215" s="128">
        <f t="shared" si="774"/>
        <v>0.13408938619942329</v>
      </c>
      <c r="AH215" s="115">
        <f t="shared" ref="AH215:AH220" si="775">((AG215/J215)^(1/($AG$3-$K$1) ))-1</f>
        <v>7.3230585123195135E-2</v>
      </c>
      <c r="AI215" s="21">
        <f t="shared" si="769"/>
        <v>0.01</v>
      </c>
      <c r="AJ215" s="108">
        <f t="shared" si="723"/>
        <v>0.68528014480770061</v>
      </c>
    </row>
    <row r="216" spans="2:36" x14ac:dyDescent="0.2">
      <c r="B216" s="10" t="s">
        <v>132</v>
      </c>
      <c r="C216" s="128"/>
      <c r="D216" s="128"/>
      <c r="E216" s="128"/>
      <c r="F216" s="128"/>
      <c r="G216" s="140">
        <f t="shared" ref="G216" si="776">G205*G61</f>
        <v>82.11</v>
      </c>
      <c r="H216" s="140">
        <f t="shared" ref="H216:I216" si="777">H205*H61</f>
        <v>160.32</v>
      </c>
      <c r="I216" s="140">
        <f t="shared" si="777"/>
        <v>325.64999999999998</v>
      </c>
      <c r="J216" s="140">
        <f t="shared" ref="J216:T216" si="778">J205*J61</f>
        <v>305.61</v>
      </c>
      <c r="K216" s="140">
        <f t="shared" si="778"/>
        <v>647.35</v>
      </c>
      <c r="L216" s="140">
        <f t="shared" si="778"/>
        <v>326.7</v>
      </c>
      <c r="M216" s="140">
        <f t="shared" si="778"/>
        <v>1680.9999999999998</v>
      </c>
      <c r="N216" s="140">
        <f t="shared" si="778"/>
        <v>2797.92</v>
      </c>
      <c r="O216" s="140">
        <f t="shared" si="778"/>
        <v>2791.52</v>
      </c>
      <c r="P216" s="140">
        <f t="shared" si="778"/>
        <v>2076.84</v>
      </c>
      <c r="Q216" s="140">
        <f t="shared" si="778"/>
        <v>2799.12</v>
      </c>
      <c r="R216" s="140">
        <f t="shared" si="778"/>
        <v>6799.52</v>
      </c>
      <c r="S216" s="140">
        <f t="shared" si="778"/>
        <v>5717.3200000000006</v>
      </c>
      <c r="T216" s="140">
        <f t="shared" si="778"/>
        <v>11490.77</v>
      </c>
      <c r="U216" s="140">
        <f t="shared" ref="U216" si="779">U205*U61</f>
        <v>7212.8</v>
      </c>
      <c r="V216" s="101">
        <f t="shared" si="719"/>
        <v>0.37669036878504869</v>
      </c>
      <c r="W216" s="109"/>
      <c r="X216" s="140">
        <f t="shared" ref="X216:AG216" si="780">X205*X61</f>
        <v>1646.3999999999999</v>
      </c>
      <c r="Y216" s="140">
        <f t="shared" si="780"/>
        <v>1728.7199999999998</v>
      </c>
      <c r="Z216" s="140">
        <f t="shared" si="780"/>
        <v>1815.1559999999999</v>
      </c>
      <c r="AA216" s="140">
        <f t="shared" si="780"/>
        <v>1905.9138</v>
      </c>
      <c r="AB216" s="140">
        <f t="shared" si="780"/>
        <v>2001.2094900000002</v>
      </c>
      <c r="AC216" s="140">
        <f t="shared" si="780"/>
        <v>2101.2699645000002</v>
      </c>
      <c r="AD216" s="140">
        <f t="shared" si="780"/>
        <v>2206.3334627250006</v>
      </c>
      <c r="AE216" s="140">
        <f t="shared" si="780"/>
        <v>2316.6501358612509</v>
      </c>
      <c r="AF216" s="140">
        <f t="shared" si="780"/>
        <v>2432.4826426543132</v>
      </c>
      <c r="AG216" s="140">
        <f t="shared" si="780"/>
        <v>2554.1067747870288</v>
      </c>
      <c r="AH216" s="115">
        <f t="shared" si="775"/>
        <v>9.2495471215968017E-2</v>
      </c>
      <c r="AI216" s="21">
        <f t="shared" si="769"/>
        <v>0.01</v>
      </c>
      <c r="AJ216" s="108">
        <f t="shared" si="723"/>
        <v>13287.381354556435</v>
      </c>
    </row>
    <row r="217" spans="2:36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 x14ac:dyDescent="0.2">
      <c r="B218" s="10" t="s">
        <v>313</v>
      </c>
      <c r="C218" s="136"/>
      <c r="D218" s="136"/>
      <c r="E218" s="136"/>
      <c r="F218" s="136"/>
      <c r="G218" s="136">
        <f t="shared" ref="G218" si="781">G76/G205</f>
        <v>0.26793326026062603</v>
      </c>
      <c r="H218" s="136">
        <f t="shared" ref="H218:I218" si="782">H76/H205</f>
        <v>0.19336327345309381</v>
      </c>
      <c r="I218" s="136">
        <f t="shared" si="782"/>
        <v>0.13818516812528789</v>
      </c>
      <c r="J218" s="136">
        <f t="shared" ref="J218:T218" si="783">J76/J205</f>
        <v>0.17342364451425019</v>
      </c>
      <c r="K218" s="136">
        <f t="shared" si="783"/>
        <v>0.13284930872016684</v>
      </c>
      <c r="L218" s="136">
        <f t="shared" si="783"/>
        <v>0.29996939087848179</v>
      </c>
      <c r="M218" s="136">
        <f t="shared" si="783"/>
        <v>9.6371207614515175E-2</v>
      </c>
      <c r="N218" s="136">
        <f t="shared" si="783"/>
        <v>0.12759478469720364</v>
      </c>
      <c r="O218" s="136">
        <f t="shared" si="783"/>
        <v>0.12717086031982575</v>
      </c>
      <c r="P218" s="136">
        <f t="shared" si="783"/>
        <v>0.217156834421525</v>
      </c>
      <c r="Q218" s="136">
        <f t="shared" si="783"/>
        <v>0.18898796764697476</v>
      </c>
      <c r="R218" s="136">
        <f t="shared" si="783"/>
        <v>9.42713603313175E-2</v>
      </c>
      <c r="S218" s="136">
        <f t="shared" si="783"/>
        <v>0.13013090049183881</v>
      </c>
      <c r="T218" s="136">
        <f t="shared" si="783"/>
        <v>0.24332573012948652</v>
      </c>
      <c r="U218" s="136">
        <f t="shared" ref="U218" si="784">U76/U205</f>
        <v>0.15985470275066549</v>
      </c>
      <c r="V218" s="101">
        <f t="shared" si="719"/>
        <v>-3.6218723623463123E-2</v>
      </c>
      <c r="W218" s="109"/>
      <c r="X218" s="136">
        <f t="shared" ref="X218:AG218" si="785">X76/X205</f>
        <v>0.80536321671525757</v>
      </c>
      <c r="Y218" s="136">
        <f t="shared" si="785"/>
        <v>0.88206447545004396</v>
      </c>
      <c r="Z218" s="136">
        <f t="shared" si="785"/>
        <v>0.96607061596909549</v>
      </c>
      <c r="AA218" s="136">
        <f t="shared" si="785"/>
        <v>1.0580773412994853</v>
      </c>
      <c r="AB218" s="136">
        <f t="shared" si="785"/>
        <v>1.1588466118994363</v>
      </c>
      <c r="AC218" s="136">
        <f t="shared" si="785"/>
        <v>1.2692129558898586</v>
      </c>
      <c r="AD218" s="136">
        <f t="shared" si="785"/>
        <v>1.3900903802603211</v>
      </c>
      <c r="AE218" s="136">
        <f t="shared" si="785"/>
        <v>1.522479940285113</v>
      </c>
      <c r="AF218" s="136">
        <f t="shared" si="785"/>
        <v>1.6674780298360761</v>
      </c>
      <c r="AG218" s="136">
        <f t="shared" si="785"/>
        <v>1.8262854612490356</v>
      </c>
      <c r="AH218" s="115">
        <f t="shared" ref="AH218" si="786">((AG218/J218)^(1/($AG$3-$K$1) ))-1</f>
        <v>0.10306858118554407</v>
      </c>
      <c r="AI218" s="21">
        <f t="shared" ref="AI218" si="787">$O$1</f>
        <v>0.01</v>
      </c>
      <c r="AJ218" s="108">
        <f t="shared" ref="AJ218" si="788">(AG218*(1+AH218))/($C$1-AI218)</f>
        <v>9.5929433932369541</v>
      </c>
    </row>
    <row r="219" spans="2:36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3.732272727272727</v>
      </c>
      <c r="H219" s="156">
        <f t="shared" ref="H219:I219" si="790">H207</f>
        <v>5.1716129032258067</v>
      </c>
      <c r="I219" s="156">
        <f t="shared" si="790"/>
        <v>7.2366666666666664</v>
      </c>
      <c r="J219" s="156">
        <f t="shared" ref="J219:T219" si="791">J207</f>
        <v>5.7662264150943399</v>
      </c>
      <c r="K219" s="156">
        <f t="shared" si="791"/>
        <v>7.5273255813953481</v>
      </c>
      <c r="L219" s="156">
        <f t="shared" si="791"/>
        <v>3.333673469387755</v>
      </c>
      <c r="M219" s="156">
        <f t="shared" si="791"/>
        <v>10.376543209876543</v>
      </c>
      <c r="N219" s="156">
        <f t="shared" si="791"/>
        <v>7.8373109243697483</v>
      </c>
      <c r="O219" s="156">
        <f t="shared" si="791"/>
        <v>7.8634366197183097</v>
      </c>
      <c r="P219" s="156">
        <f t="shared" si="791"/>
        <v>4.6049667405764971</v>
      </c>
      <c r="Q219" s="156">
        <f t="shared" si="791"/>
        <v>5.2913421550094517</v>
      </c>
      <c r="R219" s="156">
        <f t="shared" si="791"/>
        <v>10.607675507020282</v>
      </c>
      <c r="S219" s="156">
        <f t="shared" si="791"/>
        <v>7.6845698924731192</v>
      </c>
      <c r="T219" s="156">
        <f t="shared" si="791"/>
        <v>4.1097174535050076</v>
      </c>
      <c r="U219" s="156">
        <f t="shared" ref="U219" si="792">U207</f>
        <v>6.2556808326105804</v>
      </c>
      <c r="V219" s="101">
        <f t="shared" si="719"/>
        <v>3.7579816615272099E-2</v>
      </c>
      <c r="W219" s="109"/>
      <c r="X219" s="128">
        <f t="shared" ref="X219:AG219" si="793">X207</f>
        <v>1.2416757796296993</v>
      </c>
      <c r="Y219" s="128">
        <f t="shared" si="793"/>
        <v>1.1337039727053777</v>
      </c>
      <c r="Z219" s="128">
        <f t="shared" si="793"/>
        <v>1.0351210185570845</v>
      </c>
      <c r="AA219" s="128">
        <f t="shared" si="793"/>
        <v>0.94511049520429458</v>
      </c>
      <c r="AB219" s="128">
        <f t="shared" si="793"/>
        <v>0.86292697388218209</v>
      </c>
      <c r="AC219" s="128">
        <f t="shared" si="793"/>
        <v>0.78788984571851417</v>
      </c>
      <c r="AD219" s="128">
        <f t="shared" si="793"/>
        <v>0.71937768522125223</v>
      </c>
      <c r="AE219" s="128">
        <f t="shared" si="793"/>
        <v>0.65682310389766529</v>
      </c>
      <c r="AF219" s="128">
        <f t="shared" si="793"/>
        <v>0.59970805138482486</v>
      </c>
      <c r="AG219" s="128">
        <f t="shared" si="793"/>
        <v>0.54755952517744888</v>
      </c>
      <c r="AH219" s="115">
        <f t="shared" ref="AH219" si="794">((AG219/J219)^(1/($AG$3-$K$1) ))-1</f>
        <v>-9.3438053574845803E-2</v>
      </c>
      <c r="AI219" s="21">
        <f t="shared" ref="AI219:AI221" si="795">$O$1</f>
        <v>0.01</v>
      </c>
      <c r="AJ219" s="156">
        <f>(AJ206)/($O$2*100)</f>
        <v>1.7039370909907377E-2</v>
      </c>
    </row>
    <row r="220" spans="2:36" x14ac:dyDescent="0.2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0.2488181818181818</v>
      </c>
      <c r="H220" s="156">
        <f t="shared" ref="H220:I220" si="797">(H207)/($O$2*100)</f>
        <v>0.34477419354838712</v>
      </c>
      <c r="I220" s="156">
        <f t="shared" si="797"/>
        <v>0.4824444444444444</v>
      </c>
      <c r="J220" s="156">
        <f t="shared" ref="J220:T220" si="798">(J207)/($O$2*100)</f>
        <v>0.38441509433962268</v>
      </c>
      <c r="K220" s="156">
        <f t="shared" si="798"/>
        <v>0.50182170542635651</v>
      </c>
      <c r="L220" s="156">
        <f t="shared" si="798"/>
        <v>0.22224489795918367</v>
      </c>
      <c r="M220" s="156">
        <f t="shared" si="798"/>
        <v>0.69176954732510287</v>
      </c>
      <c r="N220" s="156">
        <f t="shared" si="798"/>
        <v>0.52248739495798324</v>
      </c>
      <c r="O220" s="156">
        <f t="shared" si="798"/>
        <v>0.52422910798122069</v>
      </c>
      <c r="P220" s="156">
        <f t="shared" si="798"/>
        <v>0.30699778270509981</v>
      </c>
      <c r="Q220" s="156">
        <f t="shared" si="798"/>
        <v>0.3527561436672968</v>
      </c>
      <c r="R220" s="156">
        <f t="shared" si="798"/>
        <v>0.70717836713468551</v>
      </c>
      <c r="S220" s="156">
        <f t="shared" si="798"/>
        <v>0.51230465949820791</v>
      </c>
      <c r="T220" s="156">
        <f t="shared" si="798"/>
        <v>0.27398116356700053</v>
      </c>
      <c r="U220" s="156">
        <f t="shared" ref="U220" si="799">(U207)/($O$2*100)</f>
        <v>0.41704538884070536</v>
      </c>
      <c r="V220" s="101">
        <f t="shared" si="719"/>
        <v>3.7579816615272099E-2</v>
      </c>
      <c r="W220" s="109"/>
      <c r="X220" s="156">
        <f t="shared" ref="X220:AG220" si="800">(X207)/($O$2*100)</f>
        <v>8.2778385308646618E-2</v>
      </c>
      <c r="Y220" s="156">
        <f t="shared" si="800"/>
        <v>7.558026484702518E-2</v>
      </c>
      <c r="Z220" s="156">
        <f t="shared" si="800"/>
        <v>6.9008067903805634E-2</v>
      </c>
      <c r="AA220" s="156">
        <f t="shared" si="800"/>
        <v>6.3007366346952975E-2</v>
      </c>
      <c r="AB220" s="156">
        <f t="shared" si="800"/>
        <v>5.7528464925478806E-2</v>
      </c>
      <c r="AC220" s="156">
        <f t="shared" si="800"/>
        <v>5.2525989714567609E-2</v>
      </c>
      <c r="AD220" s="156">
        <f t="shared" si="800"/>
        <v>4.795851234808348E-2</v>
      </c>
      <c r="AE220" s="156">
        <f t="shared" si="800"/>
        <v>4.3788206926511017E-2</v>
      </c>
      <c r="AF220" s="156">
        <f t="shared" si="800"/>
        <v>3.9980536758988321E-2</v>
      </c>
      <c r="AG220" s="156">
        <f t="shared" si="800"/>
        <v>3.6503968345163257E-2</v>
      </c>
      <c r="AH220" s="115">
        <f t="shared" si="775"/>
        <v>-9.3438053574845803E-2</v>
      </c>
      <c r="AI220" s="21">
        <f t="shared" si="795"/>
        <v>0.01</v>
      </c>
      <c r="AJ220" s="156">
        <f>(AJ207)/($O$2*100)</f>
        <v>0.15758623140587341</v>
      </c>
    </row>
    <row r="221" spans="2:36" x14ac:dyDescent="0.2">
      <c r="B221" s="10" t="s">
        <v>433</v>
      </c>
      <c r="C221" s="128"/>
      <c r="D221" s="128"/>
      <c r="E221" s="128"/>
      <c r="F221" s="128"/>
      <c r="G221" s="128">
        <f t="shared" ref="G221" si="801">G220-1</f>
        <v>-0.75118181818181817</v>
      </c>
      <c r="H221" s="128">
        <f t="shared" ref="H221:I221" si="802">H220-1</f>
        <v>-0.65522580645161288</v>
      </c>
      <c r="I221" s="128">
        <f t="shared" si="802"/>
        <v>-0.51755555555555555</v>
      </c>
      <c r="J221" s="128">
        <f t="shared" ref="J221:S221" si="803">J220-1</f>
        <v>-0.61558490566037727</v>
      </c>
      <c r="K221" s="128">
        <f t="shared" si="803"/>
        <v>-0.49817829457364349</v>
      </c>
      <c r="L221" s="128">
        <f t="shared" si="803"/>
        <v>-0.77775510204081633</v>
      </c>
      <c r="M221" s="128">
        <f t="shared" si="803"/>
        <v>-0.30823045267489713</v>
      </c>
      <c r="N221" s="128">
        <f t="shared" si="803"/>
        <v>-0.47751260504201676</v>
      </c>
      <c r="O221" s="128">
        <f t="shared" si="803"/>
        <v>-0.47577089201877931</v>
      </c>
      <c r="P221" s="128">
        <f t="shared" si="803"/>
        <v>-0.69300221729490019</v>
      </c>
      <c r="Q221" s="128">
        <f t="shared" si="803"/>
        <v>-0.6472438563327032</v>
      </c>
      <c r="R221" s="128">
        <f t="shared" si="803"/>
        <v>-0.29282163286531449</v>
      </c>
      <c r="S221" s="128">
        <f t="shared" si="803"/>
        <v>-0.48769534050179209</v>
      </c>
      <c r="T221" s="128">
        <f>T220-1</f>
        <v>-0.72601883643299947</v>
      </c>
      <c r="U221" s="128">
        <f>U220-1</f>
        <v>-0.5829546111592947</v>
      </c>
      <c r="V221" s="101">
        <f t="shared" si="719"/>
        <v>-1.7946886793820949E-2</v>
      </c>
      <c r="W221" s="109"/>
      <c r="X221" s="128">
        <f t="shared" ref="X221:AG221" si="804">X220-1</f>
        <v>-0.91722161469135344</v>
      </c>
      <c r="Y221" s="128">
        <f t="shared" si="804"/>
        <v>-0.92441973515297482</v>
      </c>
      <c r="Z221" s="128">
        <f t="shared" si="804"/>
        <v>-0.93099193209619435</v>
      </c>
      <c r="AA221" s="128">
        <f t="shared" si="804"/>
        <v>-0.93699263365304697</v>
      </c>
      <c r="AB221" s="128">
        <f t="shared" si="804"/>
        <v>-0.94247153507452119</v>
      </c>
      <c r="AC221" s="128">
        <f t="shared" si="804"/>
        <v>-0.94747401028543243</v>
      </c>
      <c r="AD221" s="128">
        <f t="shared" si="804"/>
        <v>-0.95204148765191654</v>
      </c>
      <c r="AE221" s="128">
        <f t="shared" si="804"/>
        <v>-0.95621179307348902</v>
      </c>
      <c r="AF221" s="128">
        <f t="shared" si="804"/>
        <v>-0.96001946324101173</v>
      </c>
      <c r="AG221" s="128">
        <f t="shared" si="804"/>
        <v>-0.96349603165483677</v>
      </c>
      <c r="AH221" s="115">
        <f t="shared" ref="AH221" si="805">((AG221/J221)^(1/($AG$3-$K$1) ))-1</f>
        <v>1.8841786440937813E-2</v>
      </c>
      <c r="AI221" s="21">
        <f t="shared" si="795"/>
        <v>0.01</v>
      </c>
      <c r="AJ221" s="156">
        <f>(AJ208)/($O$2*100)</f>
        <v>1.9211453109706143E-2</v>
      </c>
    </row>
    <row r="222" spans="2:36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 x14ac:dyDescent="0.2">
      <c r="B223" s="10" t="s">
        <v>504</v>
      </c>
      <c r="C223" s="128"/>
      <c r="D223" s="128"/>
      <c r="E223" s="128"/>
      <c r="F223" s="128"/>
      <c r="G223" s="128">
        <f t="shared" ref="G223:S223" si="806">1/G224</f>
        <v>0.63082298136645965</v>
      </c>
      <c r="H223" s="128">
        <f t="shared" si="806"/>
        <v>0.45340401785714285</v>
      </c>
      <c r="I223" s="128">
        <f t="shared" si="806"/>
        <v>0.2232142857142857</v>
      </c>
      <c r="J223" s="128">
        <f t="shared" si="806"/>
        <v>0.23785128805620609</v>
      </c>
      <c r="K223" s="128">
        <f t="shared" si="806"/>
        <v>0.13559746328437916</v>
      </c>
      <c r="L223" s="128">
        <f t="shared" si="806"/>
        <v>0.26868386243386244</v>
      </c>
      <c r="M223" s="128">
        <f t="shared" si="806"/>
        <v>7.0775261324041813E-2</v>
      </c>
      <c r="N223" s="128">
        <f t="shared" si="806"/>
        <v>5.4137793176972281E-2</v>
      </c>
      <c r="O223" s="128">
        <f t="shared" si="806"/>
        <v>6.0706814106395696E-2</v>
      </c>
      <c r="P223" s="128">
        <f t="shared" si="806"/>
        <v>8.9561287477954138E-2</v>
      </c>
      <c r="Q223" s="128">
        <f t="shared" si="806"/>
        <v>6.6554718217562245E-2</v>
      </c>
      <c r="R223" s="128">
        <f t="shared" si="806"/>
        <v>3.1068369531966962E-2</v>
      </c>
      <c r="S223" s="128">
        <f t="shared" si="806"/>
        <v>7.4025145772594753E-2</v>
      </c>
      <c r="T223" s="128">
        <f>1/T224</f>
        <v>3.9533865317244066E-2</v>
      </c>
      <c r="U223" s="128">
        <f>1/U224</f>
        <v>6.3082298136645967E-2</v>
      </c>
      <c r="V223" s="101">
        <f t="shared" si="719"/>
        <v>-0.15165710175592795</v>
      </c>
      <c r="W223" s="109"/>
      <c r="X223" s="128">
        <f t="shared" ref="X223:AG223" si="807">1/X224</f>
        <v>0.2901785714285714</v>
      </c>
      <c r="Y223" s="128">
        <f t="shared" si="807"/>
        <v>0.2901785714285714</v>
      </c>
      <c r="Z223" s="128">
        <f t="shared" si="807"/>
        <v>0.2901785714285714</v>
      </c>
      <c r="AA223" s="128">
        <f t="shared" si="807"/>
        <v>0.2901785714285714</v>
      </c>
      <c r="AB223" s="128">
        <f t="shared" si="807"/>
        <v>0.2901785714285714</v>
      </c>
      <c r="AC223" s="128">
        <f t="shared" si="807"/>
        <v>0.2901785714285714</v>
      </c>
      <c r="AD223" s="128">
        <f t="shared" si="807"/>
        <v>0.2901785714285714</v>
      </c>
      <c r="AE223" s="128">
        <f t="shared" si="807"/>
        <v>0.2901785714285714</v>
      </c>
      <c r="AF223" s="128">
        <f t="shared" si="807"/>
        <v>0.2901785714285714</v>
      </c>
      <c r="AG223" s="128">
        <f t="shared" si="807"/>
        <v>0.2901785714285714</v>
      </c>
      <c r="AH223" s="115">
        <f t="shared" ref="AH223" si="808">((AG223/J223)^(1/($AG$3-$K$1) ))-1</f>
        <v>8.3198718031536334E-3</v>
      </c>
      <c r="AI223" s="21">
        <f t="shared" ref="AI223:AI226" si="809">$O$1</f>
        <v>0.01</v>
      </c>
      <c r="AJ223" s="156">
        <f>(AJ210)/($O$2*100)</f>
        <v>2.1808677097371571E-2</v>
      </c>
    </row>
    <row r="224" spans="2:36" x14ac:dyDescent="0.2">
      <c r="B224" s="10" t="s">
        <v>503</v>
      </c>
      <c r="C224" s="110"/>
      <c r="D224" s="110"/>
      <c r="E224" s="110"/>
      <c r="F224" s="110"/>
      <c r="G224" s="112">
        <f t="shared" ref="G224:U224" si="810">G205/$S$174</f>
        <v>1.5852307692307692</v>
      </c>
      <c r="H224" s="112">
        <f t="shared" si="810"/>
        <v>2.2055384615384614</v>
      </c>
      <c r="I224" s="112">
        <f t="shared" si="810"/>
        <v>4.4800000000000004</v>
      </c>
      <c r="J224" s="112">
        <f t="shared" si="810"/>
        <v>4.2043076923076921</v>
      </c>
      <c r="K224" s="112">
        <f t="shared" si="810"/>
        <v>7.374769230769231</v>
      </c>
      <c r="L224" s="112">
        <f t="shared" si="810"/>
        <v>3.7218461538461538</v>
      </c>
      <c r="M224" s="112">
        <f t="shared" si="810"/>
        <v>14.129230769230769</v>
      </c>
      <c r="N224" s="112">
        <f t="shared" si="810"/>
        <v>18.471384615384615</v>
      </c>
      <c r="O224" s="112">
        <f t="shared" si="810"/>
        <v>16.472615384615384</v>
      </c>
      <c r="P224" s="112">
        <f t="shared" si="810"/>
        <v>11.165538461538462</v>
      </c>
      <c r="Q224" s="112">
        <f t="shared" si="810"/>
        <v>15.02523076923077</v>
      </c>
      <c r="R224" s="112">
        <f t="shared" si="810"/>
        <v>32.187076923076923</v>
      </c>
      <c r="S224" s="112">
        <f t="shared" si="810"/>
        <v>13.508923076923077</v>
      </c>
      <c r="T224" s="112">
        <f t="shared" si="810"/>
        <v>25.29476923076923</v>
      </c>
      <c r="U224" s="112">
        <f t="shared" si="810"/>
        <v>15.852307692307692</v>
      </c>
      <c r="V224" s="101">
        <f t="shared" si="719"/>
        <v>0.17876863479358729</v>
      </c>
      <c r="W224" s="109"/>
      <c r="X224" s="112">
        <f t="shared" ref="X224:AG224" si="811">X205/$S$174</f>
        <v>3.4461538461538463</v>
      </c>
      <c r="Y224" s="112">
        <f t="shared" si="811"/>
        <v>3.4461538461538463</v>
      </c>
      <c r="Z224" s="112">
        <f t="shared" si="811"/>
        <v>3.4461538461538463</v>
      </c>
      <c r="AA224" s="112">
        <f t="shared" si="811"/>
        <v>3.4461538461538463</v>
      </c>
      <c r="AB224" s="112">
        <f t="shared" si="811"/>
        <v>3.4461538461538463</v>
      </c>
      <c r="AC224" s="112">
        <f t="shared" si="811"/>
        <v>3.4461538461538463</v>
      </c>
      <c r="AD224" s="112">
        <f t="shared" si="811"/>
        <v>3.4461538461538463</v>
      </c>
      <c r="AE224" s="112">
        <f t="shared" si="811"/>
        <v>3.4461538461538463</v>
      </c>
      <c r="AF224" s="112">
        <f t="shared" si="811"/>
        <v>3.4461538461538463</v>
      </c>
      <c r="AG224" s="112">
        <f t="shared" si="811"/>
        <v>3.4461538461538463</v>
      </c>
      <c r="AH224" s="115">
        <f t="shared" ref="AH224:AH226" si="812">((AG224/J224)^(1/($AG$3-$K$1) ))-1</f>
        <v>-8.2512226881688022E-3</v>
      </c>
      <c r="AI224" s="21">
        <f t="shared" si="809"/>
        <v>0.01</v>
      </c>
      <c r="AJ224" s="156">
        <f>(AJ210)/($O$2*100)</f>
        <v>2.1808677097371571E-2</v>
      </c>
    </row>
    <row r="225" spans="2:36" x14ac:dyDescent="0.2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0.10568205128205128</v>
      </c>
      <c r="H225" s="156">
        <f t="shared" ref="H225:I225" si="814">(H224)/($O$2*100)</f>
        <v>0.14703589743589743</v>
      </c>
      <c r="I225" s="156">
        <f t="shared" si="814"/>
        <v>0.29866666666666669</v>
      </c>
      <c r="J225" s="156">
        <f t="shared" ref="J225:T225" si="815">(J224)/($O$2*100)</f>
        <v>0.28028717948717946</v>
      </c>
      <c r="K225" s="156">
        <f t="shared" si="815"/>
        <v>0.49165128205128206</v>
      </c>
      <c r="L225" s="156">
        <f t="shared" si="815"/>
        <v>0.24812307692307692</v>
      </c>
      <c r="M225" s="156">
        <f t="shared" si="815"/>
        <v>0.94194871794871793</v>
      </c>
      <c r="N225" s="156">
        <f t="shared" si="815"/>
        <v>1.231425641025641</v>
      </c>
      <c r="O225" s="156">
        <f t="shared" si="815"/>
        <v>1.0981743589743589</v>
      </c>
      <c r="P225" s="156">
        <f t="shared" si="815"/>
        <v>0.74436923076923078</v>
      </c>
      <c r="Q225" s="156">
        <f t="shared" si="815"/>
        <v>1.0016820512820515</v>
      </c>
      <c r="R225" s="156">
        <f t="shared" si="815"/>
        <v>2.145805128205128</v>
      </c>
      <c r="S225" s="156">
        <f t="shared" si="815"/>
        <v>0.90059487179487185</v>
      </c>
      <c r="T225" s="156">
        <f t="shared" si="815"/>
        <v>1.6863179487179487</v>
      </c>
      <c r="U225" s="156">
        <f t="shared" ref="U225" si="816">(U224)/($O$2*100)</f>
        <v>1.0568205128205128</v>
      </c>
      <c r="V225" s="101">
        <f t="shared" si="719"/>
        <v>0.17876863479358729</v>
      </c>
      <c r="W225" s="109"/>
      <c r="X225" s="156">
        <f t="shared" ref="X225:AG225" si="817">(X224)/($O$2*100)</f>
        <v>0.22974358974358974</v>
      </c>
      <c r="Y225" s="156">
        <f t="shared" si="817"/>
        <v>0.22974358974358974</v>
      </c>
      <c r="Z225" s="156">
        <f t="shared" si="817"/>
        <v>0.22974358974358974</v>
      </c>
      <c r="AA225" s="156">
        <f t="shared" si="817"/>
        <v>0.22974358974358974</v>
      </c>
      <c r="AB225" s="156">
        <f t="shared" si="817"/>
        <v>0.22974358974358974</v>
      </c>
      <c r="AC225" s="156">
        <f t="shared" si="817"/>
        <v>0.22974358974358974</v>
      </c>
      <c r="AD225" s="156">
        <f t="shared" si="817"/>
        <v>0.22974358974358974</v>
      </c>
      <c r="AE225" s="156">
        <f t="shared" si="817"/>
        <v>0.22974358974358974</v>
      </c>
      <c r="AF225" s="156">
        <f t="shared" si="817"/>
        <v>0.22974358974358974</v>
      </c>
      <c r="AG225" s="156">
        <f t="shared" si="817"/>
        <v>0.22974358974358974</v>
      </c>
      <c r="AH225" s="115">
        <f t="shared" si="812"/>
        <v>-8.2512226881688022E-3</v>
      </c>
      <c r="AI225" s="21">
        <f t="shared" si="809"/>
        <v>0.01</v>
      </c>
      <c r="AJ225" s="156">
        <f>(AJ211)/($O$2*100)</f>
        <v>1.6601085896909153E-2</v>
      </c>
    </row>
    <row r="226" spans="2:36" x14ac:dyDescent="0.2">
      <c r="B226" s="10" t="s">
        <v>434</v>
      </c>
      <c r="C226" s="110"/>
      <c r="D226" s="110"/>
      <c r="E226" s="110"/>
      <c r="F226" s="110"/>
      <c r="G226" s="128">
        <f t="shared" ref="G226" si="818">G225-1</f>
        <v>-0.89431794871794867</v>
      </c>
      <c r="H226" s="128">
        <f t="shared" ref="H226:I226" si="819">H225-1</f>
        <v>-0.8529641025641026</v>
      </c>
      <c r="I226" s="128">
        <f t="shared" si="819"/>
        <v>-0.70133333333333336</v>
      </c>
      <c r="J226" s="128">
        <f t="shared" ref="J226:T226" si="820">J225-1</f>
        <v>-0.71971282051282048</v>
      </c>
      <c r="K226" s="128">
        <f t="shared" si="820"/>
        <v>-0.50834871794871794</v>
      </c>
      <c r="L226" s="128">
        <f t="shared" si="820"/>
        <v>-0.75187692307692311</v>
      </c>
      <c r="M226" s="128">
        <f t="shared" si="820"/>
        <v>-5.8051282051282072E-2</v>
      </c>
      <c r="N226" s="128">
        <f t="shared" si="820"/>
        <v>0.231425641025641</v>
      </c>
      <c r="O226" s="128">
        <f t="shared" si="820"/>
        <v>9.8174358974358888E-2</v>
      </c>
      <c r="P226" s="128">
        <f t="shared" si="820"/>
        <v>-0.25563076923076922</v>
      </c>
      <c r="Q226" s="128">
        <f t="shared" si="820"/>
        <v>1.6820512820514555E-3</v>
      </c>
      <c r="R226" s="128">
        <f t="shared" si="820"/>
        <v>1.145805128205128</v>
      </c>
      <c r="S226" s="128">
        <f t="shared" si="820"/>
        <v>-9.9405128205128146E-2</v>
      </c>
      <c r="T226" s="128">
        <f t="shared" si="820"/>
        <v>0.68631794871794871</v>
      </c>
      <c r="U226" s="128">
        <f t="shared" ref="U226" si="821">U225-1</f>
        <v>5.6820512820512814E-2</v>
      </c>
      <c r="V226" s="101" t="e">
        <f t="shared" si="719"/>
        <v>#NUM!</v>
      </c>
      <c r="W226" s="109"/>
      <c r="X226" s="128">
        <f t="shared" ref="X226:AG226" si="822">X225-1</f>
        <v>-0.77025641025641023</v>
      </c>
      <c r="Y226" s="128">
        <f t="shared" si="822"/>
        <v>-0.77025641025641023</v>
      </c>
      <c r="Z226" s="128">
        <f t="shared" si="822"/>
        <v>-0.77025641025641023</v>
      </c>
      <c r="AA226" s="128">
        <f t="shared" si="822"/>
        <v>-0.77025641025641023</v>
      </c>
      <c r="AB226" s="128">
        <f t="shared" si="822"/>
        <v>-0.77025641025641023</v>
      </c>
      <c r="AC226" s="128">
        <f t="shared" si="822"/>
        <v>-0.77025641025641023</v>
      </c>
      <c r="AD226" s="128">
        <f t="shared" si="822"/>
        <v>-0.77025641025641023</v>
      </c>
      <c r="AE226" s="128">
        <f t="shared" si="822"/>
        <v>-0.77025641025641023</v>
      </c>
      <c r="AF226" s="128">
        <f t="shared" si="822"/>
        <v>-0.77025641025641023</v>
      </c>
      <c r="AG226" s="128">
        <f t="shared" si="822"/>
        <v>-0.77025641025641023</v>
      </c>
      <c r="AH226" s="115">
        <f t="shared" si="812"/>
        <v>2.8319686226419005E-3</v>
      </c>
      <c r="AI226" s="21">
        <f t="shared" si="809"/>
        <v>0.01</v>
      </c>
      <c r="AJ226" s="156">
        <f>(AJ212)/($O$2*100)</f>
        <v>2.3088040970085785E-3</v>
      </c>
    </row>
    <row r="227" spans="2:36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 x14ac:dyDescent="0.2">
      <c r="B228" s="10" t="s">
        <v>504</v>
      </c>
      <c r="C228" s="110"/>
      <c r="D228" s="110"/>
      <c r="E228" s="110"/>
      <c r="F228" s="110"/>
      <c r="G228" s="128">
        <f t="shared" ref="G228:U228" si="823">1/G229</f>
        <v>1.6257209405501332</v>
      </c>
      <c r="H228" s="128">
        <f t="shared" si="823"/>
        <v>1.1684869260204083</v>
      </c>
      <c r="I228" s="128">
        <f t="shared" si="823"/>
        <v>0.57525510204081631</v>
      </c>
      <c r="J228" s="128">
        <f t="shared" si="823"/>
        <v>0.61297674807627978</v>
      </c>
      <c r="K228" s="128">
        <f t="shared" si="823"/>
        <v>0.34945403395002866</v>
      </c>
      <c r="L228" s="128">
        <f t="shared" si="823"/>
        <v>0.69243669690098275</v>
      </c>
      <c r="M228" s="128">
        <f t="shared" si="823"/>
        <v>0.18239795918367349</v>
      </c>
      <c r="N228" s="128">
        <f t="shared" si="823"/>
        <v>0.13952082698751145</v>
      </c>
      <c r="O228" s="128">
        <f t="shared" si="823"/>
        <v>0.15645013235419691</v>
      </c>
      <c r="P228" s="128">
        <f t="shared" si="823"/>
        <v>0.23081223230032757</v>
      </c>
      <c r="Q228" s="128">
        <f t="shared" si="823"/>
        <v>0.17152101666354619</v>
      </c>
      <c r="R228" s="128">
        <f t="shared" si="823"/>
        <v>8.0067626622383439E-2</v>
      </c>
      <c r="S228" s="128">
        <f t="shared" si="823"/>
        <v>0.19077337567680133</v>
      </c>
      <c r="T228" s="128">
        <f t="shared" si="823"/>
        <v>0.10188441861758329</v>
      </c>
      <c r="U228" s="128">
        <f t="shared" si="823"/>
        <v>0.16257209405501333</v>
      </c>
      <c r="V228" s="101">
        <f t="shared" si="719"/>
        <v>-0.15165710175592795</v>
      </c>
      <c r="W228" s="109"/>
      <c r="X228" s="128">
        <f t="shared" ref="X228:AG228" si="824">1/X229</f>
        <v>0.7478316326530613</v>
      </c>
      <c r="Y228" s="128">
        <f t="shared" si="824"/>
        <v>0.7478316326530613</v>
      </c>
      <c r="Z228" s="128">
        <f t="shared" si="824"/>
        <v>0.7478316326530613</v>
      </c>
      <c r="AA228" s="128">
        <f t="shared" si="824"/>
        <v>0.7478316326530613</v>
      </c>
      <c r="AB228" s="128">
        <f t="shared" si="824"/>
        <v>0.7478316326530613</v>
      </c>
      <c r="AC228" s="128">
        <f t="shared" si="824"/>
        <v>0.7478316326530613</v>
      </c>
      <c r="AD228" s="128">
        <f t="shared" si="824"/>
        <v>0.7478316326530613</v>
      </c>
      <c r="AE228" s="128">
        <f t="shared" si="824"/>
        <v>0.7478316326530613</v>
      </c>
      <c r="AF228" s="128">
        <f t="shared" si="824"/>
        <v>0.7478316326530613</v>
      </c>
      <c r="AG228" s="128">
        <f t="shared" si="824"/>
        <v>0.7478316326530613</v>
      </c>
      <c r="AH228" s="115">
        <f t="shared" ref="AH228" si="825">((AG228/J228)^(1/($AG$3-$K$1) ))-1</f>
        <v>8.3198718031536334E-3</v>
      </c>
      <c r="AI228" s="21">
        <f t="shared" ref="AI228" si="826">$O$1</f>
        <v>0.01</v>
      </c>
      <c r="AJ228" s="156">
        <f>(AJ214)/($O$2*100)</f>
        <v>0</v>
      </c>
    </row>
    <row r="229" spans="2:36" x14ac:dyDescent="0.2">
      <c r="B229" s="10" t="s">
        <v>411</v>
      </c>
      <c r="C229" s="110"/>
      <c r="D229" s="110"/>
      <c r="E229" s="110"/>
      <c r="F229" s="110"/>
      <c r="G229" s="112">
        <f t="shared" ref="G229" si="827">G205/$T$174</f>
        <v>0.6151117175507419</v>
      </c>
      <c r="H229" s="112">
        <f t="shared" ref="H229:I229" si="828">H205/$T$174</f>
        <v>0.85580760702711911</v>
      </c>
      <c r="I229" s="112">
        <f t="shared" si="828"/>
        <v>1.7383592017738358</v>
      </c>
      <c r="J229" s="112">
        <f t="shared" ref="J229:S229" si="829">J205/$T$174</f>
        <v>1.6313832508954458</v>
      </c>
      <c r="K229" s="112">
        <f t="shared" si="829"/>
        <v>2.8616066859969296</v>
      </c>
      <c r="L229" s="112">
        <f t="shared" si="829"/>
        <v>1.4441753368582635</v>
      </c>
      <c r="M229" s="112">
        <f t="shared" si="829"/>
        <v>5.4825174825174816</v>
      </c>
      <c r="N229" s="112">
        <f t="shared" si="829"/>
        <v>7.1673887088521226</v>
      </c>
      <c r="O229" s="112">
        <f t="shared" si="829"/>
        <v>6.3918130649837961</v>
      </c>
      <c r="P229" s="112">
        <f t="shared" si="829"/>
        <v>4.3325260105747905</v>
      </c>
      <c r="Q229" s="112">
        <f t="shared" si="829"/>
        <v>5.8301893228722488</v>
      </c>
      <c r="R229" s="112">
        <f t="shared" si="829"/>
        <v>12.48944226505202</v>
      </c>
      <c r="S229" s="112">
        <f t="shared" si="829"/>
        <v>5.241821593041105</v>
      </c>
      <c r="T229" s="112">
        <f>T205/$T$174</f>
        <v>9.8150434930922721</v>
      </c>
      <c r="U229" s="112">
        <f>U205/$T$174</f>
        <v>6.1511171755074185</v>
      </c>
      <c r="V229" s="101">
        <f t="shared" si="719"/>
        <v>0.17876863479358729</v>
      </c>
      <c r="W229" s="109"/>
      <c r="X229" s="112">
        <f t="shared" ref="X229:AG229" si="830">X205/$T$174</f>
        <v>1.3371993859798736</v>
      </c>
      <c r="Y229" s="112">
        <f t="shared" si="830"/>
        <v>1.3371993859798736</v>
      </c>
      <c r="Z229" s="112">
        <f t="shared" si="830"/>
        <v>1.3371993859798736</v>
      </c>
      <c r="AA229" s="112">
        <f t="shared" si="830"/>
        <v>1.3371993859798736</v>
      </c>
      <c r="AB229" s="112">
        <f t="shared" si="830"/>
        <v>1.3371993859798736</v>
      </c>
      <c r="AC229" s="112">
        <f t="shared" si="830"/>
        <v>1.3371993859798736</v>
      </c>
      <c r="AD229" s="112">
        <f t="shared" si="830"/>
        <v>1.3371993859798736</v>
      </c>
      <c r="AE229" s="112">
        <f t="shared" si="830"/>
        <v>1.3371993859798736</v>
      </c>
      <c r="AF229" s="112">
        <f t="shared" si="830"/>
        <v>1.3371993859798736</v>
      </c>
      <c r="AG229" s="112">
        <f t="shared" si="830"/>
        <v>1.3371993859798736</v>
      </c>
      <c r="AH229" s="115">
        <f t="shared" ref="AH229:AH231" si="831">((AG229/J229)^(1/($AG$3-$K$1) ))-1</f>
        <v>-8.2512226881688022E-3</v>
      </c>
      <c r="AI229" s="21">
        <f t="shared" ref="AI229:AI231" si="832">$O$1</f>
        <v>0.01</v>
      </c>
      <c r="AJ229" s="156">
        <f>(AJ214)/($O$2*100)</f>
        <v>0</v>
      </c>
    </row>
    <row r="230" spans="2:36" x14ac:dyDescent="0.2">
      <c r="B230" s="10" t="s">
        <v>432</v>
      </c>
      <c r="C230" s="110"/>
      <c r="D230" s="110"/>
      <c r="E230" s="110"/>
      <c r="F230" s="110"/>
      <c r="G230" s="156">
        <f t="shared" ref="G230" si="833">(G229)/($O$2*100)</f>
        <v>4.1007447836716129E-2</v>
      </c>
      <c r="H230" s="156">
        <f t="shared" ref="H230:I230" si="834">(H229)/($O$2*100)</f>
        <v>5.7053840468474608E-2</v>
      </c>
      <c r="I230" s="156">
        <f t="shared" si="834"/>
        <v>0.11589061345158906</v>
      </c>
      <c r="J230" s="156">
        <f t="shared" ref="J230:T230" si="835">(J229)/($O$2*100)</f>
        <v>0.10875888339302972</v>
      </c>
      <c r="K230" s="156">
        <f t="shared" si="835"/>
        <v>0.19077377906646198</v>
      </c>
      <c r="L230" s="156">
        <f t="shared" si="835"/>
        <v>9.6278355790550899E-2</v>
      </c>
      <c r="M230" s="156">
        <f t="shared" si="835"/>
        <v>0.36550116550116546</v>
      </c>
      <c r="N230" s="156">
        <f t="shared" si="835"/>
        <v>0.47782591392347484</v>
      </c>
      <c r="O230" s="156">
        <f t="shared" si="835"/>
        <v>0.42612087099891977</v>
      </c>
      <c r="P230" s="156">
        <f t="shared" si="835"/>
        <v>0.28883506737165271</v>
      </c>
      <c r="Q230" s="156">
        <f t="shared" si="835"/>
        <v>0.38867928819148323</v>
      </c>
      <c r="R230" s="156">
        <f t="shared" si="835"/>
        <v>0.83262948433680128</v>
      </c>
      <c r="S230" s="156">
        <f t="shared" si="835"/>
        <v>0.34945477286940702</v>
      </c>
      <c r="T230" s="156">
        <f t="shared" si="835"/>
        <v>0.65433623287281817</v>
      </c>
      <c r="U230" s="156">
        <f t="shared" ref="U230" si="836">(U229)/($O$2*100)</f>
        <v>0.41007447836716121</v>
      </c>
      <c r="V230" s="101">
        <f t="shared" si="719"/>
        <v>0.17876863479358729</v>
      </c>
      <c r="W230" s="109"/>
      <c r="X230" s="156">
        <f t="shared" ref="X230:AG230" si="837">(X229)/($O$2*100)</f>
        <v>8.9146625731991572E-2</v>
      </c>
      <c r="Y230" s="156">
        <f t="shared" si="837"/>
        <v>8.9146625731991572E-2</v>
      </c>
      <c r="Z230" s="156">
        <f t="shared" si="837"/>
        <v>8.9146625731991572E-2</v>
      </c>
      <c r="AA230" s="156">
        <f t="shared" si="837"/>
        <v>8.9146625731991572E-2</v>
      </c>
      <c r="AB230" s="156">
        <f t="shared" si="837"/>
        <v>8.9146625731991572E-2</v>
      </c>
      <c r="AC230" s="156">
        <f t="shared" si="837"/>
        <v>8.9146625731991572E-2</v>
      </c>
      <c r="AD230" s="156">
        <f t="shared" si="837"/>
        <v>8.9146625731991572E-2</v>
      </c>
      <c r="AE230" s="156">
        <f t="shared" si="837"/>
        <v>8.9146625731991572E-2</v>
      </c>
      <c r="AF230" s="156">
        <f t="shared" si="837"/>
        <v>8.9146625731991572E-2</v>
      </c>
      <c r="AG230" s="156">
        <f t="shared" si="837"/>
        <v>8.9146625731991572E-2</v>
      </c>
      <c r="AH230" s="115">
        <f t="shared" si="831"/>
        <v>-8.2512226881688022E-3</v>
      </c>
      <c r="AI230" s="21">
        <f t="shared" si="832"/>
        <v>0.01</v>
      </c>
      <c r="AJ230" s="156" t="e">
        <f>(#REF!)/($O$2*100)</f>
        <v>#REF!</v>
      </c>
    </row>
    <row r="231" spans="2:36" x14ac:dyDescent="0.2">
      <c r="B231" s="10" t="s">
        <v>434</v>
      </c>
      <c r="C231" s="110"/>
      <c r="D231" s="110"/>
      <c r="E231" s="110"/>
      <c r="F231" s="110"/>
      <c r="G231" s="128">
        <f t="shared" ref="G231" si="838">G230-1</f>
        <v>-0.95899255216328383</v>
      </c>
      <c r="H231" s="128">
        <f t="shared" ref="H231:I231" si="839">H230-1</f>
        <v>-0.94294615953152539</v>
      </c>
      <c r="I231" s="128">
        <f t="shared" si="839"/>
        <v>-0.88410938654841098</v>
      </c>
      <c r="J231" s="128">
        <f t="shared" ref="J231:T231" si="840">J230-1</f>
        <v>-0.89124111660697025</v>
      </c>
      <c r="K231" s="128">
        <f t="shared" si="840"/>
        <v>-0.80922622093353802</v>
      </c>
      <c r="L231" s="128">
        <f t="shared" si="840"/>
        <v>-0.90372164420944912</v>
      </c>
      <c r="M231" s="128">
        <f t="shared" si="840"/>
        <v>-0.63449883449883449</v>
      </c>
      <c r="N231" s="128">
        <f t="shared" si="840"/>
        <v>-0.52217408607652516</v>
      </c>
      <c r="O231" s="128">
        <f t="shared" si="840"/>
        <v>-0.57387912900108029</v>
      </c>
      <c r="P231" s="128">
        <f t="shared" si="840"/>
        <v>-0.71116493262834735</v>
      </c>
      <c r="Q231" s="128">
        <f t="shared" si="840"/>
        <v>-0.61132071180851677</v>
      </c>
      <c r="R231" s="128">
        <f t="shared" si="840"/>
        <v>-0.16737051566319872</v>
      </c>
      <c r="S231" s="128">
        <f t="shared" si="840"/>
        <v>-0.65054522713059293</v>
      </c>
      <c r="T231" s="128">
        <f t="shared" si="840"/>
        <v>-0.34566376712718183</v>
      </c>
      <c r="U231" s="128">
        <f t="shared" ref="U231" si="841">U230-1</f>
        <v>-0.58992552163283873</v>
      </c>
      <c r="V231" s="101">
        <f t="shared" si="719"/>
        <v>-3.4110861969643302E-2</v>
      </c>
      <c r="W231" s="109"/>
      <c r="X231" s="128">
        <f t="shared" ref="X231:AG231" si="842">X230-1</f>
        <v>-0.91085337426800839</v>
      </c>
      <c r="Y231" s="128">
        <f t="shared" si="842"/>
        <v>-0.91085337426800839</v>
      </c>
      <c r="Z231" s="128">
        <f t="shared" si="842"/>
        <v>-0.91085337426800839</v>
      </c>
      <c r="AA231" s="128">
        <f t="shared" si="842"/>
        <v>-0.91085337426800839</v>
      </c>
      <c r="AB231" s="128">
        <f t="shared" si="842"/>
        <v>-0.91085337426800839</v>
      </c>
      <c r="AC231" s="128">
        <f t="shared" si="842"/>
        <v>-0.91085337426800839</v>
      </c>
      <c r="AD231" s="128">
        <f t="shared" si="842"/>
        <v>-0.91085337426800839</v>
      </c>
      <c r="AE231" s="128">
        <f t="shared" si="842"/>
        <v>-0.91085337426800839</v>
      </c>
      <c r="AF231" s="128">
        <f t="shared" si="842"/>
        <v>-0.91085337426800839</v>
      </c>
      <c r="AG231" s="128">
        <f t="shared" si="842"/>
        <v>-0.91085337426800839</v>
      </c>
      <c r="AH231" s="115">
        <f t="shared" si="831"/>
        <v>9.0736681088054993E-4</v>
      </c>
      <c r="AI231" s="21">
        <f t="shared" si="832"/>
        <v>0.01</v>
      </c>
      <c r="AJ231" s="156">
        <f>(AJ215)/($O$2*100)</f>
        <v>4.5685342987180043E-2</v>
      </c>
    </row>
    <row r="232" spans="2:36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 x14ac:dyDescent="0.2">
      <c r="B233" s="10" t="s">
        <v>505</v>
      </c>
      <c r="C233" s="110"/>
      <c r="D233" s="110"/>
      <c r="E233" s="110"/>
      <c r="F233" s="110"/>
      <c r="G233" s="128">
        <f t="shared" ref="G233:S233" si="843">1/G234</f>
        <v>0.66308981009844992</v>
      </c>
      <c r="H233" s="128">
        <f t="shared" si="843"/>
        <v>0.47659580100826093</v>
      </c>
      <c r="I233" s="128">
        <f t="shared" si="843"/>
        <v>0.2346317789579131</v>
      </c>
      <c r="J233" s="128">
        <f t="shared" si="843"/>
        <v>0.25001746938138281</v>
      </c>
      <c r="K233" s="128">
        <f t="shared" si="843"/>
        <v>0.14253332366602198</v>
      </c>
      <c r="L233" s="128">
        <f t="shared" si="843"/>
        <v>0.28242714133822872</v>
      </c>
      <c r="M233" s="128">
        <f t="shared" si="843"/>
        <v>7.4395442108606574E-2</v>
      </c>
      <c r="N233" s="128">
        <f t="shared" si="843"/>
        <v>5.6906961314419219E-2</v>
      </c>
      <c r="O233" s="128">
        <f t="shared" si="843"/>
        <v>6.3811990093156273E-2</v>
      </c>
      <c r="P233" s="128">
        <f t="shared" si="843"/>
        <v>9.4142380446076243E-2</v>
      </c>
      <c r="Q233" s="128">
        <f t="shared" si="843"/>
        <v>6.9959016661763074E-2</v>
      </c>
      <c r="R233" s="128">
        <f t="shared" si="843"/>
        <v>3.2657528120480409E-2</v>
      </c>
      <c r="S233" s="128">
        <f t="shared" si="843"/>
        <v>7.7811559348287498E-2</v>
      </c>
      <c r="T233" s="128">
        <f>1/T234</f>
        <v>4.1556037145134471E-2</v>
      </c>
      <c r="U233" s="128">
        <f>1/U234</f>
        <v>6.6308981009845003E-2</v>
      </c>
      <c r="V233" s="101">
        <f t="shared" si="719"/>
        <v>-0.15165710175592795</v>
      </c>
      <c r="W233" s="109"/>
      <c r="X233" s="128">
        <f t="shared" ref="X233:AG233" si="844">1/X234</f>
        <v>11073.508389649094</v>
      </c>
      <c r="Y233" s="128">
        <f t="shared" si="844"/>
        <v>235.87840939187873</v>
      </c>
      <c r="Z233" s="128">
        <f t="shared" si="844"/>
        <v>258.34301981015284</v>
      </c>
      <c r="AA233" s="128">
        <f t="shared" si="844"/>
        <v>282.94711693492928</v>
      </c>
      <c r="AB233" s="128">
        <f t="shared" si="844"/>
        <v>309.89446140492259</v>
      </c>
      <c r="AC233" s="128">
        <f t="shared" si="844"/>
        <v>339.4082196339628</v>
      </c>
      <c r="AD233" s="128">
        <f t="shared" si="844"/>
        <v>371.73281198005435</v>
      </c>
      <c r="AE233" s="128">
        <f t="shared" si="844"/>
        <v>407.13593693053571</v>
      </c>
      <c r="AF233" s="128">
        <f t="shared" si="844"/>
        <v>445.91078806677717</v>
      </c>
      <c r="AG233" s="128">
        <f t="shared" si="844"/>
        <v>488.37848216837494</v>
      </c>
      <c r="AH233" s="115">
        <f t="shared" ref="AH233:AH236" si="845">((AG233/J233)^(1/($AG$3-$K$1) ))-1</f>
        <v>0.37124826233722152</v>
      </c>
      <c r="AI233" s="21">
        <f t="shared" ref="AI233:AI236" si="846">$O$1</f>
        <v>0.01</v>
      </c>
      <c r="AJ233" s="156">
        <f>(AJ219)/($O$2*100)</f>
        <v>1.1359580606604919E-3</v>
      </c>
    </row>
    <row r="234" spans="2:36" x14ac:dyDescent="0.2">
      <c r="B234" s="10" t="s">
        <v>500</v>
      </c>
      <c r="C234" s="110"/>
      <c r="D234" s="110"/>
      <c r="E234" s="110"/>
      <c r="F234" s="110"/>
      <c r="G234" s="112">
        <f t="shared" ref="G234" si="847">G205/$X$175</f>
        <v>1.5080913396203879</v>
      </c>
      <c r="H234" s="112">
        <f t="shared" ref="H234:S234" si="848">H205/$X$175</f>
        <v>2.0982140377327134</v>
      </c>
      <c r="I234" s="112">
        <f t="shared" si="848"/>
        <v>4.2619972641445738</v>
      </c>
      <c r="J234" s="112">
        <f t="shared" si="848"/>
        <v>3.9997205094279851</v>
      </c>
      <c r="K234" s="112">
        <f t="shared" si="848"/>
        <v>7.0159031886687604</v>
      </c>
      <c r="L234" s="112">
        <f t="shared" si="848"/>
        <v>3.5407361886739541</v>
      </c>
      <c r="M234" s="112">
        <f t="shared" si="848"/>
        <v>13.441683679225196</v>
      </c>
      <c r="N234" s="112">
        <f t="shared" si="848"/>
        <v>17.572542566011474</v>
      </c>
      <c r="O234" s="112">
        <f t="shared" si="848"/>
        <v>15.671036094316204</v>
      </c>
      <c r="P234" s="112">
        <f t="shared" si="848"/>
        <v>10.622208566021861</v>
      </c>
      <c r="Q234" s="112">
        <f t="shared" si="848"/>
        <v>14.29408313205411</v>
      </c>
      <c r="R234" s="112">
        <f t="shared" si="848"/>
        <v>30.620811113161785</v>
      </c>
      <c r="S234" s="112">
        <f t="shared" si="848"/>
        <v>12.85156098111287</v>
      </c>
      <c r="T234" s="112">
        <f>T205/$X$175</f>
        <v>24.063892245247057</v>
      </c>
      <c r="U234" s="112">
        <f>U205/$X$175</f>
        <v>15.080913396203877</v>
      </c>
      <c r="V234" s="101">
        <f t="shared" si="719"/>
        <v>0.17876863479358729</v>
      </c>
      <c r="W234" s="109"/>
      <c r="X234" s="112">
        <f t="shared" ref="X234:AG234" si="849">X210/$T$174</f>
        <v>9.0305616324338987E-5</v>
      </c>
      <c r="Y234" s="112">
        <f t="shared" si="849"/>
        <v>4.239472372982815E-3</v>
      </c>
      <c r="Z234" s="112">
        <f t="shared" si="849"/>
        <v>3.8708226014190928E-3</v>
      </c>
      <c r="AA234" s="112">
        <f t="shared" si="849"/>
        <v>3.5342293317304763E-3</v>
      </c>
      <c r="AB234" s="112">
        <f t="shared" si="849"/>
        <v>3.2269050420147822E-3</v>
      </c>
      <c r="AC234" s="112">
        <f t="shared" si="849"/>
        <v>2.9463046035787146E-3</v>
      </c>
      <c r="AD234" s="112">
        <f t="shared" si="849"/>
        <v>2.6901042032675231E-3</v>
      </c>
      <c r="AE234" s="112">
        <f t="shared" si="849"/>
        <v>2.4561820986355645E-3</v>
      </c>
      <c r="AF234" s="112">
        <f t="shared" si="849"/>
        <v>2.2426010465802981E-3</v>
      </c>
      <c r="AG234" s="112">
        <f t="shared" si="849"/>
        <v>2.0475922599211419E-3</v>
      </c>
      <c r="AH234" s="115">
        <f t="shared" si="845"/>
        <v>-0.27073745326353105</v>
      </c>
      <c r="AI234" s="21">
        <f t="shared" si="846"/>
        <v>0.01</v>
      </c>
      <c r="AJ234" s="156">
        <f>(AJ219)/($O$2*100)</f>
        <v>1.1359580606604919E-3</v>
      </c>
    </row>
    <row r="235" spans="2:36" x14ac:dyDescent="0.2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0.10053942264135919</v>
      </c>
      <c r="H235" s="156">
        <f t="shared" ref="H235:T235" si="851">(H234)/($O$2*100)</f>
        <v>0.13988093584884756</v>
      </c>
      <c r="I235" s="156">
        <f t="shared" si="851"/>
        <v>0.28413315094297159</v>
      </c>
      <c r="J235" s="156">
        <f t="shared" si="851"/>
        <v>0.26664803396186565</v>
      </c>
      <c r="K235" s="156">
        <f t="shared" si="851"/>
        <v>0.467726879244584</v>
      </c>
      <c r="L235" s="156">
        <f t="shared" si="851"/>
        <v>0.23604907924493027</v>
      </c>
      <c r="M235" s="156">
        <f t="shared" si="851"/>
        <v>0.89611224528167976</v>
      </c>
      <c r="N235" s="156">
        <f t="shared" si="851"/>
        <v>1.1715028377340984</v>
      </c>
      <c r="O235" s="156">
        <f t="shared" si="851"/>
        <v>1.0447357396210804</v>
      </c>
      <c r="P235" s="156">
        <f t="shared" si="851"/>
        <v>0.70814723773479071</v>
      </c>
      <c r="Q235" s="156">
        <f t="shared" si="851"/>
        <v>0.952938875470274</v>
      </c>
      <c r="R235" s="156">
        <f t="shared" si="851"/>
        <v>2.0413874075441192</v>
      </c>
      <c r="S235" s="156">
        <f t="shared" si="851"/>
        <v>0.8567707320741913</v>
      </c>
      <c r="T235" s="156">
        <f t="shared" si="851"/>
        <v>1.6042594830164705</v>
      </c>
      <c r="U235" s="156">
        <f t="shared" ref="U235" si="852">(U234)/($O$2*100)</f>
        <v>1.0053942264135918</v>
      </c>
      <c r="V235" s="101">
        <f t="shared" si="719"/>
        <v>0.17876863479358729</v>
      </c>
      <c r="W235" s="109"/>
      <c r="X235" s="156">
        <f t="shared" ref="X235:AG235" si="853">(X234)/($O$2*100)</f>
        <v>6.0203744216225991E-6</v>
      </c>
      <c r="Y235" s="156">
        <f t="shared" si="853"/>
        <v>2.8263149153218766E-4</v>
      </c>
      <c r="Z235" s="156">
        <f t="shared" si="853"/>
        <v>2.580548400946062E-4</v>
      </c>
      <c r="AA235" s="156">
        <f t="shared" si="853"/>
        <v>2.3561528878203176E-4</v>
      </c>
      <c r="AB235" s="156">
        <f t="shared" si="853"/>
        <v>2.1512700280098548E-4</v>
      </c>
      <c r="AC235" s="156">
        <f t="shared" si="853"/>
        <v>1.9642030690524766E-4</v>
      </c>
      <c r="AD235" s="156">
        <f t="shared" si="853"/>
        <v>1.7934028021783486E-4</v>
      </c>
      <c r="AE235" s="156">
        <f t="shared" si="853"/>
        <v>1.6374547324237096E-4</v>
      </c>
      <c r="AF235" s="156">
        <f t="shared" si="853"/>
        <v>1.4950673643868655E-4</v>
      </c>
      <c r="AG235" s="156">
        <f t="shared" si="853"/>
        <v>1.3650615066140945E-4</v>
      </c>
      <c r="AH235" s="115">
        <f t="shared" si="845"/>
        <v>-0.27073745326353105</v>
      </c>
      <c r="AI235" s="21">
        <f t="shared" si="846"/>
        <v>0.01</v>
      </c>
      <c r="AJ235" s="156" t="e">
        <f>(#REF!)/($O$2*100)</f>
        <v>#REF!</v>
      </c>
    </row>
    <row r="236" spans="2:36" x14ac:dyDescent="0.2">
      <c r="B236" s="10" t="s">
        <v>434</v>
      </c>
      <c r="C236" s="110"/>
      <c r="D236" s="110"/>
      <c r="E236" s="110"/>
      <c r="F236" s="110"/>
      <c r="G236" s="128">
        <f t="shared" ref="G236" si="854">G235-1</f>
        <v>-0.89946057735864082</v>
      </c>
      <c r="H236" s="128">
        <f t="shared" ref="H236:T236" si="855">H235-1</f>
        <v>-0.86011906415115247</v>
      </c>
      <c r="I236" s="128">
        <f t="shared" si="855"/>
        <v>-0.71586684905702835</v>
      </c>
      <c r="J236" s="128">
        <f t="shared" si="855"/>
        <v>-0.73335196603813435</v>
      </c>
      <c r="K236" s="128">
        <f t="shared" si="855"/>
        <v>-0.532273120755416</v>
      </c>
      <c r="L236" s="128">
        <f t="shared" si="855"/>
        <v>-0.76395092075506976</v>
      </c>
      <c r="M236" s="128">
        <f t="shared" si="855"/>
        <v>-0.10388775471832024</v>
      </c>
      <c r="N236" s="128">
        <f t="shared" si="855"/>
        <v>0.17150283773409836</v>
      </c>
      <c r="O236" s="128">
        <f t="shared" si="855"/>
        <v>4.473573962108035E-2</v>
      </c>
      <c r="P236" s="128">
        <f t="shared" si="855"/>
        <v>-0.29185276226520929</v>
      </c>
      <c r="Q236" s="128">
        <f t="shared" si="855"/>
        <v>-4.7061124529725995E-2</v>
      </c>
      <c r="R236" s="128">
        <f t="shared" si="855"/>
        <v>1.0413874075441192</v>
      </c>
      <c r="S236" s="128">
        <f t="shared" si="855"/>
        <v>-0.1432292679258087</v>
      </c>
      <c r="T236" s="128">
        <f t="shared" si="855"/>
        <v>0.60425948301647048</v>
      </c>
      <c r="U236" s="128">
        <f t="shared" ref="U236" si="856">U235-1</f>
        <v>5.3942264135917739E-3</v>
      </c>
      <c r="V236" s="101" t="e">
        <f t="shared" si="719"/>
        <v>#NUM!</v>
      </c>
      <c r="W236" s="109"/>
      <c r="X236" s="128">
        <f t="shared" ref="X236:AG236" si="857">X235-1</f>
        <v>-0.99999397962557834</v>
      </c>
      <c r="Y236" s="128">
        <f t="shared" si="857"/>
        <v>-0.99971736850846782</v>
      </c>
      <c r="Z236" s="128">
        <f t="shared" si="857"/>
        <v>-0.99974194515990544</v>
      </c>
      <c r="AA236" s="128">
        <f t="shared" si="857"/>
        <v>-0.99976438471121798</v>
      </c>
      <c r="AB236" s="128">
        <f t="shared" si="857"/>
        <v>-0.99978487299719898</v>
      </c>
      <c r="AC236" s="128">
        <f t="shared" si="857"/>
        <v>-0.99980357969309475</v>
      </c>
      <c r="AD236" s="128">
        <f t="shared" si="857"/>
        <v>-0.99982065971978218</v>
      </c>
      <c r="AE236" s="128">
        <f t="shared" si="857"/>
        <v>-0.99983625452675762</v>
      </c>
      <c r="AF236" s="128">
        <f t="shared" si="857"/>
        <v>-0.99985049326356135</v>
      </c>
      <c r="AG236" s="128">
        <f t="shared" si="857"/>
        <v>-0.99986349384933859</v>
      </c>
      <c r="AH236" s="115">
        <f t="shared" si="845"/>
        <v>1.3000151887847755E-2</v>
      </c>
      <c r="AI236" s="21">
        <f t="shared" si="846"/>
        <v>0.01</v>
      </c>
      <c r="AJ236" s="156">
        <f>(AJ220)/($O$2*100)</f>
        <v>1.0505748760391561E-2</v>
      </c>
    </row>
    <row r="237" spans="2:36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 x14ac:dyDescent="0.2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 x14ac:dyDescent="0.2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2" t="s">
        <v>293</v>
      </c>
      <c r="O240" s="313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 x14ac:dyDescent="0.2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0.97658467586309172</v>
      </c>
      <c r="T241" s="109">
        <f>(U205-X192)/U205</f>
        <v>0.86048043423602316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 x14ac:dyDescent="0.2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35.112969397220006</v>
      </c>
      <c r="Q242" s="10"/>
      <c r="R242" s="10"/>
      <c r="S242" s="109">
        <f>(U205-Y183)/U205</f>
        <v>25.066298723712304</v>
      </c>
      <c r="T242" s="109">
        <f>(U205-X183)/U205</f>
        <v>6.0038838930490925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 x14ac:dyDescent="0.2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-2.3556632655335208</v>
      </c>
      <c r="Q243" s="10"/>
      <c r="R243" s="10"/>
      <c r="S243" s="109">
        <f>(U205-Y176)/U205</f>
        <v>-1.3673809695118166</v>
      </c>
      <c r="T243" s="109">
        <f>(U205-X176)/U205</f>
        <v>0.50777227366586009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 x14ac:dyDescent="0.2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-0.69446701163429614</v>
      </c>
      <c r="Q244" s="10"/>
      <c r="R244" s="10"/>
      <c r="S244" s="109">
        <f>(U205-Y189)/U205</f>
        <v>-0.19542654890636224</v>
      </c>
      <c r="T244" s="109">
        <f>(U205-X189)/U205</f>
        <v>0.75144596507887518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 x14ac:dyDescent="0.2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 x14ac:dyDescent="0.2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3.1356354586166479</v>
      </c>
      <c r="T246" s="15">
        <f>U205/X175</f>
        <v>15.080913396203877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 x14ac:dyDescent="0.2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0.31891462295211165</v>
      </c>
      <c r="T247" s="128">
        <f>1/T246</f>
        <v>6.6308981009845003E-2</v>
      </c>
      <c r="U247" s="128"/>
      <c r="V247" s="10"/>
      <c r="W247" s="10"/>
      <c r="X247" s="110">
        <f>U205-X248</f>
        <v>187.16020309714202</v>
      </c>
      <c r="Y247" s="160">
        <f>X247-Y248</f>
        <v>137.89443665885531</v>
      </c>
      <c r="Z247" s="160">
        <f t="shared" ref="Z247:AB247" si="858">Y247-Z248</f>
        <v>81.238805254825621</v>
      </c>
      <c r="AA247" s="160">
        <f t="shared" si="858"/>
        <v>16.084829140191474</v>
      </c>
      <c r="AB247" s="160">
        <f t="shared" si="858"/>
        <v>-58.842243391637794</v>
      </c>
      <c r="AC247" s="160">
        <f>AB247-AC248</f>
        <v>-145.00837680324145</v>
      </c>
      <c r="AD247" s="160">
        <f t="shared" ref="AD247:AG247" si="859">AC247-AD248</f>
        <v>-244.09943022658564</v>
      </c>
      <c r="AE247" s="160">
        <f t="shared" si="859"/>
        <v>-358.05414166343144</v>
      </c>
      <c r="AF247" s="160">
        <f t="shared" si="859"/>
        <v>-489.10205981580413</v>
      </c>
      <c r="AG247" s="160">
        <f t="shared" si="859"/>
        <v>-639.80716569103265</v>
      </c>
      <c r="AH247" s="160">
        <f t="shared" ref="AH247" si="860">AG247-AH248</f>
        <v>-813.11803744754548</v>
      </c>
      <c r="AI247" s="160">
        <f t="shared" ref="AI247" si="861">AH247-AI248</f>
        <v>-1012.4255399675352</v>
      </c>
      <c r="AJ247" s="160">
        <f t="shared" ref="AJ247" si="862">AI247-AJ248</f>
        <v>-1241.6291678655234</v>
      </c>
      <c r="AK247" s="160">
        <f t="shared" ref="AK247" si="863">AJ247-AK248</f>
        <v>-1505.21333994821</v>
      </c>
      <c r="AL247" s="160">
        <f t="shared" ref="AL247" si="864">AK247-AL248</f>
        <v>-1808.3351378432994</v>
      </c>
      <c r="AM247" s="160">
        <f t="shared" ref="AM247" si="865">AL247-AM248</f>
        <v>-2156.9252054226522</v>
      </c>
      <c r="AN247" s="160">
        <f t="shared" ref="AN247" si="866">AM247-AN248</f>
        <v>-2557.8037831389079</v>
      </c>
      <c r="AO247" s="160">
        <f t="shared" ref="AO247" si="867">AN247-AO248</f>
        <v>-3018.8141475126017</v>
      </c>
      <c r="AP247" s="160">
        <f t="shared" ref="AP247" si="868">AO247-AP248</f>
        <v>-3548.9760665423496</v>
      </c>
      <c r="AQ247" s="160">
        <f t="shared" ref="AQ247" si="869">AP247-AQ248</f>
        <v>-4158.6622734265602</v>
      </c>
      <c r="AR247" s="160">
        <f t="shared" ref="AR247" si="870">AQ247-AR248</f>
        <v>-4859.8014113434019</v>
      </c>
      <c r="AS247" s="160">
        <f t="shared" ref="AS247" si="871">AR247-AS248</f>
        <v>-5666.1114199477697</v>
      </c>
      <c r="AT247" s="160">
        <f t="shared" ref="AT247" si="872">AS247-AT248</f>
        <v>-6593.3679298427924</v>
      </c>
      <c r="AU247" s="160">
        <f t="shared" ref="AU247" si="873">AT247-AU248</f>
        <v>-7659.7129162220681</v>
      </c>
      <c r="AV247" s="160">
        <f t="shared" ref="AV247" si="874">AU247-AV248</f>
        <v>-8886.0096505582351</v>
      </c>
      <c r="AW247" s="160">
        <f t="shared" ref="AW247" si="875">AV247-AW248</f>
        <v>-10296.250895044828</v>
      </c>
      <c r="AX247" s="160">
        <f t="shared" ref="AX247" si="876">AW247-AX248</f>
        <v>-11918.02832620441</v>
      </c>
    </row>
    <row r="248" spans="2:50" x14ac:dyDescent="0.2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15.852307692307692</v>
      </c>
      <c r="T248" s="156" t="s">
        <v>409</v>
      </c>
      <c r="U248" s="156"/>
      <c r="V248" s="10"/>
      <c r="W248" s="10"/>
      <c r="X248" s="161">
        <f>V174*(1+$N$248)</f>
        <v>42.839796902857998</v>
      </c>
      <c r="Y248" s="161">
        <f>X248*(1+$N$248)</f>
        <v>49.265766438286697</v>
      </c>
      <c r="Z248" s="161">
        <f t="shared" ref="Z248:AG248" si="877">Y248*(1+$N$248)</f>
        <v>56.655631404029698</v>
      </c>
      <c r="AA248" s="161">
        <f t="shared" si="877"/>
        <v>65.153976114634148</v>
      </c>
      <c r="AB248" s="161">
        <f t="shared" si="877"/>
        <v>74.927072531829268</v>
      </c>
      <c r="AC248" s="161">
        <f t="shared" si="877"/>
        <v>86.166133411603653</v>
      </c>
      <c r="AD248" s="161">
        <f t="shared" si="877"/>
        <v>99.091053423344192</v>
      </c>
      <c r="AE248" s="161">
        <f t="shared" si="877"/>
        <v>113.95471143684581</v>
      </c>
      <c r="AF248" s="161">
        <f t="shared" si="877"/>
        <v>131.04791815237269</v>
      </c>
      <c r="AG248" s="161">
        <f t="shared" si="877"/>
        <v>150.70510587522858</v>
      </c>
      <c r="AH248" s="161">
        <f t="shared" ref="AH248" si="878">AG248*(1+$N$248)</f>
        <v>173.31087175651285</v>
      </c>
      <c r="AI248" s="161">
        <f t="shared" ref="AI248" si="879">AH248*(1+$N$248)</f>
        <v>199.30750251998975</v>
      </c>
      <c r="AJ248" s="161">
        <f t="shared" ref="AJ248" si="880">AI248*(1+$N$248)</f>
        <v>229.20362789798821</v>
      </c>
      <c r="AK248" s="161">
        <f t="shared" ref="AK248" si="881">AJ248*(1+$N$248)</f>
        <v>263.58417208268645</v>
      </c>
      <c r="AL248" s="161">
        <f t="shared" ref="AL248" si="882">AK248*(1+$N$248)</f>
        <v>303.1217978950894</v>
      </c>
      <c r="AM248" s="161">
        <f t="shared" ref="AM248" si="883">AL248*(1+$N$248)</f>
        <v>348.59006757935276</v>
      </c>
      <c r="AN248" s="161">
        <f t="shared" ref="AN248" si="884">AM248*(1+$N$248)</f>
        <v>400.87857771625562</v>
      </c>
      <c r="AO248" s="161">
        <f t="shared" ref="AO248" si="885">AN248*(1+$N$248)</f>
        <v>461.0103643736939</v>
      </c>
      <c r="AP248" s="161">
        <f t="shared" ref="AP248" si="886">AO248*(1+$N$248)</f>
        <v>530.16191902974799</v>
      </c>
      <c r="AQ248" s="161">
        <f t="shared" ref="AQ248" si="887">AP248*(1+$N$248)</f>
        <v>609.68620688421015</v>
      </c>
      <c r="AR248" s="161">
        <f t="shared" ref="AR248" si="888">AQ248*(1+$N$248)</f>
        <v>701.13913791684161</v>
      </c>
      <c r="AS248" s="161">
        <f t="shared" ref="AS248" si="889">AR248*(1+$N$248)</f>
        <v>806.31000860436779</v>
      </c>
      <c r="AT248" s="161">
        <f t="shared" ref="AT248" si="890">AS248*(1+$N$248)</f>
        <v>927.25650989502287</v>
      </c>
      <c r="AU248" s="161">
        <f t="shared" ref="AU248" si="891">AT248*(1+$N$248)</f>
        <v>1066.3449863792762</v>
      </c>
      <c r="AV248" s="161">
        <f t="shared" ref="AV248" si="892">AU248*(1+$N$248)</f>
        <v>1226.2967343361674</v>
      </c>
      <c r="AW248" s="161">
        <f t="shared" ref="AW248" si="893">AV248*(1+$N$248)</f>
        <v>1410.2412444865924</v>
      </c>
      <c r="AX248" s="161">
        <f t="shared" ref="AX248" si="894">AW248*(1+$N$248)</f>
        <v>1621.7774311595813</v>
      </c>
    </row>
    <row r="249" spans="2:50" x14ac:dyDescent="0.2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4.1097174535050076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6.2556808326105804</v>
      </c>
      <c r="T249" s="156" t="s">
        <v>409</v>
      </c>
      <c r="U249" s="156"/>
      <c r="V249" s="10"/>
      <c r="W249" s="10"/>
      <c r="X249" s="161">
        <f>T76*(1+$N$249)</f>
        <v>102.69562440114979</v>
      </c>
      <c r="Y249" s="161">
        <f>X249*(1+$N$249)</f>
        <v>118.09996806132224</v>
      </c>
      <c r="Z249" s="161">
        <f t="shared" ref="Z249:AG249" si="895">Y249*(1+$N$249)</f>
        <v>135.81496327052056</v>
      </c>
      <c r="AA249" s="161">
        <f t="shared" si="895"/>
        <v>156.18720776109865</v>
      </c>
      <c r="AB249" s="161">
        <f t="shared" si="895"/>
        <v>179.61528892526343</v>
      </c>
      <c r="AC249" s="161">
        <f t="shared" si="895"/>
        <v>206.55758226405294</v>
      </c>
      <c r="AD249" s="161">
        <f t="shared" si="895"/>
        <v>237.54121960366086</v>
      </c>
      <c r="AE249" s="161">
        <f t="shared" si="895"/>
        <v>273.17240254420994</v>
      </c>
      <c r="AF249" s="161">
        <f t="shared" si="895"/>
        <v>314.14826292584144</v>
      </c>
      <c r="AG249" s="161">
        <f t="shared" si="895"/>
        <v>361.27050236471763</v>
      </c>
      <c r="AH249" s="161">
        <f t="shared" ref="AH249" si="896">AG249*(1+$N$249)</f>
        <v>415.46107771942525</v>
      </c>
      <c r="AI249" s="161">
        <f t="shared" ref="AI249" si="897">AH249*(1+$N$249)</f>
        <v>477.780239377339</v>
      </c>
      <c r="AJ249" s="161">
        <f t="shared" ref="AJ249" si="898">AI249*(1+$N$249)</f>
        <v>549.4472752839398</v>
      </c>
      <c r="AK249" s="161">
        <f t="shared" ref="AK249" si="899">AJ249*(1+$N$249)</f>
        <v>631.86436657653076</v>
      </c>
      <c r="AL249" s="161">
        <f t="shared" ref="AL249" si="900">AK249*(1+$N$249)</f>
        <v>726.64402156301037</v>
      </c>
      <c r="AM249" s="161">
        <f t="shared" ref="AM249" si="901">AL249*(1+$N$249)</f>
        <v>835.6406247974619</v>
      </c>
      <c r="AN249" s="161">
        <f t="shared" ref="AN249" si="902">AM249*(1+$N$249)</f>
        <v>960.98671851708116</v>
      </c>
      <c r="AO249" s="161">
        <f t="shared" ref="AO249" si="903">AN249*(1+$N$249)</f>
        <v>1105.1347262946433</v>
      </c>
      <c r="AP249" s="161">
        <f t="shared" ref="AP249" si="904">AO249*(1+$N$249)</f>
        <v>1270.9049352388397</v>
      </c>
      <c r="AQ249" s="161">
        <f t="shared" ref="AQ249" si="905">AP249*(1+$N$249)</f>
        <v>1461.5406755246656</v>
      </c>
      <c r="AR249" s="161">
        <f t="shared" ref="AR249" si="906">AQ249*(1+$N$249)</f>
        <v>1680.7717768533653</v>
      </c>
      <c r="AS249" s="161">
        <f t="shared" ref="AS249" si="907">AR249*(1+$N$249)</f>
        <v>1932.8875433813698</v>
      </c>
      <c r="AT249" s="161">
        <f t="shared" ref="AT249" si="908">AS249*(1+$N$249)</f>
        <v>2222.820674888575</v>
      </c>
      <c r="AU249" s="161">
        <f t="shared" ref="AU249" si="909">AT249*(1+$N$249)</f>
        <v>2556.2437761218612</v>
      </c>
      <c r="AV249" s="161">
        <f t="shared" ref="AV249" si="910">AU249*(1+$N$249)</f>
        <v>2939.6803425401399</v>
      </c>
      <c r="AW249" s="161">
        <f t="shared" ref="AW249" si="911">AV249*(1+$N$249)</f>
        <v>3380.6323939211607</v>
      </c>
      <c r="AX249" s="161">
        <f t="shared" ref="AX249" si="912">AW249*(1+$N$249)</f>
        <v>3887.7272530093346</v>
      </c>
    </row>
    <row r="250" spans="2:50" x14ac:dyDescent="0.2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127.30437559885021</v>
      </c>
      <c r="Y250" s="160">
        <f>X250-Y249</f>
        <v>9.2044075375279704</v>
      </c>
      <c r="Z250" s="160">
        <f t="shared" ref="Z250:AE250" si="913">Y250-Z249</f>
        <v>-126.61055573299259</v>
      </c>
      <c r="AA250" s="160">
        <f t="shared" si="913"/>
        <v>-282.79776349409121</v>
      </c>
      <c r="AB250" s="160">
        <f t="shared" si="913"/>
        <v>-462.41305241935464</v>
      </c>
      <c r="AC250" s="160">
        <f t="shared" si="913"/>
        <v>-668.97063468340752</v>
      </c>
      <c r="AD250" s="160">
        <f t="shared" si="913"/>
        <v>-906.51185428706845</v>
      </c>
      <c r="AE250" s="160">
        <f t="shared" si="913"/>
        <v>-1179.6842568312784</v>
      </c>
      <c r="AF250" s="160">
        <f>AE250-AF249</f>
        <v>-1493.8325197571198</v>
      </c>
      <c r="AG250" s="160">
        <f t="shared" ref="AG250" si="914">AF250-AG249</f>
        <v>-1855.1030221218375</v>
      </c>
      <c r="AH250" s="160">
        <f t="shared" ref="AH250" si="915">AG250-AH249</f>
        <v>-2270.5640998412628</v>
      </c>
      <c r="AI250" s="160">
        <f t="shared" ref="AI250" si="916">AH250-AI249</f>
        <v>-2748.3443392186018</v>
      </c>
      <c r="AJ250" s="160">
        <f t="shared" ref="AJ250" si="917">AI250-AJ249</f>
        <v>-3297.7916145025415</v>
      </c>
      <c r="AK250" s="160">
        <f t="shared" ref="AK250" si="918">AJ250-AK249</f>
        <v>-3929.6559810790723</v>
      </c>
      <c r="AL250" s="160">
        <f t="shared" ref="AL250" si="919">AK250-AL249</f>
        <v>-4656.3000026420823</v>
      </c>
      <c r="AM250" s="160">
        <f t="shared" ref="AM250" si="920">AL250-AM249</f>
        <v>-5491.9406274395442</v>
      </c>
      <c r="AN250" s="160">
        <f t="shared" ref="AN250" si="921">AM250-AN249</f>
        <v>-6452.9273459566257</v>
      </c>
      <c r="AO250" s="160">
        <f t="shared" ref="AO250" si="922">AN250-AO249</f>
        <v>-7558.0620722512685</v>
      </c>
      <c r="AP250" s="160">
        <f t="shared" ref="AP250" si="923">AO250-AP249</f>
        <v>-8828.9670074901078</v>
      </c>
      <c r="AQ250" s="160">
        <f t="shared" ref="AQ250" si="924">AP250-AQ249</f>
        <v>-10290.507683014774</v>
      </c>
      <c r="AR250" s="160">
        <f t="shared" ref="AR250" si="925">AQ250-AR249</f>
        <v>-11971.279459868139</v>
      </c>
      <c r="AS250" s="160">
        <f t="shared" ref="AS250" si="926">AR250-AS249</f>
        <v>-13904.167003249509</v>
      </c>
      <c r="AT250" s="160">
        <f t="shared" ref="AT250" si="927">AS250-AT249</f>
        <v>-16126.987678138084</v>
      </c>
      <c r="AU250" s="160">
        <f t="shared" ref="AU250" si="928">AT250-AU249</f>
        <v>-18683.231454259945</v>
      </c>
      <c r="AV250" s="160">
        <f t="shared" ref="AV250" si="929">AU250-AV249</f>
        <v>-21622.911796800086</v>
      </c>
      <c r="AW250" s="160">
        <f t="shared" ref="AW250" si="930">AV250-AW249</f>
        <v>-25003.544190721248</v>
      </c>
      <c r="AX250" s="160">
        <f t="shared" ref="AX250" si="931">AW250-AX249</f>
        <v>-28891.271443730584</v>
      </c>
    </row>
    <row r="251" spans="2:50" x14ac:dyDescent="0.2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 x14ac:dyDescent="0.2">
      <c r="B252" s="10" t="s">
        <v>254</v>
      </c>
      <c r="C252" s="15"/>
      <c r="D252" s="15"/>
      <c r="E252" s="15"/>
      <c r="F252" s="15"/>
      <c r="G252" s="15"/>
      <c r="H252" s="15">
        <f t="shared" ref="H252:I252" si="932">H10/H7</f>
        <v>8.5538461538461537</v>
      </c>
      <c r="I252" s="15">
        <f t="shared" si="932"/>
        <v>8.829710144927537</v>
      </c>
      <c r="J252" s="15">
        <f t="shared" ref="J252:T252" si="933">J10/J7</f>
        <v>9.2225201072386067</v>
      </c>
      <c r="K252" s="15">
        <f t="shared" si="933"/>
        <v>9.3788546255506606</v>
      </c>
      <c r="L252" s="15">
        <f t="shared" si="933"/>
        <v>11.763809523809524</v>
      </c>
      <c r="M252" s="15">
        <f t="shared" si="933"/>
        <v>10.502257336343115</v>
      </c>
      <c r="N252" s="15">
        <f t="shared" si="933"/>
        <v>0.83279742765273312</v>
      </c>
      <c r="O252" s="15">
        <f t="shared" si="933"/>
        <v>0.78080158337456707</v>
      </c>
      <c r="P252" s="15">
        <f t="shared" si="933"/>
        <v>8.476984862527031</v>
      </c>
      <c r="Q252" s="15">
        <f t="shared" si="933"/>
        <v>9.4823726916620039</v>
      </c>
      <c r="R252" s="15">
        <f t="shared" si="933"/>
        <v>8.1325035133507324</v>
      </c>
      <c r="S252" s="15">
        <f t="shared" si="933"/>
        <v>9.5668955279272598</v>
      </c>
      <c r="T252" s="15">
        <f t="shared" si="933"/>
        <v>9.2197930142302713</v>
      </c>
      <c r="U252" s="15">
        <f t="shared" ref="U252" si="934">U10/U7</f>
        <v>9.2645168828134121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x14ac:dyDescent="0.2">
      <c r="B253" s="10" t="s">
        <v>255</v>
      </c>
      <c r="C253" s="96"/>
      <c r="D253" s="96"/>
      <c r="E253" s="96"/>
      <c r="F253" s="96"/>
      <c r="G253" s="96"/>
      <c r="H253" s="96">
        <f t="shared" ref="H253:I253" si="936">H10/H12</f>
        <v>40.68292682926829</v>
      </c>
      <c r="I253" s="96">
        <f t="shared" si="936"/>
        <v>23.892156862745097</v>
      </c>
      <c r="J253" s="96">
        <f t="shared" ref="J253:T253" si="937">J10/J12</f>
        <v>26.666666666666668</v>
      </c>
      <c r="K253" s="96">
        <f t="shared" si="937"/>
        <v>40.55238095238095</v>
      </c>
      <c r="L253" s="96">
        <f t="shared" si="937"/>
        <v>13.90990990990991</v>
      </c>
      <c r="M253" s="96">
        <f t="shared" si="937"/>
        <v>12.642663043478262</v>
      </c>
      <c r="N253" s="96">
        <f t="shared" si="937"/>
        <v>0.93976777939042089</v>
      </c>
      <c r="O253" s="96">
        <f t="shared" si="937"/>
        <v>2.1765517241379309</v>
      </c>
      <c r="P253" s="96">
        <f t="shared" si="937"/>
        <v>53.59375</v>
      </c>
      <c r="Q253" s="96">
        <f t="shared" si="937"/>
        <v>34.476093591047814</v>
      </c>
      <c r="R253" s="96">
        <f t="shared" si="937"/>
        <v>58.963609898107713</v>
      </c>
      <c r="S253" s="96">
        <f t="shared" si="937"/>
        <v>14.747139588100687</v>
      </c>
      <c r="T253" s="96">
        <f t="shared" si="937"/>
        <v>20.778134110787171</v>
      </c>
      <c r="U253" s="96">
        <f t="shared" ref="U253" si="938">U10/U12</f>
        <v>32.129254457050244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 x14ac:dyDescent="0.2">
      <c r="B254" s="10" t="s">
        <v>256</v>
      </c>
      <c r="C254" s="15"/>
      <c r="D254" s="15"/>
      <c r="E254" s="15"/>
      <c r="F254" s="15"/>
      <c r="G254" s="15"/>
      <c r="H254" s="15">
        <f t="shared" ref="H254:I254" si="939">H10/(H12+H13)</f>
        <v>11.346938775510203</v>
      </c>
      <c r="I254" s="15">
        <f t="shared" si="939"/>
        <v>13.172972972972973</v>
      </c>
      <c r="J254" s="15">
        <f t="shared" ref="J254:T254" si="940">J10/(J12+J13)</f>
        <v>16.303317535545023</v>
      </c>
      <c r="K254" s="15">
        <f t="shared" si="940"/>
        <v>22.062176165803109</v>
      </c>
      <c r="L254" s="15">
        <f t="shared" si="940"/>
        <v>11.479553903345725</v>
      </c>
      <c r="M254" s="15">
        <f t="shared" si="940"/>
        <v>10.934195064629847</v>
      </c>
      <c r="N254" s="15">
        <f t="shared" si="940"/>
        <v>0.62289562289562295</v>
      </c>
      <c r="O254" s="15">
        <f t="shared" si="940"/>
        <v>1.6234567901234569</v>
      </c>
      <c r="P254" s="15">
        <f t="shared" si="940"/>
        <v>34.866581956797965</v>
      </c>
      <c r="Q254" s="15">
        <f t="shared" si="940"/>
        <v>21.752246469833118</v>
      </c>
      <c r="R254" s="15">
        <f t="shared" si="940"/>
        <v>16.615258408531584</v>
      </c>
      <c r="S254" s="15">
        <f t="shared" si="940"/>
        <v>9.7165473049378068</v>
      </c>
      <c r="T254" s="15">
        <f t="shared" si="940"/>
        <v>4.2073912273451795</v>
      </c>
      <c r="U254" s="15">
        <f t="shared" ref="U254" si="941">U10/(U12+U13)</f>
        <v>7.5011824803708258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 x14ac:dyDescent="0.2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4" t="s">
        <v>281</v>
      </c>
      <c r="N257" s="314"/>
      <c r="O257" s="314"/>
      <c r="P257" s="315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 x14ac:dyDescent="0.2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 x14ac:dyDescent="0.2">
      <c r="B259" s="10"/>
      <c r="C259" s="142" t="s">
        <v>283</v>
      </c>
      <c r="D259" s="11">
        <v>23</v>
      </c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1</v>
      </c>
      <c r="K259" s="152">
        <f>J259+D260</f>
        <v>2</v>
      </c>
      <c r="L259" s="10"/>
      <c r="M259" s="142" t="s">
        <v>283</v>
      </c>
      <c r="N259" s="142"/>
      <c r="O259" s="11">
        <v>13</v>
      </c>
      <c r="P259" s="148">
        <f>O259</f>
        <v>13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 x14ac:dyDescent="0.2">
      <c r="B260" s="10"/>
      <c r="C260" s="142" t="s">
        <v>284</v>
      </c>
      <c r="D260" s="11">
        <v>1</v>
      </c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2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 x14ac:dyDescent="0.2">
      <c r="B261" s="10"/>
      <c r="C261" s="142" t="s">
        <v>286</v>
      </c>
      <c r="D261" s="143">
        <f>D259*D260</f>
        <v>23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2</v>
      </c>
      <c r="L261" s="10"/>
      <c r="M261" s="142" t="s">
        <v>285</v>
      </c>
      <c r="N261" s="142"/>
      <c r="O261" s="143">
        <f>O259*O260</f>
        <v>13</v>
      </c>
      <c r="P261" s="148">
        <f>O261</f>
        <v>13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 x14ac:dyDescent="0.2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2</v>
      </c>
      <c r="L262" s="10"/>
      <c r="M262" s="142" t="s">
        <v>287</v>
      </c>
      <c r="N262" s="142"/>
      <c r="O262" s="11">
        <v>230</v>
      </c>
      <c r="P262" s="11">
        <v>690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 x14ac:dyDescent="0.2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2</v>
      </c>
      <c r="L263" s="10"/>
      <c r="M263" s="142" t="s">
        <v>288</v>
      </c>
      <c r="N263" s="142"/>
      <c r="O263" s="143">
        <f>O262*O260</f>
        <v>230</v>
      </c>
      <c r="P263" s="143">
        <f>P262*P260</f>
        <v>690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 x14ac:dyDescent="0.2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2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 x14ac:dyDescent="0.2">
      <c r="B265" s="10"/>
      <c r="C265" s="142"/>
      <c r="D265" s="143"/>
      <c r="E265" s="151" t="s">
        <v>328</v>
      </c>
      <c r="F265" s="151"/>
      <c r="G265" s="12">
        <v>0</v>
      </c>
      <c r="H265" s="12">
        <v>1</v>
      </c>
      <c r="I265" s="142">
        <f t="shared" si="942"/>
        <v>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 x14ac:dyDescent="0.2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17.692307692307693</v>
      </c>
      <c r="P266" s="145">
        <f>P263/P261</f>
        <v>53.07692307692308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 x14ac:dyDescent="0.2">
      <c r="B267" s="10"/>
      <c r="C267" s="142" t="s">
        <v>287</v>
      </c>
      <c r="D267" s="11">
        <v>230</v>
      </c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 x14ac:dyDescent="0.2">
      <c r="B268" s="10"/>
      <c r="C268" s="142" t="s">
        <v>284</v>
      </c>
      <c r="D268" s="11">
        <v>2</v>
      </c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5</v>
      </c>
      <c r="K268" s="152">
        <f>J268</f>
        <v>5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 x14ac:dyDescent="0.2">
      <c r="B269" s="10"/>
      <c r="C269" s="142" t="s">
        <v>286</v>
      </c>
      <c r="D269" s="143">
        <f>D268*D267</f>
        <v>460</v>
      </c>
      <c r="E269" s="142"/>
      <c r="F269" s="142"/>
      <c r="G269" s="142"/>
      <c r="H269" s="142"/>
      <c r="I269" s="144" t="s">
        <v>329</v>
      </c>
      <c r="J269" s="142"/>
      <c r="K269" s="142">
        <f>K268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 x14ac:dyDescent="0.2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25</v>
      </c>
      <c r="K270" s="142">
        <f>J270</f>
        <v>25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 x14ac:dyDescent="0.2">
      <c r="B271" s="10"/>
      <c r="C271" s="144" t="s">
        <v>289</v>
      </c>
      <c r="D271" s="145">
        <f>D269/D261</f>
        <v>20</v>
      </c>
      <c r="E271" s="151"/>
      <c r="F271" s="151"/>
      <c r="G271" s="142"/>
      <c r="H271" s="142"/>
      <c r="I271" s="144" t="s">
        <v>329</v>
      </c>
      <c r="J271" s="142"/>
      <c r="K271" s="142">
        <f>K270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 x14ac:dyDescent="0.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 x14ac:dyDescent="0.2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 x14ac:dyDescent="0.2">
      <c r="B274" s="10"/>
      <c r="C274" s="10"/>
      <c r="D274" s="305" t="s">
        <v>15</v>
      </c>
      <c r="E274" s="306"/>
      <c r="F274" s="306"/>
      <c r="G274" s="306"/>
      <c r="H274" s="306"/>
      <c r="I274" s="306"/>
      <c r="J274" s="307"/>
      <c r="K274" s="10"/>
      <c r="L274" s="305" t="s">
        <v>334</v>
      </c>
      <c r="M274" s="306"/>
      <c r="N274" s="30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 x14ac:dyDescent="0.2">
      <c r="B275" s="10"/>
      <c r="C275" s="10"/>
      <c r="D275" s="10" t="s">
        <v>16</v>
      </c>
      <c r="E275" s="108"/>
      <c r="F275" s="108"/>
      <c r="G275" s="108">
        <f>D261</f>
        <v>23</v>
      </c>
      <c r="H275" s="11">
        <f>D261</f>
        <v>23</v>
      </c>
      <c r="I275" s="10"/>
      <c r="J275" s="10"/>
      <c r="K275" s="10"/>
      <c r="L275" s="10" t="s">
        <v>16</v>
      </c>
      <c r="M275" s="108"/>
      <c r="N275" s="11">
        <f>H275</f>
        <v>23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 x14ac:dyDescent="0.2">
      <c r="B276" s="10"/>
      <c r="C276" s="10"/>
      <c r="D276" s="10" t="s">
        <v>17</v>
      </c>
      <c r="E276" s="108"/>
      <c r="F276" s="108"/>
      <c r="G276" s="108">
        <f>D269</f>
        <v>460</v>
      </c>
      <c r="H276" s="11">
        <f>D269</f>
        <v>460</v>
      </c>
      <c r="I276" s="10"/>
      <c r="J276" s="10"/>
      <c r="K276" s="10"/>
      <c r="L276" s="10" t="s">
        <v>17</v>
      </c>
      <c r="M276" s="10"/>
      <c r="N276" s="11">
        <f>H276</f>
        <v>460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 x14ac:dyDescent="0.2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 x14ac:dyDescent="0.2">
      <c r="B278" s="10"/>
      <c r="C278" s="10"/>
      <c r="D278" s="13" t="s">
        <v>19</v>
      </c>
      <c r="E278" s="3"/>
      <c r="F278" s="3"/>
      <c r="G278" s="3">
        <f>((G276/G275)^(1/G277))-1</f>
        <v>0.34928284767356321</v>
      </c>
      <c r="H278" s="3">
        <f>((H276/H275)^(1/H277))-1</f>
        <v>0.34928284767356321</v>
      </c>
      <c r="I278" s="10"/>
      <c r="J278" s="10"/>
      <c r="K278" s="10"/>
      <c r="L278" s="13" t="s">
        <v>335</v>
      </c>
      <c r="M278" s="13"/>
      <c r="N278" s="168">
        <f>(N276-N275)/N275</f>
        <v>19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 x14ac:dyDescent="0.2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>
        <f>N276/N275</f>
        <v>20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 x14ac:dyDescent="0.2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 x14ac:dyDescent="0.2">
      <c r="B281" s="10"/>
      <c r="C281" s="10"/>
      <c r="D281" s="13" t="s">
        <v>21</v>
      </c>
      <c r="E281" s="3"/>
      <c r="F281" s="3"/>
      <c r="G281" s="3">
        <f>((G276/G275)^(1/G280))-1</f>
        <v>0.34928284767356321</v>
      </c>
      <c r="H281" s="3">
        <f>((H276/H275)^(1/H280))-1</f>
        <v>0.34928284767356321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 x14ac:dyDescent="0.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8" t="s">
        <v>15</v>
      </c>
      <c r="K5" s="278"/>
      <c r="M5" s="278" t="s">
        <v>53</v>
      </c>
      <c r="N5" s="278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8" t="s">
        <v>24</v>
      </c>
      <c r="K14" s="278"/>
      <c r="L14" s="278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8" t="s">
        <v>15</v>
      </c>
      <c r="S5" s="278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8" t="s">
        <v>24</v>
      </c>
      <c r="S14" s="278"/>
      <c r="T14" s="278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8" t="s">
        <v>15</v>
      </c>
      <c r="C2" s="278"/>
      <c r="E2" s="278" t="s">
        <v>53</v>
      </c>
      <c r="F2" s="278"/>
      <c r="H2" s="319" t="s">
        <v>24</v>
      </c>
      <c r="I2" s="320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 x14ac:dyDescent="0.2">
      <c r="B3" s="321" t="s">
        <v>373</v>
      </c>
      <c r="C3" s="322"/>
      <c r="F3" s="321" t="s">
        <v>374</v>
      </c>
      <c r="G3" s="322"/>
    </row>
    <row r="4" spans="2:7" x14ac:dyDescent="0.2">
      <c r="B4" s="163" t="s">
        <v>375</v>
      </c>
      <c r="C4" s="163"/>
      <c r="F4" s="163" t="s">
        <v>376</v>
      </c>
      <c r="G4" s="163"/>
    </row>
    <row r="5" spans="2:7" x14ac:dyDescent="0.2">
      <c r="B5" s="163" t="s">
        <v>377</v>
      </c>
      <c r="C5" s="163"/>
      <c r="F5" s="163" t="s">
        <v>241</v>
      </c>
      <c r="G5" s="163"/>
    </row>
    <row r="6" spans="2:7" x14ac:dyDescent="0.2">
      <c r="B6" s="163" t="s">
        <v>378</v>
      </c>
      <c r="C6" s="163"/>
      <c r="F6" s="163" t="s">
        <v>379</v>
      </c>
      <c r="G6" s="163"/>
    </row>
    <row r="7" spans="2:7" x14ac:dyDescent="0.2">
      <c r="B7" s="163" t="s">
        <v>380</v>
      </c>
      <c r="C7" s="163"/>
      <c r="F7" s="163" t="s">
        <v>381</v>
      </c>
      <c r="G7" s="163"/>
    </row>
    <row r="8" spans="2:7" x14ac:dyDescent="0.2">
      <c r="B8" s="163" t="s">
        <v>382</v>
      </c>
      <c r="C8" s="163"/>
      <c r="F8" s="163" t="s">
        <v>383</v>
      </c>
      <c r="G8" s="163"/>
    </row>
    <row r="9" spans="2:7" x14ac:dyDescent="0.2">
      <c r="B9" s="163" t="s">
        <v>384</v>
      </c>
      <c r="C9" s="163"/>
      <c r="F9" s="163" t="s">
        <v>385</v>
      </c>
      <c r="G9" s="163"/>
    </row>
    <row r="10" spans="2:7" x14ac:dyDescent="0.2">
      <c r="B10" s="163" t="s">
        <v>383</v>
      </c>
      <c r="C10" s="163"/>
      <c r="F10" s="163"/>
      <c r="G10" s="163"/>
    </row>
    <row r="11" spans="2:7" x14ac:dyDescent="0.2">
      <c r="B11" s="163" t="s">
        <v>386</v>
      </c>
      <c r="C11" s="163"/>
      <c r="F11" s="163"/>
      <c r="G11" s="163"/>
    </row>
    <row r="12" spans="2:7" x14ac:dyDescent="0.2">
      <c r="B12" s="163" t="s">
        <v>387</v>
      </c>
      <c r="C12" s="163"/>
      <c r="F12" s="163"/>
      <c r="G12" s="163"/>
    </row>
    <row r="13" spans="2:7" x14ac:dyDescent="0.2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2018-12-20T00:22:17Z</dcterms:modified>
</cp:coreProperties>
</file>
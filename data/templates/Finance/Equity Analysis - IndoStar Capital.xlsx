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64" i="18"/>
  <c r="T64"/>
  <c r="S64"/>
  <c r="R64"/>
  <c r="Q64"/>
  <c r="P64"/>
  <c r="O64"/>
  <c r="N64"/>
  <c r="M64"/>
  <c r="L64"/>
  <c r="K64"/>
  <c r="J64"/>
  <c r="I64"/>
  <c r="H64"/>
  <c r="G63"/>
  <c r="G64" s="1"/>
  <c r="U62"/>
  <c r="T62"/>
  <c r="S62"/>
  <c r="R62"/>
  <c r="Q62"/>
  <c r="P62"/>
  <c r="O62"/>
  <c r="N62"/>
  <c r="M62"/>
  <c r="L62"/>
  <c r="K62"/>
  <c r="J62"/>
  <c r="I62"/>
  <c r="H62"/>
  <c r="G62"/>
  <c r="G61"/>
  <c r="U60"/>
  <c r="T60"/>
  <c r="S60"/>
  <c r="R60"/>
  <c r="Q60"/>
  <c r="P60"/>
  <c r="O60"/>
  <c r="N60"/>
  <c r="M60"/>
  <c r="L60"/>
  <c r="K60"/>
  <c r="J60"/>
  <c r="I60"/>
  <c r="G60"/>
  <c r="G59"/>
  <c r="H60" s="1"/>
  <c r="U58"/>
  <c r="T58"/>
  <c r="S58"/>
  <c r="R58"/>
  <c r="Q58"/>
  <c r="P58"/>
  <c r="O58"/>
  <c r="N58"/>
  <c r="M58"/>
  <c r="L58"/>
  <c r="K58"/>
  <c r="J58"/>
  <c r="I58"/>
  <c r="G58"/>
  <c r="G57"/>
  <c r="H58" s="1"/>
  <c r="U56"/>
  <c r="T56"/>
  <c r="S56"/>
  <c r="R56"/>
  <c r="Q56"/>
  <c r="P56"/>
  <c r="O56"/>
  <c r="N56"/>
  <c r="M56"/>
  <c r="L56"/>
  <c r="K56"/>
  <c r="J56"/>
  <c r="I56"/>
  <c r="G56"/>
  <c r="G55"/>
  <c r="H56" s="1"/>
  <c r="U54"/>
  <c r="T54"/>
  <c r="S54"/>
  <c r="R54"/>
  <c r="Q54"/>
  <c r="P54"/>
  <c r="O54"/>
  <c r="N54"/>
  <c r="M54"/>
  <c r="L54"/>
  <c r="K54"/>
  <c r="J54"/>
  <c r="I54"/>
  <c r="G54"/>
  <c r="G53"/>
  <c r="H54" s="1"/>
  <c r="J51"/>
  <c r="I51" s="1"/>
  <c r="H51" s="1"/>
  <c r="G51" s="1"/>
  <c r="U50"/>
  <c r="T50"/>
  <c r="S50"/>
  <c r="R50"/>
  <c r="Q50"/>
  <c r="P50"/>
  <c r="O50"/>
  <c r="N50"/>
  <c r="M50"/>
  <c r="L50"/>
  <c r="K50"/>
  <c r="J49"/>
  <c r="J50" s="1"/>
  <c r="I49"/>
  <c r="H49" s="1"/>
  <c r="U48"/>
  <c r="T48"/>
  <c r="S48"/>
  <c r="R48"/>
  <c r="Q48"/>
  <c r="P48"/>
  <c r="O48"/>
  <c r="N48"/>
  <c r="M48"/>
  <c r="L48"/>
  <c r="K48"/>
  <c r="J48"/>
  <c r="I48"/>
  <c r="H48"/>
  <c r="G48"/>
  <c r="U46"/>
  <c r="T46"/>
  <c r="S46"/>
  <c r="R46"/>
  <c r="Q46"/>
  <c r="P46"/>
  <c r="O46"/>
  <c r="N46"/>
  <c r="M46"/>
  <c r="L46"/>
  <c r="K46"/>
  <c r="J45"/>
  <c r="J46" s="1"/>
  <c r="I45"/>
  <c r="H45" s="1"/>
  <c r="U44"/>
  <c r="T44"/>
  <c r="S44"/>
  <c r="R44"/>
  <c r="Q44"/>
  <c r="P44"/>
  <c r="O44"/>
  <c r="N44"/>
  <c r="M44"/>
  <c r="L44"/>
  <c r="J43"/>
  <c r="K44" s="1"/>
  <c r="J42"/>
  <c r="I42" s="1"/>
  <c r="H42" s="1"/>
  <c r="G42" s="1"/>
  <c r="J41"/>
  <c r="I41" s="1"/>
  <c r="H41" s="1"/>
  <c r="G41" s="1"/>
  <c r="J40"/>
  <c r="I40" s="1"/>
  <c r="H40" s="1"/>
  <c r="G40" s="1"/>
  <c r="U39"/>
  <c r="T39"/>
  <c r="S39"/>
  <c r="R39"/>
  <c r="Q39"/>
  <c r="P39"/>
  <c r="O39"/>
  <c r="N39"/>
  <c r="M39"/>
  <c r="L39"/>
  <c r="K39"/>
  <c r="J38"/>
  <c r="J39" s="1"/>
  <c r="I38"/>
  <c r="H38" s="1"/>
  <c r="U37"/>
  <c r="T37"/>
  <c r="S37"/>
  <c r="R37"/>
  <c r="Q37"/>
  <c r="P37"/>
  <c r="O37"/>
  <c r="N37"/>
  <c r="M37"/>
  <c r="L37"/>
  <c r="J36"/>
  <c r="K37" s="1"/>
  <c r="G33"/>
  <c r="G32"/>
  <c r="G31"/>
  <c r="U30"/>
  <c r="T30"/>
  <c r="S30"/>
  <c r="R30"/>
  <c r="Q30"/>
  <c r="P30"/>
  <c r="O30"/>
  <c r="N30"/>
  <c r="M30"/>
  <c r="L30"/>
  <c r="K30"/>
  <c r="J30"/>
  <c r="I30"/>
  <c r="G29"/>
  <c r="G30" s="1"/>
  <c r="U28"/>
  <c r="T28"/>
  <c r="S28"/>
  <c r="R28"/>
  <c r="Q28"/>
  <c r="P28"/>
  <c r="O28"/>
  <c r="N28"/>
  <c r="M28"/>
  <c r="L28"/>
  <c r="K28"/>
  <c r="J28"/>
  <c r="I28"/>
  <c r="G27"/>
  <c r="G28" s="1"/>
  <c r="U26"/>
  <c r="T26"/>
  <c r="S26"/>
  <c r="R26"/>
  <c r="Q26"/>
  <c r="P26"/>
  <c r="O26"/>
  <c r="N26"/>
  <c r="M26"/>
  <c r="L26"/>
  <c r="K26"/>
  <c r="J26"/>
  <c r="I26"/>
  <c r="G25"/>
  <c r="G26" s="1"/>
  <c r="G18"/>
  <c r="G16"/>
  <c r="G15"/>
  <c r="G14"/>
  <c r="G13"/>
  <c r="G12"/>
  <c r="U11"/>
  <c r="T11"/>
  <c r="S11"/>
  <c r="R11"/>
  <c r="Q11"/>
  <c r="P11"/>
  <c r="O11"/>
  <c r="N11"/>
  <c r="M11"/>
  <c r="L11"/>
  <c r="K11"/>
  <c r="J11"/>
  <c r="I11"/>
  <c r="G10"/>
  <c r="G11" s="1"/>
  <c r="G9"/>
  <c r="U8"/>
  <c r="T8"/>
  <c r="S8"/>
  <c r="R8"/>
  <c r="Q8"/>
  <c r="P8"/>
  <c r="O8"/>
  <c r="N8"/>
  <c r="M8"/>
  <c r="L8"/>
  <c r="K8"/>
  <c r="J8"/>
  <c r="I8"/>
  <c r="G8"/>
  <c r="G7"/>
  <c r="H8" s="1"/>
  <c r="G6"/>
  <c r="H46" l="1"/>
  <c r="G45"/>
  <c r="G46" s="1"/>
  <c r="H50"/>
  <c r="G49"/>
  <c r="G50" s="1"/>
  <c r="H39"/>
  <c r="G38"/>
  <c r="G39" s="1"/>
  <c r="H11"/>
  <c r="H26"/>
  <c r="H28"/>
  <c r="H30"/>
  <c r="I39"/>
  <c r="I46"/>
  <c r="I50"/>
  <c r="I36"/>
  <c r="J37" s="1"/>
  <c r="I43"/>
  <c r="I44" l="1"/>
  <c r="H43"/>
  <c r="J44"/>
  <c r="H36"/>
  <c r="G36" l="1"/>
  <c r="G37" s="1"/>
  <c r="H37"/>
  <c r="G43"/>
  <c r="G44" s="1"/>
  <c r="H44"/>
  <c r="I37"/>
  <c r="V254" l="1"/>
  <c r="V253"/>
  <c r="V252"/>
  <c r="V216"/>
  <c r="V215"/>
  <c r="G106"/>
  <c r="H106"/>
  <c r="I106"/>
  <c r="J106"/>
  <c r="K106"/>
  <c r="L106"/>
  <c r="M106"/>
  <c r="N106"/>
  <c r="O106"/>
  <c r="P106"/>
  <c r="Q106"/>
  <c r="R106"/>
  <c r="S106"/>
  <c r="T106"/>
  <c r="U106"/>
  <c r="V106"/>
  <c r="T174"/>
  <c r="V229" s="1"/>
  <c r="S174"/>
  <c r="V224" s="1"/>
  <c r="V225" s="1"/>
  <c r="V226" s="1"/>
  <c r="AJ110"/>
  <c r="AJ111"/>
  <c r="AJ112"/>
  <c r="AJ113"/>
  <c r="AJ114"/>
  <c r="AJ116"/>
  <c r="AJ117"/>
  <c r="AJ118"/>
  <c r="AJ119"/>
  <c r="AJ120"/>
  <c r="AJ122"/>
  <c r="AJ123"/>
  <c r="AJ124"/>
  <c r="AJ125"/>
  <c r="AJ126"/>
  <c r="AJ128"/>
  <c r="AJ129"/>
  <c r="AJ130"/>
  <c r="AJ131"/>
  <c r="AJ132"/>
  <c r="AJ133"/>
  <c r="AJ134"/>
  <c r="AJ135"/>
  <c r="AJ136"/>
  <c r="AJ138"/>
  <c r="AJ139"/>
  <c r="AJ140"/>
  <c r="AJ141"/>
  <c r="AJ143"/>
  <c r="AJ144"/>
  <c r="AJ145"/>
  <c r="AJ146"/>
  <c r="AJ147"/>
  <c r="AJ149"/>
  <c r="AJ150"/>
  <c r="AJ151"/>
  <c r="AJ153"/>
  <c r="AJ154"/>
  <c r="AJ155"/>
  <c r="AJ158"/>
  <c r="AJ159"/>
  <c r="AJ160"/>
  <c r="AJ161"/>
  <c r="AJ163"/>
  <c r="AJ164"/>
  <c r="AJ166"/>
  <c r="AJ167"/>
  <c r="AJ168"/>
  <c r="AJ170"/>
  <c r="AJ171"/>
  <c r="AJ109"/>
  <c r="AJ106"/>
  <c r="AJ90"/>
  <c r="W73"/>
  <c r="W81"/>
  <c r="W85"/>
  <c r="W91"/>
  <c r="W93"/>
  <c r="W95"/>
  <c r="W101"/>
  <c r="W105"/>
  <c r="W106"/>
  <c r="W107"/>
  <c r="W108"/>
  <c r="W115"/>
  <c r="W121"/>
  <c r="W127"/>
  <c r="W137"/>
  <c r="W142"/>
  <c r="W148"/>
  <c r="W152"/>
  <c r="W156"/>
  <c r="W157"/>
  <c r="W162"/>
  <c r="W165"/>
  <c r="W169"/>
  <c r="V171"/>
  <c r="V170"/>
  <c r="V166"/>
  <c r="V167" s="1"/>
  <c r="V164"/>
  <c r="V163"/>
  <c r="V161"/>
  <c r="V160"/>
  <c r="V159"/>
  <c r="V158"/>
  <c r="V155"/>
  <c r="V154"/>
  <c r="V153"/>
  <c r="V151"/>
  <c r="V150"/>
  <c r="V149"/>
  <c r="V141"/>
  <c r="V140"/>
  <c r="V139"/>
  <c r="V138"/>
  <c r="V136"/>
  <c r="V135"/>
  <c r="V134"/>
  <c r="V133"/>
  <c r="V132"/>
  <c r="V131"/>
  <c r="V130"/>
  <c r="V129"/>
  <c r="V128"/>
  <c r="V120"/>
  <c r="V126" s="1"/>
  <c r="V119"/>
  <c r="V125" s="1"/>
  <c r="V118"/>
  <c r="V124" s="1"/>
  <c r="V117"/>
  <c r="V123" s="1"/>
  <c r="V116"/>
  <c r="V122" s="1"/>
  <c r="V113"/>
  <c r="V112"/>
  <c r="V111"/>
  <c r="V110"/>
  <c r="V109"/>
  <c r="V104"/>
  <c r="V103"/>
  <c r="V102"/>
  <c r="V168" s="1"/>
  <c r="V100"/>
  <c r="V99"/>
  <c r="V98"/>
  <c r="V97"/>
  <c r="V94"/>
  <c r="V96" s="1"/>
  <c r="V92"/>
  <c r="V143" s="1"/>
  <c r="V144" s="1"/>
  <c r="V90"/>
  <c r="V89"/>
  <c r="V87"/>
  <c r="V86"/>
  <c r="V84"/>
  <c r="V213" s="1"/>
  <c r="V83"/>
  <c r="V82"/>
  <c r="V80"/>
  <c r="V79"/>
  <c r="V210" s="1"/>
  <c r="V78"/>
  <c r="V77"/>
  <c r="V76"/>
  <c r="V207" s="1"/>
  <c r="V219" s="1"/>
  <c r="V75"/>
  <c r="V209" s="1"/>
  <c r="V74"/>
  <c r="V72"/>
  <c r="V114" s="1"/>
  <c r="V71"/>
  <c r="V70"/>
  <c r="W13"/>
  <c r="W14"/>
  <c r="W15"/>
  <c r="W16"/>
  <c r="W18"/>
  <c r="W20"/>
  <c r="W21"/>
  <c r="W22"/>
  <c r="W23"/>
  <c r="W25"/>
  <c r="W27"/>
  <c r="W29"/>
  <c r="W31"/>
  <c r="W32"/>
  <c r="W33"/>
  <c r="W34"/>
  <c r="W47"/>
  <c r="W52"/>
  <c r="W53"/>
  <c r="W55"/>
  <c r="W57"/>
  <c r="W59"/>
  <c r="W61"/>
  <c r="W63"/>
  <c r="W65"/>
  <c r="W66"/>
  <c r="W67"/>
  <c r="W12"/>
  <c r="W10"/>
  <c r="W9"/>
  <c r="W7"/>
  <c r="W6"/>
  <c r="V64"/>
  <c r="V62"/>
  <c r="V60"/>
  <c r="V58"/>
  <c r="V56"/>
  <c r="V54"/>
  <c r="V50"/>
  <c r="V48"/>
  <c r="V46"/>
  <c r="V44"/>
  <c r="V39"/>
  <c r="V37"/>
  <c r="V30"/>
  <c r="V28"/>
  <c r="V26"/>
  <c r="V11"/>
  <c r="V8"/>
  <c r="C1"/>
  <c r="V88" l="1"/>
  <c r="V211" s="1"/>
  <c r="V230"/>
  <c r="V231" s="1"/>
  <c r="V228"/>
  <c r="V206"/>
  <c r="V208"/>
  <c r="V212"/>
  <c r="V218"/>
  <c r="V223"/>
  <c r="V220"/>
  <c r="V221" s="1"/>
  <c r="V147"/>
  <c r="V145"/>
  <c r="AJ47"/>
  <c r="X47"/>
  <c r="Y47" s="1"/>
  <c r="Z47" s="1"/>
  <c r="AA47" s="1"/>
  <c r="AB47" s="1"/>
  <c r="AC47" s="1"/>
  <c r="AD47" s="1"/>
  <c r="AE47" s="1"/>
  <c r="AF47" s="1"/>
  <c r="AG47" s="1"/>
  <c r="AH47" s="1"/>
  <c r="AJ57"/>
  <c r="X57"/>
  <c r="Y57" s="1"/>
  <c r="Z57" s="1"/>
  <c r="AA57" s="1"/>
  <c r="AB57" s="1"/>
  <c r="AC57" s="1"/>
  <c r="AD57" s="1"/>
  <c r="AE57" s="1"/>
  <c r="AF57" s="1"/>
  <c r="AG57" s="1"/>
  <c r="AH57" s="1"/>
  <c r="M28" i="20"/>
  <c r="U254" i="18"/>
  <c r="W254" s="1"/>
  <c r="U253"/>
  <c r="W253" s="1"/>
  <c r="U252"/>
  <c r="Y61"/>
  <c r="Y63"/>
  <c r="W252"/>
  <c r="W205"/>
  <c r="S248"/>
  <c r="U70"/>
  <c r="U71"/>
  <c r="U72"/>
  <c r="U74"/>
  <c r="U75"/>
  <c r="U76"/>
  <c r="U77"/>
  <c r="U78"/>
  <c r="U79"/>
  <c r="U80"/>
  <c r="U82"/>
  <c r="U83"/>
  <c r="U84"/>
  <c r="U86"/>
  <c r="U87"/>
  <c r="U88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22" s="1"/>
  <c r="U117"/>
  <c r="U118"/>
  <c r="U124" s="1"/>
  <c r="U119"/>
  <c r="U120"/>
  <c r="U126" s="1"/>
  <c r="U123"/>
  <c r="U125"/>
  <c r="U128"/>
  <c r="U129"/>
  <c r="U130"/>
  <c r="U131"/>
  <c r="U132"/>
  <c r="U133"/>
  <c r="U134"/>
  <c r="U135"/>
  <c r="U136"/>
  <c r="U138"/>
  <c r="U139"/>
  <c r="U140"/>
  <c r="U141"/>
  <c r="U143"/>
  <c r="U144" s="1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20" s="1"/>
  <c r="U221" s="1"/>
  <c r="U208"/>
  <c r="U209"/>
  <c r="U210"/>
  <c r="U211"/>
  <c r="U212"/>
  <c r="U213"/>
  <c r="U215"/>
  <c r="U216"/>
  <c r="U218"/>
  <c r="U219"/>
  <c r="U224"/>
  <c r="U223" s="1"/>
  <c r="U229"/>
  <c r="U228" s="1"/>
  <c r="AK57" l="1"/>
  <c r="AI57"/>
  <c r="AK47"/>
  <c r="AI47"/>
  <c r="V146"/>
  <c r="S249"/>
  <c r="U147"/>
  <c r="U230"/>
  <c r="U225"/>
  <c r="G215"/>
  <c r="W215" s="1"/>
  <c r="G216"/>
  <c r="W216" s="1"/>
  <c r="G70"/>
  <c r="G71"/>
  <c r="W71" s="1"/>
  <c r="G72"/>
  <c r="G74"/>
  <c r="G75"/>
  <c r="G76"/>
  <c r="W76" s="1"/>
  <c r="G77"/>
  <c r="W77" s="1"/>
  <c r="G78"/>
  <c r="W78" s="1"/>
  <c r="G79"/>
  <c r="G80"/>
  <c r="W80" s="1"/>
  <c r="G82"/>
  <c r="W82" s="1"/>
  <c r="G83"/>
  <c r="W83" s="1"/>
  <c r="G84"/>
  <c r="G86"/>
  <c r="W86" s="1"/>
  <c r="G87"/>
  <c r="W87" s="1"/>
  <c r="G89"/>
  <c r="W89" s="1"/>
  <c r="G90"/>
  <c r="G92"/>
  <c r="G94"/>
  <c r="G97"/>
  <c r="W97" s="1"/>
  <c r="G98"/>
  <c r="W98" s="1"/>
  <c r="G99"/>
  <c r="W99" s="1"/>
  <c r="G100"/>
  <c r="W100" s="1"/>
  <c r="G102"/>
  <c r="G103"/>
  <c r="W103" s="1"/>
  <c r="G104"/>
  <c r="W104" s="1"/>
  <c r="G109"/>
  <c r="W109" s="1"/>
  <c r="G110"/>
  <c r="W110" s="1"/>
  <c r="G111"/>
  <c r="W111" s="1"/>
  <c r="G112"/>
  <c r="W112" s="1"/>
  <c r="G113"/>
  <c r="W113" s="1"/>
  <c r="G116"/>
  <c r="G117"/>
  <c r="G118"/>
  <c r="G119"/>
  <c r="G120"/>
  <c r="G138"/>
  <c r="W138" s="1"/>
  <c r="G139"/>
  <c r="W139" s="1"/>
  <c r="G140"/>
  <c r="W140" s="1"/>
  <c r="G141"/>
  <c r="W141" s="1"/>
  <c r="G149"/>
  <c r="W149" s="1"/>
  <c r="G150"/>
  <c r="W150" s="1"/>
  <c r="G151"/>
  <c r="W151" s="1"/>
  <c r="G153"/>
  <c r="W153" s="1"/>
  <c r="G154"/>
  <c r="W154" s="1"/>
  <c r="G155"/>
  <c r="W155" s="1"/>
  <c r="G158"/>
  <c r="W158" s="1"/>
  <c r="G159"/>
  <c r="W159" s="1"/>
  <c r="G160"/>
  <c r="W160" s="1"/>
  <c r="G161"/>
  <c r="W161" s="1"/>
  <c r="G163"/>
  <c r="W163" s="1"/>
  <c r="G164"/>
  <c r="W164" s="1"/>
  <c r="G166"/>
  <c r="G170"/>
  <c r="W170" s="1"/>
  <c r="G171"/>
  <c r="W171" s="1"/>
  <c r="AJ236"/>
  <c r="AJ235"/>
  <c r="AJ234"/>
  <c r="AJ233"/>
  <c r="G126" l="1"/>
  <c r="W126" s="1"/>
  <c r="W120"/>
  <c r="G124"/>
  <c r="W124" s="1"/>
  <c r="W118"/>
  <c r="G122"/>
  <c r="W122" s="1"/>
  <c r="W116"/>
  <c r="G168"/>
  <c r="W168" s="1"/>
  <c r="W102"/>
  <c r="G143"/>
  <c r="W92"/>
  <c r="G208"/>
  <c r="W208" s="1"/>
  <c r="W74"/>
  <c r="G167"/>
  <c r="W167" s="1"/>
  <c r="W166"/>
  <c r="G125"/>
  <c r="W125" s="1"/>
  <c r="W119"/>
  <c r="G123"/>
  <c r="W123" s="1"/>
  <c r="W117"/>
  <c r="G96"/>
  <c r="W96" s="1"/>
  <c r="W94"/>
  <c r="G212"/>
  <c r="W212" s="1"/>
  <c r="W90"/>
  <c r="G213"/>
  <c r="W213" s="1"/>
  <c r="W84"/>
  <c r="G210"/>
  <c r="W210" s="1"/>
  <c r="W79"/>
  <c r="G209"/>
  <c r="W209" s="1"/>
  <c r="W75"/>
  <c r="G114"/>
  <c r="W114" s="1"/>
  <c r="W72"/>
  <c r="G206"/>
  <c r="W206" s="1"/>
  <c r="W70"/>
  <c r="U231"/>
  <c r="U226"/>
  <c r="G207"/>
  <c r="G219" s="1"/>
  <c r="W219" s="1"/>
  <c r="G88"/>
  <c r="W88" s="1"/>
  <c r="G218"/>
  <c r="W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144" i="18" l="1"/>
  <c r="W143"/>
  <c r="G211"/>
  <c r="W211" s="1"/>
  <c r="G220"/>
  <c r="W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145" i="18" l="1"/>
  <c r="W144"/>
  <c r="G147"/>
  <c r="W147" s="1"/>
  <c r="G221"/>
  <c r="W221" s="1"/>
  <c r="W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G146" i="18" l="1"/>
  <c r="W146" s="1"/>
  <c r="W145"/>
  <c r="J51" i="20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W45"/>
  <c r="W38"/>
  <c r="I147" l="1"/>
  <c r="H145"/>
  <c r="H146" s="1"/>
  <c r="H147"/>
  <c r="W40"/>
  <c r="W42"/>
  <c r="W41"/>
  <c r="W43"/>
  <c r="I129"/>
  <c r="I130"/>
  <c r="I131"/>
  <c r="I132"/>
  <c r="I135"/>
  <c r="W49"/>
  <c r="I133"/>
  <c r="W36"/>
  <c r="I128"/>
  <c r="I13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J49"/>
  <c r="X49"/>
  <c r="T134"/>
  <c r="S134"/>
  <c r="R134"/>
  <c r="Q134"/>
  <c r="P134"/>
  <c r="O134"/>
  <c r="N134"/>
  <c r="M134"/>
  <c r="L134"/>
  <c r="K134"/>
  <c r="Y49" l="1"/>
  <c r="Z49" s="1"/>
  <c r="AA49" s="1"/>
  <c r="AB49" s="1"/>
  <c r="AC49" s="1"/>
  <c r="AD49" s="1"/>
  <c r="AE49" s="1"/>
  <c r="AF49" s="1"/>
  <c r="AG49" s="1"/>
  <c r="AH49" s="1"/>
  <c r="G133"/>
  <c r="W133" s="1"/>
  <c r="G129"/>
  <c r="W129" s="1"/>
  <c r="G131"/>
  <c r="W131" s="1"/>
  <c r="G135"/>
  <c r="W135" s="1"/>
  <c r="G130"/>
  <c r="W130" s="1"/>
  <c r="G132"/>
  <c r="W132" s="1"/>
  <c r="G128"/>
  <c r="W128" s="1"/>
  <c r="G136"/>
  <c r="W136" s="1"/>
  <c r="H133"/>
  <c r="H129"/>
  <c r="H130"/>
  <c r="H131"/>
  <c r="H132"/>
  <c r="H135"/>
  <c r="H128"/>
  <c r="H136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X51"/>
  <c r="Y51" s="1"/>
  <c r="J130"/>
  <c r="AK49" l="1"/>
  <c r="AI49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T136" i="18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J51"/>
  <c r="AJ45"/>
  <c r="AJ43"/>
  <c r="AJ42"/>
  <c r="AJ41"/>
  <c r="AJ40"/>
  <c r="AJ38"/>
  <c r="AJ36"/>
  <c r="X40"/>
  <c r="Z51"/>
  <c r="AA51" s="1"/>
  <c r="AB51" s="1"/>
  <c r="AC51" s="1"/>
  <c r="AD51" s="1"/>
  <c r="AE51" s="1"/>
  <c r="AF51" s="1"/>
  <c r="AG51" s="1"/>
  <c r="AH51" s="1"/>
  <c r="X45"/>
  <c r="AK51" l="1"/>
  <c r="AI51"/>
  <c r="Y45"/>
  <c r="Z45" s="1"/>
  <c r="AA45" s="1"/>
  <c r="AB45" s="1"/>
  <c r="AC45" s="1"/>
  <c r="AD45" s="1"/>
  <c r="AE45" s="1"/>
  <c r="AF45" s="1"/>
  <c r="AG45" s="1"/>
  <c r="AH45" s="1"/>
  <c r="Y40"/>
  <c r="Z40" s="1"/>
  <c r="AA40" s="1"/>
  <c r="AB40" s="1"/>
  <c r="AC40" s="1"/>
  <c r="AD40" s="1"/>
  <c r="AE40" s="1"/>
  <c r="AF40" s="1"/>
  <c r="AG40" s="1"/>
  <c r="AH40" s="1"/>
  <c r="W5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X43" i="18"/>
  <c r="X42"/>
  <c r="X41"/>
  <c r="X38"/>
  <c r="Y38" s="1"/>
  <c r="X36"/>
  <c r="Y36" s="1"/>
  <c r="AK40" l="1"/>
  <c r="AI40"/>
  <c r="AK45"/>
  <c r="AI45"/>
  <c r="Y42"/>
  <c r="Z42" s="1"/>
  <c r="AA42" s="1"/>
  <c r="AB42" s="1"/>
  <c r="AC42" s="1"/>
  <c r="AD42" s="1"/>
  <c r="AE42" s="1"/>
  <c r="AF42" s="1"/>
  <c r="AG42" s="1"/>
  <c r="AH42" s="1"/>
  <c r="G134"/>
  <c r="W134" s="1"/>
  <c r="Y41"/>
  <c r="Z41" s="1"/>
  <c r="AA41" s="1"/>
  <c r="AB41" s="1"/>
  <c r="AC41" s="1"/>
  <c r="AD41" s="1"/>
  <c r="AE41" s="1"/>
  <c r="AF41" s="1"/>
  <c r="AG41" s="1"/>
  <c r="AH41" s="1"/>
  <c r="Z43"/>
  <c r="AA43" s="1"/>
  <c r="AB43" s="1"/>
  <c r="AC43" s="1"/>
  <c r="AD43" s="1"/>
  <c r="AE43" s="1"/>
  <c r="AF43" s="1"/>
  <c r="AG43" s="1"/>
  <c r="AH43" s="1"/>
  <c r="Y43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Z38" i="18"/>
  <c r="Y131"/>
  <c r="Z36"/>
  <c r="Y130"/>
  <c r="Y132"/>
  <c r="B219"/>
  <c r="AJ231"/>
  <c r="AJ228"/>
  <c r="AJ230"/>
  <c r="AJ229"/>
  <c r="AJ226"/>
  <c r="AJ225"/>
  <c r="AJ224"/>
  <c r="AJ223"/>
  <c r="AJ218"/>
  <c r="AJ221"/>
  <c r="AJ220"/>
  <c r="AJ219"/>
  <c r="AJ216"/>
  <c r="AJ215"/>
  <c r="AJ212"/>
  <c r="AJ211"/>
  <c r="AJ213"/>
  <c r="AJ210"/>
  <c r="AJ209"/>
  <c r="AJ208"/>
  <c r="AJ207"/>
  <c r="AJ206"/>
  <c r="AJ205"/>
  <c r="AK228"/>
  <c r="AK42" l="1"/>
  <c r="AI42"/>
  <c r="AK43"/>
  <c r="AI43"/>
  <c r="AK41"/>
  <c r="AI41"/>
  <c r="B105" i="20"/>
  <c r="F104"/>
  <c r="G104" s="1"/>
  <c r="C105" s="1"/>
  <c r="I105"/>
  <c r="M104"/>
  <c r="N104" s="1"/>
  <c r="J105" s="1"/>
  <c r="M55"/>
  <c r="N55"/>
  <c r="H79"/>
  <c r="F60"/>
  <c r="G60" s="1"/>
  <c r="C61" s="1"/>
  <c r="AA38" i="18"/>
  <c r="Z131"/>
  <c r="AA36"/>
  <c r="Z130"/>
  <c r="Z132"/>
  <c r="AK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B38" i="18"/>
  <c r="AA131"/>
  <c r="AB36"/>
  <c r="AA132"/>
  <c r="AA130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C38" i="18"/>
  <c r="AB131"/>
  <c r="AC36"/>
  <c r="AB132"/>
  <c r="AB130"/>
  <c r="H82" i="20" l="1"/>
  <c r="G63"/>
  <c r="C64" s="1"/>
  <c r="F63"/>
  <c r="J57"/>
  <c r="P56"/>
  <c r="I108"/>
  <c r="M107"/>
  <c r="N107" s="1"/>
  <c r="J108" s="1"/>
  <c r="B108"/>
  <c r="F107"/>
  <c r="G107" s="1"/>
  <c r="C108" s="1"/>
  <c r="AD38" i="18"/>
  <c r="AC131"/>
  <c r="AD36"/>
  <c r="AC130"/>
  <c r="AC132"/>
  <c r="G224"/>
  <c r="W224" s="1"/>
  <c r="T229" l="1"/>
  <c r="G229"/>
  <c r="W229" s="1"/>
  <c r="G223"/>
  <c r="W223" s="1"/>
  <c r="G225"/>
  <c r="Y229"/>
  <c r="Y230" s="1"/>
  <c r="Y231" s="1"/>
  <c r="H229"/>
  <c r="I229"/>
  <c r="Y224"/>
  <c r="Y225" s="1"/>
  <c r="Y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E38" i="18"/>
  <c r="AD131"/>
  <c r="AE36"/>
  <c r="AD130"/>
  <c r="AD132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J75"/>
  <c r="AJ74"/>
  <c r="AJ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W226" s="1"/>
  <c r="W225"/>
  <c r="Y228"/>
  <c r="G228"/>
  <c r="W228" s="1"/>
  <c r="G230"/>
  <c r="T223"/>
  <c r="Y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F38" i="18"/>
  <c r="AE131"/>
  <c r="AF36"/>
  <c r="AE132"/>
  <c r="AE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W231" s="1"/>
  <c r="W230"/>
  <c r="H226"/>
  <c r="H231"/>
  <c r="M58" i="20"/>
  <c r="N58" s="1"/>
  <c r="B111"/>
  <c r="F110"/>
  <c r="G110" s="1"/>
  <c r="C111" s="1"/>
  <c r="I111"/>
  <c r="M110"/>
  <c r="N110" s="1"/>
  <c r="J111" s="1"/>
  <c r="F66"/>
  <c r="G66"/>
  <c r="AG38" i="18"/>
  <c r="AF131"/>
  <c r="AG36"/>
  <c r="AF132"/>
  <c r="AF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H38" i="18"/>
  <c r="AG131"/>
  <c r="AH36"/>
  <c r="AG130"/>
  <c r="AG132"/>
  <c r="I265"/>
  <c r="I262"/>
  <c r="I263"/>
  <c r="I264"/>
  <c r="AK36" l="1"/>
  <c r="AI36"/>
  <c r="AK38"/>
  <c r="AI38"/>
  <c r="B113" i="20"/>
  <c r="F112"/>
  <c r="G112" s="1"/>
  <c r="C113" s="1"/>
  <c r="I113"/>
  <c r="M112"/>
  <c r="N112" s="1"/>
  <c r="J113" s="1"/>
  <c r="H86"/>
  <c r="G67"/>
  <c r="C68" s="1"/>
  <c r="F67"/>
  <c r="M59"/>
  <c r="N59" s="1"/>
  <c r="AH131" i="18"/>
  <c r="AH130"/>
  <c r="AH132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AI132" l="1"/>
  <c r="AK132"/>
  <c r="AI131"/>
  <c r="AK131"/>
  <c r="AI130"/>
  <c r="AK130"/>
  <c r="T96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J55" i="18"/>
  <c r="X55"/>
  <c r="Y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Z55" i="18"/>
  <c r="V249"/>
  <c r="V250" s="1"/>
  <c r="J63" i="20" l="1"/>
  <c r="P62"/>
  <c r="F74"/>
  <c r="G74" s="1"/>
  <c r="C75" s="1"/>
  <c r="I120"/>
  <c r="M119"/>
  <c r="N119" s="1"/>
  <c r="J120" s="1"/>
  <c r="B120"/>
  <c r="F119"/>
  <c r="G119" s="1"/>
  <c r="C120" s="1"/>
  <c r="AA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J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B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J14"/>
  <c r="X14"/>
  <c r="Y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C55" i="18"/>
  <c r="Z14"/>
  <c r="AA14" s="1"/>
  <c r="AB14" s="1"/>
  <c r="AC14" s="1"/>
  <c r="AD14" s="1"/>
  <c r="AE14" s="1"/>
  <c r="AF14" s="1"/>
  <c r="AG14" s="1"/>
  <c r="AH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J32"/>
  <c r="X32"/>
  <c r="Y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AK14" l="1"/>
  <c r="AI14"/>
  <c r="F77" i="20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D55"/>
  <c r="Z32"/>
  <c r="AA32" s="1"/>
  <c r="AB32" s="1"/>
  <c r="AC32" s="1"/>
  <c r="AD32" s="1"/>
  <c r="AE32" s="1"/>
  <c r="AF32" s="1"/>
  <c r="AG32" s="1"/>
  <c r="AH32" s="1"/>
  <c r="O266"/>
  <c r="X9"/>
  <c r="Y9" s="1"/>
  <c r="X10"/>
  <c r="Y10" s="1"/>
  <c r="X12"/>
  <c r="Y12" s="1"/>
  <c r="X13"/>
  <c r="Y13" s="1"/>
  <c r="X15"/>
  <c r="Y15" s="1"/>
  <c r="X16"/>
  <c r="Y16" s="1"/>
  <c r="X18"/>
  <c r="Y18" s="1"/>
  <c r="X20"/>
  <c r="Y20" s="1"/>
  <c r="X21"/>
  <c r="Y21" s="1"/>
  <c r="X22"/>
  <c r="Y22" s="1"/>
  <c r="X23"/>
  <c r="Y23" s="1"/>
  <c r="X25"/>
  <c r="X27"/>
  <c r="Y27" s="1"/>
  <c r="X29"/>
  <c r="Y29" s="1"/>
  <c r="X31"/>
  <c r="Y31" s="1"/>
  <c r="X33"/>
  <c r="Y33" s="1"/>
  <c r="X34"/>
  <c r="Y34" s="1"/>
  <c r="X53"/>
  <c r="Y53" s="1"/>
  <c r="X59"/>
  <c r="X7"/>
  <c r="Y7" s="1"/>
  <c r="X6"/>
  <c r="Y6" s="1"/>
  <c r="AJ9"/>
  <c r="AJ10"/>
  <c r="AJ12"/>
  <c r="AJ13"/>
  <c r="AJ15"/>
  <c r="AJ16"/>
  <c r="AJ18"/>
  <c r="AJ20"/>
  <c r="AJ21"/>
  <c r="AJ22"/>
  <c r="AJ23"/>
  <c r="AJ25"/>
  <c r="AJ27"/>
  <c r="AJ29"/>
  <c r="AJ31"/>
  <c r="AJ33"/>
  <c r="AJ34"/>
  <c r="AJ53"/>
  <c r="AJ59"/>
  <c r="AJ61"/>
  <c r="AJ63"/>
  <c r="AJ70"/>
  <c r="AJ71"/>
  <c r="AJ76"/>
  <c r="AJ78"/>
  <c r="AJ79"/>
  <c r="AJ80"/>
  <c r="AJ82"/>
  <c r="AJ83"/>
  <c r="AJ84"/>
  <c r="AJ86"/>
  <c r="AJ87"/>
  <c r="AJ88"/>
  <c r="AJ89"/>
  <c r="AJ92"/>
  <c r="AJ94"/>
  <c r="AJ96"/>
  <c r="AJ97"/>
  <c r="AJ98"/>
  <c r="AJ99"/>
  <c r="AJ100"/>
  <c r="AJ102"/>
  <c r="AJ103"/>
  <c r="AJ104"/>
  <c r="AJ7"/>
  <c r="AJ6"/>
  <c r="AK32" l="1"/>
  <c r="AI32"/>
  <c r="Y25"/>
  <c r="Y133" s="1"/>
  <c r="Y59"/>
  <c r="Y134" s="1"/>
  <c r="J65" i="20"/>
  <c r="P64"/>
  <c r="F78"/>
  <c r="G78" s="1"/>
  <c r="Y128" i="18"/>
  <c r="Y129"/>
  <c r="Y72"/>
  <c r="Y114" s="1"/>
  <c r="AE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Y135" l="1"/>
  <c r="Y136"/>
  <c r="G81" i="20"/>
  <c r="G82" s="1"/>
  <c r="C79"/>
  <c r="M65"/>
  <c r="N65"/>
  <c r="J66" s="1"/>
  <c r="AF55" i="18"/>
  <c r="Z31"/>
  <c r="Y151"/>
  <c r="Z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G55" i="18"/>
  <c r="AA31"/>
  <c r="AA29"/>
  <c r="M67" i="20" l="1"/>
  <c r="N67"/>
  <c r="J68" s="1"/>
  <c r="AH55" i="18"/>
  <c r="AB31"/>
  <c r="AB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AK55" l="1"/>
  <c r="AI55"/>
  <c r="M68" i="20"/>
  <c r="N68" s="1"/>
  <c r="J69" s="1"/>
  <c r="AC31" i="18"/>
  <c r="Y92"/>
  <c r="AC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Z63"/>
  <c r="M69" i="20" l="1"/>
  <c r="N69"/>
  <c r="J70" s="1"/>
  <c r="AD31" i="18"/>
  <c r="AA63"/>
  <c r="AD29"/>
  <c r="S145"/>
  <c r="Z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E31" i="18"/>
  <c r="AB63"/>
  <c r="AA92"/>
  <c r="AE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Y117"/>
  <c r="Y123" s="1"/>
  <c r="J218" l="1"/>
  <c r="M71" i="20"/>
  <c r="N71" s="1"/>
  <c r="J72" s="1"/>
  <c r="AF31" i="18"/>
  <c r="AC63"/>
  <c r="AB92"/>
  <c r="AF29"/>
  <c r="Z53"/>
  <c r="M72" i="20" l="1"/>
  <c r="N72" s="1"/>
  <c r="J73" s="1"/>
  <c r="Z117" i="18"/>
  <c r="Z123" s="1"/>
  <c r="AG31"/>
  <c r="AD63"/>
  <c r="AC92"/>
  <c r="AG29"/>
  <c r="AA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Z22"/>
  <c r="AA22" s="1"/>
  <c r="AB22" s="1"/>
  <c r="AC22" s="1"/>
  <c r="AD22" s="1"/>
  <c r="AE22" s="1"/>
  <c r="AF22" s="1"/>
  <c r="AG22" s="1"/>
  <c r="AH22" s="1"/>
  <c r="J94"/>
  <c r="J96" s="1"/>
  <c r="K94"/>
  <c r="K96" s="1"/>
  <c r="K98"/>
  <c r="K97"/>
  <c r="AK22" l="1"/>
  <c r="AI22"/>
  <c r="N73" i="20"/>
  <c r="J74" s="1"/>
  <c r="M73"/>
  <c r="AA117" i="18"/>
  <c r="AA123" s="1"/>
  <c r="AH31"/>
  <c r="AE63"/>
  <c r="AD92"/>
  <c r="Z23"/>
  <c r="Y120"/>
  <c r="Y126" s="1"/>
  <c r="AH29"/>
  <c r="AB53"/>
  <c r="Z21"/>
  <c r="AK31" l="1"/>
  <c r="AI31"/>
  <c r="AK29"/>
  <c r="AI29"/>
  <c r="M74" i="20"/>
  <c r="N74" s="1"/>
  <c r="J75" s="1"/>
  <c r="AB117" i="18"/>
  <c r="AB123" s="1"/>
  <c r="AE92"/>
  <c r="AF63"/>
  <c r="AA23"/>
  <c r="Z120"/>
  <c r="Z126" s="1"/>
  <c r="Z20"/>
  <c r="Y94"/>
  <c r="AA21"/>
  <c r="Z9"/>
  <c r="AA9" s="1"/>
  <c r="AB9" s="1"/>
  <c r="AC9" s="1"/>
  <c r="AD9" s="1"/>
  <c r="AE9" s="1"/>
  <c r="AF9" s="1"/>
  <c r="AG9" s="1"/>
  <c r="AH9" s="1"/>
  <c r="Y113"/>
  <c r="Z33"/>
  <c r="AA33" s="1"/>
  <c r="AB33" s="1"/>
  <c r="AC33" s="1"/>
  <c r="AD33" s="1"/>
  <c r="AE33" s="1"/>
  <c r="AF33" s="1"/>
  <c r="AG33" s="1"/>
  <c r="AH33" s="1"/>
  <c r="Z34"/>
  <c r="AA34" s="1"/>
  <c r="AB34" s="1"/>
  <c r="AC34" s="1"/>
  <c r="AD34" s="1"/>
  <c r="AE34" s="1"/>
  <c r="AF34" s="1"/>
  <c r="AG34" s="1"/>
  <c r="AH34" s="1"/>
  <c r="AC53"/>
  <c r="R90"/>
  <c r="R212" s="1"/>
  <c r="R89"/>
  <c r="R87"/>
  <c r="R86"/>
  <c r="R84"/>
  <c r="R213" s="1"/>
  <c r="R83"/>
  <c r="R82"/>
  <c r="R80"/>
  <c r="R79"/>
  <c r="R210" s="1"/>
  <c r="R78"/>
  <c r="R76"/>
  <c r="AK9" l="1"/>
  <c r="AI9"/>
  <c r="R218"/>
  <c r="AK34"/>
  <c r="AI34"/>
  <c r="AK33"/>
  <c r="AI33"/>
  <c r="N75" i="20"/>
  <c r="J76" s="1"/>
  <c r="M75"/>
  <c r="AC117" i="18"/>
  <c r="AC123" s="1"/>
  <c r="AF92"/>
  <c r="AG63"/>
  <c r="Z94"/>
  <c r="Y160"/>
  <c r="Y170"/>
  <c r="Y161"/>
  <c r="Y171"/>
  <c r="AB23"/>
  <c r="AA120"/>
  <c r="AA126" s="1"/>
  <c r="Y154"/>
  <c r="Y155"/>
  <c r="Y153"/>
  <c r="Y141"/>
  <c r="S146"/>
  <c r="Y116"/>
  <c r="Y122" s="1"/>
  <c r="Y150"/>
  <c r="Y149"/>
  <c r="Z18"/>
  <c r="R207"/>
  <c r="AA20"/>
  <c r="Z27"/>
  <c r="AD53"/>
  <c r="Z25"/>
  <c r="Z133" s="1"/>
  <c r="Y109"/>
  <c r="AB21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Z128" i="18"/>
  <c r="Z129"/>
  <c r="R220"/>
  <c r="R221" s="1"/>
  <c r="R219"/>
  <c r="AD117"/>
  <c r="AD123" s="1"/>
  <c r="Z113"/>
  <c r="Z151"/>
  <c r="AH63"/>
  <c r="AG92"/>
  <c r="Z161"/>
  <c r="Z171"/>
  <c r="Z160"/>
  <c r="Z170"/>
  <c r="AC23"/>
  <c r="AB120"/>
  <c r="AB126" s="1"/>
  <c r="Z153"/>
  <c r="Z155"/>
  <c r="Z154"/>
  <c r="Z141"/>
  <c r="Z116"/>
  <c r="Z122" s="1"/>
  <c r="Z150"/>
  <c r="Z149"/>
  <c r="AA18"/>
  <c r="AB20"/>
  <c r="AA94"/>
  <c r="AA27"/>
  <c r="AA25"/>
  <c r="Z109"/>
  <c r="AE53"/>
  <c r="AC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AK63" l="1"/>
  <c r="AI63"/>
  <c r="N77" i="20"/>
  <c r="J78" s="1"/>
  <c r="M77"/>
  <c r="AA129" i="18"/>
  <c r="AA133"/>
  <c r="AA151"/>
  <c r="AA128"/>
  <c r="AE117"/>
  <c r="AE123" s="1"/>
  <c r="AH92"/>
  <c r="AK92" s="1"/>
  <c r="AA160"/>
  <c r="AA170"/>
  <c r="AA161"/>
  <c r="AA171"/>
  <c r="AA113"/>
  <c r="AD23"/>
  <c r="AC120"/>
  <c r="AC126" s="1"/>
  <c r="AA155"/>
  <c r="AA154"/>
  <c r="AA153"/>
  <c r="AA141"/>
  <c r="AA116"/>
  <c r="AA122" s="1"/>
  <c r="AA150"/>
  <c r="AA149"/>
  <c r="AB18"/>
  <c r="AC20"/>
  <c r="AB94"/>
  <c r="AB27"/>
  <c r="AB25"/>
  <c r="AB133" s="1"/>
  <c r="AA109"/>
  <c r="AF53"/>
  <c r="AD21"/>
  <c r="M78" i="20" l="1"/>
  <c r="N78" s="1"/>
  <c r="AB128" i="18"/>
  <c r="AB129"/>
  <c r="AF117"/>
  <c r="AF123" s="1"/>
  <c r="AB113"/>
  <c r="AB151"/>
  <c r="Y192"/>
  <c r="T241" s="1"/>
  <c r="Z192"/>
  <c r="S241" s="1"/>
  <c r="AI92"/>
  <c r="AB161"/>
  <c r="AB171"/>
  <c r="AB160"/>
  <c r="AB170"/>
  <c r="AE23"/>
  <c r="AD120"/>
  <c r="AD126" s="1"/>
  <c r="AB141"/>
  <c r="AB155"/>
  <c r="AB154"/>
  <c r="AB153"/>
  <c r="AB116"/>
  <c r="AB122" s="1"/>
  <c r="AB150"/>
  <c r="AB149"/>
  <c r="AC18"/>
  <c r="AD20"/>
  <c r="AC94"/>
  <c r="AC27"/>
  <c r="AC25"/>
  <c r="AB109"/>
  <c r="AG53"/>
  <c r="AE21"/>
  <c r="K76"/>
  <c r="L76"/>
  <c r="M76"/>
  <c r="N76"/>
  <c r="N218" s="1"/>
  <c r="O76"/>
  <c r="O218" s="1"/>
  <c r="P76"/>
  <c r="P218" s="1"/>
  <c r="Q76"/>
  <c r="S76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Y158"/>
  <c r="Y166"/>
  <c r="Y167" s="1"/>
  <c r="Y118"/>
  <c r="Y124" s="1"/>
  <c r="S218" l="1"/>
  <c r="U174"/>
  <c r="M218"/>
  <c r="W174"/>
  <c r="Q218"/>
  <c r="L218"/>
  <c r="K218"/>
  <c r="V248"/>
  <c r="V247" s="1"/>
  <c r="N81" i="20"/>
  <c r="N82" s="1"/>
  <c r="J79"/>
  <c r="AC129" i="18"/>
  <c r="AC133"/>
  <c r="AC151"/>
  <c r="AC128"/>
  <c r="Y215"/>
  <c r="AG117"/>
  <c r="AG123" s="1"/>
  <c r="Y138"/>
  <c r="X192"/>
  <c r="AC160"/>
  <c r="AC170"/>
  <c r="AC113"/>
  <c r="AC161"/>
  <c r="AC171"/>
  <c r="AF23"/>
  <c r="AE120"/>
  <c r="AE126" s="1"/>
  <c r="Y111"/>
  <c r="Y112"/>
  <c r="Y164"/>
  <c r="Y163"/>
  <c r="Y119"/>
  <c r="Y125" s="1"/>
  <c r="Y159"/>
  <c r="K207"/>
  <c r="AC141"/>
  <c r="AC154"/>
  <c r="AC153"/>
  <c r="AC155"/>
  <c r="Y140"/>
  <c r="AC116"/>
  <c r="AC122" s="1"/>
  <c r="AC150"/>
  <c r="AC149"/>
  <c r="Y139"/>
  <c r="AD18"/>
  <c r="S207"/>
  <c r="N207"/>
  <c r="M207"/>
  <c r="P207"/>
  <c r="L207"/>
  <c r="AE20"/>
  <c r="AD94"/>
  <c r="K88"/>
  <c r="K211" s="1"/>
  <c r="AD27"/>
  <c r="Z12"/>
  <c r="Z15"/>
  <c r="Z158" s="1"/>
  <c r="Z13"/>
  <c r="Z10"/>
  <c r="Z16"/>
  <c r="Z166" s="1"/>
  <c r="Z167" s="1"/>
  <c r="Z6"/>
  <c r="Z7"/>
  <c r="AD25"/>
  <c r="AD133" s="1"/>
  <c r="AC109"/>
  <c r="Z59"/>
  <c r="Z134" s="1"/>
  <c r="Y110"/>
  <c r="AH53"/>
  <c r="O88"/>
  <c r="O211" s="1"/>
  <c r="N88"/>
  <c r="N211" s="1"/>
  <c r="M88"/>
  <c r="M211" s="1"/>
  <c r="AF21"/>
  <c r="Z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AK53" i="18" l="1"/>
  <c r="AI53"/>
  <c r="N79" i="20"/>
  <c r="J80" s="1"/>
  <c r="M79"/>
  <c r="Z136" i="18"/>
  <c r="Z135"/>
  <c r="AD128"/>
  <c r="AD129"/>
  <c r="Z215"/>
  <c r="Z224"/>
  <c r="Z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D113"/>
  <c r="AD151"/>
  <c r="Z118"/>
  <c r="Z124" s="1"/>
  <c r="Z72"/>
  <c r="Z114" s="1"/>
  <c r="W249"/>
  <c r="X249" s="1"/>
  <c r="Y249" s="1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Z138"/>
  <c r="AD160"/>
  <c r="AD170"/>
  <c r="AD161"/>
  <c r="AD171"/>
  <c r="AH117"/>
  <c r="AK117" s="1"/>
  <c r="AG23"/>
  <c r="AF120"/>
  <c r="AF126" s="1"/>
  <c r="Z164"/>
  <c r="Z163"/>
  <c r="Z119"/>
  <c r="Z125" s="1"/>
  <c r="Z159"/>
  <c r="Z112"/>
  <c r="AD153"/>
  <c r="AD154"/>
  <c r="AD155"/>
  <c r="AD141"/>
  <c r="AD116"/>
  <c r="AD122" s="1"/>
  <c r="AD150"/>
  <c r="AD149"/>
  <c r="Z139"/>
  <c r="Z140"/>
  <c r="AE18"/>
  <c r="AF20"/>
  <c r="AE94"/>
  <c r="AE27"/>
  <c r="AA15"/>
  <c r="AA158" s="1"/>
  <c r="AA13"/>
  <c r="AA12"/>
  <c r="AA16"/>
  <c r="AA166" s="1"/>
  <c r="AA167" s="1"/>
  <c r="AA10"/>
  <c r="AA7"/>
  <c r="AA6"/>
  <c r="AE25"/>
  <c r="AE133" s="1"/>
  <c r="AD109"/>
  <c r="AA59"/>
  <c r="AA134" s="1"/>
  <c r="Z111"/>
  <c r="Z110"/>
  <c r="AG21"/>
  <c r="AA205"/>
  <c r="J211"/>
  <c r="Q211"/>
  <c r="S211"/>
  <c r="M80" i="20" l="1"/>
  <c r="N80" s="1"/>
  <c r="AA135" i="18"/>
  <c r="AA136"/>
  <c r="AE128"/>
  <c r="AE129"/>
  <c r="Z230"/>
  <c r="Z231" s="1"/>
  <c r="Z228"/>
  <c r="Z225"/>
  <c r="Z226" s="1"/>
  <c r="Z223"/>
  <c r="AA215"/>
  <c r="AA229"/>
  <c r="AA224"/>
  <c r="AE113"/>
  <c r="AE151"/>
  <c r="AA118"/>
  <c r="AA124" s="1"/>
  <c r="AA72"/>
  <c r="AA114" s="1"/>
  <c r="W250"/>
  <c r="X250" s="1"/>
  <c r="Y250" s="1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I117"/>
  <c r="AH123"/>
  <c r="W248"/>
  <c r="X248" s="1"/>
  <c r="Y248" s="1"/>
  <c r="Z248" s="1"/>
  <c r="AA248" s="1"/>
  <c r="AB248" s="1"/>
  <c r="AC248" s="1"/>
  <c r="AD248" s="1"/>
  <c r="AE248" s="1"/>
  <c r="AF248" s="1"/>
  <c r="AA138"/>
  <c r="AE160"/>
  <c r="AE170"/>
  <c r="AE161"/>
  <c r="AE171"/>
  <c r="AH23"/>
  <c r="AG120"/>
  <c r="AG126" s="1"/>
  <c r="AA119"/>
  <c r="AA125" s="1"/>
  <c r="AA159"/>
  <c r="AA164"/>
  <c r="AA163"/>
  <c r="AA112"/>
  <c r="AE155"/>
  <c r="AE154"/>
  <c r="AE153"/>
  <c r="AE141"/>
  <c r="AE116"/>
  <c r="AE122" s="1"/>
  <c r="AE150"/>
  <c r="AE149"/>
  <c r="AA139"/>
  <c r="AA140"/>
  <c r="AF18"/>
  <c r="AG20"/>
  <c r="AF94"/>
  <c r="AF27"/>
  <c r="AB13"/>
  <c r="AB12"/>
  <c r="AB15"/>
  <c r="AB158" s="1"/>
  <c r="AB10"/>
  <c r="AB16"/>
  <c r="AB166" s="1"/>
  <c r="AB167" s="1"/>
  <c r="AB6"/>
  <c r="AB7"/>
  <c r="AB59"/>
  <c r="AB134" s="1"/>
  <c r="AA111"/>
  <c r="AA110"/>
  <c r="AF25"/>
  <c r="AF133" s="1"/>
  <c r="AE109"/>
  <c r="AH21"/>
  <c r="AB205"/>
  <c r="AK23" l="1"/>
  <c r="AI23"/>
  <c r="AI123"/>
  <c r="AK123"/>
  <c r="AK21"/>
  <c r="AI21"/>
  <c r="AB136"/>
  <c r="AB135"/>
  <c r="AF128"/>
  <c r="AF129"/>
  <c r="AA225"/>
  <c r="AA226" s="1"/>
  <c r="AA223"/>
  <c r="AA230"/>
  <c r="AA231" s="1"/>
  <c r="AA228"/>
  <c r="AB215"/>
  <c r="AB224"/>
  <c r="AB229"/>
  <c r="AF113"/>
  <c r="AF151"/>
  <c r="AB118"/>
  <c r="AB124" s="1"/>
  <c r="AB72"/>
  <c r="AB114" s="1"/>
  <c r="W247"/>
  <c r="X247" s="1"/>
  <c r="Y247" s="1"/>
  <c r="Z247" s="1"/>
  <c r="AA247" s="1"/>
  <c r="AB247" s="1"/>
  <c r="AC247" s="1"/>
  <c r="AD247" s="1"/>
  <c r="AE247" s="1"/>
  <c r="AF247" s="1"/>
  <c r="AG248"/>
  <c r="AH248" s="1"/>
  <c r="AI248" s="1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B138"/>
  <c r="AF160"/>
  <c r="AF170"/>
  <c r="AF161"/>
  <c r="AF171"/>
  <c r="AH120"/>
  <c r="AK120" s="1"/>
  <c r="AB112"/>
  <c r="AB163"/>
  <c r="AB164"/>
  <c r="AB119"/>
  <c r="AB125" s="1"/>
  <c r="AB159"/>
  <c r="AF155"/>
  <c r="AF154"/>
  <c r="AF153"/>
  <c r="AF141"/>
  <c r="AF116"/>
  <c r="AF122" s="1"/>
  <c r="AF150"/>
  <c r="AF149"/>
  <c r="AB140"/>
  <c r="AB139"/>
  <c r="AG18"/>
  <c r="AH20"/>
  <c r="AG94"/>
  <c r="AG27"/>
  <c r="AC12"/>
  <c r="AC15"/>
  <c r="AC158" s="1"/>
  <c r="AC13"/>
  <c r="AC16"/>
  <c r="AC166" s="1"/>
  <c r="AC167" s="1"/>
  <c r="AC10"/>
  <c r="AC7"/>
  <c r="AC6"/>
  <c r="AG25"/>
  <c r="AF109"/>
  <c r="AC59"/>
  <c r="AC134" s="1"/>
  <c r="AB110"/>
  <c r="AB111"/>
  <c r="AC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K20" i="18" l="1"/>
  <c r="AI20"/>
  <c r="AG129"/>
  <c r="AG133"/>
  <c r="AC136"/>
  <c r="AC135"/>
  <c r="AG151"/>
  <c r="AG128"/>
  <c r="AB230"/>
  <c r="AB231" s="1"/>
  <c r="AB228"/>
  <c r="AB225"/>
  <c r="AB226" s="1"/>
  <c r="AB223"/>
  <c r="AC215"/>
  <c r="AC229"/>
  <c r="AC224"/>
  <c r="AC118"/>
  <c r="AC124" s="1"/>
  <c r="AC72"/>
  <c r="AC114" s="1"/>
  <c r="AG247"/>
  <c r="AH247" s="1"/>
  <c r="AI247" s="1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I120"/>
  <c r="AH126"/>
  <c r="AC138"/>
  <c r="AG160"/>
  <c r="AG170"/>
  <c r="AG161"/>
  <c r="AG171"/>
  <c r="AG113"/>
  <c r="AC164"/>
  <c r="AC163"/>
  <c r="AC119"/>
  <c r="AC125" s="1"/>
  <c r="AC159"/>
  <c r="AC112"/>
  <c r="AG154"/>
  <c r="AG153"/>
  <c r="AG155"/>
  <c r="AG141"/>
  <c r="AG116"/>
  <c r="AG122" s="1"/>
  <c r="AG150"/>
  <c r="AG149"/>
  <c r="AC140"/>
  <c r="AC139"/>
  <c r="AH18"/>
  <c r="AH94"/>
  <c r="AK94" s="1"/>
  <c r="AH27"/>
  <c r="AD15"/>
  <c r="AD158" s="1"/>
  <c r="AD13"/>
  <c r="AD12"/>
  <c r="AD10"/>
  <c r="AD16"/>
  <c r="AD166" s="1"/>
  <c r="AD167" s="1"/>
  <c r="AD6"/>
  <c r="AD7"/>
  <c r="AD59"/>
  <c r="AD134" s="1"/>
  <c r="AC111"/>
  <c r="AC110"/>
  <c r="AH25"/>
  <c r="AG109"/>
  <c r="AD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H133" i="18" l="1"/>
  <c r="AK25"/>
  <c r="AI25"/>
  <c r="AI126"/>
  <c r="AK126"/>
  <c r="AH171"/>
  <c r="AK27"/>
  <c r="AI27"/>
  <c r="AK18"/>
  <c r="AI18"/>
  <c r="AD136"/>
  <c r="AD135"/>
  <c r="AH128"/>
  <c r="AH129"/>
  <c r="AC225"/>
  <c r="AC226" s="1"/>
  <c r="AC223"/>
  <c r="AC230"/>
  <c r="AC231" s="1"/>
  <c r="AC228"/>
  <c r="AD215"/>
  <c r="AD229"/>
  <c r="AD224"/>
  <c r="AH113"/>
  <c r="AH151"/>
  <c r="AD118"/>
  <c r="AD124" s="1"/>
  <c r="AD72"/>
  <c r="AD114" s="1"/>
  <c r="AD138"/>
  <c r="AH160"/>
  <c r="AH170"/>
  <c r="AD119"/>
  <c r="AD125" s="1"/>
  <c r="AD159"/>
  <c r="AD164"/>
  <c r="AD163"/>
  <c r="AH161"/>
  <c r="AD112"/>
  <c r="AH153"/>
  <c r="AH155"/>
  <c r="AH154"/>
  <c r="N32" i="9"/>
  <c r="N33" s="1"/>
  <c r="N34" s="1"/>
  <c r="N35" s="1"/>
  <c r="N36" s="1"/>
  <c r="N37" s="1"/>
  <c r="N38" s="1"/>
  <c r="N39" s="1"/>
  <c r="N40" s="1"/>
  <c r="N41" s="1"/>
  <c r="N42" s="1"/>
  <c r="M45"/>
  <c r="AH141" i="18"/>
  <c r="AH116"/>
  <c r="AK116" s="1"/>
  <c r="AH150"/>
  <c r="AH149"/>
  <c r="AD140"/>
  <c r="AD139"/>
  <c r="Y194"/>
  <c r="AI94"/>
  <c r="M32" i="9"/>
  <c r="M33" s="1"/>
  <c r="M34" s="1"/>
  <c r="M35" s="1"/>
  <c r="M36" s="1"/>
  <c r="M37" s="1"/>
  <c r="M38" s="1"/>
  <c r="M39" s="1"/>
  <c r="M40" s="1"/>
  <c r="M41" s="1"/>
  <c r="P32"/>
  <c r="AE12" i="18"/>
  <c r="AE15"/>
  <c r="AE158" s="1"/>
  <c r="AE13"/>
  <c r="AE10"/>
  <c r="AE16"/>
  <c r="AE166" s="1"/>
  <c r="AE167" s="1"/>
  <c r="AE7"/>
  <c r="AE6"/>
  <c r="AH109"/>
  <c r="AE59"/>
  <c r="AE134" s="1"/>
  <c r="AD111"/>
  <c r="AD110"/>
  <c r="O31" i="9"/>
  <c r="O32" s="1"/>
  <c r="AE205" i="18"/>
  <c r="P31" i="11"/>
  <c r="N32"/>
  <c r="T19" i="9"/>
  <c r="D22"/>
  <c r="AI150" i="18" l="1"/>
  <c r="AK150"/>
  <c r="AI109"/>
  <c r="AK109"/>
  <c r="AI149"/>
  <c r="AK149"/>
  <c r="AI154"/>
  <c r="AK154"/>
  <c r="AI153"/>
  <c r="AK153"/>
  <c r="AI161"/>
  <c r="AK161"/>
  <c r="AI160"/>
  <c r="AK160"/>
  <c r="AI151"/>
  <c r="AK151"/>
  <c r="AI128"/>
  <c r="AK128"/>
  <c r="AI133"/>
  <c r="AK133"/>
  <c r="AI141"/>
  <c r="AK141"/>
  <c r="AI155"/>
  <c r="AK155"/>
  <c r="AI170"/>
  <c r="AK170"/>
  <c r="AI113"/>
  <c r="AK113"/>
  <c r="AI129"/>
  <c r="AK129"/>
  <c r="AI171"/>
  <c r="AK171"/>
  <c r="AE135"/>
  <c r="AE136"/>
  <c r="AD225"/>
  <c r="AD226" s="1"/>
  <c r="AD223"/>
  <c r="AD230"/>
  <c r="AD231" s="1"/>
  <c r="AD228"/>
  <c r="AE215"/>
  <c r="AE224"/>
  <c r="AE229"/>
  <c r="AE118"/>
  <c r="AE124" s="1"/>
  <c r="AE72"/>
  <c r="AE114" s="1"/>
  <c r="AI116"/>
  <c r="AH122"/>
  <c r="AE138"/>
  <c r="AE164"/>
  <c r="AE163"/>
  <c r="AE119"/>
  <c r="AE125" s="1"/>
  <c r="AE159"/>
  <c r="AE112"/>
  <c r="AE139"/>
  <c r="AE140"/>
  <c r="Z194"/>
  <c r="X194" s="1"/>
  <c r="AF13"/>
  <c r="AF12"/>
  <c r="AF15"/>
  <c r="AF158" s="1"/>
  <c r="AF10"/>
  <c r="AF16"/>
  <c r="AF166" s="1"/>
  <c r="AF167" s="1"/>
  <c r="AF6"/>
  <c r="AF7"/>
  <c r="AF59"/>
  <c r="AF134" s="1"/>
  <c r="AE111"/>
  <c r="AE110"/>
  <c r="AF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I122" i="18" l="1"/>
  <c r="AK122"/>
  <c r="AF136"/>
  <c r="AF135"/>
  <c r="AE230"/>
  <c r="AE231" s="1"/>
  <c r="AE228"/>
  <c r="AE225"/>
  <c r="AE226" s="1"/>
  <c r="AE223"/>
  <c r="AF215"/>
  <c r="AF229"/>
  <c r="AF224"/>
  <c r="AF118"/>
  <c r="AF124" s="1"/>
  <c r="AF72"/>
  <c r="AF114" s="1"/>
  <c r="AF138"/>
  <c r="AF119"/>
  <c r="AF125" s="1"/>
  <c r="AF159"/>
  <c r="AF163"/>
  <c r="AF164"/>
  <c r="AF112"/>
  <c r="AF139"/>
  <c r="AF140"/>
  <c r="AG12"/>
  <c r="AG15"/>
  <c r="AG158" s="1"/>
  <c r="AG13"/>
  <c r="AG10"/>
  <c r="AG16"/>
  <c r="AG166" s="1"/>
  <c r="AG167" s="1"/>
  <c r="AG7"/>
  <c r="AG6"/>
  <c r="AG59"/>
  <c r="AG134" s="1"/>
  <c r="AF110"/>
  <c r="AF111"/>
  <c r="AG205"/>
  <c r="N34" i="11"/>
  <c r="O33"/>
  <c r="AG136" i="18" l="1"/>
  <c r="AG135"/>
  <c r="AF225"/>
  <c r="AF226" s="1"/>
  <c r="AF223"/>
  <c r="AF230"/>
  <c r="AF231" s="1"/>
  <c r="AF228"/>
  <c r="AG215"/>
  <c r="AG229"/>
  <c r="AG224"/>
  <c r="AG118"/>
  <c r="AG124" s="1"/>
  <c r="AG72"/>
  <c r="AG114" s="1"/>
  <c r="AG138"/>
  <c r="AG112"/>
  <c r="AG163"/>
  <c r="AG164"/>
  <c r="AG119"/>
  <c r="AG125" s="1"/>
  <c r="AG159"/>
  <c r="AG139"/>
  <c r="AG140"/>
  <c r="AH15"/>
  <c r="AH13"/>
  <c r="AH12"/>
  <c r="AH10"/>
  <c r="AH16"/>
  <c r="AH6"/>
  <c r="AH7"/>
  <c r="AH59"/>
  <c r="AG111"/>
  <c r="AG110"/>
  <c r="AH205"/>
  <c r="N35" i="11"/>
  <c r="O34"/>
  <c r="AK7" i="18" l="1"/>
  <c r="AI7"/>
  <c r="AK16"/>
  <c r="AI16"/>
  <c r="AH159"/>
  <c r="AK12"/>
  <c r="AI12"/>
  <c r="AK15"/>
  <c r="AI15"/>
  <c r="AH134"/>
  <c r="AK59"/>
  <c r="AI59"/>
  <c r="AI6"/>
  <c r="AK6"/>
  <c r="AK10"/>
  <c r="AI10"/>
  <c r="AK13"/>
  <c r="AI13"/>
  <c r="AH136"/>
  <c r="AH135"/>
  <c r="AG225"/>
  <c r="AG226" s="1"/>
  <c r="AG223"/>
  <c r="AG230"/>
  <c r="AG231" s="1"/>
  <c r="AG228"/>
  <c r="AH215"/>
  <c r="AI215" s="1"/>
  <c r="AK215" s="1"/>
  <c r="AK230" s="1"/>
  <c r="AH229"/>
  <c r="AH228" s="1"/>
  <c r="AI228" s="1"/>
  <c r="AH224"/>
  <c r="AH223" s="1"/>
  <c r="AI223" s="1"/>
  <c r="AH118"/>
  <c r="AH72"/>
  <c r="AK72" s="1"/>
  <c r="AH138"/>
  <c r="AH166"/>
  <c r="AK166" s="1"/>
  <c r="AH164"/>
  <c r="AH163"/>
  <c r="AH158"/>
  <c r="AH112"/>
  <c r="AH119"/>
  <c r="AK119" s="1"/>
  <c r="AH139"/>
  <c r="AH140"/>
  <c r="Y188"/>
  <c r="AH111"/>
  <c r="AH110"/>
  <c r="AI205"/>
  <c r="AK205" s="1"/>
  <c r="N36" i="11"/>
  <c r="O35"/>
  <c r="AI164" i="18" l="1"/>
  <c r="AK164"/>
  <c r="AI134"/>
  <c r="AK134"/>
  <c r="AI110"/>
  <c r="AK110"/>
  <c r="AI139"/>
  <c r="AK139"/>
  <c r="AI112"/>
  <c r="AK112"/>
  <c r="AI163"/>
  <c r="AK163"/>
  <c r="AI136"/>
  <c r="AK136"/>
  <c r="AI159"/>
  <c r="AK159"/>
  <c r="AI111"/>
  <c r="AK111"/>
  <c r="AI140"/>
  <c r="AK140"/>
  <c r="AI158"/>
  <c r="AK158"/>
  <c r="AI138"/>
  <c r="AK138"/>
  <c r="AH124"/>
  <c r="AK118"/>
  <c r="AI135"/>
  <c r="AK135"/>
  <c r="AH225"/>
  <c r="AI224"/>
  <c r="AI229"/>
  <c r="AH230"/>
  <c r="AI72"/>
  <c r="AI118"/>
  <c r="AH114"/>
  <c r="AI119"/>
  <c r="AH125"/>
  <c r="AI166"/>
  <c r="AH167"/>
  <c r="Z188"/>
  <c r="Z189" s="1"/>
  <c r="S244" s="1"/>
  <c r="Y189"/>
  <c r="T244" s="1"/>
  <c r="N37" i="11"/>
  <c r="O36"/>
  <c r="AI167" i="18" l="1"/>
  <c r="AK167"/>
  <c r="AI125"/>
  <c r="AK125"/>
  <c r="AI114"/>
  <c r="AK114"/>
  <c r="AI124"/>
  <c r="AK124"/>
  <c r="AI225"/>
  <c r="AH226"/>
  <c r="AI226" s="1"/>
  <c r="AH231"/>
  <c r="AI231" s="1"/>
  <c r="AI230"/>
  <c r="X188"/>
  <c r="X189"/>
  <c r="N38" i="11"/>
  <c r="O37"/>
  <c r="P244" i="18" l="1"/>
  <c r="N39" i="11"/>
  <c r="O38"/>
  <c r="N40" l="1"/>
  <c r="O39"/>
  <c r="N41" l="1"/>
  <c r="O40"/>
  <c r="N42" l="1"/>
  <c r="O41"/>
  <c r="Y216" i="18"/>
  <c r="Y97"/>
  <c r="Y78"/>
  <c r="Y83"/>
  <c r="Y104"/>
  <c r="Y106"/>
  <c r="Y99"/>
  <c r="Y96"/>
  <c r="Y82"/>
  <c r="Y77"/>
  <c r="Y71"/>
  <c r="Y89"/>
  <c r="Y103"/>
  <c r="Y87"/>
  <c r="Y80"/>
  <c r="Y98"/>
  <c r="Y100"/>
  <c r="Y84"/>
  <c r="Y213" s="1"/>
  <c r="Y70"/>
  <c r="Y206" s="1"/>
  <c r="Y75"/>
  <c r="Y209" s="1"/>
  <c r="Y90"/>
  <c r="Y212" s="1"/>
  <c r="Y102"/>
  <c r="Y168" s="1"/>
  <c r="Y74"/>
  <c r="Y208" s="1"/>
  <c r="Y86"/>
  <c r="Y143"/>
  <c r="Y144" s="1"/>
  <c r="Y76"/>
  <c r="Y218" s="1"/>
  <c r="Y79"/>
  <c r="Z61"/>
  <c r="Y210" l="1"/>
  <c r="Y234" s="1"/>
  <c r="Y88"/>
  <c r="Y211" s="1"/>
  <c r="Z80"/>
  <c r="Z103"/>
  <c r="Z87"/>
  <c r="Z99"/>
  <c r="Z83"/>
  <c r="Z82"/>
  <c r="Z216"/>
  <c r="Z98"/>
  <c r="Z78"/>
  <c r="Z102"/>
  <c r="Z168" s="1"/>
  <c r="Z90"/>
  <c r="Z212" s="1"/>
  <c r="Z74"/>
  <c r="Z208" s="1"/>
  <c r="Z143"/>
  <c r="Z144" s="1"/>
  <c r="Z96"/>
  <c r="Z77"/>
  <c r="Z106"/>
  <c r="Z89"/>
  <c r="Z104"/>
  <c r="Z97"/>
  <c r="Z100"/>
  <c r="Z71"/>
  <c r="Z79"/>
  <c r="Z210" s="1"/>
  <c r="Z234" s="1"/>
  <c r="Z70"/>
  <c r="Z206" s="1"/>
  <c r="Z84"/>
  <c r="Z213" s="1"/>
  <c r="Z75"/>
  <c r="Z209" s="1"/>
  <c r="Z76"/>
  <c r="Z218" s="1"/>
  <c r="AA61"/>
  <c r="Z86"/>
  <c r="Y145"/>
  <c r="Y146" s="1"/>
  <c r="Y147"/>
  <c r="Y207"/>
  <c r="Y233" l="1"/>
  <c r="Y235"/>
  <c r="Y236" s="1"/>
  <c r="Z235"/>
  <c r="Z236" s="1"/>
  <c r="Z233"/>
  <c r="Z88"/>
  <c r="Z211" s="1"/>
  <c r="Y220"/>
  <c r="Y221" s="1"/>
  <c r="Y219"/>
  <c r="AA97"/>
  <c r="AA74"/>
  <c r="AA208" s="1"/>
  <c r="AA98"/>
  <c r="AA99"/>
  <c r="AA103"/>
  <c r="AA83"/>
  <c r="AA80"/>
  <c r="AA106"/>
  <c r="AA89"/>
  <c r="AA87"/>
  <c r="AA70"/>
  <c r="AA206" s="1"/>
  <c r="AA79"/>
  <c r="AA210" s="1"/>
  <c r="AA234" s="1"/>
  <c r="AA75"/>
  <c r="AA209" s="1"/>
  <c r="AA78"/>
  <c r="AA77"/>
  <c r="AA96"/>
  <c r="AA100"/>
  <c r="AA71"/>
  <c r="AA84"/>
  <c r="AA213" s="1"/>
  <c r="AA104"/>
  <c r="AA82"/>
  <c r="AA216"/>
  <c r="AA102"/>
  <c r="AA168" s="1"/>
  <c r="AA90"/>
  <c r="AA212" s="1"/>
  <c r="AA86"/>
  <c r="AA143"/>
  <c r="AA144" s="1"/>
  <c r="AA76"/>
  <c r="AA218" s="1"/>
  <c r="AB61"/>
  <c r="Z207"/>
  <c r="Z147"/>
  <c r="Z145"/>
  <c r="Z146" s="1"/>
  <c r="AA235" l="1"/>
  <c r="AA236" s="1"/>
  <c r="AA233"/>
  <c r="Z220"/>
  <c r="Z221" s="1"/>
  <c r="Z219"/>
  <c r="AB97"/>
  <c r="AB216"/>
  <c r="AB71"/>
  <c r="AB98"/>
  <c r="AB83"/>
  <c r="AB78"/>
  <c r="AB82"/>
  <c r="AB96"/>
  <c r="AB102"/>
  <c r="AB168" s="1"/>
  <c r="AB74"/>
  <c r="AB208" s="1"/>
  <c r="AB75"/>
  <c r="AB209" s="1"/>
  <c r="AB90"/>
  <c r="AB212" s="1"/>
  <c r="AB106"/>
  <c r="AB77"/>
  <c r="AB100"/>
  <c r="AB104"/>
  <c r="AB103"/>
  <c r="AB80"/>
  <c r="AB99"/>
  <c r="AB89"/>
  <c r="AB87"/>
  <c r="AB84"/>
  <c r="AB213" s="1"/>
  <c r="AB70"/>
  <c r="AB206" s="1"/>
  <c r="AB143"/>
  <c r="AB144" s="1"/>
  <c r="AB76"/>
  <c r="AB218" s="1"/>
  <c r="AB79"/>
  <c r="AB210" s="1"/>
  <c r="AB234" s="1"/>
  <c r="AC61"/>
  <c r="AB86"/>
  <c r="AA207"/>
  <c r="AA145"/>
  <c r="AA146" s="1"/>
  <c r="AA147"/>
  <c r="AA88"/>
  <c r="AA211" s="1"/>
  <c r="AB235" l="1"/>
  <c r="AB236" s="1"/>
  <c r="AB233"/>
  <c r="AA220"/>
  <c r="AA221" s="1"/>
  <c r="AA219"/>
  <c r="AB207"/>
  <c r="AB88"/>
  <c r="AB211" s="1"/>
  <c r="AB147"/>
  <c r="AB145"/>
  <c r="AB146" s="1"/>
  <c r="AC77"/>
  <c r="AC98"/>
  <c r="AC87"/>
  <c r="AC97"/>
  <c r="AC96"/>
  <c r="AC82"/>
  <c r="AC71"/>
  <c r="AC80"/>
  <c r="AC79"/>
  <c r="AC210" s="1"/>
  <c r="AC234" s="1"/>
  <c r="AC70"/>
  <c r="AC206" s="1"/>
  <c r="AC102"/>
  <c r="AC168" s="1"/>
  <c r="AC216"/>
  <c r="AC100"/>
  <c r="AC78"/>
  <c r="AC106"/>
  <c r="AC99"/>
  <c r="AC83"/>
  <c r="AC89"/>
  <c r="AC103"/>
  <c r="AC104"/>
  <c r="AC74"/>
  <c r="AC208" s="1"/>
  <c r="AC75"/>
  <c r="AC209" s="1"/>
  <c r="AC90"/>
  <c r="AC212" s="1"/>
  <c r="AC84"/>
  <c r="AC213" s="1"/>
  <c r="AC86"/>
  <c r="AC76"/>
  <c r="AC218" s="1"/>
  <c r="AC143"/>
  <c r="AC144" s="1"/>
  <c r="AD61"/>
  <c r="AC235" l="1"/>
  <c r="AC236" s="1"/>
  <c r="AC233"/>
  <c r="AC88"/>
  <c r="AC211" s="1"/>
  <c r="AB220"/>
  <c r="AB221" s="1"/>
  <c r="AB219"/>
  <c r="AD77"/>
  <c r="AD80"/>
  <c r="AD82"/>
  <c r="AD71"/>
  <c r="AD84"/>
  <c r="AD213" s="1"/>
  <c r="AD96"/>
  <c r="AD89"/>
  <c r="AD97"/>
  <c r="AD87"/>
  <c r="AD75"/>
  <c r="AD209" s="1"/>
  <c r="AD70"/>
  <c r="AD206" s="1"/>
  <c r="AD79"/>
  <c r="AD210" s="1"/>
  <c r="AD234" s="1"/>
  <c r="AD99"/>
  <c r="AD98"/>
  <c r="AD78"/>
  <c r="AD104"/>
  <c r="AD90"/>
  <c r="AD212" s="1"/>
  <c r="AD106"/>
  <c r="AD216"/>
  <c r="AD103"/>
  <c r="AD100"/>
  <c r="AD83"/>
  <c r="AD102"/>
  <c r="AD168" s="1"/>
  <c r="AD74"/>
  <c r="AD208" s="1"/>
  <c r="AE61"/>
  <c r="AD143"/>
  <c r="AD144" s="1"/>
  <c r="AD86"/>
  <c r="AD76"/>
  <c r="AD218" s="1"/>
  <c r="AC145"/>
  <c r="AC146" s="1"/>
  <c r="AC147"/>
  <c r="AC207"/>
  <c r="AD235" l="1"/>
  <c r="AD236" s="1"/>
  <c r="AD233"/>
  <c r="AC220"/>
  <c r="AC221" s="1"/>
  <c r="AC219"/>
  <c r="AD88"/>
  <c r="AD211" s="1"/>
  <c r="AE96"/>
  <c r="AE83"/>
  <c r="AE216"/>
  <c r="AE82"/>
  <c r="AE84"/>
  <c r="AE213" s="1"/>
  <c r="AE99"/>
  <c r="AE71"/>
  <c r="AE87"/>
  <c r="AE104"/>
  <c r="AE102"/>
  <c r="AE168" s="1"/>
  <c r="AE70"/>
  <c r="AE206" s="1"/>
  <c r="AE103"/>
  <c r="AE78"/>
  <c r="AE80"/>
  <c r="AE100"/>
  <c r="AE90"/>
  <c r="AE212" s="1"/>
  <c r="AE77"/>
  <c r="AE106"/>
  <c r="AE98"/>
  <c r="AE97"/>
  <c r="AE89"/>
  <c r="AE74"/>
  <c r="AE208" s="1"/>
  <c r="AE75"/>
  <c r="AE209" s="1"/>
  <c r="AE79"/>
  <c r="AE210" s="1"/>
  <c r="AE234" s="1"/>
  <c r="AE143"/>
  <c r="AE144" s="1"/>
  <c r="AE76"/>
  <c r="AE218" s="1"/>
  <c r="AE86"/>
  <c r="AF61"/>
  <c r="AD207"/>
  <c r="AD145"/>
  <c r="AD146" s="1"/>
  <c r="AD147"/>
  <c r="AE235" l="1"/>
  <c r="AE236" s="1"/>
  <c r="AE233"/>
  <c r="AD220"/>
  <c r="AD221" s="1"/>
  <c r="AD219"/>
  <c r="AE88"/>
  <c r="AE211" s="1"/>
  <c r="AE147"/>
  <c r="AE145"/>
  <c r="AE146" s="1"/>
  <c r="AF96"/>
  <c r="AF98"/>
  <c r="AF80"/>
  <c r="AF100"/>
  <c r="AF70"/>
  <c r="AF206" s="1"/>
  <c r="AF78"/>
  <c r="AF87"/>
  <c r="AF104"/>
  <c r="AF99"/>
  <c r="AF74"/>
  <c r="AF208" s="1"/>
  <c r="AF84"/>
  <c r="AF213" s="1"/>
  <c r="AF89"/>
  <c r="AF83"/>
  <c r="AF216"/>
  <c r="AF103"/>
  <c r="AF106"/>
  <c r="AF97"/>
  <c r="AF71"/>
  <c r="AF77"/>
  <c r="AF82"/>
  <c r="AF75"/>
  <c r="AF209" s="1"/>
  <c r="AF90"/>
  <c r="AF212" s="1"/>
  <c r="AF102"/>
  <c r="AF168" s="1"/>
  <c r="AF79"/>
  <c r="AF210" s="1"/>
  <c r="AF234" s="1"/>
  <c r="AF143"/>
  <c r="AF144" s="1"/>
  <c r="AF86"/>
  <c r="AF76"/>
  <c r="AF218" s="1"/>
  <c r="AG61"/>
  <c r="AE207"/>
  <c r="AF235" l="1"/>
  <c r="AF236" s="1"/>
  <c r="AF233"/>
  <c r="AE220"/>
  <c r="AE221" s="1"/>
  <c r="AE219"/>
  <c r="AF207"/>
  <c r="AF88"/>
  <c r="AF211" s="1"/>
  <c r="AF145"/>
  <c r="AF146" s="1"/>
  <c r="AF147"/>
  <c r="AG83"/>
  <c r="AG96"/>
  <c r="AG87"/>
  <c r="AG77"/>
  <c r="AG102"/>
  <c r="AG168" s="1"/>
  <c r="AG104"/>
  <c r="AG97"/>
  <c r="AG103"/>
  <c r="AG80"/>
  <c r="AG70"/>
  <c r="AG206" s="1"/>
  <c r="AG90"/>
  <c r="AG212" s="1"/>
  <c r="AG100"/>
  <c r="AG75"/>
  <c r="AG209" s="1"/>
  <c r="AG106"/>
  <c r="AG98"/>
  <c r="AG99"/>
  <c r="AG89"/>
  <c r="AG82"/>
  <c r="AG71"/>
  <c r="AG216"/>
  <c r="AG78"/>
  <c r="AG74"/>
  <c r="AG208" s="1"/>
  <c r="AG84"/>
  <c r="AG213" s="1"/>
  <c r="AG79"/>
  <c r="AG210" s="1"/>
  <c r="AG234" s="1"/>
  <c r="AG143"/>
  <c r="AG144" s="1"/>
  <c r="AG76"/>
  <c r="AG218" s="1"/>
  <c r="AH61"/>
  <c r="AG86"/>
  <c r="AK61" l="1"/>
  <c r="AI61"/>
  <c r="AG235"/>
  <c r="AG236" s="1"/>
  <c r="AG233"/>
  <c r="AF220"/>
  <c r="AF221" s="1"/>
  <c r="AF219"/>
  <c r="AG88"/>
  <c r="AG211" s="1"/>
  <c r="AG207"/>
  <c r="AH216"/>
  <c r="AH103"/>
  <c r="AK103" s="1"/>
  <c r="AH104"/>
  <c r="AK104" s="1"/>
  <c r="AH71"/>
  <c r="AK71" s="1"/>
  <c r="AH77"/>
  <c r="AK77" s="1"/>
  <c r="AH106"/>
  <c r="AH102"/>
  <c r="AK102" s="1"/>
  <c r="AH74"/>
  <c r="AK74" s="1"/>
  <c r="AH70"/>
  <c r="AK70" s="1"/>
  <c r="AH75"/>
  <c r="AK75" s="1"/>
  <c r="AH79"/>
  <c r="AK79" s="1"/>
  <c r="AH89"/>
  <c r="AK89" s="1"/>
  <c r="AH76"/>
  <c r="AH90"/>
  <c r="AK90" s="1"/>
  <c r="AH97"/>
  <c r="AK97" s="1"/>
  <c r="AH99"/>
  <c r="AK99" s="1"/>
  <c r="AH84"/>
  <c r="AK84" s="1"/>
  <c r="AH86"/>
  <c r="AK86" s="1"/>
  <c r="AH82"/>
  <c r="AK82" s="1"/>
  <c r="AH87"/>
  <c r="AK87" s="1"/>
  <c r="AH98"/>
  <c r="AK98" s="1"/>
  <c r="AH96"/>
  <c r="AK96" s="1"/>
  <c r="AH80"/>
  <c r="AK80" s="1"/>
  <c r="AH100"/>
  <c r="AK100" s="1"/>
  <c r="AH143"/>
  <c r="AK143" s="1"/>
  <c r="AH78"/>
  <c r="AK78" s="1"/>
  <c r="AH83"/>
  <c r="AK83" s="1"/>
  <c r="AG147"/>
  <c r="AG145"/>
  <c r="AG146" s="1"/>
  <c r="AK106" l="1"/>
  <c r="AI106"/>
  <c r="AH218"/>
  <c r="AK76"/>
  <c r="Z175" s="1"/>
  <c r="S246" s="1"/>
  <c r="AG220"/>
  <c r="AG221" s="1"/>
  <c r="AG219"/>
  <c r="AH144"/>
  <c r="AK144" s="1"/>
  <c r="AI143"/>
  <c r="AI98"/>
  <c r="Y198"/>
  <c r="Z198"/>
  <c r="Z183"/>
  <c r="S242" s="1"/>
  <c r="AH213"/>
  <c r="AI84"/>
  <c r="Y183"/>
  <c r="T242" s="1"/>
  <c r="AI76"/>
  <c r="Y175"/>
  <c r="AH207"/>
  <c r="AH219" s="1"/>
  <c r="AI219" s="1"/>
  <c r="AI70"/>
  <c r="AH206"/>
  <c r="AI104"/>
  <c r="Y202"/>
  <c r="T245" s="1"/>
  <c r="Z202"/>
  <c r="S245" s="1"/>
  <c r="AI100"/>
  <c r="AI87"/>
  <c r="Z199"/>
  <c r="AI99"/>
  <c r="Y199"/>
  <c r="AI89"/>
  <c r="Y185"/>
  <c r="Z185"/>
  <c r="AI74"/>
  <c r="AH208"/>
  <c r="AI77"/>
  <c r="AI103"/>
  <c r="AI83"/>
  <c r="Z182"/>
  <c r="Y182"/>
  <c r="AI80"/>
  <c r="Y178"/>
  <c r="Z178"/>
  <c r="Y181"/>
  <c r="AI82"/>
  <c r="Z181"/>
  <c r="AI97"/>
  <c r="Y197"/>
  <c r="Z197"/>
  <c r="AI79"/>
  <c r="Z177"/>
  <c r="AH210"/>
  <c r="AH234" s="1"/>
  <c r="Y177"/>
  <c r="AI102"/>
  <c r="AH168"/>
  <c r="AI216"/>
  <c r="AK216" s="1"/>
  <c r="AK231" s="1"/>
  <c r="Y176"/>
  <c r="T243" s="1"/>
  <c r="Z176"/>
  <c r="S243" s="1"/>
  <c r="AI78"/>
  <c r="AI96"/>
  <c r="Y196"/>
  <c r="Z196"/>
  <c r="AI86"/>
  <c r="Z179"/>
  <c r="Y179"/>
  <c r="AH88"/>
  <c r="AK88" s="1"/>
  <c r="AI90"/>
  <c r="AH212"/>
  <c r="Y186"/>
  <c r="Z186"/>
  <c r="AI75"/>
  <c r="AH209"/>
  <c r="AI71"/>
  <c r="AI168" l="1"/>
  <c r="AK168"/>
  <c r="T246"/>
  <c r="V234"/>
  <c r="G234"/>
  <c r="G235" s="1"/>
  <c r="G236" s="1"/>
  <c r="U234"/>
  <c r="G233"/>
  <c r="AH235"/>
  <c r="AH236" s="1"/>
  <c r="AH233"/>
  <c r="I234"/>
  <c r="K234"/>
  <c r="M234"/>
  <c r="O234"/>
  <c r="Q234"/>
  <c r="S234"/>
  <c r="H234"/>
  <c r="J234"/>
  <c r="L234"/>
  <c r="N234"/>
  <c r="P234"/>
  <c r="R234"/>
  <c r="T234"/>
  <c r="X179"/>
  <c r="Z200"/>
  <c r="AI218"/>
  <c r="AK218" s="1"/>
  <c r="AK233" s="1"/>
  <c r="X196"/>
  <c r="X181"/>
  <c r="X177"/>
  <c r="X185"/>
  <c r="AH211"/>
  <c r="AI88"/>
  <c r="AI210"/>
  <c r="AK210" s="1"/>
  <c r="Y200"/>
  <c r="X197"/>
  <c r="X182"/>
  <c r="X202"/>
  <c r="X198"/>
  <c r="AI209"/>
  <c r="AK209" s="1"/>
  <c r="X186"/>
  <c r="X176"/>
  <c r="X199"/>
  <c r="AI213"/>
  <c r="AK213" s="1"/>
  <c r="AI212"/>
  <c r="AK212" s="1"/>
  <c r="AK226" s="1"/>
  <c r="X178"/>
  <c r="AH220"/>
  <c r="AI207"/>
  <c r="AK207" s="1"/>
  <c r="AK220" s="1"/>
  <c r="AK235" s="1"/>
  <c r="AI208"/>
  <c r="AK208" s="1"/>
  <c r="AK221" s="1"/>
  <c r="AK236" s="1"/>
  <c r="AI206"/>
  <c r="AK206" s="1"/>
  <c r="AK219" s="1"/>
  <c r="AK234" s="1"/>
  <c r="X175"/>
  <c r="S247" s="1"/>
  <c r="T247"/>
  <c r="X183"/>
  <c r="AH147"/>
  <c r="AI144"/>
  <c r="AH145"/>
  <c r="AK145" s="1"/>
  <c r="V235" l="1"/>
  <c r="V236" s="1"/>
  <c r="V233"/>
  <c r="AI147"/>
  <c r="AK147"/>
  <c r="U233"/>
  <c r="W233" s="1"/>
  <c r="W234"/>
  <c r="U235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I233" s="1"/>
  <c r="J235"/>
  <c r="AI234"/>
  <c r="S235"/>
  <c r="S236" s="1"/>
  <c r="S233"/>
  <c r="O235"/>
  <c r="O236" s="1"/>
  <c r="O233"/>
  <c r="K235"/>
  <c r="K236" s="1"/>
  <c r="K233"/>
  <c r="AK224"/>
  <c r="AK223"/>
  <c r="AI220"/>
  <c r="AH221"/>
  <c r="AI221" s="1"/>
  <c r="X200"/>
  <c r="AI145"/>
  <c r="AH146"/>
  <c r="P242"/>
  <c r="P243"/>
  <c r="P245"/>
  <c r="AI211"/>
  <c r="AK211" s="1"/>
  <c r="AK225" s="1"/>
  <c r="AI146" l="1"/>
  <c r="AK146"/>
  <c r="U236"/>
  <c r="W236" s="1"/>
  <c r="W235"/>
  <c r="J236"/>
  <c r="AI236" s="1"/>
  <c r="AI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<sst xmlns="http://schemas.openxmlformats.org/spreadsheetml/2006/main" count="772" uniqueCount="511">
  <si>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</si>
  <si>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</si>
  <si>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</si>
  <si>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</si>
  <si>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</si>
  <si>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</si>
  <si>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</si>
  <si>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</si>
  <si>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</si>
  <si>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</si>
  <si>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</si>
  <si>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</si>
  <si>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</si>
  <si>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</si>
  <si>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</si>
  <si>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</si>
  <si>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</si>
  <si>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</si>
  <si>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</si>
  <si>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</si>
  <si>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</si>
  <si>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</si>
  <si>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</si>
  <si>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</si>
  <si>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</si>
  <si>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</si>
  <si>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</si>
  <si>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</si>
  <si>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</si>
  <si>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</si>
  <si>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</si>
  <si>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</si>
  <si>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</si>
  <si>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</si>
  <si>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</si>
  <si>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</si>
  <si>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</si>
  <si>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</si>
  <si>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</si>
  <si>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</si>
  <si>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</si>
  <si>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</si>
  <si>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</si>
  <si>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</si>
  <si>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</si>
  <si>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</si>
  <si>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</si>
  <si>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</si>
  <si>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</si>
  <si>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</si>
  <si>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</si>
  <si>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</si>
  <si>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</si>
  <si>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</si>
  <si>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</si>
  <si>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</si>
  <si>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</si>
  <si>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</si>
  <si>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</si>
  <si>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</si>
  <si>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</si>
  <si>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</si>
  <si>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</si>
  <si>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</si>
  <si>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</si>
  <si>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</si>
  <si>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</si>
  <si>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</si>
  <si>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</si>
  <si>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</si>
  <si>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</si>
  <si>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</si>
  <si>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</si>
  <si>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</si>
  <si>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</si>
  <si>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</si>
  <si>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</si>
  <si>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</si>
  <si>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</si>
  <si>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</si>
  <si>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</si>
  <si>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</si>
  <si>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</si>
  <si>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</si>
  <si>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</si>
  <si>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</si>
  <si>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</si>
  <si>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</si>
  <si>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</si>
  <si>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</si>
  <si>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</si>
  <si>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</si>
  <si>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</si>
  <si>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</si>
  <si>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</si>
  <si>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</si>
  <si>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</si>
  <si>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</si>
  <si>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</si>
  <si>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</si>
  <si>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</si>
  <si>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</si>
  <si>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</si>
  <si>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</si>
  <si>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</si>
  <si>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</si>
  <si>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</si>
  <si>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</si>
  <si>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</si>
  <si>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</si>
  <si>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</si>
  <si>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</si>
  <si>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</si>
  <si>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</si>
  <si>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</si>
  <si>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</si>
  <si>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</si>
  <si>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</si>
  <si>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</si>
  <si>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</si>
  <si>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</si>
  <si>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</si>
  <si>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</si>
  <si>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</si>
  <si>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</si>
  <si>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</si>
  <si>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</si>
  <si>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</si>
  <si>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</si>
  <si>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</si>
  <si>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</si>
  <si>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</si>
  <si>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</si>
  <si>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</si>
  <si>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</si>
  <si>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</si>
  <si>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</si>
  <si>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</si>
  <si>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</si>
  <si>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</si>
  <si>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</si>
  <si>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</si>
  <si>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</si>
  <si>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</si>
  <si>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</si>
  <si>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</si>
  <si>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</si>
  <si>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</si>
  <si>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</si>
  <si>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</si>
  <si>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</si>
  <si>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</si>
  <si>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</si>
  <si>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</si>
  <si>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</si>
  <si>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</si>
  <si>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</si>
  <si>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</si>
  <si>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</si>
  <si>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</si>
  <si>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</si>
  <si>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</si>
  <si>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</si>
  <si>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</si>
  <si>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</si>
  <si>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</si>
  <si>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</si>
  <si>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</si>
  <si>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</si>
  <si>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</si>
  <si>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</si>
  <si>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</si>
  <si>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</si>
  <si>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</si>
  <si>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</si>
  <si>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</si>
  <si>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</si>
  <si>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</si>
  <si>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</si>
  <si>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</si>
  <si>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</si>
  <si>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</si>
  <si>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</si>
  <si>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</si>
  <si>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</si>
  <si>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</si>
  <si>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</si>
  <si>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</si>
  <si>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</si>
  <si>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</si>
  <si>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</si>
  <si>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</si>
  <si>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</si>
  <si>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</si>
  <si>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</si>
  <si>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</si>
  <si>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</si>
  <si>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</si>
  <si>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</si>
  <si>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</si>
  <si>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</si>
  <si>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</si>
  <si>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</si>
  <si>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</si>
  <si>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</si>
  <si>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</si>
  <si>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</si>
  <si>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</si>
  <si>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</si>
  <si>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</si>
  <si>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</si>
  <si>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</si>
  <si>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</si>
  <si>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</si>
  <si>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</si>
  <si>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</si>
  <si>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</si>
  <si>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</si>
  <si>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</si>
  <si>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</si>
  <si>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</si>
  <si>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</si>
  <si>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</si>
  <si>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</si>
  <si>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</si>
  <si>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</si>
  <si>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</si>
  <si>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</si>
  <si>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</si>
  <si>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</si>
  <si>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</si>
  <si>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</si>
  <si>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</si>
  <si>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</si>
  <si>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</si>
  <si>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</si>
  <si>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</si>
  <si>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</si>
  <si>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</si>
  <si>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</si>
  <si>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</si>
  <si>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</si>
  <si>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</si>
  <si>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</si>
  <si>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</si>
  <si>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</si>
  <si>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</si>
  <si>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</si>
  <si>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</si>
  <si>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</si>
  <si>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</si>
  <si>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</si>
  <si>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</si>
  <si>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</si>
  <si>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</si>
  <si>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</si>
  <si>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</si>
  <si>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</si>
  <si>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</si>
  <si>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</si>
  <si>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</si>
  <si>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</si>
  <si>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</si>
  <si>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</si>
  <si>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</si>
  <si>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</si>
  <si>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</si>
  <si>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</si>
  <si>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</si>
  <si>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</si>
  <si>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</si>
  <si>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</si>
  <si>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</si>
  <si>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</si>
  <si>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</si>
  <si>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</si>
  <si>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</si>
  <si>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</si>
  <si>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</si>
  <si>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</si>
  <si>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</si>
  <si>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</si>
  <si>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</si>
  <si>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</si>
  <si>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</si>
  <si>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</si>
  <si>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</si>
  <si>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</si>
  <si>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</si>
  <si>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</si>
  <si>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</si>
  <si>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</si>
  <si>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</si>
  <si>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</si>
  <si>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</si>
  <si>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</si>
  <si>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</si>
  <si>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</si>
  <si>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</si>
  <si>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</si>
  <si>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</si>
  <si>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</si>
  <si>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</si>
  <si>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</si>
  <si>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</si>
  <si>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</si>
  <si>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</si>
  <si>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</si>
  <si>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</si>
  <si>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</si>
  <si>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</si>
  <si>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</si>
  <si>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</si>
  <si>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</si>
  <si>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</si>
  <si>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</si>
  <si>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</si>
  <si>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</si>
  <si>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</si>
  <si>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</si>
  <si>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</si>
  <si>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</si>
  <si>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</si>
  <si>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</si>
  <si>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</si>
  <si>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</si>
  <si>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</si>
  <si>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</si>
  <si>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</si>
  <si>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</si>
  <si>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</si>
  <si>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</si>
  <si>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</si>
  <si>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</si>
  <si>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</si>
  <si>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</si>
  <si>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</si>
  <si>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</si>
  <si>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</si>
  <si>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</si>
  <si>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</si>
  <si>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</si>
  <si>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</si>
  <si>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</si>
  <si>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</si>
  <si>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</si>
  <si>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</si>
  <si>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</si>
  <si>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</si>
  <si>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</si>
  <si>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</si>
  <si>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</si>
  <si>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</si>
  <si>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</si>
  <si>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</si>
  <si>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</si>
  <si>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</si>
  <si>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</si>
  <si>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</si>
  <si>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</si>
  <si>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</si>
  <si>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</si>
  <si>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</si>
  <si>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</si>
  <si>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</si>
  <si>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</si>
  <si>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</si>
  <si>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</si>
  <si>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</si>
  <si>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</si>
  <si>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</si>
  <si>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</si>
  <si>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</si>
  <si>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</si>
  <si>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</si>
  <si>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</si>
  <si>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</si>
  <si>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</si>
  <si>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</si>
  <si>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</si>
  <si>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</si>
  <si>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</si>
  <si>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</si>
  <si>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</si>
  <si>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</si>
  <si>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</si>
  <si>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</si>
  <si>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</si>
  <si>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</si>
  <si>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</si>
  <si>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</si>
  <si>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</si>
  <si>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</si>
  <si>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</si>
  <si>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</si>
  <si>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</si>
  <si>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</si>
  <si>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</si>
  <si>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</si>
  <si>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</si>
  <si>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</si>
  <si>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</si>
  <si>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</si>
  <si>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</si>
  <si>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</si>
  <si>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</si>
  <si>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</si>
  <si>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</si>
  <si>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</si>
  <si>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</si>
  <si>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</si>
  <si>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</si>
  <si>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</si>
  <si>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</si>
  <si>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</si>
  <si>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</si>
  <si>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</si>
  <si>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</si>
  <si>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</si>
  <si>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</si>
  <si>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</si>
  <si>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</si>
  <si>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</si>
  <si>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</si>
  <si>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</si>
  <si>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</si>
  <si>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</si>
  <si>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</si>
  <si>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</si>
  <si>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</si>
  <si>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</si>
  <si>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</si>
  <si>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</si>
  <si>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</si>
  <si>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</si>
  <si>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</si>
  <si>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</si>
  <si>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</si>
  <si>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</si>
  <si>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</si>
  <si>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</si>
  <si>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</si>
  <si>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</si>
  <si>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</si>
  <si>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</si>
  <si>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</si>
  <si>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</si>
  <si>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</si>
  <si>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</si>
  <si>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</si>
  <si>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</si>
  <si>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</si>
  <si>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</si>
  <si>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</si>
  <si>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</si>
  <si>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</si>
  <si>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</si>
  <si>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</si>
  <si>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</si>
  <si>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</si>
  <si>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</si>
  <si>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</si>
  <si>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</si>
  <si>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</si>
  <si>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</si>
  <si>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</si>
  <si>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</si>
  <si>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</si>
  <si>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</si>
  <si>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</si>
  <si>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</si>
  <si>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</si>
  <si>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</si>
  <si>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</si>
  <si>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</si>
  <si>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</si>
  <si>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</si>
  <si>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</si>
  <si>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</si>
  <si>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</si>
  <si>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</si>
  <si>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</si>
  <si>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</si>
  <si>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</si>
  <si>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</si>
  <si>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</si>
  <si>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</si>
  <si>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</si>
  <si>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</si>
  <si>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</si>
  <si>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</si>
  <si>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</si>
  <si>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</si>
  <si>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</si>
  <si>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</si>
  <si>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</si>
  <si>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</si>
  <si>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</si>
  <si>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</si>
  <si>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</si>
  <si>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</si>
  <si>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</si>
  <si>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</si>
  <si>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</si>
  <si>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</si>
  <si>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</si>
  <si>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</si>
  <si>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</si>
  <si>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</si>
  <si>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</si>
  <si>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DUMMY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</si>
</sst>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43" fontId="7" fillId="16" borderId="1" xfId="2" applyNumberFormat="1" applyFont="1" applyFill="1" applyBorder="1"/>
    <xf numFmtId="174" fontId="5" fillId="17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0269184"/>
        <c:axId val="70275072"/>
      </c:lineChart>
      <c:catAx>
        <c:axId val="70269184"/>
        <c:scaling>
          <c:orientation val="minMax"/>
        </c:scaling>
        <c:axPos val="b"/>
        <c:tickLblPos val="nextTo"/>
        <c:crossAx val="70275072"/>
        <c:crosses val="autoZero"/>
        <c:auto val="1"/>
        <c:lblAlgn val="ctr"/>
        <c:lblOffset val="100"/>
      </c:catAx>
      <c:valAx>
        <c:axId val="70275072"/>
        <c:scaling>
          <c:orientation val="minMax"/>
        </c:scaling>
        <c:axPos val="l"/>
        <c:majorGridlines/>
        <c:numFmt formatCode="General" sourceLinked="1"/>
        <c:tickLblPos val="nextTo"/>
        <c:crossAx val="7026918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88" l="0.70000000000000062" r="0.70000000000000062" t="0.750000000000007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91" t="s">
        <v>434</v>
      </c>
      <c r="C3" s="291"/>
      <c r="D3" s="291"/>
      <c r="G3" s="291" t="s">
        <v>435</v>
      </c>
      <c r="H3" s="291"/>
      <c r="I3" s="291"/>
      <c r="P3" s="300" t="s">
        <v>436</v>
      </c>
      <c r="Q3" s="301"/>
      <c r="R3" s="301"/>
      <c r="S3" s="302"/>
      <c r="T3" s="300" t="s">
        <v>437</v>
      </c>
      <c r="U3" s="301"/>
      <c r="V3" s="301"/>
      <c r="W3" s="302"/>
    </row>
    <row r="4" spans="2:23">
      <c r="B4" s="181" t="s">
        <v>438</v>
      </c>
      <c r="C4" s="303">
        <v>9500000</v>
      </c>
      <c r="D4" s="303"/>
      <c r="G4" s="181" t="s">
        <v>439</v>
      </c>
      <c r="H4" s="293">
        <v>200000</v>
      </c>
      <c r="I4" s="293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>
      <c r="B5" s="181" t="s">
        <v>445</v>
      </c>
      <c r="C5" s="294">
        <v>0.08</v>
      </c>
      <c r="D5" s="295"/>
      <c r="G5" s="181" t="s">
        <v>445</v>
      </c>
      <c r="H5" s="299">
        <v>0.12</v>
      </c>
      <c r="I5" s="299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>
      <c r="B6" s="181" t="s">
        <v>447</v>
      </c>
      <c r="C6" s="293">
        <v>30</v>
      </c>
      <c r="D6" s="293"/>
      <c r="G6" s="181" t="s">
        <v>447</v>
      </c>
      <c r="H6" s="293">
        <v>10</v>
      </c>
      <c r="I6" s="293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>
      <c r="B7" s="181"/>
      <c r="C7" s="292"/>
      <c r="D7" s="292"/>
      <c r="G7" s="181"/>
      <c r="H7" s="292"/>
      <c r="I7" s="292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>
      <c r="B8" s="181"/>
      <c r="C8" s="292"/>
      <c r="D8" s="292"/>
      <c r="G8" s="181"/>
      <c r="H8" s="292"/>
      <c r="I8" s="292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>
      <c r="B9" s="199" t="s">
        <v>439</v>
      </c>
      <c r="C9" s="290">
        <f>C4*(1/(1+C5)^C6)</f>
        <v>944084.6592231117</v>
      </c>
      <c r="D9" s="290"/>
      <c r="G9" s="199" t="s">
        <v>452</v>
      </c>
      <c r="H9" s="290">
        <f>H4*((1+H5)^H6)</f>
        <v>621169.64166884217</v>
      </c>
      <c r="I9" s="290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>
      <c r="B10" s="199" t="s">
        <v>454</v>
      </c>
      <c r="C10" s="290">
        <f>C4-C9</f>
        <v>8555915.3407768887</v>
      </c>
      <c r="D10" s="290"/>
      <c r="G10" s="199" t="s">
        <v>454</v>
      </c>
      <c r="H10" s="298">
        <f>H9-H4</f>
        <v>421169.64166884217</v>
      </c>
      <c r="I10" s="298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>
      <c r="K13" s="205" t="s">
        <v>319</v>
      </c>
    </row>
    <row r="14" spans="2:23">
      <c r="B14" s="291" t="s">
        <v>458</v>
      </c>
      <c r="C14" s="291"/>
      <c r="D14" s="291"/>
      <c r="G14" s="291" t="s">
        <v>459</v>
      </c>
      <c r="H14" s="291"/>
      <c r="I14" s="291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>
      <c r="B15" s="181" t="s">
        <v>460</v>
      </c>
      <c r="C15" s="293">
        <v>24000</v>
      </c>
      <c r="D15" s="293"/>
      <c r="G15" s="181" t="s">
        <v>460</v>
      </c>
      <c r="H15" s="293">
        <v>200000</v>
      </c>
      <c r="I15" s="293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>
      <c r="B16" s="181" t="s">
        <v>445</v>
      </c>
      <c r="C16" s="294">
        <v>0.1</v>
      </c>
      <c r="D16" s="295"/>
      <c r="G16" s="181" t="s">
        <v>445</v>
      </c>
      <c r="H16" s="294">
        <v>0.12</v>
      </c>
      <c r="I16" s="295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>
      <c r="B17" s="181" t="s">
        <v>447</v>
      </c>
      <c r="C17" s="293">
        <v>20</v>
      </c>
      <c r="D17" s="293"/>
      <c r="G17" s="181" t="s">
        <v>447</v>
      </c>
      <c r="H17" s="293">
        <v>10</v>
      </c>
      <c r="I17" s="293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>
      <c r="B18" s="181"/>
      <c r="C18" s="292"/>
      <c r="D18" s="292"/>
      <c r="G18" s="181"/>
      <c r="H18" s="292"/>
      <c r="I18" s="292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>
      <c r="B19" s="199" t="s">
        <v>461</v>
      </c>
      <c r="C19" s="286">
        <f>( ( 1-  (1/ ( (1+C16)^C17) ) ) / C16)</f>
        <v>8.5135637197585652</v>
      </c>
      <c r="D19" s="287"/>
      <c r="G19" s="199" t="s">
        <v>462</v>
      </c>
      <c r="H19" s="286">
        <f>( ((1+H16)^H17) -1 ) / H16</f>
        <v>17.548735069535095</v>
      </c>
      <c r="I19" s="287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>
      <c r="B20" s="199" t="s">
        <v>463</v>
      </c>
      <c r="C20" s="296">
        <f>C19 * C15</f>
        <v>204325.52927420556</v>
      </c>
      <c r="D20" s="297"/>
      <c r="G20" s="199" t="s">
        <v>464</v>
      </c>
      <c r="H20" s="286">
        <f>H19 * H15</f>
        <v>3509747.013907019</v>
      </c>
      <c r="I20" s="287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>
      <c r="B21" s="199"/>
      <c r="C21" s="288"/>
      <c r="D21" s="289"/>
      <c r="G21" s="199"/>
      <c r="H21" s="288"/>
      <c r="I21" s="289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>
      <c r="B22" s="199"/>
      <c r="C22" s="290"/>
      <c r="D22" s="290"/>
      <c r="G22" s="199"/>
      <c r="H22" s="290"/>
      <c r="I22" s="290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>
      <c r="B26" s="291" t="s">
        <v>465</v>
      </c>
      <c r="C26" s="291"/>
      <c r="D26" s="291"/>
      <c r="G26" s="291" t="s">
        <v>466</v>
      </c>
      <c r="H26" s="291"/>
      <c r="I26" s="291"/>
      <c r="K26" s="291" t="s">
        <v>15</v>
      </c>
      <c r="L26" s="291"/>
    </row>
    <row r="27" spans="2:18">
      <c r="B27" s="181" t="s">
        <v>460</v>
      </c>
      <c r="C27" s="293">
        <v>100</v>
      </c>
      <c r="D27" s="293"/>
      <c r="G27" s="181" t="s">
        <v>460</v>
      </c>
      <c r="H27" s="293">
        <v>200000</v>
      </c>
      <c r="I27" s="293"/>
      <c r="K27" s="10" t="s">
        <v>16</v>
      </c>
      <c r="L27" s="11">
        <v>45</v>
      </c>
      <c r="M27" s="271">
        <v>2000000</v>
      </c>
    </row>
    <row r="28" spans="2:18">
      <c r="B28" s="181" t="s">
        <v>445</v>
      </c>
      <c r="C28" s="294">
        <v>0.05</v>
      </c>
      <c r="D28" s="295"/>
      <c r="G28" s="181" t="s">
        <v>445</v>
      </c>
      <c r="H28" s="294">
        <v>0.12</v>
      </c>
      <c r="I28" s="295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>
      <c r="B29" s="181" t="s">
        <v>447</v>
      </c>
      <c r="C29" s="293">
        <v>3</v>
      </c>
      <c r="D29" s="293"/>
      <c r="G29" s="181" t="s">
        <v>447</v>
      </c>
      <c r="H29" s="293">
        <v>11</v>
      </c>
      <c r="I29" s="293"/>
      <c r="K29" s="10" t="s">
        <v>18</v>
      </c>
      <c r="L29" s="12">
        <v>8</v>
      </c>
      <c r="M29" s="270"/>
    </row>
    <row r="30" spans="2:18" ht="15.75" thickBot="1">
      <c r="B30" s="181"/>
      <c r="C30" s="292"/>
      <c r="D30" s="292"/>
      <c r="G30" s="181"/>
      <c r="H30" s="292"/>
      <c r="I30" s="292"/>
      <c r="K30" s="13" t="s">
        <v>19</v>
      </c>
      <c r="L30" s="3">
        <f>((L28/L27)^(1/L29))-1</f>
        <v>0.23274951685376255</v>
      </c>
      <c r="M30" s="3"/>
    </row>
    <row r="31" spans="2:18">
      <c r="B31" s="199" t="s">
        <v>461</v>
      </c>
      <c r="C31" s="286">
        <f>( ( ( 1-  (1/ ( (1+C28)^C29) ) ) / C28) ) * (1+C28)</f>
        <v>2.859410430839004</v>
      </c>
      <c r="D31" s="287"/>
      <c r="G31" s="199" t="s">
        <v>462</v>
      </c>
      <c r="H31" s="286">
        <f>(( ((1+H28)^H29) -1 ) / H28 ) * ( 1+H28)</f>
        <v>23.133133271224832</v>
      </c>
      <c r="I31" s="287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>
      <c r="B32" s="199" t="s">
        <v>469</v>
      </c>
      <c r="C32" s="286">
        <f>C31 * C27</f>
        <v>285.94104308390041</v>
      </c>
      <c r="D32" s="287"/>
      <c r="G32" s="199" t="s">
        <v>470</v>
      </c>
      <c r="H32" s="286">
        <f>H31 * H27</f>
        <v>4626626.6542449668</v>
      </c>
      <c r="I32" s="287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>
      <c r="B33" s="199"/>
      <c r="C33" s="288"/>
      <c r="D33" s="289"/>
      <c r="G33" s="199"/>
      <c r="H33" s="288"/>
      <c r="I33" s="289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>
      <c r="B34" s="199"/>
      <c r="C34" s="290"/>
      <c r="D34" s="290"/>
      <c r="G34" s="199"/>
      <c r="H34" s="290"/>
      <c r="I34" s="290"/>
      <c r="P34" s="215">
        <v>0.1</v>
      </c>
      <c r="Q34" s="216">
        <v>10</v>
      </c>
    </row>
    <row r="35" spans="2:17">
      <c r="P35" s="215">
        <v>0.15</v>
      </c>
      <c r="Q35" s="216">
        <v>5</v>
      </c>
    </row>
    <row r="36" spans="2:17">
      <c r="B36" s="291" t="s">
        <v>24</v>
      </c>
      <c r="C36" s="291"/>
      <c r="D36" s="291"/>
      <c r="E36" s="217"/>
      <c r="G36" s="291" t="s">
        <v>53</v>
      </c>
      <c r="H36" s="291"/>
      <c r="K36" s="291" t="s">
        <v>334</v>
      </c>
      <c r="L36" s="291"/>
      <c r="P36" s="215">
        <v>0.2</v>
      </c>
      <c r="Q36" s="216">
        <v>4</v>
      </c>
    </row>
    <row r="37" spans="2:17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>
      <c r="C43" s="285" t="s">
        <v>452</v>
      </c>
      <c r="D43" s="285"/>
      <c r="E43" s="285"/>
      <c r="F43" s="285"/>
      <c r="J43" s="285" t="s">
        <v>452</v>
      </c>
      <c r="K43" s="285"/>
      <c r="L43" s="285"/>
      <c r="M43" s="285"/>
    </row>
    <row r="44" spans="2:17" ht="15.75" thickBot="1">
      <c r="B44" s="227"/>
      <c r="C44" s="278" t="s">
        <v>473</v>
      </c>
      <c r="D44" s="279"/>
      <c r="E44" s="228" t="s">
        <v>474</v>
      </c>
      <c r="F44" s="228"/>
      <c r="G44" s="229"/>
      <c r="I44" s="227"/>
      <c r="J44" s="278" t="s">
        <v>475</v>
      </c>
      <c r="K44" s="279"/>
      <c r="L44" s="228" t="s">
        <v>476</v>
      </c>
      <c r="M44" s="228"/>
      <c r="N44" s="229"/>
    </row>
    <row r="45" spans="2:17" ht="15.75" thickBot="1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>
      <c r="B46" s="280" t="s">
        <v>477</v>
      </c>
      <c r="C46" s="281"/>
      <c r="D46" s="281"/>
      <c r="E46" s="281"/>
      <c r="F46" s="281"/>
      <c r="G46" s="282"/>
      <c r="I46" s="280" t="s">
        <v>477</v>
      </c>
      <c r="J46" s="281"/>
      <c r="K46" s="281"/>
      <c r="L46" s="281"/>
      <c r="M46" s="281"/>
      <c r="N46" s="282"/>
    </row>
    <row r="47" spans="2:17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2332630920.4101562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>
      <c r="A65">
        <f t="shared" si="8"/>
        <v>2029</v>
      </c>
      <c r="B65" s="236">
        <f t="shared" si="8"/>
        <v>16</v>
      </c>
      <c r="C65" s="237">
        <f t="shared" si="2"/>
        <v>2332630920.4101562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>
      <c r="B81" s="283" t="s">
        <v>485</v>
      </c>
      <c r="C81" s="284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283" t="s">
        <v>485</v>
      </c>
      <c r="J81" s="284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>
      <c r="G83" s="259"/>
      <c r="H83" s="248">
        <f t="shared" si="14"/>
        <v>0</v>
      </c>
    </row>
    <row r="84" spans="2:14" ht="15.75" thickBot="1">
      <c r="C84" s="285" t="s">
        <v>487</v>
      </c>
      <c r="D84" s="285"/>
      <c r="E84" s="285"/>
      <c r="F84" s="285"/>
      <c r="H84" s="248">
        <f t="shared" si="14"/>
        <v>0</v>
      </c>
      <c r="J84" s="285" t="s">
        <v>487</v>
      </c>
      <c r="K84" s="285"/>
      <c r="L84" s="285"/>
      <c r="M84" s="285"/>
    </row>
    <row r="85" spans="2:14" ht="15.75" thickBot="1">
      <c r="H85" s="248">
        <f t="shared" si="14"/>
        <v>1.4999999999999999E-7</v>
      </c>
    </row>
    <row r="86" spans="2:14" ht="15.75" thickBot="1">
      <c r="B86" s="227"/>
      <c r="C86" s="278" t="s">
        <v>473</v>
      </c>
      <c r="D86" s="279"/>
      <c r="E86" s="228" t="s">
        <v>474</v>
      </c>
      <c r="F86" s="228"/>
      <c r="G86" s="229"/>
      <c r="H86" s="248">
        <f t="shared" si="14"/>
        <v>0</v>
      </c>
      <c r="I86" s="227"/>
      <c r="J86" s="278" t="s">
        <v>488</v>
      </c>
      <c r="K86" s="279"/>
      <c r="L86" s="228" t="s">
        <v>489</v>
      </c>
      <c r="M86" s="228"/>
      <c r="N86" s="229"/>
    </row>
    <row r="87" spans="2:14" ht="15.75" thickBot="1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>
      <c r="B88" s="280" t="s">
        <v>490</v>
      </c>
      <c r="C88" s="281"/>
      <c r="D88" s="281"/>
      <c r="E88" s="281"/>
      <c r="F88" s="281"/>
      <c r="G88" s="282"/>
      <c r="H88" s="248">
        <f t="shared" si="14"/>
        <v>0</v>
      </c>
      <c r="I88" s="280" t="s">
        <v>490</v>
      </c>
      <c r="J88" s="281"/>
      <c r="K88" s="281"/>
      <c r="L88" s="281"/>
      <c r="M88" s="281"/>
      <c r="N88" s="282"/>
    </row>
    <row r="89" spans="2:14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>
      <c r="B124" s="283" t="s">
        <v>496</v>
      </c>
      <c r="C124" s="284"/>
      <c r="D124" s="253">
        <f>SUM(D91:D123)</f>
        <v>1900</v>
      </c>
      <c r="E124" s="251"/>
      <c r="F124" s="251"/>
      <c r="G124" s="265">
        <f>G121</f>
        <v>1413.1902480939689</v>
      </c>
      <c r="I124" s="283" t="s">
        <v>496</v>
      </c>
      <c r="J124" s="284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83"/>
  <sheetViews>
    <sheetView tabSelected="1" zoomScale="80" zoomScaleNormal="80" workbookViewId="0">
      <pane xSplit="2" ySplit="3" topLeftCell="L179" activePane="bottomRight" state="frozen"/>
      <selection pane="topRight" activeCell="C1" sqref="C1"/>
      <selection pane="bottomLeft" activeCell="A5" sqref="A5"/>
      <selection pane="bottomRight" activeCell="Q203" sqref="Q203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2" width="10.7109375" style="89" customWidth="1"/>
    <col min="23" max="23" width="9.85546875" style="89" customWidth="1"/>
    <col min="24" max="24" width="10.85546875" style="89" bestFit="1" customWidth="1"/>
    <col min="25" max="26" width="9.7109375" style="89" bestFit="1" customWidth="1"/>
    <col min="27" max="33" width="8" style="89" bestFit="1" customWidth="1"/>
    <col min="34" max="34" width="11.28515625" style="89" bestFit="1" customWidth="1"/>
    <col min="35" max="35" width="9.28515625" style="89" bestFit="1" customWidth="1"/>
    <col min="36" max="36" width="9" style="89" customWidth="1"/>
    <col min="37" max="37" width="10.7109375" style="89" customWidth="1"/>
    <col min="38" max="16384" width="9.140625" style="89"/>
  </cols>
  <sheetData>
    <row r="1" spans="2:37">
      <c r="B1" s="106" t="s">
        <v>506</v>
      </c>
      <c r="C1" s="275">
        <f>S2</f>
        <v>0.15</v>
      </c>
      <c r="I1" s="89" t="s">
        <v>209</v>
      </c>
      <c r="K1" s="107">
        <v>2011</v>
      </c>
      <c r="M1" s="89" t="s">
        <v>271</v>
      </c>
      <c r="O1" s="137">
        <v>0.01</v>
      </c>
      <c r="Q1" s="89" t="s">
        <v>340</v>
      </c>
      <c r="S1" s="137">
        <v>0.01</v>
      </c>
    </row>
    <row r="2" spans="2:37">
      <c r="B2" s="129" t="s">
        <v>261</v>
      </c>
      <c r="C2" s="103"/>
      <c r="I2" s="89" t="s">
        <v>210</v>
      </c>
      <c r="K2" s="107">
        <v>2019</v>
      </c>
      <c r="M2" s="89" t="s">
        <v>272</v>
      </c>
      <c r="O2" s="137">
        <v>0.15</v>
      </c>
      <c r="Q2" s="89" t="s">
        <v>405</v>
      </c>
      <c r="S2" s="137">
        <v>0.15</v>
      </c>
      <c r="Y2" s="98" t="s">
        <v>5</v>
      </c>
      <c r="Z2" s="98" t="s">
        <v>6</v>
      </c>
      <c r="AA2" s="98" t="s">
        <v>7</v>
      </c>
      <c r="AB2" s="98" t="s">
        <v>8</v>
      </c>
      <c r="AC2" s="98" t="s">
        <v>9</v>
      </c>
      <c r="AD2" s="98" t="s">
        <v>192</v>
      </c>
      <c r="AE2" s="98" t="s">
        <v>193</v>
      </c>
      <c r="AF2" s="98" t="s">
        <v>194</v>
      </c>
      <c r="AG2" s="98" t="s">
        <v>195</v>
      </c>
      <c r="AH2" s="98" t="s">
        <v>196</v>
      </c>
      <c r="AJ2" s="308" t="s">
        <v>240</v>
      </c>
      <c r="AK2" s="309"/>
    </row>
    <row r="3" spans="2:37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9" t="s">
        <v>1</v>
      </c>
      <c r="X3" s="99" t="s">
        <v>211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113" t="s">
        <v>1</v>
      </c>
      <c r="AJ3" s="310" t="s">
        <v>241</v>
      </c>
      <c r="AK3" s="311"/>
    </row>
    <row r="4" spans="2:37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14"/>
      <c r="AJ4" s="10"/>
      <c r="AK4" s="10"/>
    </row>
    <row r="5" spans="2:37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277" t="s">
        <v>510</v>
      </c>
      <c r="W5" s="10"/>
      <c r="X5" s="1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14"/>
      <c r="AJ5" s="10"/>
      <c r="AK5" s="130"/>
    </row>
    <row r="6" spans="2:37">
      <c r="B6" s="10" t="s">
        <v>10</v>
      </c>
      <c r="C6" s="118"/>
      <c r="D6" s="118"/>
      <c r="E6" s="124"/>
      <c r="F6" s="124"/>
      <c r="G6" s="124">
        <f>N6</f>
        <v>866</v>
      </c>
      <c r="H6" s="124"/>
      <c r="I6" s="124"/>
      <c r="J6" s="124"/>
      <c r="K6" s="124"/>
      <c r="L6" s="124"/>
      <c r="M6" s="124"/>
      <c r="N6" s="124">
        <v>866</v>
      </c>
      <c r="O6" s="124">
        <v>956</v>
      </c>
      <c r="P6" s="124">
        <v>1067</v>
      </c>
      <c r="Q6" s="124">
        <v>1067</v>
      </c>
      <c r="R6" s="124">
        <v>1216</v>
      </c>
      <c r="S6" s="178">
        <v>1468</v>
      </c>
      <c r="T6" s="178">
        <v>1824</v>
      </c>
      <c r="U6" s="178">
        <v>2067</v>
      </c>
      <c r="V6" s="178">
        <v>2000</v>
      </c>
      <c r="W6" s="101">
        <f>((V6/G6)^(1/($K$2-$K$1) ))-1</f>
        <v>0.1102966078103742</v>
      </c>
      <c r="X6" s="21">
        <f>$O$2</f>
        <v>0.15</v>
      </c>
      <c r="Y6" s="130">
        <f>U6*(1+$X6)</f>
        <v>2377.0499999999997</v>
      </c>
      <c r="Z6" s="130">
        <f>Y6*(1+$X6)</f>
        <v>2733.6074999999996</v>
      </c>
      <c r="AA6" s="130">
        <f t="shared" ref="AA6:AH6" si="0">Z6*(1+$X6)</f>
        <v>3143.6486249999994</v>
      </c>
      <c r="AB6" s="130">
        <f t="shared" si="0"/>
        <v>3615.1959187499988</v>
      </c>
      <c r="AC6" s="130">
        <f t="shared" si="0"/>
        <v>4157.4753065624982</v>
      </c>
      <c r="AD6" s="130">
        <f t="shared" si="0"/>
        <v>4781.0966025468724</v>
      </c>
      <c r="AE6" s="130">
        <f t="shared" si="0"/>
        <v>5498.2610929289031</v>
      </c>
      <c r="AF6" s="130">
        <f t="shared" si="0"/>
        <v>6323.0002568682385</v>
      </c>
      <c r="AG6" s="130">
        <f t="shared" si="0"/>
        <v>7271.4502953984738</v>
      </c>
      <c r="AH6" s="130">
        <f t="shared" si="0"/>
        <v>8362.1678397082451</v>
      </c>
      <c r="AI6" s="115">
        <f>((AH6/G6)^(1/($AH$3-$K$1) ))-1</f>
        <v>0.13425621083956374</v>
      </c>
      <c r="AJ6" s="21">
        <f>$O$1</f>
        <v>0.01</v>
      </c>
      <c r="AK6" s="123" t="e">
        <f>(AH6*(1+AJ6))/($O$1-AJ6)</f>
        <v>#DIV/0!</v>
      </c>
    </row>
    <row r="7" spans="2:37">
      <c r="B7" s="10" t="s">
        <v>198</v>
      </c>
      <c r="C7" s="118"/>
      <c r="D7" s="118"/>
      <c r="E7" s="124"/>
      <c r="F7" s="124"/>
      <c r="G7" s="124">
        <f>N7</f>
        <v>934</v>
      </c>
      <c r="H7" s="124"/>
      <c r="I7" s="124"/>
      <c r="J7" s="124"/>
      <c r="K7" s="124"/>
      <c r="L7" s="124"/>
      <c r="M7" s="124"/>
      <c r="N7" s="124">
        <v>934</v>
      </c>
      <c r="O7" s="124">
        <v>1025</v>
      </c>
      <c r="P7" s="124">
        <v>1135</v>
      </c>
      <c r="Q7" s="124">
        <v>1135</v>
      </c>
      <c r="R7" s="124">
        <v>1285</v>
      </c>
      <c r="S7" s="178">
        <v>1541</v>
      </c>
      <c r="T7" s="178">
        <v>1902</v>
      </c>
      <c r="U7" s="178">
        <v>2145</v>
      </c>
      <c r="V7" s="178">
        <v>2914</v>
      </c>
      <c r="W7" s="101">
        <f>((V7/G7)^(1/($K$2-$K$1) ))-1</f>
        <v>0.15283680702760227</v>
      </c>
      <c r="X7" s="21">
        <f>$O$2</f>
        <v>0.15</v>
      </c>
      <c r="Y7" s="130">
        <f>U7*(1+$X7)</f>
        <v>2466.75</v>
      </c>
      <c r="Z7" s="130">
        <f t="shared" ref="Z7:AH7" si="1">Y7*(1+$X7)</f>
        <v>2836.7624999999998</v>
      </c>
      <c r="AA7" s="130">
        <f t="shared" si="1"/>
        <v>3262.2768749999996</v>
      </c>
      <c r="AB7" s="130">
        <f t="shared" si="1"/>
        <v>3751.6184062499992</v>
      </c>
      <c r="AC7" s="130">
        <f t="shared" si="1"/>
        <v>4314.3611671874987</v>
      </c>
      <c r="AD7" s="130">
        <f t="shared" si="1"/>
        <v>4961.5153422656231</v>
      </c>
      <c r="AE7" s="130">
        <f t="shared" si="1"/>
        <v>5705.7426436054657</v>
      </c>
      <c r="AF7" s="130">
        <f t="shared" si="1"/>
        <v>6561.6040401462851</v>
      </c>
      <c r="AG7" s="130">
        <f t="shared" si="1"/>
        <v>7545.844646168227</v>
      </c>
      <c r="AH7" s="130">
        <f t="shared" si="1"/>
        <v>8677.7213430934607</v>
      </c>
      <c r="AI7" s="115">
        <f t="shared" ref="AI7:AI63" si="2">((AH7/G7)^(1/($AH$3-$K$1) ))-1</f>
        <v>0.13182959531027372</v>
      </c>
      <c r="AJ7" s="21">
        <f>$O$1</f>
        <v>0.01</v>
      </c>
      <c r="AK7" s="123" t="e">
        <f>(AH7*(1+AJ7))/($O$1-AJ7)</f>
        <v>#DIV/0!</v>
      </c>
    </row>
    <row r="8" spans="2:37">
      <c r="B8" s="10"/>
      <c r="C8" s="118"/>
      <c r="D8" s="118"/>
      <c r="E8" s="124"/>
      <c r="F8" s="266"/>
      <c r="G8" s="266">
        <f>(G7-F7)/G7</f>
        <v>1</v>
      </c>
      <c r="H8" s="127" t="e">
        <f>(H7-G7)/H7</f>
        <v>#DIV/0!</v>
      </c>
      <c r="I8" s="127" t="e">
        <f t="shared" ref="I8:R8" si="3">(I7-H7)/I7</f>
        <v>#DIV/0!</v>
      </c>
      <c r="J8" s="127" t="e">
        <f t="shared" si="3"/>
        <v>#DIV/0!</v>
      </c>
      <c r="K8" s="127" t="e">
        <f t="shared" si="3"/>
        <v>#DIV/0!</v>
      </c>
      <c r="L8" s="127" t="e">
        <f t="shared" si="3"/>
        <v>#DIV/0!</v>
      </c>
      <c r="M8" s="127" t="e">
        <f t="shared" si="3"/>
        <v>#DIV/0!</v>
      </c>
      <c r="N8" s="127">
        <f t="shared" si="3"/>
        <v>1</v>
      </c>
      <c r="O8" s="127">
        <f t="shared" si="3"/>
        <v>8.8780487804878044E-2</v>
      </c>
      <c r="P8" s="127">
        <f t="shared" si="3"/>
        <v>9.6916299559471369E-2</v>
      </c>
      <c r="Q8" s="127">
        <f t="shared" si="3"/>
        <v>0</v>
      </c>
      <c r="R8" s="127">
        <f t="shared" si="3"/>
        <v>0.11673151750972763</v>
      </c>
      <c r="S8" s="127">
        <f t="shared" ref="S8:U8" si="4">(S7-R7)/R7</f>
        <v>0.1992217898832685</v>
      </c>
      <c r="T8" s="127">
        <f t="shared" si="4"/>
        <v>0.23426346528228423</v>
      </c>
      <c r="U8" s="127">
        <f t="shared" si="4"/>
        <v>0.12776025236593061</v>
      </c>
      <c r="V8" s="127">
        <f t="shared" ref="V8" si="5">(V7-U7)/U7</f>
        <v>0.35850815850815848</v>
      </c>
      <c r="W8" s="10"/>
      <c r="X8" s="1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14"/>
      <c r="AJ8" s="114"/>
      <c r="AK8" s="123"/>
    </row>
    <row r="9" spans="2:37">
      <c r="B9" s="10" t="s">
        <v>220</v>
      </c>
      <c r="C9" s="118"/>
      <c r="D9" s="118"/>
      <c r="E9" s="124"/>
      <c r="F9" s="124"/>
      <c r="G9" s="124">
        <f>N9</f>
        <v>10</v>
      </c>
      <c r="H9" s="124"/>
      <c r="I9" s="124"/>
      <c r="J9" s="124"/>
      <c r="K9" s="124"/>
      <c r="L9" s="124"/>
      <c r="M9" s="124"/>
      <c r="N9" s="124">
        <v>10</v>
      </c>
      <c r="O9" s="124">
        <v>323</v>
      </c>
      <c r="P9" s="124">
        <v>652</v>
      </c>
      <c r="Q9" s="124">
        <v>652</v>
      </c>
      <c r="R9" s="124">
        <v>730</v>
      </c>
      <c r="S9" s="178">
        <v>872</v>
      </c>
      <c r="T9" s="178">
        <v>846</v>
      </c>
      <c r="U9" s="178">
        <v>1247</v>
      </c>
      <c r="V9" s="178">
        <v>1200</v>
      </c>
      <c r="W9" s="101">
        <f>((V9/G9)^(1/($K$2-$K$1) ))-1</f>
        <v>0.81927208510625826</v>
      </c>
      <c r="X9" s="21">
        <f t="shared" ref="X9:X59" si="6">$O$2</f>
        <v>0.15</v>
      </c>
      <c r="Y9" s="130">
        <f t="shared" ref="Y9:Y63" si="7">U9*(1+$X9)</f>
        <v>1434.05</v>
      </c>
      <c r="Z9" s="130">
        <f t="shared" ref="Z9" si="8">Y9*(1+$X9)</f>
        <v>1649.1574999999998</v>
      </c>
      <c r="AA9" s="130">
        <f t="shared" ref="AA9" si="9">Z9*(1+$X9)</f>
        <v>1896.5311249999995</v>
      </c>
      <c r="AB9" s="130">
        <f t="shared" ref="AB9" si="10">AA9*(1+$X9)</f>
        <v>2181.0107937499993</v>
      </c>
      <c r="AC9" s="130">
        <f t="shared" ref="AC9" si="11">AB9*(1+$X9)</f>
        <v>2508.162412812499</v>
      </c>
      <c r="AD9" s="130">
        <f t="shared" ref="AD9" si="12">AC9*(1+$X9)</f>
        <v>2884.3867747343738</v>
      </c>
      <c r="AE9" s="130">
        <f t="shared" ref="AE9" si="13">AD9*(1+$X9)</f>
        <v>3317.0447909445297</v>
      </c>
      <c r="AF9" s="130">
        <f t="shared" ref="AF9" si="14">AE9*(1+$X9)</f>
        <v>3814.601509586209</v>
      </c>
      <c r="AG9" s="130">
        <f t="shared" ref="AG9" si="15">AF9*(1+$X9)</f>
        <v>4386.7917360241399</v>
      </c>
      <c r="AH9" s="130">
        <f t="shared" ref="AH9" si="16">AG9*(1+$X9)</f>
        <v>5044.8104964277609</v>
      </c>
      <c r="AI9" s="115">
        <f t="shared" si="2"/>
        <v>0.41305168611416199</v>
      </c>
      <c r="AJ9" s="21">
        <f t="shared" ref="AJ9:AJ103" si="17">$O$1</f>
        <v>0.01</v>
      </c>
      <c r="AK9" s="123" t="e">
        <f>(AH9*(1+AJ9))/($O$1-AJ9)</f>
        <v>#DIV/0!</v>
      </c>
    </row>
    <row r="10" spans="2:37">
      <c r="B10" s="10" t="s">
        <v>3</v>
      </c>
      <c r="C10" s="118"/>
      <c r="D10" s="118"/>
      <c r="E10" s="124"/>
      <c r="F10" s="124"/>
      <c r="G10" s="124">
        <f>N10</f>
        <v>99</v>
      </c>
      <c r="H10" s="124"/>
      <c r="I10" s="124"/>
      <c r="J10" s="124"/>
      <c r="K10" s="124"/>
      <c r="L10" s="124"/>
      <c r="M10" s="124"/>
      <c r="N10" s="124">
        <v>99</v>
      </c>
      <c r="O10" s="124">
        <v>842</v>
      </c>
      <c r="P10" s="124">
        <v>1358</v>
      </c>
      <c r="Q10" s="124">
        <v>1358</v>
      </c>
      <c r="R10" s="124">
        <v>1957</v>
      </c>
      <c r="S10" s="178">
        <v>2258</v>
      </c>
      <c r="T10" s="178">
        <v>2697</v>
      </c>
      <c r="U10" s="178">
        <v>3855</v>
      </c>
      <c r="V10" s="178">
        <v>3800</v>
      </c>
      <c r="W10" s="101">
        <f>((V10/G10)^(1/($K$2-$K$1) ))-1</f>
        <v>0.57767865649215833</v>
      </c>
      <c r="X10" s="21">
        <f t="shared" si="6"/>
        <v>0.15</v>
      </c>
      <c r="Y10" s="130">
        <f t="shared" si="7"/>
        <v>4433.25</v>
      </c>
      <c r="Z10" s="130">
        <f t="shared" ref="Z10:AH10" si="18">Y10*(1+$X10)</f>
        <v>5098.2374999999993</v>
      </c>
      <c r="AA10" s="130">
        <f t="shared" si="18"/>
        <v>5862.9731249999986</v>
      </c>
      <c r="AB10" s="130">
        <f t="shared" si="18"/>
        <v>6742.419093749998</v>
      </c>
      <c r="AC10" s="130">
        <f t="shared" si="18"/>
        <v>7753.7819578124972</v>
      </c>
      <c r="AD10" s="130">
        <f t="shared" si="18"/>
        <v>8916.8492514843711</v>
      </c>
      <c r="AE10" s="130">
        <f t="shared" si="18"/>
        <v>10254.376639207027</v>
      </c>
      <c r="AF10" s="130">
        <f t="shared" si="18"/>
        <v>11792.533135088079</v>
      </c>
      <c r="AG10" s="130">
        <f t="shared" si="18"/>
        <v>13561.41310535129</v>
      </c>
      <c r="AH10" s="130">
        <f t="shared" si="18"/>
        <v>15595.625071153983</v>
      </c>
      <c r="AI10" s="115">
        <f t="shared" si="2"/>
        <v>0.32457324131754328</v>
      </c>
      <c r="AJ10" s="21">
        <f t="shared" si="17"/>
        <v>0.01</v>
      </c>
      <c r="AK10" s="123" t="e">
        <f>(AH10*(1+AJ10))/($O$1-AJ10)</f>
        <v>#DIV/0!</v>
      </c>
    </row>
    <row r="11" spans="2:37">
      <c r="B11" s="10"/>
      <c r="C11" s="118"/>
      <c r="D11" s="118"/>
      <c r="E11" s="124"/>
      <c r="F11" s="266"/>
      <c r="G11" s="266">
        <f>(G10-F10)/G10</f>
        <v>1</v>
      </c>
      <c r="H11" s="266" t="e">
        <f t="shared" ref="H11:R11" si="19">(H10-G10)/H10</f>
        <v>#DIV/0!</v>
      </c>
      <c r="I11" s="266" t="e">
        <f t="shared" si="19"/>
        <v>#DIV/0!</v>
      </c>
      <c r="J11" s="266" t="e">
        <f t="shared" si="19"/>
        <v>#DIV/0!</v>
      </c>
      <c r="K11" s="266" t="e">
        <f t="shared" si="19"/>
        <v>#DIV/0!</v>
      </c>
      <c r="L11" s="266" t="e">
        <f t="shared" si="19"/>
        <v>#DIV/0!</v>
      </c>
      <c r="M11" s="266" t="e">
        <f t="shared" si="19"/>
        <v>#DIV/0!</v>
      </c>
      <c r="N11" s="266">
        <f t="shared" si="19"/>
        <v>1</v>
      </c>
      <c r="O11" s="266">
        <f t="shared" si="19"/>
        <v>0.88242280285035635</v>
      </c>
      <c r="P11" s="266">
        <f t="shared" si="19"/>
        <v>0.37997054491899851</v>
      </c>
      <c r="Q11" s="266">
        <f t="shared" si="19"/>
        <v>0</v>
      </c>
      <c r="R11" s="266">
        <f t="shared" si="19"/>
        <v>0.30608073582013284</v>
      </c>
      <c r="S11" s="127">
        <f t="shared" ref="S11:U11" si="20">(S10-R10)/R10</f>
        <v>0.15380684721512519</v>
      </c>
      <c r="T11" s="127">
        <f t="shared" si="20"/>
        <v>0.19441984056687334</v>
      </c>
      <c r="U11" s="127">
        <f t="shared" si="20"/>
        <v>0.42936596218020023</v>
      </c>
      <c r="V11" s="127">
        <f t="shared" ref="V11" si="21">(V10-U10)/U10</f>
        <v>-1.4267185473411154E-2</v>
      </c>
      <c r="W11" s="10"/>
      <c r="X11" s="1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14"/>
      <c r="AJ11" s="114"/>
      <c r="AK11" s="114"/>
    </row>
    <row r="12" spans="2:37">
      <c r="B12" s="10" t="s">
        <v>2</v>
      </c>
      <c r="C12" s="118"/>
      <c r="D12" s="118"/>
      <c r="E12" s="124"/>
      <c r="F12" s="124"/>
      <c r="G12" s="124">
        <f>N12</f>
        <v>45</v>
      </c>
      <c r="H12" s="124"/>
      <c r="I12" s="124"/>
      <c r="J12" s="124"/>
      <c r="K12" s="124"/>
      <c r="L12" s="124"/>
      <c r="M12" s="124"/>
      <c r="N12" s="124">
        <v>45</v>
      </c>
      <c r="O12" s="124">
        <v>282</v>
      </c>
      <c r="P12" s="124">
        <v>468</v>
      </c>
      <c r="Q12" s="124">
        <v>468</v>
      </c>
      <c r="R12" s="124">
        <v>485</v>
      </c>
      <c r="S12" s="178">
        <v>359</v>
      </c>
      <c r="T12" s="178">
        <v>65</v>
      </c>
      <c r="U12" s="178">
        <v>122</v>
      </c>
      <c r="V12" s="178">
        <v>1083</v>
      </c>
      <c r="W12" s="101">
        <f>((V12/G12)^(1/($K$2-$K$1) ))-1</f>
        <v>0.48825377510341617</v>
      </c>
      <c r="X12" s="21">
        <f t="shared" si="6"/>
        <v>0.15</v>
      </c>
      <c r="Y12" s="130">
        <f t="shared" si="7"/>
        <v>140.29999999999998</v>
      </c>
      <c r="Z12" s="130">
        <f t="shared" ref="Z12:AH12" si="22">Y12*(1+$X12)</f>
        <v>161.34499999999997</v>
      </c>
      <c r="AA12" s="130">
        <f t="shared" si="22"/>
        <v>185.54674999999995</v>
      </c>
      <c r="AB12" s="130">
        <f t="shared" si="22"/>
        <v>213.37876249999991</v>
      </c>
      <c r="AC12" s="130">
        <f t="shared" si="22"/>
        <v>245.38557687499988</v>
      </c>
      <c r="AD12" s="130">
        <f t="shared" si="22"/>
        <v>282.19341340624982</v>
      </c>
      <c r="AE12" s="130">
        <f t="shared" si="22"/>
        <v>324.52242541718726</v>
      </c>
      <c r="AF12" s="130">
        <f t="shared" si="22"/>
        <v>373.20078922976535</v>
      </c>
      <c r="AG12" s="130">
        <f t="shared" si="22"/>
        <v>429.18090761423014</v>
      </c>
      <c r="AH12" s="130">
        <f t="shared" si="22"/>
        <v>493.55804375636461</v>
      </c>
      <c r="AI12" s="115">
        <f t="shared" si="2"/>
        <v>0.1423120609160442</v>
      </c>
      <c r="AJ12" s="21">
        <f t="shared" si="17"/>
        <v>0.01</v>
      </c>
      <c r="AK12" s="123" t="e">
        <f t="shared" ref="AK12:AK74" si="23">(AH12*(1+AJ12))/($O$1-AJ12)</f>
        <v>#DIV/0!</v>
      </c>
    </row>
    <row r="13" spans="2:37">
      <c r="B13" s="10" t="s">
        <v>191</v>
      </c>
      <c r="C13" s="118"/>
      <c r="D13" s="118"/>
      <c r="E13" s="124"/>
      <c r="F13" s="124"/>
      <c r="G13" s="124">
        <f>N13</f>
        <v>129</v>
      </c>
      <c r="H13" s="124"/>
      <c r="I13" s="124"/>
      <c r="J13" s="124"/>
      <c r="K13" s="124"/>
      <c r="L13" s="124"/>
      <c r="M13" s="124"/>
      <c r="N13" s="124">
        <v>129</v>
      </c>
      <c r="O13" s="124">
        <v>114</v>
      </c>
      <c r="P13" s="124">
        <v>60</v>
      </c>
      <c r="Q13" s="124">
        <v>60</v>
      </c>
      <c r="R13" s="124">
        <v>54</v>
      </c>
      <c r="S13" s="178">
        <v>0</v>
      </c>
      <c r="T13" s="178">
        <v>187</v>
      </c>
      <c r="U13" s="178">
        <v>1049</v>
      </c>
      <c r="V13" s="178">
        <v>300</v>
      </c>
      <c r="W13" s="101">
        <f t="shared" ref="W13:W67" si="24">((V13/G13)^(1/($K$2-$K$1) ))-1</f>
        <v>0.11126194704722803</v>
      </c>
      <c r="X13" s="21">
        <f t="shared" si="6"/>
        <v>0.15</v>
      </c>
      <c r="Y13" s="130">
        <f t="shared" si="7"/>
        <v>1206.3499999999999</v>
      </c>
      <c r="Z13" s="130">
        <f t="shared" ref="Z13:AH13" si="25">Y13*(1+$X13)</f>
        <v>1387.3024999999998</v>
      </c>
      <c r="AA13" s="130">
        <f t="shared" si="25"/>
        <v>1595.3978749999997</v>
      </c>
      <c r="AB13" s="130">
        <f t="shared" si="25"/>
        <v>1834.7075562499995</v>
      </c>
      <c r="AC13" s="130">
        <f t="shared" si="25"/>
        <v>2109.9136896874993</v>
      </c>
      <c r="AD13" s="130">
        <f t="shared" si="25"/>
        <v>2426.4007431406239</v>
      </c>
      <c r="AE13" s="130">
        <f t="shared" si="25"/>
        <v>2790.3608546117175</v>
      </c>
      <c r="AF13" s="130">
        <f t="shared" si="25"/>
        <v>3208.9149828034747</v>
      </c>
      <c r="AG13" s="130">
        <f t="shared" si="25"/>
        <v>3690.2522302239954</v>
      </c>
      <c r="AH13" s="130">
        <f t="shared" si="25"/>
        <v>4243.7900647575943</v>
      </c>
      <c r="AI13" s="115">
        <f t="shared" si="2"/>
        <v>0.21419069123179568</v>
      </c>
      <c r="AJ13" s="21">
        <f t="shared" si="17"/>
        <v>0.01</v>
      </c>
      <c r="AK13" s="123" t="e">
        <f t="shared" si="23"/>
        <v>#DIV/0!</v>
      </c>
    </row>
    <row r="14" spans="2:37">
      <c r="B14" s="10" t="s">
        <v>315</v>
      </c>
      <c r="C14" s="118"/>
      <c r="D14" s="118"/>
      <c r="E14" s="124"/>
      <c r="F14" s="124"/>
      <c r="G14" s="124">
        <f>N14</f>
        <v>0</v>
      </c>
      <c r="H14" s="124"/>
      <c r="I14" s="124"/>
      <c r="J14" s="124"/>
      <c r="K14" s="124"/>
      <c r="L14" s="124"/>
      <c r="M14" s="124"/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78">
        <v>0</v>
      </c>
      <c r="T14" s="178">
        <v>0</v>
      </c>
      <c r="U14" s="178">
        <v>0</v>
      </c>
      <c r="V14" s="178"/>
      <c r="W14" s="101" t="e">
        <f t="shared" si="24"/>
        <v>#DIV/0!</v>
      </c>
      <c r="X14" s="21">
        <f t="shared" si="6"/>
        <v>0.15</v>
      </c>
      <c r="Y14" s="130">
        <f t="shared" si="7"/>
        <v>0</v>
      </c>
      <c r="Z14" s="130">
        <f t="shared" ref="Z14" si="26">Y14*(1+$X14)</f>
        <v>0</v>
      </c>
      <c r="AA14" s="130">
        <f t="shared" ref="AA14" si="27">Z14*(1+$X14)</f>
        <v>0</v>
      </c>
      <c r="AB14" s="130">
        <f t="shared" ref="AB14" si="28">AA14*(1+$X14)</f>
        <v>0</v>
      </c>
      <c r="AC14" s="130">
        <f t="shared" ref="AC14" si="29">AB14*(1+$X14)</f>
        <v>0</v>
      </c>
      <c r="AD14" s="130">
        <f t="shared" ref="AD14" si="30">AC14*(1+$X14)</f>
        <v>0</v>
      </c>
      <c r="AE14" s="130">
        <f t="shared" ref="AE14" si="31">AD14*(1+$X14)</f>
        <v>0</v>
      </c>
      <c r="AF14" s="130">
        <f t="shared" ref="AF14" si="32">AE14*(1+$X14)</f>
        <v>0</v>
      </c>
      <c r="AG14" s="130">
        <f t="shared" ref="AG14" si="33">AF14*(1+$X14)</f>
        <v>0</v>
      </c>
      <c r="AH14" s="130">
        <f t="shared" ref="AH14" si="34">AG14*(1+$X14)</f>
        <v>0</v>
      </c>
      <c r="AI14" s="115" t="e">
        <f t="shared" si="2"/>
        <v>#DIV/0!</v>
      </c>
      <c r="AJ14" s="21">
        <f t="shared" si="17"/>
        <v>0.01</v>
      </c>
      <c r="AK14" s="123" t="e">
        <f t="shared" si="23"/>
        <v>#DIV/0!</v>
      </c>
    </row>
    <row r="15" spans="2:37">
      <c r="B15" s="10" t="s">
        <v>11</v>
      </c>
      <c r="C15" s="118"/>
      <c r="D15" s="118"/>
      <c r="E15" s="124"/>
      <c r="F15" s="124"/>
      <c r="G15" s="124">
        <f>N15</f>
        <v>45</v>
      </c>
      <c r="H15" s="124"/>
      <c r="I15" s="124"/>
      <c r="J15" s="124"/>
      <c r="K15" s="124"/>
      <c r="L15" s="124"/>
      <c r="M15" s="124"/>
      <c r="N15" s="124">
        <v>45</v>
      </c>
      <c r="O15" s="124">
        <v>282</v>
      </c>
      <c r="P15" s="124">
        <v>468</v>
      </c>
      <c r="Q15" s="124">
        <v>468</v>
      </c>
      <c r="R15" s="124">
        <v>485</v>
      </c>
      <c r="S15" s="178">
        <v>359</v>
      </c>
      <c r="T15" s="178">
        <v>65</v>
      </c>
      <c r="U15" s="178">
        <v>122</v>
      </c>
      <c r="V15" s="178">
        <v>122</v>
      </c>
      <c r="W15" s="101">
        <f t="shared" si="24"/>
        <v>0.13277437115782376</v>
      </c>
      <c r="X15" s="21">
        <f t="shared" si="6"/>
        <v>0.15</v>
      </c>
      <c r="Y15" s="130">
        <f t="shared" si="7"/>
        <v>140.29999999999998</v>
      </c>
      <c r="Z15" s="130">
        <f t="shared" ref="Z15:AH15" si="35">Y15*(1+$X15)</f>
        <v>161.34499999999997</v>
      </c>
      <c r="AA15" s="130">
        <f t="shared" si="35"/>
        <v>185.54674999999995</v>
      </c>
      <c r="AB15" s="130">
        <f t="shared" si="35"/>
        <v>213.37876249999991</v>
      </c>
      <c r="AC15" s="130">
        <f t="shared" si="35"/>
        <v>245.38557687499988</v>
      </c>
      <c r="AD15" s="130">
        <f t="shared" si="35"/>
        <v>282.19341340624982</v>
      </c>
      <c r="AE15" s="130">
        <f t="shared" si="35"/>
        <v>324.52242541718726</v>
      </c>
      <c r="AF15" s="130">
        <f t="shared" si="35"/>
        <v>373.20078922976535</v>
      </c>
      <c r="AG15" s="130">
        <f t="shared" si="35"/>
        <v>429.18090761423014</v>
      </c>
      <c r="AH15" s="130">
        <f t="shared" si="35"/>
        <v>493.55804375636461</v>
      </c>
      <c r="AI15" s="115">
        <f t="shared" si="2"/>
        <v>0.1423120609160442</v>
      </c>
      <c r="AJ15" s="21">
        <f t="shared" si="17"/>
        <v>0.01</v>
      </c>
      <c r="AK15" s="123" t="e">
        <f t="shared" si="23"/>
        <v>#DIV/0!</v>
      </c>
    </row>
    <row r="16" spans="2:37">
      <c r="B16" s="10" t="s">
        <v>12</v>
      </c>
      <c r="C16" s="118"/>
      <c r="D16" s="118"/>
      <c r="E16" s="124"/>
      <c r="F16" s="124"/>
      <c r="G16" s="124">
        <f>N16</f>
        <v>902</v>
      </c>
      <c r="H16" s="124"/>
      <c r="I16" s="124"/>
      <c r="J16" s="124"/>
      <c r="K16" s="124"/>
      <c r="L16" s="124"/>
      <c r="M16" s="124"/>
      <c r="N16" s="124">
        <v>902</v>
      </c>
      <c r="O16" s="124">
        <v>1751</v>
      </c>
      <c r="P16" s="124">
        <v>2432</v>
      </c>
      <c r="Q16" s="124">
        <v>2432</v>
      </c>
      <c r="R16" s="124">
        <v>3187</v>
      </c>
      <c r="S16" s="178">
        <v>3796</v>
      </c>
      <c r="T16" s="178">
        <v>4404</v>
      </c>
      <c r="U16" s="178">
        <v>4890</v>
      </c>
      <c r="V16" s="178">
        <v>4890</v>
      </c>
      <c r="W16" s="101">
        <f t="shared" si="24"/>
        <v>0.23527254852978929</v>
      </c>
      <c r="X16" s="21">
        <f t="shared" si="6"/>
        <v>0.15</v>
      </c>
      <c r="Y16" s="130">
        <f t="shared" si="7"/>
        <v>5623.5</v>
      </c>
      <c r="Z16" s="130">
        <f t="shared" ref="Z16:AH16" si="36">Y16*(1+$X16)</f>
        <v>6467.0249999999996</v>
      </c>
      <c r="AA16" s="130">
        <f t="shared" si="36"/>
        <v>7437.0787499999988</v>
      </c>
      <c r="AB16" s="130">
        <f t="shared" si="36"/>
        <v>8552.640562499997</v>
      </c>
      <c r="AC16" s="130">
        <f t="shared" si="36"/>
        <v>9835.5366468749962</v>
      </c>
      <c r="AD16" s="130">
        <f t="shared" si="36"/>
        <v>11310.867143906245</v>
      </c>
      <c r="AE16" s="130">
        <f t="shared" si="36"/>
        <v>13007.497215492182</v>
      </c>
      <c r="AF16" s="130">
        <f t="shared" si="36"/>
        <v>14958.621797816008</v>
      </c>
      <c r="AG16" s="130">
        <f t="shared" si="36"/>
        <v>17202.415067488408</v>
      </c>
      <c r="AH16" s="130">
        <f t="shared" si="36"/>
        <v>19782.777327611668</v>
      </c>
      <c r="AI16" s="115">
        <f t="shared" si="2"/>
        <v>0.18714696001730036</v>
      </c>
      <c r="AJ16" s="21">
        <f t="shared" si="17"/>
        <v>0.01</v>
      </c>
      <c r="AK16" s="123" t="e">
        <f t="shared" si="23"/>
        <v>#DIV/0!</v>
      </c>
    </row>
    <row r="17" spans="2:37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78"/>
      <c r="T17" s="178"/>
      <c r="U17" s="178"/>
      <c r="V17" s="178"/>
      <c r="W17" s="10"/>
      <c r="X17" s="1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14"/>
      <c r="AJ17" s="114"/>
      <c r="AK17" s="114"/>
    </row>
    <row r="18" spans="2:37">
      <c r="B18" s="10" t="s">
        <v>228</v>
      </c>
      <c r="C18" s="118"/>
      <c r="D18" s="118"/>
      <c r="E18" s="124"/>
      <c r="F18" s="124"/>
      <c r="G18" s="124">
        <f>N18</f>
        <v>2</v>
      </c>
      <c r="H18" s="124"/>
      <c r="I18" s="124"/>
      <c r="J18" s="124"/>
      <c r="K18" s="124"/>
      <c r="L18" s="124"/>
      <c r="M18" s="124"/>
      <c r="N18" s="124">
        <v>2</v>
      </c>
      <c r="O18" s="124">
        <v>2</v>
      </c>
      <c r="P18" s="124">
        <v>1</v>
      </c>
      <c r="Q18" s="124">
        <v>1</v>
      </c>
      <c r="R18" s="124">
        <v>1</v>
      </c>
      <c r="S18" s="178">
        <v>3</v>
      </c>
      <c r="T18" s="178">
        <v>9</v>
      </c>
      <c r="U18" s="178">
        <v>53</v>
      </c>
      <c r="V18" s="178">
        <v>53</v>
      </c>
      <c r="W18" s="101">
        <f t="shared" si="24"/>
        <v>0.50628008518478618</v>
      </c>
      <c r="X18" s="21">
        <f t="shared" si="6"/>
        <v>0.15</v>
      </c>
      <c r="Y18" s="130">
        <f t="shared" si="7"/>
        <v>60.949999999999996</v>
      </c>
      <c r="Z18" s="130">
        <f t="shared" ref="Z18:Z34" si="37">Y18*(1+$X18)</f>
        <v>70.092499999999987</v>
      </c>
      <c r="AA18" s="130">
        <f t="shared" ref="AA18:AA34" si="38">Z18*(1+$X18)</f>
        <v>80.606374999999986</v>
      </c>
      <c r="AB18" s="130">
        <f t="shared" ref="AB18:AB34" si="39">AA18*(1+$X18)</f>
        <v>92.697331249999976</v>
      </c>
      <c r="AC18" s="130">
        <f t="shared" ref="AC18:AC53" si="40">AB18*(1+$X18)</f>
        <v>106.60193093749996</v>
      </c>
      <c r="AD18" s="130">
        <f t="shared" ref="AD18:AD53" si="41">AC18*(1+$X18)</f>
        <v>122.59222057812494</v>
      </c>
      <c r="AE18" s="130">
        <f t="shared" ref="AE18:AE53" si="42">AD18*(1+$X18)</f>
        <v>140.98105366484367</v>
      </c>
      <c r="AF18" s="130">
        <f t="shared" ref="AF18:AF53" si="43">AE18*(1+$X18)</f>
        <v>162.1282117145702</v>
      </c>
      <c r="AG18" s="130">
        <f t="shared" ref="AG18:AG53" si="44">AF18*(1+$X18)</f>
        <v>186.44744347175572</v>
      </c>
      <c r="AH18" s="130">
        <f t="shared" ref="AH18:AH53" si="45">AG18*(1+$X18)</f>
        <v>214.41455999251906</v>
      </c>
      <c r="AI18" s="115">
        <f t="shared" si="2"/>
        <v>0.29655289026968257</v>
      </c>
      <c r="AJ18" s="21">
        <f t="shared" si="17"/>
        <v>0.01</v>
      </c>
      <c r="AK18" s="123" t="e">
        <f t="shared" si="23"/>
        <v>#DIV/0!</v>
      </c>
    </row>
    <row r="19" spans="2:37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78"/>
      <c r="T19" s="178"/>
      <c r="U19" s="178"/>
      <c r="V19" s="178"/>
      <c r="W19" s="10"/>
      <c r="X19" s="1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14"/>
      <c r="AJ19" s="114"/>
      <c r="AK19" s="114"/>
    </row>
    <row r="20" spans="2:37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78"/>
      <c r="T20" s="178"/>
      <c r="U20" s="178"/>
      <c r="V20" s="178"/>
      <c r="W20" s="101" t="e">
        <f t="shared" si="24"/>
        <v>#DIV/0!</v>
      </c>
      <c r="X20" s="21">
        <f t="shared" si="6"/>
        <v>0.15</v>
      </c>
      <c r="Y20" s="130">
        <f t="shared" si="7"/>
        <v>0</v>
      </c>
      <c r="Z20" s="130">
        <f t="shared" ref="Z20:Z22" si="46">Y20*(1+$X20)</f>
        <v>0</v>
      </c>
      <c r="AA20" s="130">
        <f t="shared" ref="AA20:AA22" si="47">Z20*(1+$X20)</f>
        <v>0</v>
      </c>
      <c r="AB20" s="130">
        <f t="shared" ref="AB20:AB22" si="48">AA20*(1+$X20)</f>
        <v>0</v>
      </c>
      <c r="AC20" s="130">
        <f t="shared" ref="AC20:AC22" si="49">AB20*(1+$X20)</f>
        <v>0</v>
      </c>
      <c r="AD20" s="130">
        <f t="shared" ref="AD20:AD22" si="50">AC20*(1+$X20)</f>
        <v>0</v>
      </c>
      <c r="AE20" s="130">
        <f t="shared" ref="AE20:AE22" si="51">AD20*(1+$X20)</f>
        <v>0</v>
      </c>
      <c r="AF20" s="130">
        <f t="shared" ref="AF20:AF22" si="52">AE20*(1+$X20)</f>
        <v>0</v>
      </c>
      <c r="AG20" s="130">
        <f t="shared" ref="AG20:AG22" si="53">AF20*(1+$X20)</f>
        <v>0</v>
      </c>
      <c r="AH20" s="130">
        <f t="shared" ref="AH20:AH22" si="54">AG20*(1+$X20)</f>
        <v>0</v>
      </c>
      <c r="AI20" s="115" t="e">
        <f t="shared" si="2"/>
        <v>#DIV/0!</v>
      </c>
      <c r="AJ20" s="21">
        <f t="shared" si="17"/>
        <v>0.01</v>
      </c>
      <c r="AK20" s="123" t="e">
        <f t="shared" si="23"/>
        <v>#DIV/0!</v>
      </c>
    </row>
    <row r="21" spans="2:37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78"/>
      <c r="T21" s="178"/>
      <c r="U21" s="178"/>
      <c r="V21" s="178"/>
      <c r="W21" s="101" t="e">
        <f t="shared" si="24"/>
        <v>#DIV/0!</v>
      </c>
      <c r="X21" s="21">
        <f t="shared" si="6"/>
        <v>0.15</v>
      </c>
      <c r="Y21" s="130">
        <f t="shared" si="7"/>
        <v>0</v>
      </c>
      <c r="Z21" s="130">
        <f t="shared" si="46"/>
        <v>0</v>
      </c>
      <c r="AA21" s="130">
        <f t="shared" si="47"/>
        <v>0</v>
      </c>
      <c r="AB21" s="130">
        <f t="shared" si="48"/>
        <v>0</v>
      </c>
      <c r="AC21" s="130">
        <f t="shared" si="49"/>
        <v>0</v>
      </c>
      <c r="AD21" s="130">
        <f t="shared" si="50"/>
        <v>0</v>
      </c>
      <c r="AE21" s="130">
        <f t="shared" si="51"/>
        <v>0</v>
      </c>
      <c r="AF21" s="130">
        <f t="shared" si="52"/>
        <v>0</v>
      </c>
      <c r="AG21" s="130">
        <f t="shared" si="53"/>
        <v>0</v>
      </c>
      <c r="AH21" s="130">
        <f t="shared" si="54"/>
        <v>0</v>
      </c>
      <c r="AI21" s="115" t="e">
        <f t="shared" si="2"/>
        <v>#DIV/0!</v>
      </c>
      <c r="AJ21" s="21">
        <f t="shared" si="17"/>
        <v>0.01</v>
      </c>
      <c r="AK21" s="123" t="e">
        <f t="shared" si="23"/>
        <v>#DIV/0!</v>
      </c>
    </row>
    <row r="22" spans="2:37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78"/>
      <c r="T22" s="178"/>
      <c r="U22" s="178"/>
      <c r="V22" s="178"/>
      <c r="W22" s="101" t="e">
        <f t="shared" si="24"/>
        <v>#DIV/0!</v>
      </c>
      <c r="X22" s="21">
        <f t="shared" si="6"/>
        <v>0.15</v>
      </c>
      <c r="Y22" s="130">
        <f t="shared" si="7"/>
        <v>0</v>
      </c>
      <c r="Z22" s="130">
        <f t="shared" si="46"/>
        <v>0</v>
      </c>
      <c r="AA22" s="130">
        <f t="shared" si="47"/>
        <v>0</v>
      </c>
      <c r="AB22" s="130">
        <f t="shared" si="48"/>
        <v>0</v>
      </c>
      <c r="AC22" s="130">
        <f t="shared" si="49"/>
        <v>0</v>
      </c>
      <c r="AD22" s="130">
        <f t="shared" si="50"/>
        <v>0</v>
      </c>
      <c r="AE22" s="130">
        <f t="shared" si="51"/>
        <v>0</v>
      </c>
      <c r="AF22" s="130">
        <f t="shared" si="52"/>
        <v>0</v>
      </c>
      <c r="AG22" s="130">
        <f t="shared" si="53"/>
        <v>0</v>
      </c>
      <c r="AH22" s="130">
        <f t="shared" si="54"/>
        <v>0</v>
      </c>
      <c r="AI22" s="115" t="e">
        <f t="shared" si="2"/>
        <v>#DIV/0!</v>
      </c>
      <c r="AJ22" s="21">
        <f t="shared" si="17"/>
        <v>0.01</v>
      </c>
      <c r="AK22" s="123" t="e">
        <f t="shared" si="23"/>
        <v>#DIV/0!</v>
      </c>
    </row>
    <row r="23" spans="2:37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78"/>
      <c r="T23" s="178"/>
      <c r="U23" s="178"/>
      <c r="V23" s="178"/>
      <c r="W23" s="101" t="e">
        <f t="shared" si="24"/>
        <v>#DIV/0!</v>
      </c>
      <c r="X23" s="21">
        <f t="shared" si="6"/>
        <v>0.15</v>
      </c>
      <c r="Y23" s="130">
        <f t="shared" si="7"/>
        <v>0</v>
      </c>
      <c r="Z23" s="130">
        <f t="shared" ref="Z23" si="55">Y23*(1+$X23)</f>
        <v>0</v>
      </c>
      <c r="AA23" s="130">
        <f t="shared" ref="AA23" si="56">Z23*(1+$X23)</f>
        <v>0</v>
      </c>
      <c r="AB23" s="130">
        <f t="shared" ref="AB23" si="57">AA23*(1+$X23)</f>
        <v>0</v>
      </c>
      <c r="AC23" s="130">
        <f t="shared" ref="AC23" si="58">AB23*(1+$X23)</f>
        <v>0</v>
      </c>
      <c r="AD23" s="130">
        <f t="shared" ref="AD23" si="59">AC23*(1+$X23)</f>
        <v>0</v>
      </c>
      <c r="AE23" s="130">
        <f t="shared" ref="AE23" si="60">AD23*(1+$X23)</f>
        <v>0</v>
      </c>
      <c r="AF23" s="130">
        <f t="shared" ref="AF23" si="61">AE23*(1+$X23)</f>
        <v>0</v>
      </c>
      <c r="AG23" s="130">
        <f t="shared" ref="AG23" si="62">AF23*(1+$X23)</f>
        <v>0</v>
      </c>
      <c r="AH23" s="130">
        <f t="shared" ref="AH23" si="63">AG23*(1+$X23)</f>
        <v>0</v>
      </c>
      <c r="AI23" s="115" t="e">
        <f t="shared" si="2"/>
        <v>#DIV/0!</v>
      </c>
      <c r="AJ23" s="21">
        <f t="shared" si="17"/>
        <v>0.01</v>
      </c>
      <c r="AK23" s="123" t="e">
        <f t="shared" si="23"/>
        <v>#DIV/0!</v>
      </c>
    </row>
    <row r="24" spans="2:37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78"/>
      <c r="T24" s="178"/>
      <c r="U24" s="178"/>
      <c r="V24" s="178"/>
      <c r="W24" s="10"/>
      <c r="X24" s="1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14"/>
      <c r="AJ24" s="114"/>
      <c r="AK24" s="114"/>
    </row>
    <row r="25" spans="2:37">
      <c r="B25" s="10" t="s">
        <v>68</v>
      </c>
      <c r="C25" s="118"/>
      <c r="D25" s="118"/>
      <c r="E25" s="124"/>
      <c r="F25" s="124"/>
      <c r="G25" s="124">
        <f>N25</f>
        <v>89</v>
      </c>
      <c r="H25" s="124"/>
      <c r="I25" s="124"/>
      <c r="J25" s="124"/>
      <c r="K25" s="124"/>
      <c r="L25" s="124"/>
      <c r="M25" s="124"/>
      <c r="N25" s="124">
        <v>89</v>
      </c>
      <c r="O25" s="124">
        <v>89</v>
      </c>
      <c r="P25" s="124">
        <v>241</v>
      </c>
      <c r="Q25" s="124">
        <v>397</v>
      </c>
      <c r="R25" s="124">
        <v>528</v>
      </c>
      <c r="S25" s="124">
        <v>644</v>
      </c>
      <c r="T25" s="178">
        <v>720</v>
      </c>
      <c r="U25" s="178">
        <v>830</v>
      </c>
      <c r="V25" s="178">
        <v>1205</v>
      </c>
      <c r="W25" s="101">
        <f t="shared" si="24"/>
        <v>0.38499954279048909</v>
      </c>
      <c r="X25" s="21">
        <f t="shared" si="6"/>
        <v>0.15</v>
      </c>
      <c r="Y25" s="130">
        <f t="shared" si="7"/>
        <v>954.49999999999989</v>
      </c>
      <c r="Z25" s="130">
        <f t="shared" si="37"/>
        <v>1097.6749999999997</v>
      </c>
      <c r="AA25" s="130">
        <f t="shared" si="38"/>
        <v>1262.3262499999996</v>
      </c>
      <c r="AB25" s="130">
        <f t="shared" si="39"/>
        <v>1451.6751874999995</v>
      </c>
      <c r="AC25" s="130">
        <f t="shared" si="40"/>
        <v>1669.4264656249993</v>
      </c>
      <c r="AD25" s="130">
        <f t="shared" si="41"/>
        <v>1919.8404354687491</v>
      </c>
      <c r="AE25" s="130">
        <f t="shared" si="42"/>
        <v>2207.8165007890611</v>
      </c>
      <c r="AF25" s="130">
        <f t="shared" si="43"/>
        <v>2538.9889759074199</v>
      </c>
      <c r="AG25" s="130">
        <f t="shared" si="44"/>
        <v>2919.8373222935325</v>
      </c>
      <c r="AH25" s="130">
        <f t="shared" si="45"/>
        <v>3357.812920637562</v>
      </c>
      <c r="AI25" s="115">
        <f t="shared" si="2"/>
        <v>0.22346790968792574</v>
      </c>
      <c r="AJ25" s="21">
        <f t="shared" si="17"/>
        <v>0.01</v>
      </c>
      <c r="AK25" s="123" t="e">
        <f t="shared" si="23"/>
        <v>#DIV/0!</v>
      </c>
    </row>
    <row r="26" spans="2:37" s="106" customFormat="1">
      <c r="B26" s="13"/>
      <c r="C26" s="125"/>
      <c r="D26" s="125"/>
      <c r="E26" s="126"/>
      <c r="F26" s="266"/>
      <c r="G26" s="266">
        <f>(G25-F25)/G25</f>
        <v>1</v>
      </c>
      <c r="H26" s="266" t="e">
        <f>(H25-G25)/H25</f>
        <v>#DIV/0!</v>
      </c>
      <c r="I26" s="266" t="e">
        <f t="shared" ref="I26:R26" si="64">(I25-H25)/I25</f>
        <v>#DIV/0!</v>
      </c>
      <c r="J26" s="266" t="e">
        <f t="shared" si="64"/>
        <v>#DIV/0!</v>
      </c>
      <c r="K26" s="266" t="e">
        <f t="shared" si="64"/>
        <v>#DIV/0!</v>
      </c>
      <c r="L26" s="266" t="e">
        <f t="shared" si="64"/>
        <v>#DIV/0!</v>
      </c>
      <c r="M26" s="266" t="e">
        <f t="shared" si="64"/>
        <v>#DIV/0!</v>
      </c>
      <c r="N26" s="266">
        <f t="shared" si="64"/>
        <v>1</v>
      </c>
      <c r="O26" s="266">
        <f t="shared" si="64"/>
        <v>0</v>
      </c>
      <c r="P26" s="266">
        <f t="shared" si="64"/>
        <v>0.63070539419087135</v>
      </c>
      <c r="Q26" s="266">
        <f t="shared" si="64"/>
        <v>0.39294710327455917</v>
      </c>
      <c r="R26" s="266">
        <f t="shared" si="64"/>
        <v>0.24810606060606061</v>
      </c>
      <c r="S26" s="127">
        <f t="shared" ref="S26:U26" si="65">(S25-R25)/R25</f>
        <v>0.2196969696969697</v>
      </c>
      <c r="T26" s="127">
        <f t="shared" si="65"/>
        <v>0.11801242236024845</v>
      </c>
      <c r="U26" s="127">
        <f t="shared" si="65"/>
        <v>0.15277777777777779</v>
      </c>
      <c r="V26" s="127">
        <f t="shared" ref="V26" si="66">(V25-U25)/U25</f>
        <v>0.45180722891566266</v>
      </c>
      <c r="W26" s="10"/>
      <c r="X26" s="10"/>
      <c r="Y26" s="130"/>
      <c r="Z26" s="131"/>
      <c r="AA26" s="131"/>
      <c r="AB26" s="131"/>
      <c r="AC26" s="131"/>
      <c r="AD26" s="131"/>
      <c r="AE26" s="131"/>
      <c r="AF26" s="131"/>
      <c r="AG26" s="131"/>
      <c r="AH26" s="131"/>
      <c r="AI26" s="114"/>
      <c r="AJ26" s="114"/>
      <c r="AK26" s="114"/>
    </row>
    <row r="27" spans="2:37">
      <c r="B27" s="10" t="s">
        <v>218</v>
      </c>
      <c r="C27" s="118"/>
      <c r="D27" s="118"/>
      <c r="E27" s="124"/>
      <c r="F27" s="124"/>
      <c r="G27" s="124">
        <f>N27</f>
        <v>30</v>
      </c>
      <c r="H27" s="124"/>
      <c r="I27" s="124"/>
      <c r="J27" s="124"/>
      <c r="K27" s="124"/>
      <c r="L27" s="124"/>
      <c r="M27" s="124"/>
      <c r="N27" s="124">
        <v>30</v>
      </c>
      <c r="O27" s="124">
        <v>30</v>
      </c>
      <c r="P27" s="124">
        <v>32</v>
      </c>
      <c r="Q27" s="124">
        <v>33</v>
      </c>
      <c r="R27" s="124">
        <v>40</v>
      </c>
      <c r="S27" s="178">
        <v>58</v>
      </c>
      <c r="T27" s="178">
        <v>70</v>
      </c>
      <c r="U27" s="178">
        <v>132</v>
      </c>
      <c r="V27" s="178">
        <v>250</v>
      </c>
      <c r="W27" s="101">
        <f t="shared" si="24"/>
        <v>0.30347391414140801</v>
      </c>
      <c r="X27" s="21">
        <f t="shared" si="6"/>
        <v>0.15</v>
      </c>
      <c r="Y27" s="130">
        <f t="shared" si="7"/>
        <v>151.79999999999998</v>
      </c>
      <c r="Z27" s="130">
        <f t="shared" si="37"/>
        <v>174.56999999999996</v>
      </c>
      <c r="AA27" s="130">
        <f t="shared" si="38"/>
        <v>200.75549999999996</v>
      </c>
      <c r="AB27" s="130">
        <f t="shared" si="39"/>
        <v>230.86882499999993</v>
      </c>
      <c r="AC27" s="130">
        <f t="shared" si="40"/>
        <v>265.4991487499999</v>
      </c>
      <c r="AD27" s="130">
        <f t="shared" si="41"/>
        <v>305.32402106249987</v>
      </c>
      <c r="AE27" s="130">
        <f t="shared" si="42"/>
        <v>351.12262422187484</v>
      </c>
      <c r="AF27" s="130">
        <f t="shared" si="43"/>
        <v>403.79101785515604</v>
      </c>
      <c r="AG27" s="130">
        <f t="shared" si="44"/>
        <v>464.35967053342944</v>
      </c>
      <c r="AH27" s="130">
        <f t="shared" si="45"/>
        <v>534.01362111344383</v>
      </c>
      <c r="AI27" s="115">
        <f t="shared" si="2"/>
        <v>0.17346027842190637</v>
      </c>
      <c r="AJ27" s="21">
        <f t="shared" si="17"/>
        <v>0.01</v>
      </c>
      <c r="AK27" s="123" t="e">
        <f t="shared" si="23"/>
        <v>#DIV/0!</v>
      </c>
    </row>
    <row r="28" spans="2:37" s="106" customFormat="1">
      <c r="B28" s="13"/>
      <c r="C28" s="125"/>
      <c r="D28" s="125"/>
      <c r="E28" s="126"/>
      <c r="F28" s="266"/>
      <c r="G28" s="266">
        <f t="shared" ref="G28:R28" si="67">(G27-F27)/G27</f>
        <v>1</v>
      </c>
      <c r="H28" s="266" t="e">
        <f t="shared" si="67"/>
        <v>#DIV/0!</v>
      </c>
      <c r="I28" s="266" t="e">
        <f t="shared" si="67"/>
        <v>#DIV/0!</v>
      </c>
      <c r="J28" s="266" t="e">
        <f t="shared" si="67"/>
        <v>#DIV/0!</v>
      </c>
      <c r="K28" s="266" t="e">
        <f t="shared" si="67"/>
        <v>#DIV/0!</v>
      </c>
      <c r="L28" s="266" t="e">
        <f t="shared" si="67"/>
        <v>#DIV/0!</v>
      </c>
      <c r="M28" s="266" t="e">
        <f t="shared" si="67"/>
        <v>#DIV/0!</v>
      </c>
      <c r="N28" s="266">
        <f t="shared" si="67"/>
        <v>1</v>
      </c>
      <c r="O28" s="266">
        <f t="shared" si="67"/>
        <v>0</v>
      </c>
      <c r="P28" s="266">
        <f t="shared" si="67"/>
        <v>6.25E-2</v>
      </c>
      <c r="Q28" s="266">
        <f t="shared" si="67"/>
        <v>3.0303030303030304E-2</v>
      </c>
      <c r="R28" s="266">
        <f t="shared" si="67"/>
        <v>0.17499999999999999</v>
      </c>
      <c r="S28" s="127">
        <f t="shared" ref="S28:U28" si="68">(S27-R27)/R27</f>
        <v>0.45</v>
      </c>
      <c r="T28" s="127">
        <f t="shared" si="68"/>
        <v>0.20689655172413793</v>
      </c>
      <c r="U28" s="127">
        <f t="shared" si="68"/>
        <v>0.88571428571428568</v>
      </c>
      <c r="V28" s="127">
        <f t="shared" ref="V28" si="69">(V27-U27)/U27</f>
        <v>0.89393939393939392</v>
      </c>
      <c r="W28" s="10"/>
      <c r="X28" s="10"/>
      <c r="Y28" s="130"/>
      <c r="Z28" s="131"/>
      <c r="AA28" s="131"/>
      <c r="AB28" s="131"/>
      <c r="AC28" s="131"/>
      <c r="AD28" s="131"/>
      <c r="AE28" s="131"/>
      <c r="AF28" s="131"/>
      <c r="AG28" s="131"/>
      <c r="AH28" s="131"/>
      <c r="AI28" s="114"/>
      <c r="AJ28" s="114"/>
      <c r="AK28" s="114"/>
    </row>
    <row r="29" spans="2:37" s="106" customFormat="1">
      <c r="B29" s="10" t="s">
        <v>268</v>
      </c>
      <c r="C29" s="125"/>
      <c r="D29" s="125"/>
      <c r="E29" s="126"/>
      <c r="F29" s="124"/>
      <c r="G29" s="124">
        <f>N29</f>
        <v>0.3</v>
      </c>
      <c r="H29" s="124"/>
      <c r="I29" s="124"/>
      <c r="J29" s="124"/>
      <c r="K29" s="124"/>
      <c r="L29" s="124"/>
      <c r="M29" s="124"/>
      <c r="N29" s="124">
        <v>0.3</v>
      </c>
      <c r="O29" s="124">
        <v>0.3</v>
      </c>
      <c r="P29" s="124">
        <v>76</v>
      </c>
      <c r="Q29" s="124">
        <v>192</v>
      </c>
      <c r="R29" s="124">
        <v>258</v>
      </c>
      <c r="S29" s="178">
        <v>289</v>
      </c>
      <c r="T29" s="178">
        <v>311</v>
      </c>
      <c r="U29" s="178">
        <v>324</v>
      </c>
      <c r="V29" s="178">
        <v>563</v>
      </c>
      <c r="W29" s="101">
        <f t="shared" si="24"/>
        <v>1.5655081138127529</v>
      </c>
      <c r="X29" s="21">
        <f t="shared" si="6"/>
        <v>0.15</v>
      </c>
      <c r="Y29" s="130">
        <f t="shared" si="7"/>
        <v>372.59999999999997</v>
      </c>
      <c r="Z29" s="130">
        <f t="shared" ref="Z29" si="70">Y29*(1+$X29)</f>
        <v>428.48999999999995</v>
      </c>
      <c r="AA29" s="130">
        <f t="shared" ref="AA29" si="71">Z29*(1+$X29)</f>
        <v>492.76349999999991</v>
      </c>
      <c r="AB29" s="130">
        <f t="shared" ref="AB29" si="72">AA29*(1+$X29)</f>
        <v>566.67802499999982</v>
      </c>
      <c r="AC29" s="130">
        <f t="shared" ref="AC29" si="73">AB29*(1+$X29)</f>
        <v>651.67972874999975</v>
      </c>
      <c r="AD29" s="130">
        <f t="shared" ref="AD29" si="74">AC29*(1+$X29)</f>
        <v>749.43168806249969</v>
      </c>
      <c r="AE29" s="130">
        <f t="shared" ref="AE29" si="75">AD29*(1+$X29)</f>
        <v>861.8464412718746</v>
      </c>
      <c r="AF29" s="130">
        <f t="shared" ref="AF29" si="76">AE29*(1+$X29)</f>
        <v>991.12340746265568</v>
      </c>
      <c r="AG29" s="130">
        <f t="shared" ref="AG29" si="77">AF29*(1+$X29)</f>
        <v>1139.791918582054</v>
      </c>
      <c r="AH29" s="130">
        <f t="shared" ref="AH29" si="78">AG29*(1+$X29)</f>
        <v>1310.760706369362</v>
      </c>
      <c r="AI29" s="115">
        <f t="shared" si="2"/>
        <v>0.59310560056431472</v>
      </c>
      <c r="AJ29" s="21">
        <f t="shared" si="17"/>
        <v>0.01</v>
      </c>
      <c r="AK29" s="123" t="e">
        <f t="shared" si="23"/>
        <v>#DIV/0!</v>
      </c>
    </row>
    <row r="30" spans="2:37" s="106" customFormat="1">
      <c r="B30" s="13"/>
      <c r="C30" s="125"/>
      <c r="D30" s="125"/>
      <c r="E30" s="126"/>
      <c r="F30" s="266"/>
      <c r="G30" s="266">
        <f t="shared" ref="G30:R30" si="79">(G29-F29)/G29</f>
        <v>1</v>
      </c>
      <c r="H30" s="266" t="e">
        <f t="shared" si="79"/>
        <v>#DIV/0!</v>
      </c>
      <c r="I30" s="266" t="e">
        <f t="shared" si="79"/>
        <v>#DIV/0!</v>
      </c>
      <c r="J30" s="266" t="e">
        <f t="shared" si="79"/>
        <v>#DIV/0!</v>
      </c>
      <c r="K30" s="266" t="e">
        <f t="shared" si="79"/>
        <v>#DIV/0!</v>
      </c>
      <c r="L30" s="266" t="e">
        <f t="shared" si="79"/>
        <v>#DIV/0!</v>
      </c>
      <c r="M30" s="266" t="e">
        <f t="shared" si="79"/>
        <v>#DIV/0!</v>
      </c>
      <c r="N30" s="266">
        <f t="shared" si="79"/>
        <v>1</v>
      </c>
      <c r="O30" s="266">
        <f t="shared" si="79"/>
        <v>0</v>
      </c>
      <c r="P30" s="266">
        <f t="shared" si="79"/>
        <v>0.99605263157894741</v>
      </c>
      <c r="Q30" s="266">
        <f t="shared" si="79"/>
        <v>0.60416666666666663</v>
      </c>
      <c r="R30" s="266">
        <f t="shared" si="79"/>
        <v>0.2558139534883721</v>
      </c>
      <c r="S30" s="127">
        <f t="shared" ref="S30:U30" si="80">(S29-R29)/R29</f>
        <v>0.12015503875968993</v>
      </c>
      <c r="T30" s="127">
        <f t="shared" si="80"/>
        <v>7.6124567474048443E-2</v>
      </c>
      <c r="U30" s="127">
        <f t="shared" si="80"/>
        <v>4.1800643086816719E-2</v>
      </c>
      <c r="V30" s="127">
        <f t="shared" ref="V30" si="81">(V29-U29)/U29</f>
        <v>0.73765432098765427</v>
      </c>
      <c r="W30" s="10"/>
      <c r="X30" s="10"/>
      <c r="Y30" s="130"/>
      <c r="Z30" s="131"/>
      <c r="AA30" s="131"/>
      <c r="AB30" s="131"/>
      <c r="AC30" s="131"/>
      <c r="AD30" s="131"/>
      <c r="AE30" s="131"/>
      <c r="AF30" s="131"/>
      <c r="AG30" s="131"/>
      <c r="AH30" s="131"/>
      <c r="AI30" s="114"/>
      <c r="AJ30" s="114"/>
      <c r="AK30" s="114"/>
    </row>
    <row r="31" spans="2:37">
      <c r="B31" s="10" t="s">
        <v>276</v>
      </c>
      <c r="C31" s="118"/>
      <c r="D31" s="118"/>
      <c r="E31" s="124"/>
      <c r="F31" s="124"/>
      <c r="G31" s="124">
        <f>N31</f>
        <v>0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78">
        <v>0</v>
      </c>
      <c r="T31" s="178">
        <v>0</v>
      </c>
      <c r="U31" s="178">
        <v>0</v>
      </c>
      <c r="V31" s="178">
        <v>0</v>
      </c>
      <c r="W31" s="101" t="e">
        <f t="shared" si="24"/>
        <v>#DIV/0!</v>
      </c>
      <c r="X31" s="21">
        <f t="shared" si="6"/>
        <v>0.15</v>
      </c>
      <c r="Y31" s="130">
        <f t="shared" si="7"/>
        <v>0</v>
      </c>
      <c r="Z31" s="130">
        <f>Y31*(1+$X31)</f>
        <v>0</v>
      </c>
      <c r="AA31" s="130">
        <f t="shared" ref="AA31:AH32" si="82">Z31*(1+$X31)</f>
        <v>0</v>
      </c>
      <c r="AB31" s="130">
        <f t="shared" si="82"/>
        <v>0</v>
      </c>
      <c r="AC31" s="130">
        <f t="shared" si="82"/>
        <v>0</v>
      </c>
      <c r="AD31" s="130">
        <f t="shared" si="82"/>
        <v>0</v>
      </c>
      <c r="AE31" s="130">
        <f t="shared" si="82"/>
        <v>0</v>
      </c>
      <c r="AF31" s="130">
        <f t="shared" si="82"/>
        <v>0</v>
      </c>
      <c r="AG31" s="130">
        <f t="shared" si="82"/>
        <v>0</v>
      </c>
      <c r="AH31" s="130">
        <f t="shared" si="82"/>
        <v>0</v>
      </c>
      <c r="AI31" s="115" t="e">
        <f t="shared" si="2"/>
        <v>#DIV/0!</v>
      </c>
      <c r="AJ31" s="21">
        <f t="shared" si="17"/>
        <v>0.01</v>
      </c>
      <c r="AK31" s="123" t="e">
        <f t="shared" si="23"/>
        <v>#DIV/0!</v>
      </c>
    </row>
    <row r="32" spans="2:37">
      <c r="B32" s="10" t="s">
        <v>275</v>
      </c>
      <c r="C32" s="118"/>
      <c r="D32" s="118"/>
      <c r="E32" s="124"/>
      <c r="F32" s="124"/>
      <c r="G32" s="124">
        <f>N32</f>
        <v>0</v>
      </c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78"/>
      <c r="T32" s="178"/>
      <c r="U32" s="178"/>
      <c r="V32" s="178"/>
      <c r="W32" s="101" t="e">
        <f t="shared" si="24"/>
        <v>#DIV/0!</v>
      </c>
      <c r="X32" s="21">
        <f t="shared" si="6"/>
        <v>0.15</v>
      </c>
      <c r="Y32" s="130">
        <f t="shared" si="7"/>
        <v>0</v>
      </c>
      <c r="Z32" s="130">
        <f>Y32*(1+$X32)</f>
        <v>0</v>
      </c>
      <c r="AA32" s="130">
        <f t="shared" si="82"/>
        <v>0</v>
      </c>
      <c r="AB32" s="130">
        <f t="shared" si="82"/>
        <v>0</v>
      </c>
      <c r="AC32" s="130">
        <f t="shared" si="82"/>
        <v>0</v>
      </c>
      <c r="AD32" s="130">
        <f t="shared" si="82"/>
        <v>0</v>
      </c>
      <c r="AE32" s="130">
        <f t="shared" si="82"/>
        <v>0</v>
      </c>
      <c r="AF32" s="130">
        <f t="shared" si="82"/>
        <v>0</v>
      </c>
      <c r="AG32" s="130">
        <f t="shared" si="82"/>
        <v>0</v>
      </c>
      <c r="AH32" s="130">
        <f t="shared" si="82"/>
        <v>0</v>
      </c>
      <c r="AI32" s="115" t="e">
        <f t="shared" si="2"/>
        <v>#DIV/0!</v>
      </c>
      <c r="AJ32" s="21">
        <f t="shared" si="17"/>
        <v>0.01</v>
      </c>
      <c r="AK32" s="123" t="e">
        <f t="shared" si="23"/>
        <v>#DIV/0!</v>
      </c>
    </row>
    <row r="33" spans="1:37">
      <c r="B33" s="10" t="s">
        <v>497</v>
      </c>
      <c r="C33" s="118"/>
      <c r="D33" s="118"/>
      <c r="E33" s="124"/>
      <c r="F33" s="124"/>
      <c r="G33" s="124">
        <f>N33</f>
        <v>0.3</v>
      </c>
      <c r="H33" s="124"/>
      <c r="I33" s="124"/>
      <c r="J33" s="124"/>
      <c r="K33" s="124"/>
      <c r="L33" s="124"/>
      <c r="M33" s="124"/>
      <c r="N33" s="124">
        <v>0.3</v>
      </c>
      <c r="O33" s="124">
        <v>0.3</v>
      </c>
      <c r="P33" s="124">
        <v>76</v>
      </c>
      <c r="Q33" s="124">
        <v>192</v>
      </c>
      <c r="R33" s="124">
        <v>258</v>
      </c>
      <c r="S33" s="178">
        <v>289</v>
      </c>
      <c r="T33" s="178">
        <v>311</v>
      </c>
      <c r="U33" s="178">
        <v>324</v>
      </c>
      <c r="V33" s="178">
        <v>563</v>
      </c>
      <c r="W33" s="101">
        <f t="shared" si="24"/>
        <v>1.5655081138127529</v>
      </c>
      <c r="X33" s="21">
        <f t="shared" si="6"/>
        <v>0.15</v>
      </c>
      <c r="Y33" s="130">
        <f t="shared" si="7"/>
        <v>372.59999999999997</v>
      </c>
      <c r="Z33" s="130">
        <f t="shared" si="37"/>
        <v>428.48999999999995</v>
      </c>
      <c r="AA33" s="130">
        <f t="shared" si="38"/>
        <v>492.76349999999991</v>
      </c>
      <c r="AB33" s="130">
        <f t="shared" si="39"/>
        <v>566.67802499999982</v>
      </c>
      <c r="AC33" s="130">
        <f t="shared" si="40"/>
        <v>651.67972874999975</v>
      </c>
      <c r="AD33" s="130">
        <f t="shared" si="41"/>
        <v>749.43168806249969</v>
      </c>
      <c r="AE33" s="130">
        <f t="shared" si="42"/>
        <v>861.8464412718746</v>
      </c>
      <c r="AF33" s="130">
        <f t="shared" si="43"/>
        <v>991.12340746265568</v>
      </c>
      <c r="AG33" s="130">
        <f t="shared" si="44"/>
        <v>1139.791918582054</v>
      </c>
      <c r="AH33" s="130">
        <f t="shared" si="45"/>
        <v>1310.760706369362</v>
      </c>
      <c r="AI33" s="115">
        <f t="shared" si="2"/>
        <v>0.59310560056431472</v>
      </c>
      <c r="AJ33" s="21">
        <f t="shared" si="17"/>
        <v>0.01</v>
      </c>
      <c r="AK33" s="123" t="e">
        <f t="shared" si="23"/>
        <v>#DIV/0!</v>
      </c>
    </row>
    <row r="34" spans="1:37">
      <c r="B34" s="10" t="s">
        <v>498</v>
      </c>
      <c r="C34" s="118"/>
      <c r="D34" s="118"/>
      <c r="E34" s="124"/>
      <c r="F34" s="124"/>
      <c r="G34" s="124"/>
      <c r="H34" s="124"/>
      <c r="I34" s="124"/>
      <c r="J34" s="124"/>
      <c r="K34" s="124"/>
      <c r="L34" s="124"/>
      <c r="M34" s="124"/>
      <c r="N34" s="124">
        <v>15</v>
      </c>
      <c r="O34" s="124">
        <v>15</v>
      </c>
      <c r="P34" s="124">
        <v>22</v>
      </c>
      <c r="Q34" s="124">
        <v>25</v>
      </c>
      <c r="R34" s="124">
        <v>28</v>
      </c>
      <c r="S34" s="178">
        <v>39</v>
      </c>
      <c r="T34" s="178">
        <v>48</v>
      </c>
      <c r="U34" s="178">
        <v>72</v>
      </c>
      <c r="V34" s="178">
        <v>149</v>
      </c>
      <c r="W34" s="101" t="e">
        <f t="shared" si="24"/>
        <v>#DIV/0!</v>
      </c>
      <c r="X34" s="21">
        <f t="shared" si="6"/>
        <v>0.15</v>
      </c>
      <c r="Y34" s="130">
        <f t="shared" si="7"/>
        <v>82.8</v>
      </c>
      <c r="Z34" s="130">
        <f t="shared" si="37"/>
        <v>95.219999999999985</v>
      </c>
      <c r="AA34" s="130">
        <f t="shared" si="38"/>
        <v>109.50299999999997</v>
      </c>
      <c r="AB34" s="130">
        <f t="shared" si="39"/>
        <v>125.92844999999996</v>
      </c>
      <c r="AC34" s="130">
        <f t="shared" si="40"/>
        <v>144.81771749999993</v>
      </c>
      <c r="AD34" s="130">
        <f t="shared" si="41"/>
        <v>166.54037512499991</v>
      </c>
      <c r="AE34" s="130">
        <f t="shared" si="42"/>
        <v>191.52143139374988</v>
      </c>
      <c r="AF34" s="130">
        <f t="shared" si="43"/>
        <v>220.24964610281233</v>
      </c>
      <c r="AG34" s="130">
        <f t="shared" si="44"/>
        <v>253.28709301823417</v>
      </c>
      <c r="AH34" s="130">
        <f t="shared" si="45"/>
        <v>291.2801569709693</v>
      </c>
      <c r="AI34" s="115" t="e">
        <f t="shared" si="2"/>
        <v>#DIV/0!</v>
      </c>
      <c r="AJ34" s="21">
        <f t="shared" si="17"/>
        <v>0.01</v>
      </c>
      <c r="AK34" s="123" t="e">
        <f t="shared" si="23"/>
        <v>#DIV/0!</v>
      </c>
    </row>
    <row r="35" spans="1:37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0"/>
      <c r="X35" s="124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14"/>
      <c r="AJ35" s="114"/>
      <c r="AK35" s="114"/>
    </row>
    <row r="36" spans="1:37">
      <c r="A36" s="304" t="s">
        <v>417</v>
      </c>
      <c r="B36" s="175" t="s">
        <v>411</v>
      </c>
      <c r="C36" s="118"/>
      <c r="D36" s="118"/>
      <c r="E36" s="124"/>
      <c r="F36" s="178"/>
      <c r="G36" s="178">
        <f t="shared" ref="G36:I36" si="83">H36</f>
        <v>0</v>
      </c>
      <c r="H36" s="178">
        <f t="shared" si="83"/>
        <v>0</v>
      </c>
      <c r="I36" s="178">
        <f t="shared" si="83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0</v>
      </c>
      <c r="T36" s="178">
        <v>0</v>
      </c>
      <c r="U36" s="178">
        <v>0</v>
      </c>
      <c r="V36" s="178">
        <v>0</v>
      </c>
      <c r="W36" s="101" t="e">
        <f t="shared" si="24"/>
        <v>#DIV/0!</v>
      </c>
      <c r="X36" s="21">
        <f t="shared" si="6"/>
        <v>0.15</v>
      </c>
      <c r="Y36" s="130">
        <f t="shared" si="7"/>
        <v>0</v>
      </c>
      <c r="Z36" s="130">
        <f t="shared" ref="Z36:Z51" si="84">Y36*(1+$X36)</f>
        <v>0</v>
      </c>
      <c r="AA36" s="130">
        <f t="shared" ref="AA36:AA51" si="85">Z36*(1+$X36)</f>
        <v>0</v>
      </c>
      <c r="AB36" s="130">
        <f t="shared" ref="AB36:AB51" si="86">AA36*(1+$X36)</f>
        <v>0</v>
      </c>
      <c r="AC36" s="130">
        <f t="shared" ref="AC36:AC51" si="87">AB36*(1+$X36)</f>
        <v>0</v>
      </c>
      <c r="AD36" s="130">
        <f t="shared" ref="AD36:AD51" si="88">AC36*(1+$X36)</f>
        <v>0</v>
      </c>
      <c r="AE36" s="130">
        <f t="shared" ref="AE36:AE51" si="89">AD36*(1+$X36)</f>
        <v>0</v>
      </c>
      <c r="AF36" s="130">
        <f t="shared" ref="AF36:AF51" si="90">AE36*(1+$X36)</f>
        <v>0</v>
      </c>
      <c r="AG36" s="130">
        <f t="shared" ref="AG36:AG51" si="91">AF36*(1+$X36)</f>
        <v>0</v>
      </c>
      <c r="AH36" s="130">
        <f t="shared" ref="AH36:AH51" si="92">AG36*(1+$X36)</f>
        <v>0</v>
      </c>
      <c r="AI36" s="115" t="e">
        <f t="shared" si="2"/>
        <v>#DIV/0!</v>
      </c>
      <c r="AJ36" s="21">
        <f t="shared" si="17"/>
        <v>0.01</v>
      </c>
      <c r="AK36" s="123" t="e">
        <f t="shared" si="23"/>
        <v>#DIV/0!</v>
      </c>
    </row>
    <row r="37" spans="1:37">
      <c r="A37" s="304"/>
      <c r="B37" s="175"/>
      <c r="C37" s="118"/>
      <c r="D37" s="118"/>
      <c r="E37" s="124"/>
      <c r="F37" s="127"/>
      <c r="G37" s="127" t="e">
        <f t="shared" ref="G37:H37" si="93">(G36-E36)/E36</f>
        <v>#DIV/0!</v>
      </c>
      <c r="H37" s="127" t="e">
        <f t="shared" si="93"/>
        <v>#DIV/0!</v>
      </c>
      <c r="I37" s="127" t="e">
        <f t="shared" ref="I37:U37" si="94">(I36-H36)/H36</f>
        <v>#DIV/0!</v>
      </c>
      <c r="J37" s="127" t="e">
        <f t="shared" si="94"/>
        <v>#DIV/0!</v>
      </c>
      <c r="K37" s="127" t="e">
        <f t="shared" si="94"/>
        <v>#DIV/0!</v>
      </c>
      <c r="L37" s="127" t="e">
        <f t="shared" si="94"/>
        <v>#DIV/0!</v>
      </c>
      <c r="M37" s="127" t="e">
        <f t="shared" si="94"/>
        <v>#DIV/0!</v>
      </c>
      <c r="N37" s="127" t="e">
        <f t="shared" si="94"/>
        <v>#DIV/0!</v>
      </c>
      <c r="O37" s="127" t="e">
        <f t="shared" si="94"/>
        <v>#DIV/0!</v>
      </c>
      <c r="P37" s="127" t="e">
        <f t="shared" si="94"/>
        <v>#DIV/0!</v>
      </c>
      <c r="Q37" s="127" t="e">
        <f t="shared" si="94"/>
        <v>#DIV/0!</v>
      </c>
      <c r="R37" s="127" t="e">
        <f t="shared" si="94"/>
        <v>#DIV/0!</v>
      </c>
      <c r="S37" s="127" t="e">
        <f t="shared" si="94"/>
        <v>#DIV/0!</v>
      </c>
      <c r="T37" s="127" t="e">
        <f t="shared" si="94"/>
        <v>#DIV/0!</v>
      </c>
      <c r="U37" s="127" t="e">
        <f t="shared" si="94"/>
        <v>#DIV/0!</v>
      </c>
      <c r="V37" s="127" t="e">
        <f t="shared" ref="V37" si="95">(V36-U36)/U36</f>
        <v>#DIV/0!</v>
      </c>
      <c r="W37" s="10"/>
      <c r="X37" s="1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14"/>
      <c r="AJ37" s="130"/>
      <c r="AK37" s="114"/>
    </row>
    <row r="38" spans="1:37">
      <c r="A38" s="304"/>
      <c r="B38" s="175" t="s">
        <v>412</v>
      </c>
      <c r="C38" s="118"/>
      <c r="D38" s="118"/>
      <c r="E38" s="124"/>
      <c r="F38" s="178"/>
      <c r="G38" s="178">
        <f t="shared" ref="G38:I38" si="96">H38</f>
        <v>0</v>
      </c>
      <c r="H38" s="178">
        <f t="shared" si="96"/>
        <v>0</v>
      </c>
      <c r="I38" s="178">
        <f t="shared" si="96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0</v>
      </c>
      <c r="S38" s="178">
        <v>0</v>
      </c>
      <c r="T38" s="178">
        <v>0</v>
      </c>
      <c r="U38" s="178">
        <v>1</v>
      </c>
      <c r="V38" s="178">
        <v>1</v>
      </c>
      <c r="W38" s="101" t="e">
        <f t="shared" si="24"/>
        <v>#DIV/0!</v>
      </c>
      <c r="X38" s="21">
        <f t="shared" si="6"/>
        <v>0.15</v>
      </c>
      <c r="Y38" s="130">
        <f t="shared" si="7"/>
        <v>1.1499999999999999</v>
      </c>
      <c r="Z38" s="130">
        <f t="shared" si="84"/>
        <v>1.3224999999999998</v>
      </c>
      <c r="AA38" s="130">
        <f t="shared" si="85"/>
        <v>1.5208749999999995</v>
      </c>
      <c r="AB38" s="130">
        <f t="shared" si="86"/>
        <v>1.7490062499999994</v>
      </c>
      <c r="AC38" s="130">
        <f t="shared" si="87"/>
        <v>2.0113571874999994</v>
      </c>
      <c r="AD38" s="130">
        <f t="shared" si="88"/>
        <v>2.3130607656249991</v>
      </c>
      <c r="AE38" s="130">
        <f t="shared" si="89"/>
        <v>2.6600198804687487</v>
      </c>
      <c r="AF38" s="130">
        <f t="shared" si="90"/>
        <v>3.0590228625390607</v>
      </c>
      <c r="AG38" s="130">
        <f t="shared" si="91"/>
        <v>3.5178762919199196</v>
      </c>
      <c r="AH38" s="130">
        <f t="shared" si="92"/>
        <v>4.0455577357079076</v>
      </c>
      <c r="AI38" s="115" t="e">
        <f t="shared" si="2"/>
        <v>#DIV/0!</v>
      </c>
      <c r="AJ38" s="21">
        <f t="shared" si="17"/>
        <v>0.01</v>
      </c>
      <c r="AK38" s="123" t="e">
        <f t="shared" si="23"/>
        <v>#DIV/0!</v>
      </c>
    </row>
    <row r="39" spans="1:37">
      <c r="A39" s="304"/>
      <c r="B39" s="175"/>
      <c r="C39" s="118"/>
      <c r="D39" s="118"/>
      <c r="E39" s="124"/>
      <c r="F39" s="127"/>
      <c r="G39" s="127" t="e">
        <f t="shared" ref="G39:H39" si="97">(G38-E38)/E38</f>
        <v>#DIV/0!</v>
      </c>
      <c r="H39" s="127" t="e">
        <f t="shared" si="97"/>
        <v>#DIV/0!</v>
      </c>
      <c r="I39" s="127" t="e">
        <f t="shared" ref="I39:U39" si="98">(I38-H38)/H38</f>
        <v>#DIV/0!</v>
      </c>
      <c r="J39" s="127" t="e">
        <f t="shared" si="98"/>
        <v>#DIV/0!</v>
      </c>
      <c r="K39" s="127" t="e">
        <f t="shared" si="98"/>
        <v>#DIV/0!</v>
      </c>
      <c r="L39" s="127" t="e">
        <f t="shared" si="98"/>
        <v>#DIV/0!</v>
      </c>
      <c r="M39" s="127" t="e">
        <f t="shared" si="98"/>
        <v>#DIV/0!</v>
      </c>
      <c r="N39" s="127" t="e">
        <f t="shared" si="98"/>
        <v>#DIV/0!</v>
      </c>
      <c r="O39" s="127" t="e">
        <f t="shared" si="98"/>
        <v>#DIV/0!</v>
      </c>
      <c r="P39" s="127" t="e">
        <f t="shared" si="98"/>
        <v>#DIV/0!</v>
      </c>
      <c r="Q39" s="127" t="e">
        <f t="shared" si="98"/>
        <v>#DIV/0!</v>
      </c>
      <c r="R39" s="127" t="e">
        <f t="shared" si="98"/>
        <v>#DIV/0!</v>
      </c>
      <c r="S39" s="127" t="e">
        <f t="shared" si="98"/>
        <v>#DIV/0!</v>
      </c>
      <c r="T39" s="127" t="e">
        <f t="shared" si="98"/>
        <v>#DIV/0!</v>
      </c>
      <c r="U39" s="127" t="e">
        <f t="shared" si="98"/>
        <v>#DIV/0!</v>
      </c>
      <c r="V39" s="127">
        <f t="shared" ref="V39" si="99">(V38-U38)/U38</f>
        <v>0</v>
      </c>
      <c r="W39" s="10"/>
      <c r="X39" s="1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14"/>
      <c r="AJ39" s="130"/>
      <c r="AK39" s="114"/>
    </row>
    <row r="40" spans="1:37">
      <c r="A40" s="304"/>
      <c r="B40" s="175" t="s">
        <v>416</v>
      </c>
      <c r="C40" s="118"/>
      <c r="D40" s="118"/>
      <c r="E40" s="124"/>
      <c r="F40" s="178"/>
      <c r="G40" s="178">
        <f t="shared" ref="G40:I43" si="100">H40</f>
        <v>0</v>
      </c>
      <c r="H40" s="178">
        <f t="shared" si="100"/>
        <v>0</v>
      </c>
      <c r="I40" s="178">
        <f t="shared" si="100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01" t="e">
        <f t="shared" si="24"/>
        <v>#DIV/0!</v>
      </c>
      <c r="X40" s="21">
        <f t="shared" si="6"/>
        <v>0.15</v>
      </c>
      <c r="Y40" s="130">
        <f t="shared" si="7"/>
        <v>0</v>
      </c>
      <c r="Z40" s="130">
        <f t="shared" si="84"/>
        <v>0</v>
      </c>
      <c r="AA40" s="130">
        <f t="shared" si="85"/>
        <v>0</v>
      </c>
      <c r="AB40" s="130">
        <f t="shared" si="86"/>
        <v>0</v>
      </c>
      <c r="AC40" s="130">
        <f t="shared" si="87"/>
        <v>0</v>
      </c>
      <c r="AD40" s="130">
        <f t="shared" si="88"/>
        <v>0</v>
      </c>
      <c r="AE40" s="130">
        <f t="shared" si="89"/>
        <v>0</v>
      </c>
      <c r="AF40" s="130">
        <f t="shared" si="90"/>
        <v>0</v>
      </c>
      <c r="AG40" s="130">
        <f t="shared" si="91"/>
        <v>0</v>
      </c>
      <c r="AH40" s="130">
        <f t="shared" si="92"/>
        <v>0</v>
      </c>
      <c r="AI40" s="115" t="e">
        <f t="shared" si="2"/>
        <v>#DIV/0!</v>
      </c>
      <c r="AJ40" s="21">
        <f t="shared" si="17"/>
        <v>0.01</v>
      </c>
      <c r="AK40" s="123" t="e">
        <f t="shared" si="23"/>
        <v>#DIV/0!</v>
      </c>
    </row>
    <row r="41" spans="1:37">
      <c r="A41" s="304"/>
      <c r="B41" s="175" t="s">
        <v>413</v>
      </c>
      <c r="C41" s="118"/>
      <c r="D41" s="118"/>
      <c r="E41" s="124"/>
      <c r="F41" s="178"/>
      <c r="G41" s="178">
        <f t="shared" si="100"/>
        <v>0</v>
      </c>
      <c r="H41" s="178">
        <f t="shared" si="100"/>
        <v>0</v>
      </c>
      <c r="I41" s="178">
        <f t="shared" si="100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01" t="e">
        <f t="shared" si="24"/>
        <v>#DIV/0!</v>
      </c>
      <c r="X41" s="21">
        <f t="shared" si="6"/>
        <v>0.15</v>
      </c>
      <c r="Y41" s="130">
        <f t="shared" si="7"/>
        <v>0</v>
      </c>
      <c r="Z41" s="130">
        <f t="shared" si="84"/>
        <v>0</v>
      </c>
      <c r="AA41" s="130">
        <f t="shared" si="85"/>
        <v>0</v>
      </c>
      <c r="AB41" s="130">
        <f t="shared" si="86"/>
        <v>0</v>
      </c>
      <c r="AC41" s="130">
        <f t="shared" si="87"/>
        <v>0</v>
      </c>
      <c r="AD41" s="130">
        <f t="shared" si="88"/>
        <v>0</v>
      </c>
      <c r="AE41" s="130">
        <f t="shared" si="89"/>
        <v>0</v>
      </c>
      <c r="AF41" s="130">
        <f t="shared" si="90"/>
        <v>0</v>
      </c>
      <c r="AG41" s="130">
        <f t="shared" si="91"/>
        <v>0</v>
      </c>
      <c r="AH41" s="130">
        <f t="shared" si="92"/>
        <v>0</v>
      </c>
      <c r="AI41" s="115" t="e">
        <f t="shared" si="2"/>
        <v>#DIV/0!</v>
      </c>
      <c r="AJ41" s="21">
        <f t="shared" si="17"/>
        <v>0.01</v>
      </c>
      <c r="AK41" s="123" t="e">
        <f t="shared" si="23"/>
        <v>#DIV/0!</v>
      </c>
    </row>
    <row r="42" spans="1:37">
      <c r="A42" s="304"/>
      <c r="B42" s="175" t="s">
        <v>415</v>
      </c>
      <c r="C42" s="118"/>
      <c r="D42" s="118"/>
      <c r="E42" s="124"/>
      <c r="F42" s="178"/>
      <c r="G42" s="178">
        <f t="shared" si="100"/>
        <v>0</v>
      </c>
      <c r="H42" s="178">
        <f t="shared" si="100"/>
        <v>0</v>
      </c>
      <c r="I42" s="178">
        <f t="shared" si="100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01" t="e">
        <f t="shared" si="24"/>
        <v>#DIV/0!</v>
      </c>
      <c r="X42" s="21">
        <f t="shared" si="6"/>
        <v>0.15</v>
      </c>
      <c r="Y42" s="130">
        <f t="shared" si="7"/>
        <v>0</v>
      </c>
      <c r="Z42" s="130">
        <f t="shared" si="84"/>
        <v>0</v>
      </c>
      <c r="AA42" s="130">
        <f t="shared" si="85"/>
        <v>0</v>
      </c>
      <c r="AB42" s="130">
        <f t="shared" si="86"/>
        <v>0</v>
      </c>
      <c r="AC42" s="130">
        <f t="shared" si="87"/>
        <v>0</v>
      </c>
      <c r="AD42" s="130">
        <f t="shared" si="88"/>
        <v>0</v>
      </c>
      <c r="AE42" s="130">
        <f t="shared" si="89"/>
        <v>0</v>
      </c>
      <c r="AF42" s="130">
        <f t="shared" si="90"/>
        <v>0</v>
      </c>
      <c r="AG42" s="130">
        <f t="shared" si="91"/>
        <v>0</v>
      </c>
      <c r="AH42" s="130">
        <f t="shared" si="92"/>
        <v>0</v>
      </c>
      <c r="AI42" s="115" t="e">
        <f t="shared" si="2"/>
        <v>#DIV/0!</v>
      </c>
      <c r="AJ42" s="21">
        <f t="shared" si="17"/>
        <v>0.01</v>
      </c>
      <c r="AK42" s="123" t="e">
        <f t="shared" si="23"/>
        <v>#DIV/0!</v>
      </c>
    </row>
    <row r="43" spans="1:37">
      <c r="A43" s="304"/>
      <c r="B43" s="175" t="s">
        <v>414</v>
      </c>
      <c r="C43" s="118"/>
      <c r="D43" s="118"/>
      <c r="E43" s="124"/>
      <c r="F43" s="178"/>
      <c r="G43" s="178">
        <f t="shared" si="100"/>
        <v>0</v>
      </c>
      <c r="H43" s="178">
        <f t="shared" si="100"/>
        <v>0</v>
      </c>
      <c r="I43" s="178">
        <f t="shared" si="100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01" t="e">
        <f t="shared" si="24"/>
        <v>#DIV/0!</v>
      </c>
      <c r="X43" s="21">
        <f t="shared" si="6"/>
        <v>0.15</v>
      </c>
      <c r="Y43" s="130">
        <f t="shared" si="7"/>
        <v>0</v>
      </c>
      <c r="Z43" s="130">
        <f t="shared" si="84"/>
        <v>0</v>
      </c>
      <c r="AA43" s="130">
        <f t="shared" si="85"/>
        <v>0</v>
      </c>
      <c r="AB43" s="130">
        <f t="shared" si="86"/>
        <v>0</v>
      </c>
      <c r="AC43" s="130">
        <f t="shared" si="87"/>
        <v>0</v>
      </c>
      <c r="AD43" s="130">
        <f t="shared" si="88"/>
        <v>0</v>
      </c>
      <c r="AE43" s="130">
        <f t="shared" si="89"/>
        <v>0</v>
      </c>
      <c r="AF43" s="130">
        <f t="shared" si="90"/>
        <v>0</v>
      </c>
      <c r="AG43" s="130">
        <f t="shared" si="91"/>
        <v>0</v>
      </c>
      <c r="AH43" s="130">
        <f t="shared" si="92"/>
        <v>0</v>
      </c>
      <c r="AI43" s="115" t="e">
        <f t="shared" si="2"/>
        <v>#DIV/0!</v>
      </c>
      <c r="AJ43" s="21">
        <f t="shared" si="17"/>
        <v>0.01</v>
      </c>
      <c r="AK43" s="123" t="e">
        <f t="shared" si="23"/>
        <v>#DIV/0!</v>
      </c>
    </row>
    <row r="44" spans="1:37">
      <c r="A44" s="304"/>
      <c r="B44" s="175"/>
      <c r="C44" s="118"/>
      <c r="D44" s="118"/>
      <c r="E44" s="124"/>
      <c r="F44" s="127"/>
      <c r="G44" s="127" t="e">
        <f t="shared" ref="G44:H44" si="101">(G43-E43)/E43</f>
        <v>#DIV/0!</v>
      </c>
      <c r="H44" s="127" t="e">
        <f t="shared" si="101"/>
        <v>#DIV/0!</v>
      </c>
      <c r="I44" s="127" t="e">
        <f t="shared" ref="I44:U44" si="102">(I43-H43)/H43</f>
        <v>#DIV/0!</v>
      </c>
      <c r="J44" s="127" t="e">
        <f t="shared" si="102"/>
        <v>#DIV/0!</v>
      </c>
      <c r="K44" s="127" t="e">
        <f t="shared" si="102"/>
        <v>#DIV/0!</v>
      </c>
      <c r="L44" s="127" t="e">
        <f t="shared" si="102"/>
        <v>#DIV/0!</v>
      </c>
      <c r="M44" s="127" t="e">
        <f t="shared" si="102"/>
        <v>#DIV/0!</v>
      </c>
      <c r="N44" s="127" t="e">
        <f t="shared" si="102"/>
        <v>#DIV/0!</v>
      </c>
      <c r="O44" s="127" t="e">
        <f t="shared" si="102"/>
        <v>#DIV/0!</v>
      </c>
      <c r="P44" s="127" t="e">
        <f t="shared" si="102"/>
        <v>#DIV/0!</v>
      </c>
      <c r="Q44" s="127" t="e">
        <f t="shared" si="102"/>
        <v>#DIV/0!</v>
      </c>
      <c r="R44" s="127" t="e">
        <f t="shared" si="102"/>
        <v>#DIV/0!</v>
      </c>
      <c r="S44" s="127" t="e">
        <f t="shared" si="102"/>
        <v>#DIV/0!</v>
      </c>
      <c r="T44" s="127" t="e">
        <f t="shared" si="102"/>
        <v>#DIV/0!</v>
      </c>
      <c r="U44" s="127" t="e">
        <f t="shared" si="102"/>
        <v>#DIV/0!</v>
      </c>
      <c r="V44" s="127" t="e">
        <f t="shared" ref="V44" si="103">(V43-U43)/U43</f>
        <v>#DIV/0!</v>
      </c>
      <c r="W44" s="10"/>
      <c r="X44" s="1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14"/>
      <c r="AJ44" s="130"/>
      <c r="AK44" s="114"/>
    </row>
    <row r="45" spans="1:37">
      <c r="A45" s="304"/>
      <c r="B45" s="175" t="s">
        <v>191</v>
      </c>
      <c r="C45" s="118"/>
      <c r="D45" s="118"/>
      <c r="E45" s="124"/>
      <c r="F45" s="178"/>
      <c r="G45" s="178">
        <f t="shared" ref="G45:I45" si="104">H45</f>
        <v>0</v>
      </c>
      <c r="H45" s="178">
        <f t="shared" si="104"/>
        <v>0</v>
      </c>
      <c r="I45" s="178">
        <f t="shared" si="104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0</v>
      </c>
      <c r="S45" s="178">
        <v>0</v>
      </c>
      <c r="T45" s="178">
        <v>0</v>
      </c>
      <c r="U45" s="178"/>
      <c r="V45" s="178"/>
      <c r="W45" s="101" t="e">
        <f t="shared" si="24"/>
        <v>#DIV/0!</v>
      </c>
      <c r="X45" s="21">
        <f t="shared" si="6"/>
        <v>0.15</v>
      </c>
      <c r="Y45" s="130">
        <f t="shared" si="7"/>
        <v>0</v>
      </c>
      <c r="Z45" s="130">
        <f t="shared" si="84"/>
        <v>0</v>
      </c>
      <c r="AA45" s="130">
        <f t="shared" si="85"/>
        <v>0</v>
      </c>
      <c r="AB45" s="130">
        <f t="shared" si="86"/>
        <v>0</v>
      </c>
      <c r="AC45" s="130">
        <f t="shared" si="87"/>
        <v>0</v>
      </c>
      <c r="AD45" s="130">
        <f t="shared" si="88"/>
        <v>0</v>
      </c>
      <c r="AE45" s="130">
        <f t="shared" si="89"/>
        <v>0</v>
      </c>
      <c r="AF45" s="130">
        <f t="shared" si="90"/>
        <v>0</v>
      </c>
      <c r="AG45" s="130">
        <f t="shared" si="91"/>
        <v>0</v>
      </c>
      <c r="AH45" s="130">
        <f t="shared" si="92"/>
        <v>0</v>
      </c>
      <c r="AI45" s="115" t="e">
        <f t="shared" si="2"/>
        <v>#DIV/0!</v>
      </c>
      <c r="AJ45" s="21">
        <f t="shared" si="17"/>
        <v>0.01</v>
      </c>
      <c r="AK45" s="123" t="e">
        <f t="shared" si="23"/>
        <v>#DIV/0!</v>
      </c>
    </row>
    <row r="46" spans="1:37">
      <c r="A46" s="176"/>
      <c r="B46" s="175"/>
      <c r="C46" s="118"/>
      <c r="D46" s="118"/>
      <c r="E46" s="124"/>
      <c r="F46" s="127"/>
      <c r="G46" s="127" t="e">
        <f t="shared" ref="G46:H46" si="105">(G45-E45)/E45</f>
        <v>#DIV/0!</v>
      </c>
      <c r="H46" s="127" t="e">
        <f t="shared" si="105"/>
        <v>#DIV/0!</v>
      </c>
      <c r="I46" s="127" t="e">
        <f t="shared" ref="I46:U46" si="106">(I45-H45)/H45</f>
        <v>#DIV/0!</v>
      </c>
      <c r="J46" s="127" t="e">
        <f t="shared" si="106"/>
        <v>#DIV/0!</v>
      </c>
      <c r="K46" s="127" t="e">
        <f t="shared" si="106"/>
        <v>#DIV/0!</v>
      </c>
      <c r="L46" s="127" t="e">
        <f t="shared" si="106"/>
        <v>#DIV/0!</v>
      </c>
      <c r="M46" s="127" t="e">
        <f t="shared" si="106"/>
        <v>#DIV/0!</v>
      </c>
      <c r="N46" s="127" t="e">
        <f t="shared" si="106"/>
        <v>#DIV/0!</v>
      </c>
      <c r="O46" s="127" t="e">
        <f t="shared" si="106"/>
        <v>#DIV/0!</v>
      </c>
      <c r="P46" s="127" t="e">
        <f t="shared" si="106"/>
        <v>#DIV/0!</v>
      </c>
      <c r="Q46" s="127" t="e">
        <f t="shared" si="106"/>
        <v>#DIV/0!</v>
      </c>
      <c r="R46" s="127" t="e">
        <f t="shared" si="106"/>
        <v>#DIV/0!</v>
      </c>
      <c r="S46" s="127" t="e">
        <f t="shared" si="106"/>
        <v>#DIV/0!</v>
      </c>
      <c r="T46" s="127" t="e">
        <f t="shared" si="106"/>
        <v>#DIV/0!</v>
      </c>
      <c r="U46" s="127" t="e">
        <f t="shared" si="106"/>
        <v>#DIV/0!</v>
      </c>
      <c r="V46" s="127" t="e">
        <f t="shared" ref="V46" si="107">(V45-U45)/U45</f>
        <v>#DIV/0!</v>
      </c>
      <c r="W46" s="10"/>
      <c r="X46" s="1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14"/>
      <c r="AJ46" s="130"/>
      <c r="AK46" s="114"/>
    </row>
    <row r="47" spans="1:37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01" t="e">
        <f t="shared" si="24"/>
        <v>#DIV/0!</v>
      </c>
      <c r="X47" s="21">
        <f t="shared" si="6"/>
        <v>0.15</v>
      </c>
      <c r="Y47" s="130">
        <f t="shared" ref="Y47" si="108">U47*(1+$X47)</f>
        <v>0</v>
      </c>
      <c r="Z47" s="130">
        <f t="shared" ref="Z47" si="109">Y47*(1+$X47)</f>
        <v>0</v>
      </c>
      <c r="AA47" s="130">
        <f t="shared" ref="AA47" si="110">Z47*(1+$X47)</f>
        <v>0</v>
      </c>
      <c r="AB47" s="130">
        <f t="shared" ref="AB47" si="111">AA47*(1+$X47)</f>
        <v>0</v>
      </c>
      <c r="AC47" s="130">
        <f t="shared" ref="AC47" si="112">AB47*(1+$X47)</f>
        <v>0</v>
      </c>
      <c r="AD47" s="130">
        <f t="shared" ref="AD47" si="113">AC47*(1+$X47)</f>
        <v>0</v>
      </c>
      <c r="AE47" s="130">
        <f t="shared" ref="AE47" si="114">AD47*(1+$X47)</f>
        <v>0</v>
      </c>
      <c r="AF47" s="130">
        <f t="shared" ref="AF47" si="115">AE47*(1+$X47)</f>
        <v>0</v>
      </c>
      <c r="AG47" s="130">
        <f t="shared" ref="AG47" si="116">AF47*(1+$X47)</f>
        <v>0</v>
      </c>
      <c r="AH47" s="130">
        <f t="shared" ref="AH47" si="117">AG47*(1+$X47)</f>
        <v>0</v>
      </c>
      <c r="AI47" s="115" t="e">
        <f t="shared" si="2"/>
        <v>#DIV/0!</v>
      </c>
      <c r="AJ47" s="21">
        <f t="shared" si="17"/>
        <v>0.01</v>
      </c>
      <c r="AK47" s="123" t="e">
        <f t="shared" si="23"/>
        <v>#DIV/0!</v>
      </c>
    </row>
    <row r="48" spans="1:37">
      <c r="A48" s="176"/>
      <c r="B48" s="175"/>
      <c r="C48" s="118"/>
      <c r="D48" s="118"/>
      <c r="E48" s="124"/>
      <c r="F48" s="127"/>
      <c r="G48" s="127" t="e">
        <f t="shared" ref="G48:H48" si="118">(G47-E47)/E47</f>
        <v>#DIV/0!</v>
      </c>
      <c r="H48" s="127" t="e">
        <f t="shared" si="118"/>
        <v>#DIV/0!</v>
      </c>
      <c r="I48" s="127" t="e">
        <f t="shared" ref="I48:U48" si="119">(I47-H47)/H47</f>
        <v>#DIV/0!</v>
      </c>
      <c r="J48" s="127" t="e">
        <f t="shared" si="119"/>
        <v>#DIV/0!</v>
      </c>
      <c r="K48" s="127" t="e">
        <f t="shared" si="119"/>
        <v>#DIV/0!</v>
      </c>
      <c r="L48" s="127" t="e">
        <f t="shared" si="119"/>
        <v>#DIV/0!</v>
      </c>
      <c r="M48" s="127" t="e">
        <f t="shared" si="119"/>
        <v>#DIV/0!</v>
      </c>
      <c r="N48" s="127" t="e">
        <f t="shared" si="119"/>
        <v>#DIV/0!</v>
      </c>
      <c r="O48" s="127" t="e">
        <f t="shared" si="119"/>
        <v>#DIV/0!</v>
      </c>
      <c r="P48" s="127" t="e">
        <f t="shared" si="119"/>
        <v>#DIV/0!</v>
      </c>
      <c r="Q48" s="127" t="e">
        <f t="shared" si="119"/>
        <v>#DIV/0!</v>
      </c>
      <c r="R48" s="127" t="e">
        <f t="shared" si="119"/>
        <v>#DIV/0!</v>
      </c>
      <c r="S48" s="127" t="e">
        <f t="shared" si="119"/>
        <v>#DIV/0!</v>
      </c>
      <c r="T48" s="127" t="e">
        <f t="shared" si="119"/>
        <v>#DIV/0!</v>
      </c>
      <c r="U48" s="127" t="e">
        <f t="shared" si="119"/>
        <v>#DIV/0!</v>
      </c>
      <c r="V48" s="127" t="e">
        <f t="shared" ref="V48" si="120">(V47-U47)/U47</f>
        <v>#DIV/0!</v>
      </c>
      <c r="W48" s="10"/>
      <c r="X48" s="1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14"/>
      <c r="AJ48" s="130"/>
      <c r="AK48" s="114"/>
    </row>
    <row r="49" spans="1:37">
      <c r="A49" s="176"/>
      <c r="B49" s="175" t="s">
        <v>427</v>
      </c>
      <c r="C49" s="118"/>
      <c r="D49" s="118"/>
      <c r="E49" s="124"/>
      <c r="F49" s="178"/>
      <c r="G49" s="178">
        <f t="shared" ref="G49:I49" si="121">H49</f>
        <v>0</v>
      </c>
      <c r="H49" s="178">
        <f t="shared" si="121"/>
        <v>0</v>
      </c>
      <c r="I49" s="178">
        <f t="shared" si="121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0</v>
      </c>
      <c r="S49" s="178">
        <v>0</v>
      </c>
      <c r="T49" s="178">
        <v>0</v>
      </c>
      <c r="U49" s="178"/>
      <c r="V49" s="178"/>
      <c r="W49" s="101" t="e">
        <f t="shared" si="24"/>
        <v>#DIV/0!</v>
      </c>
      <c r="X49" s="21">
        <f t="shared" si="6"/>
        <v>0.15</v>
      </c>
      <c r="Y49" s="130">
        <f t="shared" si="7"/>
        <v>0</v>
      </c>
      <c r="Z49" s="130">
        <f t="shared" ref="Z49" si="122">Y49*(1+$X49)</f>
        <v>0</v>
      </c>
      <c r="AA49" s="130">
        <f t="shared" ref="AA49" si="123">Z49*(1+$X49)</f>
        <v>0</v>
      </c>
      <c r="AB49" s="130">
        <f t="shared" ref="AB49" si="124">AA49*(1+$X49)</f>
        <v>0</v>
      </c>
      <c r="AC49" s="130">
        <f t="shared" ref="AC49" si="125">AB49*(1+$X49)</f>
        <v>0</v>
      </c>
      <c r="AD49" s="130">
        <f t="shared" ref="AD49" si="126">AC49*(1+$X49)</f>
        <v>0</v>
      </c>
      <c r="AE49" s="130">
        <f t="shared" ref="AE49" si="127">AD49*(1+$X49)</f>
        <v>0</v>
      </c>
      <c r="AF49" s="130">
        <f t="shared" ref="AF49" si="128">AE49*(1+$X49)</f>
        <v>0</v>
      </c>
      <c r="AG49" s="130">
        <f t="shared" ref="AG49" si="129">AF49*(1+$X49)</f>
        <v>0</v>
      </c>
      <c r="AH49" s="130">
        <f t="shared" ref="AH49" si="130">AG49*(1+$X49)</f>
        <v>0</v>
      </c>
      <c r="AI49" s="115" t="e">
        <f t="shared" si="2"/>
        <v>#DIV/0!</v>
      </c>
      <c r="AJ49" s="21">
        <f t="shared" si="17"/>
        <v>0.01</v>
      </c>
      <c r="AK49" s="123" t="e">
        <f t="shared" si="23"/>
        <v>#DIV/0!</v>
      </c>
    </row>
    <row r="50" spans="1:37">
      <c r="A50" s="176"/>
      <c r="B50" s="175"/>
      <c r="C50" s="118"/>
      <c r="D50" s="118"/>
      <c r="E50" s="124"/>
      <c r="F50" s="127"/>
      <c r="G50" s="127" t="e">
        <f t="shared" ref="G50:H50" si="131">(G49-E49)/E49</f>
        <v>#DIV/0!</v>
      </c>
      <c r="H50" s="127" t="e">
        <f t="shared" si="131"/>
        <v>#DIV/0!</v>
      </c>
      <c r="I50" s="127" t="e">
        <f t="shared" ref="I50:U50" si="132">(I49-H49)/H49</f>
        <v>#DIV/0!</v>
      </c>
      <c r="J50" s="127" t="e">
        <f t="shared" si="132"/>
        <v>#DIV/0!</v>
      </c>
      <c r="K50" s="127" t="e">
        <f t="shared" si="132"/>
        <v>#DIV/0!</v>
      </c>
      <c r="L50" s="127" t="e">
        <f t="shared" si="132"/>
        <v>#DIV/0!</v>
      </c>
      <c r="M50" s="127" t="e">
        <f t="shared" si="132"/>
        <v>#DIV/0!</v>
      </c>
      <c r="N50" s="127" t="e">
        <f t="shared" si="132"/>
        <v>#DIV/0!</v>
      </c>
      <c r="O50" s="127" t="e">
        <f t="shared" si="132"/>
        <v>#DIV/0!</v>
      </c>
      <c r="P50" s="127" t="e">
        <f t="shared" si="132"/>
        <v>#DIV/0!</v>
      </c>
      <c r="Q50" s="127" t="e">
        <f t="shared" si="132"/>
        <v>#DIV/0!</v>
      </c>
      <c r="R50" s="127" t="e">
        <f t="shared" si="132"/>
        <v>#DIV/0!</v>
      </c>
      <c r="S50" s="127" t="e">
        <f t="shared" si="132"/>
        <v>#DIV/0!</v>
      </c>
      <c r="T50" s="127" t="e">
        <f t="shared" si="132"/>
        <v>#DIV/0!</v>
      </c>
      <c r="U50" s="127" t="e">
        <f t="shared" si="132"/>
        <v>#DIV/0!</v>
      </c>
      <c r="V50" s="127" t="e">
        <f t="shared" ref="V50" si="133">(V49-U49)/U49</f>
        <v>#DIV/0!</v>
      </c>
      <c r="W50" s="10"/>
      <c r="X50" s="1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14"/>
      <c r="AJ50" s="130"/>
      <c r="AK50" s="114"/>
    </row>
    <row r="51" spans="1:37">
      <c r="A51" s="176"/>
      <c r="B51" s="175" t="s">
        <v>418</v>
      </c>
      <c r="C51" s="118"/>
      <c r="D51" s="118"/>
      <c r="E51" s="124"/>
      <c r="F51" s="178"/>
      <c r="G51" s="178">
        <f t="shared" ref="G51:I51" si="134">H51</f>
        <v>0</v>
      </c>
      <c r="H51" s="178">
        <f t="shared" si="134"/>
        <v>0</v>
      </c>
      <c r="I51" s="178">
        <f t="shared" si="134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0</v>
      </c>
      <c r="S51" s="178">
        <v>0</v>
      </c>
      <c r="T51" s="178">
        <v>0</v>
      </c>
      <c r="U51" s="178"/>
      <c r="V51" s="178"/>
      <c r="W51" s="101" t="e">
        <f t="shared" si="24"/>
        <v>#DIV/0!</v>
      </c>
      <c r="X51" s="21">
        <f t="shared" si="6"/>
        <v>0.15</v>
      </c>
      <c r="Y51" s="130">
        <f t="shared" si="7"/>
        <v>0</v>
      </c>
      <c r="Z51" s="130">
        <f t="shared" si="84"/>
        <v>0</v>
      </c>
      <c r="AA51" s="130">
        <f t="shared" si="85"/>
        <v>0</v>
      </c>
      <c r="AB51" s="130">
        <f t="shared" si="86"/>
        <v>0</v>
      </c>
      <c r="AC51" s="130">
        <f t="shared" si="87"/>
        <v>0</v>
      </c>
      <c r="AD51" s="130">
        <f t="shared" si="88"/>
        <v>0</v>
      </c>
      <c r="AE51" s="130">
        <f t="shared" si="89"/>
        <v>0</v>
      </c>
      <c r="AF51" s="130">
        <f t="shared" si="90"/>
        <v>0</v>
      </c>
      <c r="AG51" s="130">
        <f t="shared" si="91"/>
        <v>0</v>
      </c>
      <c r="AH51" s="130">
        <f t="shared" si="92"/>
        <v>0</v>
      </c>
      <c r="AI51" s="115" t="e">
        <f t="shared" si="2"/>
        <v>#DIV/0!</v>
      </c>
      <c r="AJ51" s="21">
        <f t="shared" si="17"/>
        <v>0.01</v>
      </c>
      <c r="AK51" s="123" t="e">
        <f t="shared" si="23"/>
        <v>#DIV/0!</v>
      </c>
    </row>
    <row r="52" spans="1:37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01" t="e">
        <f t="shared" si="24"/>
        <v>#DIV/0!</v>
      </c>
      <c r="X52" s="1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14"/>
      <c r="AJ52" s="114"/>
      <c r="AK52" s="114"/>
    </row>
    <row r="53" spans="1:37">
      <c r="B53" s="10" t="s">
        <v>229</v>
      </c>
      <c r="C53" s="118"/>
      <c r="D53" s="118"/>
      <c r="E53" s="124"/>
      <c r="F53" s="124"/>
      <c r="G53" s="124">
        <f>N53</f>
        <v>59</v>
      </c>
      <c r="H53" s="124"/>
      <c r="I53" s="124"/>
      <c r="J53" s="124"/>
      <c r="K53" s="124"/>
      <c r="L53" s="124"/>
      <c r="M53" s="124"/>
      <c r="N53" s="124">
        <v>59</v>
      </c>
      <c r="O53" s="124">
        <v>59</v>
      </c>
      <c r="P53" s="124">
        <v>200</v>
      </c>
      <c r="Q53" s="124">
        <v>361</v>
      </c>
      <c r="R53" s="124">
        <v>487</v>
      </c>
      <c r="S53" s="178">
        <v>586</v>
      </c>
      <c r="T53" s="178">
        <v>648</v>
      </c>
      <c r="U53" s="178">
        <v>687</v>
      </c>
      <c r="V53" s="178">
        <v>379</v>
      </c>
      <c r="W53" s="101">
        <f t="shared" si="24"/>
        <v>0.26175025097327098</v>
      </c>
      <c r="X53" s="21">
        <f t="shared" si="6"/>
        <v>0.15</v>
      </c>
      <c r="Y53" s="130">
        <f t="shared" si="7"/>
        <v>790.05</v>
      </c>
      <c r="Z53" s="130">
        <f t="shared" ref="Z53" si="135">Y53*(1+$X53)</f>
        <v>908.55749999999989</v>
      </c>
      <c r="AA53" s="130">
        <f t="shared" ref="AA53" si="136">Z53*(1+$X53)</f>
        <v>1044.8411249999997</v>
      </c>
      <c r="AB53" s="130">
        <f t="shared" ref="AB53" si="137">AA53*(1+$X53)</f>
        <v>1201.5672937499996</v>
      </c>
      <c r="AC53" s="130">
        <f t="shared" si="40"/>
        <v>1381.8023878124995</v>
      </c>
      <c r="AD53" s="130">
        <f t="shared" si="41"/>
        <v>1589.0727459843743</v>
      </c>
      <c r="AE53" s="130">
        <f t="shared" si="42"/>
        <v>1827.4336578820303</v>
      </c>
      <c r="AF53" s="130">
        <f t="shared" si="43"/>
        <v>2101.5487065643347</v>
      </c>
      <c r="AG53" s="130">
        <f t="shared" si="44"/>
        <v>2416.7810125489846</v>
      </c>
      <c r="AH53" s="130">
        <f t="shared" si="45"/>
        <v>2779.2981644313322</v>
      </c>
      <c r="AI53" s="115">
        <f t="shared" si="2"/>
        <v>0.23865129979213462</v>
      </c>
      <c r="AJ53" s="21">
        <f t="shared" si="17"/>
        <v>0.01</v>
      </c>
      <c r="AK53" s="123" t="e">
        <f t="shared" si="23"/>
        <v>#DIV/0!</v>
      </c>
    </row>
    <row r="54" spans="1:37" s="106" customFormat="1">
      <c r="B54" s="13"/>
      <c r="C54" s="125"/>
      <c r="D54" s="125"/>
      <c r="E54" s="126"/>
      <c r="F54" s="266"/>
      <c r="G54" s="266">
        <f t="shared" ref="G54:R54" si="138">(G53-F53)/G53</f>
        <v>1</v>
      </c>
      <c r="H54" s="266" t="e">
        <f t="shared" si="138"/>
        <v>#DIV/0!</v>
      </c>
      <c r="I54" s="266" t="e">
        <f t="shared" si="138"/>
        <v>#DIV/0!</v>
      </c>
      <c r="J54" s="266" t="e">
        <f t="shared" si="138"/>
        <v>#DIV/0!</v>
      </c>
      <c r="K54" s="266" t="e">
        <f t="shared" si="138"/>
        <v>#DIV/0!</v>
      </c>
      <c r="L54" s="266" t="e">
        <f t="shared" si="138"/>
        <v>#DIV/0!</v>
      </c>
      <c r="M54" s="266" t="e">
        <f t="shared" si="138"/>
        <v>#DIV/0!</v>
      </c>
      <c r="N54" s="266">
        <f t="shared" si="138"/>
        <v>1</v>
      </c>
      <c r="O54" s="266">
        <f t="shared" si="138"/>
        <v>0</v>
      </c>
      <c r="P54" s="266">
        <f t="shared" si="138"/>
        <v>0.70499999999999996</v>
      </c>
      <c r="Q54" s="266">
        <f t="shared" si="138"/>
        <v>0.44598337950138506</v>
      </c>
      <c r="R54" s="266">
        <f t="shared" si="138"/>
        <v>0.25872689938398358</v>
      </c>
      <c r="S54" s="127">
        <f t="shared" ref="S54:U54" si="139">(S53-R53)/R53</f>
        <v>0.20328542094455851</v>
      </c>
      <c r="T54" s="127">
        <f t="shared" si="139"/>
        <v>0.10580204778156997</v>
      </c>
      <c r="U54" s="127">
        <f t="shared" si="139"/>
        <v>6.0185185185185182E-2</v>
      </c>
      <c r="V54" s="127">
        <f t="shared" ref="V54" si="140">(V53-U53)/U53</f>
        <v>-0.44832605531295489</v>
      </c>
      <c r="W54" s="10"/>
      <c r="X54" s="10"/>
      <c r="Y54" s="130"/>
      <c r="Z54" s="131"/>
      <c r="AA54" s="131"/>
      <c r="AB54" s="131"/>
      <c r="AC54" s="131"/>
      <c r="AD54" s="131"/>
      <c r="AE54" s="131"/>
      <c r="AF54" s="131"/>
      <c r="AG54" s="131"/>
      <c r="AH54" s="131"/>
      <c r="AI54" s="114"/>
      <c r="AJ54" s="114"/>
      <c r="AK54" s="114"/>
    </row>
    <row r="55" spans="1:37" s="106" customFormat="1">
      <c r="B55" s="10" t="s">
        <v>342</v>
      </c>
      <c r="C55" s="125"/>
      <c r="D55" s="125"/>
      <c r="E55" s="126"/>
      <c r="F55" s="124"/>
      <c r="G55" s="124">
        <f>N55</f>
        <v>59</v>
      </c>
      <c r="H55" s="124"/>
      <c r="I55" s="124"/>
      <c r="J55" s="124"/>
      <c r="K55" s="124"/>
      <c r="L55" s="124"/>
      <c r="M55" s="124"/>
      <c r="N55" s="124">
        <v>59</v>
      </c>
      <c r="O55" s="124">
        <v>59</v>
      </c>
      <c r="P55" s="124">
        <v>129</v>
      </c>
      <c r="Q55" s="124">
        <v>169</v>
      </c>
      <c r="R55" s="124">
        <v>226</v>
      </c>
      <c r="S55" s="178">
        <v>293</v>
      </c>
      <c r="T55" s="178">
        <v>323</v>
      </c>
      <c r="U55" s="178">
        <v>698</v>
      </c>
      <c r="V55" s="178">
        <v>379</v>
      </c>
      <c r="W55" s="101">
        <f t="shared" si="24"/>
        <v>0.26175025097327098</v>
      </c>
      <c r="X55" s="21">
        <f t="shared" si="6"/>
        <v>0.15</v>
      </c>
      <c r="Y55" s="130">
        <f t="shared" si="7"/>
        <v>802.69999999999993</v>
      </c>
      <c r="Z55" s="130">
        <f t="shared" ref="Z55" si="141">Y55*(1+$X55)</f>
        <v>923.1049999999999</v>
      </c>
      <c r="AA55" s="130">
        <f t="shared" ref="AA55" si="142">Z55*(1+$X55)</f>
        <v>1061.5707499999999</v>
      </c>
      <c r="AB55" s="130">
        <f t="shared" ref="AB55" si="143">AA55*(1+$X55)</f>
        <v>1220.8063624999998</v>
      </c>
      <c r="AC55" s="130">
        <f t="shared" ref="AC55" si="144">AB55*(1+$X55)</f>
        <v>1403.9273168749996</v>
      </c>
      <c r="AD55" s="130">
        <f t="shared" ref="AD55" si="145">AC55*(1+$X55)</f>
        <v>1614.5164144062494</v>
      </c>
      <c r="AE55" s="130">
        <f t="shared" ref="AE55" si="146">AD55*(1+$X55)</f>
        <v>1856.6938765671866</v>
      </c>
      <c r="AF55" s="130">
        <f t="shared" ref="AF55" si="147">AE55*(1+$X55)</f>
        <v>2135.1979580522643</v>
      </c>
      <c r="AG55" s="130">
        <f t="shared" ref="AG55" si="148">AF55*(1+$X55)</f>
        <v>2455.477651760104</v>
      </c>
      <c r="AH55" s="130">
        <f t="shared" ref="AH55" si="149">AG55*(1+$X55)</f>
        <v>2823.7992995241193</v>
      </c>
      <c r="AI55" s="115">
        <f t="shared" si="2"/>
        <v>0.23974487899180419</v>
      </c>
      <c r="AJ55" s="21">
        <f t="shared" si="17"/>
        <v>0.01</v>
      </c>
      <c r="AK55" s="123" t="e">
        <f t="shared" si="23"/>
        <v>#DIV/0!</v>
      </c>
    </row>
    <row r="56" spans="1:37" s="106" customFormat="1">
      <c r="B56" s="13"/>
      <c r="C56" s="125"/>
      <c r="D56" s="125"/>
      <c r="E56" s="126"/>
      <c r="F56" s="266"/>
      <c r="G56" s="266">
        <f t="shared" ref="G56:R56" si="150">(G55-F55)/G55</f>
        <v>1</v>
      </c>
      <c r="H56" s="266" t="e">
        <f t="shared" si="150"/>
        <v>#DIV/0!</v>
      </c>
      <c r="I56" s="266" t="e">
        <f t="shared" si="150"/>
        <v>#DIV/0!</v>
      </c>
      <c r="J56" s="266" t="e">
        <f t="shared" si="150"/>
        <v>#DIV/0!</v>
      </c>
      <c r="K56" s="266" t="e">
        <f t="shared" si="150"/>
        <v>#DIV/0!</v>
      </c>
      <c r="L56" s="266" t="e">
        <f t="shared" si="150"/>
        <v>#DIV/0!</v>
      </c>
      <c r="M56" s="266" t="e">
        <f t="shared" si="150"/>
        <v>#DIV/0!</v>
      </c>
      <c r="N56" s="266">
        <f t="shared" si="150"/>
        <v>1</v>
      </c>
      <c r="O56" s="266">
        <f t="shared" si="150"/>
        <v>0</v>
      </c>
      <c r="P56" s="266">
        <f t="shared" si="150"/>
        <v>0.54263565891472865</v>
      </c>
      <c r="Q56" s="266">
        <f t="shared" si="150"/>
        <v>0.23668639053254437</v>
      </c>
      <c r="R56" s="266">
        <f t="shared" si="150"/>
        <v>0.25221238938053098</v>
      </c>
      <c r="S56" s="127">
        <f t="shared" ref="S56:U56" si="151">(S55-R55)/R55</f>
        <v>0.29646017699115046</v>
      </c>
      <c r="T56" s="127">
        <f t="shared" si="151"/>
        <v>0.10238907849829351</v>
      </c>
      <c r="U56" s="127">
        <f t="shared" si="151"/>
        <v>1.1609907120743035</v>
      </c>
      <c r="V56" s="127">
        <f t="shared" ref="V56" si="152">(V55-U55)/U55</f>
        <v>-0.45702005730659023</v>
      </c>
      <c r="W56" s="10"/>
      <c r="X56" s="10"/>
      <c r="Y56" s="130"/>
      <c r="Z56" s="131"/>
      <c r="AA56" s="131"/>
      <c r="AB56" s="131"/>
      <c r="AC56" s="131"/>
      <c r="AD56" s="131"/>
      <c r="AE56" s="131"/>
      <c r="AF56" s="131"/>
      <c r="AG56" s="131"/>
      <c r="AH56" s="131"/>
      <c r="AI56" s="114"/>
      <c r="AJ56" s="114"/>
      <c r="AK56" s="114"/>
    </row>
    <row r="57" spans="1:37" s="106" customFormat="1">
      <c r="B57" s="10" t="s">
        <v>504</v>
      </c>
      <c r="C57" s="125"/>
      <c r="D57" s="125"/>
      <c r="E57" s="126"/>
      <c r="F57" s="266"/>
      <c r="G57" s="124">
        <f>N57</f>
        <v>0.21</v>
      </c>
      <c r="H57" s="124"/>
      <c r="I57" s="124"/>
      <c r="J57" s="124"/>
      <c r="K57" s="124"/>
      <c r="L57" s="124"/>
      <c r="M57" s="124"/>
      <c r="N57" s="124">
        <v>0.21</v>
      </c>
      <c r="O57" s="124">
        <v>0.21</v>
      </c>
      <c r="P57" s="124">
        <v>0.77</v>
      </c>
      <c r="Q57" s="124">
        <v>0.87</v>
      </c>
      <c r="R57" s="124">
        <v>0.71</v>
      </c>
      <c r="S57" s="178">
        <v>0.51</v>
      </c>
      <c r="T57" s="178">
        <v>1.88</v>
      </c>
      <c r="U57" s="178">
        <v>4</v>
      </c>
      <c r="V57" s="178">
        <v>18</v>
      </c>
      <c r="W57" s="101">
        <f t="shared" si="24"/>
        <v>0.74434205423361099</v>
      </c>
      <c r="X57" s="21">
        <f t="shared" si="6"/>
        <v>0.15</v>
      </c>
      <c r="Y57" s="130">
        <f t="shared" ref="Y57" si="153">U57*(1+$X57)</f>
        <v>4.5999999999999996</v>
      </c>
      <c r="Z57" s="130">
        <f t="shared" ref="Z57" si="154">Y57*(1+$X57)</f>
        <v>5.2899999999999991</v>
      </c>
      <c r="AA57" s="130">
        <f t="shared" ref="AA57" si="155">Z57*(1+$X57)</f>
        <v>6.0834999999999981</v>
      </c>
      <c r="AB57" s="130">
        <f t="shared" ref="AB57" si="156">AA57*(1+$X57)</f>
        <v>6.9960249999999977</v>
      </c>
      <c r="AC57" s="130">
        <f t="shared" ref="AC57" si="157">AB57*(1+$X57)</f>
        <v>8.0454287499999975</v>
      </c>
      <c r="AD57" s="130">
        <f t="shared" ref="AD57" si="158">AC57*(1+$X57)</f>
        <v>9.2522430624999963</v>
      </c>
      <c r="AE57" s="130">
        <f t="shared" ref="AE57" si="159">AD57*(1+$X57)</f>
        <v>10.640079521874995</v>
      </c>
      <c r="AF57" s="130">
        <f t="shared" ref="AF57" si="160">AE57*(1+$X57)</f>
        <v>12.236091450156243</v>
      </c>
      <c r="AG57" s="130">
        <f t="shared" ref="AG57" si="161">AF57*(1+$X57)</f>
        <v>14.071505167679678</v>
      </c>
      <c r="AH57" s="130">
        <f t="shared" ref="AH57" si="162">AG57*(1+$X57)</f>
        <v>16.18223094283163</v>
      </c>
      <c r="AI57" s="115">
        <f t="shared" si="2"/>
        <v>0.27298499147373012</v>
      </c>
      <c r="AJ57" s="21">
        <f t="shared" si="17"/>
        <v>0.01</v>
      </c>
      <c r="AK57" s="123" t="e">
        <f t="shared" si="23"/>
        <v>#DIV/0!</v>
      </c>
    </row>
    <row r="58" spans="1:37" s="106" customFormat="1">
      <c r="B58" s="13"/>
      <c r="C58" s="125"/>
      <c r="D58" s="125"/>
      <c r="E58" s="126"/>
      <c r="F58" s="266"/>
      <c r="G58" s="266">
        <f t="shared" ref="G58:R58" si="163">(G57-F57)/G57</f>
        <v>1</v>
      </c>
      <c r="H58" s="266" t="e">
        <f t="shared" si="163"/>
        <v>#DIV/0!</v>
      </c>
      <c r="I58" s="266" t="e">
        <f t="shared" si="163"/>
        <v>#DIV/0!</v>
      </c>
      <c r="J58" s="266" t="e">
        <f t="shared" si="163"/>
        <v>#DIV/0!</v>
      </c>
      <c r="K58" s="266" t="e">
        <f t="shared" si="163"/>
        <v>#DIV/0!</v>
      </c>
      <c r="L58" s="266" t="e">
        <f t="shared" si="163"/>
        <v>#DIV/0!</v>
      </c>
      <c r="M58" s="266" t="e">
        <f t="shared" si="163"/>
        <v>#DIV/0!</v>
      </c>
      <c r="N58" s="266">
        <f t="shared" si="163"/>
        <v>1</v>
      </c>
      <c r="O58" s="266">
        <f t="shared" si="163"/>
        <v>0</v>
      </c>
      <c r="P58" s="266">
        <f t="shared" si="163"/>
        <v>0.72727272727272729</v>
      </c>
      <c r="Q58" s="266">
        <f t="shared" si="163"/>
        <v>0.11494252873563215</v>
      </c>
      <c r="R58" s="266">
        <f t="shared" si="163"/>
        <v>-0.2253521126760564</v>
      </c>
      <c r="S58" s="127">
        <f t="shared" ref="S58:U58" si="164">(S57-R57)/R57</f>
        <v>-0.28169014084507038</v>
      </c>
      <c r="T58" s="127">
        <f t="shared" si="164"/>
        <v>2.6862745098039214</v>
      </c>
      <c r="U58" s="127">
        <f t="shared" si="164"/>
        <v>1.1276595744680853</v>
      </c>
      <c r="V58" s="127">
        <f t="shared" ref="V58" si="165">(V57-U57)/U57</f>
        <v>3.5</v>
      </c>
      <c r="W58" s="10"/>
      <c r="X58" s="10"/>
      <c r="Y58" s="130"/>
      <c r="Z58" s="131"/>
      <c r="AA58" s="131"/>
      <c r="AB58" s="131"/>
      <c r="AC58" s="131"/>
      <c r="AD58" s="131"/>
      <c r="AE58" s="131"/>
      <c r="AF58" s="131"/>
      <c r="AG58" s="131"/>
      <c r="AH58" s="131"/>
      <c r="AI58" s="114"/>
      <c r="AJ58" s="114"/>
      <c r="AK58" s="114"/>
    </row>
    <row r="59" spans="1:37">
      <c r="B59" s="10" t="s">
        <v>343</v>
      </c>
      <c r="C59" s="118"/>
      <c r="D59" s="118"/>
      <c r="E59" s="124"/>
      <c r="F59" s="124"/>
      <c r="G59" s="124">
        <f>N59</f>
        <v>53</v>
      </c>
      <c r="H59" s="124"/>
      <c r="I59" s="124"/>
      <c r="J59" s="124"/>
      <c r="K59" s="124"/>
      <c r="L59" s="124"/>
      <c r="M59" s="124"/>
      <c r="N59" s="124">
        <v>53</v>
      </c>
      <c r="O59" s="124">
        <v>53</v>
      </c>
      <c r="P59" s="124">
        <v>90</v>
      </c>
      <c r="Q59" s="124">
        <v>112</v>
      </c>
      <c r="R59" s="124">
        <v>149</v>
      </c>
      <c r="S59" s="178">
        <v>191</v>
      </c>
      <c r="T59" s="178">
        <v>211</v>
      </c>
      <c r="U59" s="178">
        <v>200</v>
      </c>
      <c r="V59" s="178">
        <v>240</v>
      </c>
      <c r="W59" s="101">
        <f t="shared" si="24"/>
        <v>0.20779136828531808</v>
      </c>
      <c r="X59" s="21">
        <f t="shared" si="6"/>
        <v>0.15</v>
      </c>
      <c r="Y59" s="130">
        <f t="shared" si="7"/>
        <v>229.99999999999997</v>
      </c>
      <c r="Z59" s="130">
        <f t="shared" ref="Z59:AH59" si="166">Y59*(1+$X59)</f>
        <v>264.49999999999994</v>
      </c>
      <c r="AA59" s="130">
        <f t="shared" si="166"/>
        <v>304.1749999999999</v>
      </c>
      <c r="AB59" s="130">
        <f t="shared" si="166"/>
        <v>349.80124999999987</v>
      </c>
      <c r="AC59" s="130">
        <f t="shared" si="166"/>
        <v>402.27143749999982</v>
      </c>
      <c r="AD59" s="130">
        <f t="shared" si="166"/>
        <v>462.61215312499974</v>
      </c>
      <c r="AE59" s="130">
        <f t="shared" si="166"/>
        <v>532.00397609374966</v>
      </c>
      <c r="AF59" s="130">
        <f t="shared" si="166"/>
        <v>611.80457250781205</v>
      </c>
      <c r="AG59" s="130">
        <f t="shared" si="166"/>
        <v>703.57525838398385</v>
      </c>
      <c r="AH59" s="130">
        <f t="shared" si="166"/>
        <v>809.11154714158135</v>
      </c>
      <c r="AI59" s="115">
        <f t="shared" si="2"/>
        <v>0.16349070555077128</v>
      </c>
      <c r="AJ59" s="21">
        <f t="shared" si="17"/>
        <v>0.01</v>
      </c>
      <c r="AK59" s="123" t="e">
        <f t="shared" si="23"/>
        <v>#DIV/0!</v>
      </c>
    </row>
    <row r="60" spans="1:37" s="106" customFormat="1">
      <c r="B60" s="13"/>
      <c r="C60" s="125"/>
      <c r="D60" s="125"/>
      <c r="E60" s="126"/>
      <c r="F60" s="266"/>
      <c r="G60" s="266">
        <f>(G59-F59)/G59</f>
        <v>1</v>
      </c>
      <c r="H60" s="266" t="e">
        <f t="shared" ref="H60:R60" si="167">(H59-G59)/H59</f>
        <v>#DIV/0!</v>
      </c>
      <c r="I60" s="266" t="e">
        <f t="shared" si="167"/>
        <v>#DIV/0!</v>
      </c>
      <c r="J60" s="266" t="e">
        <f t="shared" si="167"/>
        <v>#DIV/0!</v>
      </c>
      <c r="K60" s="266" t="e">
        <f t="shared" si="167"/>
        <v>#DIV/0!</v>
      </c>
      <c r="L60" s="266" t="e">
        <f t="shared" si="167"/>
        <v>#DIV/0!</v>
      </c>
      <c r="M60" s="266" t="e">
        <f t="shared" si="167"/>
        <v>#DIV/0!</v>
      </c>
      <c r="N60" s="266">
        <f t="shared" si="167"/>
        <v>1</v>
      </c>
      <c r="O60" s="266">
        <f t="shared" si="167"/>
        <v>0</v>
      </c>
      <c r="P60" s="266">
        <f t="shared" si="167"/>
        <v>0.41111111111111109</v>
      </c>
      <c r="Q60" s="266">
        <f t="shared" si="167"/>
        <v>0.19642857142857142</v>
      </c>
      <c r="R60" s="266">
        <f t="shared" si="167"/>
        <v>0.24832214765100671</v>
      </c>
      <c r="S60" s="127">
        <f t="shared" ref="S60:U60" si="168">(S59-R59)/R59</f>
        <v>0.28187919463087246</v>
      </c>
      <c r="T60" s="127">
        <f t="shared" si="168"/>
        <v>0.10471204188481675</v>
      </c>
      <c r="U60" s="127">
        <f t="shared" si="168"/>
        <v>-5.2132701421800945E-2</v>
      </c>
      <c r="V60" s="127">
        <f t="shared" ref="V60" si="169">(V59-U59)/U59</f>
        <v>0.2</v>
      </c>
      <c r="W60" s="10"/>
      <c r="X60" s="10"/>
      <c r="Y60" s="130"/>
      <c r="Z60" s="131"/>
      <c r="AA60" s="131"/>
      <c r="AB60" s="131"/>
      <c r="AC60" s="131"/>
      <c r="AD60" s="131"/>
      <c r="AE60" s="131"/>
      <c r="AF60" s="131"/>
      <c r="AG60" s="131"/>
      <c r="AH60" s="131"/>
      <c r="AI60" s="114"/>
      <c r="AJ60" s="114"/>
      <c r="AK60" s="114"/>
    </row>
    <row r="61" spans="1:37">
      <c r="B61" s="10" t="s">
        <v>197</v>
      </c>
      <c r="C61" s="119"/>
      <c r="D61" s="119"/>
      <c r="E61" s="122"/>
      <c r="F61" s="124"/>
      <c r="G61" s="124">
        <f>N61</f>
        <v>7.74</v>
      </c>
      <c r="H61" s="268"/>
      <c r="I61" s="268"/>
      <c r="J61" s="268"/>
      <c r="K61" s="268"/>
      <c r="L61" s="268"/>
      <c r="M61" s="268"/>
      <c r="N61" s="268">
        <v>7.74</v>
      </c>
      <c r="O61" s="268">
        <v>7.74</v>
      </c>
      <c r="P61" s="268">
        <v>6.86</v>
      </c>
      <c r="Q61" s="122">
        <v>6.86</v>
      </c>
      <c r="R61" s="122">
        <v>6.86</v>
      </c>
      <c r="S61" s="122">
        <v>7.33</v>
      </c>
      <c r="T61" s="122">
        <v>7.83</v>
      </c>
      <c r="U61" s="276">
        <v>9.23</v>
      </c>
      <c r="V61" s="122">
        <v>9.23</v>
      </c>
      <c r="W61" s="101">
        <f t="shared" si="24"/>
        <v>2.2251114101329517E-2</v>
      </c>
      <c r="X61" s="21">
        <v>0.02</v>
      </c>
      <c r="Y61" s="130">
        <f t="shared" si="7"/>
        <v>9.4146000000000001</v>
      </c>
      <c r="Z61" s="130">
        <f>Y61*(1+$X61)</f>
        <v>9.6028920000000006</v>
      </c>
      <c r="AA61" s="130">
        <f t="shared" ref="AA61:AH61" si="170">Z61*(1+$X61)</f>
        <v>9.794949840000001</v>
      </c>
      <c r="AB61" s="130">
        <f t="shared" si="170"/>
        <v>9.9908488368000015</v>
      </c>
      <c r="AC61" s="130">
        <f t="shared" si="170"/>
        <v>10.190665813536002</v>
      </c>
      <c r="AD61" s="130">
        <f t="shared" si="170"/>
        <v>10.394479129806722</v>
      </c>
      <c r="AE61" s="130">
        <f t="shared" si="170"/>
        <v>10.602368712402857</v>
      </c>
      <c r="AF61" s="130">
        <f t="shared" si="170"/>
        <v>10.814416086650914</v>
      </c>
      <c r="AG61" s="130">
        <f t="shared" si="170"/>
        <v>11.030704408383931</v>
      </c>
      <c r="AH61" s="130">
        <f t="shared" si="170"/>
        <v>11.25131849655161</v>
      </c>
      <c r="AI61" s="115">
        <f t="shared" si="2"/>
        <v>2.0999882504994849E-2</v>
      </c>
      <c r="AJ61" s="21">
        <f t="shared" si="17"/>
        <v>0.01</v>
      </c>
      <c r="AK61" s="123" t="e">
        <f t="shared" si="23"/>
        <v>#DIV/0!</v>
      </c>
    </row>
    <row r="62" spans="1:37">
      <c r="B62" s="10"/>
      <c r="C62" s="119"/>
      <c r="D62" s="119"/>
      <c r="E62" s="120"/>
      <c r="F62" s="266"/>
      <c r="G62" s="266">
        <f t="shared" ref="G62" si="171">(G61-E61)/G61</f>
        <v>1</v>
      </c>
      <c r="H62" s="266" t="e">
        <f>(H61-F61)/H61</f>
        <v>#DIV/0!</v>
      </c>
      <c r="I62" s="266" t="e">
        <f t="shared" ref="I62:R62" si="172">(I61-H61)/I61</f>
        <v>#DIV/0!</v>
      </c>
      <c r="J62" s="266" t="e">
        <f t="shared" si="172"/>
        <v>#DIV/0!</v>
      </c>
      <c r="K62" s="266" t="e">
        <f t="shared" si="172"/>
        <v>#DIV/0!</v>
      </c>
      <c r="L62" s="266" t="e">
        <f t="shared" si="172"/>
        <v>#DIV/0!</v>
      </c>
      <c r="M62" s="266" t="e">
        <f t="shared" si="172"/>
        <v>#DIV/0!</v>
      </c>
      <c r="N62" s="266">
        <f t="shared" si="172"/>
        <v>1</v>
      </c>
      <c r="O62" s="266">
        <f t="shared" si="172"/>
        <v>0</v>
      </c>
      <c r="P62" s="266">
        <f t="shared" si="172"/>
        <v>-0.12827988338192417</v>
      </c>
      <c r="Q62" s="266">
        <f t="shared" si="172"/>
        <v>0</v>
      </c>
      <c r="R62" s="266">
        <f t="shared" si="172"/>
        <v>0</v>
      </c>
      <c r="S62" s="127">
        <f t="shared" ref="S62:U62" si="173">(S61-R61)/R61</f>
        <v>6.8513119533527664E-2</v>
      </c>
      <c r="T62" s="127">
        <f t="shared" si="173"/>
        <v>6.8212824010914053E-2</v>
      </c>
      <c r="U62" s="127">
        <f t="shared" si="173"/>
        <v>0.17879948914431679</v>
      </c>
      <c r="V62" s="127">
        <f t="shared" ref="V62" si="174">(V61-U61)/U61</f>
        <v>0</v>
      </c>
      <c r="W62" s="10"/>
      <c r="X62" s="1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14"/>
      <c r="AJ62" s="114"/>
      <c r="AK62" s="114"/>
    </row>
    <row r="63" spans="1:37">
      <c r="B63" s="10" t="s">
        <v>232</v>
      </c>
      <c r="C63" s="122"/>
      <c r="D63" s="122"/>
      <c r="E63" s="122"/>
      <c r="F63" s="124"/>
      <c r="G63" s="269">
        <f>N63</f>
        <v>1</v>
      </c>
      <c r="H63" s="269"/>
      <c r="I63" s="269"/>
      <c r="J63" s="269"/>
      <c r="K63" s="269"/>
      <c r="L63" s="269"/>
      <c r="M63" s="269"/>
      <c r="N63" s="269">
        <v>1</v>
      </c>
      <c r="O63" s="269" t="s">
        <v>57</v>
      </c>
      <c r="P63" s="269" t="s">
        <v>57</v>
      </c>
      <c r="Q63" s="124" t="s">
        <v>57</v>
      </c>
      <c r="R63" s="124" t="s">
        <v>57</v>
      </c>
      <c r="S63" s="178" t="s">
        <v>57</v>
      </c>
      <c r="T63" s="178" t="s">
        <v>57</v>
      </c>
      <c r="U63" s="178">
        <v>1</v>
      </c>
      <c r="V63" s="178">
        <v>1</v>
      </c>
      <c r="W63" s="101">
        <f t="shared" si="24"/>
        <v>0</v>
      </c>
      <c r="X63" s="21">
        <v>0.02</v>
      </c>
      <c r="Y63" s="130">
        <f t="shared" si="7"/>
        <v>1.02</v>
      </c>
      <c r="Z63" s="130">
        <f t="shared" ref="Z63" si="175">Y63*(1+$X63)</f>
        <v>1.0404</v>
      </c>
      <c r="AA63" s="130">
        <f t="shared" ref="AA63" si="176">Z63*(1+$X63)</f>
        <v>1.0612079999999999</v>
      </c>
      <c r="AB63" s="130">
        <f t="shared" ref="AB63" si="177">AA63*(1+$X63)</f>
        <v>1.08243216</v>
      </c>
      <c r="AC63" s="130">
        <f t="shared" ref="AC63" si="178">AB63*(1+$X63)</f>
        <v>1.1040808032</v>
      </c>
      <c r="AD63" s="130">
        <f t="shared" ref="AD63" si="179">AC63*(1+$X63)</f>
        <v>1.1261624192640001</v>
      </c>
      <c r="AE63" s="130">
        <f t="shared" ref="AE63" si="180">AD63*(1+$X63)</f>
        <v>1.14868566764928</v>
      </c>
      <c r="AF63" s="130">
        <f t="shared" ref="AF63" si="181">AE63*(1+$X63)</f>
        <v>1.1716593810022657</v>
      </c>
      <c r="AG63" s="130">
        <f t="shared" ref="AG63" si="182">AF63*(1+$X63)</f>
        <v>1.1950925686223111</v>
      </c>
      <c r="AH63" s="130">
        <f t="shared" ref="AH63" si="183">AG63*(1+$X63)</f>
        <v>1.2189944199947573</v>
      </c>
      <c r="AI63" s="115">
        <f t="shared" si="2"/>
        <v>1.1062198199115247E-2</v>
      </c>
      <c r="AJ63" s="21">
        <f t="shared" si="17"/>
        <v>0.01</v>
      </c>
      <c r="AK63" s="123" t="e">
        <f t="shared" si="23"/>
        <v>#DIV/0!</v>
      </c>
    </row>
    <row r="64" spans="1:37">
      <c r="B64" s="10"/>
      <c r="C64" s="122"/>
      <c r="D64" s="122"/>
      <c r="E64" s="122"/>
      <c r="F64" s="127"/>
      <c r="G64" s="127" t="e">
        <f t="shared" ref="G64:H64" si="184">(G63-E63)/E63</f>
        <v>#DIV/0!</v>
      </c>
      <c r="H64" s="127" t="e">
        <f t="shared" si="184"/>
        <v>#DIV/0!</v>
      </c>
      <c r="I64" s="127" t="e">
        <f t="shared" ref="I64:U64" si="185">(I63-H63)/H63</f>
        <v>#DIV/0!</v>
      </c>
      <c r="J64" s="127" t="e">
        <f t="shared" si="185"/>
        <v>#DIV/0!</v>
      </c>
      <c r="K64" s="127" t="e">
        <f t="shared" si="185"/>
        <v>#DIV/0!</v>
      </c>
      <c r="L64" s="127" t="e">
        <f t="shared" si="185"/>
        <v>#DIV/0!</v>
      </c>
      <c r="M64" s="127" t="e">
        <f t="shared" si="185"/>
        <v>#DIV/0!</v>
      </c>
      <c r="N64" s="127" t="e">
        <f t="shared" si="185"/>
        <v>#DIV/0!</v>
      </c>
      <c r="O64" s="127" t="e">
        <f t="shared" si="185"/>
        <v>#VALUE!</v>
      </c>
      <c r="P64" s="127" t="e">
        <f t="shared" si="185"/>
        <v>#VALUE!</v>
      </c>
      <c r="Q64" s="127" t="e">
        <f t="shared" si="185"/>
        <v>#VALUE!</v>
      </c>
      <c r="R64" s="127" t="e">
        <f t="shared" si="185"/>
        <v>#VALUE!</v>
      </c>
      <c r="S64" s="127" t="e">
        <f t="shared" si="185"/>
        <v>#VALUE!</v>
      </c>
      <c r="T64" s="127" t="e">
        <f t="shared" si="185"/>
        <v>#VALUE!</v>
      </c>
      <c r="U64" s="127" t="e">
        <f t="shared" si="185"/>
        <v>#VALUE!</v>
      </c>
      <c r="V64" s="127">
        <f t="shared" ref="V64" si="186">(V63-U63)/U63</f>
        <v>0</v>
      </c>
      <c r="W64" s="10"/>
      <c r="X64" s="1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16"/>
      <c r="AJ64" s="114"/>
      <c r="AK64" s="123"/>
    </row>
    <row r="65" spans="2:37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01" t="e">
        <f t="shared" si="24"/>
        <v>#DIV/0!</v>
      </c>
      <c r="X65" s="109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16"/>
      <c r="AJ65" s="114"/>
      <c r="AK65" s="123"/>
    </row>
    <row r="66" spans="2:37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>
        <v>0</v>
      </c>
      <c r="W66" s="101" t="e">
        <f t="shared" si="24"/>
        <v>#DIV/0!</v>
      </c>
      <c r="X66" s="109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16"/>
      <c r="AJ66" s="114"/>
      <c r="AK66" s="123"/>
    </row>
    <row r="67" spans="2:37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>
        <v>0</v>
      </c>
      <c r="W67" s="101" t="e">
        <f t="shared" si="24"/>
        <v>#DIV/0!</v>
      </c>
      <c r="X67" s="109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16"/>
      <c r="AJ67" s="114"/>
      <c r="AK67" s="123"/>
    </row>
    <row r="68" spans="2:37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16"/>
      <c r="AJ68" s="114"/>
      <c r="AK68" s="123"/>
    </row>
    <row r="69" spans="2:37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16"/>
      <c r="AJ69" s="114"/>
      <c r="AK69" s="123"/>
    </row>
    <row r="70" spans="2:37">
      <c r="B70" s="10" t="s">
        <v>252</v>
      </c>
      <c r="C70" s="111"/>
      <c r="D70" s="111"/>
      <c r="E70" s="111"/>
      <c r="F70" s="111"/>
      <c r="G70" s="111">
        <f t="shared" ref="G70" si="187">G25/G61</f>
        <v>11.498708010335918</v>
      </c>
      <c r="H70" s="111" t="e">
        <f t="shared" ref="H70:I70" si="188">H25/H61</f>
        <v>#DIV/0!</v>
      </c>
      <c r="I70" s="111" t="e">
        <f t="shared" si="188"/>
        <v>#DIV/0!</v>
      </c>
      <c r="J70" s="111" t="e">
        <f t="shared" ref="J70:S70" si="189">J25/J61</f>
        <v>#DIV/0!</v>
      </c>
      <c r="K70" s="111" t="e">
        <f t="shared" si="189"/>
        <v>#DIV/0!</v>
      </c>
      <c r="L70" s="111" t="e">
        <f t="shared" si="189"/>
        <v>#DIV/0!</v>
      </c>
      <c r="M70" s="111" t="e">
        <f t="shared" si="189"/>
        <v>#DIV/0!</v>
      </c>
      <c r="N70" s="111">
        <f t="shared" si="189"/>
        <v>11.498708010335918</v>
      </c>
      <c r="O70" s="111">
        <f t="shared" si="189"/>
        <v>11.498708010335918</v>
      </c>
      <c r="P70" s="111">
        <f t="shared" si="189"/>
        <v>35.131195335276963</v>
      </c>
      <c r="Q70" s="111">
        <f t="shared" si="189"/>
        <v>57.871720116618071</v>
      </c>
      <c r="R70" s="111">
        <f t="shared" si="189"/>
        <v>76.967930029154516</v>
      </c>
      <c r="S70" s="111">
        <f t="shared" si="189"/>
        <v>87.858117326057297</v>
      </c>
      <c r="T70" s="111">
        <f t="shared" ref="T70:U70" si="190">T25/T61</f>
        <v>91.954022988505741</v>
      </c>
      <c r="U70" s="111">
        <f t="shared" si="190"/>
        <v>89.924160346695558</v>
      </c>
      <c r="V70" s="111">
        <f t="shared" ref="V70" si="191">V25/V61</f>
        <v>130.55254604550379</v>
      </c>
      <c r="W70" s="101">
        <f t="shared" ref="W70:W133" si="192">((V70/G70)^(1/($K$2-$K$1) ))-1</f>
        <v>0.35485256380283325</v>
      </c>
      <c r="X70" s="109"/>
      <c r="Y70" s="133">
        <f t="shared" ref="Y70:AH70" si="193">Y25/Y61</f>
        <v>101.3850827438234</v>
      </c>
      <c r="Z70" s="133">
        <f t="shared" si="193"/>
        <v>114.30671093666362</v>
      </c>
      <c r="AA70" s="133">
        <f t="shared" si="193"/>
        <v>128.87521331094428</v>
      </c>
      <c r="AB70" s="133">
        <f t="shared" si="193"/>
        <v>145.30048559567246</v>
      </c>
      <c r="AC70" s="133">
        <f t="shared" si="193"/>
        <v>163.81917493629734</v>
      </c>
      <c r="AD70" s="133">
        <f t="shared" si="193"/>
        <v>184.6980893889627</v>
      </c>
      <c r="AE70" s="133">
        <f t="shared" si="193"/>
        <v>208.23804195814418</v>
      </c>
      <c r="AF70" s="133">
        <f t="shared" si="193"/>
        <v>234.7781845606527</v>
      </c>
      <c r="AG70" s="133">
        <f t="shared" si="193"/>
        <v>264.70089435759866</v>
      </c>
      <c r="AH70" s="133">
        <f t="shared" si="193"/>
        <v>298.43728285415528</v>
      </c>
      <c r="AI70" s="115" t="e">
        <f t="shared" ref="AI70" si="194">((AH70/J70)^(1/($AH$3-$K$1) ))-1</f>
        <v>#DIV/0!</v>
      </c>
      <c r="AJ70" s="21">
        <f t="shared" si="17"/>
        <v>0.01</v>
      </c>
      <c r="AK70" s="123" t="e">
        <f t="shared" si="23"/>
        <v>#DIV/0!</v>
      </c>
    </row>
    <row r="71" spans="2:37">
      <c r="B71" s="10" t="s">
        <v>253</v>
      </c>
      <c r="C71" s="111"/>
      <c r="D71" s="111"/>
      <c r="E71" s="111"/>
      <c r="F71" s="111"/>
      <c r="G71" s="111">
        <f t="shared" ref="G71" si="195">G27/G61</f>
        <v>3.8759689922480618</v>
      </c>
      <c r="H71" s="111" t="e">
        <f t="shared" ref="H71:I71" si="196">H27/H61</f>
        <v>#DIV/0!</v>
      </c>
      <c r="I71" s="111" t="e">
        <f t="shared" si="196"/>
        <v>#DIV/0!</v>
      </c>
      <c r="J71" s="111" t="e">
        <f t="shared" ref="J71:S71" si="197">J27/J61</f>
        <v>#DIV/0!</v>
      </c>
      <c r="K71" s="111" t="e">
        <f t="shared" si="197"/>
        <v>#DIV/0!</v>
      </c>
      <c r="L71" s="111" t="e">
        <f t="shared" si="197"/>
        <v>#DIV/0!</v>
      </c>
      <c r="M71" s="111" t="e">
        <f t="shared" si="197"/>
        <v>#DIV/0!</v>
      </c>
      <c r="N71" s="111">
        <f t="shared" si="197"/>
        <v>3.8759689922480618</v>
      </c>
      <c r="O71" s="111">
        <f t="shared" si="197"/>
        <v>3.8759689922480618</v>
      </c>
      <c r="P71" s="111">
        <f t="shared" si="197"/>
        <v>4.6647230320699702</v>
      </c>
      <c r="Q71" s="111">
        <f t="shared" si="197"/>
        <v>4.8104956268221573</v>
      </c>
      <c r="R71" s="111">
        <f t="shared" si="197"/>
        <v>5.8309037900874632</v>
      </c>
      <c r="S71" s="111">
        <f t="shared" si="197"/>
        <v>7.9126875852660303</v>
      </c>
      <c r="T71" s="111">
        <f t="shared" ref="T71:U71" si="198">T27/T61</f>
        <v>8.9399744572158362</v>
      </c>
      <c r="U71" s="111">
        <f t="shared" si="198"/>
        <v>14.301191765980498</v>
      </c>
      <c r="V71" s="111">
        <f t="shared" ref="V71" si="199">V27/V61</f>
        <v>27.085590465872155</v>
      </c>
      <c r="W71" s="101">
        <f t="shared" si="192"/>
        <v>0.27510148549684299</v>
      </c>
      <c r="X71" s="109"/>
      <c r="Y71" s="133">
        <f t="shared" ref="Y71:AH71" si="200">Y27/Y61</f>
        <v>16.123892677330954</v>
      </c>
      <c r="Z71" s="133">
        <f t="shared" si="200"/>
        <v>18.178898606794696</v>
      </c>
      <c r="AA71" s="133">
        <f t="shared" si="200"/>
        <v>20.495817056680295</v>
      </c>
      <c r="AB71" s="133">
        <f t="shared" si="200"/>
        <v>23.108029034492489</v>
      </c>
      <c r="AC71" s="133">
        <f t="shared" si="200"/>
        <v>26.053169989868977</v>
      </c>
      <c r="AD71" s="133">
        <f t="shared" si="200"/>
        <v>29.373672047401296</v>
      </c>
      <c r="AE71" s="133">
        <f t="shared" si="200"/>
        <v>33.117375347560284</v>
      </c>
      <c r="AF71" s="133">
        <f t="shared" si="200"/>
        <v>37.338217303621889</v>
      </c>
      <c r="AG71" s="133">
        <f t="shared" si="200"/>
        <v>42.097009705063897</v>
      </c>
      <c r="AH71" s="133">
        <f t="shared" si="200"/>
        <v>47.462314863552429</v>
      </c>
      <c r="AI71" s="115" t="e">
        <f t="shared" ref="AI71" si="201">((AH71/J71)^(1/($AH$3-$K$1) ))-1</f>
        <v>#DIV/0!</v>
      </c>
      <c r="AJ71" s="21">
        <f t="shared" si="17"/>
        <v>0.01</v>
      </c>
      <c r="AK71" s="123" t="e">
        <f t="shared" si="23"/>
        <v>#DIV/0!</v>
      </c>
    </row>
    <row r="72" spans="2:37">
      <c r="B72" s="10" t="s">
        <v>369</v>
      </c>
      <c r="C72" s="111"/>
      <c r="D72" s="111"/>
      <c r="E72" s="111"/>
      <c r="F72" s="111"/>
      <c r="G72" s="111">
        <f t="shared" ref="G72" si="202">G55-G59</f>
        <v>6</v>
      </c>
      <c r="H72" s="111">
        <f t="shared" ref="H72:I72" si="203">H55-H59</f>
        <v>0</v>
      </c>
      <c r="I72" s="111">
        <f t="shared" si="203"/>
        <v>0</v>
      </c>
      <c r="J72" s="111">
        <f>J55-J59</f>
        <v>0</v>
      </c>
      <c r="K72" s="111">
        <f t="shared" ref="K72:S72" si="204">K55-K59</f>
        <v>0</v>
      </c>
      <c r="L72" s="111">
        <f t="shared" si="204"/>
        <v>0</v>
      </c>
      <c r="M72" s="111">
        <f t="shared" si="204"/>
        <v>0</v>
      </c>
      <c r="N72" s="111">
        <f t="shared" si="204"/>
        <v>6</v>
      </c>
      <c r="O72" s="111">
        <f t="shared" si="204"/>
        <v>6</v>
      </c>
      <c r="P72" s="111">
        <f t="shared" si="204"/>
        <v>39</v>
      </c>
      <c r="Q72" s="111">
        <f t="shared" si="204"/>
        <v>57</v>
      </c>
      <c r="R72" s="111">
        <f t="shared" si="204"/>
        <v>77</v>
      </c>
      <c r="S72" s="111">
        <f t="shared" si="204"/>
        <v>102</v>
      </c>
      <c r="T72" s="111">
        <f t="shared" ref="T72:U72" si="205">T55-T59</f>
        <v>112</v>
      </c>
      <c r="U72" s="111">
        <f t="shared" si="205"/>
        <v>498</v>
      </c>
      <c r="V72" s="111">
        <f t="shared" ref="V72" si="206">V55-V59</f>
        <v>139</v>
      </c>
      <c r="W72" s="101">
        <f t="shared" si="192"/>
        <v>0.481180356352928</v>
      </c>
      <c r="X72" s="109"/>
      <c r="Y72" s="111">
        <f t="shared" ref="Y72:AH72" si="207">Y55-Y59</f>
        <v>572.69999999999993</v>
      </c>
      <c r="Z72" s="111">
        <f t="shared" si="207"/>
        <v>658.60500000000002</v>
      </c>
      <c r="AA72" s="111">
        <f t="shared" si="207"/>
        <v>757.39574999999991</v>
      </c>
      <c r="AB72" s="111">
        <f t="shared" si="207"/>
        <v>871.00511249999988</v>
      </c>
      <c r="AC72" s="111">
        <f t="shared" si="207"/>
        <v>1001.6558793749998</v>
      </c>
      <c r="AD72" s="111">
        <f t="shared" si="207"/>
        <v>1151.9042612812495</v>
      </c>
      <c r="AE72" s="111">
        <f t="shared" si="207"/>
        <v>1324.6899004734369</v>
      </c>
      <c r="AF72" s="111">
        <f t="shared" si="207"/>
        <v>1523.3933855444523</v>
      </c>
      <c r="AG72" s="111">
        <f t="shared" si="207"/>
        <v>1751.90239337612</v>
      </c>
      <c r="AH72" s="111">
        <f t="shared" si="207"/>
        <v>2014.6877523825378</v>
      </c>
      <c r="AI72" s="115" t="e">
        <f t="shared" ref="AI72" si="208">((AH72/J72)^(1/($AH$3-$K$1) ))-1</f>
        <v>#DIV/0!</v>
      </c>
      <c r="AJ72" s="21">
        <f t="shared" si="17"/>
        <v>0.01</v>
      </c>
      <c r="AK72" s="123" t="e">
        <f t="shared" si="23"/>
        <v>#DIV/0!</v>
      </c>
    </row>
    <row r="73" spans="2:37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01" t="e">
        <f t="shared" si="192"/>
        <v>#DIV/0!</v>
      </c>
      <c r="X73" s="10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02"/>
      <c r="AJ73" s="114"/>
      <c r="AK73" s="123"/>
    </row>
    <row r="74" spans="2:37">
      <c r="B74" s="10" t="s">
        <v>401</v>
      </c>
      <c r="C74" s="111"/>
      <c r="D74" s="111"/>
      <c r="E74" s="111"/>
      <c r="F74" s="15"/>
      <c r="G74" s="15">
        <f t="shared" ref="G74" si="209">G53/G61</f>
        <v>7.6227390180878549</v>
      </c>
      <c r="H74" s="15" t="e">
        <f t="shared" ref="H74:I74" si="210">H53/H61</f>
        <v>#DIV/0!</v>
      </c>
      <c r="I74" s="15" t="e">
        <f t="shared" si="210"/>
        <v>#DIV/0!</v>
      </c>
      <c r="J74" s="15" t="e">
        <f t="shared" ref="J74:S74" si="211">J53/J61</f>
        <v>#DIV/0!</v>
      </c>
      <c r="K74" s="15" t="e">
        <f t="shared" si="211"/>
        <v>#DIV/0!</v>
      </c>
      <c r="L74" s="15" t="e">
        <f t="shared" si="211"/>
        <v>#DIV/0!</v>
      </c>
      <c r="M74" s="15" t="e">
        <f t="shared" si="211"/>
        <v>#DIV/0!</v>
      </c>
      <c r="N74" s="15">
        <f t="shared" si="211"/>
        <v>7.6227390180878549</v>
      </c>
      <c r="O74" s="15">
        <f t="shared" si="211"/>
        <v>7.6227390180878549</v>
      </c>
      <c r="P74" s="15">
        <f t="shared" si="211"/>
        <v>29.154518950437318</v>
      </c>
      <c r="Q74" s="15">
        <f t="shared" si="211"/>
        <v>52.623906705539355</v>
      </c>
      <c r="R74" s="15">
        <f t="shared" si="211"/>
        <v>70.991253644314867</v>
      </c>
      <c r="S74" s="15">
        <f t="shared" si="211"/>
        <v>79.945429740791269</v>
      </c>
      <c r="T74" s="15">
        <f>T53/T61</f>
        <v>82.758620689655174</v>
      </c>
      <c r="U74" s="15">
        <f>U53/U61</f>
        <v>74.431202600216679</v>
      </c>
      <c r="V74" s="15">
        <f>V53/V61</f>
        <v>41.061755146262186</v>
      </c>
      <c r="W74" s="101">
        <f t="shared" si="192"/>
        <v>0.23428601208469946</v>
      </c>
      <c r="X74" s="109"/>
      <c r="Y74" s="96">
        <f>Y53/Y61</f>
        <v>83.917532343381552</v>
      </c>
      <c r="Z74" s="96">
        <f t="shared" ref="Z74:AH74" si="212">Z53/Z61</f>
        <v>94.612904112636045</v>
      </c>
      <c r="AA74" s="96">
        <f t="shared" si="212"/>
        <v>106.67141149954062</v>
      </c>
      <c r="AB74" s="96">
        <f t="shared" si="212"/>
        <v>120.26678747497226</v>
      </c>
      <c r="AC74" s="96">
        <f t="shared" si="212"/>
        <v>135.59490744727265</v>
      </c>
      <c r="AD74" s="96">
        <f t="shared" si="212"/>
        <v>152.87661133761128</v>
      </c>
      <c r="AE74" s="96">
        <f t="shared" si="212"/>
        <v>172.36088533162055</v>
      </c>
      <c r="AF74" s="96">
        <f t="shared" si="212"/>
        <v>194.32844914839572</v>
      </c>
      <c r="AG74" s="96">
        <f t="shared" si="212"/>
        <v>219.09580051044614</v>
      </c>
      <c r="AH74" s="96">
        <f t="shared" si="212"/>
        <v>247.01977508530692</v>
      </c>
      <c r="AI74" s="115" t="e">
        <f t="shared" ref="AI74:AI75" si="213">((AH74/J74)^(1/($AH$3-$K$1) ))-1</f>
        <v>#DIV/0!</v>
      </c>
      <c r="AJ74" s="21">
        <f t="shared" si="17"/>
        <v>0.01</v>
      </c>
      <c r="AK74" s="123" t="e">
        <f t="shared" si="23"/>
        <v>#DIV/0!</v>
      </c>
    </row>
    <row r="75" spans="2:37">
      <c r="B75" s="10" t="s">
        <v>402</v>
      </c>
      <c r="C75" s="111"/>
      <c r="D75" s="111"/>
      <c r="E75" s="111"/>
      <c r="F75" s="15"/>
      <c r="G75" s="15">
        <f t="shared" ref="G75" si="214">G55/G61</f>
        <v>7.6227390180878549</v>
      </c>
      <c r="H75" s="15" t="e">
        <f t="shared" ref="H75:I75" si="215">H55/H61</f>
        <v>#DIV/0!</v>
      </c>
      <c r="I75" s="15" t="e">
        <f t="shared" si="215"/>
        <v>#DIV/0!</v>
      </c>
      <c r="J75" s="15" t="e">
        <f t="shared" ref="J75:S75" si="216">J55/J61</f>
        <v>#DIV/0!</v>
      </c>
      <c r="K75" s="15" t="e">
        <f t="shared" si="216"/>
        <v>#DIV/0!</v>
      </c>
      <c r="L75" s="15" t="e">
        <f t="shared" si="216"/>
        <v>#DIV/0!</v>
      </c>
      <c r="M75" s="15" t="e">
        <f t="shared" si="216"/>
        <v>#DIV/0!</v>
      </c>
      <c r="N75" s="15">
        <f t="shared" si="216"/>
        <v>7.6227390180878549</v>
      </c>
      <c r="O75" s="15">
        <f t="shared" si="216"/>
        <v>7.6227390180878549</v>
      </c>
      <c r="P75" s="15">
        <f t="shared" si="216"/>
        <v>18.804664723032069</v>
      </c>
      <c r="Q75" s="15">
        <f t="shared" si="216"/>
        <v>24.635568513119534</v>
      </c>
      <c r="R75" s="15">
        <f t="shared" si="216"/>
        <v>32.944606413994165</v>
      </c>
      <c r="S75" s="15">
        <f t="shared" si="216"/>
        <v>39.972714870395635</v>
      </c>
      <c r="T75" s="15">
        <f>T55/T61</f>
        <v>41.251596424010216</v>
      </c>
      <c r="U75" s="15">
        <f>U55/U61</f>
        <v>75.622968580715053</v>
      </c>
      <c r="V75" s="15">
        <f>V55/V61</f>
        <v>41.061755146262186</v>
      </c>
      <c r="W75" s="101">
        <f t="shared" si="192"/>
        <v>0.23428601208469946</v>
      </c>
      <c r="X75" s="109"/>
      <c r="Y75" s="96">
        <f>Y55/Y61</f>
        <v>85.26119006649246</v>
      </c>
      <c r="Z75" s="96">
        <f t="shared" ref="Z75:AH75" si="217">Z55/Z61</f>
        <v>96.127812329868945</v>
      </c>
      <c r="AA75" s="96">
        <f t="shared" si="217"/>
        <v>108.37939625426399</v>
      </c>
      <c r="AB75" s="96">
        <f t="shared" si="217"/>
        <v>122.19245656117998</v>
      </c>
      <c r="AC75" s="96">
        <f t="shared" si="217"/>
        <v>137.76600494642841</v>
      </c>
      <c r="AD75" s="96">
        <f t="shared" si="217"/>
        <v>155.3244173415614</v>
      </c>
      <c r="AE75" s="96">
        <f t="shared" si="217"/>
        <v>175.12066661058392</v>
      </c>
      <c r="AF75" s="96">
        <f t="shared" si="217"/>
        <v>197.43996725703087</v>
      </c>
      <c r="AG75" s="96">
        <f t="shared" si="217"/>
        <v>222.60388465253482</v>
      </c>
      <c r="AH75" s="96">
        <f t="shared" si="217"/>
        <v>250.97496799060295</v>
      </c>
      <c r="AI75" s="115" t="e">
        <f t="shared" si="213"/>
        <v>#DIV/0!</v>
      </c>
      <c r="AJ75" s="21">
        <f t="shared" si="17"/>
        <v>0.01</v>
      </c>
      <c r="AK75" s="123" t="e">
        <f t="shared" ref="AK75:AK138" si="218">(AH75*(1+AJ75))/($O$1-AJ75)</f>
        <v>#DIV/0!</v>
      </c>
    </row>
    <row r="76" spans="2:37">
      <c r="B76" s="10" t="s">
        <v>214</v>
      </c>
      <c r="C76" s="15"/>
      <c r="D76" s="15"/>
      <c r="E76" s="15"/>
      <c r="F76" s="111"/>
      <c r="G76" s="111">
        <f t="shared" ref="G76" si="219">G59/G61</f>
        <v>6.8475452196382429</v>
      </c>
      <c r="H76" s="111" t="e">
        <f t="shared" ref="H76:I76" si="220">H59/H61</f>
        <v>#DIV/0!</v>
      </c>
      <c r="I76" s="111" t="e">
        <f t="shared" si="220"/>
        <v>#DIV/0!</v>
      </c>
      <c r="J76" s="111" t="e">
        <f t="shared" ref="J76:S76" si="221">J59/J61</f>
        <v>#DIV/0!</v>
      </c>
      <c r="K76" s="111" t="e">
        <f t="shared" si="221"/>
        <v>#DIV/0!</v>
      </c>
      <c r="L76" s="111" t="e">
        <f t="shared" si="221"/>
        <v>#DIV/0!</v>
      </c>
      <c r="M76" s="111" t="e">
        <f t="shared" si="221"/>
        <v>#DIV/0!</v>
      </c>
      <c r="N76" s="111">
        <f t="shared" si="221"/>
        <v>6.8475452196382429</v>
      </c>
      <c r="O76" s="111">
        <f t="shared" si="221"/>
        <v>6.8475452196382429</v>
      </c>
      <c r="P76" s="111">
        <f t="shared" si="221"/>
        <v>13.119533527696792</v>
      </c>
      <c r="Q76" s="111">
        <f t="shared" si="221"/>
        <v>16.326530612244898</v>
      </c>
      <c r="R76" s="111">
        <f t="shared" si="221"/>
        <v>21.720116618075799</v>
      </c>
      <c r="S76" s="111">
        <f t="shared" si="221"/>
        <v>26.057298772169169</v>
      </c>
      <c r="T76" s="111">
        <f t="shared" ref="T76:U76" si="222">T59/T61</f>
        <v>26.947637292464879</v>
      </c>
      <c r="U76" s="111">
        <f t="shared" si="222"/>
        <v>21.668472372697725</v>
      </c>
      <c r="V76" s="111">
        <f t="shared" ref="V76" si="223">V59/V61</f>
        <v>26.00216684723727</v>
      </c>
      <c r="W76" s="101">
        <f t="shared" si="192"/>
        <v>0.1815016404722618</v>
      </c>
      <c r="X76" s="109"/>
      <c r="Y76" s="133">
        <f t="shared" ref="Y76:AH76" si="224">Y59/Y61</f>
        <v>24.430140420198413</v>
      </c>
      <c r="Z76" s="133">
        <f t="shared" si="224"/>
        <v>27.543785767870755</v>
      </c>
      <c r="AA76" s="133">
        <f t="shared" si="224"/>
        <v>31.054268267697413</v>
      </c>
      <c r="AB76" s="133">
        <f t="shared" si="224"/>
        <v>35.01216520377649</v>
      </c>
      <c r="AC76" s="133">
        <f t="shared" si="224"/>
        <v>39.47449998464996</v>
      </c>
      <c r="AD76" s="133">
        <f t="shared" si="224"/>
        <v>44.505563708183779</v>
      </c>
      <c r="AE76" s="133">
        <f t="shared" si="224"/>
        <v>50.177841435697388</v>
      </c>
      <c r="AF76" s="133">
        <f t="shared" si="224"/>
        <v>56.573056520639213</v>
      </c>
      <c r="AG76" s="133">
        <f t="shared" si="224"/>
        <v>63.783348037975585</v>
      </c>
      <c r="AH76" s="133">
        <f t="shared" si="224"/>
        <v>71.912598278109726</v>
      </c>
      <c r="AI76" s="115" t="e">
        <f t="shared" ref="AI76:AI90" si="225">((AH76/J76)^(1/($AH$3-$K$1) ))-1</f>
        <v>#DIV/0!</v>
      </c>
      <c r="AJ76" s="21">
        <f t="shared" si="17"/>
        <v>0.01</v>
      </c>
      <c r="AK76" s="123" t="e">
        <f t="shared" si="218"/>
        <v>#DIV/0!</v>
      </c>
    </row>
    <row r="77" spans="2:37">
      <c r="B77" s="10" t="s">
        <v>330</v>
      </c>
      <c r="C77" s="111"/>
      <c r="D77" s="111"/>
      <c r="E77" s="111"/>
      <c r="F77" s="111"/>
      <c r="G77" s="111">
        <f t="shared" ref="G77" si="226">G20/G61</f>
        <v>0</v>
      </c>
      <c r="H77" s="111" t="e">
        <f t="shared" ref="H77:I77" si="227">H20/H61</f>
        <v>#DIV/0!</v>
      </c>
      <c r="I77" s="111" t="e">
        <f t="shared" si="227"/>
        <v>#DIV/0!</v>
      </c>
      <c r="J77" s="111" t="e">
        <f>J20/J61</f>
        <v>#DIV/0!</v>
      </c>
      <c r="K77" s="111" t="e">
        <f t="shared" ref="K77:S77" si="228">K20/K61</f>
        <v>#DIV/0!</v>
      </c>
      <c r="L77" s="111" t="e">
        <f t="shared" si="228"/>
        <v>#DIV/0!</v>
      </c>
      <c r="M77" s="111" t="e">
        <f t="shared" si="228"/>
        <v>#DIV/0!</v>
      </c>
      <c r="N77" s="111">
        <f t="shared" si="228"/>
        <v>0</v>
      </c>
      <c r="O77" s="111">
        <f t="shared" si="228"/>
        <v>0</v>
      </c>
      <c r="P77" s="111">
        <f t="shared" si="228"/>
        <v>0</v>
      </c>
      <c r="Q77" s="111">
        <f t="shared" si="228"/>
        <v>0</v>
      </c>
      <c r="R77" s="111">
        <f t="shared" si="228"/>
        <v>0</v>
      </c>
      <c r="S77" s="111">
        <f t="shared" si="228"/>
        <v>0</v>
      </c>
      <c r="T77" s="111">
        <f t="shared" ref="T77:U77" si="229">T20/T61</f>
        <v>0</v>
      </c>
      <c r="U77" s="111">
        <f t="shared" si="229"/>
        <v>0</v>
      </c>
      <c r="V77" s="111">
        <f t="shared" ref="V77" si="230">V20/V61</f>
        <v>0</v>
      </c>
      <c r="W77" s="101" t="e">
        <f t="shared" si="192"/>
        <v>#DIV/0!</v>
      </c>
      <c r="X77" s="109"/>
      <c r="Y77" s="111">
        <f t="shared" ref="Y77:AH77" si="231">Y20/Y61</f>
        <v>0</v>
      </c>
      <c r="Z77" s="111">
        <f t="shared" si="231"/>
        <v>0</v>
      </c>
      <c r="AA77" s="111">
        <f t="shared" si="231"/>
        <v>0</v>
      </c>
      <c r="AB77" s="111">
        <f t="shared" si="231"/>
        <v>0</v>
      </c>
      <c r="AC77" s="111">
        <f t="shared" si="231"/>
        <v>0</v>
      </c>
      <c r="AD77" s="111">
        <f t="shared" si="231"/>
        <v>0</v>
      </c>
      <c r="AE77" s="111">
        <f t="shared" si="231"/>
        <v>0</v>
      </c>
      <c r="AF77" s="111">
        <f t="shared" si="231"/>
        <v>0</v>
      </c>
      <c r="AG77" s="111">
        <f t="shared" si="231"/>
        <v>0</v>
      </c>
      <c r="AH77" s="111">
        <f t="shared" si="231"/>
        <v>0</v>
      </c>
      <c r="AI77" s="115" t="e">
        <f t="shared" ref="AI77" si="232">((AH77/J77)^(1/($AH$3-$K$1) ))-1</f>
        <v>#DIV/0!</v>
      </c>
      <c r="AJ77" s="21">
        <f t="shared" si="17"/>
        <v>0.01</v>
      </c>
      <c r="AK77" s="123" t="e">
        <f t="shared" si="218"/>
        <v>#DIV/0!</v>
      </c>
    </row>
    <row r="78" spans="2:37">
      <c r="B78" s="10" t="s">
        <v>202</v>
      </c>
      <c r="C78" s="15"/>
      <c r="D78" s="15"/>
      <c r="E78" s="15"/>
      <c r="F78" s="111"/>
      <c r="G78" s="111">
        <f t="shared" ref="G78" si="233">G7/G61</f>
        <v>120.671834625323</v>
      </c>
      <c r="H78" s="111" t="e">
        <f t="shared" ref="H78:I78" si="234">H7/H61</f>
        <v>#DIV/0!</v>
      </c>
      <c r="I78" s="111" t="e">
        <f t="shared" si="234"/>
        <v>#DIV/0!</v>
      </c>
      <c r="J78" s="111" t="e">
        <f t="shared" ref="J78:S78" si="235">J7/J61</f>
        <v>#DIV/0!</v>
      </c>
      <c r="K78" s="111" t="e">
        <f t="shared" si="235"/>
        <v>#DIV/0!</v>
      </c>
      <c r="L78" s="111" t="e">
        <f t="shared" si="235"/>
        <v>#DIV/0!</v>
      </c>
      <c r="M78" s="111" t="e">
        <f t="shared" si="235"/>
        <v>#DIV/0!</v>
      </c>
      <c r="N78" s="111">
        <f t="shared" si="235"/>
        <v>120.671834625323</v>
      </c>
      <c r="O78" s="111">
        <f t="shared" si="235"/>
        <v>132.42894056847544</v>
      </c>
      <c r="P78" s="111">
        <f t="shared" si="235"/>
        <v>165.45189504373178</v>
      </c>
      <c r="Q78" s="111">
        <f t="shared" si="235"/>
        <v>165.45189504373178</v>
      </c>
      <c r="R78" s="111">
        <f t="shared" si="235"/>
        <v>187.31778425655975</v>
      </c>
      <c r="S78" s="111">
        <f t="shared" si="235"/>
        <v>210.23192360163711</v>
      </c>
      <c r="T78" s="111">
        <f t="shared" ref="T78:U78" si="236">T7/T61</f>
        <v>242.91187739463601</v>
      </c>
      <c r="U78" s="111">
        <f t="shared" si="236"/>
        <v>232.39436619718307</v>
      </c>
      <c r="V78" s="111">
        <f t="shared" ref="V78" si="237">V7/V61</f>
        <v>315.70964247020584</v>
      </c>
      <c r="W78" s="101">
        <f t="shared" si="192"/>
        <v>0.12774326300546202</v>
      </c>
      <c r="X78" s="109"/>
      <c r="Y78" s="133">
        <f t="shared" ref="Y78:AH78" si="238">Y7/Y61</f>
        <v>262.01325600662801</v>
      </c>
      <c r="Z78" s="133">
        <f t="shared" si="238"/>
        <v>295.40710236041389</v>
      </c>
      <c r="AA78" s="133">
        <f t="shared" si="238"/>
        <v>333.05702717105481</v>
      </c>
      <c r="AB78" s="133">
        <f t="shared" si="238"/>
        <v>375.50547181050297</v>
      </c>
      <c r="AC78" s="133">
        <f t="shared" si="238"/>
        <v>423.36401233537089</v>
      </c>
      <c r="AD78" s="133">
        <f t="shared" si="238"/>
        <v>477.3221707702711</v>
      </c>
      <c r="AE78" s="133">
        <f t="shared" si="238"/>
        <v>538.15734939785455</v>
      </c>
      <c r="AF78" s="133">
        <f t="shared" si="238"/>
        <v>606.74603118385562</v>
      </c>
      <c r="AG78" s="133">
        <f t="shared" si="238"/>
        <v>684.07640770728813</v>
      </c>
      <c r="AH78" s="133">
        <f t="shared" si="238"/>
        <v>771.26261653272684</v>
      </c>
      <c r="AI78" s="115" t="e">
        <f t="shared" si="225"/>
        <v>#DIV/0!</v>
      </c>
      <c r="AJ78" s="21">
        <f t="shared" si="17"/>
        <v>0.01</v>
      </c>
      <c r="AK78" s="123" t="e">
        <f t="shared" si="218"/>
        <v>#DIV/0!</v>
      </c>
    </row>
    <row r="79" spans="2:37">
      <c r="B79" s="10" t="s">
        <v>203</v>
      </c>
      <c r="C79" s="108"/>
      <c r="D79" s="108"/>
      <c r="E79" s="108"/>
      <c r="F79" s="121"/>
      <c r="G79" s="121">
        <f t="shared" ref="G79" si="239">G6/G61</f>
        <v>111.88630490956072</v>
      </c>
      <c r="H79" s="121" t="e">
        <f t="shared" ref="H79:I79" si="240">H6/H61</f>
        <v>#DIV/0!</v>
      </c>
      <c r="I79" s="121" t="e">
        <f t="shared" si="240"/>
        <v>#DIV/0!</v>
      </c>
      <c r="J79" s="121" t="e">
        <f t="shared" ref="J79:S79" si="241">J6/J61</f>
        <v>#DIV/0!</v>
      </c>
      <c r="K79" s="121" t="e">
        <f t="shared" si="241"/>
        <v>#DIV/0!</v>
      </c>
      <c r="L79" s="121" t="e">
        <f t="shared" si="241"/>
        <v>#DIV/0!</v>
      </c>
      <c r="M79" s="121" t="e">
        <f t="shared" si="241"/>
        <v>#DIV/0!</v>
      </c>
      <c r="N79" s="121">
        <f t="shared" si="241"/>
        <v>111.88630490956072</v>
      </c>
      <c r="O79" s="121">
        <f t="shared" si="241"/>
        <v>123.51421188630491</v>
      </c>
      <c r="P79" s="121">
        <f t="shared" si="241"/>
        <v>155.53935860058309</v>
      </c>
      <c r="Q79" s="121">
        <f t="shared" si="241"/>
        <v>155.53935860058309</v>
      </c>
      <c r="R79" s="121">
        <f t="shared" si="241"/>
        <v>177.25947521865888</v>
      </c>
      <c r="S79" s="121">
        <f t="shared" si="241"/>
        <v>200.27285129604365</v>
      </c>
      <c r="T79" s="121">
        <f t="shared" ref="T79:U79" si="242">T6/T61</f>
        <v>232.95019157088123</v>
      </c>
      <c r="U79" s="121">
        <f t="shared" si="242"/>
        <v>223.94366197183098</v>
      </c>
      <c r="V79" s="121">
        <f t="shared" ref="V79" si="243">V6/V61</f>
        <v>216.68472372697724</v>
      </c>
      <c r="W79" s="101">
        <f t="shared" si="192"/>
        <v>8.6129026903968064E-2</v>
      </c>
      <c r="X79" s="109"/>
      <c r="Y79" s="132">
        <f t="shared" ref="Y79:AH79" si="244">Y6/Y61</f>
        <v>252.48550124275059</v>
      </c>
      <c r="Z79" s="132">
        <f t="shared" si="244"/>
        <v>284.66502591094428</v>
      </c>
      <c r="AA79" s="132">
        <f t="shared" si="244"/>
        <v>320.94586254665285</v>
      </c>
      <c r="AB79" s="132">
        <f t="shared" si="244"/>
        <v>361.85072738103008</v>
      </c>
      <c r="AC79" s="132">
        <f t="shared" si="244"/>
        <v>407.9689573413574</v>
      </c>
      <c r="AD79" s="132">
        <f t="shared" si="244"/>
        <v>459.96500092407933</v>
      </c>
      <c r="AE79" s="132">
        <f t="shared" si="244"/>
        <v>518.58799123793256</v>
      </c>
      <c r="AF79" s="132">
        <f t="shared" si="244"/>
        <v>584.68253914080628</v>
      </c>
      <c r="AG79" s="132">
        <f t="shared" si="244"/>
        <v>659.20090197247771</v>
      </c>
      <c r="AH79" s="132">
        <f t="shared" si="244"/>
        <v>743.21670320426415</v>
      </c>
      <c r="AI79" s="115" t="e">
        <f t="shared" si="225"/>
        <v>#DIV/0!</v>
      </c>
      <c r="AJ79" s="21">
        <f t="shared" si="17"/>
        <v>0.01</v>
      </c>
      <c r="AK79" s="123" t="e">
        <f t="shared" si="218"/>
        <v>#DIV/0!</v>
      </c>
    </row>
    <row r="80" spans="2:37">
      <c r="B80" s="10" t="s">
        <v>204</v>
      </c>
      <c r="C80" s="108"/>
      <c r="D80" s="108"/>
      <c r="E80" s="108"/>
      <c r="F80" s="121"/>
      <c r="G80" s="121">
        <f t="shared" ref="G80" si="245">G10/G61</f>
        <v>12.790697674418604</v>
      </c>
      <c r="H80" s="121" t="e">
        <f t="shared" ref="H80:I80" si="246">H10/H61</f>
        <v>#DIV/0!</v>
      </c>
      <c r="I80" s="121" t="e">
        <f t="shared" si="246"/>
        <v>#DIV/0!</v>
      </c>
      <c r="J80" s="121" t="e">
        <f t="shared" ref="J80:S80" si="247">J10/J61</f>
        <v>#DIV/0!</v>
      </c>
      <c r="K80" s="121" t="e">
        <f t="shared" si="247"/>
        <v>#DIV/0!</v>
      </c>
      <c r="L80" s="121" t="e">
        <f t="shared" si="247"/>
        <v>#DIV/0!</v>
      </c>
      <c r="M80" s="121" t="e">
        <f t="shared" si="247"/>
        <v>#DIV/0!</v>
      </c>
      <c r="N80" s="121">
        <f t="shared" si="247"/>
        <v>12.790697674418604</v>
      </c>
      <c r="O80" s="121">
        <f t="shared" si="247"/>
        <v>108.78552971576227</v>
      </c>
      <c r="P80" s="121">
        <f t="shared" si="247"/>
        <v>197.95918367346937</v>
      </c>
      <c r="Q80" s="121">
        <f t="shared" si="247"/>
        <v>197.95918367346937</v>
      </c>
      <c r="R80" s="121">
        <f t="shared" si="247"/>
        <v>285.27696793002912</v>
      </c>
      <c r="S80" s="121">
        <f t="shared" si="247"/>
        <v>308.04911323328787</v>
      </c>
      <c r="T80" s="121">
        <f t="shared" ref="T80:U80" si="248">T10/T61</f>
        <v>344.44444444444446</v>
      </c>
      <c r="U80" s="121">
        <f t="shared" si="248"/>
        <v>417.65980498374864</v>
      </c>
      <c r="V80" s="121">
        <f t="shared" ref="V80" si="249">V10/V61</f>
        <v>411.70097508125673</v>
      </c>
      <c r="W80" s="101">
        <f t="shared" si="192"/>
        <v>0.54333767381521536</v>
      </c>
      <c r="X80" s="109"/>
      <c r="Y80" s="132">
        <f t="shared" ref="Y80:AH80" si="250">Y10/Y61</f>
        <v>470.89095659932445</v>
      </c>
      <c r="Z80" s="132">
        <f t="shared" si="250"/>
        <v>530.90647067570887</v>
      </c>
      <c r="AA80" s="132">
        <f t="shared" si="250"/>
        <v>598.57102085986776</v>
      </c>
      <c r="AB80" s="132">
        <f t="shared" si="250"/>
        <v>674.859484302792</v>
      </c>
      <c r="AC80" s="132">
        <f t="shared" si="250"/>
        <v>760.87098720412814</v>
      </c>
      <c r="AD80" s="132">
        <f t="shared" si="250"/>
        <v>857.84474047524236</v>
      </c>
      <c r="AE80" s="132">
        <f t="shared" si="250"/>
        <v>967.17789367306739</v>
      </c>
      <c r="AF80" s="132">
        <f t="shared" si="250"/>
        <v>1090.4456644353209</v>
      </c>
      <c r="AG80" s="132">
        <f t="shared" si="250"/>
        <v>1229.4240334319795</v>
      </c>
      <c r="AH80" s="132">
        <f t="shared" si="250"/>
        <v>1386.1153318105651</v>
      </c>
      <c r="AI80" s="115" t="e">
        <f t="shared" si="225"/>
        <v>#DIV/0!</v>
      </c>
      <c r="AJ80" s="21">
        <f t="shared" si="17"/>
        <v>0.01</v>
      </c>
      <c r="AK80" s="123" t="e">
        <f t="shared" si="218"/>
        <v>#DIV/0!</v>
      </c>
    </row>
    <row r="81" spans="2:37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01" t="e">
        <f t="shared" si="192"/>
        <v>#DIV/0!</v>
      </c>
      <c r="X81" s="10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16"/>
      <c r="AJ81" s="114"/>
      <c r="AK81" s="123"/>
    </row>
    <row r="82" spans="2:37">
      <c r="B82" s="10" t="s">
        <v>221</v>
      </c>
      <c r="C82" s="108"/>
      <c r="D82" s="108"/>
      <c r="E82" s="108"/>
      <c r="F82" s="121"/>
      <c r="G82" s="121">
        <f t="shared" ref="G82" si="251">(G7-G10)/G61</f>
        <v>107.88113695090439</v>
      </c>
      <c r="H82" s="121" t="e">
        <f t="shared" ref="H82:I82" si="252">(H7-H10)/H61</f>
        <v>#DIV/0!</v>
      </c>
      <c r="I82" s="121" t="e">
        <f t="shared" si="252"/>
        <v>#DIV/0!</v>
      </c>
      <c r="J82" s="121" t="e">
        <f t="shared" ref="J82:S82" si="253">(J7-J10)/J61</f>
        <v>#DIV/0!</v>
      </c>
      <c r="K82" s="121" t="e">
        <f t="shared" si="253"/>
        <v>#DIV/0!</v>
      </c>
      <c r="L82" s="121" t="e">
        <f t="shared" si="253"/>
        <v>#DIV/0!</v>
      </c>
      <c r="M82" s="121" t="e">
        <f t="shared" si="253"/>
        <v>#DIV/0!</v>
      </c>
      <c r="N82" s="121">
        <f t="shared" si="253"/>
        <v>107.88113695090439</v>
      </c>
      <c r="O82" s="121">
        <f t="shared" si="253"/>
        <v>23.643410852713178</v>
      </c>
      <c r="P82" s="121">
        <f t="shared" si="253"/>
        <v>-32.507288629737609</v>
      </c>
      <c r="Q82" s="121">
        <f t="shared" si="253"/>
        <v>-32.507288629737609</v>
      </c>
      <c r="R82" s="121">
        <f t="shared" si="253"/>
        <v>-97.959183673469383</v>
      </c>
      <c r="S82" s="121">
        <f t="shared" si="253"/>
        <v>-97.817189631650749</v>
      </c>
      <c r="T82" s="121">
        <f t="shared" ref="T82:U82" si="254">(T7-T10)/T61</f>
        <v>-101.53256704980843</v>
      </c>
      <c r="U82" s="121">
        <f t="shared" si="254"/>
        <v>-185.26543878656554</v>
      </c>
      <c r="V82" s="121">
        <f t="shared" ref="V82" si="255">(V7-V10)/V61</f>
        <v>-95.991332611050922</v>
      </c>
      <c r="W82" s="101" t="e">
        <f t="shared" si="192"/>
        <v>#NUM!</v>
      </c>
      <c r="X82" s="109"/>
      <c r="Y82" s="132">
        <f t="shared" ref="Y82:AH82" si="256">(Y7-Y10)/Y61</f>
        <v>-208.87770059269644</v>
      </c>
      <c r="Z82" s="132">
        <f t="shared" si="256"/>
        <v>-235.49936831529496</v>
      </c>
      <c r="AA82" s="132">
        <f t="shared" si="256"/>
        <v>-265.51399368881289</v>
      </c>
      <c r="AB82" s="132">
        <f t="shared" si="256"/>
        <v>-299.35401249228903</v>
      </c>
      <c r="AC82" s="132">
        <f t="shared" si="256"/>
        <v>-337.5069748687572</v>
      </c>
      <c r="AD82" s="132">
        <f t="shared" si="256"/>
        <v>-380.52256970497132</v>
      </c>
      <c r="AE82" s="132">
        <f t="shared" si="256"/>
        <v>-429.02054427521279</v>
      </c>
      <c r="AF82" s="132">
        <f t="shared" si="256"/>
        <v>-483.69963325146534</v>
      </c>
      <c r="AG82" s="132">
        <f t="shared" si="256"/>
        <v>-545.3476257246914</v>
      </c>
      <c r="AH82" s="132">
        <f t="shared" si="256"/>
        <v>-614.85271527783823</v>
      </c>
      <c r="AI82" s="115" t="e">
        <f t="shared" si="225"/>
        <v>#DIV/0!</v>
      </c>
      <c r="AJ82" s="21">
        <f t="shared" si="17"/>
        <v>0.01</v>
      </c>
      <c r="AK82" s="123" t="e">
        <f t="shared" si="218"/>
        <v>#DIV/0!</v>
      </c>
    </row>
    <row r="83" spans="2:37">
      <c r="B83" s="10" t="s">
        <v>222</v>
      </c>
      <c r="C83" s="108"/>
      <c r="D83" s="108"/>
      <c r="E83" s="108"/>
      <c r="F83" s="121"/>
      <c r="G83" s="121">
        <f t="shared" ref="G83" si="257">(G7-G10-G9)/G61</f>
        <v>106.5891472868217</v>
      </c>
      <c r="H83" s="121" t="e">
        <f t="shared" ref="H83:I83" si="258">(H7-H10-H9)/H61</f>
        <v>#DIV/0!</v>
      </c>
      <c r="I83" s="121" t="e">
        <f t="shared" si="258"/>
        <v>#DIV/0!</v>
      </c>
      <c r="J83" s="121" t="e">
        <f t="shared" ref="J83:S83" si="259">(J7-J10-J9)/J61</f>
        <v>#DIV/0!</v>
      </c>
      <c r="K83" s="121" t="e">
        <f t="shared" si="259"/>
        <v>#DIV/0!</v>
      </c>
      <c r="L83" s="121" t="e">
        <f t="shared" si="259"/>
        <v>#DIV/0!</v>
      </c>
      <c r="M83" s="121" t="e">
        <f t="shared" si="259"/>
        <v>#DIV/0!</v>
      </c>
      <c r="N83" s="121">
        <f t="shared" si="259"/>
        <v>106.5891472868217</v>
      </c>
      <c r="O83" s="121">
        <f t="shared" si="259"/>
        <v>-18.087855297157621</v>
      </c>
      <c r="P83" s="121">
        <f t="shared" si="259"/>
        <v>-127.55102040816325</v>
      </c>
      <c r="Q83" s="121">
        <f t="shared" si="259"/>
        <v>-127.55102040816325</v>
      </c>
      <c r="R83" s="121">
        <f t="shared" si="259"/>
        <v>-204.37317784256558</v>
      </c>
      <c r="S83" s="121">
        <f t="shared" si="259"/>
        <v>-216.78035470668485</v>
      </c>
      <c r="T83" s="121">
        <f t="shared" ref="T83:U83" si="260">(T7-T10-T9)/T61</f>
        <v>-209.57854406130269</v>
      </c>
      <c r="U83" s="121">
        <f t="shared" si="260"/>
        <v>-320.36836403033584</v>
      </c>
      <c r="V83" s="121">
        <f t="shared" ref="V83" si="261">(V7-V10-V9)/V61</f>
        <v>-226.00216684723725</v>
      </c>
      <c r="W83" s="101" t="e">
        <f t="shared" si="192"/>
        <v>#NUM!</v>
      </c>
      <c r="X83" s="109"/>
      <c r="Y83" s="132">
        <f t="shared" ref="Y83:AH83" si="262">(Y7-Y10-Y9)/Y61</f>
        <v>-361.19962611263361</v>
      </c>
      <c r="Z83" s="132">
        <f t="shared" si="262"/>
        <v>-407.2348725779691</v>
      </c>
      <c r="AA83" s="132">
        <f t="shared" si="262"/>
        <v>-459.13735633790628</v>
      </c>
      <c r="AB83" s="132">
        <f t="shared" si="262"/>
        <v>-517.65486253783547</v>
      </c>
      <c r="AC83" s="132">
        <f t="shared" si="262"/>
        <v>-583.63048227304978</v>
      </c>
      <c r="AD83" s="132">
        <f t="shared" si="262"/>
        <v>-658.01475942549723</v>
      </c>
      <c r="AE83" s="132">
        <f t="shared" si="262"/>
        <v>-741.87938562678607</v>
      </c>
      <c r="AF83" s="132">
        <f t="shared" si="262"/>
        <v>-836.43264065765095</v>
      </c>
      <c r="AG83" s="132">
        <f t="shared" si="262"/>
        <v>-943.03680074146916</v>
      </c>
      <c r="AH83" s="132">
        <f t="shared" si="262"/>
        <v>-1063.2277655418525</v>
      </c>
      <c r="AI83" s="115" t="e">
        <f t="shared" si="225"/>
        <v>#DIV/0!</v>
      </c>
      <c r="AJ83" s="21">
        <f t="shared" si="17"/>
        <v>0.01</v>
      </c>
      <c r="AK83" s="123" t="e">
        <f t="shared" si="218"/>
        <v>#DIV/0!</v>
      </c>
    </row>
    <row r="84" spans="2:37">
      <c r="B84" s="10" t="s">
        <v>227</v>
      </c>
      <c r="C84" s="108"/>
      <c r="D84" s="108"/>
      <c r="E84" s="108"/>
      <c r="F84" s="121"/>
      <c r="G84" s="121">
        <f t="shared" ref="G84" si="263">(G7+G15-G10-G9)/G61</f>
        <v>112.40310077519379</v>
      </c>
      <c r="H84" s="121" t="e">
        <f t="shared" ref="H84:I84" si="264">(H7+H15-H10-H9)/H61</f>
        <v>#DIV/0!</v>
      </c>
      <c r="I84" s="121" t="e">
        <f t="shared" si="264"/>
        <v>#DIV/0!</v>
      </c>
      <c r="J84" s="121" t="e">
        <f t="shared" ref="J84:S84" si="265">(J7+J15-J10-J9)/J61</f>
        <v>#DIV/0!</v>
      </c>
      <c r="K84" s="121" t="e">
        <f t="shared" si="265"/>
        <v>#DIV/0!</v>
      </c>
      <c r="L84" s="121" t="e">
        <f t="shared" si="265"/>
        <v>#DIV/0!</v>
      </c>
      <c r="M84" s="121" t="e">
        <f t="shared" si="265"/>
        <v>#DIV/0!</v>
      </c>
      <c r="N84" s="121">
        <f t="shared" si="265"/>
        <v>112.40310077519379</v>
      </c>
      <c r="O84" s="121">
        <f t="shared" si="265"/>
        <v>18.34625322997416</v>
      </c>
      <c r="P84" s="121">
        <f t="shared" si="265"/>
        <v>-59.329446064139937</v>
      </c>
      <c r="Q84" s="121">
        <f t="shared" si="265"/>
        <v>-59.329446064139937</v>
      </c>
      <c r="R84" s="121">
        <f t="shared" si="265"/>
        <v>-133.67346938775509</v>
      </c>
      <c r="S84" s="121">
        <f t="shared" si="265"/>
        <v>-167.80354706684858</v>
      </c>
      <c r="T84" s="121">
        <f t="shared" ref="T84:U84" si="266">(T7+T15-T10-T9)/T61</f>
        <v>-201.27713920817368</v>
      </c>
      <c r="U84" s="121">
        <f t="shared" si="266"/>
        <v>-307.15059588299022</v>
      </c>
      <c r="V84" s="121">
        <f t="shared" ref="V84" si="267">(V7+V15-V10-V9)/V61</f>
        <v>-212.78439869989165</v>
      </c>
      <c r="W84" s="101" t="e">
        <f t="shared" si="192"/>
        <v>#NUM!</v>
      </c>
      <c r="X84" s="109"/>
      <c r="Y84" s="132">
        <f t="shared" ref="Y84:AH84" si="268">(Y7+Y15-Y10-Y9)/Y61</f>
        <v>-346.29724045631252</v>
      </c>
      <c r="Z84" s="132">
        <f t="shared" si="268"/>
        <v>-390.43316325956795</v>
      </c>
      <c r="AA84" s="132">
        <f t="shared" si="268"/>
        <v>-440.1942526946109</v>
      </c>
      <c r="AB84" s="132">
        <f t="shared" si="268"/>
        <v>-496.29744176353182</v>
      </c>
      <c r="AC84" s="132">
        <f t="shared" si="268"/>
        <v>-559.55103728241329</v>
      </c>
      <c r="AD84" s="132">
        <f t="shared" si="268"/>
        <v>-630.86636556350516</v>
      </c>
      <c r="AE84" s="132">
        <f t="shared" si="268"/>
        <v>-711.2709023510107</v>
      </c>
      <c r="AF84" s="132">
        <f t="shared" si="268"/>
        <v>-801.92307618006089</v>
      </c>
      <c r="AG84" s="132">
        <f t="shared" si="268"/>
        <v>-904.12895843830415</v>
      </c>
      <c r="AH84" s="132">
        <f t="shared" si="268"/>
        <v>-1019.3610805922057</v>
      </c>
      <c r="AI84" s="115" t="e">
        <f t="shared" si="225"/>
        <v>#DIV/0!</v>
      </c>
      <c r="AJ84" s="21">
        <f t="shared" si="17"/>
        <v>0.01</v>
      </c>
      <c r="AK84" s="123" t="e">
        <f t="shared" si="218"/>
        <v>#DIV/0!</v>
      </c>
    </row>
    <row r="85" spans="2:37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01" t="e">
        <f t="shared" si="192"/>
        <v>#DIV/0!</v>
      </c>
      <c r="X85" s="1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16"/>
      <c r="AJ85" s="114"/>
      <c r="AK85" s="123"/>
    </row>
    <row r="86" spans="2:37">
      <c r="B86" s="10" t="s">
        <v>205</v>
      </c>
      <c r="C86" s="108"/>
      <c r="D86" s="108"/>
      <c r="E86" s="108"/>
      <c r="F86" s="121"/>
      <c r="G86" s="121">
        <f t="shared" ref="G86" si="269">G12/G61</f>
        <v>5.8139534883720927</v>
      </c>
      <c r="H86" s="121" t="e">
        <f t="shared" ref="H86:I86" si="270">H12/H61</f>
        <v>#DIV/0!</v>
      </c>
      <c r="I86" s="121" t="e">
        <f t="shared" si="270"/>
        <v>#DIV/0!</v>
      </c>
      <c r="J86" s="121" t="e">
        <f t="shared" ref="J86:S86" si="271">J12/J61</f>
        <v>#DIV/0!</v>
      </c>
      <c r="K86" s="121" t="e">
        <f t="shared" si="271"/>
        <v>#DIV/0!</v>
      </c>
      <c r="L86" s="121" t="e">
        <f t="shared" si="271"/>
        <v>#DIV/0!</v>
      </c>
      <c r="M86" s="121" t="e">
        <f t="shared" si="271"/>
        <v>#DIV/0!</v>
      </c>
      <c r="N86" s="121">
        <f t="shared" si="271"/>
        <v>5.8139534883720927</v>
      </c>
      <c r="O86" s="121">
        <f t="shared" si="271"/>
        <v>36.434108527131784</v>
      </c>
      <c r="P86" s="121">
        <f t="shared" si="271"/>
        <v>68.221574344023324</v>
      </c>
      <c r="Q86" s="121">
        <f t="shared" si="271"/>
        <v>68.221574344023324</v>
      </c>
      <c r="R86" s="121">
        <f t="shared" si="271"/>
        <v>70.699708454810491</v>
      </c>
      <c r="S86" s="121">
        <f t="shared" si="271"/>
        <v>48.976807639836288</v>
      </c>
      <c r="T86" s="121">
        <f t="shared" ref="T86:U86" si="272">T12/T61</f>
        <v>8.3014048531289912</v>
      </c>
      <c r="U86" s="121">
        <f t="shared" si="272"/>
        <v>13.217768147345611</v>
      </c>
      <c r="V86" s="121">
        <f t="shared" ref="V86" si="273">V12/V61</f>
        <v>117.33477789815818</v>
      </c>
      <c r="W86" s="101">
        <f t="shared" si="192"/>
        <v>0.45585928405835374</v>
      </c>
      <c r="X86" s="109"/>
      <c r="Y86" s="132">
        <f t="shared" ref="Y86:AH86" si="274">Y12/Y61</f>
        <v>14.902385656321032</v>
      </c>
      <c r="Z86" s="132">
        <f t="shared" si="274"/>
        <v>16.801709318401162</v>
      </c>
      <c r="AA86" s="132">
        <f t="shared" si="274"/>
        <v>18.943103643295423</v>
      </c>
      <c r="AB86" s="132">
        <f t="shared" si="274"/>
        <v>21.357420774303659</v>
      </c>
      <c r="AC86" s="132">
        <f t="shared" si="274"/>
        <v>24.079444990636478</v>
      </c>
      <c r="AD86" s="132">
        <f t="shared" si="274"/>
        <v>27.148393861992101</v>
      </c>
      <c r="AE86" s="132">
        <f t="shared" si="274"/>
        <v>30.608483275775406</v>
      </c>
      <c r="AF86" s="132">
        <f t="shared" si="274"/>
        <v>34.509564477589919</v>
      </c>
      <c r="AG86" s="132">
        <f t="shared" si="274"/>
        <v>38.907842303165104</v>
      </c>
      <c r="AH86" s="132">
        <f t="shared" si="274"/>
        <v>43.866684949646931</v>
      </c>
      <c r="AI86" s="115" t="e">
        <f t="shared" si="225"/>
        <v>#DIV/0!</v>
      </c>
      <c r="AJ86" s="21">
        <f t="shared" si="17"/>
        <v>0.01</v>
      </c>
      <c r="AK86" s="123" t="e">
        <f t="shared" si="218"/>
        <v>#DIV/0!</v>
      </c>
    </row>
    <row r="87" spans="2:37">
      <c r="B87" s="10" t="s">
        <v>212</v>
      </c>
      <c r="C87" s="108"/>
      <c r="D87" s="108"/>
      <c r="E87" s="108"/>
      <c r="F87" s="121"/>
      <c r="G87" s="121">
        <f t="shared" ref="G87" si="275">G13/G61</f>
        <v>16.666666666666668</v>
      </c>
      <c r="H87" s="121" t="e">
        <f t="shared" ref="H87:I87" si="276">H13/H61</f>
        <v>#DIV/0!</v>
      </c>
      <c r="I87" s="121" t="e">
        <f t="shared" si="276"/>
        <v>#DIV/0!</v>
      </c>
      <c r="J87" s="121" t="e">
        <f t="shared" ref="J87:S87" si="277">J13/J61</f>
        <v>#DIV/0!</v>
      </c>
      <c r="K87" s="121" t="e">
        <f t="shared" si="277"/>
        <v>#DIV/0!</v>
      </c>
      <c r="L87" s="121" t="e">
        <f t="shared" si="277"/>
        <v>#DIV/0!</v>
      </c>
      <c r="M87" s="121" t="e">
        <f t="shared" si="277"/>
        <v>#DIV/0!</v>
      </c>
      <c r="N87" s="121">
        <f t="shared" si="277"/>
        <v>16.666666666666668</v>
      </c>
      <c r="O87" s="121">
        <f t="shared" si="277"/>
        <v>14.728682170542635</v>
      </c>
      <c r="P87" s="121">
        <f t="shared" si="277"/>
        <v>8.7463556851311957</v>
      </c>
      <c r="Q87" s="121">
        <f t="shared" si="277"/>
        <v>8.7463556851311957</v>
      </c>
      <c r="R87" s="121">
        <f t="shared" si="277"/>
        <v>7.871720116618075</v>
      </c>
      <c r="S87" s="121">
        <f t="shared" si="277"/>
        <v>0</v>
      </c>
      <c r="T87" s="121">
        <f t="shared" ref="T87:U87" si="278">T13/T61</f>
        <v>23.88250319284802</v>
      </c>
      <c r="U87" s="121">
        <f t="shared" si="278"/>
        <v>113.65113759479956</v>
      </c>
      <c r="V87" s="121">
        <f t="shared" ref="V87" si="279">V13/V61</f>
        <v>32.502708559046589</v>
      </c>
      <c r="W87" s="101">
        <f t="shared" si="192"/>
        <v>8.707335381497594E-2</v>
      </c>
      <c r="X87" s="109"/>
      <c r="Y87" s="132">
        <f t="shared" ref="Y87:AH87" si="280">Y13/Y61</f>
        <v>128.13608650394067</v>
      </c>
      <c r="Z87" s="132">
        <f t="shared" si="280"/>
        <v>144.46715635248211</v>
      </c>
      <c r="AA87" s="132">
        <f t="shared" si="280"/>
        <v>162.87963706407297</v>
      </c>
      <c r="AB87" s="132">
        <f t="shared" si="280"/>
        <v>183.63880649380772</v>
      </c>
      <c r="AC87" s="132">
        <f t="shared" si="280"/>
        <v>207.04375241948907</v>
      </c>
      <c r="AD87" s="132">
        <f t="shared" si="280"/>
        <v>233.43168164942395</v>
      </c>
      <c r="AE87" s="132">
        <f t="shared" si="280"/>
        <v>263.18277833023285</v>
      </c>
      <c r="AF87" s="132">
        <f t="shared" si="280"/>
        <v>296.72568145075269</v>
      </c>
      <c r="AG87" s="132">
        <f t="shared" si="280"/>
        <v>334.54366045918198</v>
      </c>
      <c r="AH87" s="132">
        <f t="shared" si="280"/>
        <v>377.18157796868547</v>
      </c>
      <c r="AI87" s="115" t="e">
        <f t="shared" si="225"/>
        <v>#DIV/0!</v>
      </c>
      <c r="AJ87" s="21">
        <f t="shared" si="17"/>
        <v>0.01</v>
      </c>
      <c r="AK87" s="123" t="e">
        <f t="shared" si="218"/>
        <v>#DIV/0!</v>
      </c>
    </row>
    <row r="88" spans="2:37">
      <c r="B88" s="10" t="s">
        <v>213</v>
      </c>
      <c r="C88" s="108"/>
      <c r="D88" s="108"/>
      <c r="E88" s="108"/>
      <c r="F88" s="121"/>
      <c r="G88" s="121">
        <f t="shared" ref="G88" si="281">(G86+G87)</f>
        <v>22.480620155038761</v>
      </c>
      <c r="H88" s="121" t="e">
        <f t="shared" ref="H88:I88" si="282">(H86+H87)</f>
        <v>#DIV/0!</v>
      </c>
      <c r="I88" s="121" t="e">
        <f t="shared" si="282"/>
        <v>#DIV/0!</v>
      </c>
      <c r="J88" s="121" t="e">
        <f t="shared" ref="J88:S88" si="283">(J86+J87)</f>
        <v>#DIV/0!</v>
      </c>
      <c r="K88" s="121" t="e">
        <f t="shared" si="283"/>
        <v>#DIV/0!</v>
      </c>
      <c r="L88" s="121" t="e">
        <f t="shared" si="283"/>
        <v>#DIV/0!</v>
      </c>
      <c r="M88" s="121" t="e">
        <f t="shared" si="283"/>
        <v>#DIV/0!</v>
      </c>
      <c r="N88" s="121">
        <f t="shared" si="283"/>
        <v>22.480620155038761</v>
      </c>
      <c r="O88" s="121">
        <f t="shared" si="283"/>
        <v>51.162790697674417</v>
      </c>
      <c r="P88" s="121">
        <f t="shared" si="283"/>
        <v>76.967930029154516</v>
      </c>
      <c r="Q88" s="121">
        <f t="shared" si="283"/>
        <v>76.967930029154516</v>
      </c>
      <c r="R88" s="121">
        <f t="shared" ref="R88" si="284">(R86+R87)</f>
        <v>78.571428571428569</v>
      </c>
      <c r="S88" s="121">
        <f t="shared" si="283"/>
        <v>48.976807639836288</v>
      </c>
      <c r="T88" s="121">
        <f t="shared" ref="T88:U88" si="285">(T86+T87)</f>
        <v>32.183908045977013</v>
      </c>
      <c r="U88" s="121">
        <f t="shared" si="285"/>
        <v>126.86890574214517</v>
      </c>
      <c r="V88" s="121">
        <f t="shared" ref="V88" si="286">(V86+V87)</f>
        <v>149.83748645720476</v>
      </c>
      <c r="W88" s="101">
        <f t="shared" si="192"/>
        <v>0.26758334398170835</v>
      </c>
      <c r="X88" s="109"/>
      <c r="Y88" s="132">
        <f t="shared" ref="Y88:AH88" si="287">(Y86+Y87)</f>
        <v>143.0384721602617</v>
      </c>
      <c r="Z88" s="132">
        <f t="shared" si="287"/>
        <v>161.26886567088326</v>
      </c>
      <c r="AA88" s="132">
        <f t="shared" si="287"/>
        <v>181.82274070736838</v>
      </c>
      <c r="AB88" s="132">
        <f t="shared" si="287"/>
        <v>204.99622726811137</v>
      </c>
      <c r="AC88" s="132">
        <f t="shared" si="287"/>
        <v>231.12319741012556</v>
      </c>
      <c r="AD88" s="132">
        <f t="shared" si="287"/>
        <v>260.58007551141606</v>
      </c>
      <c r="AE88" s="132">
        <f t="shared" si="287"/>
        <v>293.79126160600828</v>
      </c>
      <c r="AF88" s="132">
        <f t="shared" si="287"/>
        <v>331.23524592834258</v>
      </c>
      <c r="AG88" s="132">
        <f t="shared" si="287"/>
        <v>373.4515027623471</v>
      </c>
      <c r="AH88" s="132">
        <f t="shared" si="287"/>
        <v>421.0482629183324</v>
      </c>
      <c r="AI88" s="115" t="e">
        <f t="shared" si="225"/>
        <v>#DIV/0!</v>
      </c>
      <c r="AJ88" s="21">
        <f t="shared" si="17"/>
        <v>0.01</v>
      </c>
      <c r="AK88" s="123" t="e">
        <f t="shared" si="218"/>
        <v>#DIV/0!</v>
      </c>
    </row>
    <row r="89" spans="2:37">
      <c r="B89" s="10" t="s">
        <v>206</v>
      </c>
      <c r="C89" s="108"/>
      <c r="D89" s="108"/>
      <c r="E89" s="108"/>
      <c r="F89" s="121"/>
      <c r="G89" s="121">
        <f t="shared" ref="G89" si="288">G15/G61</f>
        <v>5.8139534883720927</v>
      </c>
      <c r="H89" s="121" t="e">
        <f t="shared" ref="H89:I89" si="289">H15/H61</f>
        <v>#DIV/0!</v>
      </c>
      <c r="I89" s="121" t="e">
        <f t="shared" si="289"/>
        <v>#DIV/0!</v>
      </c>
      <c r="J89" s="121" t="e">
        <f t="shared" ref="J89:S89" si="290">J15/J61</f>
        <v>#DIV/0!</v>
      </c>
      <c r="K89" s="121" t="e">
        <f t="shared" si="290"/>
        <v>#DIV/0!</v>
      </c>
      <c r="L89" s="121" t="e">
        <f t="shared" si="290"/>
        <v>#DIV/0!</v>
      </c>
      <c r="M89" s="121" t="e">
        <f t="shared" si="290"/>
        <v>#DIV/0!</v>
      </c>
      <c r="N89" s="121">
        <f t="shared" si="290"/>
        <v>5.8139534883720927</v>
      </c>
      <c r="O89" s="121">
        <f t="shared" si="290"/>
        <v>36.434108527131784</v>
      </c>
      <c r="P89" s="121">
        <f t="shared" si="290"/>
        <v>68.221574344023324</v>
      </c>
      <c r="Q89" s="121">
        <f t="shared" si="290"/>
        <v>68.221574344023324</v>
      </c>
      <c r="R89" s="121">
        <f t="shared" si="290"/>
        <v>70.699708454810491</v>
      </c>
      <c r="S89" s="121">
        <f t="shared" si="290"/>
        <v>48.976807639836288</v>
      </c>
      <c r="T89" s="121">
        <f t="shared" ref="T89:U89" si="291">T15/T61</f>
        <v>8.3014048531289912</v>
      </c>
      <c r="U89" s="121">
        <f t="shared" si="291"/>
        <v>13.217768147345611</v>
      </c>
      <c r="V89" s="121">
        <f t="shared" ref="V89" si="292">V15/V61</f>
        <v>13.217768147345611</v>
      </c>
      <c r="W89" s="101">
        <f t="shared" si="192"/>
        <v>0.1081175217438195</v>
      </c>
      <c r="X89" s="109"/>
      <c r="Y89" s="132">
        <f t="shared" ref="Y89:AH89" si="293">Y15/Y61</f>
        <v>14.902385656321032</v>
      </c>
      <c r="Z89" s="132">
        <f t="shared" si="293"/>
        <v>16.801709318401162</v>
      </c>
      <c r="AA89" s="132">
        <f t="shared" si="293"/>
        <v>18.943103643295423</v>
      </c>
      <c r="AB89" s="132">
        <f t="shared" si="293"/>
        <v>21.357420774303659</v>
      </c>
      <c r="AC89" s="132">
        <f t="shared" si="293"/>
        <v>24.079444990636478</v>
      </c>
      <c r="AD89" s="132">
        <f t="shared" si="293"/>
        <v>27.148393861992101</v>
      </c>
      <c r="AE89" s="132">
        <f t="shared" si="293"/>
        <v>30.608483275775406</v>
      </c>
      <c r="AF89" s="132">
        <f t="shared" si="293"/>
        <v>34.509564477589919</v>
      </c>
      <c r="AG89" s="132">
        <f t="shared" si="293"/>
        <v>38.907842303165104</v>
      </c>
      <c r="AH89" s="132">
        <f t="shared" si="293"/>
        <v>43.866684949646931</v>
      </c>
      <c r="AI89" s="115" t="e">
        <f t="shared" si="225"/>
        <v>#DIV/0!</v>
      </c>
      <c r="AJ89" s="21">
        <f t="shared" si="17"/>
        <v>0.01</v>
      </c>
      <c r="AK89" s="123" t="e">
        <f t="shared" si="218"/>
        <v>#DIV/0!</v>
      </c>
    </row>
    <row r="90" spans="2:37">
      <c r="B90" s="10" t="s">
        <v>207</v>
      </c>
      <c r="C90" s="108"/>
      <c r="D90" s="108"/>
      <c r="E90" s="108"/>
      <c r="F90" s="121"/>
      <c r="G90" s="121">
        <f t="shared" ref="G90" si="294">G16/G61</f>
        <v>116.53746770025839</v>
      </c>
      <c r="H90" s="121" t="e">
        <f t="shared" ref="H90:I90" si="295">H16/H61</f>
        <v>#DIV/0!</v>
      </c>
      <c r="I90" s="121" t="e">
        <f t="shared" si="295"/>
        <v>#DIV/0!</v>
      </c>
      <c r="J90" s="121" t="e">
        <f t="shared" ref="J90:S90" si="296">J16/J61</f>
        <v>#DIV/0!</v>
      </c>
      <c r="K90" s="121" t="e">
        <f t="shared" si="296"/>
        <v>#DIV/0!</v>
      </c>
      <c r="L90" s="121" t="e">
        <f t="shared" si="296"/>
        <v>#DIV/0!</v>
      </c>
      <c r="M90" s="121" t="e">
        <f t="shared" si="296"/>
        <v>#DIV/0!</v>
      </c>
      <c r="N90" s="121">
        <f t="shared" si="296"/>
        <v>116.53746770025839</v>
      </c>
      <c r="O90" s="121">
        <f t="shared" si="296"/>
        <v>226.22739018087856</v>
      </c>
      <c r="P90" s="121">
        <f t="shared" si="296"/>
        <v>354.51895043731776</v>
      </c>
      <c r="Q90" s="121">
        <f t="shared" si="296"/>
        <v>354.51895043731776</v>
      </c>
      <c r="R90" s="121">
        <f t="shared" si="296"/>
        <v>464.57725947521863</v>
      </c>
      <c r="S90" s="121">
        <f t="shared" si="296"/>
        <v>517.87175989085949</v>
      </c>
      <c r="T90" s="121">
        <f t="shared" ref="T90:U90" si="297">T16/T61</f>
        <v>562.45210727969345</v>
      </c>
      <c r="U90" s="121">
        <f t="shared" si="297"/>
        <v>529.7941495124594</v>
      </c>
      <c r="V90" s="121">
        <f t="shared" ref="V90" si="298">V16/V61</f>
        <v>529.7941495124594</v>
      </c>
      <c r="W90" s="101">
        <f t="shared" si="192"/>
        <v>0.20838464393920364</v>
      </c>
      <c r="X90" s="109"/>
      <c r="Y90" s="132">
        <f t="shared" ref="Y90:AH90" si="299">Y16/Y61</f>
        <v>597.31693327385119</v>
      </c>
      <c r="Z90" s="132">
        <f t="shared" si="299"/>
        <v>673.44556202444005</v>
      </c>
      <c r="AA90" s="132">
        <f t="shared" si="299"/>
        <v>759.27685914520191</v>
      </c>
      <c r="AB90" s="132">
        <f t="shared" si="299"/>
        <v>856.04743923233525</v>
      </c>
      <c r="AC90" s="132">
        <f t="shared" si="299"/>
        <v>965.15152462469166</v>
      </c>
      <c r="AD90" s="132">
        <f t="shared" si="299"/>
        <v>1088.1610326650934</v>
      </c>
      <c r="AE90" s="132">
        <f t="shared" si="299"/>
        <v>1226.8482231028015</v>
      </c>
      <c r="AF90" s="132">
        <f t="shared" si="299"/>
        <v>1383.2112319296291</v>
      </c>
      <c r="AG90" s="132">
        <f t="shared" si="299"/>
        <v>1559.5028595285032</v>
      </c>
      <c r="AH90" s="132">
        <f t="shared" si="299"/>
        <v>1758.2630278997831</v>
      </c>
      <c r="AI90" s="115" t="e">
        <f t="shared" si="225"/>
        <v>#DIV/0!</v>
      </c>
      <c r="AJ90" s="21">
        <f t="shared" si="17"/>
        <v>0.01</v>
      </c>
      <c r="AK90" s="123" t="e">
        <f t="shared" si="218"/>
        <v>#DIV/0!</v>
      </c>
    </row>
    <row r="91" spans="2:37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01" t="e">
        <f t="shared" si="192"/>
        <v>#DIV/0!</v>
      </c>
      <c r="X91" s="1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16"/>
      <c r="AJ91" s="116"/>
      <c r="AK91" s="116"/>
    </row>
    <row r="92" spans="2:37">
      <c r="B92" s="10" t="s">
        <v>232</v>
      </c>
      <c r="C92" s="134"/>
      <c r="D92" s="134"/>
      <c r="E92" s="134"/>
      <c r="F92" s="134"/>
      <c r="G92" s="134">
        <f t="shared" ref="G92" si="300">G63</f>
        <v>1</v>
      </c>
      <c r="H92" s="134">
        <f t="shared" ref="H92:I92" si="301">H63</f>
        <v>0</v>
      </c>
      <c r="I92" s="134">
        <f t="shared" si="301"/>
        <v>0</v>
      </c>
      <c r="J92" s="134">
        <f t="shared" ref="J92:S92" si="302">J63</f>
        <v>0</v>
      </c>
      <c r="K92" s="134">
        <f t="shared" si="302"/>
        <v>0</v>
      </c>
      <c r="L92" s="134">
        <f t="shared" si="302"/>
        <v>0</v>
      </c>
      <c r="M92" s="134">
        <f t="shared" si="302"/>
        <v>0</v>
      </c>
      <c r="N92" s="134">
        <f t="shared" si="302"/>
        <v>1</v>
      </c>
      <c r="O92" s="134" t="str">
        <f t="shared" si="302"/>
        <v>-</v>
      </c>
      <c r="P92" s="134" t="str">
        <f t="shared" si="302"/>
        <v>-</v>
      </c>
      <c r="Q92" s="134" t="str">
        <f t="shared" si="302"/>
        <v>-</v>
      </c>
      <c r="R92" s="134" t="str">
        <f t="shared" si="302"/>
        <v>-</v>
      </c>
      <c r="S92" s="134" t="str">
        <f t="shared" si="302"/>
        <v>-</v>
      </c>
      <c r="T92" s="134" t="str">
        <f t="shared" ref="T92:U92" si="303">T63</f>
        <v>-</v>
      </c>
      <c r="U92" s="134">
        <f t="shared" si="303"/>
        <v>1</v>
      </c>
      <c r="V92" s="134">
        <f t="shared" ref="V92" si="304">V63</f>
        <v>1</v>
      </c>
      <c r="W92" s="101">
        <f t="shared" si="192"/>
        <v>0</v>
      </c>
      <c r="X92" s="109"/>
      <c r="Y92" s="134">
        <f t="shared" ref="Y92:AH92" si="305">Y63</f>
        <v>1.02</v>
      </c>
      <c r="Z92" s="134">
        <f t="shared" si="305"/>
        <v>1.0404</v>
      </c>
      <c r="AA92" s="134">
        <f t="shared" si="305"/>
        <v>1.0612079999999999</v>
      </c>
      <c r="AB92" s="134">
        <f t="shared" si="305"/>
        <v>1.08243216</v>
      </c>
      <c r="AC92" s="134">
        <f t="shared" si="305"/>
        <v>1.1040808032</v>
      </c>
      <c r="AD92" s="134">
        <f t="shared" si="305"/>
        <v>1.1261624192640001</v>
      </c>
      <c r="AE92" s="134">
        <f t="shared" si="305"/>
        <v>1.14868566764928</v>
      </c>
      <c r="AF92" s="134">
        <f t="shared" si="305"/>
        <v>1.1716593810022657</v>
      </c>
      <c r="AG92" s="134">
        <f t="shared" si="305"/>
        <v>1.1950925686223111</v>
      </c>
      <c r="AH92" s="134">
        <f t="shared" si="305"/>
        <v>1.2189944199947573</v>
      </c>
      <c r="AI92" s="115" t="e">
        <f t="shared" ref="AI92" si="306">((AH92/J92)^(1/($AH$3-$K$1) ))-1</f>
        <v>#DIV/0!</v>
      </c>
      <c r="AJ92" s="21">
        <f t="shared" si="17"/>
        <v>0.01</v>
      </c>
      <c r="AK92" s="123" t="e">
        <f t="shared" si="218"/>
        <v>#DIV/0!</v>
      </c>
    </row>
    <row r="93" spans="2:37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01" t="e">
        <f t="shared" si="192"/>
        <v>#DIV/0!</v>
      </c>
      <c r="X93" s="1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16"/>
      <c r="AJ93" s="114"/>
      <c r="AK93" s="116"/>
    </row>
    <row r="94" spans="2:37">
      <c r="B94" s="10" t="s">
        <v>262</v>
      </c>
      <c r="C94" s="108"/>
      <c r="D94" s="108"/>
      <c r="E94" s="108"/>
      <c r="F94" s="121"/>
      <c r="G94" s="121">
        <f t="shared" ref="G94" si="307">G20+G21</f>
        <v>0</v>
      </c>
      <c r="H94" s="121">
        <f t="shared" ref="H94:I94" si="308">H20+H21</f>
        <v>0</v>
      </c>
      <c r="I94" s="121">
        <f t="shared" si="308"/>
        <v>0</v>
      </c>
      <c r="J94" s="121">
        <f t="shared" ref="J94:S94" si="309">J20+J21</f>
        <v>0</v>
      </c>
      <c r="K94" s="121">
        <f t="shared" si="309"/>
        <v>0</v>
      </c>
      <c r="L94" s="121">
        <f t="shared" si="309"/>
        <v>0</v>
      </c>
      <c r="M94" s="121">
        <f t="shared" si="309"/>
        <v>0</v>
      </c>
      <c r="N94" s="121">
        <f t="shared" si="309"/>
        <v>0</v>
      </c>
      <c r="O94" s="121">
        <f t="shared" si="309"/>
        <v>0</v>
      </c>
      <c r="P94" s="121">
        <f t="shared" si="309"/>
        <v>0</v>
      </c>
      <c r="Q94" s="121">
        <f t="shared" si="309"/>
        <v>0</v>
      </c>
      <c r="R94" s="121">
        <f t="shared" si="309"/>
        <v>0</v>
      </c>
      <c r="S94" s="121">
        <f t="shared" si="309"/>
        <v>0</v>
      </c>
      <c r="T94" s="121">
        <f t="shared" ref="T94:U94" si="310">T20+T21</f>
        <v>0</v>
      </c>
      <c r="U94" s="121">
        <f t="shared" si="310"/>
        <v>0</v>
      </c>
      <c r="V94" s="121">
        <f t="shared" ref="V94" si="311">V20+V21</f>
        <v>0</v>
      </c>
      <c r="W94" s="101" t="e">
        <f t="shared" si="192"/>
        <v>#DIV/0!</v>
      </c>
      <c r="X94" s="109"/>
      <c r="Y94" s="121">
        <f t="shared" ref="Y94:AH94" si="312">Y20+Y21</f>
        <v>0</v>
      </c>
      <c r="Z94" s="121">
        <f t="shared" si="312"/>
        <v>0</v>
      </c>
      <c r="AA94" s="121">
        <f t="shared" si="312"/>
        <v>0</v>
      </c>
      <c r="AB94" s="121">
        <f t="shared" si="312"/>
        <v>0</v>
      </c>
      <c r="AC94" s="121">
        <f t="shared" si="312"/>
        <v>0</v>
      </c>
      <c r="AD94" s="121">
        <f t="shared" si="312"/>
        <v>0</v>
      </c>
      <c r="AE94" s="121">
        <f t="shared" si="312"/>
        <v>0</v>
      </c>
      <c r="AF94" s="121">
        <f t="shared" si="312"/>
        <v>0</v>
      </c>
      <c r="AG94" s="121">
        <f t="shared" si="312"/>
        <v>0</v>
      </c>
      <c r="AH94" s="121">
        <f t="shared" si="312"/>
        <v>0</v>
      </c>
      <c r="AI94" s="115" t="e">
        <f t="shared" ref="AI94:AI99" si="313">((AH94/J94)^(1/($AH$3-$K$1) ))-1</f>
        <v>#DIV/0!</v>
      </c>
      <c r="AJ94" s="21">
        <f t="shared" si="17"/>
        <v>0.01</v>
      </c>
      <c r="AK94" s="123" t="e">
        <f t="shared" si="218"/>
        <v>#DIV/0!</v>
      </c>
    </row>
    <row r="95" spans="2:37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01" t="e">
        <f t="shared" si="192"/>
        <v>#DIV/0!</v>
      </c>
      <c r="X95" s="10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16"/>
      <c r="AJ95" s="114"/>
      <c r="AK95" s="116"/>
    </row>
    <row r="96" spans="2:37">
      <c r="B96" s="10" t="s">
        <v>263</v>
      </c>
      <c r="C96" s="108"/>
      <c r="D96" s="108"/>
      <c r="E96" s="108"/>
      <c r="F96" s="121"/>
      <c r="G96" s="121">
        <f t="shared" ref="G96" si="314">G94/G61</f>
        <v>0</v>
      </c>
      <c r="H96" s="121" t="e">
        <f t="shared" ref="H96:I96" si="315">H94/H61</f>
        <v>#DIV/0!</v>
      </c>
      <c r="I96" s="121" t="e">
        <f t="shared" si="315"/>
        <v>#DIV/0!</v>
      </c>
      <c r="J96" s="121" t="e">
        <f t="shared" ref="J96:S96" si="316">J94/J61</f>
        <v>#DIV/0!</v>
      </c>
      <c r="K96" s="121" t="e">
        <f t="shared" si="316"/>
        <v>#DIV/0!</v>
      </c>
      <c r="L96" s="121" t="e">
        <f t="shared" si="316"/>
        <v>#DIV/0!</v>
      </c>
      <c r="M96" s="121" t="e">
        <f t="shared" si="316"/>
        <v>#DIV/0!</v>
      </c>
      <c r="N96" s="121">
        <f t="shared" si="316"/>
        <v>0</v>
      </c>
      <c r="O96" s="121">
        <f t="shared" si="316"/>
        <v>0</v>
      </c>
      <c r="P96" s="121">
        <f t="shared" si="316"/>
        <v>0</v>
      </c>
      <c r="Q96" s="121">
        <f t="shared" si="316"/>
        <v>0</v>
      </c>
      <c r="R96" s="121">
        <f t="shared" si="316"/>
        <v>0</v>
      </c>
      <c r="S96" s="121">
        <f t="shared" si="316"/>
        <v>0</v>
      </c>
      <c r="T96" s="121">
        <f t="shared" ref="T96:U96" si="317">T94/T61</f>
        <v>0</v>
      </c>
      <c r="U96" s="121">
        <f t="shared" si="317"/>
        <v>0</v>
      </c>
      <c r="V96" s="121">
        <f t="shared" ref="V96" si="318">V94/V61</f>
        <v>0</v>
      </c>
      <c r="W96" s="101" t="e">
        <f t="shared" si="192"/>
        <v>#DIV/0!</v>
      </c>
      <c r="X96" s="109"/>
      <c r="Y96" s="123">
        <f t="shared" ref="Y96:AH96" si="319">Y94/Y61</f>
        <v>0</v>
      </c>
      <c r="Z96" s="123">
        <f t="shared" si="319"/>
        <v>0</v>
      </c>
      <c r="AA96" s="123">
        <f t="shared" si="319"/>
        <v>0</v>
      </c>
      <c r="AB96" s="123">
        <f t="shared" si="319"/>
        <v>0</v>
      </c>
      <c r="AC96" s="123">
        <f t="shared" si="319"/>
        <v>0</v>
      </c>
      <c r="AD96" s="123">
        <f t="shared" si="319"/>
        <v>0</v>
      </c>
      <c r="AE96" s="123">
        <f t="shared" si="319"/>
        <v>0</v>
      </c>
      <c r="AF96" s="123">
        <f t="shared" si="319"/>
        <v>0</v>
      </c>
      <c r="AG96" s="123">
        <f t="shared" si="319"/>
        <v>0</v>
      </c>
      <c r="AH96" s="123">
        <f t="shared" si="319"/>
        <v>0</v>
      </c>
      <c r="AI96" s="115" t="e">
        <f t="shared" si="313"/>
        <v>#DIV/0!</v>
      </c>
      <c r="AJ96" s="21">
        <f t="shared" si="17"/>
        <v>0.01</v>
      </c>
      <c r="AK96" s="123" t="e">
        <f t="shared" si="218"/>
        <v>#DIV/0!</v>
      </c>
    </row>
    <row r="97" spans="2:37">
      <c r="B97" s="10" t="s">
        <v>236</v>
      </c>
      <c r="C97" s="108"/>
      <c r="D97" s="108"/>
      <c r="E97" s="108"/>
      <c r="F97" s="121"/>
      <c r="G97" s="121">
        <f t="shared" ref="G97" si="320">G20/G61</f>
        <v>0</v>
      </c>
      <c r="H97" s="121" t="e">
        <f t="shared" ref="H97:I97" si="321">H20/H61</f>
        <v>#DIV/0!</v>
      </c>
      <c r="I97" s="121" t="e">
        <f t="shared" si="321"/>
        <v>#DIV/0!</v>
      </c>
      <c r="J97" s="121" t="e">
        <f t="shared" ref="J97:S97" si="322">J20/J61</f>
        <v>#DIV/0!</v>
      </c>
      <c r="K97" s="121" t="e">
        <f t="shared" si="322"/>
        <v>#DIV/0!</v>
      </c>
      <c r="L97" s="121" t="e">
        <f t="shared" si="322"/>
        <v>#DIV/0!</v>
      </c>
      <c r="M97" s="121" t="e">
        <f t="shared" si="322"/>
        <v>#DIV/0!</v>
      </c>
      <c r="N97" s="121">
        <f t="shared" si="322"/>
        <v>0</v>
      </c>
      <c r="O97" s="121">
        <f t="shared" si="322"/>
        <v>0</v>
      </c>
      <c r="P97" s="121">
        <f t="shared" si="322"/>
        <v>0</v>
      </c>
      <c r="Q97" s="121">
        <f t="shared" si="322"/>
        <v>0</v>
      </c>
      <c r="R97" s="121">
        <f t="shared" si="322"/>
        <v>0</v>
      </c>
      <c r="S97" s="121">
        <f t="shared" si="322"/>
        <v>0</v>
      </c>
      <c r="T97" s="121">
        <f t="shared" ref="T97:U97" si="323">T20/T61</f>
        <v>0</v>
      </c>
      <c r="U97" s="121">
        <f t="shared" si="323"/>
        <v>0</v>
      </c>
      <c r="V97" s="121">
        <f t="shared" ref="V97" si="324">V20/V61</f>
        <v>0</v>
      </c>
      <c r="W97" s="101" t="e">
        <f t="shared" si="192"/>
        <v>#DIV/0!</v>
      </c>
      <c r="X97" s="109"/>
      <c r="Y97" s="123">
        <f t="shared" ref="Y97:AH97" si="325">Y20/Y61</f>
        <v>0</v>
      </c>
      <c r="Z97" s="123">
        <f t="shared" si="325"/>
        <v>0</v>
      </c>
      <c r="AA97" s="123">
        <f t="shared" si="325"/>
        <v>0</v>
      </c>
      <c r="AB97" s="123">
        <f t="shared" si="325"/>
        <v>0</v>
      </c>
      <c r="AC97" s="123">
        <f t="shared" si="325"/>
        <v>0</v>
      </c>
      <c r="AD97" s="123">
        <f t="shared" si="325"/>
        <v>0</v>
      </c>
      <c r="AE97" s="123">
        <f t="shared" si="325"/>
        <v>0</v>
      </c>
      <c r="AF97" s="123">
        <f t="shared" si="325"/>
        <v>0</v>
      </c>
      <c r="AG97" s="123">
        <f t="shared" si="325"/>
        <v>0</v>
      </c>
      <c r="AH97" s="123">
        <f t="shared" si="325"/>
        <v>0</v>
      </c>
      <c r="AI97" s="115" t="e">
        <f t="shared" si="313"/>
        <v>#DIV/0!</v>
      </c>
      <c r="AJ97" s="21">
        <f t="shared" si="17"/>
        <v>0.01</v>
      </c>
      <c r="AK97" s="123" t="e">
        <f t="shared" si="218"/>
        <v>#DIV/0!</v>
      </c>
    </row>
    <row r="98" spans="2:37">
      <c r="B98" s="10" t="s">
        <v>237</v>
      </c>
      <c r="C98" s="108"/>
      <c r="D98" s="108"/>
      <c r="E98" s="108"/>
      <c r="F98" s="121"/>
      <c r="G98" s="121">
        <f t="shared" ref="G98" si="326">G21/G61</f>
        <v>0</v>
      </c>
      <c r="H98" s="121" t="e">
        <f t="shared" ref="H98:I98" si="327">H21/H61</f>
        <v>#DIV/0!</v>
      </c>
      <c r="I98" s="121" t="e">
        <f t="shared" si="327"/>
        <v>#DIV/0!</v>
      </c>
      <c r="J98" s="121" t="e">
        <f t="shared" ref="J98:S98" si="328">J21/J61</f>
        <v>#DIV/0!</v>
      </c>
      <c r="K98" s="121" t="e">
        <f t="shared" si="328"/>
        <v>#DIV/0!</v>
      </c>
      <c r="L98" s="121" t="e">
        <f t="shared" si="328"/>
        <v>#DIV/0!</v>
      </c>
      <c r="M98" s="121" t="e">
        <f t="shared" si="328"/>
        <v>#DIV/0!</v>
      </c>
      <c r="N98" s="121">
        <f t="shared" si="328"/>
        <v>0</v>
      </c>
      <c r="O98" s="121">
        <f t="shared" si="328"/>
        <v>0</v>
      </c>
      <c r="P98" s="121">
        <f t="shared" si="328"/>
        <v>0</v>
      </c>
      <c r="Q98" s="121">
        <f t="shared" si="328"/>
        <v>0</v>
      </c>
      <c r="R98" s="121">
        <f t="shared" si="328"/>
        <v>0</v>
      </c>
      <c r="S98" s="121">
        <f t="shared" si="328"/>
        <v>0</v>
      </c>
      <c r="T98" s="121">
        <f t="shared" ref="T98:U98" si="329">T21/T61</f>
        <v>0</v>
      </c>
      <c r="U98" s="121">
        <f t="shared" si="329"/>
        <v>0</v>
      </c>
      <c r="V98" s="121">
        <f t="shared" ref="V98" si="330">V21/V61</f>
        <v>0</v>
      </c>
      <c r="W98" s="101" t="e">
        <f t="shared" si="192"/>
        <v>#DIV/0!</v>
      </c>
      <c r="X98" s="109"/>
      <c r="Y98" s="123">
        <f t="shared" ref="Y98:AH98" si="331">Y21/Y61</f>
        <v>0</v>
      </c>
      <c r="Z98" s="123">
        <f t="shared" si="331"/>
        <v>0</v>
      </c>
      <c r="AA98" s="123">
        <f t="shared" si="331"/>
        <v>0</v>
      </c>
      <c r="AB98" s="123">
        <f t="shared" si="331"/>
        <v>0</v>
      </c>
      <c r="AC98" s="123">
        <f t="shared" si="331"/>
        <v>0</v>
      </c>
      <c r="AD98" s="123">
        <f t="shared" si="331"/>
        <v>0</v>
      </c>
      <c r="AE98" s="123">
        <f t="shared" si="331"/>
        <v>0</v>
      </c>
      <c r="AF98" s="123">
        <f t="shared" si="331"/>
        <v>0</v>
      </c>
      <c r="AG98" s="123">
        <f t="shared" si="331"/>
        <v>0</v>
      </c>
      <c r="AH98" s="123">
        <f t="shared" si="331"/>
        <v>0</v>
      </c>
      <c r="AI98" s="115" t="e">
        <f t="shared" si="313"/>
        <v>#DIV/0!</v>
      </c>
      <c r="AJ98" s="21">
        <f t="shared" si="17"/>
        <v>0.01</v>
      </c>
      <c r="AK98" s="123" t="e">
        <f t="shared" si="218"/>
        <v>#DIV/0!</v>
      </c>
    </row>
    <row r="99" spans="2:37">
      <c r="B99" s="10" t="s">
        <v>238</v>
      </c>
      <c r="C99" s="108"/>
      <c r="D99" s="108"/>
      <c r="E99" s="108"/>
      <c r="F99" s="121"/>
      <c r="G99" s="121">
        <f t="shared" ref="G99" si="332">G22/G61</f>
        <v>0</v>
      </c>
      <c r="H99" s="121" t="e">
        <f t="shared" ref="H99:I99" si="333">H22/H61</f>
        <v>#DIV/0!</v>
      </c>
      <c r="I99" s="121" t="e">
        <f t="shared" si="333"/>
        <v>#DIV/0!</v>
      </c>
      <c r="J99" s="121" t="e">
        <f t="shared" ref="J99:S99" si="334">J22/J61</f>
        <v>#DIV/0!</v>
      </c>
      <c r="K99" s="121" t="e">
        <f t="shared" si="334"/>
        <v>#DIV/0!</v>
      </c>
      <c r="L99" s="121" t="e">
        <f t="shared" si="334"/>
        <v>#DIV/0!</v>
      </c>
      <c r="M99" s="121" t="e">
        <f t="shared" si="334"/>
        <v>#DIV/0!</v>
      </c>
      <c r="N99" s="121">
        <f t="shared" si="334"/>
        <v>0</v>
      </c>
      <c r="O99" s="121">
        <f t="shared" si="334"/>
        <v>0</v>
      </c>
      <c r="P99" s="121">
        <f t="shared" si="334"/>
        <v>0</v>
      </c>
      <c r="Q99" s="121">
        <f t="shared" si="334"/>
        <v>0</v>
      </c>
      <c r="R99" s="121">
        <f t="shared" si="334"/>
        <v>0</v>
      </c>
      <c r="S99" s="121">
        <f t="shared" si="334"/>
        <v>0</v>
      </c>
      <c r="T99" s="121">
        <f t="shared" ref="T99:U99" si="335">T22/T61</f>
        <v>0</v>
      </c>
      <c r="U99" s="121">
        <f t="shared" si="335"/>
        <v>0</v>
      </c>
      <c r="V99" s="121">
        <f t="shared" ref="V99" si="336">V22/V61</f>
        <v>0</v>
      </c>
      <c r="W99" s="101" t="e">
        <f t="shared" si="192"/>
        <v>#DIV/0!</v>
      </c>
      <c r="X99" s="109"/>
      <c r="Y99" s="123">
        <f t="shared" ref="Y99:AH99" si="337">Y22/Y61</f>
        <v>0</v>
      </c>
      <c r="Z99" s="123">
        <f t="shared" si="337"/>
        <v>0</v>
      </c>
      <c r="AA99" s="123">
        <f t="shared" si="337"/>
        <v>0</v>
      </c>
      <c r="AB99" s="123">
        <f t="shared" si="337"/>
        <v>0</v>
      </c>
      <c r="AC99" s="123">
        <f t="shared" si="337"/>
        <v>0</v>
      </c>
      <c r="AD99" s="123">
        <f t="shared" si="337"/>
        <v>0</v>
      </c>
      <c r="AE99" s="123">
        <f t="shared" si="337"/>
        <v>0</v>
      </c>
      <c r="AF99" s="123">
        <f t="shared" si="337"/>
        <v>0</v>
      </c>
      <c r="AG99" s="123">
        <f t="shared" si="337"/>
        <v>0</v>
      </c>
      <c r="AH99" s="123">
        <f t="shared" si="337"/>
        <v>0</v>
      </c>
      <c r="AI99" s="115" t="e">
        <f t="shared" si="313"/>
        <v>#DIV/0!</v>
      </c>
      <c r="AJ99" s="21">
        <f t="shared" si="17"/>
        <v>0.01</v>
      </c>
      <c r="AK99" s="123" t="e">
        <f t="shared" si="218"/>
        <v>#DIV/0!</v>
      </c>
    </row>
    <row r="100" spans="2:37">
      <c r="B100" s="10" t="s">
        <v>245</v>
      </c>
      <c r="C100" s="108"/>
      <c r="D100" s="108"/>
      <c r="E100" s="108"/>
      <c r="F100" s="121"/>
      <c r="G100" s="121">
        <f t="shared" ref="G100" si="338">G23/G61</f>
        <v>0</v>
      </c>
      <c r="H100" s="121" t="e">
        <f t="shared" ref="H100:I100" si="339">H23/H61</f>
        <v>#DIV/0!</v>
      </c>
      <c r="I100" s="121" t="e">
        <f t="shared" si="339"/>
        <v>#DIV/0!</v>
      </c>
      <c r="J100" s="121" t="e">
        <f t="shared" ref="J100:S100" si="340">J23/J61</f>
        <v>#DIV/0!</v>
      </c>
      <c r="K100" s="121" t="e">
        <f t="shared" si="340"/>
        <v>#DIV/0!</v>
      </c>
      <c r="L100" s="121" t="e">
        <f t="shared" si="340"/>
        <v>#DIV/0!</v>
      </c>
      <c r="M100" s="121" t="e">
        <f t="shared" si="340"/>
        <v>#DIV/0!</v>
      </c>
      <c r="N100" s="121">
        <f t="shared" si="340"/>
        <v>0</v>
      </c>
      <c r="O100" s="121">
        <f t="shared" si="340"/>
        <v>0</v>
      </c>
      <c r="P100" s="121">
        <f t="shared" si="340"/>
        <v>0</v>
      </c>
      <c r="Q100" s="121">
        <f t="shared" si="340"/>
        <v>0</v>
      </c>
      <c r="R100" s="121">
        <f t="shared" si="340"/>
        <v>0</v>
      </c>
      <c r="S100" s="121">
        <f t="shared" si="340"/>
        <v>0</v>
      </c>
      <c r="T100" s="121">
        <f t="shared" ref="T100:U100" si="341">T23/T61</f>
        <v>0</v>
      </c>
      <c r="U100" s="121">
        <f t="shared" si="341"/>
        <v>0</v>
      </c>
      <c r="V100" s="121">
        <f t="shared" ref="V100" si="342">V23/V61</f>
        <v>0</v>
      </c>
      <c r="W100" s="101" t="e">
        <f t="shared" si="192"/>
        <v>#DIV/0!</v>
      </c>
      <c r="X100" s="109"/>
      <c r="Y100" s="123">
        <f t="shared" ref="Y100:AH100" si="343">Y23/Y61</f>
        <v>0</v>
      </c>
      <c r="Z100" s="123">
        <f t="shared" si="343"/>
        <v>0</v>
      </c>
      <c r="AA100" s="123">
        <f t="shared" si="343"/>
        <v>0</v>
      </c>
      <c r="AB100" s="123">
        <f t="shared" si="343"/>
        <v>0</v>
      </c>
      <c r="AC100" s="123">
        <f t="shared" si="343"/>
        <v>0</v>
      </c>
      <c r="AD100" s="123">
        <f t="shared" si="343"/>
        <v>0</v>
      </c>
      <c r="AE100" s="123">
        <f t="shared" si="343"/>
        <v>0</v>
      </c>
      <c r="AF100" s="123">
        <f t="shared" si="343"/>
        <v>0</v>
      </c>
      <c r="AG100" s="123">
        <f t="shared" si="343"/>
        <v>0</v>
      </c>
      <c r="AH100" s="123">
        <f t="shared" si="343"/>
        <v>0</v>
      </c>
      <c r="AI100" s="115" t="e">
        <f t="shared" ref="AI100" si="344">((AH100/J100)^(1/($AH$3-$K$1) ))-1</f>
        <v>#DIV/0!</v>
      </c>
      <c r="AJ100" s="21">
        <f t="shared" si="17"/>
        <v>0.01</v>
      </c>
      <c r="AK100" s="123" t="e">
        <f t="shared" si="218"/>
        <v>#DIV/0!</v>
      </c>
    </row>
    <row r="101" spans="2:37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01" t="e">
        <f t="shared" si="192"/>
        <v>#DIV/0!</v>
      </c>
      <c r="X101" s="10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16"/>
      <c r="AJ101" s="114"/>
      <c r="AK101" s="116"/>
    </row>
    <row r="102" spans="2:37">
      <c r="B102" s="10" t="s">
        <v>429</v>
      </c>
      <c r="C102" s="121"/>
      <c r="D102" s="121"/>
      <c r="E102" s="121"/>
      <c r="F102" s="121"/>
      <c r="G102" s="121">
        <f t="shared" ref="G102" si="345">G53/G61</f>
        <v>7.6227390180878549</v>
      </c>
      <c r="H102" s="121" t="e">
        <f t="shared" ref="H102:I102" si="346">H53/H61</f>
        <v>#DIV/0!</v>
      </c>
      <c r="I102" s="121" t="e">
        <f t="shared" si="346"/>
        <v>#DIV/0!</v>
      </c>
      <c r="J102" s="121" t="e">
        <f t="shared" ref="J102:S102" si="347">J53/J61</f>
        <v>#DIV/0!</v>
      </c>
      <c r="K102" s="121" t="e">
        <f t="shared" si="347"/>
        <v>#DIV/0!</v>
      </c>
      <c r="L102" s="121" t="e">
        <f t="shared" si="347"/>
        <v>#DIV/0!</v>
      </c>
      <c r="M102" s="121" t="e">
        <f t="shared" si="347"/>
        <v>#DIV/0!</v>
      </c>
      <c r="N102" s="121">
        <f t="shared" si="347"/>
        <v>7.6227390180878549</v>
      </c>
      <c r="O102" s="121">
        <f t="shared" si="347"/>
        <v>7.6227390180878549</v>
      </c>
      <c r="P102" s="121">
        <f t="shared" si="347"/>
        <v>29.154518950437318</v>
      </c>
      <c r="Q102" s="121">
        <f t="shared" si="347"/>
        <v>52.623906705539355</v>
      </c>
      <c r="R102" s="121">
        <f t="shared" si="347"/>
        <v>70.991253644314867</v>
      </c>
      <c r="S102" s="121">
        <f t="shared" si="347"/>
        <v>79.945429740791269</v>
      </c>
      <c r="T102" s="121">
        <f t="shared" ref="T102:U102" si="348">T53/T61</f>
        <v>82.758620689655174</v>
      </c>
      <c r="U102" s="121">
        <f t="shared" si="348"/>
        <v>74.431202600216679</v>
      </c>
      <c r="V102" s="121">
        <f t="shared" ref="V102" si="349">V53/V61</f>
        <v>41.061755146262186</v>
      </c>
      <c r="W102" s="101">
        <f t="shared" si="192"/>
        <v>0.23428601208469946</v>
      </c>
      <c r="X102" s="109"/>
      <c r="Y102" s="121">
        <f t="shared" ref="Y102:AH102" si="350">Y53/Y61</f>
        <v>83.917532343381552</v>
      </c>
      <c r="Z102" s="121">
        <f t="shared" si="350"/>
        <v>94.612904112636045</v>
      </c>
      <c r="AA102" s="121">
        <f t="shared" si="350"/>
        <v>106.67141149954062</v>
      </c>
      <c r="AB102" s="121">
        <f t="shared" si="350"/>
        <v>120.26678747497226</v>
      </c>
      <c r="AC102" s="121">
        <f t="shared" si="350"/>
        <v>135.59490744727265</v>
      </c>
      <c r="AD102" s="121">
        <f t="shared" si="350"/>
        <v>152.87661133761128</v>
      </c>
      <c r="AE102" s="121">
        <f t="shared" si="350"/>
        <v>172.36088533162055</v>
      </c>
      <c r="AF102" s="121">
        <f t="shared" si="350"/>
        <v>194.32844914839572</v>
      </c>
      <c r="AG102" s="121">
        <f t="shared" si="350"/>
        <v>219.09580051044614</v>
      </c>
      <c r="AH102" s="121">
        <f t="shared" si="350"/>
        <v>247.01977508530692</v>
      </c>
      <c r="AI102" s="115" t="e">
        <f t="shared" ref="AI102:AI104" si="351">((AH102/J102)^(1/($AH$3-$K$1) ))-1</f>
        <v>#DIV/0!</v>
      </c>
      <c r="AJ102" s="21">
        <f t="shared" si="17"/>
        <v>0.01</v>
      </c>
      <c r="AK102" s="123" t="e">
        <f t="shared" si="218"/>
        <v>#DIV/0!</v>
      </c>
    </row>
    <row r="103" spans="2:37">
      <c r="B103" s="10" t="s">
        <v>430</v>
      </c>
      <c r="C103" s="121"/>
      <c r="D103" s="121"/>
      <c r="E103" s="121"/>
      <c r="F103" s="121"/>
      <c r="G103" s="121">
        <f t="shared" ref="G103" si="352">G59/G61</f>
        <v>6.8475452196382429</v>
      </c>
      <c r="H103" s="121" t="e">
        <f t="shared" ref="H103:I103" si="353">H59/H61</f>
        <v>#DIV/0!</v>
      </c>
      <c r="I103" s="121" t="e">
        <f t="shared" si="353"/>
        <v>#DIV/0!</v>
      </c>
      <c r="J103" s="121" t="e">
        <f t="shared" ref="J103:S103" si="354">J59/J61</f>
        <v>#DIV/0!</v>
      </c>
      <c r="K103" s="121" t="e">
        <f t="shared" si="354"/>
        <v>#DIV/0!</v>
      </c>
      <c r="L103" s="121" t="e">
        <f t="shared" si="354"/>
        <v>#DIV/0!</v>
      </c>
      <c r="M103" s="121" t="e">
        <f t="shared" si="354"/>
        <v>#DIV/0!</v>
      </c>
      <c r="N103" s="121">
        <f t="shared" si="354"/>
        <v>6.8475452196382429</v>
      </c>
      <c r="O103" s="121">
        <f t="shared" si="354"/>
        <v>6.8475452196382429</v>
      </c>
      <c r="P103" s="121">
        <f t="shared" si="354"/>
        <v>13.119533527696792</v>
      </c>
      <c r="Q103" s="121">
        <f t="shared" si="354"/>
        <v>16.326530612244898</v>
      </c>
      <c r="R103" s="121">
        <f t="shared" si="354"/>
        <v>21.720116618075799</v>
      </c>
      <c r="S103" s="121">
        <f t="shared" si="354"/>
        <v>26.057298772169169</v>
      </c>
      <c r="T103" s="121">
        <f t="shared" ref="T103:U103" si="355">T59/T61</f>
        <v>26.947637292464879</v>
      </c>
      <c r="U103" s="121">
        <f t="shared" si="355"/>
        <v>21.668472372697725</v>
      </c>
      <c r="V103" s="121">
        <f t="shared" ref="V103" si="356">V59/V61</f>
        <v>26.00216684723727</v>
      </c>
      <c r="W103" s="101">
        <f t="shared" si="192"/>
        <v>0.1815016404722618</v>
      </c>
      <c r="X103" s="109"/>
      <c r="Y103" s="121">
        <f t="shared" ref="Y103:AH103" si="357">Y59/Y61</f>
        <v>24.430140420198413</v>
      </c>
      <c r="Z103" s="121">
        <f t="shared" si="357"/>
        <v>27.543785767870755</v>
      </c>
      <c r="AA103" s="121">
        <f t="shared" si="357"/>
        <v>31.054268267697413</v>
      </c>
      <c r="AB103" s="121">
        <f t="shared" si="357"/>
        <v>35.01216520377649</v>
      </c>
      <c r="AC103" s="121">
        <f t="shared" si="357"/>
        <v>39.47449998464996</v>
      </c>
      <c r="AD103" s="121">
        <f t="shared" si="357"/>
        <v>44.505563708183779</v>
      </c>
      <c r="AE103" s="121">
        <f t="shared" si="357"/>
        <v>50.177841435697388</v>
      </c>
      <c r="AF103" s="121">
        <f t="shared" si="357"/>
        <v>56.573056520639213</v>
      </c>
      <c r="AG103" s="121">
        <f t="shared" si="357"/>
        <v>63.783348037975585</v>
      </c>
      <c r="AH103" s="121">
        <f t="shared" si="357"/>
        <v>71.912598278109726</v>
      </c>
      <c r="AI103" s="115" t="e">
        <f t="shared" si="351"/>
        <v>#DIV/0!</v>
      </c>
      <c r="AJ103" s="21">
        <f t="shared" si="17"/>
        <v>0.01</v>
      </c>
      <c r="AK103" s="123" t="e">
        <f t="shared" si="218"/>
        <v>#DIV/0!</v>
      </c>
    </row>
    <row r="104" spans="2:37">
      <c r="B104" s="10" t="s">
        <v>259</v>
      </c>
      <c r="C104" s="121"/>
      <c r="D104" s="121"/>
      <c r="E104" s="121"/>
      <c r="F104" s="121"/>
      <c r="G104" s="121">
        <f t="shared" ref="G104" si="358">G6/G61</f>
        <v>111.88630490956072</v>
      </c>
      <c r="H104" s="121" t="e">
        <f t="shared" ref="H104:I104" si="359">H6/H61</f>
        <v>#DIV/0!</v>
      </c>
      <c r="I104" s="121" t="e">
        <f t="shared" si="359"/>
        <v>#DIV/0!</v>
      </c>
      <c r="J104" s="121" t="e">
        <f t="shared" ref="J104:S104" si="360">J6/J61</f>
        <v>#DIV/0!</v>
      </c>
      <c r="K104" s="121" t="e">
        <f t="shared" si="360"/>
        <v>#DIV/0!</v>
      </c>
      <c r="L104" s="121" t="e">
        <f t="shared" si="360"/>
        <v>#DIV/0!</v>
      </c>
      <c r="M104" s="121" t="e">
        <f t="shared" si="360"/>
        <v>#DIV/0!</v>
      </c>
      <c r="N104" s="121">
        <f t="shared" si="360"/>
        <v>111.88630490956072</v>
      </c>
      <c r="O104" s="121">
        <f t="shared" si="360"/>
        <v>123.51421188630491</v>
      </c>
      <c r="P104" s="121">
        <f t="shared" si="360"/>
        <v>155.53935860058309</v>
      </c>
      <c r="Q104" s="121">
        <f t="shared" si="360"/>
        <v>155.53935860058309</v>
      </c>
      <c r="R104" s="121">
        <f t="shared" si="360"/>
        <v>177.25947521865888</v>
      </c>
      <c r="S104" s="121">
        <f t="shared" si="360"/>
        <v>200.27285129604365</v>
      </c>
      <c r="T104" s="121">
        <f t="shared" ref="T104:U104" si="361">T6/T61</f>
        <v>232.95019157088123</v>
      </c>
      <c r="U104" s="121">
        <f t="shared" si="361"/>
        <v>223.94366197183098</v>
      </c>
      <c r="V104" s="121">
        <f t="shared" ref="V104" si="362">V6/V61</f>
        <v>216.68472372697724</v>
      </c>
      <c r="W104" s="101">
        <f t="shared" si="192"/>
        <v>8.6129026903968064E-2</v>
      </c>
      <c r="X104" s="109"/>
      <c r="Y104" s="121">
        <f t="shared" ref="Y104:AH104" si="363">Y6/Y61</f>
        <v>252.48550124275059</v>
      </c>
      <c r="Z104" s="121">
        <f t="shared" si="363"/>
        <v>284.66502591094428</v>
      </c>
      <c r="AA104" s="121">
        <f t="shared" si="363"/>
        <v>320.94586254665285</v>
      </c>
      <c r="AB104" s="121">
        <f t="shared" si="363"/>
        <v>361.85072738103008</v>
      </c>
      <c r="AC104" s="121">
        <f t="shared" si="363"/>
        <v>407.9689573413574</v>
      </c>
      <c r="AD104" s="121">
        <f t="shared" si="363"/>
        <v>459.96500092407933</v>
      </c>
      <c r="AE104" s="121">
        <f t="shared" si="363"/>
        <v>518.58799123793256</v>
      </c>
      <c r="AF104" s="121">
        <f t="shared" si="363"/>
        <v>584.68253914080628</v>
      </c>
      <c r="AG104" s="121">
        <f t="shared" si="363"/>
        <v>659.20090197247771</v>
      </c>
      <c r="AH104" s="121">
        <f t="shared" si="363"/>
        <v>743.21670320426415</v>
      </c>
      <c r="AI104" s="115" t="e">
        <f t="shared" si="351"/>
        <v>#DIV/0!</v>
      </c>
      <c r="AJ104" s="21">
        <f t="shared" ref="AJ104:AJ106" si="364">$O$1</f>
        <v>0.01</v>
      </c>
      <c r="AK104" s="123" t="e">
        <f t="shared" si="218"/>
        <v>#DIV/0!</v>
      </c>
    </row>
    <row r="105" spans="2:37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01" t="e">
        <f t="shared" si="192"/>
        <v>#DIV/0!</v>
      </c>
      <c r="X105" s="10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16"/>
      <c r="AJ105" s="10"/>
      <c r="AK105" s="116"/>
    </row>
    <row r="106" spans="2:37">
      <c r="B106" s="10" t="s">
        <v>406</v>
      </c>
      <c r="C106" s="108"/>
      <c r="D106" s="108"/>
      <c r="E106" s="108"/>
      <c r="F106" s="121"/>
      <c r="G106" s="121">
        <f t="shared" ref="G106:U106" si="365">G59/$V$61</f>
        <v>5.7421451787648969</v>
      </c>
      <c r="H106" s="121">
        <f t="shared" si="365"/>
        <v>0</v>
      </c>
      <c r="I106" s="121">
        <f t="shared" si="365"/>
        <v>0</v>
      </c>
      <c r="J106" s="121">
        <f t="shared" si="365"/>
        <v>0</v>
      </c>
      <c r="K106" s="121">
        <f t="shared" si="365"/>
        <v>0</v>
      </c>
      <c r="L106" s="121">
        <f t="shared" si="365"/>
        <v>0</v>
      </c>
      <c r="M106" s="121">
        <f t="shared" si="365"/>
        <v>0</v>
      </c>
      <c r="N106" s="121">
        <f t="shared" si="365"/>
        <v>5.7421451787648969</v>
      </c>
      <c r="O106" s="121">
        <f t="shared" si="365"/>
        <v>5.7421451787648969</v>
      </c>
      <c r="P106" s="121">
        <f t="shared" si="365"/>
        <v>9.7508125677139752</v>
      </c>
      <c r="Q106" s="121">
        <f t="shared" si="365"/>
        <v>12.134344528710725</v>
      </c>
      <c r="R106" s="121">
        <f t="shared" si="365"/>
        <v>16.143011917659805</v>
      </c>
      <c r="S106" s="121">
        <f t="shared" si="365"/>
        <v>20.693391115926325</v>
      </c>
      <c r="T106" s="121">
        <f t="shared" si="365"/>
        <v>22.860238353196099</v>
      </c>
      <c r="U106" s="121">
        <f t="shared" si="365"/>
        <v>21.668472372697725</v>
      </c>
      <c r="V106" s="121">
        <f>V59/$V$61</f>
        <v>26.00216684723727</v>
      </c>
      <c r="W106" s="101">
        <f t="shared" si="192"/>
        <v>0.20779136828531808</v>
      </c>
      <c r="X106" s="109"/>
      <c r="Y106" s="121">
        <f t="shared" ref="Y106:AH106" si="366">Y59/Y61</f>
        <v>24.430140420198413</v>
      </c>
      <c r="Z106" s="121">
        <f t="shared" si="366"/>
        <v>27.543785767870755</v>
      </c>
      <c r="AA106" s="121">
        <f t="shared" si="366"/>
        <v>31.054268267697413</v>
      </c>
      <c r="AB106" s="121">
        <f t="shared" si="366"/>
        <v>35.01216520377649</v>
      </c>
      <c r="AC106" s="121">
        <f t="shared" si="366"/>
        <v>39.47449998464996</v>
      </c>
      <c r="AD106" s="121">
        <f t="shared" si="366"/>
        <v>44.505563708183779</v>
      </c>
      <c r="AE106" s="121">
        <f t="shared" si="366"/>
        <v>50.177841435697388</v>
      </c>
      <c r="AF106" s="121">
        <f t="shared" si="366"/>
        <v>56.573056520639213</v>
      </c>
      <c r="AG106" s="121">
        <f t="shared" si="366"/>
        <v>63.783348037975585</v>
      </c>
      <c r="AH106" s="121">
        <f t="shared" si="366"/>
        <v>71.912598278109726</v>
      </c>
      <c r="AI106" s="115" t="e">
        <f t="shared" ref="AI106" si="367">((AH106/J106)^(1/($AH$3-$K$1) ))-1</f>
        <v>#DIV/0!</v>
      </c>
      <c r="AJ106" s="21">
        <f t="shared" si="364"/>
        <v>0.01</v>
      </c>
      <c r="AK106" s="123" t="e">
        <f t="shared" si="218"/>
        <v>#DIV/0!</v>
      </c>
    </row>
    <row r="107" spans="2:37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01" t="e">
        <f t="shared" si="192"/>
        <v>#DIV/0!</v>
      </c>
      <c r="X107" s="10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16"/>
      <c r="AJ107" s="10"/>
      <c r="AK107" s="116"/>
    </row>
    <row r="108" spans="2:37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21"/>
      <c r="W108" s="101" t="e">
        <f t="shared" si="192"/>
        <v>#DIV/0!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16"/>
    </row>
    <row r="109" spans="2:37">
      <c r="B109" s="10" t="s">
        <v>257</v>
      </c>
      <c r="C109" s="128"/>
      <c r="D109" s="128"/>
      <c r="E109" s="128"/>
      <c r="F109" s="128"/>
      <c r="G109" s="128">
        <f t="shared" ref="G109" si="368">G53/G25</f>
        <v>0.6629213483146067</v>
      </c>
      <c r="H109" s="128" t="e">
        <f t="shared" ref="H109:I109" si="369">H53/H25</f>
        <v>#DIV/0!</v>
      </c>
      <c r="I109" s="128" t="e">
        <f t="shared" si="369"/>
        <v>#DIV/0!</v>
      </c>
      <c r="J109" s="128" t="e">
        <f t="shared" ref="J109:S109" si="370">J53/J25</f>
        <v>#DIV/0!</v>
      </c>
      <c r="K109" s="128" t="e">
        <f t="shared" si="370"/>
        <v>#DIV/0!</v>
      </c>
      <c r="L109" s="128" t="e">
        <f t="shared" si="370"/>
        <v>#DIV/0!</v>
      </c>
      <c r="M109" s="128" t="e">
        <f t="shared" si="370"/>
        <v>#DIV/0!</v>
      </c>
      <c r="N109" s="128">
        <f t="shared" si="370"/>
        <v>0.6629213483146067</v>
      </c>
      <c r="O109" s="128">
        <f t="shared" si="370"/>
        <v>0.6629213483146067</v>
      </c>
      <c r="P109" s="128">
        <f t="shared" si="370"/>
        <v>0.82987551867219922</v>
      </c>
      <c r="Q109" s="128">
        <f t="shared" si="370"/>
        <v>0.90931989924433254</v>
      </c>
      <c r="R109" s="128">
        <f t="shared" si="370"/>
        <v>0.92234848484848486</v>
      </c>
      <c r="S109" s="128">
        <f t="shared" si="370"/>
        <v>0.90993788819875776</v>
      </c>
      <c r="T109" s="128">
        <f t="shared" ref="T109:U109" si="371">T53/T25</f>
        <v>0.9</v>
      </c>
      <c r="U109" s="128">
        <f t="shared" si="371"/>
        <v>0.82771084337349399</v>
      </c>
      <c r="V109" s="128">
        <f t="shared" ref="V109" si="372">V53/V25</f>
        <v>0.31452282157676348</v>
      </c>
      <c r="W109" s="101">
        <f t="shared" si="192"/>
        <v>-8.8988687728297711E-2</v>
      </c>
      <c r="X109" s="128"/>
      <c r="Y109" s="128">
        <f t="shared" ref="Y109:AH109" si="373">Y53/Y25</f>
        <v>0.82771084337349399</v>
      </c>
      <c r="Z109" s="128">
        <f t="shared" si="373"/>
        <v>0.8277108433734941</v>
      </c>
      <c r="AA109" s="128">
        <f t="shared" si="373"/>
        <v>0.82771084337349399</v>
      </c>
      <c r="AB109" s="128">
        <f t="shared" si="373"/>
        <v>0.82771084337349399</v>
      </c>
      <c r="AC109" s="128">
        <f t="shared" si="373"/>
        <v>0.8277108433734941</v>
      </c>
      <c r="AD109" s="128">
        <f t="shared" si="373"/>
        <v>0.82771084337349399</v>
      </c>
      <c r="AE109" s="128">
        <f t="shared" si="373"/>
        <v>0.8277108433734941</v>
      </c>
      <c r="AF109" s="128">
        <f t="shared" si="373"/>
        <v>0.8277108433734941</v>
      </c>
      <c r="AG109" s="128">
        <f t="shared" si="373"/>
        <v>0.8277108433734941</v>
      </c>
      <c r="AH109" s="128">
        <f t="shared" si="373"/>
        <v>0.82771084337349421</v>
      </c>
      <c r="AI109" s="115" t="e">
        <f t="shared" ref="AI109:AI158" si="374">((AH109/J109)^(1/($AH$3-$K$1) ))-1</f>
        <v>#DIV/0!</v>
      </c>
      <c r="AJ109" s="21">
        <f t="shared" ref="AJ109:AJ171" si="375">$O$1</f>
        <v>0.01</v>
      </c>
      <c r="AK109" s="123" t="e">
        <f t="shared" si="218"/>
        <v>#DIV/0!</v>
      </c>
    </row>
    <row r="110" spans="2:37">
      <c r="B110" s="10" t="s">
        <v>219</v>
      </c>
      <c r="C110" s="128"/>
      <c r="D110" s="128"/>
      <c r="E110" s="128"/>
      <c r="F110" s="128"/>
      <c r="G110" s="128">
        <f t="shared" ref="G110" si="376">G59/G25</f>
        <v>0.5955056179775281</v>
      </c>
      <c r="H110" s="128" t="e">
        <f t="shared" ref="H110:I110" si="377">H59/H25</f>
        <v>#DIV/0!</v>
      </c>
      <c r="I110" s="128" t="e">
        <f t="shared" si="377"/>
        <v>#DIV/0!</v>
      </c>
      <c r="J110" s="128" t="e">
        <f t="shared" ref="J110:S110" si="378">J59/J25</f>
        <v>#DIV/0!</v>
      </c>
      <c r="K110" s="128" t="e">
        <f t="shared" si="378"/>
        <v>#DIV/0!</v>
      </c>
      <c r="L110" s="128" t="e">
        <f t="shared" si="378"/>
        <v>#DIV/0!</v>
      </c>
      <c r="M110" s="128" t="e">
        <f t="shared" si="378"/>
        <v>#DIV/0!</v>
      </c>
      <c r="N110" s="128">
        <f t="shared" si="378"/>
        <v>0.5955056179775281</v>
      </c>
      <c r="O110" s="128">
        <f t="shared" si="378"/>
        <v>0.5955056179775281</v>
      </c>
      <c r="P110" s="128">
        <f t="shared" si="378"/>
        <v>0.37344398340248963</v>
      </c>
      <c r="Q110" s="128">
        <f t="shared" si="378"/>
        <v>0.28211586901763225</v>
      </c>
      <c r="R110" s="128">
        <f t="shared" si="378"/>
        <v>0.28219696969696972</v>
      </c>
      <c r="S110" s="128">
        <f t="shared" si="378"/>
        <v>0.296583850931677</v>
      </c>
      <c r="T110" s="128">
        <f t="shared" ref="T110:U110" si="379">T59/T25</f>
        <v>0.29305555555555557</v>
      </c>
      <c r="U110" s="128">
        <f t="shared" si="379"/>
        <v>0.24096385542168675</v>
      </c>
      <c r="V110" s="128">
        <f t="shared" ref="V110" si="380">V59/V25</f>
        <v>0.19917012448132779</v>
      </c>
      <c r="W110" s="101">
        <f t="shared" si="192"/>
        <v>-0.12794818267458263</v>
      </c>
      <c r="X110" s="128"/>
      <c r="Y110" s="128">
        <f t="shared" ref="Y110:AH110" si="381">Y59/Y25</f>
        <v>0.24096385542168675</v>
      </c>
      <c r="Z110" s="128">
        <f t="shared" si="381"/>
        <v>0.24096385542168675</v>
      </c>
      <c r="AA110" s="128">
        <f t="shared" si="381"/>
        <v>0.24096385542168675</v>
      </c>
      <c r="AB110" s="128">
        <f t="shared" si="381"/>
        <v>0.24096385542168675</v>
      </c>
      <c r="AC110" s="128">
        <f t="shared" si="381"/>
        <v>0.24096385542168675</v>
      </c>
      <c r="AD110" s="128">
        <f t="shared" si="381"/>
        <v>0.24096385542168672</v>
      </c>
      <c r="AE110" s="128">
        <f t="shared" si="381"/>
        <v>0.24096385542168675</v>
      </c>
      <c r="AF110" s="128">
        <f t="shared" si="381"/>
        <v>0.24096385542168675</v>
      </c>
      <c r="AG110" s="128">
        <f t="shared" si="381"/>
        <v>0.2409638554216868</v>
      </c>
      <c r="AH110" s="128">
        <f t="shared" si="381"/>
        <v>0.2409638554216868</v>
      </c>
      <c r="AI110" s="115" t="e">
        <f t="shared" si="374"/>
        <v>#DIV/0!</v>
      </c>
      <c r="AJ110" s="21">
        <f t="shared" si="375"/>
        <v>0.01</v>
      </c>
      <c r="AK110" s="123" t="e">
        <f t="shared" si="218"/>
        <v>#DIV/0!</v>
      </c>
    </row>
    <row r="111" spans="2:37">
      <c r="B111" s="10" t="s">
        <v>301</v>
      </c>
      <c r="C111" s="128"/>
      <c r="D111" s="128"/>
      <c r="E111" s="128"/>
      <c r="F111" s="128"/>
      <c r="G111" s="128">
        <f t="shared" ref="G111" si="382">G59/G7</f>
        <v>5.6745182012847964E-2</v>
      </c>
      <c r="H111" s="128" t="e">
        <f t="shared" ref="H111:I111" si="383">H59/H7</f>
        <v>#DIV/0!</v>
      </c>
      <c r="I111" s="128" t="e">
        <f t="shared" si="383"/>
        <v>#DIV/0!</v>
      </c>
      <c r="J111" s="128" t="e">
        <f>J59/J7</f>
        <v>#DIV/0!</v>
      </c>
      <c r="K111" s="128" t="e">
        <f t="shared" ref="K111:R111" si="384">K59/K7</f>
        <v>#DIV/0!</v>
      </c>
      <c r="L111" s="128" t="e">
        <f t="shared" si="384"/>
        <v>#DIV/0!</v>
      </c>
      <c r="M111" s="128" t="e">
        <f t="shared" si="384"/>
        <v>#DIV/0!</v>
      </c>
      <c r="N111" s="128">
        <f t="shared" si="384"/>
        <v>5.6745182012847964E-2</v>
      </c>
      <c r="O111" s="128">
        <f t="shared" si="384"/>
        <v>5.1707317073170729E-2</v>
      </c>
      <c r="P111" s="128">
        <f t="shared" si="384"/>
        <v>7.9295154185022032E-2</v>
      </c>
      <c r="Q111" s="128">
        <f t="shared" si="384"/>
        <v>9.86784140969163E-2</v>
      </c>
      <c r="R111" s="128">
        <f t="shared" si="384"/>
        <v>0.11595330739299611</v>
      </c>
      <c r="S111" s="128">
        <f t="shared" ref="S111:T111" si="385">S59/S7</f>
        <v>0.12394548994159636</v>
      </c>
      <c r="T111" s="128">
        <f t="shared" si="385"/>
        <v>0.11093585699263933</v>
      </c>
      <c r="U111" s="128">
        <f t="shared" ref="U111:V111" si="386">U59/U7</f>
        <v>9.3240093240093247E-2</v>
      </c>
      <c r="V111" s="128">
        <f t="shared" si="386"/>
        <v>8.2361015785861358E-2</v>
      </c>
      <c r="W111" s="101">
        <f t="shared" si="192"/>
        <v>4.7668985690530796E-2</v>
      </c>
      <c r="X111" s="10"/>
      <c r="Y111" s="128">
        <f t="shared" ref="Y111" si="387">Y59/Y7</f>
        <v>9.3240093240093233E-2</v>
      </c>
      <c r="Z111" s="128">
        <f t="shared" ref="Z111:AH111" si="388">Z59/Z7</f>
        <v>9.3240093240093219E-2</v>
      </c>
      <c r="AA111" s="128">
        <f t="shared" si="388"/>
        <v>9.3240093240093219E-2</v>
      </c>
      <c r="AB111" s="128">
        <f t="shared" si="388"/>
        <v>9.3240093240093219E-2</v>
      </c>
      <c r="AC111" s="128">
        <f t="shared" si="388"/>
        <v>9.3240093240093219E-2</v>
      </c>
      <c r="AD111" s="128">
        <f t="shared" si="388"/>
        <v>9.3240093240093219E-2</v>
      </c>
      <c r="AE111" s="128">
        <f t="shared" si="388"/>
        <v>9.3240093240093233E-2</v>
      </c>
      <c r="AF111" s="128">
        <f t="shared" si="388"/>
        <v>9.3240093240093233E-2</v>
      </c>
      <c r="AG111" s="128">
        <f t="shared" si="388"/>
        <v>9.3240093240093233E-2</v>
      </c>
      <c r="AH111" s="128">
        <f t="shared" si="388"/>
        <v>9.3240093240093233E-2</v>
      </c>
      <c r="AI111" s="115" t="e">
        <f t="shared" si="374"/>
        <v>#DIV/0!</v>
      </c>
      <c r="AJ111" s="21">
        <f t="shared" si="375"/>
        <v>0.01</v>
      </c>
      <c r="AK111" s="123" t="e">
        <f t="shared" si="218"/>
        <v>#DIV/0!</v>
      </c>
    </row>
    <row r="112" spans="2:37">
      <c r="B112" s="10" t="s">
        <v>302</v>
      </c>
      <c r="C112" s="128"/>
      <c r="D112" s="128"/>
      <c r="E112" s="128"/>
      <c r="F112" s="128"/>
      <c r="G112" s="128">
        <f t="shared" ref="G112" si="389">(G59)/(G7+G10)</f>
        <v>5.1306873184898356E-2</v>
      </c>
      <c r="H112" s="128" t="e">
        <f t="shared" ref="H112:I112" si="390">(H59)/(H7+H10)</f>
        <v>#DIV/0!</v>
      </c>
      <c r="I112" s="128" t="e">
        <f t="shared" si="390"/>
        <v>#DIV/0!</v>
      </c>
      <c r="J112" s="128" t="e">
        <f>(J59)/(J7+J10)</f>
        <v>#DIV/0!</v>
      </c>
      <c r="K112" s="128" t="e">
        <f t="shared" ref="K112:R112" si="391">(K59)/(K7+K10)</f>
        <v>#DIV/0!</v>
      </c>
      <c r="L112" s="128" t="e">
        <f t="shared" si="391"/>
        <v>#DIV/0!</v>
      </c>
      <c r="M112" s="128" t="e">
        <f t="shared" si="391"/>
        <v>#DIV/0!</v>
      </c>
      <c r="N112" s="128">
        <f t="shared" si="391"/>
        <v>5.1306873184898356E-2</v>
      </c>
      <c r="O112" s="128">
        <f t="shared" si="391"/>
        <v>2.8387787895018748E-2</v>
      </c>
      <c r="P112" s="128">
        <f t="shared" si="391"/>
        <v>3.6101083032490974E-2</v>
      </c>
      <c r="Q112" s="128">
        <f t="shared" si="391"/>
        <v>4.492579221821099E-2</v>
      </c>
      <c r="R112" s="128">
        <f t="shared" si="391"/>
        <v>4.5959284392350398E-2</v>
      </c>
      <c r="S112" s="128">
        <f t="shared" ref="S112:T112" si="392">(S59)/(S7+S10)</f>
        <v>5.0276388523295606E-2</v>
      </c>
      <c r="T112" s="128">
        <f t="shared" si="392"/>
        <v>4.5879539030223959E-2</v>
      </c>
      <c r="U112" s="128">
        <f t="shared" ref="U112:V112" si="393">(U59)/(U7+U10)</f>
        <v>3.3333333333333333E-2</v>
      </c>
      <c r="V112" s="128">
        <f t="shared" si="393"/>
        <v>3.5746201966041107E-2</v>
      </c>
      <c r="W112" s="101">
        <f t="shared" si="192"/>
        <v>-4.4167496981601828E-2</v>
      </c>
      <c r="X112" s="10"/>
      <c r="Y112" s="128">
        <f t="shared" ref="Y112:AH112" si="394">(Y59)/(Y7+Y10)</f>
        <v>3.3333333333333326E-2</v>
      </c>
      <c r="Z112" s="128">
        <f t="shared" si="394"/>
        <v>3.3333333333333333E-2</v>
      </c>
      <c r="AA112" s="128">
        <f t="shared" si="394"/>
        <v>3.3333333333333326E-2</v>
      </c>
      <c r="AB112" s="128">
        <f t="shared" si="394"/>
        <v>3.3333333333333333E-2</v>
      </c>
      <c r="AC112" s="128">
        <f t="shared" si="394"/>
        <v>3.3333333333333333E-2</v>
      </c>
      <c r="AD112" s="128">
        <f t="shared" si="394"/>
        <v>3.3333333333333333E-2</v>
      </c>
      <c r="AE112" s="128">
        <f t="shared" si="394"/>
        <v>3.3333333333333333E-2</v>
      </c>
      <c r="AF112" s="128">
        <f t="shared" si="394"/>
        <v>3.3333333333333333E-2</v>
      </c>
      <c r="AG112" s="128">
        <f t="shared" si="394"/>
        <v>3.3333333333333333E-2</v>
      </c>
      <c r="AH112" s="128">
        <f t="shared" si="394"/>
        <v>3.3333333333333326E-2</v>
      </c>
      <c r="AI112" s="115" t="e">
        <f t="shared" si="374"/>
        <v>#DIV/0!</v>
      </c>
      <c r="AJ112" s="21">
        <f t="shared" si="375"/>
        <v>0.01</v>
      </c>
      <c r="AK112" s="123" t="e">
        <f t="shared" si="218"/>
        <v>#DIV/0!</v>
      </c>
    </row>
    <row r="113" spans="1:37">
      <c r="B113" s="10" t="s">
        <v>318</v>
      </c>
      <c r="C113" s="128"/>
      <c r="D113" s="128"/>
      <c r="E113" s="128"/>
      <c r="F113" s="128"/>
      <c r="G113" s="128">
        <f t="shared" ref="G113" si="395">G20/G25</f>
        <v>0</v>
      </c>
      <c r="H113" s="128" t="e">
        <f t="shared" ref="H113:I113" si="396">H20/H25</f>
        <v>#DIV/0!</v>
      </c>
      <c r="I113" s="128" t="e">
        <f t="shared" si="396"/>
        <v>#DIV/0!</v>
      </c>
      <c r="J113" s="128" t="e">
        <f>J20/J25</f>
        <v>#DIV/0!</v>
      </c>
      <c r="K113" s="128" t="e">
        <f t="shared" ref="K113:S113" si="397">K20/K25</f>
        <v>#DIV/0!</v>
      </c>
      <c r="L113" s="128" t="e">
        <f t="shared" si="397"/>
        <v>#DIV/0!</v>
      </c>
      <c r="M113" s="128" t="e">
        <f t="shared" si="397"/>
        <v>#DIV/0!</v>
      </c>
      <c r="N113" s="128">
        <f t="shared" si="397"/>
        <v>0</v>
      </c>
      <c r="O113" s="128">
        <f t="shared" si="397"/>
        <v>0</v>
      </c>
      <c r="P113" s="128">
        <f t="shared" si="397"/>
        <v>0</v>
      </c>
      <c r="Q113" s="128">
        <f t="shared" si="397"/>
        <v>0</v>
      </c>
      <c r="R113" s="128">
        <f t="shared" si="397"/>
        <v>0</v>
      </c>
      <c r="S113" s="128">
        <f t="shared" si="397"/>
        <v>0</v>
      </c>
      <c r="T113" s="128">
        <f t="shared" ref="T113:U113" si="398">T20/T25</f>
        <v>0</v>
      </c>
      <c r="U113" s="128">
        <f t="shared" si="398"/>
        <v>0</v>
      </c>
      <c r="V113" s="128">
        <f t="shared" ref="V113" si="399">V20/V25</f>
        <v>0</v>
      </c>
      <c r="W113" s="101" t="e">
        <f t="shared" si="192"/>
        <v>#DIV/0!</v>
      </c>
      <c r="X113" s="10"/>
      <c r="Y113" s="128">
        <f t="shared" ref="Y113:AH113" si="400">Y20/Y25</f>
        <v>0</v>
      </c>
      <c r="Z113" s="128">
        <f t="shared" si="400"/>
        <v>0</v>
      </c>
      <c r="AA113" s="128">
        <f t="shared" si="400"/>
        <v>0</v>
      </c>
      <c r="AB113" s="128">
        <f t="shared" si="400"/>
        <v>0</v>
      </c>
      <c r="AC113" s="128">
        <f t="shared" si="400"/>
        <v>0</v>
      </c>
      <c r="AD113" s="128">
        <f t="shared" si="400"/>
        <v>0</v>
      </c>
      <c r="AE113" s="128">
        <f t="shared" si="400"/>
        <v>0</v>
      </c>
      <c r="AF113" s="128">
        <f t="shared" si="400"/>
        <v>0</v>
      </c>
      <c r="AG113" s="128">
        <f t="shared" si="400"/>
        <v>0</v>
      </c>
      <c r="AH113" s="128">
        <f t="shared" si="400"/>
        <v>0</v>
      </c>
      <c r="AI113" s="115" t="e">
        <f t="shared" si="374"/>
        <v>#DIV/0!</v>
      </c>
      <c r="AJ113" s="21">
        <f t="shared" si="375"/>
        <v>0.01</v>
      </c>
      <c r="AK113" s="123" t="e">
        <f t="shared" si="218"/>
        <v>#DIV/0!</v>
      </c>
    </row>
    <row r="114" spans="1:37">
      <c r="B114" s="10" t="s">
        <v>370</v>
      </c>
      <c r="C114" s="128"/>
      <c r="D114" s="128"/>
      <c r="E114" s="128"/>
      <c r="F114" s="128"/>
      <c r="G114" s="128">
        <f t="shared" ref="G114" si="401">G72/G25</f>
        <v>6.741573033707865E-2</v>
      </c>
      <c r="H114" s="128" t="e">
        <f t="shared" ref="H114:I114" si="402">H72/H25</f>
        <v>#DIV/0!</v>
      </c>
      <c r="I114" s="128" t="e">
        <f t="shared" si="402"/>
        <v>#DIV/0!</v>
      </c>
      <c r="J114" s="128" t="e">
        <f>J72/J25</f>
        <v>#DIV/0!</v>
      </c>
      <c r="K114" s="128" t="e">
        <f t="shared" ref="K114:S114" si="403">K72/K25</f>
        <v>#DIV/0!</v>
      </c>
      <c r="L114" s="128" t="e">
        <f t="shared" si="403"/>
        <v>#DIV/0!</v>
      </c>
      <c r="M114" s="128" t="e">
        <f t="shared" si="403"/>
        <v>#DIV/0!</v>
      </c>
      <c r="N114" s="128">
        <f t="shared" si="403"/>
        <v>6.741573033707865E-2</v>
      </c>
      <c r="O114" s="128">
        <f t="shared" si="403"/>
        <v>6.741573033707865E-2</v>
      </c>
      <c r="P114" s="128">
        <f t="shared" si="403"/>
        <v>0.16182572614107885</v>
      </c>
      <c r="Q114" s="128">
        <f t="shared" si="403"/>
        <v>0.14357682619647355</v>
      </c>
      <c r="R114" s="128">
        <f t="shared" si="403"/>
        <v>0.14583333333333334</v>
      </c>
      <c r="S114" s="128">
        <f t="shared" si="403"/>
        <v>0.15838509316770186</v>
      </c>
      <c r="T114" s="128">
        <f t="shared" ref="T114:U114" si="404">T72/T25</f>
        <v>0.15555555555555556</v>
      </c>
      <c r="U114" s="128">
        <f t="shared" si="404"/>
        <v>0.6</v>
      </c>
      <c r="V114" s="128">
        <f t="shared" ref="V114" si="405">V72/V25</f>
        <v>0.11535269709543569</v>
      </c>
      <c r="W114" s="101">
        <f t="shared" si="192"/>
        <v>6.9444653655736488E-2</v>
      </c>
      <c r="X114" s="10"/>
      <c r="Y114" s="128">
        <f t="shared" ref="Y114:AH114" si="406">Y72/Y25</f>
        <v>0.6</v>
      </c>
      <c r="Z114" s="128">
        <f t="shared" si="406"/>
        <v>0.6000000000000002</v>
      </c>
      <c r="AA114" s="128">
        <f t="shared" si="406"/>
        <v>0.60000000000000009</v>
      </c>
      <c r="AB114" s="128">
        <f t="shared" si="406"/>
        <v>0.60000000000000009</v>
      </c>
      <c r="AC114" s="128">
        <f t="shared" si="406"/>
        <v>0.60000000000000009</v>
      </c>
      <c r="AD114" s="128">
        <f t="shared" si="406"/>
        <v>0.60000000000000009</v>
      </c>
      <c r="AE114" s="128">
        <f t="shared" si="406"/>
        <v>0.60000000000000009</v>
      </c>
      <c r="AF114" s="128">
        <f t="shared" si="406"/>
        <v>0.60000000000000009</v>
      </c>
      <c r="AG114" s="128">
        <f t="shared" si="406"/>
        <v>0.6000000000000002</v>
      </c>
      <c r="AH114" s="128">
        <f t="shared" si="406"/>
        <v>0.6000000000000002</v>
      </c>
      <c r="AI114" s="115" t="e">
        <f t="shared" si="374"/>
        <v>#DIV/0!</v>
      </c>
      <c r="AJ114" s="21">
        <f t="shared" si="375"/>
        <v>0.01</v>
      </c>
      <c r="AK114" s="123" t="e">
        <f t="shared" si="218"/>
        <v>#DIV/0!</v>
      </c>
    </row>
    <row r="115" spans="1:37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21"/>
      <c r="W115" s="101" t="e">
        <f t="shared" si="192"/>
        <v>#DIV/0!</v>
      </c>
      <c r="X115" s="10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3"/>
      <c r="AJ115" s="123"/>
      <c r="AK115" s="123"/>
    </row>
    <row r="116" spans="1:37">
      <c r="B116" s="10" t="s">
        <v>267</v>
      </c>
      <c r="C116" s="128"/>
      <c r="D116" s="128"/>
      <c r="E116" s="128"/>
      <c r="F116" s="128"/>
      <c r="G116" s="128">
        <f t="shared" ref="G116" si="407">G29/G25</f>
        <v>3.3707865168539327E-3</v>
      </c>
      <c r="H116" s="128" t="e">
        <f t="shared" ref="H116:I116" si="408">H29/H25</f>
        <v>#DIV/0!</v>
      </c>
      <c r="I116" s="128" t="e">
        <f t="shared" si="408"/>
        <v>#DIV/0!</v>
      </c>
      <c r="J116" s="128" t="e">
        <f>J29/J25</f>
        <v>#DIV/0!</v>
      </c>
      <c r="K116" s="128" t="e">
        <f t="shared" ref="K116:S116" si="409">K29/K25</f>
        <v>#DIV/0!</v>
      </c>
      <c r="L116" s="128" t="e">
        <f t="shared" si="409"/>
        <v>#DIV/0!</v>
      </c>
      <c r="M116" s="128" t="e">
        <f t="shared" si="409"/>
        <v>#DIV/0!</v>
      </c>
      <c r="N116" s="128">
        <f t="shared" si="409"/>
        <v>3.3707865168539327E-3</v>
      </c>
      <c r="O116" s="128">
        <f t="shared" si="409"/>
        <v>3.3707865168539327E-3</v>
      </c>
      <c r="P116" s="128">
        <f t="shared" si="409"/>
        <v>0.31535269709543567</v>
      </c>
      <c r="Q116" s="128">
        <f t="shared" si="409"/>
        <v>0.48362720403022669</v>
      </c>
      <c r="R116" s="128">
        <f t="shared" si="409"/>
        <v>0.48863636363636365</v>
      </c>
      <c r="S116" s="128">
        <f t="shared" si="409"/>
        <v>0.44875776397515527</v>
      </c>
      <c r="T116" s="128">
        <f t="shared" ref="T116:U116" si="410">T29/T25</f>
        <v>0.43194444444444446</v>
      </c>
      <c r="U116" s="128">
        <f t="shared" si="410"/>
        <v>0.39036144578313253</v>
      </c>
      <c r="V116" s="128">
        <f t="shared" ref="V116" si="411">V29/V25</f>
        <v>0.46721991701244814</v>
      </c>
      <c r="W116" s="101">
        <f t="shared" si="192"/>
        <v>0.85235304023550928</v>
      </c>
      <c r="X116" s="10"/>
      <c r="Y116" s="128">
        <f t="shared" ref="Y116:AH116" si="412">Y29/Y25</f>
        <v>0.39036144578313253</v>
      </c>
      <c r="Z116" s="128">
        <f t="shared" si="412"/>
        <v>0.39036144578313259</v>
      </c>
      <c r="AA116" s="128">
        <f t="shared" si="412"/>
        <v>0.39036144578313259</v>
      </c>
      <c r="AB116" s="128">
        <f t="shared" si="412"/>
        <v>0.39036144578313253</v>
      </c>
      <c r="AC116" s="128">
        <f t="shared" si="412"/>
        <v>0.39036144578313253</v>
      </c>
      <c r="AD116" s="128">
        <f t="shared" si="412"/>
        <v>0.39036144578313253</v>
      </c>
      <c r="AE116" s="128">
        <f t="shared" si="412"/>
        <v>0.39036144578313259</v>
      </c>
      <c r="AF116" s="128">
        <f t="shared" si="412"/>
        <v>0.39036144578313259</v>
      </c>
      <c r="AG116" s="128">
        <f t="shared" si="412"/>
        <v>0.39036144578313264</v>
      </c>
      <c r="AH116" s="128">
        <f t="shared" si="412"/>
        <v>0.39036144578313264</v>
      </c>
      <c r="AI116" s="115" t="e">
        <f t="shared" si="374"/>
        <v>#DIV/0!</v>
      </c>
      <c r="AJ116" s="21">
        <f t="shared" si="375"/>
        <v>0.01</v>
      </c>
      <c r="AK116" s="123" t="e">
        <f t="shared" si="218"/>
        <v>#DIV/0!</v>
      </c>
    </row>
    <row r="117" spans="1:37">
      <c r="B117" s="10" t="s">
        <v>311</v>
      </c>
      <c r="C117" s="128"/>
      <c r="D117" s="128"/>
      <c r="E117" s="128"/>
      <c r="F117" s="128"/>
      <c r="G117" s="128">
        <f t="shared" ref="G117" si="413">G29/G53</f>
        <v>5.084745762711864E-3</v>
      </c>
      <c r="H117" s="128" t="e">
        <f t="shared" ref="H117:I117" si="414">H29/H53</f>
        <v>#DIV/0!</v>
      </c>
      <c r="I117" s="128" t="e">
        <f t="shared" si="414"/>
        <v>#DIV/0!</v>
      </c>
      <c r="J117" s="128" t="e">
        <f>J29/J53</f>
        <v>#DIV/0!</v>
      </c>
      <c r="K117" s="128" t="e">
        <f t="shared" ref="K117:S117" si="415">K29/K53</f>
        <v>#DIV/0!</v>
      </c>
      <c r="L117" s="128" t="e">
        <f t="shared" si="415"/>
        <v>#DIV/0!</v>
      </c>
      <c r="M117" s="128" t="e">
        <f t="shared" si="415"/>
        <v>#DIV/0!</v>
      </c>
      <c r="N117" s="128">
        <f t="shared" si="415"/>
        <v>5.084745762711864E-3</v>
      </c>
      <c r="O117" s="128">
        <f t="shared" si="415"/>
        <v>5.084745762711864E-3</v>
      </c>
      <c r="P117" s="128">
        <f t="shared" si="415"/>
        <v>0.38</v>
      </c>
      <c r="Q117" s="128">
        <f t="shared" si="415"/>
        <v>0.53185595567867039</v>
      </c>
      <c r="R117" s="128">
        <f t="shared" si="415"/>
        <v>0.52977412731006157</v>
      </c>
      <c r="S117" s="128">
        <f t="shared" si="415"/>
        <v>0.49317406143344711</v>
      </c>
      <c r="T117" s="128">
        <f t="shared" ref="T117:U117" si="416">T29/T53</f>
        <v>0.47993827160493829</v>
      </c>
      <c r="U117" s="128">
        <f t="shared" si="416"/>
        <v>0.47161572052401746</v>
      </c>
      <c r="V117" s="128">
        <f t="shared" ref="V117" si="417">V29/V53</f>
        <v>1.4854881266490765</v>
      </c>
      <c r="W117" s="101">
        <f t="shared" si="192"/>
        <v>1.0332931274107593</v>
      </c>
      <c r="X117" s="10"/>
      <c r="Y117" s="128">
        <f t="shared" ref="Y117:AH117" si="418">Y29/Y53</f>
        <v>0.47161572052401746</v>
      </c>
      <c r="Z117" s="128">
        <f t="shared" si="418"/>
        <v>0.47161572052401746</v>
      </c>
      <c r="AA117" s="128">
        <f t="shared" si="418"/>
        <v>0.47161572052401751</v>
      </c>
      <c r="AB117" s="128">
        <f t="shared" si="418"/>
        <v>0.47161572052401746</v>
      </c>
      <c r="AC117" s="128">
        <f t="shared" si="418"/>
        <v>0.47161572052401746</v>
      </c>
      <c r="AD117" s="128">
        <f t="shared" si="418"/>
        <v>0.47161572052401751</v>
      </c>
      <c r="AE117" s="128">
        <f t="shared" si="418"/>
        <v>0.47161572052401751</v>
      </c>
      <c r="AF117" s="128">
        <f t="shared" si="418"/>
        <v>0.47161572052401746</v>
      </c>
      <c r="AG117" s="128">
        <f t="shared" si="418"/>
        <v>0.47161572052401751</v>
      </c>
      <c r="AH117" s="128">
        <f t="shared" si="418"/>
        <v>0.47161572052401746</v>
      </c>
      <c r="AI117" s="115" t="e">
        <f t="shared" ref="AI117" si="419">((AH117/J117)^(1/($AH$3-$K$1) ))-1</f>
        <v>#DIV/0!</v>
      </c>
      <c r="AJ117" s="21">
        <f t="shared" si="375"/>
        <v>0.01</v>
      </c>
      <c r="AK117" s="123" t="e">
        <f t="shared" si="218"/>
        <v>#DIV/0!</v>
      </c>
    </row>
    <row r="118" spans="1:37" ht="12" customHeight="1">
      <c r="B118" s="10" t="s">
        <v>310</v>
      </c>
      <c r="C118" s="128"/>
      <c r="D118" s="128"/>
      <c r="E118" s="128"/>
      <c r="F118" s="144"/>
      <c r="G118" s="144">
        <f t="shared" ref="G118" si="420">G29/G59</f>
        <v>5.6603773584905656E-3</v>
      </c>
      <c r="H118" s="144" t="e">
        <f t="shared" ref="H118:I118" si="421">H29/H59</f>
        <v>#DIV/0!</v>
      </c>
      <c r="I118" s="144" t="e">
        <f t="shared" si="421"/>
        <v>#DIV/0!</v>
      </c>
      <c r="J118" s="144" t="e">
        <f t="shared" ref="J118:S118" si="422">J29/J59</f>
        <v>#DIV/0!</v>
      </c>
      <c r="K118" s="144" t="e">
        <f t="shared" si="422"/>
        <v>#DIV/0!</v>
      </c>
      <c r="L118" s="144" t="e">
        <f t="shared" si="422"/>
        <v>#DIV/0!</v>
      </c>
      <c r="M118" s="144" t="e">
        <f t="shared" si="422"/>
        <v>#DIV/0!</v>
      </c>
      <c r="N118" s="144">
        <f t="shared" si="422"/>
        <v>5.6603773584905656E-3</v>
      </c>
      <c r="O118" s="144">
        <f t="shared" si="422"/>
        <v>5.6603773584905656E-3</v>
      </c>
      <c r="P118" s="144">
        <f t="shared" si="422"/>
        <v>0.84444444444444444</v>
      </c>
      <c r="Q118" s="144">
        <f t="shared" si="422"/>
        <v>1.7142857142857142</v>
      </c>
      <c r="R118" s="144">
        <f t="shared" si="422"/>
        <v>1.7315436241610738</v>
      </c>
      <c r="S118" s="144">
        <f t="shared" si="422"/>
        <v>1.5130890052356021</v>
      </c>
      <c r="T118" s="144">
        <f t="shared" ref="T118:U118" si="423">T29/T59</f>
        <v>1.4739336492890995</v>
      </c>
      <c r="U118" s="144">
        <f t="shared" si="423"/>
        <v>1.62</v>
      </c>
      <c r="V118" s="144">
        <f t="shared" ref="V118" si="424">V29/V59</f>
        <v>2.3458333333333332</v>
      </c>
      <c r="W118" s="101">
        <f t="shared" si="192"/>
        <v>1.1241318502341699</v>
      </c>
      <c r="X118" s="10"/>
      <c r="Y118" s="144">
        <f t="shared" ref="Y118:AH118" si="425">Y29/Y59</f>
        <v>1.62</v>
      </c>
      <c r="Z118" s="144">
        <f t="shared" si="425"/>
        <v>1.62</v>
      </c>
      <c r="AA118" s="144">
        <f t="shared" si="425"/>
        <v>1.6200000000000003</v>
      </c>
      <c r="AB118" s="144">
        <f t="shared" si="425"/>
        <v>1.62</v>
      </c>
      <c r="AC118" s="144">
        <f t="shared" si="425"/>
        <v>1.62</v>
      </c>
      <c r="AD118" s="144">
        <f t="shared" si="425"/>
        <v>1.6200000000000003</v>
      </c>
      <c r="AE118" s="144">
        <f t="shared" si="425"/>
        <v>1.6200000000000003</v>
      </c>
      <c r="AF118" s="144">
        <f t="shared" si="425"/>
        <v>1.6200000000000003</v>
      </c>
      <c r="AG118" s="144">
        <f t="shared" si="425"/>
        <v>1.6200000000000003</v>
      </c>
      <c r="AH118" s="144">
        <f t="shared" si="425"/>
        <v>1.62</v>
      </c>
      <c r="AI118" s="115" t="e">
        <f t="shared" ref="AI118" si="426">((AH118/J118)^(1/($AH$3-$K$1) ))-1</f>
        <v>#DIV/0!</v>
      </c>
      <c r="AJ118" s="21">
        <f t="shared" si="375"/>
        <v>0.01</v>
      </c>
      <c r="AK118" s="123" t="e">
        <f t="shared" si="218"/>
        <v>#DIV/0!</v>
      </c>
    </row>
    <row r="119" spans="1:37" ht="12" customHeight="1">
      <c r="B119" s="10" t="s">
        <v>269</v>
      </c>
      <c r="C119" s="128"/>
      <c r="D119" s="128"/>
      <c r="E119" s="128"/>
      <c r="F119" s="144"/>
      <c r="G119" s="144">
        <f t="shared" ref="G119" si="427">G29/G12</f>
        <v>6.6666666666666662E-3</v>
      </c>
      <c r="H119" s="144" t="e">
        <f t="shared" ref="H119:I119" si="428">H29/H12</f>
        <v>#DIV/0!</v>
      </c>
      <c r="I119" s="144" t="e">
        <f t="shared" si="428"/>
        <v>#DIV/0!</v>
      </c>
      <c r="J119" s="144" t="e">
        <f t="shared" ref="J119:S119" si="429">J29/J12</f>
        <v>#DIV/0!</v>
      </c>
      <c r="K119" s="144" t="e">
        <f t="shared" si="429"/>
        <v>#DIV/0!</v>
      </c>
      <c r="L119" s="144" t="e">
        <f t="shared" si="429"/>
        <v>#DIV/0!</v>
      </c>
      <c r="M119" s="144" t="e">
        <f t="shared" si="429"/>
        <v>#DIV/0!</v>
      </c>
      <c r="N119" s="144">
        <f t="shared" si="429"/>
        <v>6.6666666666666662E-3</v>
      </c>
      <c r="O119" s="144">
        <f t="shared" si="429"/>
        <v>1.0638297872340426E-3</v>
      </c>
      <c r="P119" s="144">
        <f t="shared" si="429"/>
        <v>0.1623931623931624</v>
      </c>
      <c r="Q119" s="144">
        <f t="shared" si="429"/>
        <v>0.41025641025641024</v>
      </c>
      <c r="R119" s="144">
        <f t="shared" si="429"/>
        <v>0.53195876288659794</v>
      </c>
      <c r="S119" s="144">
        <f t="shared" si="429"/>
        <v>0.80501392757660162</v>
      </c>
      <c r="T119" s="144">
        <f t="shared" ref="T119:U119" si="430">T29/T12</f>
        <v>4.7846153846153845</v>
      </c>
      <c r="U119" s="144">
        <f t="shared" si="430"/>
        <v>2.6557377049180326</v>
      </c>
      <c r="V119" s="144">
        <f t="shared" ref="V119" si="431">V29/V12</f>
        <v>0.51985226223453374</v>
      </c>
      <c r="W119" s="101">
        <f t="shared" si="192"/>
        <v>0.72383780019941857</v>
      </c>
      <c r="X119" s="10"/>
      <c r="Y119" s="128">
        <f t="shared" ref="Y119:AH119" si="432">Y29/Y12</f>
        <v>2.6557377049180331</v>
      </c>
      <c r="Z119" s="128">
        <f t="shared" si="432"/>
        <v>2.6557377049180331</v>
      </c>
      <c r="AA119" s="128">
        <f t="shared" si="432"/>
        <v>2.6557377049180331</v>
      </c>
      <c r="AB119" s="128">
        <f t="shared" si="432"/>
        <v>2.6557377049180331</v>
      </c>
      <c r="AC119" s="128">
        <f t="shared" si="432"/>
        <v>2.6557377049180331</v>
      </c>
      <c r="AD119" s="128">
        <f t="shared" si="432"/>
        <v>2.6557377049180335</v>
      </c>
      <c r="AE119" s="128">
        <f t="shared" si="432"/>
        <v>2.6557377049180335</v>
      </c>
      <c r="AF119" s="128">
        <f t="shared" si="432"/>
        <v>2.6557377049180331</v>
      </c>
      <c r="AG119" s="128">
        <f t="shared" si="432"/>
        <v>2.6557377049180331</v>
      </c>
      <c r="AH119" s="128">
        <f t="shared" si="432"/>
        <v>2.6557377049180331</v>
      </c>
      <c r="AI119" s="115" t="e">
        <f t="shared" si="374"/>
        <v>#DIV/0!</v>
      </c>
      <c r="AJ119" s="21">
        <f t="shared" si="375"/>
        <v>0.01</v>
      </c>
      <c r="AK119" s="123" t="e">
        <f t="shared" si="218"/>
        <v>#DIV/0!</v>
      </c>
    </row>
    <row r="120" spans="1:37" ht="12" customHeight="1">
      <c r="B120" s="10" t="s">
        <v>312</v>
      </c>
      <c r="C120" s="128"/>
      <c r="D120" s="128"/>
      <c r="E120" s="128"/>
      <c r="F120" s="144"/>
      <c r="G120" s="144" t="e">
        <f t="shared" ref="G120" si="433">G29/G23</f>
        <v>#DIV/0!</v>
      </c>
      <c r="H120" s="144" t="e">
        <f t="shared" ref="H120:I120" si="434">H29/H23</f>
        <v>#DIV/0!</v>
      </c>
      <c r="I120" s="144" t="e">
        <f t="shared" si="434"/>
        <v>#DIV/0!</v>
      </c>
      <c r="J120" s="144" t="e">
        <f>J29/J23</f>
        <v>#DIV/0!</v>
      </c>
      <c r="K120" s="144" t="e">
        <f t="shared" ref="K120:S120" si="435">K29/K23</f>
        <v>#DIV/0!</v>
      </c>
      <c r="L120" s="144" t="e">
        <f t="shared" si="435"/>
        <v>#DIV/0!</v>
      </c>
      <c r="M120" s="144" t="e">
        <f t="shared" si="435"/>
        <v>#DIV/0!</v>
      </c>
      <c r="N120" s="144" t="e">
        <f t="shared" si="435"/>
        <v>#DIV/0!</v>
      </c>
      <c r="O120" s="144" t="e">
        <f t="shared" si="435"/>
        <v>#DIV/0!</v>
      </c>
      <c r="P120" s="144" t="e">
        <f t="shared" si="435"/>
        <v>#DIV/0!</v>
      </c>
      <c r="Q120" s="144" t="e">
        <f t="shared" si="435"/>
        <v>#DIV/0!</v>
      </c>
      <c r="R120" s="144" t="e">
        <f t="shared" si="435"/>
        <v>#DIV/0!</v>
      </c>
      <c r="S120" s="144" t="e">
        <f t="shared" si="435"/>
        <v>#DIV/0!</v>
      </c>
      <c r="T120" s="144" t="e">
        <f t="shared" ref="T120:U120" si="436">T29/T23</f>
        <v>#DIV/0!</v>
      </c>
      <c r="U120" s="144" t="e">
        <f t="shared" si="436"/>
        <v>#DIV/0!</v>
      </c>
      <c r="V120" s="144" t="e">
        <f t="shared" ref="V120" si="437">V29/V23</f>
        <v>#DIV/0!</v>
      </c>
      <c r="W120" s="101" t="e">
        <f t="shared" si="192"/>
        <v>#DIV/0!</v>
      </c>
      <c r="X120" s="10"/>
      <c r="Y120" s="144" t="e">
        <f t="shared" ref="Y120:AH120" si="438">Y29/Y23</f>
        <v>#DIV/0!</v>
      </c>
      <c r="Z120" s="144" t="e">
        <f t="shared" si="438"/>
        <v>#DIV/0!</v>
      </c>
      <c r="AA120" s="144" t="e">
        <f t="shared" si="438"/>
        <v>#DIV/0!</v>
      </c>
      <c r="AB120" s="144" t="e">
        <f t="shared" si="438"/>
        <v>#DIV/0!</v>
      </c>
      <c r="AC120" s="144" t="e">
        <f t="shared" si="438"/>
        <v>#DIV/0!</v>
      </c>
      <c r="AD120" s="144" t="e">
        <f t="shared" si="438"/>
        <v>#DIV/0!</v>
      </c>
      <c r="AE120" s="144" t="e">
        <f t="shared" si="438"/>
        <v>#DIV/0!</v>
      </c>
      <c r="AF120" s="144" t="e">
        <f t="shared" si="438"/>
        <v>#DIV/0!</v>
      </c>
      <c r="AG120" s="144" t="e">
        <f t="shared" si="438"/>
        <v>#DIV/0!</v>
      </c>
      <c r="AH120" s="144" t="e">
        <f t="shared" si="438"/>
        <v>#DIV/0!</v>
      </c>
      <c r="AI120" s="115" t="e">
        <f t="shared" ref="AI120" si="439">((AH120/J120)^(1/($AH$3-$K$1) ))-1</f>
        <v>#DIV/0!</v>
      </c>
      <c r="AJ120" s="21">
        <f t="shared" si="375"/>
        <v>0.01</v>
      </c>
      <c r="AK120" s="123" t="e">
        <f t="shared" si="218"/>
        <v>#DIV/0!</v>
      </c>
    </row>
    <row r="121" spans="1:37" ht="12" customHeight="1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21"/>
      <c r="V121" s="121"/>
      <c r="W121" s="101" t="e">
        <f t="shared" si="192"/>
        <v>#DIV/0!</v>
      </c>
      <c r="X121" s="10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3"/>
      <c r="AK121" s="123"/>
    </row>
    <row r="122" spans="1:37" ht="12" customHeight="1">
      <c r="B122" s="10" t="s">
        <v>344</v>
      </c>
      <c r="C122" s="128"/>
      <c r="D122" s="128"/>
      <c r="E122" s="128"/>
      <c r="F122" s="108"/>
      <c r="G122" s="108">
        <f t="shared" ref="G122" si="440">1/G116</f>
        <v>296.66666666666669</v>
      </c>
      <c r="H122" s="108" t="e">
        <f t="shared" ref="H122:I122" si="441">1/H116</f>
        <v>#DIV/0!</v>
      </c>
      <c r="I122" s="108" t="e">
        <f t="shared" si="441"/>
        <v>#DIV/0!</v>
      </c>
      <c r="J122" s="108" t="e">
        <f>1/J116</f>
        <v>#DIV/0!</v>
      </c>
      <c r="K122" s="108" t="e">
        <f t="shared" ref="K122:S122" si="442">1/K116</f>
        <v>#DIV/0!</v>
      </c>
      <c r="L122" s="108" t="e">
        <f t="shared" si="442"/>
        <v>#DIV/0!</v>
      </c>
      <c r="M122" s="108" t="e">
        <f t="shared" si="442"/>
        <v>#DIV/0!</v>
      </c>
      <c r="N122" s="108">
        <f t="shared" si="442"/>
        <v>296.66666666666669</v>
      </c>
      <c r="O122" s="108">
        <f t="shared" si="442"/>
        <v>296.66666666666669</v>
      </c>
      <c r="P122" s="108">
        <f t="shared" si="442"/>
        <v>3.1710526315789473</v>
      </c>
      <c r="Q122" s="108">
        <f t="shared" si="442"/>
        <v>2.0677083333333335</v>
      </c>
      <c r="R122" s="108">
        <f t="shared" si="442"/>
        <v>2.0465116279069768</v>
      </c>
      <c r="S122" s="108">
        <f t="shared" si="442"/>
        <v>2.2283737024221453</v>
      </c>
      <c r="T122" s="108">
        <f t="shared" ref="T122:U122" si="443">1/T116</f>
        <v>2.315112540192926</v>
      </c>
      <c r="U122" s="108">
        <f t="shared" si="443"/>
        <v>2.5617283950617282</v>
      </c>
      <c r="V122" s="108">
        <f t="shared" ref="V122" si="444">1/V116</f>
        <v>2.1403197158081704</v>
      </c>
      <c r="W122" s="101">
        <f t="shared" si="192"/>
        <v>-0.46014610699002645</v>
      </c>
      <c r="X122" s="10"/>
      <c r="Y122" s="108">
        <f t="shared" ref="Y122:AH122" si="445">1/Y116</f>
        <v>2.5617283950617282</v>
      </c>
      <c r="Z122" s="108">
        <f t="shared" si="445"/>
        <v>2.5617283950617282</v>
      </c>
      <c r="AA122" s="108">
        <f t="shared" si="445"/>
        <v>2.5617283950617282</v>
      </c>
      <c r="AB122" s="108">
        <f t="shared" si="445"/>
        <v>2.5617283950617282</v>
      </c>
      <c r="AC122" s="108">
        <f t="shared" si="445"/>
        <v>2.5617283950617282</v>
      </c>
      <c r="AD122" s="108">
        <f t="shared" si="445"/>
        <v>2.5617283950617282</v>
      </c>
      <c r="AE122" s="108">
        <f t="shared" si="445"/>
        <v>2.5617283950617282</v>
      </c>
      <c r="AF122" s="108">
        <f t="shared" si="445"/>
        <v>2.5617283950617282</v>
      </c>
      <c r="AG122" s="108">
        <f t="shared" si="445"/>
        <v>2.5617283950617278</v>
      </c>
      <c r="AH122" s="108">
        <f t="shared" si="445"/>
        <v>2.5617283950617278</v>
      </c>
      <c r="AI122" s="115" t="e">
        <f t="shared" si="374"/>
        <v>#DIV/0!</v>
      </c>
      <c r="AJ122" s="21">
        <f t="shared" si="375"/>
        <v>0.01</v>
      </c>
      <c r="AK122" s="123" t="e">
        <f t="shared" si="218"/>
        <v>#DIV/0!</v>
      </c>
    </row>
    <row r="123" spans="1:37" ht="12" customHeight="1">
      <c r="B123" s="10" t="s">
        <v>345</v>
      </c>
      <c r="C123" s="128"/>
      <c r="D123" s="128"/>
      <c r="E123" s="128"/>
      <c r="F123" s="108"/>
      <c r="G123" s="108">
        <f t="shared" ref="G123" si="446">1/G117</f>
        <v>196.66666666666669</v>
      </c>
      <c r="H123" s="108" t="e">
        <f t="shared" ref="H123:I123" si="447">1/H117</f>
        <v>#DIV/0!</v>
      </c>
      <c r="I123" s="108" t="e">
        <f t="shared" si="447"/>
        <v>#DIV/0!</v>
      </c>
      <c r="J123" s="108" t="e">
        <f t="shared" ref="J123:S126" si="448">1/J117</f>
        <v>#DIV/0!</v>
      </c>
      <c r="K123" s="108" t="e">
        <f t="shared" si="448"/>
        <v>#DIV/0!</v>
      </c>
      <c r="L123" s="108" t="e">
        <f t="shared" si="448"/>
        <v>#DIV/0!</v>
      </c>
      <c r="M123" s="108" t="e">
        <f t="shared" si="448"/>
        <v>#DIV/0!</v>
      </c>
      <c r="N123" s="108">
        <f t="shared" si="448"/>
        <v>196.66666666666669</v>
      </c>
      <c r="O123" s="108">
        <f t="shared" si="448"/>
        <v>196.66666666666669</v>
      </c>
      <c r="P123" s="108">
        <f t="shared" si="448"/>
        <v>2.6315789473684212</v>
      </c>
      <c r="Q123" s="108">
        <f t="shared" si="448"/>
        <v>1.8802083333333333</v>
      </c>
      <c r="R123" s="108">
        <f t="shared" si="448"/>
        <v>1.8875968992248062</v>
      </c>
      <c r="S123" s="108">
        <f t="shared" si="448"/>
        <v>2.027681660899654</v>
      </c>
      <c r="T123" s="108">
        <f t="shared" ref="T123:U123" si="449">1/T117</f>
        <v>2.0836012861736335</v>
      </c>
      <c r="U123" s="108">
        <f t="shared" si="449"/>
        <v>2.1203703703703702</v>
      </c>
      <c r="V123" s="108">
        <f t="shared" ref="V123" si="450">1/V117</f>
        <v>0.67317939609236233</v>
      </c>
      <c r="W123" s="101">
        <f t="shared" si="192"/>
        <v>-0.50818699649399679</v>
      </c>
      <c r="X123" s="10"/>
      <c r="Y123" s="108">
        <f t="shared" ref="Y123:AH123" si="451">1/Y117</f>
        <v>2.1203703703703702</v>
      </c>
      <c r="Z123" s="108">
        <f t="shared" si="451"/>
        <v>2.1203703703703702</v>
      </c>
      <c r="AA123" s="108">
        <f t="shared" si="451"/>
        <v>2.1203703703703702</v>
      </c>
      <c r="AB123" s="108">
        <f t="shared" si="451"/>
        <v>2.1203703703703702</v>
      </c>
      <c r="AC123" s="108">
        <f t="shared" si="451"/>
        <v>2.1203703703703702</v>
      </c>
      <c r="AD123" s="108">
        <f t="shared" si="451"/>
        <v>2.1203703703703702</v>
      </c>
      <c r="AE123" s="108">
        <f t="shared" si="451"/>
        <v>2.1203703703703702</v>
      </c>
      <c r="AF123" s="108">
        <f t="shared" si="451"/>
        <v>2.1203703703703702</v>
      </c>
      <c r="AG123" s="108">
        <f t="shared" si="451"/>
        <v>2.1203703703703702</v>
      </c>
      <c r="AH123" s="108">
        <f t="shared" si="451"/>
        <v>2.1203703703703702</v>
      </c>
      <c r="AI123" s="115" t="e">
        <f t="shared" si="374"/>
        <v>#DIV/0!</v>
      </c>
      <c r="AJ123" s="21">
        <f t="shared" si="375"/>
        <v>0.01</v>
      </c>
      <c r="AK123" s="123" t="e">
        <f t="shared" si="218"/>
        <v>#DIV/0!</v>
      </c>
    </row>
    <row r="124" spans="1:37" ht="12" customHeight="1">
      <c r="B124" s="10" t="s">
        <v>346</v>
      </c>
      <c r="C124" s="128"/>
      <c r="D124" s="128"/>
      <c r="E124" s="128"/>
      <c r="F124" s="108"/>
      <c r="G124" s="108">
        <f t="shared" ref="G124" si="452">1/G118</f>
        <v>176.66666666666669</v>
      </c>
      <c r="H124" s="108" t="e">
        <f t="shared" ref="H124:I124" si="453">1/H118</f>
        <v>#DIV/0!</v>
      </c>
      <c r="I124" s="108" t="e">
        <f t="shared" si="453"/>
        <v>#DIV/0!</v>
      </c>
      <c r="J124" s="108" t="e">
        <f t="shared" si="448"/>
        <v>#DIV/0!</v>
      </c>
      <c r="K124" s="108" t="e">
        <f t="shared" si="448"/>
        <v>#DIV/0!</v>
      </c>
      <c r="L124" s="108" t="e">
        <f t="shared" si="448"/>
        <v>#DIV/0!</v>
      </c>
      <c r="M124" s="108" t="e">
        <f t="shared" si="448"/>
        <v>#DIV/0!</v>
      </c>
      <c r="N124" s="108">
        <f t="shared" si="448"/>
        <v>176.66666666666669</v>
      </c>
      <c r="O124" s="108">
        <f t="shared" si="448"/>
        <v>176.66666666666669</v>
      </c>
      <c r="P124" s="108">
        <f t="shared" si="448"/>
        <v>1.1842105263157894</v>
      </c>
      <c r="Q124" s="108">
        <f t="shared" si="448"/>
        <v>0.58333333333333337</v>
      </c>
      <c r="R124" s="108">
        <f t="shared" si="448"/>
        <v>0.57751937984496127</v>
      </c>
      <c r="S124" s="108">
        <f t="shared" si="448"/>
        <v>0.66089965397923878</v>
      </c>
      <c r="T124" s="108">
        <f t="shared" ref="T124:U124" si="454">1/T118</f>
        <v>0.67845659163987138</v>
      </c>
      <c r="U124" s="108">
        <f t="shared" si="454"/>
        <v>0.61728395061728392</v>
      </c>
      <c r="V124" s="108">
        <f t="shared" ref="V124" si="455">1/V118</f>
        <v>0.42628774422735349</v>
      </c>
      <c r="W124" s="101">
        <f t="shared" si="192"/>
        <v>-0.52921943151045103</v>
      </c>
      <c r="X124" s="10"/>
      <c r="Y124" s="108">
        <f t="shared" ref="Y124:AH124" si="456">1/Y118</f>
        <v>0.61728395061728392</v>
      </c>
      <c r="Z124" s="108">
        <f t="shared" si="456"/>
        <v>0.61728395061728392</v>
      </c>
      <c r="AA124" s="108">
        <f t="shared" si="456"/>
        <v>0.61728395061728381</v>
      </c>
      <c r="AB124" s="108">
        <f t="shared" si="456"/>
        <v>0.61728395061728392</v>
      </c>
      <c r="AC124" s="108">
        <f t="shared" si="456"/>
        <v>0.61728395061728392</v>
      </c>
      <c r="AD124" s="108">
        <f t="shared" si="456"/>
        <v>0.61728395061728381</v>
      </c>
      <c r="AE124" s="108">
        <f t="shared" si="456"/>
        <v>0.61728395061728381</v>
      </c>
      <c r="AF124" s="108">
        <f t="shared" si="456"/>
        <v>0.61728395061728381</v>
      </c>
      <c r="AG124" s="108">
        <f t="shared" si="456"/>
        <v>0.61728395061728381</v>
      </c>
      <c r="AH124" s="108">
        <f t="shared" si="456"/>
        <v>0.61728395061728392</v>
      </c>
      <c r="AI124" s="115" t="e">
        <f t="shared" si="374"/>
        <v>#DIV/0!</v>
      </c>
      <c r="AJ124" s="21">
        <f t="shared" si="375"/>
        <v>0.01</v>
      </c>
      <c r="AK124" s="123" t="e">
        <f t="shared" si="218"/>
        <v>#DIV/0!</v>
      </c>
    </row>
    <row r="125" spans="1:37" ht="12" customHeight="1">
      <c r="B125" s="10" t="s">
        <v>347</v>
      </c>
      <c r="C125" s="128"/>
      <c r="D125" s="128"/>
      <c r="E125" s="128"/>
      <c r="F125" s="108"/>
      <c r="G125" s="108">
        <f t="shared" ref="G125" si="457">1/G119</f>
        <v>150</v>
      </c>
      <c r="H125" s="108" t="e">
        <f t="shared" ref="H125:I125" si="458">1/H119</f>
        <v>#DIV/0!</v>
      </c>
      <c r="I125" s="108" t="e">
        <f t="shared" si="458"/>
        <v>#DIV/0!</v>
      </c>
      <c r="J125" s="108" t="e">
        <f t="shared" si="448"/>
        <v>#DIV/0!</v>
      </c>
      <c r="K125" s="108" t="e">
        <f t="shared" si="448"/>
        <v>#DIV/0!</v>
      </c>
      <c r="L125" s="108" t="e">
        <f t="shared" si="448"/>
        <v>#DIV/0!</v>
      </c>
      <c r="M125" s="108" t="e">
        <f t="shared" si="448"/>
        <v>#DIV/0!</v>
      </c>
      <c r="N125" s="108">
        <f t="shared" si="448"/>
        <v>150</v>
      </c>
      <c r="O125" s="108">
        <f t="shared" si="448"/>
        <v>940</v>
      </c>
      <c r="P125" s="108">
        <f t="shared" si="448"/>
        <v>6.1578947368421053</v>
      </c>
      <c r="Q125" s="108">
        <f t="shared" si="448"/>
        <v>2.4375</v>
      </c>
      <c r="R125" s="108">
        <f t="shared" si="448"/>
        <v>1.8798449612403101</v>
      </c>
      <c r="S125" s="108">
        <f t="shared" si="448"/>
        <v>1.2422145328719725</v>
      </c>
      <c r="T125" s="108">
        <f t="shared" ref="T125:U125" si="459">1/T119</f>
        <v>0.20900321543408359</v>
      </c>
      <c r="U125" s="108">
        <f t="shared" si="459"/>
        <v>0.37654320987654322</v>
      </c>
      <c r="V125" s="108">
        <f t="shared" ref="V125" si="460">1/V119</f>
        <v>1.9236234458259325</v>
      </c>
      <c r="W125" s="101">
        <f t="shared" si="192"/>
        <v>-0.41989901840862454</v>
      </c>
      <c r="X125" s="10"/>
      <c r="Y125" s="108">
        <f t="shared" ref="Y125:AH125" si="461">1/Y119</f>
        <v>0.37654320987654316</v>
      </c>
      <c r="Z125" s="108">
        <f t="shared" si="461"/>
        <v>0.37654320987654316</v>
      </c>
      <c r="AA125" s="108">
        <f t="shared" si="461"/>
        <v>0.37654320987654316</v>
      </c>
      <c r="AB125" s="108">
        <f t="shared" si="461"/>
        <v>0.37654320987654316</v>
      </c>
      <c r="AC125" s="108">
        <f t="shared" si="461"/>
        <v>0.37654320987654316</v>
      </c>
      <c r="AD125" s="108">
        <f t="shared" si="461"/>
        <v>0.37654320987654311</v>
      </c>
      <c r="AE125" s="108">
        <f t="shared" si="461"/>
        <v>0.37654320987654311</v>
      </c>
      <c r="AF125" s="108">
        <f t="shared" si="461"/>
        <v>0.37654320987654316</v>
      </c>
      <c r="AG125" s="108">
        <f t="shared" si="461"/>
        <v>0.37654320987654316</v>
      </c>
      <c r="AH125" s="108">
        <f t="shared" si="461"/>
        <v>0.37654320987654316</v>
      </c>
      <c r="AI125" s="115" t="e">
        <f t="shared" si="374"/>
        <v>#DIV/0!</v>
      </c>
      <c r="AJ125" s="21">
        <f t="shared" si="375"/>
        <v>0.01</v>
      </c>
      <c r="AK125" s="123" t="e">
        <f t="shared" si="218"/>
        <v>#DIV/0!</v>
      </c>
    </row>
    <row r="126" spans="1:37" ht="12" customHeight="1">
      <c r="B126" s="10" t="s">
        <v>348</v>
      </c>
      <c r="C126" s="128"/>
      <c r="D126" s="128"/>
      <c r="E126" s="128"/>
      <c r="F126" s="108"/>
      <c r="G126" s="108" t="e">
        <f t="shared" ref="G126" si="462">1/G120</f>
        <v>#DIV/0!</v>
      </c>
      <c r="H126" s="108" t="e">
        <f t="shared" ref="H126:I126" si="463">1/H120</f>
        <v>#DIV/0!</v>
      </c>
      <c r="I126" s="108" t="e">
        <f t="shared" si="463"/>
        <v>#DIV/0!</v>
      </c>
      <c r="J126" s="108" t="e">
        <f t="shared" si="448"/>
        <v>#DIV/0!</v>
      </c>
      <c r="K126" s="108" t="e">
        <f t="shared" si="448"/>
        <v>#DIV/0!</v>
      </c>
      <c r="L126" s="108" t="e">
        <f t="shared" si="448"/>
        <v>#DIV/0!</v>
      </c>
      <c r="M126" s="108" t="e">
        <f t="shared" si="448"/>
        <v>#DIV/0!</v>
      </c>
      <c r="N126" s="108" t="e">
        <f t="shared" si="448"/>
        <v>#DIV/0!</v>
      </c>
      <c r="O126" s="108" t="e">
        <f t="shared" si="448"/>
        <v>#DIV/0!</v>
      </c>
      <c r="P126" s="108" t="e">
        <f t="shared" si="448"/>
        <v>#DIV/0!</v>
      </c>
      <c r="Q126" s="108" t="e">
        <f t="shared" si="448"/>
        <v>#DIV/0!</v>
      </c>
      <c r="R126" s="108" t="e">
        <f t="shared" si="448"/>
        <v>#DIV/0!</v>
      </c>
      <c r="S126" s="108" t="e">
        <f t="shared" si="448"/>
        <v>#DIV/0!</v>
      </c>
      <c r="T126" s="108" t="e">
        <f t="shared" ref="T126:U126" si="464">1/T120</f>
        <v>#DIV/0!</v>
      </c>
      <c r="U126" s="108" t="e">
        <f t="shared" si="464"/>
        <v>#DIV/0!</v>
      </c>
      <c r="V126" s="108" t="e">
        <f t="shared" ref="V126" si="465">1/V120</f>
        <v>#DIV/0!</v>
      </c>
      <c r="W126" s="101" t="e">
        <f t="shared" si="192"/>
        <v>#DIV/0!</v>
      </c>
      <c r="X126" s="10"/>
      <c r="Y126" s="108" t="e">
        <f t="shared" ref="Y126:AH126" si="466">1/Y120</f>
        <v>#DIV/0!</v>
      </c>
      <c r="Z126" s="108" t="e">
        <f t="shared" si="466"/>
        <v>#DIV/0!</v>
      </c>
      <c r="AA126" s="108" t="e">
        <f t="shared" si="466"/>
        <v>#DIV/0!</v>
      </c>
      <c r="AB126" s="108" t="e">
        <f t="shared" si="466"/>
        <v>#DIV/0!</v>
      </c>
      <c r="AC126" s="108" t="e">
        <f t="shared" si="466"/>
        <v>#DIV/0!</v>
      </c>
      <c r="AD126" s="108" t="e">
        <f t="shared" si="466"/>
        <v>#DIV/0!</v>
      </c>
      <c r="AE126" s="108" t="e">
        <f t="shared" si="466"/>
        <v>#DIV/0!</v>
      </c>
      <c r="AF126" s="108" t="e">
        <f t="shared" si="466"/>
        <v>#DIV/0!</v>
      </c>
      <c r="AG126" s="108" t="e">
        <f t="shared" si="466"/>
        <v>#DIV/0!</v>
      </c>
      <c r="AH126" s="108" t="e">
        <f t="shared" si="466"/>
        <v>#DIV/0!</v>
      </c>
      <c r="AI126" s="115" t="e">
        <f t="shared" si="374"/>
        <v>#DIV/0!</v>
      </c>
      <c r="AJ126" s="21">
        <f t="shared" si="375"/>
        <v>0.01</v>
      </c>
      <c r="AK126" s="123" t="e">
        <f t="shared" si="218"/>
        <v>#DIV/0!</v>
      </c>
    </row>
    <row r="127" spans="1:37" ht="12" customHeight="1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21"/>
      <c r="V127" s="121"/>
      <c r="W127" s="101" t="e">
        <f t="shared" si="192"/>
        <v>#DIV/0!</v>
      </c>
      <c r="X127" s="10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3"/>
      <c r="AK127" s="123"/>
    </row>
    <row r="128" spans="1:37" ht="12" customHeight="1">
      <c r="A128" s="304" t="s">
        <v>417</v>
      </c>
      <c r="B128" s="175" t="s">
        <v>424</v>
      </c>
      <c r="C128" s="128"/>
      <c r="D128" s="128"/>
      <c r="E128" s="128"/>
      <c r="F128" s="144"/>
      <c r="G128" s="144" t="e">
        <f t="shared" ref="G128" si="467">G25/(G36+G38)</f>
        <v>#DIV/0!</v>
      </c>
      <c r="H128" s="144" t="e">
        <f t="shared" ref="H128:I128" si="468">H25/(H36+H38)</f>
        <v>#DIV/0!</v>
      </c>
      <c r="I128" s="144" t="e">
        <f t="shared" si="468"/>
        <v>#DIV/0!</v>
      </c>
      <c r="J128" s="144" t="e">
        <f t="shared" ref="J128:T128" si="469">J25/(J36+J38)</f>
        <v>#DIV/0!</v>
      </c>
      <c r="K128" s="144" t="e">
        <f t="shared" si="469"/>
        <v>#DIV/0!</v>
      </c>
      <c r="L128" s="144" t="e">
        <f t="shared" si="469"/>
        <v>#DIV/0!</v>
      </c>
      <c r="M128" s="144" t="e">
        <f t="shared" si="469"/>
        <v>#DIV/0!</v>
      </c>
      <c r="N128" s="144" t="e">
        <f t="shared" si="469"/>
        <v>#DIV/0!</v>
      </c>
      <c r="O128" s="144" t="e">
        <f t="shared" si="469"/>
        <v>#DIV/0!</v>
      </c>
      <c r="P128" s="144" t="e">
        <f t="shared" si="469"/>
        <v>#DIV/0!</v>
      </c>
      <c r="Q128" s="144" t="e">
        <f t="shared" si="469"/>
        <v>#DIV/0!</v>
      </c>
      <c r="R128" s="144" t="e">
        <f t="shared" si="469"/>
        <v>#DIV/0!</v>
      </c>
      <c r="S128" s="144" t="e">
        <f t="shared" si="469"/>
        <v>#DIV/0!</v>
      </c>
      <c r="T128" s="144" t="e">
        <f t="shared" si="469"/>
        <v>#DIV/0!</v>
      </c>
      <c r="U128" s="144">
        <f t="shared" ref="U128:V128" si="470">U25/(U36+U38)</f>
        <v>830</v>
      </c>
      <c r="V128" s="144">
        <f t="shared" si="470"/>
        <v>1205</v>
      </c>
      <c r="W128" s="101" t="e">
        <f t="shared" si="192"/>
        <v>#DIV/0!</v>
      </c>
      <c r="X128" s="10"/>
      <c r="Y128" s="144">
        <f t="shared" ref="Y128:AH128" si="471">Y25/(Y36+Y38)</f>
        <v>830</v>
      </c>
      <c r="Z128" s="144">
        <f t="shared" si="471"/>
        <v>829.99999999999989</v>
      </c>
      <c r="AA128" s="144">
        <f t="shared" si="471"/>
        <v>830</v>
      </c>
      <c r="AB128" s="144">
        <f t="shared" si="471"/>
        <v>830</v>
      </c>
      <c r="AC128" s="144">
        <f t="shared" si="471"/>
        <v>829.99999999999989</v>
      </c>
      <c r="AD128" s="144">
        <f t="shared" si="471"/>
        <v>829.99999999999989</v>
      </c>
      <c r="AE128" s="144">
        <f t="shared" si="471"/>
        <v>829.99999999999989</v>
      </c>
      <c r="AF128" s="144">
        <f t="shared" si="471"/>
        <v>829.99999999999977</v>
      </c>
      <c r="AG128" s="144">
        <f t="shared" si="471"/>
        <v>829.99999999999977</v>
      </c>
      <c r="AH128" s="144">
        <f t="shared" si="471"/>
        <v>829.99999999999966</v>
      </c>
      <c r="AI128" s="115" t="e">
        <f t="shared" ref="AI128:AI136" si="472">((AH128/J128)^(1/($AH$3-$K$1) ))-1</f>
        <v>#DIV/0!</v>
      </c>
      <c r="AJ128" s="21">
        <f t="shared" si="375"/>
        <v>0.01</v>
      </c>
      <c r="AK128" s="123" t="e">
        <f t="shared" si="218"/>
        <v>#DIV/0!</v>
      </c>
    </row>
    <row r="129" spans="1:37" ht="12" customHeight="1">
      <c r="A129" s="304"/>
      <c r="B129" s="175" t="s">
        <v>419</v>
      </c>
      <c r="C129" s="128"/>
      <c r="D129" s="128"/>
      <c r="E129" s="128"/>
      <c r="F129" s="144"/>
      <c r="G129" s="144" t="e">
        <f t="shared" ref="G129" si="473">G25/G43</f>
        <v>#DIV/0!</v>
      </c>
      <c r="H129" s="144" t="e">
        <f t="shared" ref="H129:I129" si="474">H25/H43</f>
        <v>#DIV/0!</v>
      </c>
      <c r="I129" s="144" t="e">
        <f t="shared" si="474"/>
        <v>#DIV/0!</v>
      </c>
      <c r="J129" s="144" t="e">
        <f t="shared" ref="J129:T129" si="475">J25/J43</f>
        <v>#DIV/0!</v>
      </c>
      <c r="K129" s="144" t="e">
        <f t="shared" si="475"/>
        <v>#DIV/0!</v>
      </c>
      <c r="L129" s="144" t="e">
        <f t="shared" si="475"/>
        <v>#DIV/0!</v>
      </c>
      <c r="M129" s="144" t="e">
        <f t="shared" si="475"/>
        <v>#DIV/0!</v>
      </c>
      <c r="N129" s="144" t="e">
        <f t="shared" si="475"/>
        <v>#DIV/0!</v>
      </c>
      <c r="O129" s="144" t="e">
        <f t="shared" si="475"/>
        <v>#DIV/0!</v>
      </c>
      <c r="P129" s="144" t="e">
        <f t="shared" si="475"/>
        <v>#DIV/0!</v>
      </c>
      <c r="Q129" s="144" t="e">
        <f t="shared" si="475"/>
        <v>#DIV/0!</v>
      </c>
      <c r="R129" s="144" t="e">
        <f t="shared" si="475"/>
        <v>#DIV/0!</v>
      </c>
      <c r="S129" s="144" t="e">
        <f t="shared" si="475"/>
        <v>#DIV/0!</v>
      </c>
      <c r="T129" s="144" t="e">
        <f t="shared" si="475"/>
        <v>#DIV/0!</v>
      </c>
      <c r="U129" s="144" t="e">
        <f t="shared" ref="U129:V129" si="476">U25/U43</f>
        <v>#DIV/0!</v>
      </c>
      <c r="V129" s="144" t="e">
        <f t="shared" si="476"/>
        <v>#DIV/0!</v>
      </c>
      <c r="W129" s="101" t="e">
        <f t="shared" si="192"/>
        <v>#DIV/0!</v>
      </c>
      <c r="X129" s="10"/>
      <c r="Y129" s="144" t="e">
        <f t="shared" ref="Y129:AH129" si="477">Y25/Y43</f>
        <v>#DIV/0!</v>
      </c>
      <c r="Z129" s="144" t="e">
        <f t="shared" si="477"/>
        <v>#DIV/0!</v>
      </c>
      <c r="AA129" s="144" t="e">
        <f t="shared" si="477"/>
        <v>#DIV/0!</v>
      </c>
      <c r="AB129" s="144" t="e">
        <f t="shared" si="477"/>
        <v>#DIV/0!</v>
      </c>
      <c r="AC129" s="144" t="e">
        <f t="shared" si="477"/>
        <v>#DIV/0!</v>
      </c>
      <c r="AD129" s="144" t="e">
        <f t="shared" si="477"/>
        <v>#DIV/0!</v>
      </c>
      <c r="AE129" s="144" t="e">
        <f t="shared" si="477"/>
        <v>#DIV/0!</v>
      </c>
      <c r="AF129" s="144" t="e">
        <f t="shared" si="477"/>
        <v>#DIV/0!</v>
      </c>
      <c r="AG129" s="144" t="e">
        <f t="shared" si="477"/>
        <v>#DIV/0!</v>
      </c>
      <c r="AH129" s="144" t="e">
        <f t="shared" si="477"/>
        <v>#DIV/0!</v>
      </c>
      <c r="AI129" s="115" t="e">
        <f t="shared" si="472"/>
        <v>#DIV/0!</v>
      </c>
      <c r="AJ129" s="21">
        <f t="shared" si="375"/>
        <v>0.01</v>
      </c>
      <c r="AK129" s="123" t="e">
        <f t="shared" si="218"/>
        <v>#DIV/0!</v>
      </c>
    </row>
    <row r="130" spans="1:37" ht="12" customHeight="1">
      <c r="A130" s="304"/>
      <c r="B130" s="175" t="s">
        <v>425</v>
      </c>
      <c r="C130" s="128"/>
      <c r="D130" s="128"/>
      <c r="E130" s="128"/>
      <c r="F130" s="144"/>
      <c r="G130" s="144" t="e">
        <f t="shared" ref="G130" si="478">G43/(G36)</f>
        <v>#DIV/0!</v>
      </c>
      <c r="H130" s="144" t="e">
        <f t="shared" ref="H130:I130" si="479">H43/(H36)</f>
        <v>#DIV/0!</v>
      </c>
      <c r="I130" s="144" t="e">
        <f t="shared" si="479"/>
        <v>#DIV/0!</v>
      </c>
      <c r="J130" s="144" t="e">
        <f t="shared" ref="J130:T130" si="480">J43/(J36)</f>
        <v>#DIV/0!</v>
      </c>
      <c r="K130" s="144" t="e">
        <f t="shared" si="480"/>
        <v>#DIV/0!</v>
      </c>
      <c r="L130" s="144" t="e">
        <f t="shared" si="480"/>
        <v>#DIV/0!</v>
      </c>
      <c r="M130" s="144" t="e">
        <f t="shared" si="480"/>
        <v>#DIV/0!</v>
      </c>
      <c r="N130" s="144" t="e">
        <f t="shared" si="480"/>
        <v>#DIV/0!</v>
      </c>
      <c r="O130" s="144" t="e">
        <f t="shared" si="480"/>
        <v>#DIV/0!</v>
      </c>
      <c r="P130" s="144" t="e">
        <f t="shared" si="480"/>
        <v>#DIV/0!</v>
      </c>
      <c r="Q130" s="144" t="e">
        <f t="shared" si="480"/>
        <v>#DIV/0!</v>
      </c>
      <c r="R130" s="144" t="e">
        <f t="shared" si="480"/>
        <v>#DIV/0!</v>
      </c>
      <c r="S130" s="144" t="e">
        <f t="shared" si="480"/>
        <v>#DIV/0!</v>
      </c>
      <c r="T130" s="144" t="e">
        <f t="shared" si="480"/>
        <v>#DIV/0!</v>
      </c>
      <c r="U130" s="144" t="e">
        <f t="shared" ref="U130:V130" si="481">U43/(U36)</f>
        <v>#DIV/0!</v>
      </c>
      <c r="V130" s="144" t="e">
        <f t="shared" si="481"/>
        <v>#DIV/0!</v>
      </c>
      <c r="W130" s="101" t="e">
        <f t="shared" si="192"/>
        <v>#DIV/0!</v>
      </c>
      <c r="X130" s="10"/>
      <c r="Y130" s="144">
        <f t="shared" ref="Y130:AH130" si="482">Y43/(Y36+Y38)</f>
        <v>0</v>
      </c>
      <c r="Z130" s="144">
        <f t="shared" si="482"/>
        <v>0</v>
      </c>
      <c r="AA130" s="144">
        <f t="shared" si="482"/>
        <v>0</v>
      </c>
      <c r="AB130" s="144">
        <f t="shared" si="482"/>
        <v>0</v>
      </c>
      <c r="AC130" s="144">
        <f t="shared" si="482"/>
        <v>0</v>
      </c>
      <c r="AD130" s="144">
        <f t="shared" si="482"/>
        <v>0</v>
      </c>
      <c r="AE130" s="144">
        <f t="shared" si="482"/>
        <v>0</v>
      </c>
      <c r="AF130" s="144">
        <f t="shared" si="482"/>
        <v>0</v>
      </c>
      <c r="AG130" s="144">
        <f t="shared" si="482"/>
        <v>0</v>
      </c>
      <c r="AH130" s="144">
        <f t="shared" si="482"/>
        <v>0</v>
      </c>
      <c r="AI130" s="115" t="e">
        <f t="shared" si="472"/>
        <v>#DIV/0!</v>
      </c>
      <c r="AJ130" s="21">
        <f t="shared" si="375"/>
        <v>0.01</v>
      </c>
      <c r="AK130" s="123" t="e">
        <f t="shared" si="218"/>
        <v>#DIV/0!</v>
      </c>
    </row>
    <row r="131" spans="1:37" ht="12" customHeight="1">
      <c r="A131" s="304"/>
      <c r="B131" s="175" t="s">
        <v>423</v>
      </c>
      <c r="C131" s="128"/>
      <c r="D131" s="128"/>
      <c r="E131" s="128"/>
      <c r="F131" s="144"/>
      <c r="G131" s="144" t="e">
        <f t="shared" ref="G131" si="483">G43/G38</f>
        <v>#DIV/0!</v>
      </c>
      <c r="H131" s="144" t="e">
        <f t="shared" ref="H131:I131" si="484">H43/H38</f>
        <v>#DIV/0!</v>
      </c>
      <c r="I131" s="144" t="e">
        <f t="shared" si="484"/>
        <v>#DIV/0!</v>
      </c>
      <c r="J131" s="144" t="e">
        <f t="shared" ref="J131:T131" si="485">J43/J38</f>
        <v>#DIV/0!</v>
      </c>
      <c r="K131" s="144" t="e">
        <f t="shared" si="485"/>
        <v>#DIV/0!</v>
      </c>
      <c r="L131" s="144" t="e">
        <f t="shared" si="485"/>
        <v>#DIV/0!</v>
      </c>
      <c r="M131" s="144" t="e">
        <f t="shared" si="485"/>
        <v>#DIV/0!</v>
      </c>
      <c r="N131" s="144" t="e">
        <f t="shared" si="485"/>
        <v>#DIV/0!</v>
      </c>
      <c r="O131" s="144" t="e">
        <f t="shared" si="485"/>
        <v>#DIV/0!</v>
      </c>
      <c r="P131" s="144" t="e">
        <f t="shared" si="485"/>
        <v>#DIV/0!</v>
      </c>
      <c r="Q131" s="144" t="e">
        <f t="shared" si="485"/>
        <v>#DIV/0!</v>
      </c>
      <c r="R131" s="144" t="e">
        <f t="shared" si="485"/>
        <v>#DIV/0!</v>
      </c>
      <c r="S131" s="144" t="e">
        <f t="shared" si="485"/>
        <v>#DIV/0!</v>
      </c>
      <c r="T131" s="144" t="e">
        <f t="shared" si="485"/>
        <v>#DIV/0!</v>
      </c>
      <c r="U131" s="144">
        <f t="shared" ref="U131:V131" si="486">U43/U38</f>
        <v>0</v>
      </c>
      <c r="V131" s="144">
        <f t="shared" si="486"/>
        <v>0</v>
      </c>
      <c r="W131" s="101" t="e">
        <f t="shared" si="192"/>
        <v>#DIV/0!</v>
      </c>
      <c r="X131" s="10"/>
      <c r="Y131" s="144">
        <f t="shared" ref="Y131:AH131" si="487">Y43/Y38</f>
        <v>0</v>
      </c>
      <c r="Z131" s="144">
        <f t="shared" si="487"/>
        <v>0</v>
      </c>
      <c r="AA131" s="144">
        <f t="shared" si="487"/>
        <v>0</v>
      </c>
      <c r="AB131" s="144">
        <f t="shared" si="487"/>
        <v>0</v>
      </c>
      <c r="AC131" s="144">
        <f t="shared" si="487"/>
        <v>0</v>
      </c>
      <c r="AD131" s="144">
        <f t="shared" si="487"/>
        <v>0</v>
      </c>
      <c r="AE131" s="144">
        <f t="shared" si="487"/>
        <v>0</v>
      </c>
      <c r="AF131" s="144">
        <f t="shared" si="487"/>
        <v>0</v>
      </c>
      <c r="AG131" s="144">
        <f t="shared" si="487"/>
        <v>0</v>
      </c>
      <c r="AH131" s="144">
        <f t="shared" si="487"/>
        <v>0</v>
      </c>
      <c r="AI131" s="115" t="e">
        <f t="shared" si="472"/>
        <v>#DIV/0!</v>
      </c>
      <c r="AJ131" s="21">
        <f t="shared" si="375"/>
        <v>0.01</v>
      </c>
      <c r="AK131" s="123" t="e">
        <f t="shared" si="218"/>
        <v>#DIV/0!</v>
      </c>
    </row>
    <row r="132" spans="1:37" ht="12" customHeight="1">
      <c r="A132" s="304"/>
      <c r="B132" s="175" t="s">
        <v>422</v>
      </c>
      <c r="C132" s="128"/>
      <c r="D132" s="128"/>
      <c r="E132" s="128"/>
      <c r="F132" s="144"/>
      <c r="G132" s="144" t="e">
        <f t="shared" ref="G132" si="488">G43/(G36+G38)</f>
        <v>#DIV/0!</v>
      </c>
      <c r="H132" s="144" t="e">
        <f t="shared" ref="H132:I132" si="489">H43/(H36+H38)</f>
        <v>#DIV/0!</v>
      </c>
      <c r="I132" s="144" t="e">
        <f t="shared" si="489"/>
        <v>#DIV/0!</v>
      </c>
      <c r="J132" s="144" t="e">
        <f t="shared" ref="J132:T132" si="490">J43/(J36+J38)</f>
        <v>#DIV/0!</v>
      </c>
      <c r="K132" s="144" t="e">
        <f t="shared" si="490"/>
        <v>#DIV/0!</v>
      </c>
      <c r="L132" s="144" t="e">
        <f t="shared" si="490"/>
        <v>#DIV/0!</v>
      </c>
      <c r="M132" s="144" t="e">
        <f t="shared" si="490"/>
        <v>#DIV/0!</v>
      </c>
      <c r="N132" s="144" t="e">
        <f t="shared" si="490"/>
        <v>#DIV/0!</v>
      </c>
      <c r="O132" s="144" t="e">
        <f t="shared" si="490"/>
        <v>#DIV/0!</v>
      </c>
      <c r="P132" s="144" t="e">
        <f t="shared" si="490"/>
        <v>#DIV/0!</v>
      </c>
      <c r="Q132" s="144" t="e">
        <f t="shared" si="490"/>
        <v>#DIV/0!</v>
      </c>
      <c r="R132" s="144" t="e">
        <f t="shared" si="490"/>
        <v>#DIV/0!</v>
      </c>
      <c r="S132" s="144" t="e">
        <f t="shared" si="490"/>
        <v>#DIV/0!</v>
      </c>
      <c r="T132" s="144" t="e">
        <f t="shared" si="490"/>
        <v>#DIV/0!</v>
      </c>
      <c r="U132" s="144">
        <f t="shared" ref="U132:V132" si="491">U43/(U36+U38)</f>
        <v>0</v>
      </c>
      <c r="V132" s="144">
        <f t="shared" si="491"/>
        <v>0</v>
      </c>
      <c r="W132" s="101" t="e">
        <f t="shared" si="192"/>
        <v>#DIV/0!</v>
      </c>
      <c r="X132" s="10"/>
      <c r="Y132" s="144">
        <f t="shared" ref="Y132:AH132" si="492">Y43/(Y36+Y38)</f>
        <v>0</v>
      </c>
      <c r="Z132" s="144">
        <f t="shared" si="492"/>
        <v>0</v>
      </c>
      <c r="AA132" s="144">
        <f t="shared" si="492"/>
        <v>0</v>
      </c>
      <c r="AB132" s="144">
        <f t="shared" si="492"/>
        <v>0</v>
      </c>
      <c r="AC132" s="144">
        <f t="shared" si="492"/>
        <v>0</v>
      </c>
      <c r="AD132" s="144">
        <f t="shared" si="492"/>
        <v>0</v>
      </c>
      <c r="AE132" s="144">
        <f t="shared" si="492"/>
        <v>0</v>
      </c>
      <c r="AF132" s="144">
        <f t="shared" si="492"/>
        <v>0</v>
      </c>
      <c r="AG132" s="144">
        <f t="shared" si="492"/>
        <v>0</v>
      </c>
      <c r="AH132" s="144">
        <f t="shared" si="492"/>
        <v>0</v>
      </c>
      <c r="AI132" s="115" t="e">
        <f>((AH132/J132)^(1/($AH$3-$K$1) ))-1</f>
        <v>#DIV/0!</v>
      </c>
      <c r="AJ132" s="21">
        <f t="shared" si="375"/>
        <v>0.01</v>
      </c>
      <c r="AK132" s="123" t="e">
        <f t="shared" si="218"/>
        <v>#DIV/0!</v>
      </c>
    </row>
    <row r="133" spans="1:37" ht="12" customHeight="1">
      <c r="A133" s="304"/>
      <c r="B133" s="175" t="s">
        <v>428</v>
      </c>
      <c r="C133" s="128"/>
      <c r="D133" s="128"/>
      <c r="E133" s="128"/>
      <c r="F133" s="144"/>
      <c r="G133" s="144">
        <f t="shared" ref="G133" si="493">G49/G25</f>
        <v>0</v>
      </c>
      <c r="H133" s="144" t="e">
        <f t="shared" ref="H133:I133" si="494">H49/H25</f>
        <v>#DIV/0!</v>
      </c>
      <c r="I133" s="144" t="e">
        <f t="shared" si="494"/>
        <v>#DIV/0!</v>
      </c>
      <c r="J133" s="144" t="e">
        <f t="shared" ref="J133:T133" si="495">J49/J25</f>
        <v>#DIV/0!</v>
      </c>
      <c r="K133" s="144" t="e">
        <f t="shared" si="495"/>
        <v>#DIV/0!</v>
      </c>
      <c r="L133" s="144" t="e">
        <f t="shared" si="495"/>
        <v>#DIV/0!</v>
      </c>
      <c r="M133" s="144" t="e">
        <f t="shared" si="495"/>
        <v>#DIV/0!</v>
      </c>
      <c r="N133" s="144">
        <f t="shared" si="495"/>
        <v>0</v>
      </c>
      <c r="O133" s="144">
        <f t="shared" si="495"/>
        <v>0</v>
      </c>
      <c r="P133" s="144">
        <f t="shared" si="495"/>
        <v>0</v>
      </c>
      <c r="Q133" s="144">
        <f t="shared" si="495"/>
        <v>0</v>
      </c>
      <c r="R133" s="144">
        <f t="shared" si="495"/>
        <v>0</v>
      </c>
      <c r="S133" s="144">
        <f t="shared" si="495"/>
        <v>0</v>
      </c>
      <c r="T133" s="144">
        <f t="shared" si="495"/>
        <v>0</v>
      </c>
      <c r="U133" s="144">
        <f t="shared" ref="U133:V133" si="496">U49/U25</f>
        <v>0</v>
      </c>
      <c r="V133" s="144">
        <f t="shared" si="496"/>
        <v>0</v>
      </c>
      <c r="W133" s="101" t="e">
        <f t="shared" si="192"/>
        <v>#DIV/0!</v>
      </c>
      <c r="X133" s="10"/>
      <c r="Y133" s="144">
        <f t="shared" ref="Y133:AH133" si="497">Y49/Y25</f>
        <v>0</v>
      </c>
      <c r="Z133" s="144">
        <f t="shared" si="497"/>
        <v>0</v>
      </c>
      <c r="AA133" s="144">
        <f t="shared" si="497"/>
        <v>0</v>
      </c>
      <c r="AB133" s="144">
        <f t="shared" si="497"/>
        <v>0</v>
      </c>
      <c r="AC133" s="144">
        <f t="shared" si="497"/>
        <v>0</v>
      </c>
      <c r="AD133" s="144">
        <f t="shared" si="497"/>
        <v>0</v>
      </c>
      <c r="AE133" s="144">
        <f t="shared" si="497"/>
        <v>0</v>
      </c>
      <c r="AF133" s="144">
        <f t="shared" si="497"/>
        <v>0</v>
      </c>
      <c r="AG133" s="144">
        <f t="shared" si="497"/>
        <v>0</v>
      </c>
      <c r="AH133" s="144">
        <f t="shared" si="497"/>
        <v>0</v>
      </c>
      <c r="AI133" s="115" t="e">
        <f>((AH133/J133)^(1/($AH$3-$K$1) ))-1</f>
        <v>#DIV/0!</v>
      </c>
      <c r="AJ133" s="21">
        <f t="shared" si="375"/>
        <v>0.01</v>
      </c>
      <c r="AK133" s="123" t="e">
        <f t="shared" si="218"/>
        <v>#DIV/0!</v>
      </c>
    </row>
    <row r="134" spans="1:37" ht="12" customHeight="1">
      <c r="A134" s="304"/>
      <c r="B134" s="175" t="s">
        <v>426</v>
      </c>
      <c r="C134" s="128"/>
      <c r="D134" s="128"/>
      <c r="E134" s="128"/>
      <c r="F134" s="179"/>
      <c r="G134" s="179" t="e">
        <f t="shared" ref="G134" si="498">G59/G51</f>
        <v>#DIV/0!</v>
      </c>
      <c r="H134" s="179" t="e">
        <f t="shared" ref="H134:I134" si="499">H59/H51</f>
        <v>#DIV/0!</v>
      </c>
      <c r="I134" s="179" t="e">
        <f t="shared" si="499"/>
        <v>#DIV/0!</v>
      </c>
      <c r="J134" s="179" t="e">
        <f t="shared" ref="J134:T134" si="500">J59/J51</f>
        <v>#DIV/0!</v>
      </c>
      <c r="K134" s="179" t="e">
        <f t="shared" si="500"/>
        <v>#DIV/0!</v>
      </c>
      <c r="L134" s="179" t="e">
        <f t="shared" si="500"/>
        <v>#DIV/0!</v>
      </c>
      <c r="M134" s="179" t="e">
        <f t="shared" si="500"/>
        <v>#DIV/0!</v>
      </c>
      <c r="N134" s="179" t="e">
        <f t="shared" si="500"/>
        <v>#DIV/0!</v>
      </c>
      <c r="O134" s="179" t="e">
        <f t="shared" si="500"/>
        <v>#DIV/0!</v>
      </c>
      <c r="P134" s="179" t="e">
        <f t="shared" si="500"/>
        <v>#DIV/0!</v>
      </c>
      <c r="Q134" s="179" t="e">
        <f t="shared" si="500"/>
        <v>#DIV/0!</v>
      </c>
      <c r="R134" s="179" t="e">
        <f t="shared" si="500"/>
        <v>#DIV/0!</v>
      </c>
      <c r="S134" s="179" t="e">
        <f t="shared" si="500"/>
        <v>#DIV/0!</v>
      </c>
      <c r="T134" s="179" t="e">
        <f t="shared" si="500"/>
        <v>#DIV/0!</v>
      </c>
      <c r="U134" s="179" t="e">
        <f t="shared" ref="U134:V134" si="501">U59/U51</f>
        <v>#DIV/0!</v>
      </c>
      <c r="V134" s="179" t="e">
        <f t="shared" si="501"/>
        <v>#DIV/0!</v>
      </c>
      <c r="W134" s="101" t="e">
        <f t="shared" ref="W134:W171" si="502">((V134/G134)^(1/($K$2-$K$1) ))-1</f>
        <v>#DIV/0!</v>
      </c>
      <c r="X134" s="10"/>
      <c r="Y134" s="179" t="e">
        <f t="shared" ref="Y134:AH134" si="503">Y59/Y51</f>
        <v>#DIV/0!</v>
      </c>
      <c r="Z134" s="179" t="e">
        <f t="shared" si="503"/>
        <v>#DIV/0!</v>
      </c>
      <c r="AA134" s="179" t="e">
        <f t="shared" si="503"/>
        <v>#DIV/0!</v>
      </c>
      <c r="AB134" s="179" t="e">
        <f t="shared" si="503"/>
        <v>#DIV/0!</v>
      </c>
      <c r="AC134" s="179" t="e">
        <f t="shared" si="503"/>
        <v>#DIV/0!</v>
      </c>
      <c r="AD134" s="179" t="e">
        <f t="shared" si="503"/>
        <v>#DIV/0!</v>
      </c>
      <c r="AE134" s="179" t="e">
        <f t="shared" si="503"/>
        <v>#DIV/0!</v>
      </c>
      <c r="AF134" s="179" t="e">
        <f t="shared" si="503"/>
        <v>#DIV/0!</v>
      </c>
      <c r="AG134" s="179" t="e">
        <f t="shared" si="503"/>
        <v>#DIV/0!</v>
      </c>
      <c r="AH134" s="179" t="e">
        <f t="shared" si="503"/>
        <v>#DIV/0!</v>
      </c>
      <c r="AI134" s="115" t="e">
        <f>((AH134/J134)^(1/($AH$3-$K$1) ))-1</f>
        <v>#DIV/0!</v>
      </c>
      <c r="AJ134" s="21">
        <f t="shared" si="375"/>
        <v>0.01</v>
      </c>
      <c r="AK134" s="123" t="e">
        <f t="shared" si="218"/>
        <v>#DIV/0!</v>
      </c>
    </row>
    <row r="135" spans="1:37" ht="12" customHeight="1">
      <c r="A135" s="304"/>
      <c r="B135" s="175" t="s">
        <v>420</v>
      </c>
      <c r="C135" s="128"/>
      <c r="D135" s="128"/>
      <c r="E135" s="128"/>
      <c r="F135" s="144"/>
      <c r="G135" s="144" t="e">
        <f t="shared" ref="G135" si="504">G59/G43</f>
        <v>#DIV/0!</v>
      </c>
      <c r="H135" s="144" t="e">
        <f t="shared" ref="H135:I135" si="505">H59/H43</f>
        <v>#DIV/0!</v>
      </c>
      <c r="I135" s="144" t="e">
        <f t="shared" si="505"/>
        <v>#DIV/0!</v>
      </c>
      <c r="J135" s="144" t="e">
        <f t="shared" ref="J135:T135" si="506">J59/J43</f>
        <v>#DIV/0!</v>
      </c>
      <c r="K135" s="144" t="e">
        <f t="shared" si="506"/>
        <v>#DIV/0!</v>
      </c>
      <c r="L135" s="144" t="e">
        <f t="shared" si="506"/>
        <v>#DIV/0!</v>
      </c>
      <c r="M135" s="144" t="e">
        <f t="shared" si="506"/>
        <v>#DIV/0!</v>
      </c>
      <c r="N135" s="144" t="e">
        <f t="shared" si="506"/>
        <v>#DIV/0!</v>
      </c>
      <c r="O135" s="144" t="e">
        <f t="shared" si="506"/>
        <v>#DIV/0!</v>
      </c>
      <c r="P135" s="144" t="e">
        <f t="shared" si="506"/>
        <v>#DIV/0!</v>
      </c>
      <c r="Q135" s="144" t="e">
        <f t="shared" si="506"/>
        <v>#DIV/0!</v>
      </c>
      <c r="R135" s="144" t="e">
        <f t="shared" si="506"/>
        <v>#DIV/0!</v>
      </c>
      <c r="S135" s="144" t="e">
        <f t="shared" si="506"/>
        <v>#DIV/0!</v>
      </c>
      <c r="T135" s="144" t="e">
        <f t="shared" si="506"/>
        <v>#DIV/0!</v>
      </c>
      <c r="U135" s="144" t="e">
        <f t="shared" ref="U135:V135" si="507">U59/U43</f>
        <v>#DIV/0!</v>
      </c>
      <c r="V135" s="144" t="e">
        <f t="shared" si="507"/>
        <v>#DIV/0!</v>
      </c>
      <c r="W135" s="101" t="e">
        <f t="shared" si="502"/>
        <v>#DIV/0!</v>
      </c>
      <c r="X135" s="10"/>
      <c r="Y135" s="144" t="e">
        <f t="shared" ref="Y135:AH135" si="508">Y59/Y43</f>
        <v>#DIV/0!</v>
      </c>
      <c r="Z135" s="144" t="e">
        <f t="shared" si="508"/>
        <v>#DIV/0!</v>
      </c>
      <c r="AA135" s="144" t="e">
        <f t="shared" si="508"/>
        <v>#DIV/0!</v>
      </c>
      <c r="AB135" s="144" t="e">
        <f t="shared" si="508"/>
        <v>#DIV/0!</v>
      </c>
      <c r="AC135" s="144" t="e">
        <f t="shared" si="508"/>
        <v>#DIV/0!</v>
      </c>
      <c r="AD135" s="144" t="e">
        <f t="shared" si="508"/>
        <v>#DIV/0!</v>
      </c>
      <c r="AE135" s="144" t="e">
        <f t="shared" si="508"/>
        <v>#DIV/0!</v>
      </c>
      <c r="AF135" s="144" t="e">
        <f t="shared" si="508"/>
        <v>#DIV/0!</v>
      </c>
      <c r="AG135" s="144" t="e">
        <f t="shared" si="508"/>
        <v>#DIV/0!</v>
      </c>
      <c r="AH135" s="144" t="e">
        <f t="shared" si="508"/>
        <v>#DIV/0!</v>
      </c>
      <c r="AI135" s="115" t="e">
        <f t="shared" si="472"/>
        <v>#DIV/0!</v>
      </c>
      <c r="AJ135" s="21">
        <f t="shared" si="375"/>
        <v>0.01</v>
      </c>
      <c r="AK135" s="123" t="e">
        <f t="shared" si="218"/>
        <v>#DIV/0!</v>
      </c>
    </row>
    <row r="136" spans="1:37" ht="12" customHeight="1">
      <c r="A136" s="304"/>
      <c r="B136" s="175" t="s">
        <v>421</v>
      </c>
      <c r="C136" s="128"/>
      <c r="D136" s="128"/>
      <c r="E136" s="128"/>
      <c r="F136" s="144"/>
      <c r="G136" s="144" t="e">
        <f t="shared" ref="G136" si="509">G59/(G36+G38)</f>
        <v>#DIV/0!</v>
      </c>
      <c r="H136" s="144" t="e">
        <f t="shared" ref="H136:I136" si="510">H59/(H36+H38)</f>
        <v>#DIV/0!</v>
      </c>
      <c r="I136" s="144" t="e">
        <f t="shared" si="510"/>
        <v>#DIV/0!</v>
      </c>
      <c r="J136" s="144" t="e">
        <f t="shared" ref="J136:T136" si="511">J59/(J36+J38)</f>
        <v>#DIV/0!</v>
      </c>
      <c r="K136" s="144" t="e">
        <f t="shared" si="511"/>
        <v>#DIV/0!</v>
      </c>
      <c r="L136" s="144" t="e">
        <f t="shared" si="511"/>
        <v>#DIV/0!</v>
      </c>
      <c r="M136" s="144" t="e">
        <f t="shared" si="511"/>
        <v>#DIV/0!</v>
      </c>
      <c r="N136" s="144" t="e">
        <f t="shared" si="511"/>
        <v>#DIV/0!</v>
      </c>
      <c r="O136" s="144" t="e">
        <f t="shared" si="511"/>
        <v>#DIV/0!</v>
      </c>
      <c r="P136" s="144" t="e">
        <f t="shared" si="511"/>
        <v>#DIV/0!</v>
      </c>
      <c r="Q136" s="144" t="e">
        <f t="shared" si="511"/>
        <v>#DIV/0!</v>
      </c>
      <c r="R136" s="144" t="e">
        <f t="shared" si="511"/>
        <v>#DIV/0!</v>
      </c>
      <c r="S136" s="144" t="e">
        <f t="shared" si="511"/>
        <v>#DIV/0!</v>
      </c>
      <c r="T136" s="144" t="e">
        <f t="shared" si="511"/>
        <v>#DIV/0!</v>
      </c>
      <c r="U136" s="144">
        <f t="shared" ref="U136:V136" si="512">U59/(U36+U38)</f>
        <v>200</v>
      </c>
      <c r="V136" s="144">
        <f t="shared" si="512"/>
        <v>240</v>
      </c>
      <c r="W136" s="101" t="e">
        <f t="shared" si="502"/>
        <v>#DIV/0!</v>
      </c>
      <c r="X136" s="10"/>
      <c r="Y136" s="144">
        <f t="shared" ref="Y136:AH136" si="513">Y59/(Y36+Y38)</f>
        <v>200</v>
      </c>
      <c r="Z136" s="144">
        <f t="shared" si="513"/>
        <v>200</v>
      </c>
      <c r="AA136" s="144">
        <f t="shared" si="513"/>
        <v>200</v>
      </c>
      <c r="AB136" s="144">
        <f t="shared" si="513"/>
        <v>200</v>
      </c>
      <c r="AC136" s="144">
        <f t="shared" si="513"/>
        <v>199.99999999999997</v>
      </c>
      <c r="AD136" s="144">
        <f t="shared" si="513"/>
        <v>199.99999999999997</v>
      </c>
      <c r="AE136" s="144">
        <f t="shared" si="513"/>
        <v>199.99999999999997</v>
      </c>
      <c r="AF136" s="144">
        <f t="shared" si="513"/>
        <v>199.99999999999997</v>
      </c>
      <c r="AG136" s="144">
        <f t="shared" si="513"/>
        <v>199.99999999999997</v>
      </c>
      <c r="AH136" s="144">
        <f t="shared" si="513"/>
        <v>199.99999999999997</v>
      </c>
      <c r="AI136" s="115" t="e">
        <f t="shared" si="472"/>
        <v>#DIV/0!</v>
      </c>
      <c r="AJ136" s="21">
        <f t="shared" si="375"/>
        <v>0.01</v>
      </c>
      <c r="AK136" s="123" t="e">
        <f t="shared" si="218"/>
        <v>#DIV/0!</v>
      </c>
    </row>
    <row r="137" spans="1:37" ht="12" customHeight="1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21"/>
      <c r="V137" s="121"/>
      <c r="W137" s="101" t="e">
        <f t="shared" si="502"/>
        <v>#DIV/0!</v>
      </c>
      <c r="X137" s="10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77"/>
      <c r="AJ137" s="123"/>
      <c r="AK137" s="123"/>
    </row>
    <row r="138" spans="1:37">
      <c r="B138" s="10" t="s">
        <v>270</v>
      </c>
      <c r="C138" s="128"/>
      <c r="D138" s="128"/>
      <c r="E138" s="128"/>
      <c r="F138" s="136"/>
      <c r="G138" s="136">
        <f t="shared" ref="G138" si="514">G10-(G12+G13)</f>
        <v>-75</v>
      </c>
      <c r="H138" s="136">
        <f t="shared" ref="H138:I138" si="515">H10-(H12+H13)</f>
        <v>0</v>
      </c>
      <c r="I138" s="136">
        <f t="shared" si="515"/>
        <v>0</v>
      </c>
      <c r="J138" s="136">
        <f t="shared" ref="J138:T138" si="516">J10-(J12+J13)</f>
        <v>0</v>
      </c>
      <c r="K138" s="136">
        <f t="shared" si="516"/>
        <v>0</v>
      </c>
      <c r="L138" s="136">
        <f t="shared" si="516"/>
        <v>0</v>
      </c>
      <c r="M138" s="136">
        <f t="shared" si="516"/>
        <v>0</v>
      </c>
      <c r="N138" s="136">
        <f t="shared" si="516"/>
        <v>-75</v>
      </c>
      <c r="O138" s="136">
        <f t="shared" si="516"/>
        <v>446</v>
      </c>
      <c r="P138" s="136">
        <f t="shared" si="516"/>
        <v>830</v>
      </c>
      <c r="Q138" s="136">
        <f t="shared" si="516"/>
        <v>830</v>
      </c>
      <c r="R138" s="136">
        <f t="shared" si="516"/>
        <v>1418</v>
      </c>
      <c r="S138" s="136">
        <f t="shared" si="516"/>
        <v>1899</v>
      </c>
      <c r="T138" s="136">
        <f t="shared" si="516"/>
        <v>2445</v>
      </c>
      <c r="U138" s="136">
        <f t="shared" ref="U138:V138" si="517">U10-(U12+U13)</f>
        <v>2684</v>
      </c>
      <c r="V138" s="136">
        <f t="shared" si="517"/>
        <v>2417</v>
      </c>
      <c r="W138" s="101" t="e">
        <f t="shared" si="502"/>
        <v>#NUM!</v>
      </c>
      <c r="X138" s="10"/>
      <c r="Y138" s="136">
        <f t="shared" ref="Y138:AH138" si="518">Y10-(Y12+Y13)</f>
        <v>3086.6000000000004</v>
      </c>
      <c r="Z138" s="136">
        <f t="shared" si="518"/>
        <v>3549.5899999999992</v>
      </c>
      <c r="AA138" s="136">
        <f t="shared" si="518"/>
        <v>4082.028499999999</v>
      </c>
      <c r="AB138" s="136">
        <f t="shared" si="518"/>
        <v>4694.3327749999989</v>
      </c>
      <c r="AC138" s="136">
        <f t="shared" si="518"/>
        <v>5398.4826912499975</v>
      </c>
      <c r="AD138" s="136">
        <f t="shared" si="518"/>
        <v>6208.2550949374972</v>
      </c>
      <c r="AE138" s="136">
        <f t="shared" si="518"/>
        <v>7139.4933591781219</v>
      </c>
      <c r="AF138" s="136">
        <f t="shared" si="518"/>
        <v>8210.4173630548394</v>
      </c>
      <c r="AG138" s="136">
        <f t="shared" si="518"/>
        <v>9441.9799675130635</v>
      </c>
      <c r="AH138" s="136">
        <f t="shared" si="518"/>
        <v>10858.276962640024</v>
      </c>
      <c r="AI138" s="115" t="e">
        <f t="shared" si="374"/>
        <v>#DIV/0!</v>
      </c>
      <c r="AJ138" s="21">
        <f t="shared" si="375"/>
        <v>0.01</v>
      </c>
      <c r="AK138" s="123" t="e">
        <f t="shared" si="218"/>
        <v>#DIV/0!</v>
      </c>
    </row>
    <row r="139" spans="1:37" ht="12" customHeight="1">
      <c r="B139" s="10" t="s">
        <v>265</v>
      </c>
      <c r="C139" s="10"/>
      <c r="D139" s="10"/>
      <c r="E139" s="10"/>
      <c r="F139" s="128"/>
      <c r="G139" s="128">
        <f t="shared" ref="G139" si="519">G59/G18</f>
        <v>26.5</v>
      </c>
      <c r="H139" s="128" t="e">
        <f t="shared" ref="H139:I139" si="520">H59/H18</f>
        <v>#DIV/0!</v>
      </c>
      <c r="I139" s="128" t="e">
        <f t="shared" si="520"/>
        <v>#DIV/0!</v>
      </c>
      <c r="J139" s="128" t="e">
        <f t="shared" ref="J139:T139" si="521">J59/J18</f>
        <v>#DIV/0!</v>
      </c>
      <c r="K139" s="128" t="e">
        <f t="shared" si="521"/>
        <v>#DIV/0!</v>
      </c>
      <c r="L139" s="128" t="e">
        <f t="shared" si="521"/>
        <v>#DIV/0!</v>
      </c>
      <c r="M139" s="128" t="e">
        <f t="shared" si="521"/>
        <v>#DIV/0!</v>
      </c>
      <c r="N139" s="128">
        <f t="shared" si="521"/>
        <v>26.5</v>
      </c>
      <c r="O139" s="128">
        <f t="shared" si="521"/>
        <v>26.5</v>
      </c>
      <c r="P139" s="128">
        <f t="shared" si="521"/>
        <v>90</v>
      </c>
      <c r="Q139" s="128">
        <f t="shared" si="521"/>
        <v>112</v>
      </c>
      <c r="R139" s="128">
        <f t="shared" si="521"/>
        <v>149</v>
      </c>
      <c r="S139" s="128">
        <f t="shared" si="521"/>
        <v>63.666666666666664</v>
      </c>
      <c r="T139" s="128">
        <f t="shared" si="521"/>
        <v>23.444444444444443</v>
      </c>
      <c r="U139" s="128">
        <f t="shared" ref="U139:V139" si="522">U59/U18</f>
        <v>3.7735849056603774</v>
      </c>
      <c r="V139" s="128">
        <f t="shared" si="522"/>
        <v>4.5283018867924527</v>
      </c>
      <c r="W139" s="101">
        <f t="shared" si="502"/>
        <v>-0.19816282498540128</v>
      </c>
      <c r="X139" s="10"/>
      <c r="Y139" s="128">
        <f t="shared" ref="Y139:AH139" si="523">Y59/Y18</f>
        <v>3.773584905660377</v>
      </c>
      <c r="Z139" s="128">
        <f t="shared" si="523"/>
        <v>3.7735849056603774</v>
      </c>
      <c r="AA139" s="128">
        <f t="shared" si="523"/>
        <v>3.773584905660377</v>
      </c>
      <c r="AB139" s="128">
        <f t="shared" si="523"/>
        <v>3.773584905660377</v>
      </c>
      <c r="AC139" s="128">
        <f t="shared" si="523"/>
        <v>3.773584905660377</v>
      </c>
      <c r="AD139" s="128">
        <f t="shared" si="523"/>
        <v>3.773584905660377</v>
      </c>
      <c r="AE139" s="128">
        <f t="shared" si="523"/>
        <v>3.773584905660377</v>
      </c>
      <c r="AF139" s="128">
        <f t="shared" si="523"/>
        <v>3.7735849056603774</v>
      </c>
      <c r="AG139" s="128">
        <f t="shared" si="523"/>
        <v>3.7735849056603774</v>
      </c>
      <c r="AH139" s="128">
        <f t="shared" si="523"/>
        <v>3.7735849056603774</v>
      </c>
      <c r="AI139" s="115" t="e">
        <f t="shared" si="374"/>
        <v>#DIV/0!</v>
      </c>
      <c r="AJ139" s="21">
        <f t="shared" si="375"/>
        <v>0.01</v>
      </c>
      <c r="AK139" s="123" t="e">
        <f t="shared" ref="AK139:AK171" si="524">(AH139*(1+AJ139))/($O$1-AJ139)</f>
        <v>#DIV/0!</v>
      </c>
    </row>
    <row r="140" spans="1:37">
      <c r="B140" s="10" t="s">
        <v>266</v>
      </c>
      <c r="C140" s="10"/>
      <c r="D140" s="10"/>
      <c r="E140" s="10"/>
      <c r="F140" s="128"/>
      <c r="G140" s="128">
        <f t="shared" ref="G140" si="525">G59/G25</f>
        <v>0.5955056179775281</v>
      </c>
      <c r="H140" s="128" t="e">
        <f t="shared" ref="H140:I140" si="526">H59/H25</f>
        <v>#DIV/0!</v>
      </c>
      <c r="I140" s="128" t="e">
        <f t="shared" si="526"/>
        <v>#DIV/0!</v>
      </c>
      <c r="J140" s="128" t="e">
        <f t="shared" ref="J140:T140" si="527">J59/J25</f>
        <v>#DIV/0!</v>
      </c>
      <c r="K140" s="128" t="e">
        <f t="shared" si="527"/>
        <v>#DIV/0!</v>
      </c>
      <c r="L140" s="128" t="e">
        <f t="shared" si="527"/>
        <v>#DIV/0!</v>
      </c>
      <c r="M140" s="128" t="e">
        <f t="shared" si="527"/>
        <v>#DIV/0!</v>
      </c>
      <c r="N140" s="128">
        <f t="shared" si="527"/>
        <v>0.5955056179775281</v>
      </c>
      <c r="O140" s="128">
        <f t="shared" si="527"/>
        <v>0.5955056179775281</v>
      </c>
      <c r="P140" s="128">
        <f t="shared" si="527"/>
        <v>0.37344398340248963</v>
      </c>
      <c r="Q140" s="128">
        <f t="shared" si="527"/>
        <v>0.28211586901763225</v>
      </c>
      <c r="R140" s="128">
        <f t="shared" si="527"/>
        <v>0.28219696969696972</v>
      </c>
      <c r="S140" s="128">
        <f t="shared" si="527"/>
        <v>0.296583850931677</v>
      </c>
      <c r="T140" s="128">
        <f t="shared" si="527"/>
        <v>0.29305555555555557</v>
      </c>
      <c r="U140" s="128">
        <f t="shared" ref="U140:V140" si="528">U59/U25</f>
        <v>0.24096385542168675</v>
      </c>
      <c r="V140" s="128">
        <f t="shared" si="528"/>
        <v>0.19917012448132779</v>
      </c>
      <c r="W140" s="101">
        <f t="shared" si="502"/>
        <v>-0.12794818267458263</v>
      </c>
      <c r="X140" s="10"/>
      <c r="Y140" s="128">
        <f t="shared" ref="Y140:AH140" si="529">Y59/Y25</f>
        <v>0.24096385542168675</v>
      </c>
      <c r="Z140" s="128">
        <f t="shared" si="529"/>
        <v>0.24096385542168675</v>
      </c>
      <c r="AA140" s="128">
        <f t="shared" si="529"/>
        <v>0.24096385542168675</v>
      </c>
      <c r="AB140" s="128">
        <f t="shared" si="529"/>
        <v>0.24096385542168675</v>
      </c>
      <c r="AC140" s="128">
        <f t="shared" si="529"/>
        <v>0.24096385542168675</v>
      </c>
      <c r="AD140" s="128">
        <f t="shared" si="529"/>
        <v>0.24096385542168672</v>
      </c>
      <c r="AE140" s="128">
        <f t="shared" si="529"/>
        <v>0.24096385542168675</v>
      </c>
      <c r="AF140" s="128">
        <f t="shared" si="529"/>
        <v>0.24096385542168675</v>
      </c>
      <c r="AG140" s="128">
        <f t="shared" si="529"/>
        <v>0.2409638554216868</v>
      </c>
      <c r="AH140" s="128">
        <f t="shared" si="529"/>
        <v>0.2409638554216868</v>
      </c>
      <c r="AI140" s="115" t="e">
        <f t="shared" si="374"/>
        <v>#DIV/0!</v>
      </c>
      <c r="AJ140" s="21">
        <f t="shared" si="375"/>
        <v>0.01</v>
      </c>
      <c r="AK140" s="123" t="e">
        <f t="shared" si="524"/>
        <v>#DIV/0!</v>
      </c>
    </row>
    <row r="141" spans="1:37">
      <c r="B141" s="10" t="s">
        <v>290</v>
      </c>
      <c r="C141" s="10"/>
      <c r="D141" s="10"/>
      <c r="E141" s="128"/>
      <c r="F141" s="128"/>
      <c r="G141" s="128">
        <f t="shared" ref="G141" si="530">G25/G18</f>
        <v>44.5</v>
      </c>
      <c r="H141" s="128" t="e">
        <f t="shared" ref="H141:I141" si="531">H25/H18</f>
        <v>#DIV/0!</v>
      </c>
      <c r="I141" s="128" t="e">
        <f t="shared" si="531"/>
        <v>#DIV/0!</v>
      </c>
      <c r="J141" s="128" t="e">
        <f t="shared" ref="J141:T141" si="532">J25/J18</f>
        <v>#DIV/0!</v>
      </c>
      <c r="K141" s="128" t="e">
        <f t="shared" si="532"/>
        <v>#DIV/0!</v>
      </c>
      <c r="L141" s="128" t="e">
        <f t="shared" si="532"/>
        <v>#DIV/0!</v>
      </c>
      <c r="M141" s="128" t="e">
        <f t="shared" si="532"/>
        <v>#DIV/0!</v>
      </c>
      <c r="N141" s="128">
        <f t="shared" si="532"/>
        <v>44.5</v>
      </c>
      <c r="O141" s="128">
        <f t="shared" si="532"/>
        <v>44.5</v>
      </c>
      <c r="P141" s="128">
        <f t="shared" si="532"/>
        <v>241</v>
      </c>
      <c r="Q141" s="128">
        <f t="shared" si="532"/>
        <v>397</v>
      </c>
      <c r="R141" s="128">
        <f t="shared" si="532"/>
        <v>528</v>
      </c>
      <c r="S141" s="128">
        <f t="shared" si="532"/>
        <v>214.66666666666666</v>
      </c>
      <c r="T141" s="128">
        <f t="shared" si="532"/>
        <v>80</v>
      </c>
      <c r="U141" s="128">
        <f t="shared" ref="U141:V141" si="533">U25/U18</f>
        <v>15.660377358490566</v>
      </c>
      <c r="V141" s="128">
        <f t="shared" si="533"/>
        <v>22.735849056603772</v>
      </c>
      <c r="W141" s="101">
        <f t="shared" si="502"/>
        <v>-8.0516594215888415E-2</v>
      </c>
      <c r="X141" s="10"/>
      <c r="Y141" s="128">
        <f t="shared" ref="Y141:AH141" si="534">Y25/Y18</f>
        <v>15.660377358490566</v>
      </c>
      <c r="Z141" s="128">
        <f t="shared" si="534"/>
        <v>15.660377358490566</v>
      </c>
      <c r="AA141" s="128">
        <f t="shared" si="534"/>
        <v>15.660377358490564</v>
      </c>
      <c r="AB141" s="128">
        <f t="shared" si="534"/>
        <v>15.660377358490566</v>
      </c>
      <c r="AC141" s="128">
        <f t="shared" si="534"/>
        <v>15.660377358490566</v>
      </c>
      <c r="AD141" s="128">
        <f t="shared" si="534"/>
        <v>15.660377358490567</v>
      </c>
      <c r="AE141" s="128">
        <f t="shared" si="534"/>
        <v>15.660377358490566</v>
      </c>
      <c r="AF141" s="128">
        <f t="shared" si="534"/>
        <v>15.660377358490566</v>
      </c>
      <c r="AG141" s="128">
        <f t="shared" si="534"/>
        <v>15.660377358490564</v>
      </c>
      <c r="AH141" s="128">
        <f t="shared" si="534"/>
        <v>15.660377358490564</v>
      </c>
      <c r="AI141" s="115" t="e">
        <f t="shared" si="374"/>
        <v>#DIV/0!</v>
      </c>
      <c r="AJ141" s="21">
        <f t="shared" si="375"/>
        <v>0.01</v>
      </c>
      <c r="AK141" s="123" t="e">
        <f t="shared" si="524"/>
        <v>#DIV/0!</v>
      </c>
    </row>
    <row r="142" spans="1:37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21"/>
      <c r="W142" s="101" t="e">
        <f t="shared" si="502"/>
        <v>#DIV/0!</v>
      </c>
      <c r="X142" s="10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09"/>
      <c r="AJ142" s="123"/>
      <c r="AK142" s="123"/>
    </row>
    <row r="143" spans="1:37">
      <c r="B143" s="10" t="s">
        <v>278</v>
      </c>
      <c r="C143" s="10"/>
      <c r="D143" s="10"/>
      <c r="E143" s="138"/>
      <c r="F143" s="138"/>
      <c r="G143" s="138">
        <f t="shared" ref="G143" si="535">G92*G61</f>
        <v>7.74</v>
      </c>
      <c r="H143" s="138">
        <f t="shared" ref="H143:I143" si="536">H92*H61</f>
        <v>0</v>
      </c>
      <c r="I143" s="138">
        <f t="shared" si="536"/>
        <v>0</v>
      </c>
      <c r="J143" s="138">
        <f t="shared" ref="J143:T143" si="537">J92*J61</f>
        <v>0</v>
      </c>
      <c r="K143" s="138">
        <f t="shared" si="537"/>
        <v>0</v>
      </c>
      <c r="L143" s="138">
        <f t="shared" si="537"/>
        <v>0</v>
      </c>
      <c r="M143" s="138">
        <f t="shared" si="537"/>
        <v>0</v>
      </c>
      <c r="N143" s="138">
        <f t="shared" si="537"/>
        <v>7.74</v>
      </c>
      <c r="O143" s="138" t="e">
        <f t="shared" si="537"/>
        <v>#VALUE!</v>
      </c>
      <c r="P143" s="138" t="e">
        <f t="shared" si="537"/>
        <v>#VALUE!</v>
      </c>
      <c r="Q143" s="138" t="e">
        <f t="shared" si="537"/>
        <v>#VALUE!</v>
      </c>
      <c r="R143" s="138" t="e">
        <f t="shared" si="537"/>
        <v>#VALUE!</v>
      </c>
      <c r="S143" s="138" t="e">
        <f t="shared" si="537"/>
        <v>#VALUE!</v>
      </c>
      <c r="T143" s="138" t="e">
        <f t="shared" si="537"/>
        <v>#VALUE!</v>
      </c>
      <c r="U143" s="138">
        <f t="shared" ref="U143:V143" si="538">U92*U61</f>
        <v>9.23</v>
      </c>
      <c r="V143" s="138">
        <f t="shared" si="538"/>
        <v>9.23</v>
      </c>
      <c r="W143" s="101">
        <f t="shared" si="502"/>
        <v>2.2251114101329517E-2</v>
      </c>
      <c r="X143" s="10"/>
      <c r="Y143" s="138">
        <f t="shared" ref="Y143:AH143" si="539">Y92*Y61</f>
        <v>9.6028920000000006</v>
      </c>
      <c r="Z143" s="138">
        <f t="shared" si="539"/>
        <v>9.9908488368000015</v>
      </c>
      <c r="AA143" s="138">
        <f t="shared" si="539"/>
        <v>10.394479129806721</v>
      </c>
      <c r="AB143" s="138">
        <f t="shared" si="539"/>
        <v>10.814416086650914</v>
      </c>
      <c r="AC143" s="138">
        <f t="shared" si="539"/>
        <v>11.251318496551612</v>
      </c>
      <c r="AD143" s="138">
        <f t="shared" si="539"/>
        <v>11.705871763812297</v>
      </c>
      <c r="AE143" s="138">
        <f t="shared" si="539"/>
        <v>12.178788983070314</v>
      </c>
      <c r="AF143" s="138">
        <f t="shared" si="539"/>
        <v>12.670812057986355</v>
      </c>
      <c r="AG143" s="138">
        <f t="shared" si="539"/>
        <v>13.182712865129002</v>
      </c>
      <c r="AH143" s="138">
        <f t="shared" si="539"/>
        <v>13.715294464880214</v>
      </c>
      <c r="AI143" s="115" t="e">
        <f t="shared" si="374"/>
        <v>#DIV/0!</v>
      </c>
      <c r="AJ143" s="21">
        <f t="shared" si="375"/>
        <v>0.01</v>
      </c>
      <c r="AK143" s="123" t="e">
        <f t="shared" si="524"/>
        <v>#DIV/0!</v>
      </c>
    </row>
    <row r="144" spans="1:37">
      <c r="B144" s="10" t="s">
        <v>279</v>
      </c>
      <c r="C144" s="10"/>
      <c r="D144" s="10"/>
      <c r="E144" s="138"/>
      <c r="F144" s="138"/>
      <c r="G144" s="138">
        <f t="shared" ref="G144" si="540">(G143*0.17)+G143</f>
        <v>9.0557999999999996</v>
      </c>
      <c r="H144" s="138">
        <f t="shared" ref="H144:I144" si="541">(H143*0.17)+H143</f>
        <v>0</v>
      </c>
      <c r="I144" s="138">
        <f t="shared" si="541"/>
        <v>0</v>
      </c>
      <c r="J144" s="138">
        <f t="shared" ref="J144:S144" si="542">(J143*0.17)+J143</f>
        <v>0</v>
      </c>
      <c r="K144" s="138">
        <f t="shared" si="542"/>
        <v>0</v>
      </c>
      <c r="L144" s="138">
        <f t="shared" si="542"/>
        <v>0</v>
      </c>
      <c r="M144" s="138">
        <f t="shared" si="542"/>
        <v>0</v>
      </c>
      <c r="N144" s="138">
        <f t="shared" si="542"/>
        <v>9.0557999999999996</v>
      </c>
      <c r="O144" s="138" t="e">
        <f t="shared" si="542"/>
        <v>#VALUE!</v>
      </c>
      <c r="P144" s="138" t="e">
        <f t="shared" si="542"/>
        <v>#VALUE!</v>
      </c>
      <c r="Q144" s="138" t="e">
        <f t="shared" si="542"/>
        <v>#VALUE!</v>
      </c>
      <c r="R144" s="138" t="e">
        <f t="shared" si="542"/>
        <v>#VALUE!</v>
      </c>
      <c r="S144" s="138" t="e">
        <f t="shared" si="542"/>
        <v>#VALUE!</v>
      </c>
      <c r="T144" s="138" t="e">
        <f t="shared" ref="T144:U144" si="543">(T143*0.17)+T143</f>
        <v>#VALUE!</v>
      </c>
      <c r="U144" s="138">
        <f t="shared" si="543"/>
        <v>10.799100000000001</v>
      </c>
      <c r="V144" s="138">
        <f t="shared" ref="V144" si="544">(V143*0.17)+V143</f>
        <v>10.799100000000001</v>
      </c>
      <c r="W144" s="101">
        <f t="shared" si="502"/>
        <v>2.2251114101329517E-2</v>
      </c>
      <c r="X144" s="10"/>
      <c r="Y144" s="138">
        <f t="shared" ref="Y144:AH144" si="545">(Y143*0.17)+Y143</f>
        <v>11.23538364</v>
      </c>
      <c r="Z144" s="138">
        <f t="shared" si="545"/>
        <v>11.689293139056002</v>
      </c>
      <c r="AA144" s="138">
        <f t="shared" si="545"/>
        <v>12.161540581873863</v>
      </c>
      <c r="AB144" s="138">
        <f t="shared" si="545"/>
        <v>12.652866821381568</v>
      </c>
      <c r="AC144" s="138">
        <f t="shared" si="545"/>
        <v>13.164042640965386</v>
      </c>
      <c r="AD144" s="138">
        <f t="shared" si="545"/>
        <v>13.695869963660387</v>
      </c>
      <c r="AE144" s="138">
        <f t="shared" si="545"/>
        <v>14.249183110192268</v>
      </c>
      <c r="AF144" s="138">
        <f t="shared" si="545"/>
        <v>14.824850107844036</v>
      </c>
      <c r="AG144" s="138">
        <f t="shared" si="545"/>
        <v>15.423774052200933</v>
      </c>
      <c r="AH144" s="138">
        <f t="shared" si="545"/>
        <v>16.046894523909852</v>
      </c>
      <c r="AI144" s="115" t="e">
        <f t="shared" si="374"/>
        <v>#DIV/0!</v>
      </c>
      <c r="AJ144" s="21">
        <f t="shared" si="375"/>
        <v>0.01</v>
      </c>
      <c r="AK144" s="123" t="e">
        <f t="shared" si="524"/>
        <v>#DIV/0!</v>
      </c>
    </row>
    <row r="145" spans="2:37">
      <c r="B145" s="10" t="s">
        <v>280</v>
      </c>
      <c r="C145" s="10"/>
      <c r="D145" s="10"/>
      <c r="E145" s="10"/>
      <c r="F145" s="128"/>
      <c r="G145" s="128">
        <f t="shared" ref="G145" si="546">G144/G59</f>
        <v>0.17086415094339621</v>
      </c>
      <c r="H145" s="128" t="e">
        <f t="shared" ref="H145:I145" si="547">H144/H59</f>
        <v>#DIV/0!</v>
      </c>
      <c r="I145" s="128" t="e">
        <f t="shared" si="547"/>
        <v>#DIV/0!</v>
      </c>
      <c r="J145" s="128" t="e">
        <f t="shared" ref="J145:T145" si="548">J144/J59</f>
        <v>#DIV/0!</v>
      </c>
      <c r="K145" s="128" t="e">
        <f t="shared" si="548"/>
        <v>#DIV/0!</v>
      </c>
      <c r="L145" s="128" t="e">
        <f t="shared" si="548"/>
        <v>#DIV/0!</v>
      </c>
      <c r="M145" s="128" t="e">
        <f t="shared" si="548"/>
        <v>#DIV/0!</v>
      </c>
      <c r="N145" s="128">
        <f t="shared" si="548"/>
        <v>0.17086415094339621</v>
      </c>
      <c r="O145" s="128" t="e">
        <f t="shared" si="548"/>
        <v>#VALUE!</v>
      </c>
      <c r="P145" s="128" t="e">
        <f t="shared" si="548"/>
        <v>#VALUE!</v>
      </c>
      <c r="Q145" s="128" t="e">
        <f t="shared" si="548"/>
        <v>#VALUE!</v>
      </c>
      <c r="R145" s="128" t="e">
        <f t="shared" si="548"/>
        <v>#VALUE!</v>
      </c>
      <c r="S145" s="128" t="e">
        <f t="shared" si="548"/>
        <v>#VALUE!</v>
      </c>
      <c r="T145" s="128" t="e">
        <f t="shared" si="548"/>
        <v>#VALUE!</v>
      </c>
      <c r="U145" s="128">
        <f t="shared" ref="U145:V145" si="549">U144/U59</f>
        <v>5.3995500000000002E-2</v>
      </c>
      <c r="V145" s="128">
        <f t="shared" si="549"/>
        <v>4.4996250000000002E-2</v>
      </c>
      <c r="W145" s="101">
        <f t="shared" si="502"/>
        <v>-0.15361945701549184</v>
      </c>
      <c r="X145" s="10"/>
      <c r="Y145" s="128">
        <f t="shared" ref="Y145:AH145" si="550">Y144/Y59</f>
        <v>4.8849494086956526E-2</v>
      </c>
      <c r="Z145" s="128">
        <f t="shared" si="550"/>
        <v>4.4193924911364854E-2</v>
      </c>
      <c r="AA145" s="128">
        <f t="shared" si="550"/>
        <v>3.9982051719812173E-2</v>
      </c>
      <c r="AB145" s="128">
        <f t="shared" si="550"/>
        <v>3.61715883559066E-2</v>
      </c>
      <c r="AC145" s="128">
        <f t="shared" si="550"/>
        <v>3.2724278717813249E-2</v>
      </c>
      <c r="AD145" s="128">
        <f t="shared" si="550"/>
        <v>2.9605512676532962E-2</v>
      </c>
      <c r="AE145" s="128">
        <f t="shared" si="550"/>
        <v>2.6783978598839041E-2</v>
      </c>
      <c r="AF145" s="128">
        <f t="shared" si="550"/>
        <v>2.4231348986288818E-2</v>
      </c>
      <c r="AG145" s="128">
        <f t="shared" si="550"/>
        <v>2.1921996074204246E-2</v>
      </c>
      <c r="AH145" s="128">
        <f t="shared" si="550"/>
        <v>1.9832734535306176E-2</v>
      </c>
      <c r="AI145" s="115" t="e">
        <f t="shared" si="374"/>
        <v>#DIV/0!</v>
      </c>
      <c r="AJ145" s="21">
        <f t="shared" si="375"/>
        <v>0.01</v>
      </c>
      <c r="AK145" s="123" t="e">
        <f t="shared" si="524"/>
        <v>#DIV/0!</v>
      </c>
    </row>
    <row r="146" spans="2:37">
      <c r="B146" s="10" t="s">
        <v>273</v>
      </c>
      <c r="C146" s="10"/>
      <c r="D146" s="10"/>
      <c r="E146" s="10"/>
      <c r="F146" s="128"/>
      <c r="G146" s="128">
        <f t="shared" ref="G146" si="551">1-G145</f>
        <v>0.82913584905660376</v>
      </c>
      <c r="H146" s="128" t="e">
        <f t="shared" ref="H146:I146" si="552">1-H145</f>
        <v>#DIV/0!</v>
      </c>
      <c r="I146" s="128" t="e">
        <f t="shared" si="552"/>
        <v>#DIV/0!</v>
      </c>
      <c r="J146" s="128" t="e">
        <f>1-J145</f>
        <v>#DIV/0!</v>
      </c>
      <c r="K146" s="128" t="e">
        <f t="shared" ref="K146:S146" si="553">1-K145</f>
        <v>#DIV/0!</v>
      </c>
      <c r="L146" s="128" t="e">
        <f t="shared" si="553"/>
        <v>#DIV/0!</v>
      </c>
      <c r="M146" s="128" t="e">
        <f t="shared" si="553"/>
        <v>#DIV/0!</v>
      </c>
      <c r="N146" s="128">
        <f t="shared" si="553"/>
        <v>0.82913584905660376</v>
      </c>
      <c r="O146" s="128" t="e">
        <f t="shared" si="553"/>
        <v>#VALUE!</v>
      </c>
      <c r="P146" s="128" t="e">
        <f t="shared" si="553"/>
        <v>#VALUE!</v>
      </c>
      <c r="Q146" s="128" t="e">
        <f t="shared" si="553"/>
        <v>#VALUE!</v>
      </c>
      <c r="R146" s="128" t="e">
        <f t="shared" si="553"/>
        <v>#VALUE!</v>
      </c>
      <c r="S146" s="128" t="e">
        <f t="shared" si="553"/>
        <v>#VALUE!</v>
      </c>
      <c r="T146" s="128" t="e">
        <f t="shared" ref="T146:U146" si="554">1-T145</f>
        <v>#VALUE!</v>
      </c>
      <c r="U146" s="128">
        <f t="shared" si="554"/>
        <v>0.94600450000000003</v>
      </c>
      <c r="V146" s="128">
        <f t="shared" ref="V146" si="555">1-V145</f>
        <v>0.95500375000000004</v>
      </c>
      <c r="W146" s="101">
        <f t="shared" si="502"/>
        <v>1.7823380799516064E-2</v>
      </c>
      <c r="X146" s="10"/>
      <c r="Y146" s="128">
        <f t="shared" ref="Y146:AH146" si="556">1-Y145</f>
        <v>0.95115050591304351</v>
      </c>
      <c r="Z146" s="128">
        <f t="shared" si="556"/>
        <v>0.95580607508863513</v>
      </c>
      <c r="AA146" s="128">
        <f t="shared" si="556"/>
        <v>0.96001794828018783</v>
      </c>
      <c r="AB146" s="128">
        <f t="shared" si="556"/>
        <v>0.96382841164409339</v>
      </c>
      <c r="AC146" s="128">
        <f t="shared" si="556"/>
        <v>0.96727572128218675</v>
      </c>
      <c r="AD146" s="128">
        <f t="shared" si="556"/>
        <v>0.970394487323467</v>
      </c>
      <c r="AE146" s="128">
        <f t="shared" si="556"/>
        <v>0.97321602140116092</v>
      </c>
      <c r="AF146" s="128">
        <f t="shared" si="556"/>
        <v>0.97576865101371113</v>
      </c>
      <c r="AG146" s="128">
        <f t="shared" si="556"/>
        <v>0.9780780039257958</v>
      </c>
      <c r="AH146" s="128">
        <f t="shared" si="556"/>
        <v>0.98016726546469379</v>
      </c>
      <c r="AI146" s="115" t="e">
        <f t="shared" si="374"/>
        <v>#DIV/0!</v>
      </c>
      <c r="AJ146" s="21">
        <f t="shared" si="375"/>
        <v>0.01</v>
      </c>
      <c r="AK146" s="123" t="e">
        <f t="shared" si="524"/>
        <v>#DIV/0!</v>
      </c>
    </row>
    <row r="147" spans="2:37">
      <c r="B147" s="10" t="s">
        <v>392</v>
      </c>
      <c r="C147" s="10"/>
      <c r="D147" s="10"/>
      <c r="E147" s="10"/>
      <c r="F147" s="128"/>
      <c r="G147" s="128" t="e">
        <f t="shared" ref="G147" si="557">G144/G20</f>
        <v>#DIV/0!</v>
      </c>
      <c r="H147" s="128" t="e">
        <f t="shared" ref="H147:I147" si="558">H144/H20</f>
        <v>#DIV/0!</v>
      </c>
      <c r="I147" s="128" t="e">
        <f t="shared" si="558"/>
        <v>#DIV/0!</v>
      </c>
      <c r="J147" s="128" t="e">
        <f t="shared" ref="J147:T147" si="559">J144/J20</f>
        <v>#DIV/0!</v>
      </c>
      <c r="K147" s="128" t="e">
        <f t="shared" si="559"/>
        <v>#DIV/0!</v>
      </c>
      <c r="L147" s="128" t="e">
        <f t="shared" si="559"/>
        <v>#DIV/0!</v>
      </c>
      <c r="M147" s="128" t="e">
        <f t="shared" si="559"/>
        <v>#DIV/0!</v>
      </c>
      <c r="N147" s="128" t="e">
        <f t="shared" si="559"/>
        <v>#DIV/0!</v>
      </c>
      <c r="O147" s="128" t="e">
        <f t="shared" si="559"/>
        <v>#VALUE!</v>
      </c>
      <c r="P147" s="128" t="e">
        <f t="shared" si="559"/>
        <v>#VALUE!</v>
      </c>
      <c r="Q147" s="128" t="e">
        <f t="shared" si="559"/>
        <v>#VALUE!</v>
      </c>
      <c r="R147" s="128" t="e">
        <f t="shared" si="559"/>
        <v>#VALUE!</v>
      </c>
      <c r="S147" s="128" t="e">
        <f t="shared" si="559"/>
        <v>#VALUE!</v>
      </c>
      <c r="T147" s="128" t="e">
        <f t="shared" si="559"/>
        <v>#VALUE!</v>
      </c>
      <c r="U147" s="128" t="e">
        <f t="shared" ref="U147:V147" si="560">U144/U20</f>
        <v>#DIV/0!</v>
      </c>
      <c r="V147" s="128" t="e">
        <f t="shared" si="560"/>
        <v>#DIV/0!</v>
      </c>
      <c r="W147" s="101" t="e">
        <f t="shared" si="502"/>
        <v>#DIV/0!</v>
      </c>
      <c r="X147" s="10"/>
      <c r="Y147" s="128" t="e">
        <f t="shared" ref="Y147:AH147" si="561">Y144/Y20</f>
        <v>#DIV/0!</v>
      </c>
      <c r="Z147" s="128" t="e">
        <f t="shared" si="561"/>
        <v>#DIV/0!</v>
      </c>
      <c r="AA147" s="128" t="e">
        <f t="shared" si="561"/>
        <v>#DIV/0!</v>
      </c>
      <c r="AB147" s="128" t="e">
        <f t="shared" si="561"/>
        <v>#DIV/0!</v>
      </c>
      <c r="AC147" s="128" t="e">
        <f t="shared" si="561"/>
        <v>#DIV/0!</v>
      </c>
      <c r="AD147" s="128" t="e">
        <f t="shared" si="561"/>
        <v>#DIV/0!</v>
      </c>
      <c r="AE147" s="128" t="e">
        <f t="shared" si="561"/>
        <v>#DIV/0!</v>
      </c>
      <c r="AF147" s="128" t="e">
        <f t="shared" si="561"/>
        <v>#DIV/0!</v>
      </c>
      <c r="AG147" s="128" t="e">
        <f t="shared" si="561"/>
        <v>#DIV/0!</v>
      </c>
      <c r="AH147" s="128" t="e">
        <f t="shared" si="561"/>
        <v>#DIV/0!</v>
      </c>
      <c r="AI147" s="115" t="e">
        <f t="shared" si="374"/>
        <v>#DIV/0!</v>
      </c>
      <c r="AJ147" s="21">
        <f t="shared" si="375"/>
        <v>0.01</v>
      </c>
      <c r="AK147" s="123" t="e">
        <f t="shared" si="524"/>
        <v>#DIV/0!</v>
      </c>
    </row>
    <row r="148" spans="2:37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21"/>
      <c r="W148" s="101" t="e">
        <f t="shared" si="502"/>
        <v>#DIV/0!</v>
      </c>
      <c r="X148" s="10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09"/>
      <c r="AJ148" s="123"/>
      <c r="AK148" s="123"/>
    </row>
    <row r="149" spans="2:37">
      <c r="B149" s="10" t="s">
        <v>277</v>
      </c>
      <c r="C149" s="128"/>
      <c r="D149" s="128"/>
      <c r="E149" s="128"/>
      <c r="F149" s="128"/>
      <c r="G149" s="128">
        <f t="shared" ref="G149" si="562">G31/G25</f>
        <v>0</v>
      </c>
      <c r="H149" s="128" t="e">
        <f t="shared" ref="H149:I149" si="563">H31/H25</f>
        <v>#DIV/0!</v>
      </c>
      <c r="I149" s="128" t="e">
        <f t="shared" si="563"/>
        <v>#DIV/0!</v>
      </c>
      <c r="J149" s="128" t="e">
        <f t="shared" ref="J149:T149" si="564">J31/J25</f>
        <v>#DIV/0!</v>
      </c>
      <c r="K149" s="128" t="e">
        <f t="shared" si="564"/>
        <v>#DIV/0!</v>
      </c>
      <c r="L149" s="128" t="e">
        <f t="shared" si="564"/>
        <v>#DIV/0!</v>
      </c>
      <c r="M149" s="128" t="e">
        <f t="shared" si="564"/>
        <v>#DIV/0!</v>
      </c>
      <c r="N149" s="128">
        <f t="shared" si="564"/>
        <v>0</v>
      </c>
      <c r="O149" s="128">
        <f t="shared" si="564"/>
        <v>0</v>
      </c>
      <c r="P149" s="128">
        <f t="shared" si="564"/>
        <v>0</v>
      </c>
      <c r="Q149" s="128">
        <f t="shared" si="564"/>
        <v>0</v>
      </c>
      <c r="R149" s="128">
        <f t="shared" si="564"/>
        <v>0</v>
      </c>
      <c r="S149" s="128">
        <f t="shared" si="564"/>
        <v>0</v>
      </c>
      <c r="T149" s="128">
        <f t="shared" si="564"/>
        <v>0</v>
      </c>
      <c r="U149" s="128">
        <f t="shared" ref="U149:V149" si="565">U31/U25</f>
        <v>0</v>
      </c>
      <c r="V149" s="128">
        <f t="shared" si="565"/>
        <v>0</v>
      </c>
      <c r="W149" s="101" t="e">
        <f t="shared" si="502"/>
        <v>#DIV/0!</v>
      </c>
      <c r="X149" s="10"/>
      <c r="Y149" s="128">
        <f t="shared" ref="Y149:AH149" si="566">Y31/Y25</f>
        <v>0</v>
      </c>
      <c r="Z149" s="128">
        <f t="shared" si="566"/>
        <v>0</v>
      </c>
      <c r="AA149" s="128">
        <f t="shared" si="566"/>
        <v>0</v>
      </c>
      <c r="AB149" s="128">
        <f t="shared" si="566"/>
        <v>0</v>
      </c>
      <c r="AC149" s="128">
        <f t="shared" si="566"/>
        <v>0</v>
      </c>
      <c r="AD149" s="128">
        <f t="shared" si="566"/>
        <v>0</v>
      </c>
      <c r="AE149" s="128">
        <f t="shared" si="566"/>
        <v>0</v>
      </c>
      <c r="AF149" s="128">
        <f t="shared" si="566"/>
        <v>0</v>
      </c>
      <c r="AG149" s="128">
        <f t="shared" si="566"/>
        <v>0</v>
      </c>
      <c r="AH149" s="128">
        <f t="shared" si="566"/>
        <v>0</v>
      </c>
      <c r="AI149" s="115" t="e">
        <f t="shared" si="374"/>
        <v>#DIV/0!</v>
      </c>
      <c r="AJ149" s="21">
        <f t="shared" si="375"/>
        <v>0.01</v>
      </c>
      <c r="AK149" s="123" t="e">
        <f t="shared" si="524"/>
        <v>#DIV/0!</v>
      </c>
    </row>
    <row r="150" spans="2:37">
      <c r="B150" s="10" t="s">
        <v>274</v>
      </c>
      <c r="C150" s="128"/>
      <c r="D150" s="128"/>
      <c r="E150" s="128"/>
      <c r="F150" s="128"/>
      <c r="G150" s="128">
        <f t="shared" ref="G150" si="567">G32/G25</f>
        <v>0</v>
      </c>
      <c r="H150" s="128" t="e">
        <f t="shared" ref="H150:I150" si="568">H32/H25</f>
        <v>#DIV/0!</v>
      </c>
      <c r="I150" s="128" t="e">
        <f t="shared" si="568"/>
        <v>#DIV/0!</v>
      </c>
      <c r="J150" s="128" t="e">
        <f t="shared" ref="J150:T150" si="569">J32/J25</f>
        <v>#DIV/0!</v>
      </c>
      <c r="K150" s="128" t="e">
        <f t="shared" si="569"/>
        <v>#DIV/0!</v>
      </c>
      <c r="L150" s="128" t="e">
        <f t="shared" si="569"/>
        <v>#DIV/0!</v>
      </c>
      <c r="M150" s="128" t="e">
        <f t="shared" si="569"/>
        <v>#DIV/0!</v>
      </c>
      <c r="N150" s="128">
        <f t="shared" si="569"/>
        <v>0</v>
      </c>
      <c r="O150" s="128">
        <f t="shared" si="569"/>
        <v>0</v>
      </c>
      <c r="P150" s="128">
        <f t="shared" si="569"/>
        <v>0</v>
      </c>
      <c r="Q150" s="128">
        <f t="shared" si="569"/>
        <v>0</v>
      </c>
      <c r="R150" s="128">
        <f t="shared" si="569"/>
        <v>0</v>
      </c>
      <c r="S150" s="128">
        <f t="shared" si="569"/>
        <v>0</v>
      </c>
      <c r="T150" s="128">
        <f t="shared" si="569"/>
        <v>0</v>
      </c>
      <c r="U150" s="128">
        <f t="shared" ref="U150:V150" si="570">U32/U25</f>
        <v>0</v>
      </c>
      <c r="V150" s="128">
        <f t="shared" si="570"/>
        <v>0</v>
      </c>
      <c r="W150" s="101" t="e">
        <f t="shared" si="502"/>
        <v>#DIV/0!</v>
      </c>
      <c r="X150" s="10"/>
      <c r="Y150" s="128">
        <f t="shared" ref="Y150:AH150" si="571">Y32/Y25</f>
        <v>0</v>
      </c>
      <c r="Z150" s="128">
        <f t="shared" si="571"/>
        <v>0</v>
      </c>
      <c r="AA150" s="128">
        <f t="shared" si="571"/>
        <v>0</v>
      </c>
      <c r="AB150" s="128">
        <f t="shared" si="571"/>
        <v>0</v>
      </c>
      <c r="AC150" s="128">
        <f t="shared" si="571"/>
        <v>0</v>
      </c>
      <c r="AD150" s="128">
        <f t="shared" si="571"/>
        <v>0</v>
      </c>
      <c r="AE150" s="128">
        <f t="shared" si="571"/>
        <v>0</v>
      </c>
      <c r="AF150" s="128">
        <f t="shared" si="571"/>
        <v>0</v>
      </c>
      <c r="AG150" s="128">
        <f t="shared" si="571"/>
        <v>0</v>
      </c>
      <c r="AH150" s="128">
        <f t="shared" si="571"/>
        <v>0</v>
      </c>
      <c r="AI150" s="115" t="e">
        <f t="shared" si="374"/>
        <v>#DIV/0!</v>
      </c>
      <c r="AJ150" s="21">
        <f t="shared" si="375"/>
        <v>0.01</v>
      </c>
      <c r="AK150" s="123" t="e">
        <f t="shared" si="524"/>
        <v>#DIV/0!</v>
      </c>
    </row>
    <row r="151" spans="2:37">
      <c r="B151" s="10" t="s">
        <v>399</v>
      </c>
      <c r="C151" s="128"/>
      <c r="D151" s="128"/>
      <c r="E151" s="128"/>
      <c r="F151" s="128"/>
      <c r="G151" s="128">
        <f t="shared" ref="G151" si="572">(G31+G32)/G25</f>
        <v>0</v>
      </c>
      <c r="H151" s="128" t="e">
        <f t="shared" ref="H151:I151" si="573">(H31+H32)/H25</f>
        <v>#DIV/0!</v>
      </c>
      <c r="I151" s="128" t="e">
        <f t="shared" si="573"/>
        <v>#DIV/0!</v>
      </c>
      <c r="J151" s="128" t="e">
        <f t="shared" ref="J151:T151" si="574">(J31+J32)/J25</f>
        <v>#DIV/0!</v>
      </c>
      <c r="K151" s="128" t="e">
        <f t="shared" si="574"/>
        <v>#DIV/0!</v>
      </c>
      <c r="L151" s="128" t="e">
        <f t="shared" si="574"/>
        <v>#DIV/0!</v>
      </c>
      <c r="M151" s="128" t="e">
        <f t="shared" si="574"/>
        <v>#DIV/0!</v>
      </c>
      <c r="N151" s="128">
        <f t="shared" si="574"/>
        <v>0</v>
      </c>
      <c r="O151" s="128">
        <f t="shared" si="574"/>
        <v>0</v>
      </c>
      <c r="P151" s="128">
        <f t="shared" si="574"/>
        <v>0</v>
      </c>
      <c r="Q151" s="128">
        <f t="shared" si="574"/>
        <v>0</v>
      </c>
      <c r="R151" s="128">
        <f t="shared" si="574"/>
        <v>0</v>
      </c>
      <c r="S151" s="128">
        <f t="shared" si="574"/>
        <v>0</v>
      </c>
      <c r="T151" s="128">
        <f t="shared" si="574"/>
        <v>0</v>
      </c>
      <c r="U151" s="128">
        <f t="shared" ref="U151:V151" si="575">(U31+U32)/U25</f>
        <v>0</v>
      </c>
      <c r="V151" s="128">
        <f t="shared" si="575"/>
        <v>0</v>
      </c>
      <c r="W151" s="101" t="e">
        <f t="shared" si="502"/>
        <v>#DIV/0!</v>
      </c>
      <c r="X151" s="10"/>
      <c r="Y151" s="128">
        <f t="shared" ref="Y151:AH151" si="576">(Y31+Y32)/Y25</f>
        <v>0</v>
      </c>
      <c r="Z151" s="128">
        <f t="shared" si="576"/>
        <v>0</v>
      </c>
      <c r="AA151" s="128">
        <f t="shared" si="576"/>
        <v>0</v>
      </c>
      <c r="AB151" s="128">
        <f t="shared" si="576"/>
        <v>0</v>
      </c>
      <c r="AC151" s="128">
        <f t="shared" si="576"/>
        <v>0</v>
      </c>
      <c r="AD151" s="128">
        <f t="shared" si="576"/>
        <v>0</v>
      </c>
      <c r="AE151" s="128">
        <f t="shared" si="576"/>
        <v>0</v>
      </c>
      <c r="AF151" s="128">
        <f t="shared" si="576"/>
        <v>0</v>
      </c>
      <c r="AG151" s="128">
        <f t="shared" si="576"/>
        <v>0</v>
      </c>
      <c r="AH151" s="128">
        <f t="shared" si="576"/>
        <v>0</v>
      </c>
      <c r="AI151" s="115" t="e">
        <f t="shared" si="374"/>
        <v>#DIV/0!</v>
      </c>
      <c r="AJ151" s="21">
        <f t="shared" si="375"/>
        <v>0.01</v>
      </c>
      <c r="AK151" s="123" t="e">
        <f t="shared" si="524"/>
        <v>#DIV/0!</v>
      </c>
    </row>
    <row r="152" spans="2:37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21"/>
      <c r="W152" s="101" t="e">
        <f t="shared" si="502"/>
        <v>#DIV/0!</v>
      </c>
      <c r="X152" s="10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09"/>
      <c r="AJ152" s="123"/>
      <c r="AK152" s="123"/>
    </row>
    <row r="153" spans="2:37">
      <c r="B153" s="10" t="s">
        <v>296</v>
      </c>
      <c r="C153" s="10"/>
      <c r="D153" s="10"/>
      <c r="E153" s="10"/>
      <c r="F153" s="128"/>
      <c r="G153" s="128">
        <f t="shared" ref="G153" si="577">G27/G25</f>
        <v>0.33707865168539325</v>
      </c>
      <c r="H153" s="128" t="e">
        <f t="shared" ref="H153:I153" si="578">H27/H25</f>
        <v>#DIV/0!</v>
      </c>
      <c r="I153" s="128" t="e">
        <f t="shared" si="578"/>
        <v>#DIV/0!</v>
      </c>
      <c r="J153" s="128" t="e">
        <f t="shared" ref="J153:T153" si="579">J27/J25</f>
        <v>#DIV/0!</v>
      </c>
      <c r="K153" s="128" t="e">
        <f t="shared" si="579"/>
        <v>#DIV/0!</v>
      </c>
      <c r="L153" s="128" t="e">
        <f t="shared" si="579"/>
        <v>#DIV/0!</v>
      </c>
      <c r="M153" s="128" t="e">
        <f t="shared" si="579"/>
        <v>#DIV/0!</v>
      </c>
      <c r="N153" s="128">
        <f t="shared" si="579"/>
        <v>0.33707865168539325</v>
      </c>
      <c r="O153" s="128">
        <f t="shared" si="579"/>
        <v>0.33707865168539325</v>
      </c>
      <c r="P153" s="128">
        <f t="shared" si="579"/>
        <v>0.13278008298755187</v>
      </c>
      <c r="Q153" s="128">
        <f t="shared" si="579"/>
        <v>8.3123425692695208E-2</v>
      </c>
      <c r="R153" s="128">
        <f t="shared" si="579"/>
        <v>7.575757575757576E-2</v>
      </c>
      <c r="S153" s="128">
        <f t="shared" si="579"/>
        <v>9.0062111801242239E-2</v>
      </c>
      <c r="T153" s="128">
        <f t="shared" si="579"/>
        <v>9.7222222222222224E-2</v>
      </c>
      <c r="U153" s="128">
        <f t="shared" ref="U153:V153" si="580">U27/U25</f>
        <v>0.15903614457831325</v>
      </c>
      <c r="V153" s="128">
        <f t="shared" si="580"/>
        <v>0.2074688796680498</v>
      </c>
      <c r="W153" s="101">
        <f t="shared" si="502"/>
        <v>-5.8863289214394765E-2</v>
      </c>
      <c r="X153" s="10"/>
      <c r="Y153" s="128">
        <f t="shared" ref="Y153:AH153" si="581">Y27/Y25</f>
        <v>0.15903614457831325</v>
      </c>
      <c r="Z153" s="128">
        <f t="shared" si="581"/>
        <v>0.15903614457831325</v>
      </c>
      <c r="AA153" s="128">
        <f t="shared" si="581"/>
        <v>0.15903614457831328</v>
      </c>
      <c r="AB153" s="128">
        <f t="shared" si="581"/>
        <v>0.15903614457831325</v>
      </c>
      <c r="AC153" s="128">
        <f t="shared" si="581"/>
        <v>0.15903614457831325</v>
      </c>
      <c r="AD153" s="128">
        <f t="shared" si="581"/>
        <v>0.15903614457831325</v>
      </c>
      <c r="AE153" s="128">
        <f t="shared" si="581"/>
        <v>0.15903614457831328</v>
      </c>
      <c r="AF153" s="128">
        <f t="shared" si="581"/>
        <v>0.1590361445783133</v>
      </c>
      <c r="AG153" s="128">
        <f t="shared" si="581"/>
        <v>0.1590361445783133</v>
      </c>
      <c r="AH153" s="128">
        <f t="shared" si="581"/>
        <v>0.15903614457831333</v>
      </c>
      <c r="AI153" s="115" t="e">
        <f t="shared" si="374"/>
        <v>#DIV/0!</v>
      </c>
      <c r="AJ153" s="21">
        <f t="shared" si="375"/>
        <v>0.01</v>
      </c>
      <c r="AK153" s="123" t="e">
        <f t="shared" si="524"/>
        <v>#DIV/0!</v>
      </c>
    </row>
    <row r="154" spans="2:37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582">G33/G25</f>
        <v>3.3707865168539327E-3</v>
      </c>
      <c r="H154" s="128" t="e">
        <f t="shared" ref="H154:I154" si="583">H33/H25</f>
        <v>#DIV/0!</v>
      </c>
      <c r="I154" s="128" t="e">
        <f t="shared" si="583"/>
        <v>#DIV/0!</v>
      </c>
      <c r="J154" s="128" t="e">
        <f t="shared" ref="J154:T154" si="584">J33/J25</f>
        <v>#DIV/0!</v>
      </c>
      <c r="K154" s="128" t="e">
        <f t="shared" si="584"/>
        <v>#DIV/0!</v>
      </c>
      <c r="L154" s="128" t="e">
        <f t="shared" si="584"/>
        <v>#DIV/0!</v>
      </c>
      <c r="M154" s="128" t="e">
        <f t="shared" si="584"/>
        <v>#DIV/0!</v>
      </c>
      <c r="N154" s="128">
        <f t="shared" si="584"/>
        <v>3.3707865168539327E-3</v>
      </c>
      <c r="O154" s="128">
        <f t="shared" si="584"/>
        <v>3.3707865168539327E-3</v>
      </c>
      <c r="P154" s="128">
        <f t="shared" si="584"/>
        <v>0.31535269709543567</v>
      </c>
      <c r="Q154" s="128">
        <f t="shared" si="584"/>
        <v>0.48362720403022669</v>
      </c>
      <c r="R154" s="128">
        <f t="shared" si="584"/>
        <v>0.48863636363636365</v>
      </c>
      <c r="S154" s="128">
        <f t="shared" si="584"/>
        <v>0.44875776397515527</v>
      </c>
      <c r="T154" s="128">
        <f t="shared" si="584"/>
        <v>0.43194444444444446</v>
      </c>
      <c r="U154" s="128">
        <f t="shared" ref="U154:V154" si="585">U33/U25</f>
        <v>0.39036144578313253</v>
      </c>
      <c r="V154" s="128">
        <f t="shared" si="585"/>
        <v>0.46721991701244814</v>
      </c>
      <c r="W154" s="101">
        <f t="shared" si="502"/>
        <v>0.85235304023550928</v>
      </c>
      <c r="X154" s="10"/>
      <c r="Y154" s="128">
        <f t="shared" ref="Y154:AH154" si="586">Y33/Y25</f>
        <v>0.39036144578313253</v>
      </c>
      <c r="Z154" s="128">
        <f t="shared" si="586"/>
        <v>0.39036144578313259</v>
      </c>
      <c r="AA154" s="128">
        <f t="shared" si="586"/>
        <v>0.39036144578313259</v>
      </c>
      <c r="AB154" s="128">
        <f t="shared" si="586"/>
        <v>0.39036144578313253</v>
      </c>
      <c r="AC154" s="128">
        <f t="shared" si="586"/>
        <v>0.39036144578313253</v>
      </c>
      <c r="AD154" s="128">
        <f t="shared" si="586"/>
        <v>0.39036144578313253</v>
      </c>
      <c r="AE154" s="128">
        <f t="shared" si="586"/>
        <v>0.39036144578313259</v>
      </c>
      <c r="AF154" s="128">
        <f t="shared" si="586"/>
        <v>0.39036144578313259</v>
      </c>
      <c r="AG154" s="128">
        <f t="shared" si="586"/>
        <v>0.39036144578313264</v>
      </c>
      <c r="AH154" s="128">
        <f t="shared" si="586"/>
        <v>0.39036144578313264</v>
      </c>
      <c r="AI154" s="115" t="e">
        <f t="shared" si="374"/>
        <v>#DIV/0!</v>
      </c>
      <c r="AJ154" s="21">
        <f t="shared" si="375"/>
        <v>0.01</v>
      </c>
      <c r="AK154" s="123" t="e">
        <f t="shared" si="524"/>
        <v>#DIV/0!</v>
      </c>
    </row>
    <row r="155" spans="2:37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587">G34/G25</f>
        <v>0</v>
      </c>
      <c r="H155" s="128" t="e">
        <f t="shared" ref="H155:I155" si="588">H34/H25</f>
        <v>#DIV/0!</v>
      </c>
      <c r="I155" s="128" t="e">
        <f t="shared" si="588"/>
        <v>#DIV/0!</v>
      </c>
      <c r="J155" s="128" t="e">
        <f t="shared" ref="J155:T155" si="589">J34/J25</f>
        <v>#DIV/0!</v>
      </c>
      <c r="K155" s="128" t="e">
        <f t="shared" si="589"/>
        <v>#DIV/0!</v>
      </c>
      <c r="L155" s="128" t="e">
        <f t="shared" si="589"/>
        <v>#DIV/0!</v>
      </c>
      <c r="M155" s="128" t="e">
        <f t="shared" si="589"/>
        <v>#DIV/0!</v>
      </c>
      <c r="N155" s="128">
        <f t="shared" si="589"/>
        <v>0.16853932584269662</v>
      </c>
      <c r="O155" s="128">
        <f t="shared" si="589"/>
        <v>0.16853932584269662</v>
      </c>
      <c r="P155" s="128">
        <f t="shared" si="589"/>
        <v>9.1286307053941904E-2</v>
      </c>
      <c r="Q155" s="128">
        <f t="shared" si="589"/>
        <v>6.2972292191435769E-2</v>
      </c>
      <c r="R155" s="128">
        <f t="shared" si="589"/>
        <v>5.3030303030303032E-2</v>
      </c>
      <c r="S155" s="128">
        <f t="shared" si="589"/>
        <v>6.0559006211180127E-2</v>
      </c>
      <c r="T155" s="128">
        <f t="shared" si="589"/>
        <v>6.6666666666666666E-2</v>
      </c>
      <c r="U155" s="128">
        <f t="shared" ref="U155:V155" si="590">U34/U25</f>
        <v>8.6746987951807228E-2</v>
      </c>
      <c r="V155" s="128">
        <f t="shared" si="590"/>
        <v>0.12365145228215768</v>
      </c>
      <c r="W155" s="101" t="e">
        <f t="shared" si="502"/>
        <v>#DIV/0!</v>
      </c>
      <c r="X155" s="10"/>
      <c r="Y155" s="128">
        <f t="shared" ref="Y155:AH155" si="591">Y34/Y25</f>
        <v>8.6746987951807242E-2</v>
      </c>
      <c r="Z155" s="128">
        <f t="shared" si="591"/>
        <v>8.6746987951807242E-2</v>
      </c>
      <c r="AA155" s="128">
        <f t="shared" si="591"/>
        <v>8.6746987951807228E-2</v>
      </c>
      <c r="AB155" s="128">
        <f t="shared" si="591"/>
        <v>8.6746987951807228E-2</v>
      </c>
      <c r="AC155" s="128">
        <f t="shared" si="591"/>
        <v>8.6746987951807228E-2</v>
      </c>
      <c r="AD155" s="128">
        <f t="shared" si="591"/>
        <v>8.6746987951807228E-2</v>
      </c>
      <c r="AE155" s="128">
        <f t="shared" si="591"/>
        <v>8.6746987951807228E-2</v>
      </c>
      <c r="AF155" s="128">
        <f t="shared" si="591"/>
        <v>8.6746987951807228E-2</v>
      </c>
      <c r="AG155" s="128">
        <f t="shared" si="591"/>
        <v>8.6746987951807242E-2</v>
      </c>
      <c r="AH155" s="128">
        <f t="shared" si="591"/>
        <v>8.6746987951807256E-2</v>
      </c>
      <c r="AI155" s="115" t="e">
        <f t="shared" si="374"/>
        <v>#DIV/0!</v>
      </c>
      <c r="AJ155" s="21">
        <f t="shared" si="375"/>
        <v>0.01</v>
      </c>
      <c r="AK155" s="123" t="e">
        <f t="shared" si="524"/>
        <v>#DIV/0!</v>
      </c>
    </row>
    <row r="156" spans="2:37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21"/>
      <c r="W156" s="101" t="e">
        <f t="shared" si="502"/>
        <v>#DIV/0!</v>
      </c>
      <c r="X156" s="10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16"/>
      <c r="AJ156" s="123"/>
      <c r="AK156" s="123"/>
    </row>
    <row r="157" spans="2:37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21"/>
      <c r="W157" s="101" t="e">
        <f t="shared" si="502"/>
        <v>#DIV/0!</v>
      </c>
      <c r="X157" s="10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0"/>
      <c r="AJ157" s="123"/>
      <c r="AK157" s="123"/>
    </row>
    <row r="158" spans="2:37">
      <c r="B158" s="10" t="s">
        <v>307</v>
      </c>
      <c r="C158" s="10"/>
      <c r="D158" s="10"/>
      <c r="E158" s="10"/>
      <c r="F158" s="15"/>
      <c r="G158" s="15">
        <f t="shared" ref="G158" si="592">G15/G9</f>
        <v>4.5</v>
      </c>
      <c r="H158" s="15" t="e">
        <f t="shared" ref="H158:I158" si="593">H15/H9</f>
        <v>#DIV/0!</v>
      </c>
      <c r="I158" s="15" t="e">
        <f t="shared" si="593"/>
        <v>#DIV/0!</v>
      </c>
      <c r="J158" s="15" t="e">
        <f t="shared" ref="J158:T158" si="594">J15/J9</f>
        <v>#DIV/0!</v>
      </c>
      <c r="K158" s="15" t="e">
        <f t="shared" si="594"/>
        <v>#DIV/0!</v>
      </c>
      <c r="L158" s="15" t="e">
        <f t="shared" si="594"/>
        <v>#DIV/0!</v>
      </c>
      <c r="M158" s="15" t="e">
        <f t="shared" si="594"/>
        <v>#DIV/0!</v>
      </c>
      <c r="N158" s="15">
        <f t="shared" si="594"/>
        <v>4.5</v>
      </c>
      <c r="O158" s="15">
        <f t="shared" si="594"/>
        <v>0.87306501547987614</v>
      </c>
      <c r="P158" s="15">
        <f t="shared" si="594"/>
        <v>0.71779141104294475</v>
      </c>
      <c r="Q158" s="15">
        <f t="shared" si="594"/>
        <v>0.71779141104294475</v>
      </c>
      <c r="R158" s="15">
        <f t="shared" si="594"/>
        <v>0.66438356164383561</v>
      </c>
      <c r="S158" s="15">
        <f t="shared" si="594"/>
        <v>0.41169724770642202</v>
      </c>
      <c r="T158" s="15">
        <f t="shared" si="594"/>
        <v>7.6832151300236406E-2</v>
      </c>
      <c r="U158" s="15">
        <f t="shared" ref="U158:V158" si="595">U15/U9</f>
        <v>9.7834803528468323E-2</v>
      </c>
      <c r="V158" s="15">
        <f t="shared" si="595"/>
        <v>0.10166666666666667</v>
      </c>
      <c r="W158" s="101">
        <f t="shared" si="502"/>
        <v>-0.37734746746709869</v>
      </c>
      <c r="X158" s="10"/>
      <c r="Y158" s="10">
        <f t="shared" ref="Y158:AH158" si="596">Y15/Y9</f>
        <v>9.7834803528468309E-2</v>
      </c>
      <c r="Z158" s="10">
        <f t="shared" si="596"/>
        <v>9.7834803528468323E-2</v>
      </c>
      <c r="AA158" s="10">
        <f t="shared" si="596"/>
        <v>9.7834803528468323E-2</v>
      </c>
      <c r="AB158" s="10">
        <f t="shared" si="596"/>
        <v>9.7834803528468309E-2</v>
      </c>
      <c r="AC158" s="10">
        <f t="shared" si="596"/>
        <v>9.7834803528468309E-2</v>
      </c>
      <c r="AD158" s="10">
        <f t="shared" si="596"/>
        <v>9.7834803528468295E-2</v>
      </c>
      <c r="AE158" s="10">
        <f t="shared" si="596"/>
        <v>9.7834803528468295E-2</v>
      </c>
      <c r="AF158" s="10">
        <f t="shared" si="596"/>
        <v>9.7834803528468295E-2</v>
      </c>
      <c r="AG158" s="10">
        <f t="shared" si="596"/>
        <v>9.7834803528468309E-2</v>
      </c>
      <c r="AH158" s="10">
        <f t="shared" si="596"/>
        <v>9.7834803528468295E-2</v>
      </c>
      <c r="AI158" s="115" t="e">
        <f t="shared" si="374"/>
        <v>#DIV/0!</v>
      </c>
      <c r="AJ158" s="21">
        <f t="shared" si="375"/>
        <v>0.01</v>
      </c>
      <c r="AK158" s="123" t="e">
        <f t="shared" si="524"/>
        <v>#DIV/0!</v>
      </c>
    </row>
    <row r="159" spans="2:37">
      <c r="B159" s="10" t="s">
        <v>297</v>
      </c>
      <c r="C159" s="10"/>
      <c r="D159" s="10"/>
      <c r="E159" s="10"/>
      <c r="F159" s="15"/>
      <c r="G159" s="15">
        <f t="shared" ref="G159" si="597">G12/G9</f>
        <v>4.5</v>
      </c>
      <c r="H159" s="15" t="e">
        <f t="shared" ref="H159:I159" si="598">H12/H9</f>
        <v>#DIV/0!</v>
      </c>
      <c r="I159" s="15" t="e">
        <f t="shared" si="598"/>
        <v>#DIV/0!</v>
      </c>
      <c r="J159" s="15" t="e">
        <f t="shared" ref="J159:T159" si="599">J12/J9</f>
        <v>#DIV/0!</v>
      </c>
      <c r="K159" s="15" t="e">
        <f t="shared" si="599"/>
        <v>#DIV/0!</v>
      </c>
      <c r="L159" s="15" t="e">
        <f t="shared" si="599"/>
        <v>#DIV/0!</v>
      </c>
      <c r="M159" s="15" t="e">
        <f t="shared" si="599"/>
        <v>#DIV/0!</v>
      </c>
      <c r="N159" s="15">
        <f t="shared" si="599"/>
        <v>4.5</v>
      </c>
      <c r="O159" s="15">
        <f t="shared" si="599"/>
        <v>0.87306501547987614</v>
      </c>
      <c r="P159" s="15">
        <f t="shared" si="599"/>
        <v>0.71779141104294475</v>
      </c>
      <c r="Q159" s="15">
        <f t="shared" si="599"/>
        <v>0.71779141104294475</v>
      </c>
      <c r="R159" s="15">
        <f t="shared" si="599"/>
        <v>0.66438356164383561</v>
      </c>
      <c r="S159" s="15">
        <f t="shared" si="599"/>
        <v>0.41169724770642202</v>
      </c>
      <c r="T159" s="15">
        <f t="shared" si="599"/>
        <v>7.6832151300236406E-2</v>
      </c>
      <c r="U159" s="15">
        <f t="shared" ref="U159:V159" si="600">U12/U9</f>
        <v>9.7834803528468323E-2</v>
      </c>
      <c r="V159" s="15">
        <f t="shared" si="600"/>
        <v>0.90249999999999997</v>
      </c>
      <c r="W159" s="101">
        <f t="shared" si="502"/>
        <v>-0.18195096418659584</v>
      </c>
      <c r="X159" s="109"/>
      <c r="Y159" s="10">
        <f t="shared" ref="Y159:AH159" si="601">Y12/Y9</f>
        <v>9.7834803528468309E-2</v>
      </c>
      <c r="Z159" s="10">
        <f t="shared" si="601"/>
        <v>9.7834803528468323E-2</v>
      </c>
      <c r="AA159" s="10">
        <f t="shared" si="601"/>
        <v>9.7834803528468323E-2</v>
      </c>
      <c r="AB159" s="10">
        <f t="shared" si="601"/>
        <v>9.7834803528468309E-2</v>
      </c>
      <c r="AC159" s="10">
        <f t="shared" si="601"/>
        <v>9.7834803528468309E-2</v>
      </c>
      <c r="AD159" s="10">
        <f t="shared" si="601"/>
        <v>9.7834803528468295E-2</v>
      </c>
      <c r="AE159" s="10">
        <f t="shared" si="601"/>
        <v>9.7834803528468295E-2</v>
      </c>
      <c r="AF159" s="10">
        <f t="shared" si="601"/>
        <v>9.7834803528468295E-2</v>
      </c>
      <c r="AG159" s="10">
        <f t="shared" si="601"/>
        <v>9.7834803528468309E-2</v>
      </c>
      <c r="AH159" s="10">
        <f t="shared" si="601"/>
        <v>9.7834803528468295E-2</v>
      </c>
      <c r="AI159" s="101">
        <f t="shared" ref="AI159" si="602">((AH159/Y159)^(1/($K$2-$K$1) ))-1</f>
        <v>0</v>
      </c>
      <c r="AJ159" s="21">
        <f t="shared" si="375"/>
        <v>0.01</v>
      </c>
      <c r="AK159" s="123" t="e">
        <f t="shared" si="524"/>
        <v>#DIV/0!</v>
      </c>
    </row>
    <row r="160" spans="2:37">
      <c r="B160" s="10" t="s">
        <v>299</v>
      </c>
      <c r="C160" s="10"/>
      <c r="D160" s="10"/>
      <c r="E160" s="10"/>
      <c r="F160" s="15"/>
      <c r="G160" s="15">
        <f t="shared" ref="G160" si="603">G25/360</f>
        <v>0.24722222222222223</v>
      </c>
      <c r="H160" s="15">
        <f t="shared" ref="H160:I160" si="604">H25/360</f>
        <v>0</v>
      </c>
      <c r="I160" s="15">
        <f t="shared" si="604"/>
        <v>0</v>
      </c>
      <c r="J160" s="15">
        <f t="shared" ref="J160:T160" si="605">J25/360</f>
        <v>0</v>
      </c>
      <c r="K160" s="15">
        <f t="shared" si="605"/>
        <v>0</v>
      </c>
      <c r="L160" s="15">
        <f t="shared" si="605"/>
        <v>0</v>
      </c>
      <c r="M160" s="15">
        <f t="shared" si="605"/>
        <v>0</v>
      </c>
      <c r="N160" s="15">
        <f t="shared" si="605"/>
        <v>0.24722222222222223</v>
      </c>
      <c r="O160" s="15">
        <f t="shared" si="605"/>
        <v>0.24722222222222223</v>
      </c>
      <c r="P160" s="15">
        <f t="shared" si="605"/>
        <v>0.6694444444444444</v>
      </c>
      <c r="Q160" s="15">
        <f t="shared" si="605"/>
        <v>1.1027777777777779</v>
      </c>
      <c r="R160" s="15">
        <f t="shared" si="605"/>
        <v>1.4666666666666666</v>
      </c>
      <c r="S160" s="15">
        <f t="shared" si="605"/>
        <v>1.788888888888889</v>
      </c>
      <c r="T160" s="15">
        <f t="shared" si="605"/>
        <v>2</v>
      </c>
      <c r="U160" s="15">
        <f t="shared" ref="U160:V160" si="606">U25/360</f>
        <v>2.3055555555555554</v>
      </c>
      <c r="V160" s="15">
        <f t="shared" si="606"/>
        <v>3.3472222222222223</v>
      </c>
      <c r="W160" s="101">
        <f t="shared" si="502"/>
        <v>0.38499954279048909</v>
      </c>
      <c r="X160" s="109"/>
      <c r="Y160" s="15">
        <f t="shared" ref="Y160:AH160" si="607">Y25/360</f>
        <v>2.6513888888888886</v>
      </c>
      <c r="Z160" s="15">
        <f t="shared" si="607"/>
        <v>3.0490972222222217</v>
      </c>
      <c r="AA160" s="15">
        <f t="shared" si="607"/>
        <v>3.5064618055555545</v>
      </c>
      <c r="AB160" s="15">
        <f t="shared" si="607"/>
        <v>4.032431076388888</v>
      </c>
      <c r="AC160" s="15">
        <f t="shared" si="607"/>
        <v>4.6372957378472206</v>
      </c>
      <c r="AD160" s="15">
        <f t="shared" si="607"/>
        <v>5.3328900985243033</v>
      </c>
      <c r="AE160" s="15">
        <f t="shared" si="607"/>
        <v>6.1328236133029472</v>
      </c>
      <c r="AF160" s="15">
        <f t="shared" si="607"/>
        <v>7.0527471552983885</v>
      </c>
      <c r="AG160" s="15">
        <f t="shared" si="607"/>
        <v>8.1106592285931463</v>
      </c>
      <c r="AH160" s="15">
        <f t="shared" si="607"/>
        <v>9.3272581128821166</v>
      </c>
      <c r="AI160" s="101">
        <f t="shared" ref="AI160:AI171" si="608">((AH160/Y160)^(1/($K$2-$K$1) ))-1</f>
        <v>0.17026730107347476</v>
      </c>
      <c r="AJ160" s="21">
        <f t="shared" si="375"/>
        <v>0.01</v>
      </c>
      <c r="AK160" s="123" t="e">
        <f t="shared" si="524"/>
        <v>#DIV/0!</v>
      </c>
    </row>
    <row r="161" spans="2:37">
      <c r="B161" s="10" t="s">
        <v>298</v>
      </c>
      <c r="C161" s="10"/>
      <c r="D161" s="10"/>
      <c r="E161" s="10"/>
      <c r="F161" s="15"/>
      <c r="G161" s="15">
        <f t="shared" ref="G161" si="609">G27/360</f>
        <v>8.3333333333333329E-2</v>
      </c>
      <c r="H161" s="15">
        <f t="shared" ref="H161:I161" si="610">H27/360</f>
        <v>0</v>
      </c>
      <c r="I161" s="15">
        <f t="shared" si="610"/>
        <v>0</v>
      </c>
      <c r="J161" s="15">
        <f t="shared" ref="J161:T161" si="611">J27/360</f>
        <v>0</v>
      </c>
      <c r="K161" s="15">
        <f t="shared" si="611"/>
        <v>0</v>
      </c>
      <c r="L161" s="15">
        <f t="shared" si="611"/>
        <v>0</v>
      </c>
      <c r="M161" s="15">
        <f t="shared" si="611"/>
        <v>0</v>
      </c>
      <c r="N161" s="15">
        <f t="shared" si="611"/>
        <v>8.3333333333333329E-2</v>
      </c>
      <c r="O161" s="15">
        <f t="shared" si="611"/>
        <v>8.3333333333333329E-2</v>
      </c>
      <c r="P161" s="15">
        <f t="shared" si="611"/>
        <v>8.8888888888888892E-2</v>
      </c>
      <c r="Q161" s="15">
        <f t="shared" si="611"/>
        <v>9.166666666666666E-2</v>
      </c>
      <c r="R161" s="15">
        <f t="shared" si="611"/>
        <v>0.1111111111111111</v>
      </c>
      <c r="S161" s="15">
        <f t="shared" si="611"/>
        <v>0.16111111111111112</v>
      </c>
      <c r="T161" s="15">
        <f t="shared" si="611"/>
        <v>0.19444444444444445</v>
      </c>
      <c r="U161" s="15">
        <f t="shared" ref="U161:V161" si="612">U27/360</f>
        <v>0.36666666666666664</v>
      </c>
      <c r="V161" s="15">
        <f t="shared" si="612"/>
        <v>0.69444444444444442</v>
      </c>
      <c r="W161" s="101">
        <f t="shared" si="502"/>
        <v>0.30347391414140801</v>
      </c>
      <c r="X161" s="109"/>
      <c r="Y161" s="15">
        <f t="shared" ref="Y161:AH161" si="613">Y27/360</f>
        <v>0.42166666666666663</v>
      </c>
      <c r="Z161" s="15">
        <f t="shared" si="613"/>
        <v>0.48491666666666655</v>
      </c>
      <c r="AA161" s="15">
        <f t="shared" si="613"/>
        <v>0.55765416666666656</v>
      </c>
      <c r="AB161" s="15">
        <f t="shared" si="613"/>
        <v>0.64130229166666652</v>
      </c>
      <c r="AC161" s="15">
        <f t="shared" si="613"/>
        <v>0.73749763541666635</v>
      </c>
      <c r="AD161" s="15">
        <f t="shared" si="613"/>
        <v>0.84812228072916629</v>
      </c>
      <c r="AE161" s="15">
        <f t="shared" si="613"/>
        <v>0.97534062283854128</v>
      </c>
      <c r="AF161" s="15">
        <f t="shared" si="613"/>
        <v>1.1216417162643224</v>
      </c>
      <c r="AG161" s="15">
        <f t="shared" si="613"/>
        <v>1.2898879737039706</v>
      </c>
      <c r="AH161" s="15">
        <f t="shared" si="613"/>
        <v>1.4833711697595662</v>
      </c>
      <c r="AI161" s="101">
        <f t="shared" si="608"/>
        <v>0.17026730107347476</v>
      </c>
      <c r="AJ161" s="21">
        <f t="shared" si="375"/>
        <v>0.01</v>
      </c>
      <c r="AK161" s="123" t="e">
        <f t="shared" si="524"/>
        <v>#DIV/0!</v>
      </c>
    </row>
    <row r="162" spans="2:37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21"/>
      <c r="W162" s="101" t="e">
        <f t="shared" si="502"/>
        <v>#DIV/0!</v>
      </c>
      <c r="X162" s="10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09"/>
      <c r="AJ162" s="123"/>
      <c r="AK162" s="123"/>
    </row>
    <row r="163" spans="2:37">
      <c r="B163" s="10" t="s">
        <v>308</v>
      </c>
      <c r="C163" s="10"/>
      <c r="D163" s="10"/>
      <c r="E163" s="10"/>
      <c r="F163" s="15"/>
      <c r="G163" s="15">
        <f t="shared" ref="G163" si="614">G10/G7</f>
        <v>0.10599571734475374</v>
      </c>
      <c r="H163" s="15" t="e">
        <f t="shared" ref="H163:I163" si="615">H10/H7</f>
        <v>#DIV/0!</v>
      </c>
      <c r="I163" s="15" t="e">
        <f t="shared" si="615"/>
        <v>#DIV/0!</v>
      </c>
      <c r="J163" s="15" t="e">
        <f t="shared" ref="J163:T163" si="616">J10/J7</f>
        <v>#DIV/0!</v>
      </c>
      <c r="K163" s="15" t="e">
        <f t="shared" si="616"/>
        <v>#DIV/0!</v>
      </c>
      <c r="L163" s="15" t="e">
        <f t="shared" si="616"/>
        <v>#DIV/0!</v>
      </c>
      <c r="M163" s="15" t="e">
        <f t="shared" si="616"/>
        <v>#DIV/0!</v>
      </c>
      <c r="N163" s="15">
        <f t="shared" si="616"/>
        <v>0.10599571734475374</v>
      </c>
      <c r="O163" s="15">
        <f t="shared" si="616"/>
        <v>0.82146341463414629</v>
      </c>
      <c r="P163" s="15">
        <f t="shared" si="616"/>
        <v>1.1964757709251101</v>
      </c>
      <c r="Q163" s="15">
        <f t="shared" si="616"/>
        <v>1.1964757709251101</v>
      </c>
      <c r="R163" s="15">
        <f t="shared" si="616"/>
        <v>1.5229571984435797</v>
      </c>
      <c r="S163" s="15">
        <f t="shared" si="616"/>
        <v>1.4652822842310189</v>
      </c>
      <c r="T163" s="15">
        <f t="shared" si="616"/>
        <v>1.4179810725552051</v>
      </c>
      <c r="U163" s="15">
        <f t="shared" ref="U163:V163" si="617">U10/U7</f>
        <v>1.7972027972027973</v>
      </c>
      <c r="V163" s="15">
        <f t="shared" si="617"/>
        <v>1.3040494166094716</v>
      </c>
      <c r="W163" s="101">
        <f t="shared" si="502"/>
        <v>0.36851863756843461</v>
      </c>
      <c r="X163" s="109"/>
      <c r="Y163" s="15">
        <f t="shared" ref="Y163:AH163" si="618">Y10/Y7</f>
        <v>1.7972027972027973</v>
      </c>
      <c r="Z163" s="15">
        <f t="shared" si="618"/>
        <v>1.7972027972027971</v>
      </c>
      <c r="AA163" s="15">
        <f t="shared" si="618"/>
        <v>1.7972027972027971</v>
      </c>
      <c r="AB163" s="15">
        <f t="shared" si="618"/>
        <v>1.7972027972027971</v>
      </c>
      <c r="AC163" s="15">
        <f t="shared" si="618"/>
        <v>1.7972027972027971</v>
      </c>
      <c r="AD163" s="15">
        <f t="shared" si="618"/>
        <v>1.7972027972027971</v>
      </c>
      <c r="AE163" s="15">
        <f t="shared" si="618"/>
        <v>1.7972027972027973</v>
      </c>
      <c r="AF163" s="15">
        <f t="shared" si="618"/>
        <v>1.7972027972027973</v>
      </c>
      <c r="AG163" s="15">
        <f t="shared" si="618"/>
        <v>1.7972027972027973</v>
      </c>
      <c r="AH163" s="15">
        <f t="shared" si="618"/>
        <v>1.7972027972027973</v>
      </c>
      <c r="AI163" s="101">
        <f t="shared" si="608"/>
        <v>0</v>
      </c>
      <c r="AJ163" s="21">
        <f t="shared" si="375"/>
        <v>0.01</v>
      </c>
      <c r="AK163" s="123" t="e">
        <f t="shared" si="524"/>
        <v>#DIV/0!</v>
      </c>
    </row>
    <row r="164" spans="2:37">
      <c r="B164" s="10" t="s">
        <v>300</v>
      </c>
      <c r="C164" s="10"/>
      <c r="D164" s="10"/>
      <c r="E164" s="10"/>
      <c r="F164" s="15"/>
      <c r="G164" s="15">
        <f t="shared" ref="G164" si="619">G10/(G10+G7)</f>
        <v>9.5837366892545989E-2</v>
      </c>
      <c r="H164" s="15" t="e">
        <f t="shared" ref="H164:I164" si="620">H10/(H10+H7)</f>
        <v>#DIV/0!</v>
      </c>
      <c r="I164" s="15" t="e">
        <f t="shared" si="620"/>
        <v>#DIV/0!</v>
      </c>
      <c r="J164" s="15" t="e">
        <f t="shared" ref="J164:T164" si="621">J10/(J10+J7)</f>
        <v>#DIV/0!</v>
      </c>
      <c r="K164" s="15" t="e">
        <f t="shared" si="621"/>
        <v>#DIV/0!</v>
      </c>
      <c r="L164" s="15" t="e">
        <f t="shared" si="621"/>
        <v>#DIV/0!</v>
      </c>
      <c r="M164" s="15" t="e">
        <f t="shared" si="621"/>
        <v>#DIV/0!</v>
      </c>
      <c r="N164" s="15">
        <f t="shared" si="621"/>
        <v>9.5837366892545989E-2</v>
      </c>
      <c r="O164" s="15">
        <f t="shared" si="621"/>
        <v>0.45099089448312801</v>
      </c>
      <c r="P164" s="15">
        <f t="shared" si="621"/>
        <v>0.54472523064580824</v>
      </c>
      <c r="Q164" s="15">
        <f t="shared" si="621"/>
        <v>0.54472523064580824</v>
      </c>
      <c r="R164" s="15">
        <f t="shared" si="621"/>
        <v>0.60363972856261572</v>
      </c>
      <c r="S164" s="15">
        <f t="shared" si="621"/>
        <v>0.59436693866807055</v>
      </c>
      <c r="T164" s="15">
        <f t="shared" si="621"/>
        <v>0.5864318330071755</v>
      </c>
      <c r="U164" s="15">
        <f t="shared" ref="U164:V164" si="622">U10/(U10+U7)</f>
        <v>0.64249999999999996</v>
      </c>
      <c r="V164" s="15">
        <f t="shared" si="622"/>
        <v>0.56598153112898419</v>
      </c>
      <c r="W164" s="101">
        <f t="shared" si="502"/>
        <v>0.24855714222770242</v>
      </c>
      <c r="X164" s="109"/>
      <c r="Y164" s="15">
        <f t="shared" ref="Y164:AH164" si="623">Y10/(Y10+Y7)</f>
        <v>0.64249999999999996</v>
      </c>
      <c r="Z164" s="15">
        <f t="shared" si="623"/>
        <v>0.64249999999999996</v>
      </c>
      <c r="AA164" s="15">
        <f t="shared" si="623"/>
        <v>0.64249999999999996</v>
      </c>
      <c r="AB164" s="15">
        <f t="shared" si="623"/>
        <v>0.64249999999999996</v>
      </c>
      <c r="AC164" s="15">
        <f t="shared" si="623"/>
        <v>0.64250000000000007</v>
      </c>
      <c r="AD164" s="15">
        <f t="shared" si="623"/>
        <v>0.64250000000000007</v>
      </c>
      <c r="AE164" s="15">
        <f t="shared" si="623"/>
        <v>0.64250000000000007</v>
      </c>
      <c r="AF164" s="15">
        <f t="shared" si="623"/>
        <v>0.64250000000000007</v>
      </c>
      <c r="AG164" s="15">
        <f t="shared" si="623"/>
        <v>0.64250000000000007</v>
      </c>
      <c r="AH164" s="15">
        <f t="shared" si="623"/>
        <v>0.64250000000000007</v>
      </c>
      <c r="AI164" s="101">
        <f t="shared" si="608"/>
        <v>0</v>
      </c>
      <c r="AJ164" s="21">
        <f t="shared" si="375"/>
        <v>0.01</v>
      </c>
      <c r="AK164" s="123" t="e">
        <f t="shared" si="524"/>
        <v>#DIV/0!</v>
      </c>
    </row>
    <row r="165" spans="2:37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21"/>
      <c r="W165" s="101" t="e">
        <f t="shared" si="502"/>
        <v>#DIV/0!</v>
      </c>
      <c r="X165" s="10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14"/>
      <c r="AJ165" s="123"/>
      <c r="AK165" s="123"/>
    </row>
    <row r="166" spans="2:37">
      <c r="B166" s="10" t="s">
        <v>305</v>
      </c>
      <c r="C166" s="10"/>
      <c r="D166" s="10"/>
      <c r="E166" s="10"/>
      <c r="F166" s="15"/>
      <c r="G166" s="15">
        <f t="shared" ref="G166" si="624">G16</f>
        <v>902</v>
      </c>
      <c r="H166" s="15">
        <f t="shared" ref="H166:I166" si="625">H16</f>
        <v>0</v>
      </c>
      <c r="I166" s="15">
        <f t="shared" si="625"/>
        <v>0</v>
      </c>
      <c r="J166" s="15">
        <f t="shared" ref="J166:T166" si="626">J16</f>
        <v>0</v>
      </c>
      <c r="K166" s="15">
        <f t="shared" si="626"/>
        <v>0</v>
      </c>
      <c r="L166" s="15">
        <f t="shared" si="626"/>
        <v>0</v>
      </c>
      <c r="M166" s="15">
        <f t="shared" si="626"/>
        <v>0</v>
      </c>
      <c r="N166" s="15">
        <f t="shared" si="626"/>
        <v>902</v>
      </c>
      <c r="O166" s="15">
        <f t="shared" si="626"/>
        <v>1751</v>
      </c>
      <c r="P166" s="15">
        <f t="shared" si="626"/>
        <v>2432</v>
      </c>
      <c r="Q166" s="15">
        <f t="shared" si="626"/>
        <v>2432</v>
      </c>
      <c r="R166" s="15">
        <f t="shared" si="626"/>
        <v>3187</v>
      </c>
      <c r="S166" s="15">
        <f t="shared" si="626"/>
        <v>3796</v>
      </c>
      <c r="T166" s="15">
        <f t="shared" si="626"/>
        <v>4404</v>
      </c>
      <c r="U166" s="15">
        <f t="shared" ref="U166:V166" si="627">U16</f>
        <v>4890</v>
      </c>
      <c r="V166" s="15">
        <f t="shared" si="627"/>
        <v>4890</v>
      </c>
      <c r="W166" s="101">
        <f t="shared" si="502"/>
        <v>0.23527254852978929</v>
      </c>
      <c r="X166" s="109"/>
      <c r="Y166" s="15">
        <f t="shared" ref="Y166:AH166" si="628">Y16</f>
        <v>5623.5</v>
      </c>
      <c r="Z166" s="15">
        <f t="shared" si="628"/>
        <v>6467.0249999999996</v>
      </c>
      <c r="AA166" s="15">
        <f t="shared" si="628"/>
        <v>7437.0787499999988</v>
      </c>
      <c r="AB166" s="15">
        <f t="shared" si="628"/>
        <v>8552.640562499997</v>
      </c>
      <c r="AC166" s="15">
        <f t="shared" si="628"/>
        <v>9835.5366468749962</v>
      </c>
      <c r="AD166" s="15">
        <f t="shared" si="628"/>
        <v>11310.867143906245</v>
      </c>
      <c r="AE166" s="15">
        <f t="shared" si="628"/>
        <v>13007.497215492182</v>
      </c>
      <c r="AF166" s="15">
        <f t="shared" si="628"/>
        <v>14958.621797816008</v>
      </c>
      <c r="AG166" s="15">
        <f t="shared" si="628"/>
        <v>17202.415067488408</v>
      </c>
      <c r="AH166" s="15">
        <f t="shared" si="628"/>
        <v>19782.777327611668</v>
      </c>
      <c r="AI166" s="101">
        <f t="shared" si="608"/>
        <v>0.17026730107347476</v>
      </c>
      <c r="AJ166" s="21">
        <f t="shared" si="375"/>
        <v>0.01</v>
      </c>
      <c r="AK166" s="123" t="e">
        <f t="shared" si="524"/>
        <v>#DIV/0!</v>
      </c>
    </row>
    <row r="167" spans="2:37">
      <c r="B167" s="10" t="s">
        <v>306</v>
      </c>
      <c r="C167" s="10"/>
      <c r="D167" s="10"/>
      <c r="E167" s="10"/>
      <c r="F167" s="102"/>
      <c r="G167" s="102">
        <f t="shared" ref="G167" si="629">G166*365/G25</f>
        <v>3699.2134831460676</v>
      </c>
      <c r="H167" s="102" t="e">
        <f t="shared" ref="H167:I167" si="630">H166*365/H25</f>
        <v>#DIV/0!</v>
      </c>
      <c r="I167" s="102" t="e">
        <f t="shared" si="630"/>
        <v>#DIV/0!</v>
      </c>
      <c r="J167" s="102" t="e">
        <f t="shared" ref="J167:T167" si="631">J166*365/J25</f>
        <v>#DIV/0!</v>
      </c>
      <c r="K167" s="102" t="e">
        <f t="shared" si="631"/>
        <v>#DIV/0!</v>
      </c>
      <c r="L167" s="102" t="e">
        <f t="shared" si="631"/>
        <v>#DIV/0!</v>
      </c>
      <c r="M167" s="102" t="e">
        <f t="shared" si="631"/>
        <v>#DIV/0!</v>
      </c>
      <c r="N167" s="102">
        <f t="shared" si="631"/>
        <v>3699.2134831460676</v>
      </c>
      <c r="O167" s="102">
        <f t="shared" si="631"/>
        <v>7181.0674157303374</v>
      </c>
      <c r="P167" s="102">
        <f t="shared" si="631"/>
        <v>3683.3195020746889</v>
      </c>
      <c r="Q167" s="102">
        <f t="shared" si="631"/>
        <v>2235.9697732997479</v>
      </c>
      <c r="R167" s="102">
        <f t="shared" si="631"/>
        <v>2203.1344696969695</v>
      </c>
      <c r="S167" s="102">
        <f t="shared" si="631"/>
        <v>2151.4596273291927</v>
      </c>
      <c r="T167" s="102">
        <f t="shared" si="631"/>
        <v>2232.5833333333335</v>
      </c>
      <c r="U167" s="102">
        <f t="shared" ref="U167:V167" si="632">U166*365/U25</f>
        <v>2150.4216867469881</v>
      </c>
      <c r="V167" s="102">
        <f t="shared" si="632"/>
        <v>1481.2033195020747</v>
      </c>
      <c r="W167" s="101">
        <f t="shared" si="502"/>
        <v>-0.10810616872770273</v>
      </c>
      <c r="X167" s="109"/>
      <c r="Y167" s="102">
        <f t="shared" ref="Y167:AH167" si="633">Y166*365/Y25</f>
        <v>2150.4216867469881</v>
      </c>
      <c r="Z167" s="102">
        <f t="shared" si="633"/>
        <v>2150.4216867469886</v>
      </c>
      <c r="AA167" s="102">
        <f t="shared" si="633"/>
        <v>2150.4216867469881</v>
      </c>
      <c r="AB167" s="102">
        <f t="shared" si="633"/>
        <v>2150.4216867469877</v>
      </c>
      <c r="AC167" s="102">
        <f t="shared" si="633"/>
        <v>2150.4216867469881</v>
      </c>
      <c r="AD167" s="102">
        <f t="shared" si="633"/>
        <v>2150.4216867469881</v>
      </c>
      <c r="AE167" s="102">
        <f t="shared" si="633"/>
        <v>2150.4216867469881</v>
      </c>
      <c r="AF167" s="102">
        <f t="shared" si="633"/>
        <v>2150.4216867469881</v>
      </c>
      <c r="AG167" s="102">
        <f t="shared" si="633"/>
        <v>2150.4216867469886</v>
      </c>
      <c r="AH167" s="102">
        <f t="shared" si="633"/>
        <v>2150.4216867469886</v>
      </c>
      <c r="AI167" s="101">
        <f t="shared" si="608"/>
        <v>0</v>
      </c>
      <c r="AJ167" s="21">
        <f t="shared" si="375"/>
        <v>0.01</v>
      </c>
      <c r="AK167" s="123" t="e">
        <f t="shared" si="524"/>
        <v>#DIV/0!</v>
      </c>
    </row>
    <row r="168" spans="2:37">
      <c r="B168" s="10" t="s">
        <v>309</v>
      </c>
      <c r="C168" s="10"/>
      <c r="D168" s="10"/>
      <c r="E168" s="10"/>
      <c r="F168" s="111"/>
      <c r="G168" s="111">
        <f t="shared" ref="G168" si="634">G102/G29</f>
        <v>25.409130060292849</v>
      </c>
      <c r="H168" s="111" t="e">
        <f t="shared" ref="H168:I168" si="635">H102/H29</f>
        <v>#DIV/0!</v>
      </c>
      <c r="I168" s="111" t="e">
        <f t="shared" si="635"/>
        <v>#DIV/0!</v>
      </c>
      <c r="J168" s="111" t="e">
        <f t="shared" ref="J168:T168" si="636">J102/J29</f>
        <v>#DIV/0!</v>
      </c>
      <c r="K168" s="111" t="e">
        <f t="shared" si="636"/>
        <v>#DIV/0!</v>
      </c>
      <c r="L168" s="111" t="e">
        <f t="shared" si="636"/>
        <v>#DIV/0!</v>
      </c>
      <c r="M168" s="111" t="e">
        <f t="shared" si="636"/>
        <v>#DIV/0!</v>
      </c>
      <c r="N168" s="111">
        <f t="shared" si="636"/>
        <v>25.409130060292849</v>
      </c>
      <c r="O168" s="111">
        <f t="shared" si="636"/>
        <v>25.409130060292849</v>
      </c>
      <c r="P168" s="111">
        <f t="shared" si="636"/>
        <v>0.38361209145312258</v>
      </c>
      <c r="Q168" s="111">
        <f t="shared" si="636"/>
        <v>0.27408284742468414</v>
      </c>
      <c r="R168" s="111">
        <f t="shared" si="636"/>
        <v>0.27515989784618167</v>
      </c>
      <c r="S168" s="111">
        <f t="shared" si="636"/>
        <v>0.27662778457021198</v>
      </c>
      <c r="T168" s="111">
        <f t="shared" si="636"/>
        <v>0.2661048896773478</v>
      </c>
      <c r="U168" s="111">
        <f t="shared" ref="U168:V168" si="637">U102/U29</f>
        <v>0.22972593395128604</v>
      </c>
      <c r="V168" s="111">
        <f t="shared" si="637"/>
        <v>7.2933845730483463E-2</v>
      </c>
      <c r="W168" s="101">
        <f t="shared" si="502"/>
        <v>-0.51889218145938576</v>
      </c>
      <c r="X168" s="109"/>
      <c r="Y168" s="111">
        <f t="shared" ref="Y168:AH168" si="638">Y102/Y29</f>
        <v>0.22522150387380988</v>
      </c>
      <c r="Z168" s="111">
        <f t="shared" si="638"/>
        <v>0.22080539595471552</v>
      </c>
      <c r="AA168" s="111">
        <f t="shared" si="638"/>
        <v>0.21647587838697599</v>
      </c>
      <c r="AB168" s="111">
        <f t="shared" si="638"/>
        <v>0.21223125332056469</v>
      </c>
      <c r="AC168" s="111">
        <f t="shared" si="638"/>
        <v>0.20806985619663207</v>
      </c>
      <c r="AD168" s="111">
        <f t="shared" si="638"/>
        <v>0.20399005509473728</v>
      </c>
      <c r="AE168" s="111">
        <f t="shared" si="638"/>
        <v>0.19999025009287968</v>
      </c>
      <c r="AF168" s="111">
        <f t="shared" si="638"/>
        <v>0.19606887264007816</v>
      </c>
      <c r="AG168" s="111">
        <f t="shared" si="638"/>
        <v>0.19222438494125307</v>
      </c>
      <c r="AH168" s="111">
        <f t="shared" si="638"/>
        <v>0.1884552793541697</v>
      </c>
      <c r="AI168" s="101">
        <f t="shared" si="608"/>
        <v>-2.2031634620501617E-2</v>
      </c>
      <c r="AJ168" s="21">
        <f t="shared" si="375"/>
        <v>0.01</v>
      </c>
      <c r="AK168" s="123" t="e">
        <f t="shared" si="524"/>
        <v>#DIV/0!</v>
      </c>
    </row>
    <row r="169" spans="2:37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21"/>
      <c r="W169" s="101" t="e">
        <f t="shared" si="502"/>
        <v>#DIV/0!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14"/>
      <c r="AJ169" s="123"/>
      <c r="AK169" s="123"/>
    </row>
    <row r="170" spans="2:37">
      <c r="B170" s="10" t="s">
        <v>316</v>
      </c>
      <c r="C170" s="10"/>
      <c r="D170" s="10"/>
      <c r="E170" s="10"/>
      <c r="F170" s="153"/>
      <c r="G170" s="153" t="e">
        <f t="shared" ref="G170" si="639">G25/G14</f>
        <v>#DIV/0!</v>
      </c>
      <c r="H170" s="153" t="e">
        <f t="shared" ref="H170:I170" si="640">H25/H14</f>
        <v>#DIV/0!</v>
      </c>
      <c r="I170" s="153" t="e">
        <f t="shared" si="640"/>
        <v>#DIV/0!</v>
      </c>
      <c r="J170" s="153" t="e">
        <f t="shared" ref="J170:T170" si="641">J25/J14</f>
        <v>#DIV/0!</v>
      </c>
      <c r="K170" s="153" t="e">
        <f t="shared" si="641"/>
        <v>#DIV/0!</v>
      </c>
      <c r="L170" s="153" t="e">
        <f t="shared" si="641"/>
        <v>#DIV/0!</v>
      </c>
      <c r="M170" s="153" t="e">
        <f t="shared" si="641"/>
        <v>#DIV/0!</v>
      </c>
      <c r="N170" s="153" t="e">
        <f t="shared" si="641"/>
        <v>#DIV/0!</v>
      </c>
      <c r="O170" s="153" t="e">
        <f t="shared" si="641"/>
        <v>#DIV/0!</v>
      </c>
      <c r="P170" s="153" t="e">
        <f t="shared" si="641"/>
        <v>#DIV/0!</v>
      </c>
      <c r="Q170" s="153" t="e">
        <f t="shared" si="641"/>
        <v>#DIV/0!</v>
      </c>
      <c r="R170" s="153" t="e">
        <f t="shared" si="641"/>
        <v>#DIV/0!</v>
      </c>
      <c r="S170" s="153" t="e">
        <f t="shared" si="641"/>
        <v>#DIV/0!</v>
      </c>
      <c r="T170" s="153" t="e">
        <f t="shared" si="641"/>
        <v>#DIV/0!</v>
      </c>
      <c r="U170" s="153" t="e">
        <f t="shared" ref="U170:V170" si="642">U25/U14</f>
        <v>#DIV/0!</v>
      </c>
      <c r="V170" s="153" t="e">
        <f t="shared" si="642"/>
        <v>#DIV/0!</v>
      </c>
      <c r="W170" s="101" t="e">
        <f t="shared" si="502"/>
        <v>#DIV/0!</v>
      </c>
      <c r="X170" s="109"/>
      <c r="Y170" s="10" t="e">
        <f t="shared" ref="Y170:AH170" si="643">Y25/Y14</f>
        <v>#DIV/0!</v>
      </c>
      <c r="Z170" s="10" t="e">
        <f t="shared" si="643"/>
        <v>#DIV/0!</v>
      </c>
      <c r="AA170" s="10" t="e">
        <f t="shared" si="643"/>
        <v>#DIV/0!</v>
      </c>
      <c r="AB170" s="10" t="e">
        <f t="shared" si="643"/>
        <v>#DIV/0!</v>
      </c>
      <c r="AC170" s="10" t="e">
        <f t="shared" si="643"/>
        <v>#DIV/0!</v>
      </c>
      <c r="AD170" s="10" t="e">
        <f t="shared" si="643"/>
        <v>#DIV/0!</v>
      </c>
      <c r="AE170" s="10" t="e">
        <f t="shared" si="643"/>
        <v>#DIV/0!</v>
      </c>
      <c r="AF170" s="10" t="e">
        <f t="shared" si="643"/>
        <v>#DIV/0!</v>
      </c>
      <c r="AG170" s="10" t="e">
        <f t="shared" si="643"/>
        <v>#DIV/0!</v>
      </c>
      <c r="AH170" s="10" t="e">
        <f t="shared" si="643"/>
        <v>#DIV/0!</v>
      </c>
      <c r="AI170" s="101" t="e">
        <f t="shared" si="608"/>
        <v>#DIV/0!</v>
      </c>
      <c r="AJ170" s="21">
        <f t="shared" si="375"/>
        <v>0.01</v>
      </c>
      <c r="AK170" s="123" t="e">
        <f t="shared" si="524"/>
        <v>#DIV/0!</v>
      </c>
    </row>
    <row r="171" spans="2:37">
      <c r="B171" s="10" t="s">
        <v>317</v>
      </c>
      <c r="C171" s="10"/>
      <c r="D171" s="10"/>
      <c r="E171" s="10"/>
      <c r="F171" s="153"/>
      <c r="G171" s="153" t="e">
        <f t="shared" ref="G171" si="644">G27/G14</f>
        <v>#DIV/0!</v>
      </c>
      <c r="H171" s="153" t="e">
        <f t="shared" ref="H171:I171" si="645">H27/H14</f>
        <v>#DIV/0!</v>
      </c>
      <c r="I171" s="153" t="e">
        <f t="shared" si="645"/>
        <v>#DIV/0!</v>
      </c>
      <c r="J171" s="153" t="e">
        <f t="shared" ref="J171:T171" si="646">J27/J14</f>
        <v>#DIV/0!</v>
      </c>
      <c r="K171" s="153" t="e">
        <f t="shared" si="646"/>
        <v>#DIV/0!</v>
      </c>
      <c r="L171" s="153" t="e">
        <f t="shared" si="646"/>
        <v>#DIV/0!</v>
      </c>
      <c r="M171" s="153" t="e">
        <f t="shared" si="646"/>
        <v>#DIV/0!</v>
      </c>
      <c r="N171" s="153" t="e">
        <f t="shared" si="646"/>
        <v>#DIV/0!</v>
      </c>
      <c r="O171" s="153" t="e">
        <f t="shared" si="646"/>
        <v>#DIV/0!</v>
      </c>
      <c r="P171" s="153" t="e">
        <f t="shared" si="646"/>
        <v>#DIV/0!</v>
      </c>
      <c r="Q171" s="153" t="e">
        <f t="shared" si="646"/>
        <v>#DIV/0!</v>
      </c>
      <c r="R171" s="153" t="e">
        <f t="shared" si="646"/>
        <v>#DIV/0!</v>
      </c>
      <c r="S171" s="153" t="e">
        <f t="shared" si="646"/>
        <v>#DIV/0!</v>
      </c>
      <c r="T171" s="153" t="e">
        <f t="shared" si="646"/>
        <v>#DIV/0!</v>
      </c>
      <c r="U171" s="153" t="e">
        <f t="shared" ref="U171:V171" si="647">U27/U14</f>
        <v>#DIV/0!</v>
      </c>
      <c r="V171" s="153" t="e">
        <f t="shared" si="647"/>
        <v>#DIV/0!</v>
      </c>
      <c r="W171" s="101" t="e">
        <f t="shared" si="502"/>
        <v>#DIV/0!</v>
      </c>
      <c r="X171" s="109"/>
      <c r="Y171" s="10" t="e">
        <f t="shared" ref="Y171:AH171" si="648">Y27/Y14</f>
        <v>#DIV/0!</v>
      </c>
      <c r="Z171" s="10" t="e">
        <f t="shared" si="648"/>
        <v>#DIV/0!</v>
      </c>
      <c r="AA171" s="10" t="e">
        <f t="shared" si="648"/>
        <v>#DIV/0!</v>
      </c>
      <c r="AB171" s="10" t="e">
        <f t="shared" si="648"/>
        <v>#DIV/0!</v>
      </c>
      <c r="AC171" s="10" t="e">
        <f t="shared" si="648"/>
        <v>#DIV/0!</v>
      </c>
      <c r="AD171" s="10" t="e">
        <f t="shared" si="648"/>
        <v>#DIV/0!</v>
      </c>
      <c r="AE171" s="10" t="e">
        <f t="shared" si="648"/>
        <v>#DIV/0!</v>
      </c>
      <c r="AF171" s="10" t="e">
        <f t="shared" si="648"/>
        <v>#DIV/0!</v>
      </c>
      <c r="AG171" s="10" t="e">
        <f t="shared" si="648"/>
        <v>#DIV/0!</v>
      </c>
      <c r="AH171" s="10" t="e">
        <f t="shared" si="648"/>
        <v>#DIV/0!</v>
      </c>
      <c r="AI171" s="101" t="e">
        <f t="shared" si="608"/>
        <v>#DIV/0!</v>
      </c>
      <c r="AJ171" s="21">
        <f t="shared" si="375"/>
        <v>0.01</v>
      </c>
      <c r="AK171" s="123" t="e">
        <f t="shared" si="524"/>
        <v>#DIV/0!</v>
      </c>
    </row>
    <row r="172" spans="2:37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69" t="s">
        <v>508</v>
      </c>
      <c r="T172" s="169"/>
      <c r="U172" s="10"/>
      <c r="V172" s="10"/>
      <c r="W172" s="109"/>
      <c r="X172" s="109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14"/>
      <c r="AJ172" s="10"/>
      <c r="AK172" s="10"/>
    </row>
    <row r="173" spans="2:37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507</v>
      </c>
      <c r="T173" s="13" t="s">
        <v>409</v>
      </c>
      <c r="U173" s="13" t="s">
        <v>409</v>
      </c>
      <c r="V173" s="13"/>
      <c r="W173" s="13" t="s">
        <v>501</v>
      </c>
      <c r="X173" s="10"/>
      <c r="Y173" s="105" t="s">
        <v>54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14"/>
      <c r="AJ173" s="10"/>
      <c r="AK173" s="10"/>
    </row>
    <row r="174" spans="2:37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AVERAGE(G106:V106)</f>
        <v>9.1549295774647881</v>
      </c>
      <c r="T174" s="111">
        <f>AVERAGE(R106:V106)</f>
        <v>21.473456121343446</v>
      </c>
      <c r="U174" s="111">
        <f>AVERAGE(R76:V76)</f>
        <v>24.479138380528969</v>
      </c>
      <c r="V174" s="111"/>
      <c r="W174" s="111" t="e">
        <f>AVERAGE(M76:V76)</f>
        <v>#DIV/0!</v>
      </c>
      <c r="X174" s="10"/>
      <c r="Y174" s="167" t="s">
        <v>371</v>
      </c>
      <c r="Z174" s="168" t="s">
        <v>372</v>
      </c>
      <c r="AA174" s="10"/>
      <c r="AB174" s="10"/>
      <c r="AC174" s="10"/>
      <c r="AD174" s="10"/>
      <c r="AE174" s="10"/>
      <c r="AF174" s="10"/>
      <c r="AG174" s="10"/>
      <c r="AH174" s="10"/>
      <c r="AI174" s="114"/>
      <c r="AJ174" s="10"/>
      <c r="AK174" s="10"/>
    </row>
    <row r="175" spans="2:37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7" t="e">
        <f>Y175+Z175</f>
        <v>#DIV/0!</v>
      </c>
      <c r="Y175" s="111">
        <f>PV($C$1, ($AH$3-$Y$3), 0, -AH76)</f>
        <v>20.4420486426095</v>
      </c>
      <c r="Z175" s="111" t="e">
        <f>PV($C$1, ($AH$3-$Y$3), 0, -AK76)</f>
        <v>#DIV/0!</v>
      </c>
      <c r="AA175" s="10"/>
      <c r="AB175" s="10"/>
      <c r="AC175" s="10"/>
      <c r="AD175" s="10"/>
      <c r="AE175" s="10"/>
      <c r="AF175" s="10"/>
      <c r="AG175" s="10"/>
      <c r="AH175" s="10"/>
      <c r="AI175" s="114"/>
      <c r="AJ175" s="10"/>
      <c r="AK175" s="10"/>
    </row>
    <row r="176" spans="2:37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7" t="e">
        <f t="shared" ref="X176:X194" si="649">Y176+Z176</f>
        <v>#DIV/0!</v>
      </c>
      <c r="Y176" s="111">
        <f>PV($C$1, ($AH$3-$Y$3), 0, -AH78)</f>
        <v>219.24097169198691</v>
      </c>
      <c r="Z176" s="111" t="e">
        <f>PV($C$1, ($AH$3-$Y$3), 0, -AK78)</f>
        <v>#DIV/0!</v>
      </c>
      <c r="AA176" s="10"/>
      <c r="AB176" s="10"/>
      <c r="AC176" s="10"/>
      <c r="AD176" s="10"/>
      <c r="AE176" s="10"/>
      <c r="AF176" s="10"/>
      <c r="AG176" s="10"/>
      <c r="AH176" s="10"/>
      <c r="AI176" s="114"/>
      <c r="AJ176" s="10"/>
      <c r="AK176" s="10"/>
    </row>
    <row r="177" spans="2:37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7" t="e">
        <f t="shared" si="649"/>
        <v>#DIV/0!</v>
      </c>
      <c r="Y177" s="111">
        <f>PV($C$1, ($AH$3-$Y$3), 0, -AH79)</f>
        <v>211.26857272136922</v>
      </c>
      <c r="Z177" s="111" t="e">
        <f>PV($C$1, ($AH$3-$Y$3), 0, -AK79)</f>
        <v>#DIV/0!</v>
      </c>
      <c r="AA177" s="10"/>
      <c r="AB177" s="10"/>
      <c r="AC177" s="10"/>
      <c r="AD177" s="10"/>
      <c r="AE177" s="10"/>
      <c r="AF177" s="10"/>
      <c r="AG177" s="10"/>
      <c r="AH177" s="10"/>
      <c r="AI177" s="114"/>
      <c r="AJ177" s="10"/>
      <c r="AK177" s="10"/>
    </row>
    <row r="178" spans="2:37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17" t="e">
        <f t="shared" si="649"/>
        <v>#DIV/0!</v>
      </c>
      <c r="Y178" s="111">
        <f>PV($C$1, ($AH$3-$Y$3), 0, -AH80)</f>
        <v>394.02048758629815</v>
      </c>
      <c r="Z178" s="111" t="e">
        <f>PV($C$1, ($AH$3-$Y$3), 0, -AK80)</f>
        <v>#DIV/0!</v>
      </c>
      <c r="AA178" s="10"/>
      <c r="AB178" s="10"/>
      <c r="AC178" s="10"/>
      <c r="AD178" s="10"/>
      <c r="AE178" s="10"/>
      <c r="AF178" s="10"/>
      <c r="AG178" s="10"/>
      <c r="AH178" s="10"/>
      <c r="AI178" s="114"/>
      <c r="AJ178" s="10"/>
      <c r="AK178" s="10"/>
    </row>
    <row r="179" spans="2:37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7" t="e">
        <f t="shared" si="649"/>
        <v>#DIV/0!</v>
      </c>
      <c r="Y179" s="111">
        <f>PV($C$1, ($AH$3-$Y$3), 0, -AH86)</f>
        <v>12.469649671991794</v>
      </c>
      <c r="Z179" s="111" t="e">
        <f>PV($C$1, ($AH$3-$Y$3), 0, -AK86)</f>
        <v>#DIV/0!</v>
      </c>
      <c r="AA179" s="10"/>
      <c r="AB179" s="10"/>
      <c r="AC179" s="10"/>
      <c r="AD179" s="10"/>
      <c r="AE179" s="10"/>
      <c r="AF179" s="10"/>
      <c r="AG179" s="10"/>
      <c r="AH179" s="10"/>
      <c r="AI179" s="114"/>
      <c r="AJ179" s="10"/>
      <c r="AK179" s="10"/>
    </row>
    <row r="180" spans="2:37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7"/>
      <c r="Y180" s="111"/>
      <c r="Z180" s="10"/>
      <c r="AA180" s="10"/>
      <c r="AB180" s="10"/>
      <c r="AC180" s="10"/>
      <c r="AD180" s="10"/>
      <c r="AE180" s="10"/>
      <c r="AF180" s="10"/>
      <c r="AG180" s="10"/>
      <c r="AH180" s="10"/>
      <c r="AI180" s="114"/>
      <c r="AJ180" s="10"/>
      <c r="AK180" s="10"/>
    </row>
    <row r="181" spans="2:37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7" t="e">
        <f t="shared" si="649"/>
        <v>#DIV/0!</v>
      </c>
      <c r="Y181" s="111">
        <f>PV($C$1, ($AH$3-$Y$3), 0, -AH82)</f>
        <v>-174.77951589431126</v>
      </c>
      <c r="Z181" s="111" t="e">
        <f>PV($C$1, ($AH$3-$Y$3), 0, -$AK$82)</f>
        <v>#DIV/0!</v>
      </c>
      <c r="AA181" s="10"/>
      <c r="AB181" s="10"/>
      <c r="AC181" s="10"/>
      <c r="AD181" s="10"/>
      <c r="AE181" s="10"/>
      <c r="AF181" s="10"/>
      <c r="AG181" s="10"/>
      <c r="AH181" s="10"/>
      <c r="AI181" s="114"/>
      <c r="AJ181" s="10"/>
      <c r="AK181" s="10"/>
    </row>
    <row r="182" spans="2:37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7" t="e">
        <f t="shared" si="649"/>
        <v>#DIV/0!</v>
      </c>
      <c r="Y182" s="111">
        <f>PV($C$1, ($AH$3-$Y$3), 0, -AH83)</f>
        <v>-302.23568918098152</v>
      </c>
      <c r="Z182" s="111" t="e">
        <f>PV($C$1, ($AH$3-$Y$3), 0, -$AK$83)</f>
        <v>#DIV/0!</v>
      </c>
      <c r="AA182" s="10"/>
      <c r="AB182" s="10"/>
      <c r="AC182" s="10"/>
      <c r="AD182" s="10"/>
      <c r="AE182" s="10"/>
      <c r="AF182" s="10"/>
      <c r="AG182" s="10"/>
      <c r="AH182" s="10"/>
      <c r="AI182" s="114"/>
      <c r="AJ182" s="10"/>
      <c r="AK182" s="10"/>
    </row>
    <row r="183" spans="2:37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17" t="e">
        <f t="shared" si="649"/>
        <v>#DIV/0!</v>
      </c>
      <c r="Y183" s="111">
        <f>PV($C$1, ($AH$3-$Y$3), 0, -AH84)</f>
        <v>-289.76603950898976</v>
      </c>
      <c r="Z183" s="111" t="e">
        <f>PV($C$1, ($AH$3-$Y$3), 0, -$AK$84)</f>
        <v>#DIV/0!</v>
      </c>
      <c r="AA183" s="10"/>
      <c r="AB183" s="10"/>
      <c r="AC183" s="10"/>
      <c r="AD183" s="10"/>
      <c r="AE183" s="10"/>
      <c r="AF183" s="10"/>
      <c r="AG183" s="10"/>
      <c r="AH183" s="10"/>
      <c r="AI183" s="114"/>
      <c r="AJ183" s="10"/>
      <c r="AK183" s="10"/>
    </row>
    <row r="184" spans="2:37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7"/>
      <c r="Y184" s="111"/>
      <c r="Z184" s="10"/>
      <c r="AA184" s="10"/>
      <c r="AB184" s="10"/>
      <c r="AC184" s="10"/>
      <c r="AD184" s="10"/>
      <c r="AE184" s="10"/>
      <c r="AF184" s="10"/>
      <c r="AG184" s="10"/>
      <c r="AH184" s="10"/>
      <c r="AI184" s="114"/>
      <c r="AJ184" s="10"/>
      <c r="AK184" s="10"/>
    </row>
    <row r="185" spans="2:37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7" t="e">
        <f t="shared" si="649"/>
        <v>#DIV/0!</v>
      </c>
      <c r="Y185" s="111">
        <f>PV($C$1, ($AH$3-$Y$3), 0, -AH89)</f>
        <v>12.469649671991794</v>
      </c>
      <c r="Z185" s="111" t="e">
        <f>PV($C$1, ($AH$3-$Y$3), 0, -AK89)</f>
        <v>#DIV/0!</v>
      </c>
      <c r="AA185" s="10"/>
      <c r="AB185" s="10"/>
      <c r="AC185" s="10"/>
      <c r="AD185" s="10"/>
      <c r="AE185" s="10"/>
      <c r="AF185" s="10"/>
      <c r="AG185" s="10"/>
      <c r="AH185" s="10"/>
      <c r="AI185" s="114"/>
      <c r="AJ185" s="10"/>
      <c r="AK185" s="10"/>
    </row>
    <row r="186" spans="2:37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7" t="e">
        <f t="shared" si="649"/>
        <v>#DIV/0!</v>
      </c>
      <c r="Y186" s="111">
        <f>PV($C$1, ($AH$3-$Y$3), 0, -AH90)</f>
        <v>499.80808931180235</v>
      </c>
      <c r="Z186" s="111" t="e">
        <f>PV($C$1, ($AH$3-$Y$3), 0, -AK90)</f>
        <v>#DIV/0!</v>
      </c>
      <c r="AA186" s="10"/>
      <c r="AB186" s="10"/>
      <c r="AC186" s="10"/>
      <c r="AD186" s="10"/>
      <c r="AE186" s="10"/>
      <c r="AF186" s="10"/>
      <c r="AG186" s="10"/>
      <c r="AH186" s="10"/>
      <c r="AI186" s="114"/>
      <c r="AJ186" s="10"/>
      <c r="AK186" s="10"/>
    </row>
    <row r="187" spans="2:37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7"/>
      <c r="Y187" s="111"/>
      <c r="Z187" s="111"/>
      <c r="AA187" s="10"/>
      <c r="AB187" s="10"/>
      <c r="AC187" s="10"/>
      <c r="AD187" s="10"/>
      <c r="AE187" s="10"/>
      <c r="AF187" s="10"/>
      <c r="AG187" s="10"/>
      <c r="AH187" s="10"/>
      <c r="AI187" s="114"/>
      <c r="AJ187" s="10"/>
      <c r="AK187" s="10"/>
    </row>
    <row r="188" spans="2:37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17" t="e">
        <f t="shared" ref="X188" si="650">Y188+Z188</f>
        <v>#DIV/0!</v>
      </c>
      <c r="Y188" s="111">
        <f>PV($C$1, ($AH$3-$Y$3), 0, -AH12)</f>
        <v>140.29999999999998</v>
      </c>
      <c r="Z188" s="111" t="e">
        <f>PV($C$1, ($AH$3-$Y$3), 0, -AK12)</f>
        <v>#DIV/0!</v>
      </c>
      <c r="AA188" s="10"/>
      <c r="AB188" s="10"/>
      <c r="AC188" s="10"/>
      <c r="AD188" s="10"/>
      <c r="AE188" s="10"/>
      <c r="AF188" s="10"/>
      <c r="AG188" s="10"/>
      <c r="AH188" s="10"/>
      <c r="AI188" s="114"/>
      <c r="AJ188" s="10"/>
      <c r="AK188" s="10"/>
    </row>
    <row r="189" spans="2:37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7" t="e">
        <f>Y189+Z189</f>
        <v>#DIV/0!</v>
      </c>
      <c r="Y189" s="117">
        <f>Y188/S61</f>
        <v>19.140518417462481</v>
      </c>
      <c r="Z189" s="117" t="e">
        <f>Z188/S61</f>
        <v>#DIV/0!</v>
      </c>
      <c r="AA189" s="10"/>
      <c r="AB189" s="10"/>
      <c r="AC189" s="10"/>
      <c r="AD189" s="10"/>
      <c r="AE189" s="10"/>
      <c r="AF189" s="10"/>
      <c r="AG189" s="10"/>
      <c r="AH189" s="10"/>
      <c r="AI189" s="114"/>
      <c r="AJ189" s="10"/>
      <c r="AK189" s="10"/>
    </row>
    <row r="190" spans="2:37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7"/>
      <c r="Y190" s="117"/>
      <c r="Z190" s="117"/>
      <c r="AA190" s="10"/>
      <c r="AB190" s="10"/>
      <c r="AC190" s="10"/>
      <c r="AD190" s="10"/>
      <c r="AE190" s="10"/>
      <c r="AF190" s="10"/>
      <c r="AG190" s="10"/>
      <c r="AH190" s="10"/>
      <c r="AI190" s="114"/>
      <c r="AJ190" s="10"/>
      <c r="AK190" s="10"/>
    </row>
    <row r="191" spans="2:37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7"/>
      <c r="Y191" s="111"/>
      <c r="Z191" s="111"/>
      <c r="AA191" s="10"/>
      <c r="AB191" s="10"/>
      <c r="AC191" s="10"/>
      <c r="AD191" s="10"/>
      <c r="AE191" s="10"/>
      <c r="AF191" s="10"/>
      <c r="AG191" s="10"/>
      <c r="AH191" s="10"/>
      <c r="AI191" s="114"/>
      <c r="AJ191" s="10"/>
      <c r="AK191" s="10"/>
    </row>
    <row r="192" spans="2:37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7" t="e">
        <f t="shared" ref="X192" si="651">Y192+Z192</f>
        <v>#DIV/0!</v>
      </c>
      <c r="Y192" s="111">
        <f>PV($C$1, ($AH$3-$Y$3), 0, -AH92)+PV($C$1, ($AG$3-$Y$3), 0, -AH92)+PV($C$1, ($AF$3-$Y$3), 0, -AH92)+PV($C$1, ($AE$3-$Y$3), 0, -AH92)+PV($C$1, ($AD$3-$Y$3), 0, -AH92)+PV($C$1, ($AC$3-$Y$3), 0, -AH92)+PV($C$1, ($AB$3-$Y$3), 0, -AH92)+PV($C$1, ($AA$3-$Y$3), 0, -AH92)+PV($C$1, ($Z$3-$Y$3), 0, -AH92)+PV($C$1, ($Y$3-$Y$3), 0, -AH92)</f>
        <v>7.0355285926852229</v>
      </c>
      <c r="Z192" s="111" t="e">
        <f>PV($C$1, ($AH$3-$Y$3), 0, -AK92)</f>
        <v>#DIV/0!</v>
      </c>
      <c r="AA192" s="10"/>
      <c r="AB192" s="10"/>
      <c r="AC192" s="10"/>
      <c r="AD192" s="10"/>
      <c r="AE192" s="10"/>
      <c r="AF192" s="10"/>
      <c r="AG192" s="10"/>
      <c r="AH192" s="10"/>
      <c r="AI192" s="114"/>
      <c r="AJ192" s="10"/>
      <c r="AK192" s="10"/>
    </row>
    <row r="193" spans="2:37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17"/>
      <c r="Y193" s="111"/>
      <c r="Z193" s="111"/>
      <c r="AA193" s="10"/>
      <c r="AB193" s="10"/>
      <c r="AC193" s="10"/>
      <c r="AD193" s="10"/>
      <c r="AE193" s="10"/>
      <c r="AF193" s="10"/>
      <c r="AG193" s="10"/>
      <c r="AH193" s="10"/>
      <c r="AI193" s="114"/>
      <c r="AJ193" s="10"/>
      <c r="AK193" s="10"/>
    </row>
    <row r="194" spans="2:37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7" t="e">
        <f t="shared" si="649"/>
        <v>#DIV/0!</v>
      </c>
      <c r="Y194" s="111">
        <f>PV($C$1, ($AH$3-$Y$3), 0, -AH94)+PV($C$1, ($AG$3-$Y$3), 0, -AH94)+PV($C$1, ($AF$3-$Y$3), 0, -AH94)+PV($C$1, ($AE$3-$Y$3), 0, -AH94)+PV($C$1, ($AD$3-$Y$3), 0, -AH94)+PV($C$1, ($AC$3-$Y$3), 0, -AH94)+PV($C$1, ($AB$3-$Y$3), 0, -AH94)+PV($C$1, ($AA$3-$Y$3), 0, -AH94)+PV($C$1, ($Z$3-$Y$3), 0, -AH94)+PV($C$1, ($Y$3-$Y$3), 0, -AH94)</f>
        <v>0</v>
      </c>
      <c r="Z194" s="111" t="e">
        <f>PV($C$1, ($AH$3-$Y$3), 0, -AK94)</f>
        <v>#DIV/0!</v>
      </c>
      <c r="AA194" s="10"/>
      <c r="AB194" s="10"/>
      <c r="AC194" s="10"/>
      <c r="AD194" s="10"/>
      <c r="AE194" s="10"/>
      <c r="AF194" s="10"/>
      <c r="AG194" s="10"/>
      <c r="AH194" s="10"/>
      <c r="AI194" s="114"/>
      <c r="AJ194" s="10"/>
      <c r="AK194" s="10"/>
    </row>
    <row r="195" spans="2:37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7"/>
      <c r="Y195" s="111"/>
      <c r="Z195" s="111"/>
      <c r="AA195" s="10"/>
      <c r="AB195" s="10"/>
      <c r="AC195" s="10"/>
      <c r="AD195" s="10"/>
      <c r="AE195" s="10"/>
      <c r="AF195" s="10"/>
      <c r="AG195" s="10"/>
      <c r="AH195" s="10"/>
      <c r="AI195" s="114"/>
      <c r="AJ195" s="10"/>
      <c r="AK195" s="10"/>
    </row>
    <row r="196" spans="2:37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7" t="e">
        <f t="shared" ref="X196:X199" si="652">Y196+Z196</f>
        <v>#DIV/0!</v>
      </c>
      <c r="Y196" s="111">
        <f>PV($C$1, ($AH$3-$Y$3), 0, -AH96)+PV($C$1, ($AG$3-$Y$3), 0, -AH96)+PV($C$1, ($AF$3-$Y$3), 0, -AH96)+PV($C$1, ($AE$3-$Y$3), 0, -AH96)+PV($C$1, ($AD$3-$Y$3), 0, -AH96)+PV($C$1, ($AC$3-$Y$3), 0, -AH96)+PV($C$1, ($AB$3-$Y$3), 0, -AH96)+PV($C$1, ($AA$3-$Y$3), 0, -AH96)+PV($C$1, ($Z$3-$Y$3), 0, -AH96)+PV($C$1, ($Y$3-$Y$3), 0, -AH96)</f>
        <v>0</v>
      </c>
      <c r="Z196" s="111" t="e">
        <f>PV($C$1, ($AH$3-$Y$3), 0, -AK96)</f>
        <v>#DIV/0!</v>
      </c>
      <c r="AA196" s="10"/>
      <c r="AB196" s="10"/>
      <c r="AC196" s="10"/>
      <c r="AD196" s="10"/>
      <c r="AE196" s="10"/>
      <c r="AF196" s="10"/>
      <c r="AG196" s="10"/>
      <c r="AH196" s="10"/>
      <c r="AI196" s="114"/>
      <c r="AJ196" s="10"/>
      <c r="AK196" s="10"/>
    </row>
    <row r="197" spans="2:37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7" t="e">
        <f t="shared" si="652"/>
        <v>#DIV/0!</v>
      </c>
      <c r="Y197" s="111">
        <f>PV($C$1, ($AH$3-$Y$3), 0, -AH97)+PV($C$1, ($AG$3-$Y$3), 0, -AH97)+PV($C$1, ($AF$3-$Y$3), 0, -AH97)+PV($C$1, ($AE$3-$Y$3), 0, -AH97)+PV($C$1, ($AD$3-$Y$3), 0, -AH97)+PV($C$1, ($AC$3-$Y$3), 0, -AH97)+PV($C$1, ($AB$3-$Y$3), 0, -AH97)+PV($C$1, ($AA$3-$Y$3), 0, -AH97)+PV($C$1, ($Z$3-$Y$3), 0, -AH97)+PV($C$1, ($Y$3-$Y$3), 0, -AH97)</f>
        <v>0</v>
      </c>
      <c r="Z197" s="111" t="e">
        <f>PV($C$1, ($AH$3-$Y$3), 0, -AK97)</f>
        <v>#DIV/0!</v>
      </c>
      <c r="AA197" s="10"/>
      <c r="AB197" s="10"/>
      <c r="AC197" s="10"/>
      <c r="AD197" s="10"/>
      <c r="AE197" s="10"/>
      <c r="AF197" s="10"/>
      <c r="AG197" s="10"/>
      <c r="AH197" s="10"/>
      <c r="AI197" s="114"/>
      <c r="AJ197" s="10"/>
      <c r="AK197" s="10"/>
    </row>
    <row r="198" spans="2:37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17" t="e">
        <f t="shared" si="652"/>
        <v>#DIV/0!</v>
      </c>
      <c r="Y198" s="111">
        <f>PV($C$1, ($AH$3-$Y$3), 0, -AH98)+PV($C$1, ($AG$3-$Y$3), 0, -AH98)+PV($C$1, ($AF$3-$Y$3), 0, -AH98)+PV($C$1, ($AE$3-$Y$3), 0, -AH98)+PV($C$1, ($AD$3-$Y$3), 0, -AH98)+PV($C$1, ($AC$3-$Y$3), 0, -AH98)+PV($C$1, ($AB$3-$Y$3), 0, -AH98)+PV($C$1, ($AA$3-$Y$3), 0, -AH98)+PV($C$1, ($Z$3-$Y$3), 0, -AH98)+PV($C$1, ($Y$3-$Y$3), 0, -AH98)</f>
        <v>0</v>
      </c>
      <c r="Z198" s="111" t="e">
        <f>PV($C$1, ($AH$3-$Y$3), 0, -AK98)</f>
        <v>#DIV/0!</v>
      </c>
      <c r="AA198" s="10"/>
      <c r="AB198" s="10"/>
      <c r="AC198" s="10"/>
      <c r="AD198" s="10"/>
      <c r="AE198" s="10"/>
      <c r="AF198" s="10"/>
      <c r="AG198" s="10"/>
      <c r="AH198" s="10"/>
      <c r="AI198" s="114"/>
      <c r="AJ198" s="10"/>
      <c r="AK198" s="10"/>
    </row>
    <row r="199" spans="2:37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7" t="e">
        <f t="shared" si="652"/>
        <v>#DIV/0!</v>
      </c>
      <c r="Y199" s="111">
        <f>PV($C$1, ($AH$3-$Y$3), 0, -AH99)+PV($C$1, ($AG$3-$Y$3), 0, -AH99)+PV($C$1, ($AF$3-$Y$3), 0, -AH99)+PV($C$1, ($AE$3-$Y$3), 0, -AH99)+PV($C$1, ($AD$3-$Y$3), 0, -AH99)+PV($C$1, ($AC$3-$Y$3), 0, -AH99)+PV($C$1, ($AB$3-$Y$3), 0, -AH99)+PV($C$1, ($AA$3-$Y$3), 0, -AH99)+PV($C$1, ($Z$3-$Y$3), 0, -AH99)+PV($C$1, ($Y$3-$Y$3), 0, -AH99)</f>
        <v>0</v>
      </c>
      <c r="Z199" s="111" t="e">
        <f>PV($C$1, ($AH$3-$Y$3), 0, -AK99)</f>
        <v>#DIV/0!</v>
      </c>
      <c r="AA199" s="10"/>
      <c r="AB199" s="10"/>
      <c r="AC199" s="10"/>
      <c r="AD199" s="10"/>
      <c r="AE199" s="10"/>
      <c r="AF199" s="10"/>
      <c r="AG199" s="10"/>
      <c r="AH199" s="10"/>
      <c r="AI199" s="114"/>
      <c r="AJ199" s="10"/>
      <c r="AK199" s="10"/>
    </row>
    <row r="200" spans="2:37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95" t="e">
        <f>X197+X198+X199</f>
        <v>#DIV/0!</v>
      </c>
      <c r="Y200" s="95">
        <f t="shared" ref="Y200:Z200" si="653">Y197+Y198+Y199</f>
        <v>0</v>
      </c>
      <c r="Z200" s="95" t="e">
        <f t="shared" si="653"/>
        <v>#DIV/0!</v>
      </c>
      <c r="AA200" s="10"/>
      <c r="AB200" s="10"/>
      <c r="AC200" s="10"/>
      <c r="AD200" s="10"/>
      <c r="AE200" s="10"/>
      <c r="AF200" s="10"/>
      <c r="AG200" s="10"/>
      <c r="AH200" s="10"/>
      <c r="AI200" s="114"/>
      <c r="AJ200" s="10"/>
      <c r="AK200" s="10"/>
    </row>
    <row r="201" spans="2:37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7"/>
      <c r="Y201" s="111"/>
      <c r="Z201" s="111"/>
      <c r="AA201" s="10"/>
      <c r="AB201" s="10"/>
      <c r="AC201" s="10"/>
      <c r="AD201" s="10"/>
      <c r="AE201" s="10"/>
      <c r="AF201" s="10"/>
      <c r="AG201" s="10"/>
      <c r="AH201" s="10"/>
      <c r="AI201" s="114"/>
      <c r="AJ201" s="10"/>
      <c r="AK201" s="10"/>
    </row>
    <row r="202" spans="2:37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7" t="e">
        <f>Y202+Z202</f>
        <v>#DIV/0!</v>
      </c>
      <c r="Y202" s="111">
        <f>PV($C$1, ($AH$3-$Y$3), 0, -AH100)+PV($C$1, ($AG$3-$Y$3), 0, -AH100)+PV($C$1, ($AF$3-$Y$3), 0, -AH100)+PV($C$1, ($AE$3-$Y$3), 0, -AH100)+PV($C$1, ($AD$3-$Y$3), 0, -AH100)+PV($C$1, ($AC$3-$Y$3), 0, -AH100)+PV($C$1, ($AB$3-$Y$3), 0, -AH100)+PV($C$1, ($AA$3-$Y$3), 0, -AH100)+PV($C$1, ($Z$3-$Y$3), 0, -AH100)+PV($C$1, ($Y$3-$Y$3), 0, -AH100)</f>
        <v>0</v>
      </c>
      <c r="Z202" s="111" t="e">
        <f>PV($C$1, ($AH$3-$Y$3), 0, -AK100)</f>
        <v>#DIV/0!</v>
      </c>
      <c r="AA202" s="10"/>
      <c r="AB202" s="10"/>
      <c r="AC202" s="10"/>
      <c r="AD202" s="10"/>
      <c r="AE202" s="10"/>
      <c r="AF202" s="10"/>
      <c r="AG202" s="10"/>
      <c r="AH202" s="10"/>
      <c r="AI202" s="114"/>
      <c r="AJ202" s="10"/>
      <c r="AK202" s="10"/>
    </row>
    <row r="203" spans="2:37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6">
        <v>41729</v>
      </c>
      <c r="U203" s="10" t="s">
        <v>500</v>
      </c>
      <c r="V203" s="10"/>
      <c r="W203" s="10"/>
      <c r="X203" s="10"/>
      <c r="Y203" s="104"/>
      <c r="Z203" s="10"/>
      <c r="AA203" s="10"/>
      <c r="AB203" s="10"/>
      <c r="AC203" s="10"/>
      <c r="AD203" s="10"/>
      <c r="AE203" s="10"/>
      <c r="AF203" s="10"/>
      <c r="AG203" s="10"/>
      <c r="AH203" s="10"/>
      <c r="AI203" s="114"/>
      <c r="AJ203" s="10"/>
      <c r="AK203" s="10"/>
    </row>
    <row r="204" spans="2:37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>
        <v>0</v>
      </c>
      <c r="S204" s="169">
        <v>0</v>
      </c>
      <c r="T204" s="13" t="s">
        <v>332</v>
      </c>
      <c r="U204" s="10" t="s">
        <v>500</v>
      </c>
      <c r="V204" s="10">
        <v>220</v>
      </c>
      <c r="W204" s="13" t="s">
        <v>333</v>
      </c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14"/>
      <c r="AJ204" s="10"/>
      <c r="AK204" s="10"/>
    </row>
    <row r="205" spans="2:37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285</v>
      </c>
      <c r="W205" s="101" t="e">
        <f t="shared" ref="W205:W236" si="654">((U205/G205)^(1/($K$2-$K$1) ))-1</f>
        <v>#DIV/0!</v>
      </c>
      <c r="X205" s="21">
        <v>0.02</v>
      </c>
      <c r="Y205" s="170">
        <v>50</v>
      </c>
      <c r="Z205" s="102">
        <f t="shared" ref="Z205:AH205" si="655">Y205*(1+$X205)</f>
        <v>51</v>
      </c>
      <c r="AA205" s="102">
        <f t="shared" si="655"/>
        <v>52.02</v>
      </c>
      <c r="AB205" s="102">
        <f t="shared" si="655"/>
        <v>53.060400000000001</v>
      </c>
      <c r="AC205" s="102">
        <f t="shared" si="655"/>
        <v>54.121608000000002</v>
      </c>
      <c r="AD205" s="102">
        <f t="shared" si="655"/>
        <v>55.204040160000005</v>
      </c>
      <c r="AE205" s="102">
        <f t="shared" si="655"/>
        <v>56.308120963200004</v>
      </c>
      <c r="AF205" s="102">
        <f t="shared" si="655"/>
        <v>57.434283382464002</v>
      </c>
      <c r="AG205" s="102">
        <f t="shared" si="655"/>
        <v>58.582969050113284</v>
      </c>
      <c r="AH205" s="102">
        <f t="shared" si="655"/>
        <v>59.754628431115549</v>
      </c>
      <c r="AI205" s="115" t="e">
        <f t="shared" ref="AI205:AI212" si="656">((AH205/J205)^(1/($AH$3-$K$1) ))-1</f>
        <v>#DIV/0!</v>
      </c>
      <c r="AJ205" s="21">
        <f t="shared" ref="AJ205:AJ212" si="657">$O$1</f>
        <v>0.01</v>
      </c>
      <c r="AK205" s="108" t="e">
        <f t="shared" ref="AK205:AK216" si="658">(AH205*(1+AI205))/($C$1-AJ205)</f>
        <v>#DIV/0!</v>
      </c>
    </row>
    <row r="206" spans="2:37">
      <c r="B206" s="10" t="s">
        <v>303</v>
      </c>
      <c r="C206" s="15"/>
      <c r="D206" s="15"/>
      <c r="E206" s="15"/>
      <c r="F206" s="15"/>
      <c r="G206" s="15">
        <f t="shared" ref="G206" si="659">G205/G70</f>
        <v>0</v>
      </c>
      <c r="H206" s="15" t="e">
        <f t="shared" ref="H206:I206" si="660">H205/H70</f>
        <v>#DIV/0!</v>
      </c>
      <c r="I206" s="15" t="e">
        <f t="shared" si="660"/>
        <v>#DIV/0!</v>
      </c>
      <c r="J206" s="15" t="e">
        <f t="shared" ref="J206:T206" si="661">J205/J70</f>
        <v>#DIV/0!</v>
      </c>
      <c r="K206" s="15" t="e">
        <f t="shared" si="661"/>
        <v>#DIV/0!</v>
      </c>
      <c r="L206" s="15" t="e">
        <f t="shared" si="661"/>
        <v>#DIV/0!</v>
      </c>
      <c r="M206" s="15" t="e">
        <f t="shared" si="661"/>
        <v>#DIV/0!</v>
      </c>
      <c r="N206" s="15">
        <f t="shared" si="661"/>
        <v>0</v>
      </c>
      <c r="O206" s="15">
        <f t="shared" si="661"/>
        <v>0</v>
      </c>
      <c r="P206" s="15">
        <f t="shared" si="661"/>
        <v>0</v>
      </c>
      <c r="Q206" s="15">
        <f t="shared" si="661"/>
        <v>0</v>
      </c>
      <c r="R206" s="15">
        <f t="shared" si="661"/>
        <v>0</v>
      </c>
      <c r="S206" s="15">
        <f t="shared" si="661"/>
        <v>0</v>
      </c>
      <c r="T206" s="15">
        <f t="shared" si="661"/>
        <v>0</v>
      </c>
      <c r="U206" s="15">
        <f t="shared" ref="U206:V206" si="662">U205/U70</f>
        <v>0</v>
      </c>
      <c r="V206" s="15">
        <f t="shared" si="662"/>
        <v>2.1830290456431536</v>
      </c>
      <c r="W206" s="101" t="e">
        <f t="shared" si="654"/>
        <v>#DIV/0!</v>
      </c>
      <c r="X206" s="109"/>
      <c r="Y206" s="15">
        <f t="shared" ref="Y206:AH206" si="663">Y205/Y70</f>
        <v>0.49316919853326358</v>
      </c>
      <c r="Z206" s="15">
        <f t="shared" si="663"/>
        <v>0.44616802969913699</v>
      </c>
      <c r="AA206" s="15">
        <f t="shared" si="663"/>
        <v>0.40364627660781055</v>
      </c>
      <c r="AB206" s="15">
        <f t="shared" si="663"/>
        <v>0.3651770314632749</v>
      </c>
      <c r="AC206" s="15">
        <f t="shared" si="663"/>
        <v>0.33037407263860114</v>
      </c>
      <c r="AD206" s="15">
        <f t="shared" si="663"/>
        <v>0.29888798710713094</v>
      </c>
      <c r="AE206" s="15">
        <f t="shared" si="663"/>
        <v>0.27040266242283401</v>
      </c>
      <c r="AF206" s="15">
        <f t="shared" si="663"/>
        <v>0.24463211303018831</v>
      </c>
      <c r="AG206" s="15">
        <f t="shared" si="663"/>
        <v>0.22131760904052861</v>
      </c>
      <c r="AH206" s="15">
        <f t="shared" si="663"/>
        <v>0.20022507864849218</v>
      </c>
      <c r="AI206" s="115" t="e">
        <f t="shared" ref="AI206" si="664">((AH206/J206)^(1/($AH$3-$K$1) ))-1</f>
        <v>#DIV/0!</v>
      </c>
      <c r="AJ206" s="21">
        <f t="shared" si="657"/>
        <v>0.01</v>
      </c>
      <c r="AK206" s="108" t="e">
        <f t="shared" ref="AK206" si="665">(AH206*(1+AI206))/($C$1-AJ206)</f>
        <v>#DIV/0!</v>
      </c>
    </row>
    <row r="207" spans="2:37">
      <c r="B207" s="10" t="s">
        <v>331</v>
      </c>
      <c r="C207" s="15"/>
      <c r="D207" s="15"/>
      <c r="E207" s="15"/>
      <c r="F207" s="15"/>
      <c r="G207" s="15">
        <f t="shared" ref="G207" si="666">G205/G76</f>
        <v>0</v>
      </c>
      <c r="H207" s="15" t="e">
        <f t="shared" ref="H207:I207" si="667">H205/H76</f>
        <v>#DIV/0!</v>
      </c>
      <c r="I207" s="15" t="e">
        <f t="shared" si="667"/>
        <v>#DIV/0!</v>
      </c>
      <c r="J207" s="15" t="e">
        <f t="shared" ref="J207:T207" si="668">J205/J76</f>
        <v>#DIV/0!</v>
      </c>
      <c r="K207" s="15" t="e">
        <f t="shared" si="668"/>
        <v>#DIV/0!</v>
      </c>
      <c r="L207" s="15" t="e">
        <f t="shared" si="668"/>
        <v>#DIV/0!</v>
      </c>
      <c r="M207" s="15" t="e">
        <f t="shared" si="668"/>
        <v>#DIV/0!</v>
      </c>
      <c r="N207" s="15">
        <f t="shared" si="668"/>
        <v>0</v>
      </c>
      <c r="O207" s="15">
        <f t="shared" si="668"/>
        <v>0</v>
      </c>
      <c r="P207" s="15">
        <f t="shared" si="668"/>
        <v>0</v>
      </c>
      <c r="Q207" s="15">
        <f t="shared" si="668"/>
        <v>0</v>
      </c>
      <c r="R207" s="15">
        <f t="shared" si="668"/>
        <v>0</v>
      </c>
      <c r="S207" s="15">
        <f t="shared" si="668"/>
        <v>0</v>
      </c>
      <c r="T207" s="15">
        <f t="shared" si="668"/>
        <v>0</v>
      </c>
      <c r="U207" s="15">
        <f t="shared" ref="U207:V207" si="669">U205/U76</f>
        <v>0</v>
      </c>
      <c r="V207" s="15">
        <f t="shared" si="669"/>
        <v>10.960625</v>
      </c>
      <c r="W207" s="101" t="e">
        <f t="shared" si="654"/>
        <v>#DIV/0!</v>
      </c>
      <c r="X207" s="109"/>
      <c r="Y207" s="102">
        <f t="shared" ref="Y207:AH207" si="670">Y205/Y76</f>
        <v>2.0466521739130439</v>
      </c>
      <c r="Z207" s="102">
        <f t="shared" si="670"/>
        <v>1.8515973232514182</v>
      </c>
      <c r="AA207" s="102">
        <f t="shared" si="670"/>
        <v>1.6751320479224139</v>
      </c>
      <c r="AB207" s="102">
        <f t="shared" si="670"/>
        <v>1.515484680572591</v>
      </c>
      <c r="AC207" s="102">
        <f t="shared" si="670"/>
        <v>1.3710524014501948</v>
      </c>
      <c r="AD207" s="102">
        <f t="shared" si="670"/>
        <v>1.2403851464945936</v>
      </c>
      <c r="AE207" s="102">
        <f t="shared" si="670"/>
        <v>1.1221710490547612</v>
      </c>
      <c r="AF207" s="102">
        <f t="shared" si="670"/>
        <v>1.0152232690752814</v>
      </c>
      <c r="AG207" s="102">
        <f t="shared" si="670"/>
        <v>0.91846807751819359</v>
      </c>
      <c r="AH207" s="102">
        <f t="shared" si="670"/>
        <v>0.83093407639124228</v>
      </c>
      <c r="AI207" s="115" t="e">
        <f t="shared" si="656"/>
        <v>#DIV/0!</v>
      </c>
      <c r="AJ207" s="21">
        <f t="shared" si="657"/>
        <v>0.01</v>
      </c>
      <c r="AK207" s="108" t="e">
        <f t="shared" si="658"/>
        <v>#DIV/0!</v>
      </c>
    </row>
    <row r="208" spans="2:37">
      <c r="B208" s="10" t="s">
        <v>403</v>
      </c>
      <c r="C208" s="15"/>
      <c r="D208" s="15"/>
      <c r="E208" s="15"/>
      <c r="F208" s="15"/>
      <c r="G208" s="15">
        <f t="shared" ref="G208" si="671">G205/G74</f>
        <v>0</v>
      </c>
      <c r="H208" s="15" t="e">
        <f t="shared" ref="H208:I208" si="672">H205/H74</f>
        <v>#DIV/0!</v>
      </c>
      <c r="I208" s="15" t="e">
        <f t="shared" si="672"/>
        <v>#DIV/0!</v>
      </c>
      <c r="J208" s="15" t="e">
        <f t="shared" ref="J208:T208" si="673">J205/J74</f>
        <v>#DIV/0!</v>
      </c>
      <c r="K208" s="15" t="e">
        <f t="shared" si="673"/>
        <v>#DIV/0!</v>
      </c>
      <c r="L208" s="15" t="e">
        <f t="shared" si="673"/>
        <v>#DIV/0!</v>
      </c>
      <c r="M208" s="15" t="e">
        <f t="shared" si="673"/>
        <v>#DIV/0!</v>
      </c>
      <c r="N208" s="15">
        <f t="shared" si="673"/>
        <v>0</v>
      </c>
      <c r="O208" s="15">
        <f t="shared" si="673"/>
        <v>0</v>
      </c>
      <c r="P208" s="15">
        <f t="shared" si="673"/>
        <v>0</v>
      </c>
      <c r="Q208" s="15">
        <f t="shared" si="673"/>
        <v>0</v>
      </c>
      <c r="R208" s="15">
        <f t="shared" si="673"/>
        <v>0</v>
      </c>
      <c r="S208" s="15">
        <f t="shared" si="673"/>
        <v>0</v>
      </c>
      <c r="T208" s="15">
        <f t="shared" si="673"/>
        <v>0</v>
      </c>
      <c r="U208" s="15">
        <f t="shared" ref="U208:V208" si="674">U205/U74</f>
        <v>0</v>
      </c>
      <c r="V208" s="15">
        <f t="shared" si="674"/>
        <v>6.9407651715039584</v>
      </c>
      <c r="W208" s="101" t="e">
        <f t="shared" si="654"/>
        <v>#DIV/0!</v>
      </c>
      <c r="X208" s="109"/>
      <c r="Y208" s="15">
        <f t="shared" ref="Y208:AH208" si="675">Y205/Y74</f>
        <v>0.59582304917410289</v>
      </c>
      <c r="Z208" s="15">
        <f t="shared" si="675"/>
        <v>0.53903852205281466</v>
      </c>
      <c r="AA208" s="15">
        <f t="shared" si="675"/>
        <v>0.4876658072554334</v>
      </c>
      <c r="AB208" s="15">
        <f t="shared" si="675"/>
        <v>0.44118913553787215</v>
      </c>
      <c r="AC208" s="15">
        <f t="shared" si="675"/>
        <v>0.39914189270748018</v>
      </c>
      <c r="AD208" s="15">
        <f t="shared" si="675"/>
        <v>0.36110193493292392</v>
      </c>
      <c r="AE208" s="15">
        <f t="shared" si="675"/>
        <v>0.32668735052540354</v>
      </c>
      <c r="AF208" s="15">
        <f t="shared" si="675"/>
        <v>0.29555262564054768</v>
      </c>
      <c r="AG208" s="15">
        <f t="shared" si="675"/>
        <v>0.26738517540558765</v>
      </c>
      <c r="AH208" s="15">
        <f t="shared" si="675"/>
        <v>0.24190220564519427</v>
      </c>
      <c r="AI208" s="115" t="e">
        <f t="shared" ref="AI208:AI209" si="676">((AH208/J208)^(1/($AH$3-$K$1) ))-1</f>
        <v>#DIV/0!</v>
      </c>
      <c r="AJ208" s="21">
        <f t="shared" si="657"/>
        <v>0.01</v>
      </c>
      <c r="AK208" s="108" t="e">
        <f t="shared" ref="AK208:AK209" si="677">(AH208*(1+AI208))/($C$1-AJ208)</f>
        <v>#DIV/0!</v>
      </c>
    </row>
    <row r="209" spans="2:37">
      <c r="B209" s="10" t="s">
        <v>404</v>
      </c>
      <c r="C209" s="15"/>
      <c r="D209" s="15"/>
      <c r="E209" s="15"/>
      <c r="F209" s="15"/>
      <c r="G209" s="15">
        <f t="shared" ref="G209" si="678">G205/G75</f>
        <v>0</v>
      </c>
      <c r="H209" s="15" t="e">
        <f t="shared" ref="H209:I209" si="679">H205/H75</f>
        <v>#DIV/0!</v>
      </c>
      <c r="I209" s="15" t="e">
        <f t="shared" si="679"/>
        <v>#DIV/0!</v>
      </c>
      <c r="J209" s="15" t="e">
        <f t="shared" ref="J209:T209" si="680">J205/J75</f>
        <v>#DIV/0!</v>
      </c>
      <c r="K209" s="15" t="e">
        <f t="shared" si="680"/>
        <v>#DIV/0!</v>
      </c>
      <c r="L209" s="15" t="e">
        <f t="shared" si="680"/>
        <v>#DIV/0!</v>
      </c>
      <c r="M209" s="15" t="e">
        <f t="shared" si="680"/>
        <v>#DIV/0!</v>
      </c>
      <c r="N209" s="15">
        <f t="shared" si="680"/>
        <v>0</v>
      </c>
      <c r="O209" s="15">
        <f t="shared" si="680"/>
        <v>0</v>
      </c>
      <c r="P209" s="15">
        <f t="shared" si="680"/>
        <v>0</v>
      </c>
      <c r="Q209" s="15">
        <f t="shared" si="680"/>
        <v>0</v>
      </c>
      <c r="R209" s="15">
        <f t="shared" si="680"/>
        <v>0</v>
      </c>
      <c r="S209" s="15">
        <f t="shared" si="680"/>
        <v>0</v>
      </c>
      <c r="T209" s="15">
        <f t="shared" si="680"/>
        <v>0</v>
      </c>
      <c r="U209" s="15">
        <f t="shared" ref="U209:V209" si="681">U205/U75</f>
        <v>0</v>
      </c>
      <c r="V209" s="15">
        <f t="shared" si="681"/>
        <v>6.9407651715039584</v>
      </c>
      <c r="W209" s="101" t="e">
        <f t="shared" si="654"/>
        <v>#DIV/0!</v>
      </c>
      <c r="X209" s="109"/>
      <c r="Y209" s="15">
        <f t="shared" ref="Y209:AH210" si="682">Y205/Y75</f>
        <v>0.58643328765416725</v>
      </c>
      <c r="Z209" s="15">
        <f t="shared" si="682"/>
        <v>0.53054364563077883</v>
      </c>
      <c r="AA209" s="15">
        <f t="shared" si="682"/>
        <v>0.47998052949066294</v>
      </c>
      <c r="AB209" s="15">
        <f t="shared" si="682"/>
        <v>0.43423629815833542</v>
      </c>
      <c r="AC209" s="15">
        <f t="shared" si="682"/>
        <v>0.39285169095994105</v>
      </c>
      <c r="AD209" s="15">
        <f t="shared" si="682"/>
        <v>0.35541121676062853</v>
      </c>
      <c r="AE209" s="15">
        <f t="shared" si="682"/>
        <v>0.32153898253718077</v>
      </c>
      <c r="AF209" s="15">
        <f t="shared" si="682"/>
        <v>0.29089491950581126</v>
      </c>
      <c r="AG209" s="15">
        <f t="shared" si="682"/>
        <v>0.26317136891638782</v>
      </c>
      <c r="AH209" s="15">
        <f t="shared" si="682"/>
        <v>0.23808999323531299</v>
      </c>
      <c r="AI209" s="115" t="e">
        <f t="shared" si="676"/>
        <v>#DIV/0!</v>
      </c>
      <c r="AJ209" s="21">
        <f t="shared" si="657"/>
        <v>0.01</v>
      </c>
      <c r="AK209" s="108" t="e">
        <f t="shared" si="677"/>
        <v>#DIV/0!</v>
      </c>
    </row>
    <row r="210" spans="2:37">
      <c r="B210" s="10" t="s">
        <v>215</v>
      </c>
      <c r="C210" s="15"/>
      <c r="D210" s="15"/>
      <c r="E210" s="15"/>
      <c r="F210" s="15"/>
      <c r="G210" s="15">
        <f t="shared" ref="G210" si="683">G205/G79</f>
        <v>0</v>
      </c>
      <c r="H210" s="15" t="e">
        <f t="shared" ref="H210:I210" si="684">H205/H79</f>
        <v>#DIV/0!</v>
      </c>
      <c r="I210" s="15" t="e">
        <f t="shared" si="684"/>
        <v>#DIV/0!</v>
      </c>
      <c r="J210" s="15" t="e">
        <f t="shared" ref="J210:T210" si="685">J205/J79</f>
        <v>#DIV/0!</v>
      </c>
      <c r="K210" s="15" t="e">
        <f t="shared" si="685"/>
        <v>#DIV/0!</v>
      </c>
      <c r="L210" s="15" t="e">
        <f t="shared" si="685"/>
        <v>#DIV/0!</v>
      </c>
      <c r="M210" s="15" t="e">
        <f t="shared" si="685"/>
        <v>#DIV/0!</v>
      </c>
      <c r="N210" s="15">
        <f t="shared" si="685"/>
        <v>0</v>
      </c>
      <c r="O210" s="15">
        <f t="shared" si="685"/>
        <v>0</v>
      </c>
      <c r="P210" s="15">
        <f t="shared" si="685"/>
        <v>0</v>
      </c>
      <c r="Q210" s="15">
        <f t="shared" si="685"/>
        <v>0</v>
      </c>
      <c r="R210" s="15">
        <f t="shared" si="685"/>
        <v>0</v>
      </c>
      <c r="S210" s="15">
        <f t="shared" si="685"/>
        <v>0</v>
      </c>
      <c r="T210" s="15">
        <f t="shared" si="685"/>
        <v>0</v>
      </c>
      <c r="U210" s="15">
        <f t="shared" ref="U210:V210" si="686">U205/U79</f>
        <v>0</v>
      </c>
      <c r="V210" s="15">
        <f t="shared" si="686"/>
        <v>1.315275</v>
      </c>
      <c r="W210" s="101" t="e">
        <f t="shared" si="654"/>
        <v>#DIV/0!</v>
      </c>
      <c r="X210" s="109"/>
      <c r="Y210" s="15">
        <f t="shared" si="682"/>
        <v>2.0186916245701146E-2</v>
      </c>
      <c r="Z210" s="102">
        <f t="shared" ref="Z210:AH210" si="687">Z205/Z79</f>
        <v>0.17915794129186435</v>
      </c>
      <c r="AA210" s="102">
        <f t="shared" si="687"/>
        <v>0.16208341053917885</v>
      </c>
      <c r="AB210" s="102">
        <f t="shared" si="687"/>
        <v>0.14663615680431455</v>
      </c>
      <c r="AC210" s="102">
        <f t="shared" si="687"/>
        <v>0.13266109351235555</v>
      </c>
      <c r="AD210" s="102">
        <f t="shared" si="687"/>
        <v>0.12001791451326499</v>
      </c>
      <c r="AE210" s="102">
        <f t="shared" si="687"/>
        <v>0.10857968544313122</v>
      </c>
      <c r="AF210" s="102">
        <f t="shared" si="687"/>
        <v>9.8231569334811933E-2</v>
      </c>
      <c r="AG210" s="102">
        <f t="shared" si="687"/>
        <v>8.8869673683424633E-2</v>
      </c>
      <c r="AH210" s="102">
        <f t="shared" si="687"/>
        <v>8.0400007391508682E-2</v>
      </c>
      <c r="AI210" s="115" t="e">
        <f t="shared" si="656"/>
        <v>#DIV/0!</v>
      </c>
      <c r="AJ210" s="21">
        <f t="shared" si="657"/>
        <v>0.01</v>
      </c>
      <c r="AK210" s="108" t="e">
        <f t="shared" si="658"/>
        <v>#DIV/0!</v>
      </c>
    </row>
    <row r="211" spans="2:37">
      <c r="B211" s="10" t="s">
        <v>216</v>
      </c>
      <c r="C211" s="15"/>
      <c r="D211" s="15"/>
      <c r="E211" s="15"/>
      <c r="F211" s="15"/>
      <c r="G211" s="15">
        <f t="shared" ref="G211" si="688">G205/G88</f>
        <v>0</v>
      </c>
      <c r="H211" s="15" t="e">
        <f t="shared" ref="H211:I211" si="689">H205/H88</f>
        <v>#DIV/0!</v>
      </c>
      <c r="I211" s="15" t="e">
        <f t="shared" si="689"/>
        <v>#DIV/0!</v>
      </c>
      <c r="J211" s="15" t="e">
        <f t="shared" ref="J211:T211" si="690">J205/J88</f>
        <v>#DIV/0!</v>
      </c>
      <c r="K211" s="15" t="e">
        <f t="shared" si="690"/>
        <v>#DIV/0!</v>
      </c>
      <c r="L211" s="15" t="e">
        <f t="shared" si="690"/>
        <v>#DIV/0!</v>
      </c>
      <c r="M211" s="15" t="e">
        <f t="shared" si="690"/>
        <v>#DIV/0!</v>
      </c>
      <c r="N211" s="15">
        <f t="shared" si="690"/>
        <v>0</v>
      </c>
      <c r="O211" s="15">
        <f t="shared" si="690"/>
        <v>0</v>
      </c>
      <c r="P211" s="15">
        <f t="shared" si="690"/>
        <v>0</v>
      </c>
      <c r="Q211" s="15">
        <f t="shared" si="690"/>
        <v>0</v>
      </c>
      <c r="R211" s="15">
        <f t="shared" si="690"/>
        <v>0</v>
      </c>
      <c r="S211" s="15">
        <f t="shared" si="690"/>
        <v>0</v>
      </c>
      <c r="T211" s="15">
        <f t="shared" si="690"/>
        <v>0</v>
      </c>
      <c r="U211" s="15">
        <f t="shared" ref="U211:V211" si="691">U205/U88</f>
        <v>0</v>
      </c>
      <c r="V211" s="15">
        <f t="shared" si="691"/>
        <v>1.902060737527115</v>
      </c>
      <c r="W211" s="101" t="e">
        <f t="shared" si="654"/>
        <v>#DIV/0!</v>
      </c>
      <c r="X211" s="109"/>
      <c r="Y211" s="102">
        <f t="shared" ref="Y211:AH211" si="692">Y205/Y88</f>
        <v>0.34955630638993063</v>
      </c>
      <c r="Z211" s="102">
        <f t="shared" si="692"/>
        <v>0.3162420705809425</v>
      </c>
      <c r="AA211" s="102">
        <f t="shared" si="692"/>
        <v>0.28610282628905442</v>
      </c>
      <c r="AB211" s="102">
        <f t="shared" si="692"/>
        <v>0.2588359830183759</v>
      </c>
      <c r="AC211" s="102">
        <f t="shared" si="692"/>
        <v>0.23416778846288547</v>
      </c>
      <c r="AD211" s="102">
        <f t="shared" si="692"/>
        <v>0.21185058010155311</v>
      </c>
      <c r="AE211" s="102">
        <f t="shared" si="692"/>
        <v>0.19166029872839641</v>
      </c>
      <c r="AF211" s="102">
        <f t="shared" si="692"/>
        <v>0.17339423895393363</v>
      </c>
      <c r="AG211" s="102">
        <f t="shared" si="692"/>
        <v>0.15686901409362827</v>
      </c>
      <c r="AH211" s="102">
        <f t="shared" si="692"/>
        <v>0.14191871501131381</v>
      </c>
      <c r="AI211" s="115" t="e">
        <f t="shared" si="656"/>
        <v>#DIV/0!</v>
      </c>
      <c r="AJ211" s="21">
        <f t="shared" si="657"/>
        <v>0.01</v>
      </c>
      <c r="AK211" s="108" t="e">
        <f t="shared" si="658"/>
        <v>#DIV/0!</v>
      </c>
    </row>
    <row r="212" spans="2:37">
      <c r="B212" s="10" t="s">
        <v>217</v>
      </c>
      <c r="C212" s="15"/>
      <c r="D212" s="15"/>
      <c r="E212" s="15"/>
      <c r="F212" s="15"/>
      <c r="G212" s="15">
        <f t="shared" ref="G212" si="693">G205/G90</f>
        <v>0</v>
      </c>
      <c r="H212" s="15" t="e">
        <f t="shared" ref="H212:I212" si="694">H205/H90</f>
        <v>#DIV/0!</v>
      </c>
      <c r="I212" s="15" t="e">
        <f t="shared" si="694"/>
        <v>#DIV/0!</v>
      </c>
      <c r="J212" s="15" t="e">
        <f t="shared" ref="J212:T212" si="695">J205/J90</f>
        <v>#DIV/0!</v>
      </c>
      <c r="K212" s="15" t="e">
        <f t="shared" si="695"/>
        <v>#DIV/0!</v>
      </c>
      <c r="L212" s="15" t="e">
        <f t="shared" si="695"/>
        <v>#DIV/0!</v>
      </c>
      <c r="M212" s="15" t="e">
        <f t="shared" si="695"/>
        <v>#DIV/0!</v>
      </c>
      <c r="N212" s="15">
        <f t="shared" si="695"/>
        <v>0</v>
      </c>
      <c r="O212" s="15">
        <f t="shared" si="695"/>
        <v>0</v>
      </c>
      <c r="P212" s="15">
        <f t="shared" si="695"/>
        <v>0</v>
      </c>
      <c r="Q212" s="15">
        <f t="shared" si="695"/>
        <v>0</v>
      </c>
      <c r="R212" s="15">
        <f t="shared" si="695"/>
        <v>0</v>
      </c>
      <c r="S212" s="15">
        <f t="shared" si="695"/>
        <v>0</v>
      </c>
      <c r="T212" s="15">
        <f t="shared" si="695"/>
        <v>0</v>
      </c>
      <c r="U212" s="15">
        <f t="shared" ref="U212:V212" si="696">U205/U90</f>
        <v>0</v>
      </c>
      <c r="V212" s="15">
        <f t="shared" si="696"/>
        <v>0.53794478527607359</v>
      </c>
      <c r="W212" s="101" t="e">
        <f t="shared" si="654"/>
        <v>#DIV/0!</v>
      </c>
      <c r="X212" s="109"/>
      <c r="Y212" s="102">
        <f t="shared" ref="Y212:AH212" si="697">Y205/Y90</f>
        <v>8.3707655374766612E-2</v>
      </c>
      <c r="Z212" s="102">
        <f t="shared" si="697"/>
        <v>7.5729951871223639E-2</v>
      </c>
      <c r="AA212" s="102">
        <f t="shared" si="697"/>
        <v>6.8512558197235729E-2</v>
      </c>
      <c r="AB212" s="102">
        <f t="shared" si="697"/>
        <v>6.198301352035137E-2</v>
      </c>
      <c r="AC212" s="102">
        <f t="shared" si="697"/>
        <v>5.6075762840498755E-2</v>
      </c>
      <c r="AD212" s="102">
        <f t="shared" si="697"/>
        <v>5.0731498834134706E-2</v>
      </c>
      <c r="AE212" s="102">
        <f t="shared" si="697"/>
        <v>4.5896566423507604E-2</v>
      </c>
      <c r="AF212" s="102">
        <f t="shared" si="697"/>
        <v>4.1522424093058528E-2</v>
      </c>
      <c r="AG212" s="102">
        <f t="shared" si="697"/>
        <v>3.7565156544711389E-2</v>
      </c>
      <c r="AH212" s="102">
        <f t="shared" si="697"/>
        <v>3.398503379923281E-2</v>
      </c>
      <c r="AI212" s="115" t="e">
        <f t="shared" si="656"/>
        <v>#DIV/0!</v>
      </c>
      <c r="AJ212" s="21">
        <f t="shared" si="657"/>
        <v>0.01</v>
      </c>
      <c r="AK212" s="108" t="e">
        <f t="shared" si="658"/>
        <v>#DIV/0!</v>
      </c>
    </row>
    <row r="213" spans="2:37">
      <c r="B213" s="10" t="s">
        <v>231</v>
      </c>
      <c r="C213" s="15"/>
      <c r="D213" s="15"/>
      <c r="E213" s="15"/>
      <c r="F213" s="15"/>
      <c r="G213" s="155">
        <f t="shared" ref="G213" si="698">G205/G84</f>
        <v>0</v>
      </c>
      <c r="H213" s="155" t="e">
        <f t="shared" ref="H213:I213" si="699">H205/H84</f>
        <v>#DIV/0!</v>
      </c>
      <c r="I213" s="155" t="e">
        <f t="shared" si="699"/>
        <v>#DIV/0!</v>
      </c>
      <c r="J213" s="155" t="e">
        <f t="shared" ref="J213:T213" si="700">J205/J84</f>
        <v>#DIV/0!</v>
      </c>
      <c r="K213" s="155" t="e">
        <f t="shared" si="700"/>
        <v>#DIV/0!</v>
      </c>
      <c r="L213" s="155" t="e">
        <f t="shared" si="700"/>
        <v>#DIV/0!</v>
      </c>
      <c r="M213" s="155" t="e">
        <f t="shared" si="700"/>
        <v>#DIV/0!</v>
      </c>
      <c r="N213" s="155">
        <f t="shared" si="700"/>
        <v>0</v>
      </c>
      <c r="O213" s="155">
        <f t="shared" si="700"/>
        <v>0</v>
      </c>
      <c r="P213" s="155">
        <f t="shared" si="700"/>
        <v>0</v>
      </c>
      <c r="Q213" s="155">
        <f t="shared" si="700"/>
        <v>0</v>
      </c>
      <c r="R213" s="155">
        <f t="shared" si="700"/>
        <v>0</v>
      </c>
      <c r="S213" s="155">
        <f t="shared" si="700"/>
        <v>0</v>
      </c>
      <c r="T213" s="155">
        <f t="shared" si="700"/>
        <v>0</v>
      </c>
      <c r="U213" s="155">
        <f t="shared" ref="U213:V213" si="701">U205/U84</f>
        <v>0</v>
      </c>
      <c r="V213" s="155">
        <f t="shared" si="701"/>
        <v>-1.3393839103869654</v>
      </c>
      <c r="W213" s="101" t="e">
        <f t="shared" si="654"/>
        <v>#DIV/0!</v>
      </c>
      <c r="X213" s="109"/>
      <c r="Y213" s="112">
        <f t="shared" ref="Y213:AH213" si="702">Y205/Y84</f>
        <v>-0.14438463308028526</v>
      </c>
      <c r="Z213" s="112">
        <f t="shared" si="702"/>
        <v>-0.13062414978845985</v>
      </c>
      <c r="AA213" s="112">
        <f t="shared" si="702"/>
        <v>-0.11817510038253359</v>
      </c>
      <c r="AB213" s="112">
        <f t="shared" si="702"/>
        <v>-0.10691249951129389</v>
      </c>
      <c r="AC213" s="112">
        <f t="shared" si="702"/>
        <v>-9.6723273470913182E-2</v>
      </c>
      <c r="AD213" s="112">
        <f t="shared" si="702"/>
        <v>-8.7505124973163553E-2</v>
      </c>
      <c r="AE213" s="112">
        <f t="shared" si="702"/>
        <v>-7.916550610615597E-2</v>
      </c>
      <c r="AF213" s="112">
        <f t="shared" si="702"/>
        <v>-7.1620689176386684E-2</v>
      </c>
      <c r="AG213" s="112">
        <f t="shared" si="702"/>
        <v>-6.4794926103576261E-2</v>
      </c>
      <c r="AH213" s="112">
        <f t="shared" si="702"/>
        <v>-5.8619687928835422E-2</v>
      </c>
      <c r="AI213" s="115" t="e">
        <f t="shared" ref="AI213" si="703">((AH213/J213)^(1/($AH$3-$K$1) ))-1</f>
        <v>#DIV/0!</v>
      </c>
      <c r="AJ213" s="21">
        <f t="shared" ref="AJ213:AJ216" si="704">$O$1</f>
        <v>0.01</v>
      </c>
      <c r="AK213" s="108" t="e">
        <f t="shared" si="658"/>
        <v>#DIV/0!</v>
      </c>
    </row>
    <row r="214" spans="2:37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09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08"/>
    </row>
    <row r="215" spans="2:37">
      <c r="B215" s="10" t="s">
        <v>264</v>
      </c>
      <c r="C215" s="128"/>
      <c r="D215" s="128"/>
      <c r="E215" s="128"/>
      <c r="F215" s="128"/>
      <c r="G215" s="128" t="e">
        <f t="shared" ref="G215" si="705">G63/G205</f>
        <v>#DIV/0!</v>
      </c>
      <c r="H215" s="128" t="e">
        <f t="shared" ref="H215:I215" si="706">H63/H205</f>
        <v>#DIV/0!</v>
      </c>
      <c r="I215" s="128" t="e">
        <f t="shared" si="706"/>
        <v>#DIV/0!</v>
      </c>
      <c r="J215" s="128" t="e">
        <f t="shared" ref="J215:T215" si="707">J63/J205</f>
        <v>#DIV/0!</v>
      </c>
      <c r="K215" s="128" t="e">
        <f t="shared" si="707"/>
        <v>#DIV/0!</v>
      </c>
      <c r="L215" s="128" t="e">
        <f t="shared" si="707"/>
        <v>#DIV/0!</v>
      </c>
      <c r="M215" s="128" t="e">
        <f t="shared" si="707"/>
        <v>#DIV/0!</v>
      </c>
      <c r="N215" s="128" t="e">
        <f t="shared" si="707"/>
        <v>#DIV/0!</v>
      </c>
      <c r="O215" s="128" t="e">
        <f t="shared" si="707"/>
        <v>#VALUE!</v>
      </c>
      <c r="P215" s="128" t="e">
        <f t="shared" si="707"/>
        <v>#VALUE!</v>
      </c>
      <c r="Q215" s="128" t="e">
        <f t="shared" si="707"/>
        <v>#VALUE!</v>
      </c>
      <c r="R215" s="128" t="e">
        <f t="shared" si="707"/>
        <v>#VALUE!</v>
      </c>
      <c r="S215" s="128" t="e">
        <f t="shared" si="707"/>
        <v>#VALUE!</v>
      </c>
      <c r="T215" s="128" t="e">
        <f t="shared" si="707"/>
        <v>#VALUE!</v>
      </c>
      <c r="U215" s="128" t="e">
        <f t="shared" ref="U215:V215" si="708">U63/U205</f>
        <v>#DIV/0!</v>
      </c>
      <c r="V215" s="128">
        <f t="shared" si="708"/>
        <v>3.5087719298245615E-3</v>
      </c>
      <c r="W215" s="101" t="e">
        <f t="shared" si="654"/>
        <v>#DIV/0!</v>
      </c>
      <c r="X215" s="109"/>
      <c r="Y215" s="128">
        <f t="shared" ref="Y215:AH215" si="709">Y63/Y205</f>
        <v>2.0400000000000001E-2</v>
      </c>
      <c r="Z215" s="128">
        <f t="shared" si="709"/>
        <v>2.0400000000000001E-2</v>
      </c>
      <c r="AA215" s="128">
        <f t="shared" si="709"/>
        <v>2.0399999999999998E-2</v>
      </c>
      <c r="AB215" s="128">
        <f t="shared" si="709"/>
        <v>2.0399999999999998E-2</v>
      </c>
      <c r="AC215" s="128">
        <f t="shared" si="709"/>
        <v>2.0399999999999998E-2</v>
      </c>
      <c r="AD215" s="128">
        <f t="shared" si="709"/>
        <v>2.0399999999999998E-2</v>
      </c>
      <c r="AE215" s="128">
        <f t="shared" si="709"/>
        <v>2.0399999999999998E-2</v>
      </c>
      <c r="AF215" s="128">
        <f t="shared" si="709"/>
        <v>2.0400000000000001E-2</v>
      </c>
      <c r="AG215" s="128">
        <f t="shared" si="709"/>
        <v>2.0400000000000001E-2</v>
      </c>
      <c r="AH215" s="128">
        <f t="shared" si="709"/>
        <v>2.0400000000000001E-2</v>
      </c>
      <c r="AI215" s="115" t="e">
        <f t="shared" ref="AI215:AI220" si="710">((AH215/J215)^(1/($AH$3-$K$1) ))-1</f>
        <v>#DIV/0!</v>
      </c>
      <c r="AJ215" s="21">
        <f t="shared" si="704"/>
        <v>0.01</v>
      </c>
      <c r="AK215" s="108" t="e">
        <f t="shared" si="658"/>
        <v>#DIV/0!</v>
      </c>
    </row>
    <row r="216" spans="2:37">
      <c r="B216" s="10" t="s">
        <v>132</v>
      </c>
      <c r="C216" s="128"/>
      <c r="D216" s="128"/>
      <c r="E216" s="128"/>
      <c r="F216" s="128"/>
      <c r="G216" s="138">
        <f t="shared" ref="G216" si="711">G205*G61</f>
        <v>0</v>
      </c>
      <c r="H216" s="138">
        <f t="shared" ref="H216:I216" si="712">H205*H61</f>
        <v>0</v>
      </c>
      <c r="I216" s="138">
        <f t="shared" si="712"/>
        <v>0</v>
      </c>
      <c r="J216" s="138">
        <f t="shared" ref="J216:T216" si="713">J205*J61</f>
        <v>0</v>
      </c>
      <c r="K216" s="138">
        <f t="shared" si="713"/>
        <v>0</v>
      </c>
      <c r="L216" s="138">
        <f t="shared" si="713"/>
        <v>0</v>
      </c>
      <c r="M216" s="138">
        <f t="shared" si="713"/>
        <v>0</v>
      </c>
      <c r="N216" s="138">
        <f t="shared" si="713"/>
        <v>0</v>
      </c>
      <c r="O216" s="138">
        <f t="shared" si="713"/>
        <v>0</v>
      </c>
      <c r="P216" s="138">
        <f t="shared" si="713"/>
        <v>0</v>
      </c>
      <c r="Q216" s="138">
        <f t="shared" si="713"/>
        <v>0</v>
      </c>
      <c r="R216" s="138">
        <f t="shared" si="713"/>
        <v>0</v>
      </c>
      <c r="S216" s="138">
        <f t="shared" si="713"/>
        <v>0</v>
      </c>
      <c r="T216" s="138">
        <f t="shared" si="713"/>
        <v>0</v>
      </c>
      <c r="U216" s="138">
        <f t="shared" ref="U216:V216" si="714">U205*U61</f>
        <v>0</v>
      </c>
      <c r="V216" s="138">
        <f t="shared" si="714"/>
        <v>2630.55</v>
      </c>
      <c r="W216" s="101" t="e">
        <f t="shared" si="654"/>
        <v>#DIV/0!</v>
      </c>
      <c r="X216" s="109"/>
      <c r="Y216" s="138">
        <f t="shared" ref="Y216:AH216" si="715">Y205*Y61</f>
        <v>470.73</v>
      </c>
      <c r="Z216" s="138">
        <f t="shared" si="715"/>
        <v>489.74749200000002</v>
      </c>
      <c r="AA216" s="138">
        <f t="shared" si="715"/>
        <v>509.53329067680011</v>
      </c>
      <c r="AB216" s="138">
        <f t="shared" si="715"/>
        <v>530.1184356201428</v>
      </c>
      <c r="AC216" s="138">
        <f t="shared" si="715"/>
        <v>551.53522041919666</v>
      </c>
      <c r="AD216" s="138">
        <f t="shared" si="715"/>
        <v>573.81724332413216</v>
      </c>
      <c r="AE216" s="138">
        <f t="shared" si="715"/>
        <v>596.99945995442715</v>
      </c>
      <c r="AF216" s="138">
        <f t="shared" si="715"/>
        <v>621.118238136586</v>
      </c>
      <c r="AG216" s="138">
        <f t="shared" si="715"/>
        <v>646.21141495730399</v>
      </c>
      <c r="AH216" s="138">
        <f t="shared" si="715"/>
        <v>672.31835612157909</v>
      </c>
      <c r="AI216" s="115" t="e">
        <f t="shared" si="710"/>
        <v>#DIV/0!</v>
      </c>
      <c r="AJ216" s="21">
        <f t="shared" si="704"/>
        <v>0.01</v>
      </c>
      <c r="AK216" s="108" t="e">
        <f t="shared" si="658"/>
        <v>#DIV/0!</v>
      </c>
    </row>
    <row r="217" spans="2:37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5"/>
      <c r="V217" s="155"/>
      <c r="W217" s="155"/>
      <c r="X217" s="109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12"/>
      <c r="AI217" s="112"/>
      <c r="AJ217" s="112"/>
      <c r="AK217" s="108"/>
    </row>
    <row r="218" spans="2:37">
      <c r="B218" s="10" t="s">
        <v>313</v>
      </c>
      <c r="C218" s="135"/>
      <c r="D218" s="135"/>
      <c r="E218" s="135"/>
      <c r="F218" s="135"/>
      <c r="G218" s="135" t="e">
        <f t="shared" ref="G218" si="716">G76/G205</f>
        <v>#DIV/0!</v>
      </c>
      <c r="H218" s="135" t="e">
        <f t="shared" ref="H218:I218" si="717">H76/H205</f>
        <v>#DIV/0!</v>
      </c>
      <c r="I218" s="135" t="e">
        <f t="shared" si="717"/>
        <v>#DIV/0!</v>
      </c>
      <c r="J218" s="135" t="e">
        <f t="shared" ref="J218:T218" si="718">J76/J205</f>
        <v>#DIV/0!</v>
      </c>
      <c r="K218" s="135" t="e">
        <f t="shared" si="718"/>
        <v>#DIV/0!</v>
      </c>
      <c r="L218" s="135" t="e">
        <f t="shared" si="718"/>
        <v>#DIV/0!</v>
      </c>
      <c r="M218" s="135" t="e">
        <f t="shared" si="718"/>
        <v>#DIV/0!</v>
      </c>
      <c r="N218" s="135" t="e">
        <f t="shared" si="718"/>
        <v>#DIV/0!</v>
      </c>
      <c r="O218" s="135" t="e">
        <f t="shared" si="718"/>
        <v>#DIV/0!</v>
      </c>
      <c r="P218" s="135" t="e">
        <f t="shared" si="718"/>
        <v>#DIV/0!</v>
      </c>
      <c r="Q218" s="135" t="e">
        <f t="shared" si="718"/>
        <v>#DIV/0!</v>
      </c>
      <c r="R218" s="135" t="e">
        <f t="shared" si="718"/>
        <v>#DIV/0!</v>
      </c>
      <c r="S218" s="135" t="e">
        <f t="shared" si="718"/>
        <v>#DIV/0!</v>
      </c>
      <c r="T218" s="135" t="e">
        <f t="shared" si="718"/>
        <v>#DIV/0!</v>
      </c>
      <c r="U218" s="135" t="e">
        <f t="shared" ref="U218:V218" si="719">U76/U205</f>
        <v>#DIV/0!</v>
      </c>
      <c r="V218" s="135">
        <f t="shared" si="719"/>
        <v>9.1235673148200941E-2</v>
      </c>
      <c r="W218" s="101" t="e">
        <f t="shared" si="654"/>
        <v>#DIV/0!</v>
      </c>
      <c r="X218" s="109"/>
      <c r="Y218" s="135">
        <f t="shared" ref="Y218:AH218" si="720">Y76/Y205</f>
        <v>0.48860280840396825</v>
      </c>
      <c r="Z218" s="135">
        <f t="shared" si="720"/>
        <v>0.54007423074256378</v>
      </c>
      <c r="AA218" s="135">
        <f t="shared" si="720"/>
        <v>0.59696786366200327</v>
      </c>
      <c r="AB218" s="135">
        <f t="shared" si="720"/>
        <v>0.6598549050473892</v>
      </c>
      <c r="AC218" s="135">
        <f t="shared" si="720"/>
        <v>0.72936672511005141</v>
      </c>
      <c r="AD218" s="135">
        <f t="shared" si="720"/>
        <v>0.80620120518700411</v>
      </c>
      <c r="AE218" s="135">
        <f t="shared" si="720"/>
        <v>0.89112974429551572</v>
      </c>
      <c r="AF218" s="135">
        <f t="shared" si="720"/>
        <v>0.98500500378685418</v>
      </c>
      <c r="AG218" s="135">
        <f t="shared" si="720"/>
        <v>1.0887694678535971</v>
      </c>
      <c r="AH218" s="135">
        <f t="shared" si="720"/>
        <v>1.2034649058358675</v>
      </c>
      <c r="AI218" s="115" t="e">
        <f t="shared" ref="AI218" si="721">((AH218/J218)^(1/($AH$3-$K$1) ))-1</f>
        <v>#DIV/0!</v>
      </c>
      <c r="AJ218" s="21">
        <f t="shared" ref="AJ218" si="722">$O$1</f>
        <v>0.01</v>
      </c>
      <c r="AK218" s="108" t="e">
        <f t="shared" ref="AK218" si="723">(AH218*(1+AI218))/($C$1-AJ218)</f>
        <v>#DIV/0!</v>
      </c>
    </row>
    <row r="219" spans="2:37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724">G207</f>
        <v>0</v>
      </c>
      <c r="H219" s="154" t="e">
        <f t="shared" ref="H219:I219" si="725">H207</f>
        <v>#DIV/0!</v>
      </c>
      <c r="I219" s="154" t="e">
        <f t="shared" si="725"/>
        <v>#DIV/0!</v>
      </c>
      <c r="J219" s="154" t="e">
        <f t="shared" ref="J219:T219" si="726">J207</f>
        <v>#DIV/0!</v>
      </c>
      <c r="K219" s="154" t="e">
        <f t="shared" si="726"/>
        <v>#DIV/0!</v>
      </c>
      <c r="L219" s="154" t="e">
        <f t="shared" si="726"/>
        <v>#DIV/0!</v>
      </c>
      <c r="M219" s="154" t="e">
        <f t="shared" si="726"/>
        <v>#DIV/0!</v>
      </c>
      <c r="N219" s="154">
        <f t="shared" si="726"/>
        <v>0</v>
      </c>
      <c r="O219" s="154">
        <f t="shared" si="726"/>
        <v>0</v>
      </c>
      <c r="P219" s="154">
        <f t="shared" si="726"/>
        <v>0</v>
      </c>
      <c r="Q219" s="154">
        <f t="shared" si="726"/>
        <v>0</v>
      </c>
      <c r="R219" s="154">
        <f t="shared" si="726"/>
        <v>0</v>
      </c>
      <c r="S219" s="154">
        <f t="shared" si="726"/>
        <v>0</v>
      </c>
      <c r="T219" s="154">
        <f t="shared" si="726"/>
        <v>0</v>
      </c>
      <c r="U219" s="154">
        <f t="shared" ref="U219:V219" si="727">U207</f>
        <v>0</v>
      </c>
      <c r="V219" s="154">
        <f t="shared" si="727"/>
        <v>10.960625</v>
      </c>
      <c r="W219" s="101" t="e">
        <f t="shared" si="654"/>
        <v>#DIV/0!</v>
      </c>
      <c r="X219" s="109"/>
      <c r="Y219" s="128">
        <f t="shared" ref="Y219:AH219" si="728">Y207</f>
        <v>2.0466521739130439</v>
      </c>
      <c r="Z219" s="128">
        <f t="shared" si="728"/>
        <v>1.8515973232514182</v>
      </c>
      <c r="AA219" s="128">
        <f t="shared" si="728"/>
        <v>1.6751320479224139</v>
      </c>
      <c r="AB219" s="128">
        <f t="shared" si="728"/>
        <v>1.515484680572591</v>
      </c>
      <c r="AC219" s="128">
        <f t="shared" si="728"/>
        <v>1.3710524014501948</v>
      </c>
      <c r="AD219" s="128">
        <f t="shared" si="728"/>
        <v>1.2403851464945936</v>
      </c>
      <c r="AE219" s="128">
        <f t="shared" si="728"/>
        <v>1.1221710490547612</v>
      </c>
      <c r="AF219" s="128">
        <f t="shared" si="728"/>
        <v>1.0152232690752814</v>
      </c>
      <c r="AG219" s="128">
        <f t="shared" si="728"/>
        <v>0.91846807751819359</v>
      </c>
      <c r="AH219" s="128">
        <f t="shared" si="728"/>
        <v>0.83093407639124228</v>
      </c>
      <c r="AI219" s="115" t="e">
        <f t="shared" ref="AI219" si="729">((AH219/J219)^(1/($AH$3-$K$1) ))-1</f>
        <v>#DIV/0!</v>
      </c>
      <c r="AJ219" s="21">
        <f t="shared" ref="AJ219:AJ221" si="730">$O$1</f>
        <v>0.01</v>
      </c>
      <c r="AK219" s="154" t="e">
        <f>(AK206)/($O$2*100)</f>
        <v>#DIV/0!</v>
      </c>
    </row>
    <row r="220" spans="2:37">
      <c r="B220" s="10" t="s">
        <v>431</v>
      </c>
      <c r="C220" s="154"/>
      <c r="D220" s="154"/>
      <c r="E220" s="154"/>
      <c r="F220" s="154"/>
      <c r="G220" s="154">
        <f t="shared" ref="G220" si="731">(G207)/($O$2*100)</f>
        <v>0</v>
      </c>
      <c r="H220" s="154" t="e">
        <f t="shared" ref="H220:I220" si="732">(H207)/($O$2*100)</f>
        <v>#DIV/0!</v>
      </c>
      <c r="I220" s="154" t="e">
        <f t="shared" si="732"/>
        <v>#DIV/0!</v>
      </c>
      <c r="J220" s="154" t="e">
        <f t="shared" ref="J220:T220" si="733">(J207)/($O$2*100)</f>
        <v>#DIV/0!</v>
      </c>
      <c r="K220" s="154" t="e">
        <f t="shared" si="733"/>
        <v>#DIV/0!</v>
      </c>
      <c r="L220" s="154" t="e">
        <f t="shared" si="733"/>
        <v>#DIV/0!</v>
      </c>
      <c r="M220" s="154" t="e">
        <f t="shared" si="733"/>
        <v>#DIV/0!</v>
      </c>
      <c r="N220" s="154">
        <f t="shared" si="733"/>
        <v>0</v>
      </c>
      <c r="O220" s="154">
        <f t="shared" si="733"/>
        <v>0</v>
      </c>
      <c r="P220" s="154">
        <f t="shared" si="733"/>
        <v>0</v>
      </c>
      <c r="Q220" s="154">
        <f t="shared" si="733"/>
        <v>0</v>
      </c>
      <c r="R220" s="154">
        <f t="shared" si="733"/>
        <v>0</v>
      </c>
      <c r="S220" s="154">
        <f t="shared" si="733"/>
        <v>0</v>
      </c>
      <c r="T220" s="154">
        <f t="shared" si="733"/>
        <v>0</v>
      </c>
      <c r="U220" s="154">
        <f t="shared" ref="U220:V220" si="734">(U207)/($O$2*100)</f>
        <v>0</v>
      </c>
      <c r="V220" s="154">
        <f t="shared" si="734"/>
        <v>0.7307083333333334</v>
      </c>
      <c r="W220" s="101" t="e">
        <f t="shared" si="654"/>
        <v>#DIV/0!</v>
      </c>
      <c r="X220" s="109"/>
      <c r="Y220" s="154">
        <f t="shared" ref="Y220:AH220" si="735">(Y207)/($O$2*100)</f>
        <v>0.13644347826086958</v>
      </c>
      <c r="Z220" s="154">
        <f t="shared" si="735"/>
        <v>0.12343982155009454</v>
      </c>
      <c r="AA220" s="154">
        <f t="shared" si="735"/>
        <v>0.11167546986149426</v>
      </c>
      <c r="AB220" s="154">
        <f t="shared" si="735"/>
        <v>0.10103231203817273</v>
      </c>
      <c r="AC220" s="154">
        <f t="shared" si="735"/>
        <v>9.1403493430012986E-2</v>
      </c>
      <c r="AD220" s="154">
        <f t="shared" si="735"/>
        <v>8.2692343099639576E-2</v>
      </c>
      <c r="AE220" s="154">
        <f t="shared" si="735"/>
        <v>7.4811403270317406E-2</v>
      </c>
      <c r="AF220" s="154">
        <f t="shared" si="735"/>
        <v>6.7681551271685431E-2</v>
      </c>
      <c r="AG220" s="154">
        <f t="shared" si="735"/>
        <v>6.1231205167879575E-2</v>
      </c>
      <c r="AH220" s="154">
        <f t="shared" si="735"/>
        <v>5.5395605092749482E-2</v>
      </c>
      <c r="AI220" s="115" t="e">
        <f t="shared" si="710"/>
        <v>#DIV/0!</v>
      </c>
      <c r="AJ220" s="21">
        <f t="shared" si="730"/>
        <v>0.01</v>
      </c>
      <c r="AK220" s="154" t="e">
        <f>(AK207)/($O$2*100)</f>
        <v>#DIV/0!</v>
      </c>
    </row>
    <row r="221" spans="2:37">
      <c r="B221" s="10" t="s">
        <v>432</v>
      </c>
      <c r="C221" s="128"/>
      <c r="D221" s="128"/>
      <c r="E221" s="128"/>
      <c r="F221" s="128"/>
      <c r="G221" s="128">
        <f t="shared" ref="G221" si="736">G220-1</f>
        <v>-1</v>
      </c>
      <c r="H221" s="128" t="e">
        <f t="shared" ref="H221:I221" si="737">H220-1</f>
        <v>#DIV/0!</v>
      </c>
      <c r="I221" s="128" t="e">
        <f t="shared" si="737"/>
        <v>#DIV/0!</v>
      </c>
      <c r="J221" s="128" t="e">
        <f t="shared" ref="J221:S221" si="738">J220-1</f>
        <v>#DIV/0!</v>
      </c>
      <c r="K221" s="128" t="e">
        <f t="shared" si="738"/>
        <v>#DIV/0!</v>
      </c>
      <c r="L221" s="128" t="e">
        <f t="shared" si="738"/>
        <v>#DIV/0!</v>
      </c>
      <c r="M221" s="128" t="e">
        <f t="shared" si="738"/>
        <v>#DIV/0!</v>
      </c>
      <c r="N221" s="128">
        <f t="shared" si="738"/>
        <v>-1</v>
      </c>
      <c r="O221" s="128">
        <f t="shared" si="738"/>
        <v>-1</v>
      </c>
      <c r="P221" s="128">
        <f t="shared" si="738"/>
        <v>-1</v>
      </c>
      <c r="Q221" s="128">
        <f t="shared" si="738"/>
        <v>-1</v>
      </c>
      <c r="R221" s="128">
        <f t="shared" si="738"/>
        <v>-1</v>
      </c>
      <c r="S221" s="128">
        <f t="shared" si="738"/>
        <v>-1</v>
      </c>
      <c r="T221" s="128">
        <f>T220-1</f>
        <v>-1</v>
      </c>
      <c r="U221" s="128">
        <f>U220-1</f>
        <v>-1</v>
      </c>
      <c r="V221" s="128">
        <f>V220-1</f>
        <v>-0.2692916666666666</v>
      </c>
      <c r="W221" s="101">
        <f t="shared" si="654"/>
        <v>0</v>
      </c>
      <c r="X221" s="109"/>
      <c r="Y221" s="128">
        <f t="shared" ref="Y221:AH221" si="739">Y220-1</f>
        <v>-0.86355652173913044</v>
      </c>
      <c r="Z221" s="128">
        <f t="shared" si="739"/>
        <v>-0.87656017844990541</v>
      </c>
      <c r="AA221" s="128">
        <f t="shared" si="739"/>
        <v>-0.88832453013850576</v>
      </c>
      <c r="AB221" s="128">
        <f t="shared" si="739"/>
        <v>-0.89896768796182724</v>
      </c>
      <c r="AC221" s="128">
        <f t="shared" si="739"/>
        <v>-0.90859650656998703</v>
      </c>
      <c r="AD221" s="128">
        <f t="shared" si="739"/>
        <v>-0.91730765690036042</v>
      </c>
      <c r="AE221" s="128">
        <f t="shared" si="739"/>
        <v>-0.92518859672968257</v>
      </c>
      <c r="AF221" s="128">
        <f t="shared" si="739"/>
        <v>-0.9323184487283146</v>
      </c>
      <c r="AG221" s="128">
        <f t="shared" si="739"/>
        <v>-0.93876879483212039</v>
      </c>
      <c r="AH221" s="128">
        <f t="shared" si="739"/>
        <v>-0.94460439490725057</v>
      </c>
      <c r="AI221" s="115" t="e">
        <f t="shared" ref="AI221" si="740">((AH221/J221)^(1/($AH$3-$K$1) ))-1</f>
        <v>#DIV/0!</v>
      </c>
      <c r="AJ221" s="21">
        <f t="shared" si="730"/>
        <v>0.01</v>
      </c>
      <c r="AK221" s="154" t="e">
        <f>(AK208)/($O$2*100)</f>
        <v>#DIV/0!</v>
      </c>
    </row>
    <row r="222" spans="2:37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5"/>
      <c r="V222" s="155"/>
      <c r="W222" s="155"/>
      <c r="X222" s="109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12"/>
      <c r="AI222" s="114"/>
      <c r="AJ222" s="10"/>
      <c r="AK222" s="108"/>
    </row>
    <row r="223" spans="2:37">
      <c r="B223" s="10" t="s">
        <v>502</v>
      </c>
      <c r="C223" s="128"/>
      <c r="D223" s="128"/>
      <c r="E223" s="128"/>
      <c r="F223" s="128"/>
      <c r="G223" s="128" t="e">
        <f t="shared" ref="G223:S223" si="741">1/G224</f>
        <v>#DIV/0!</v>
      </c>
      <c r="H223" s="128" t="e">
        <f t="shared" si="741"/>
        <v>#DIV/0!</v>
      </c>
      <c r="I223" s="128" t="e">
        <f t="shared" si="741"/>
        <v>#DIV/0!</v>
      </c>
      <c r="J223" s="128" t="e">
        <f t="shared" si="741"/>
        <v>#DIV/0!</v>
      </c>
      <c r="K223" s="128" t="e">
        <f t="shared" si="741"/>
        <v>#DIV/0!</v>
      </c>
      <c r="L223" s="128" t="e">
        <f t="shared" si="741"/>
        <v>#DIV/0!</v>
      </c>
      <c r="M223" s="128" t="e">
        <f t="shared" si="741"/>
        <v>#DIV/0!</v>
      </c>
      <c r="N223" s="128" t="e">
        <f t="shared" si="741"/>
        <v>#DIV/0!</v>
      </c>
      <c r="O223" s="128" t="e">
        <f t="shared" si="741"/>
        <v>#DIV/0!</v>
      </c>
      <c r="P223" s="128" t="e">
        <f t="shared" si="741"/>
        <v>#DIV/0!</v>
      </c>
      <c r="Q223" s="128" t="e">
        <f t="shared" si="741"/>
        <v>#DIV/0!</v>
      </c>
      <c r="R223" s="128" t="e">
        <f t="shared" si="741"/>
        <v>#DIV/0!</v>
      </c>
      <c r="S223" s="128" t="e">
        <f t="shared" si="741"/>
        <v>#DIV/0!</v>
      </c>
      <c r="T223" s="128" t="e">
        <f>1/T224</f>
        <v>#DIV/0!</v>
      </c>
      <c r="U223" s="128" t="e">
        <f>1/U224</f>
        <v>#DIV/0!</v>
      </c>
      <c r="V223" s="128">
        <f>1/V224</f>
        <v>3.2122559920929085E-2</v>
      </c>
      <c r="W223" s="101" t="e">
        <f t="shared" si="654"/>
        <v>#DIV/0!</v>
      </c>
      <c r="X223" s="109"/>
      <c r="Y223" s="128">
        <f t="shared" ref="Y223:AH223" si="742">1/Y224</f>
        <v>0.18309859154929578</v>
      </c>
      <c r="Z223" s="128">
        <f t="shared" si="742"/>
        <v>0.17950842308754486</v>
      </c>
      <c r="AA223" s="128">
        <f t="shared" si="742"/>
        <v>0.17598865008582829</v>
      </c>
      <c r="AB223" s="128">
        <f t="shared" si="742"/>
        <v>0.17253789224100813</v>
      </c>
      <c r="AC223" s="128">
        <f t="shared" si="742"/>
        <v>0.16915479631471386</v>
      </c>
      <c r="AD223" s="128">
        <f t="shared" si="742"/>
        <v>0.16583803560266061</v>
      </c>
      <c r="AE223" s="128">
        <f t="shared" si="742"/>
        <v>0.16258630941437316</v>
      </c>
      <c r="AF223" s="128">
        <f t="shared" si="742"/>
        <v>0.15939834256311095</v>
      </c>
      <c r="AG223" s="128">
        <f t="shared" si="742"/>
        <v>0.15627288486579505</v>
      </c>
      <c r="AH223" s="128">
        <f t="shared" si="742"/>
        <v>0.15320871065274025</v>
      </c>
      <c r="AI223" s="115" t="e">
        <f t="shared" ref="AI223" si="743">((AH223/J223)^(1/($AH$3-$K$1) ))-1</f>
        <v>#DIV/0!</v>
      </c>
      <c r="AJ223" s="21">
        <f t="shared" ref="AJ223:AJ226" si="744">$O$1</f>
        <v>0.01</v>
      </c>
      <c r="AK223" s="154" t="e">
        <f>(AK210)/($O$2*100)</f>
        <v>#DIV/0!</v>
      </c>
    </row>
    <row r="224" spans="2:37">
      <c r="B224" s="10" t="s">
        <v>509</v>
      </c>
      <c r="C224" s="110"/>
      <c r="D224" s="110"/>
      <c r="E224" s="110"/>
      <c r="F224" s="110"/>
      <c r="G224" s="112">
        <f t="shared" ref="G224:U224" si="745">G205/$S$174</f>
        <v>0</v>
      </c>
      <c r="H224" s="112">
        <f t="shared" si="745"/>
        <v>0</v>
      </c>
      <c r="I224" s="112">
        <f t="shared" si="745"/>
        <v>0</v>
      </c>
      <c r="J224" s="112">
        <f t="shared" si="745"/>
        <v>0</v>
      </c>
      <c r="K224" s="112">
        <f t="shared" si="745"/>
        <v>0</v>
      </c>
      <c r="L224" s="112">
        <f t="shared" si="745"/>
        <v>0</v>
      </c>
      <c r="M224" s="112">
        <f t="shared" si="745"/>
        <v>0</v>
      </c>
      <c r="N224" s="112">
        <f t="shared" si="745"/>
        <v>0</v>
      </c>
      <c r="O224" s="112">
        <f t="shared" si="745"/>
        <v>0</v>
      </c>
      <c r="P224" s="112">
        <f t="shared" si="745"/>
        <v>0</v>
      </c>
      <c r="Q224" s="112">
        <f t="shared" si="745"/>
        <v>0</v>
      </c>
      <c r="R224" s="112">
        <f t="shared" si="745"/>
        <v>0</v>
      </c>
      <c r="S224" s="112">
        <f t="shared" si="745"/>
        <v>0</v>
      </c>
      <c r="T224" s="112">
        <f t="shared" si="745"/>
        <v>0</v>
      </c>
      <c r="U224" s="112">
        <f t="shared" si="745"/>
        <v>0</v>
      </c>
      <c r="V224" s="112">
        <f>V205/$S$174</f>
        <v>31.130769230769232</v>
      </c>
      <c r="W224" s="101" t="e">
        <f t="shared" si="654"/>
        <v>#DIV/0!</v>
      </c>
      <c r="X224" s="109"/>
      <c r="Y224" s="112">
        <f t="shared" ref="Y224:AH224" si="746">Y205/$S$174</f>
        <v>5.4615384615384617</v>
      </c>
      <c r="Z224" s="112">
        <f t="shared" si="746"/>
        <v>5.5707692307692316</v>
      </c>
      <c r="AA224" s="112">
        <f t="shared" si="746"/>
        <v>5.6821846153846165</v>
      </c>
      <c r="AB224" s="112">
        <f t="shared" si="746"/>
        <v>5.7958283076923083</v>
      </c>
      <c r="AC224" s="112">
        <f t="shared" si="746"/>
        <v>5.9117448738461542</v>
      </c>
      <c r="AD224" s="112">
        <f t="shared" si="746"/>
        <v>6.0299797713230783</v>
      </c>
      <c r="AE224" s="112">
        <f t="shared" si="746"/>
        <v>6.1505793667495396</v>
      </c>
      <c r="AF224" s="112">
        <f t="shared" si="746"/>
        <v>6.27359095408453</v>
      </c>
      <c r="AG224" s="112">
        <f t="shared" si="746"/>
        <v>6.3990627731662206</v>
      </c>
      <c r="AH224" s="112">
        <f t="shared" si="746"/>
        <v>6.527044028629545</v>
      </c>
      <c r="AI224" s="115" t="e">
        <f t="shared" ref="AI224:AI226" si="747">((AH224/J224)^(1/($AH$3-$K$1) ))-1</f>
        <v>#DIV/0!</v>
      </c>
      <c r="AJ224" s="21">
        <f t="shared" si="744"/>
        <v>0.01</v>
      </c>
      <c r="AK224" s="154" t="e">
        <f>(AK210)/($O$2*100)</f>
        <v>#DIV/0!</v>
      </c>
    </row>
    <row r="225" spans="2:37">
      <c r="B225" s="10" t="s">
        <v>431</v>
      </c>
      <c r="C225" s="110"/>
      <c r="D225" s="110"/>
      <c r="E225" s="110"/>
      <c r="F225" s="110"/>
      <c r="G225" s="154">
        <f t="shared" ref="G225" si="748">(G224)/($O$2*100)</f>
        <v>0</v>
      </c>
      <c r="H225" s="154">
        <f t="shared" ref="H225:I225" si="749">(H224)/($O$2*100)</f>
        <v>0</v>
      </c>
      <c r="I225" s="154">
        <f t="shared" si="749"/>
        <v>0</v>
      </c>
      <c r="J225" s="154">
        <f t="shared" ref="J225:T225" si="750">(J224)/($O$2*100)</f>
        <v>0</v>
      </c>
      <c r="K225" s="154">
        <f t="shared" si="750"/>
        <v>0</v>
      </c>
      <c r="L225" s="154">
        <f t="shared" si="750"/>
        <v>0</v>
      </c>
      <c r="M225" s="154">
        <f t="shared" si="750"/>
        <v>0</v>
      </c>
      <c r="N225" s="154">
        <f t="shared" si="750"/>
        <v>0</v>
      </c>
      <c r="O225" s="154">
        <f t="shared" si="750"/>
        <v>0</v>
      </c>
      <c r="P225" s="154">
        <f t="shared" si="750"/>
        <v>0</v>
      </c>
      <c r="Q225" s="154">
        <f t="shared" si="750"/>
        <v>0</v>
      </c>
      <c r="R225" s="154">
        <f t="shared" si="750"/>
        <v>0</v>
      </c>
      <c r="S225" s="154">
        <f t="shared" si="750"/>
        <v>0</v>
      </c>
      <c r="T225" s="154">
        <f t="shared" si="750"/>
        <v>0</v>
      </c>
      <c r="U225" s="154">
        <f t="shared" ref="U225:V225" si="751">(U224)/($O$2*100)</f>
        <v>0</v>
      </c>
      <c r="V225" s="154">
        <f t="shared" si="751"/>
        <v>2.0753846153846154</v>
      </c>
      <c r="W225" s="101" t="e">
        <f t="shared" si="654"/>
        <v>#DIV/0!</v>
      </c>
      <c r="X225" s="109"/>
      <c r="Y225" s="154">
        <f t="shared" ref="Y225:AH225" si="752">(Y224)/($O$2*100)</f>
        <v>0.36410256410256409</v>
      </c>
      <c r="Z225" s="154">
        <f t="shared" si="752"/>
        <v>0.37138461538461542</v>
      </c>
      <c r="AA225" s="154">
        <f t="shared" si="752"/>
        <v>0.37881230769230778</v>
      </c>
      <c r="AB225" s="154">
        <f t="shared" si="752"/>
        <v>0.38638855384615389</v>
      </c>
      <c r="AC225" s="154">
        <f t="shared" si="752"/>
        <v>0.39411632492307697</v>
      </c>
      <c r="AD225" s="154">
        <f t="shared" si="752"/>
        <v>0.40199865142153857</v>
      </c>
      <c r="AE225" s="154">
        <f t="shared" si="752"/>
        <v>0.4100386244499693</v>
      </c>
      <c r="AF225" s="154">
        <f t="shared" si="752"/>
        <v>0.41823939693896867</v>
      </c>
      <c r="AG225" s="154">
        <f t="shared" si="752"/>
        <v>0.42660418487774804</v>
      </c>
      <c r="AH225" s="154">
        <f t="shared" si="752"/>
        <v>0.43513626857530302</v>
      </c>
      <c r="AI225" s="115" t="e">
        <f t="shared" si="747"/>
        <v>#DIV/0!</v>
      </c>
      <c r="AJ225" s="21">
        <f t="shared" si="744"/>
        <v>0.01</v>
      </c>
      <c r="AK225" s="154" t="e">
        <f>(AK211)/($O$2*100)</f>
        <v>#DIV/0!</v>
      </c>
    </row>
    <row r="226" spans="2:37">
      <c r="B226" s="10" t="s">
        <v>433</v>
      </c>
      <c r="C226" s="110"/>
      <c r="D226" s="110"/>
      <c r="E226" s="110"/>
      <c r="F226" s="110"/>
      <c r="G226" s="128">
        <f t="shared" ref="G226" si="753">G225-1</f>
        <v>-1</v>
      </c>
      <c r="H226" s="128">
        <f t="shared" ref="H226:I226" si="754">H225-1</f>
        <v>-1</v>
      </c>
      <c r="I226" s="128">
        <f t="shared" si="754"/>
        <v>-1</v>
      </c>
      <c r="J226" s="128">
        <f t="shared" ref="J226:T226" si="755">J225-1</f>
        <v>-1</v>
      </c>
      <c r="K226" s="128">
        <f t="shared" si="755"/>
        <v>-1</v>
      </c>
      <c r="L226" s="128">
        <f t="shared" si="755"/>
        <v>-1</v>
      </c>
      <c r="M226" s="128">
        <f t="shared" si="755"/>
        <v>-1</v>
      </c>
      <c r="N226" s="128">
        <f t="shared" si="755"/>
        <v>-1</v>
      </c>
      <c r="O226" s="128">
        <f t="shared" si="755"/>
        <v>-1</v>
      </c>
      <c r="P226" s="128">
        <f t="shared" si="755"/>
        <v>-1</v>
      </c>
      <c r="Q226" s="128">
        <f t="shared" si="755"/>
        <v>-1</v>
      </c>
      <c r="R226" s="128">
        <f t="shared" si="755"/>
        <v>-1</v>
      </c>
      <c r="S226" s="128">
        <f t="shared" si="755"/>
        <v>-1</v>
      </c>
      <c r="T226" s="128">
        <f t="shared" si="755"/>
        <v>-1</v>
      </c>
      <c r="U226" s="128">
        <f t="shared" ref="U226:V226" si="756">U225-1</f>
        <v>-1</v>
      </c>
      <c r="V226" s="128">
        <f t="shared" si="756"/>
        <v>1.0753846153846154</v>
      </c>
      <c r="W226" s="101">
        <f t="shared" si="654"/>
        <v>0</v>
      </c>
      <c r="X226" s="109"/>
      <c r="Y226" s="128">
        <f t="shared" ref="Y226:AH226" si="757">Y225-1</f>
        <v>-0.63589743589743586</v>
      </c>
      <c r="Z226" s="128">
        <f t="shared" si="757"/>
        <v>-0.62861538461538458</v>
      </c>
      <c r="AA226" s="128">
        <f t="shared" si="757"/>
        <v>-0.62118769230769222</v>
      </c>
      <c r="AB226" s="128">
        <f t="shared" si="757"/>
        <v>-0.61361144615384611</v>
      </c>
      <c r="AC226" s="128">
        <f t="shared" si="757"/>
        <v>-0.60588367507692298</v>
      </c>
      <c r="AD226" s="128">
        <f t="shared" si="757"/>
        <v>-0.59800134857846143</v>
      </c>
      <c r="AE226" s="128">
        <f t="shared" si="757"/>
        <v>-0.5899613755500307</v>
      </c>
      <c r="AF226" s="128">
        <f t="shared" si="757"/>
        <v>-0.58176060306103139</v>
      </c>
      <c r="AG226" s="128">
        <f t="shared" si="757"/>
        <v>-0.57339581512225202</v>
      </c>
      <c r="AH226" s="128">
        <f t="shared" si="757"/>
        <v>-0.56486373142469692</v>
      </c>
      <c r="AI226" s="115">
        <f t="shared" si="747"/>
        <v>-3.1233541367192807E-2</v>
      </c>
      <c r="AJ226" s="21">
        <f t="shared" si="744"/>
        <v>0.01</v>
      </c>
      <c r="AK226" s="154" t="e">
        <f>(AK212)/($O$2*100)</f>
        <v>#DIV/0!</v>
      </c>
    </row>
    <row r="227" spans="2:37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55"/>
      <c r="V227" s="155"/>
      <c r="W227" s="155"/>
      <c r="X227" s="109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4"/>
      <c r="AJ227" s="10"/>
      <c r="AK227" s="10"/>
    </row>
    <row r="228" spans="2:37">
      <c r="B228" s="10" t="s">
        <v>502</v>
      </c>
      <c r="C228" s="110"/>
      <c r="D228" s="110"/>
      <c r="E228" s="110"/>
      <c r="F228" s="110"/>
      <c r="G228" s="128" t="e">
        <f t="shared" ref="G228:V228" si="758">1/G229</f>
        <v>#DIV/0!</v>
      </c>
      <c r="H228" s="128" t="e">
        <f t="shared" si="758"/>
        <v>#DIV/0!</v>
      </c>
      <c r="I228" s="128" t="e">
        <f t="shared" si="758"/>
        <v>#DIV/0!</v>
      </c>
      <c r="J228" s="128" t="e">
        <f t="shared" si="758"/>
        <v>#DIV/0!</v>
      </c>
      <c r="K228" s="128" t="e">
        <f t="shared" si="758"/>
        <v>#DIV/0!</v>
      </c>
      <c r="L228" s="128" t="e">
        <f t="shared" si="758"/>
        <v>#DIV/0!</v>
      </c>
      <c r="M228" s="128" t="e">
        <f t="shared" si="758"/>
        <v>#DIV/0!</v>
      </c>
      <c r="N228" s="128" t="e">
        <f t="shared" si="758"/>
        <v>#DIV/0!</v>
      </c>
      <c r="O228" s="128" t="e">
        <f t="shared" si="758"/>
        <v>#DIV/0!</v>
      </c>
      <c r="P228" s="128" t="e">
        <f t="shared" si="758"/>
        <v>#DIV/0!</v>
      </c>
      <c r="Q228" s="128" t="e">
        <f t="shared" si="758"/>
        <v>#DIV/0!</v>
      </c>
      <c r="R228" s="128" t="e">
        <f t="shared" si="758"/>
        <v>#DIV/0!</v>
      </c>
      <c r="S228" s="128" t="e">
        <f t="shared" si="758"/>
        <v>#DIV/0!</v>
      </c>
      <c r="T228" s="128" t="e">
        <f t="shared" si="758"/>
        <v>#DIV/0!</v>
      </c>
      <c r="U228" s="128" t="e">
        <f t="shared" si="758"/>
        <v>#DIV/0!</v>
      </c>
      <c r="V228" s="128">
        <f t="shared" si="758"/>
        <v>7.5345460074889278E-2</v>
      </c>
      <c r="W228" s="101" t="e">
        <f t="shared" si="654"/>
        <v>#DIV/0!</v>
      </c>
      <c r="X228" s="109"/>
      <c r="Y228" s="128">
        <f t="shared" ref="Y228:AH228" si="759">1/Y229</f>
        <v>0.42946912242686897</v>
      </c>
      <c r="Z228" s="128">
        <f t="shared" si="759"/>
        <v>0.42104815924202837</v>
      </c>
      <c r="AA228" s="128">
        <f t="shared" si="759"/>
        <v>0.41279231298238073</v>
      </c>
      <c r="AB228" s="128">
        <f t="shared" si="759"/>
        <v>0.40469834606115757</v>
      </c>
      <c r="AC228" s="128">
        <f t="shared" si="759"/>
        <v>0.39676308437368385</v>
      </c>
      <c r="AD228" s="128">
        <f t="shared" si="759"/>
        <v>0.3889834160526312</v>
      </c>
      <c r="AE228" s="128">
        <f t="shared" si="759"/>
        <v>0.3813562902476777</v>
      </c>
      <c r="AF228" s="128">
        <f t="shared" si="759"/>
        <v>0.37387871592909577</v>
      </c>
      <c r="AG228" s="128">
        <f t="shared" si="759"/>
        <v>0.36654776071479978</v>
      </c>
      <c r="AH228" s="128">
        <f t="shared" si="759"/>
        <v>0.35936054972039194</v>
      </c>
      <c r="AI228" s="115" t="e">
        <f t="shared" ref="AI228" si="760">((AH228/J228)^(1/($AH$3-$K$1) ))-1</f>
        <v>#DIV/0!</v>
      </c>
      <c r="AJ228" s="21">
        <f t="shared" ref="AJ228" si="761">$O$1</f>
        <v>0.01</v>
      </c>
      <c r="AK228" s="154">
        <f>(AK214)/($O$2*100)</f>
        <v>0</v>
      </c>
    </row>
    <row r="229" spans="2:37">
      <c r="B229" s="10" t="s">
        <v>410</v>
      </c>
      <c r="C229" s="110"/>
      <c r="D229" s="110"/>
      <c r="E229" s="110"/>
      <c r="F229" s="110"/>
      <c r="G229" s="112">
        <f t="shared" ref="G229" si="762">G205/$T$174</f>
        <v>0</v>
      </c>
      <c r="H229" s="112">
        <f t="shared" ref="H229:I229" si="763">H205/$T$174</f>
        <v>0</v>
      </c>
      <c r="I229" s="112">
        <f t="shared" si="763"/>
        <v>0</v>
      </c>
      <c r="J229" s="112">
        <f t="shared" ref="J229:S229" si="764">J205/$T$174</f>
        <v>0</v>
      </c>
      <c r="K229" s="112">
        <f t="shared" si="764"/>
        <v>0</v>
      </c>
      <c r="L229" s="112">
        <f t="shared" si="764"/>
        <v>0</v>
      </c>
      <c r="M229" s="112">
        <f t="shared" si="764"/>
        <v>0</v>
      </c>
      <c r="N229" s="112">
        <f t="shared" si="764"/>
        <v>0</v>
      </c>
      <c r="O229" s="112">
        <f t="shared" si="764"/>
        <v>0</v>
      </c>
      <c r="P229" s="112">
        <f t="shared" si="764"/>
        <v>0</v>
      </c>
      <c r="Q229" s="112">
        <f t="shared" si="764"/>
        <v>0</v>
      </c>
      <c r="R229" s="112">
        <f t="shared" si="764"/>
        <v>0</v>
      </c>
      <c r="S229" s="112">
        <f t="shared" si="764"/>
        <v>0</v>
      </c>
      <c r="T229" s="112">
        <f>T205/$T$174</f>
        <v>0</v>
      </c>
      <c r="U229" s="112">
        <f>U205/$T$174</f>
        <v>0</v>
      </c>
      <c r="V229" s="112">
        <f>V205/$T$174</f>
        <v>13.272199798183653</v>
      </c>
      <c r="W229" s="101" t="e">
        <f t="shared" si="654"/>
        <v>#DIV/0!</v>
      </c>
      <c r="X229" s="109"/>
      <c r="Y229" s="112">
        <f t="shared" ref="Y229:AH229" si="765">Y205/$T$174</f>
        <v>2.3284561049445003</v>
      </c>
      <c r="Z229" s="112">
        <f t="shared" si="765"/>
        <v>2.3750252270433903</v>
      </c>
      <c r="AA229" s="112">
        <f t="shared" si="765"/>
        <v>2.4225257315842583</v>
      </c>
      <c r="AB229" s="112">
        <f t="shared" si="765"/>
        <v>2.4709762462159435</v>
      </c>
      <c r="AC229" s="112">
        <f t="shared" si="765"/>
        <v>2.5203957711402625</v>
      </c>
      <c r="AD229" s="112">
        <f t="shared" si="765"/>
        <v>2.5708036865630679</v>
      </c>
      <c r="AE229" s="112">
        <f t="shared" si="765"/>
        <v>2.6222197602943291</v>
      </c>
      <c r="AF229" s="112">
        <f t="shared" si="765"/>
        <v>2.6746641555002157</v>
      </c>
      <c r="AG229" s="112">
        <f t="shared" si="765"/>
        <v>2.7281574386102201</v>
      </c>
      <c r="AH229" s="112">
        <f t="shared" si="765"/>
        <v>2.7827205873824243</v>
      </c>
      <c r="AI229" s="115" t="e">
        <f t="shared" ref="AI229:AI231" si="766">((AH229/J229)^(1/($AH$3-$K$1) ))-1</f>
        <v>#DIV/0!</v>
      </c>
      <c r="AJ229" s="21">
        <f t="shared" ref="AJ229:AJ231" si="767">$O$1</f>
        <v>0.01</v>
      </c>
      <c r="AK229" s="154">
        <f>(AK214)/($O$2*100)</f>
        <v>0</v>
      </c>
    </row>
    <row r="230" spans="2:37">
      <c r="B230" s="10" t="s">
        <v>431</v>
      </c>
      <c r="C230" s="110"/>
      <c r="D230" s="110"/>
      <c r="E230" s="110"/>
      <c r="F230" s="110"/>
      <c r="G230" s="154">
        <f t="shared" ref="G230" si="768">(G229)/($O$2*100)</f>
        <v>0</v>
      </c>
      <c r="H230" s="154">
        <f t="shared" ref="H230:I230" si="769">(H229)/($O$2*100)</f>
        <v>0</v>
      </c>
      <c r="I230" s="154">
        <f t="shared" si="769"/>
        <v>0</v>
      </c>
      <c r="J230" s="154">
        <f t="shared" ref="J230:T230" si="770">(J229)/($O$2*100)</f>
        <v>0</v>
      </c>
      <c r="K230" s="154">
        <f t="shared" si="770"/>
        <v>0</v>
      </c>
      <c r="L230" s="154">
        <f t="shared" si="770"/>
        <v>0</v>
      </c>
      <c r="M230" s="154">
        <f t="shared" si="770"/>
        <v>0</v>
      </c>
      <c r="N230" s="154">
        <f t="shared" si="770"/>
        <v>0</v>
      </c>
      <c r="O230" s="154">
        <f t="shared" si="770"/>
        <v>0</v>
      </c>
      <c r="P230" s="154">
        <f t="shared" si="770"/>
        <v>0</v>
      </c>
      <c r="Q230" s="154">
        <f t="shared" si="770"/>
        <v>0</v>
      </c>
      <c r="R230" s="154">
        <f t="shared" si="770"/>
        <v>0</v>
      </c>
      <c r="S230" s="154">
        <f t="shared" si="770"/>
        <v>0</v>
      </c>
      <c r="T230" s="154">
        <f t="shared" si="770"/>
        <v>0</v>
      </c>
      <c r="U230" s="154">
        <f t="shared" ref="U230:V230" si="771">(U229)/($O$2*100)</f>
        <v>0</v>
      </c>
      <c r="V230" s="154">
        <f t="shared" si="771"/>
        <v>0.88481331987891021</v>
      </c>
      <c r="W230" s="101" t="e">
        <f t="shared" si="654"/>
        <v>#DIV/0!</v>
      </c>
      <c r="X230" s="109"/>
      <c r="Y230" s="154">
        <f t="shared" ref="Y230:AH230" si="772">(Y229)/($O$2*100)</f>
        <v>0.15523040699630003</v>
      </c>
      <c r="Z230" s="154">
        <f t="shared" si="772"/>
        <v>0.15833501513622603</v>
      </c>
      <c r="AA230" s="154">
        <f t="shared" si="772"/>
        <v>0.16150171543895056</v>
      </c>
      <c r="AB230" s="154">
        <f t="shared" si="772"/>
        <v>0.16473174974772956</v>
      </c>
      <c r="AC230" s="154">
        <f t="shared" si="772"/>
        <v>0.16802638474268417</v>
      </c>
      <c r="AD230" s="154">
        <f t="shared" si="772"/>
        <v>0.17138691243753787</v>
      </c>
      <c r="AE230" s="154">
        <f t="shared" si="772"/>
        <v>0.1748146506862886</v>
      </c>
      <c r="AF230" s="154">
        <f t="shared" si="772"/>
        <v>0.17831094370001438</v>
      </c>
      <c r="AG230" s="154">
        <f t="shared" si="772"/>
        <v>0.18187716257401468</v>
      </c>
      <c r="AH230" s="154">
        <f t="shared" si="772"/>
        <v>0.18551470582549495</v>
      </c>
      <c r="AI230" s="115" t="e">
        <f t="shared" si="766"/>
        <v>#DIV/0!</v>
      </c>
      <c r="AJ230" s="21">
        <f t="shared" si="767"/>
        <v>0.01</v>
      </c>
      <c r="AK230" s="154" t="e">
        <f>(AK215)/($O$2*100)</f>
        <v>#DIV/0!</v>
      </c>
    </row>
    <row r="231" spans="2:37">
      <c r="B231" s="10" t="s">
        <v>433</v>
      </c>
      <c r="C231" s="110"/>
      <c r="D231" s="110"/>
      <c r="E231" s="110"/>
      <c r="F231" s="110"/>
      <c r="G231" s="128">
        <f t="shared" ref="G231" si="773">G230-1</f>
        <v>-1</v>
      </c>
      <c r="H231" s="128">
        <f t="shared" ref="H231:I231" si="774">H230-1</f>
        <v>-1</v>
      </c>
      <c r="I231" s="128">
        <f t="shared" si="774"/>
        <v>-1</v>
      </c>
      <c r="J231" s="128">
        <f t="shared" ref="J231:T231" si="775">J230-1</f>
        <v>-1</v>
      </c>
      <c r="K231" s="128">
        <f t="shared" si="775"/>
        <v>-1</v>
      </c>
      <c r="L231" s="128">
        <f t="shared" si="775"/>
        <v>-1</v>
      </c>
      <c r="M231" s="128">
        <f t="shared" si="775"/>
        <v>-1</v>
      </c>
      <c r="N231" s="128">
        <f t="shared" si="775"/>
        <v>-1</v>
      </c>
      <c r="O231" s="128">
        <f t="shared" si="775"/>
        <v>-1</v>
      </c>
      <c r="P231" s="128">
        <f t="shared" si="775"/>
        <v>-1</v>
      </c>
      <c r="Q231" s="128">
        <f t="shared" si="775"/>
        <v>-1</v>
      </c>
      <c r="R231" s="128">
        <f t="shared" si="775"/>
        <v>-1</v>
      </c>
      <c r="S231" s="128">
        <f t="shared" si="775"/>
        <v>-1</v>
      </c>
      <c r="T231" s="128">
        <f t="shared" si="775"/>
        <v>-1</v>
      </c>
      <c r="U231" s="128">
        <f t="shared" ref="U231:V231" si="776">U230-1</f>
        <v>-1</v>
      </c>
      <c r="V231" s="128">
        <f t="shared" si="776"/>
        <v>-0.11518668012108979</v>
      </c>
      <c r="W231" s="101">
        <f t="shared" si="654"/>
        <v>0</v>
      </c>
      <c r="X231" s="109"/>
      <c r="Y231" s="128">
        <f t="shared" ref="Y231:AH231" si="777">Y230-1</f>
        <v>-0.84476959300370003</v>
      </c>
      <c r="Z231" s="128">
        <f t="shared" si="777"/>
        <v>-0.84166498486377395</v>
      </c>
      <c r="AA231" s="128">
        <f t="shared" si="777"/>
        <v>-0.83849828456104947</v>
      </c>
      <c r="AB231" s="128">
        <f t="shared" si="777"/>
        <v>-0.83526825025227047</v>
      </c>
      <c r="AC231" s="128">
        <f t="shared" si="777"/>
        <v>-0.83197361525731583</v>
      </c>
      <c r="AD231" s="128">
        <f t="shared" si="777"/>
        <v>-0.8286130875624621</v>
      </c>
      <c r="AE231" s="128">
        <f t="shared" si="777"/>
        <v>-0.82518534931371135</v>
      </c>
      <c r="AF231" s="128">
        <f t="shared" si="777"/>
        <v>-0.82168905629998568</v>
      </c>
      <c r="AG231" s="128">
        <f t="shared" si="777"/>
        <v>-0.81812283742598535</v>
      </c>
      <c r="AH231" s="128">
        <f t="shared" si="777"/>
        <v>-0.8144852941745051</v>
      </c>
      <c r="AI231" s="115">
        <f t="shared" si="766"/>
        <v>-1.1335206140567711E-2</v>
      </c>
      <c r="AJ231" s="21">
        <f t="shared" si="767"/>
        <v>0.01</v>
      </c>
      <c r="AK231" s="154" t="e">
        <f>(AK216)/($O$2*100)</f>
        <v>#DIV/0!</v>
      </c>
    </row>
    <row r="232" spans="2:37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55"/>
      <c r="V232" s="155"/>
      <c r="W232" s="155"/>
      <c r="X232" s="109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4"/>
      <c r="AJ232" s="10"/>
      <c r="AK232" s="10"/>
    </row>
    <row r="233" spans="2:37">
      <c r="B233" s="10" t="s">
        <v>503</v>
      </c>
      <c r="C233" s="110"/>
      <c r="D233" s="110"/>
      <c r="E233" s="110"/>
      <c r="F233" s="110"/>
      <c r="G233" s="128" t="e">
        <f t="shared" ref="G233:S233" si="778">1/G234</f>
        <v>#DIV/0!</v>
      </c>
      <c r="H233" s="128" t="e">
        <f t="shared" si="778"/>
        <v>#DIV/0!</v>
      </c>
      <c r="I233" s="128" t="e">
        <f t="shared" si="778"/>
        <v>#DIV/0!</v>
      </c>
      <c r="J233" s="128" t="e">
        <f t="shared" si="778"/>
        <v>#DIV/0!</v>
      </c>
      <c r="K233" s="128" t="e">
        <f t="shared" si="778"/>
        <v>#DIV/0!</v>
      </c>
      <c r="L233" s="128" t="e">
        <f t="shared" si="778"/>
        <v>#DIV/0!</v>
      </c>
      <c r="M233" s="128" t="e">
        <f t="shared" si="778"/>
        <v>#DIV/0!</v>
      </c>
      <c r="N233" s="128" t="e">
        <f t="shared" si="778"/>
        <v>#DIV/0!</v>
      </c>
      <c r="O233" s="128" t="e">
        <f t="shared" si="778"/>
        <v>#DIV/0!</v>
      </c>
      <c r="P233" s="128" t="e">
        <f t="shared" si="778"/>
        <v>#DIV/0!</v>
      </c>
      <c r="Q233" s="128" t="e">
        <f t="shared" si="778"/>
        <v>#DIV/0!</v>
      </c>
      <c r="R233" s="128" t="e">
        <f t="shared" si="778"/>
        <v>#DIV/0!</v>
      </c>
      <c r="S233" s="128" t="e">
        <f t="shared" si="778"/>
        <v>#DIV/0!</v>
      </c>
      <c r="T233" s="128" t="e">
        <f>1/T234</f>
        <v>#DIV/0!</v>
      </c>
      <c r="U233" s="128" t="e">
        <f>1/U234</f>
        <v>#DIV/0!</v>
      </c>
      <c r="V233" s="128">
        <f>1/V234</f>
        <v>7.1726486465296488E-2</v>
      </c>
      <c r="W233" s="101" t="e">
        <f t="shared" si="654"/>
        <v>#DIV/0!</v>
      </c>
      <c r="X233" s="109"/>
      <c r="Y233" s="128">
        <f t="shared" ref="Y233:AH233" si="779">1/Y234</f>
        <v>1063.7313723395603</v>
      </c>
      <c r="Z233" s="128">
        <f t="shared" si="779"/>
        <v>119.85768516038739</v>
      </c>
      <c r="AA233" s="128">
        <f t="shared" si="779"/>
        <v>132.48398494275807</v>
      </c>
      <c r="AB233" s="128">
        <f t="shared" si="779"/>
        <v>146.4403908921297</v>
      </c>
      <c r="AC233" s="128">
        <f t="shared" si="779"/>
        <v>161.8670218434728</v>
      </c>
      <c r="AD233" s="128">
        <f t="shared" si="779"/>
        <v>178.91875732410006</v>
      </c>
      <c r="AE233" s="128">
        <f t="shared" si="779"/>
        <v>197.76679250549313</v>
      </c>
      <c r="AF233" s="128">
        <f t="shared" si="779"/>
        <v>218.60035696012793</v>
      </c>
      <c r="AG233" s="128">
        <f t="shared" si="779"/>
        <v>241.62861447918795</v>
      </c>
      <c r="AH233" s="128">
        <f t="shared" si="779"/>
        <v>267.08276302486172</v>
      </c>
      <c r="AI233" s="115" t="e">
        <f t="shared" ref="AI233:AI236" si="780">((AH233/J233)^(1/($AH$3-$K$1) ))-1</f>
        <v>#DIV/0!</v>
      </c>
      <c r="AJ233" s="21">
        <f t="shared" ref="AJ233:AJ236" si="781">$O$1</f>
        <v>0.01</v>
      </c>
      <c r="AK233" s="154" t="e">
        <f>(AK218)/($O$2*100)</f>
        <v>#DIV/0!</v>
      </c>
    </row>
    <row r="234" spans="2:37">
      <c r="B234" s="10" t="s">
        <v>499</v>
      </c>
      <c r="C234" s="110"/>
      <c r="D234" s="110"/>
      <c r="E234" s="110"/>
      <c r="F234" s="110"/>
      <c r="G234" s="112">
        <f t="shared" ref="G234" si="782">G205/$Y$175</f>
        <v>0</v>
      </c>
      <c r="H234" s="112">
        <f t="shared" ref="H234:S234" si="783">H205/$Y$175</f>
        <v>0</v>
      </c>
      <c r="I234" s="112">
        <f t="shared" si="783"/>
        <v>0</v>
      </c>
      <c r="J234" s="112">
        <f t="shared" si="783"/>
        <v>0</v>
      </c>
      <c r="K234" s="112">
        <f t="shared" si="783"/>
        <v>0</v>
      </c>
      <c r="L234" s="112">
        <f t="shared" si="783"/>
        <v>0</v>
      </c>
      <c r="M234" s="112">
        <f t="shared" si="783"/>
        <v>0</v>
      </c>
      <c r="N234" s="112">
        <f t="shared" si="783"/>
        <v>0</v>
      </c>
      <c r="O234" s="112">
        <f t="shared" si="783"/>
        <v>0</v>
      </c>
      <c r="P234" s="112">
        <f t="shared" si="783"/>
        <v>0</v>
      </c>
      <c r="Q234" s="112">
        <f t="shared" si="783"/>
        <v>0</v>
      </c>
      <c r="R234" s="112">
        <f t="shared" si="783"/>
        <v>0</v>
      </c>
      <c r="S234" s="112">
        <f t="shared" si="783"/>
        <v>0</v>
      </c>
      <c r="T234" s="112">
        <f>T205/$Y$175</f>
        <v>0</v>
      </c>
      <c r="U234" s="112">
        <f>U205/$Y$175</f>
        <v>0</v>
      </c>
      <c r="V234" s="112">
        <f>V205/$Y$175</f>
        <v>13.941851180509603</v>
      </c>
      <c r="W234" s="101" t="e">
        <f t="shared" si="654"/>
        <v>#DIV/0!</v>
      </c>
      <c r="X234" s="109"/>
      <c r="Y234" s="112">
        <f t="shared" ref="Y234:AH234" si="784">Y210/$T$174</f>
        <v>9.4008696744612302E-4</v>
      </c>
      <c r="Z234" s="112">
        <f t="shared" si="784"/>
        <v>8.3432280430065994E-3</v>
      </c>
      <c r="AA234" s="112">
        <f t="shared" si="784"/>
        <v>7.5480821356035356E-3</v>
      </c>
      <c r="AB234" s="112">
        <f t="shared" si="784"/>
        <v>6.8287170903321053E-3</v>
      </c>
      <c r="AC234" s="112">
        <f t="shared" si="784"/>
        <v>6.1779106615491514E-3</v>
      </c>
      <c r="AD234" s="112">
        <f t="shared" si="784"/>
        <v>5.5891289150223804E-3</v>
      </c>
      <c r="AE234" s="112">
        <f t="shared" si="784"/>
        <v>5.0564606288602482E-3</v>
      </c>
      <c r="AF234" s="112">
        <f t="shared" si="784"/>
        <v>4.5745579463184367E-3</v>
      </c>
      <c r="AG234" s="112">
        <f t="shared" si="784"/>
        <v>4.1385826846519142E-3</v>
      </c>
      <c r="AH234" s="112">
        <f t="shared" si="784"/>
        <v>3.744157760966827E-3</v>
      </c>
      <c r="AI234" s="115" t="e">
        <f t="shared" si="780"/>
        <v>#DIV/0!</v>
      </c>
      <c r="AJ234" s="21">
        <f t="shared" si="781"/>
        <v>0.01</v>
      </c>
      <c r="AK234" s="154" t="e">
        <f>(AK219)/($O$2*100)</f>
        <v>#DIV/0!</v>
      </c>
    </row>
    <row r="235" spans="2:37">
      <c r="B235" s="10" t="s">
        <v>431</v>
      </c>
      <c r="C235" s="110"/>
      <c r="D235" s="110"/>
      <c r="E235" s="110"/>
      <c r="F235" s="110"/>
      <c r="G235" s="154">
        <f t="shared" ref="G235" si="785">(G234)/($O$2*100)</f>
        <v>0</v>
      </c>
      <c r="H235" s="154">
        <f t="shared" ref="H235:T235" si="786">(H234)/($O$2*100)</f>
        <v>0</v>
      </c>
      <c r="I235" s="154">
        <f t="shared" si="786"/>
        <v>0</v>
      </c>
      <c r="J235" s="154">
        <f t="shared" si="786"/>
        <v>0</v>
      </c>
      <c r="K235" s="154">
        <f t="shared" si="786"/>
        <v>0</v>
      </c>
      <c r="L235" s="154">
        <f t="shared" si="786"/>
        <v>0</v>
      </c>
      <c r="M235" s="154">
        <f t="shared" si="786"/>
        <v>0</v>
      </c>
      <c r="N235" s="154">
        <f t="shared" si="786"/>
        <v>0</v>
      </c>
      <c r="O235" s="154">
        <f t="shared" si="786"/>
        <v>0</v>
      </c>
      <c r="P235" s="154">
        <f t="shared" si="786"/>
        <v>0</v>
      </c>
      <c r="Q235" s="154">
        <f t="shared" si="786"/>
        <v>0</v>
      </c>
      <c r="R235" s="154">
        <f t="shared" si="786"/>
        <v>0</v>
      </c>
      <c r="S235" s="154">
        <f t="shared" si="786"/>
        <v>0</v>
      </c>
      <c r="T235" s="154">
        <f t="shared" si="786"/>
        <v>0</v>
      </c>
      <c r="U235" s="154">
        <f t="shared" ref="U235:V235" si="787">(U234)/($O$2*100)</f>
        <v>0</v>
      </c>
      <c r="V235" s="154">
        <f t="shared" si="787"/>
        <v>0.92945674536730694</v>
      </c>
      <c r="W235" s="101" t="e">
        <f t="shared" si="654"/>
        <v>#DIV/0!</v>
      </c>
      <c r="X235" s="109"/>
      <c r="Y235" s="154">
        <f t="shared" ref="Y235:AH235" si="788">(Y234)/($O$2*100)</f>
        <v>6.26724644964082E-5</v>
      </c>
      <c r="Z235" s="154">
        <f t="shared" si="788"/>
        <v>5.5621520286710667E-4</v>
      </c>
      <c r="AA235" s="154">
        <f t="shared" si="788"/>
        <v>5.0320547570690242E-4</v>
      </c>
      <c r="AB235" s="154">
        <f t="shared" si="788"/>
        <v>4.5524780602214035E-4</v>
      </c>
      <c r="AC235" s="154">
        <f t="shared" si="788"/>
        <v>4.1186071076994345E-4</v>
      </c>
      <c r="AD235" s="154">
        <f t="shared" si="788"/>
        <v>3.7260859433482535E-4</v>
      </c>
      <c r="AE235" s="154">
        <f t="shared" si="788"/>
        <v>3.3709737525734989E-4</v>
      </c>
      <c r="AF235" s="154">
        <f t="shared" si="788"/>
        <v>3.0497052975456243E-4</v>
      </c>
      <c r="AG235" s="154">
        <f t="shared" si="788"/>
        <v>2.759055123101276E-4</v>
      </c>
      <c r="AH235" s="154">
        <f t="shared" si="788"/>
        <v>2.4961051739778845E-4</v>
      </c>
      <c r="AI235" s="115" t="e">
        <f t="shared" si="780"/>
        <v>#DIV/0!</v>
      </c>
      <c r="AJ235" s="21">
        <f t="shared" si="781"/>
        <v>0.01</v>
      </c>
      <c r="AK235" s="154" t="e">
        <f>(AK220)/($O$2*100)</f>
        <v>#DIV/0!</v>
      </c>
    </row>
    <row r="236" spans="2:37">
      <c r="B236" s="10" t="s">
        <v>433</v>
      </c>
      <c r="C236" s="110"/>
      <c r="D236" s="110"/>
      <c r="E236" s="110"/>
      <c r="F236" s="110"/>
      <c r="G236" s="128">
        <f t="shared" ref="G236" si="789">G235-1</f>
        <v>-1</v>
      </c>
      <c r="H236" s="128">
        <f t="shared" ref="H236:T236" si="790">H235-1</f>
        <v>-1</v>
      </c>
      <c r="I236" s="128">
        <f t="shared" si="790"/>
        <v>-1</v>
      </c>
      <c r="J236" s="128">
        <f t="shared" si="790"/>
        <v>-1</v>
      </c>
      <c r="K236" s="128">
        <f t="shared" si="790"/>
        <v>-1</v>
      </c>
      <c r="L236" s="128">
        <f t="shared" si="790"/>
        <v>-1</v>
      </c>
      <c r="M236" s="128">
        <f t="shared" si="790"/>
        <v>-1</v>
      </c>
      <c r="N236" s="128">
        <f t="shared" si="790"/>
        <v>-1</v>
      </c>
      <c r="O236" s="128">
        <f t="shared" si="790"/>
        <v>-1</v>
      </c>
      <c r="P236" s="128">
        <f t="shared" si="790"/>
        <v>-1</v>
      </c>
      <c r="Q236" s="128">
        <f t="shared" si="790"/>
        <v>-1</v>
      </c>
      <c r="R236" s="128">
        <f t="shared" si="790"/>
        <v>-1</v>
      </c>
      <c r="S236" s="128">
        <f t="shared" si="790"/>
        <v>-1</v>
      </c>
      <c r="T236" s="128">
        <f t="shared" si="790"/>
        <v>-1</v>
      </c>
      <c r="U236" s="128">
        <f t="shared" ref="U236:V236" si="791">U235-1</f>
        <v>-1</v>
      </c>
      <c r="V236" s="128">
        <f t="shared" si="791"/>
        <v>-7.0543254632693064E-2</v>
      </c>
      <c r="W236" s="101">
        <f t="shared" si="654"/>
        <v>0</v>
      </c>
      <c r="X236" s="109"/>
      <c r="Y236" s="128">
        <f t="shared" ref="Y236:AH236" si="792">Y235-1</f>
        <v>-0.99993732753550357</v>
      </c>
      <c r="Z236" s="128">
        <f t="shared" si="792"/>
        <v>-0.99944378479713292</v>
      </c>
      <c r="AA236" s="128">
        <f t="shared" si="792"/>
        <v>-0.99949679452429308</v>
      </c>
      <c r="AB236" s="128">
        <f t="shared" si="792"/>
        <v>-0.99954475219397787</v>
      </c>
      <c r="AC236" s="128">
        <f t="shared" si="792"/>
        <v>-0.99958813928923007</v>
      </c>
      <c r="AD236" s="128">
        <f t="shared" si="792"/>
        <v>-0.99962739140566514</v>
      </c>
      <c r="AE236" s="128">
        <f t="shared" si="792"/>
        <v>-0.99966290262474267</v>
      </c>
      <c r="AF236" s="128">
        <f t="shared" si="792"/>
        <v>-0.99969502947024547</v>
      </c>
      <c r="AG236" s="128">
        <f t="shared" si="792"/>
        <v>-0.99972409448768984</v>
      </c>
      <c r="AH236" s="128">
        <f t="shared" si="792"/>
        <v>-0.9997503894826022</v>
      </c>
      <c r="AI236" s="115">
        <f t="shared" si="780"/>
        <v>-1.3868885786583185E-5</v>
      </c>
      <c r="AJ236" s="21">
        <f t="shared" si="781"/>
        <v>0.01</v>
      </c>
      <c r="AK236" s="154" t="e">
        <f>(AK221)/($O$2*100)</f>
        <v>#DIV/0!</v>
      </c>
    </row>
    <row r="237" spans="2:37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55"/>
      <c r="V237" s="155"/>
      <c r="W237" s="155"/>
      <c r="X237" s="109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4"/>
      <c r="AJ237" s="10"/>
      <c r="AK237" s="10"/>
    </row>
    <row r="238" spans="2:37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2"/>
      <c r="O238" s="173"/>
      <c r="P238" s="112"/>
      <c r="Q238" s="112"/>
      <c r="R238" s="112"/>
      <c r="S238" s="112"/>
      <c r="T238" s="112"/>
      <c r="U238" s="112"/>
      <c r="V238" s="112"/>
      <c r="W238" s="109"/>
      <c r="X238" s="109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4"/>
      <c r="AJ238" s="10"/>
      <c r="AK238" s="10"/>
    </row>
    <row r="239" spans="2:37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09"/>
      <c r="X239" s="109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4"/>
      <c r="AJ239" s="10"/>
      <c r="AK239" s="10"/>
    </row>
    <row r="240" spans="2:37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2" t="s">
        <v>293</v>
      </c>
      <c r="O240" s="313"/>
      <c r="P240" s="10"/>
      <c r="Q240" s="10"/>
      <c r="R240" s="10"/>
      <c r="S240" s="93" t="s">
        <v>372</v>
      </c>
      <c r="T240" s="167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14"/>
      <c r="AJ240" s="10"/>
      <c r="AK240" s="10"/>
    </row>
    <row r="241" spans="2:48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 t="e">
        <f>(U205-Z192)/U205</f>
        <v>#DIV/0!</v>
      </c>
      <c r="T241" s="109" t="e">
        <f>(U205-Y192)/U205</f>
        <v>#DIV/0!</v>
      </c>
      <c r="U241" s="109"/>
      <c r="V241" s="109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14"/>
      <c r="AJ241" s="10"/>
      <c r="AK241" s="10"/>
    </row>
    <row r="242" spans="2:48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5">
        <f>$O$241</f>
        <v>1</v>
      </c>
      <c r="O242" s="10"/>
      <c r="P242" s="109" t="e">
        <f>(S205-(N242*X183))/S205</f>
        <v>#DIV/0!</v>
      </c>
      <c r="Q242" s="10"/>
      <c r="R242" s="10"/>
      <c r="S242" s="109" t="e">
        <f>(U205-Z183)/U205</f>
        <v>#DIV/0!</v>
      </c>
      <c r="T242" s="109" t="e">
        <f>(U205-Y183)/U205</f>
        <v>#DIV/0!</v>
      </c>
      <c r="U242" s="109"/>
      <c r="V242" s="109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14"/>
      <c r="AJ242" s="10"/>
      <c r="AK242" s="10"/>
    </row>
    <row r="243" spans="2:48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$O$241</f>
        <v>1</v>
      </c>
      <c r="O243" s="10"/>
      <c r="P243" s="109" t="e">
        <f>(S205-(N243*X176))/S205</f>
        <v>#DIV/0!</v>
      </c>
      <c r="Q243" s="10"/>
      <c r="R243" s="10"/>
      <c r="S243" s="109" t="e">
        <f>(U205-Z176)/U205</f>
        <v>#DIV/0!</v>
      </c>
      <c r="T243" s="109" t="e">
        <f>(U205-Y176)/U205</f>
        <v>#DIV/0!</v>
      </c>
      <c r="U243" s="109"/>
      <c r="V243" s="109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14"/>
      <c r="AJ243" s="10"/>
      <c r="AK243" s="10"/>
    </row>
    <row r="244" spans="2:48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$O$241</f>
        <v>1</v>
      </c>
      <c r="O244" s="10"/>
      <c r="P244" s="109" t="e">
        <f>(S205-(N244*X189))/S205</f>
        <v>#DIV/0!</v>
      </c>
      <c r="Q244" s="10"/>
      <c r="R244" s="10"/>
      <c r="S244" s="109" t="e">
        <f>(U205-Z189)/U205</f>
        <v>#DIV/0!</v>
      </c>
      <c r="T244" s="109" t="e">
        <f>(U205-Y189)/U205</f>
        <v>#DIV/0!</v>
      </c>
      <c r="U244" s="109"/>
      <c r="V244" s="109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14"/>
      <c r="AJ244" s="10"/>
      <c r="AK244" s="10"/>
    </row>
    <row r="245" spans="2:48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$O$241</f>
        <v>1</v>
      </c>
      <c r="O245" s="10"/>
      <c r="P245" s="109" t="e">
        <f>(S205-(N245*X202))/S205</f>
        <v>#DIV/0!</v>
      </c>
      <c r="Q245" s="10"/>
      <c r="R245" s="10"/>
      <c r="S245" s="109" t="e">
        <f>(U205-Z202)/U205</f>
        <v>#DIV/0!</v>
      </c>
      <c r="T245" s="109" t="e">
        <f>(U205-Y202)/U205</f>
        <v>#DIV/0!</v>
      </c>
      <c r="U245" s="109"/>
      <c r="V245" s="109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14"/>
      <c r="AJ245" s="10"/>
      <c r="AK245" s="10"/>
    </row>
    <row r="246" spans="2:48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 t="e">
        <f>U205/Z175</f>
        <v>#DIV/0!</v>
      </c>
      <c r="T246" s="15">
        <f>U205/Y175</f>
        <v>0</v>
      </c>
      <c r="U246" s="15"/>
      <c r="V246" s="98" t="s">
        <v>5</v>
      </c>
      <c r="W246" s="98" t="s">
        <v>6</v>
      </c>
      <c r="X246" s="98" t="s">
        <v>7</v>
      </c>
      <c r="Y246" s="98" t="s">
        <v>8</v>
      </c>
      <c r="Z246" s="98" t="s">
        <v>9</v>
      </c>
      <c r="AA246" s="98" t="s">
        <v>192</v>
      </c>
      <c r="AB246" s="98" t="s">
        <v>193</v>
      </c>
      <c r="AC246" s="98" t="s">
        <v>194</v>
      </c>
      <c r="AD246" s="98" t="s">
        <v>195</v>
      </c>
      <c r="AE246" s="98" t="s">
        <v>196</v>
      </c>
      <c r="AF246" s="98" t="s">
        <v>349</v>
      </c>
      <c r="AG246" s="98" t="s">
        <v>350</v>
      </c>
      <c r="AH246" s="98" t="s">
        <v>351</v>
      </c>
      <c r="AI246" s="98" t="s">
        <v>352</v>
      </c>
      <c r="AJ246" s="98" t="s">
        <v>353</v>
      </c>
      <c r="AK246" s="98" t="s">
        <v>354</v>
      </c>
      <c r="AL246" s="98" t="s">
        <v>355</v>
      </c>
      <c r="AM246" s="98" t="s">
        <v>356</v>
      </c>
      <c r="AN246" s="98" t="s">
        <v>357</v>
      </c>
      <c r="AO246" s="98" t="s">
        <v>358</v>
      </c>
      <c r="AP246" s="98" t="s">
        <v>359</v>
      </c>
      <c r="AQ246" s="98" t="s">
        <v>360</v>
      </c>
      <c r="AR246" s="98" t="s">
        <v>361</v>
      </c>
      <c r="AS246" s="98" t="s">
        <v>362</v>
      </c>
      <c r="AT246" s="98" t="s">
        <v>363</v>
      </c>
      <c r="AU246" s="98" t="s">
        <v>364</v>
      </c>
      <c r="AV246" s="98" t="s">
        <v>365</v>
      </c>
    </row>
    <row r="247" spans="2:48">
      <c r="B247" s="10" t="s">
        <v>313</v>
      </c>
      <c r="C247" s="10"/>
      <c r="D247" s="10"/>
      <c r="E247" s="10"/>
      <c r="F247" s="10"/>
      <c r="G247" s="10"/>
      <c r="H247" s="10"/>
      <c r="I247" s="10"/>
      <c r="J247" s="162" t="s">
        <v>388</v>
      </c>
      <c r="K247" s="163"/>
      <c r="L247" s="162" t="s">
        <v>389</v>
      </c>
      <c r="M247" s="163"/>
      <c r="N247" s="10"/>
      <c r="O247" s="162" t="s">
        <v>390</v>
      </c>
      <c r="P247" s="163"/>
      <c r="Q247" s="162" t="s">
        <v>391</v>
      </c>
      <c r="R247" s="163"/>
      <c r="S247" s="128" t="e">
        <f>1/S246</f>
        <v>#DIV/0!</v>
      </c>
      <c r="T247" s="128" t="e">
        <f>1/T246</f>
        <v>#DIV/0!</v>
      </c>
      <c r="U247" s="128"/>
      <c r="V247" s="110" t="e">
        <f>U205-V248</f>
        <v>#DIV/0!</v>
      </c>
      <c r="W247" s="158" t="e">
        <f>V247-W248</f>
        <v>#DIV/0!</v>
      </c>
      <c r="X247" s="158" t="e">
        <f t="shared" ref="X247:Z247" si="793">W247-X248</f>
        <v>#DIV/0!</v>
      </c>
      <c r="Y247" s="158" t="e">
        <f t="shared" si="793"/>
        <v>#DIV/0!</v>
      </c>
      <c r="Z247" s="158" t="e">
        <f t="shared" si="793"/>
        <v>#DIV/0!</v>
      </c>
      <c r="AA247" s="158" t="e">
        <f>Z247-AA248</f>
        <v>#DIV/0!</v>
      </c>
      <c r="AB247" s="158" t="e">
        <f t="shared" ref="AB247:AE247" si="794">AA247-AB248</f>
        <v>#DIV/0!</v>
      </c>
      <c r="AC247" s="158" t="e">
        <f t="shared" si="794"/>
        <v>#DIV/0!</v>
      </c>
      <c r="AD247" s="158" t="e">
        <f t="shared" si="794"/>
        <v>#DIV/0!</v>
      </c>
      <c r="AE247" s="158" t="e">
        <f t="shared" si="794"/>
        <v>#DIV/0!</v>
      </c>
      <c r="AF247" s="158" t="e">
        <f t="shared" ref="AF247" si="795">AE247-AF248</f>
        <v>#DIV/0!</v>
      </c>
      <c r="AG247" s="158" t="e">
        <f t="shared" ref="AG247" si="796">AF247-AG248</f>
        <v>#DIV/0!</v>
      </c>
      <c r="AH247" s="158" t="e">
        <f t="shared" ref="AH247" si="797">AG247-AH248</f>
        <v>#DIV/0!</v>
      </c>
      <c r="AI247" s="158" t="e">
        <f t="shared" ref="AI247" si="798">AH247-AI248</f>
        <v>#DIV/0!</v>
      </c>
      <c r="AJ247" s="158" t="e">
        <f t="shared" ref="AJ247" si="799">AI247-AJ248</f>
        <v>#DIV/0!</v>
      </c>
      <c r="AK247" s="158" t="e">
        <f t="shared" ref="AK247" si="800">AJ247-AK248</f>
        <v>#DIV/0!</v>
      </c>
      <c r="AL247" s="158" t="e">
        <f t="shared" ref="AL247" si="801">AK247-AL248</f>
        <v>#DIV/0!</v>
      </c>
      <c r="AM247" s="158" t="e">
        <f t="shared" ref="AM247" si="802">AL247-AM248</f>
        <v>#DIV/0!</v>
      </c>
      <c r="AN247" s="158" t="e">
        <f t="shared" ref="AN247" si="803">AM247-AN248</f>
        <v>#DIV/0!</v>
      </c>
      <c r="AO247" s="158" t="e">
        <f t="shared" ref="AO247" si="804">AN247-AO248</f>
        <v>#DIV/0!</v>
      </c>
      <c r="AP247" s="158" t="e">
        <f t="shared" ref="AP247" si="805">AO247-AP248</f>
        <v>#DIV/0!</v>
      </c>
      <c r="AQ247" s="158" t="e">
        <f t="shared" ref="AQ247" si="806">AP247-AQ248</f>
        <v>#DIV/0!</v>
      </c>
      <c r="AR247" s="158" t="e">
        <f t="shared" ref="AR247" si="807">AQ247-AR248</f>
        <v>#DIV/0!</v>
      </c>
      <c r="AS247" s="158" t="e">
        <f t="shared" ref="AS247" si="808">AR247-AS248</f>
        <v>#DIV/0!</v>
      </c>
      <c r="AT247" s="158" t="e">
        <f t="shared" ref="AT247" si="809">AS247-AT248</f>
        <v>#DIV/0!</v>
      </c>
      <c r="AU247" s="158" t="e">
        <f t="shared" ref="AU247" si="810">AT247-AU248</f>
        <v>#DIV/0!</v>
      </c>
      <c r="AV247" s="158" t="e">
        <f t="shared" ref="AV247" si="811">AU247-AV248</f>
        <v>#DIV/0!</v>
      </c>
    </row>
    <row r="248" spans="2:48">
      <c r="B248" s="10" t="s">
        <v>338</v>
      </c>
      <c r="C248" s="10"/>
      <c r="D248" s="10"/>
      <c r="E248" s="10"/>
      <c r="F248" s="10"/>
      <c r="G248" s="10"/>
      <c r="H248" s="10"/>
      <c r="I248" s="10"/>
      <c r="J248" s="164">
        <v>0</v>
      </c>
      <c r="K248" s="163"/>
      <c r="L248" s="164">
        <v>0.05</v>
      </c>
      <c r="M248" s="163"/>
      <c r="N248" s="157">
        <v>0.15</v>
      </c>
      <c r="O248" s="164">
        <v>0.12</v>
      </c>
      <c r="P248" s="163"/>
      <c r="Q248" s="164">
        <v>0.2</v>
      </c>
      <c r="R248" s="171" t="s">
        <v>230</v>
      </c>
      <c r="S248" s="154">
        <f>U205/S174</f>
        <v>0</v>
      </c>
      <c r="T248" s="154" t="s">
        <v>408</v>
      </c>
      <c r="U248" s="154"/>
      <c r="V248" s="159" t="e">
        <f>W174*(1+$N$248)</f>
        <v>#DIV/0!</v>
      </c>
      <c r="W248" s="159" t="e">
        <f>V248*(1+$N$248)</f>
        <v>#DIV/0!</v>
      </c>
      <c r="X248" s="159" t="e">
        <f t="shared" ref="X248:AE248" si="812">W248*(1+$N$248)</f>
        <v>#DIV/0!</v>
      </c>
      <c r="Y248" s="159" t="e">
        <f t="shared" si="812"/>
        <v>#DIV/0!</v>
      </c>
      <c r="Z248" s="159" t="e">
        <f t="shared" si="812"/>
        <v>#DIV/0!</v>
      </c>
      <c r="AA248" s="159" t="e">
        <f t="shared" si="812"/>
        <v>#DIV/0!</v>
      </c>
      <c r="AB248" s="159" t="e">
        <f t="shared" si="812"/>
        <v>#DIV/0!</v>
      </c>
      <c r="AC248" s="159" t="e">
        <f t="shared" si="812"/>
        <v>#DIV/0!</v>
      </c>
      <c r="AD248" s="159" t="e">
        <f t="shared" si="812"/>
        <v>#DIV/0!</v>
      </c>
      <c r="AE248" s="159" t="e">
        <f t="shared" si="812"/>
        <v>#DIV/0!</v>
      </c>
      <c r="AF248" s="159" t="e">
        <f t="shared" ref="AF248" si="813">AE248*(1+$N$248)</f>
        <v>#DIV/0!</v>
      </c>
      <c r="AG248" s="159" t="e">
        <f t="shared" ref="AG248" si="814">AF248*(1+$N$248)</f>
        <v>#DIV/0!</v>
      </c>
      <c r="AH248" s="159" t="e">
        <f t="shared" ref="AH248" si="815">AG248*(1+$N$248)</f>
        <v>#DIV/0!</v>
      </c>
      <c r="AI248" s="159" t="e">
        <f t="shared" ref="AI248" si="816">AH248*(1+$N$248)</f>
        <v>#DIV/0!</v>
      </c>
      <c r="AJ248" s="159" t="e">
        <f t="shared" ref="AJ248" si="817">AI248*(1+$N$248)</f>
        <v>#DIV/0!</v>
      </c>
      <c r="AK248" s="159" t="e">
        <f t="shared" ref="AK248" si="818">AJ248*(1+$N$248)</f>
        <v>#DIV/0!</v>
      </c>
      <c r="AL248" s="159" t="e">
        <f t="shared" ref="AL248" si="819">AK248*(1+$N$248)</f>
        <v>#DIV/0!</v>
      </c>
      <c r="AM248" s="159" t="e">
        <f t="shared" ref="AM248" si="820">AL248*(1+$N$248)</f>
        <v>#DIV/0!</v>
      </c>
      <c r="AN248" s="159" t="e">
        <f t="shared" ref="AN248" si="821">AM248*(1+$N$248)</f>
        <v>#DIV/0!</v>
      </c>
      <c r="AO248" s="159" t="e">
        <f t="shared" ref="AO248" si="822">AN248*(1+$N$248)</f>
        <v>#DIV/0!</v>
      </c>
      <c r="AP248" s="159" t="e">
        <f t="shared" ref="AP248" si="823">AO248*(1+$N$248)</f>
        <v>#DIV/0!</v>
      </c>
      <c r="AQ248" s="159" t="e">
        <f t="shared" ref="AQ248" si="824">AP248*(1+$N$248)</f>
        <v>#DIV/0!</v>
      </c>
      <c r="AR248" s="159" t="e">
        <f t="shared" ref="AR248" si="825">AQ248*(1+$N$248)</f>
        <v>#DIV/0!</v>
      </c>
      <c r="AS248" s="159" t="e">
        <f t="shared" ref="AS248" si="826">AR248*(1+$N$248)</f>
        <v>#DIV/0!</v>
      </c>
      <c r="AT248" s="159" t="e">
        <f t="shared" ref="AT248" si="827">AS248*(1+$N$248)</f>
        <v>#DIV/0!</v>
      </c>
      <c r="AU248" s="159" t="e">
        <f t="shared" ref="AU248" si="828">AT248*(1+$N$248)</f>
        <v>#DIV/0!</v>
      </c>
      <c r="AV248" s="159" t="e">
        <f t="shared" ref="AV248" si="829">AU248*(1+$N$248)</f>
        <v>#DIV/0!</v>
      </c>
    </row>
    <row r="249" spans="2:48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4">
        <v>0</v>
      </c>
      <c r="K249" s="165">
        <f>T207</f>
        <v>0</v>
      </c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71" t="s">
        <v>407</v>
      </c>
      <c r="S249" s="154">
        <f>U205/U76</f>
        <v>0</v>
      </c>
      <c r="T249" s="154" t="s">
        <v>408</v>
      </c>
      <c r="U249" s="154"/>
      <c r="V249" s="159">
        <f>T76*(1+$N$249)</f>
        <v>30.989782886334609</v>
      </c>
      <c r="W249" s="159">
        <f>V249*(1+$N$249)</f>
        <v>35.638250319284801</v>
      </c>
      <c r="X249" s="159">
        <f t="shared" ref="X249:AE249" si="830">W249*(1+$N$249)</f>
        <v>40.983987867177518</v>
      </c>
      <c r="Y249" s="159">
        <f t="shared" si="830"/>
        <v>47.131586047254139</v>
      </c>
      <c r="Z249" s="159">
        <f t="shared" si="830"/>
        <v>54.201323954342257</v>
      </c>
      <c r="AA249" s="159">
        <f t="shared" si="830"/>
        <v>62.331522547493591</v>
      </c>
      <c r="AB249" s="159">
        <f t="shared" si="830"/>
        <v>71.681250929617619</v>
      </c>
      <c r="AC249" s="159">
        <f t="shared" si="830"/>
        <v>82.433438569060257</v>
      </c>
      <c r="AD249" s="159">
        <f t="shared" si="830"/>
        <v>94.798454354419292</v>
      </c>
      <c r="AE249" s="159">
        <f t="shared" si="830"/>
        <v>109.01822250758218</v>
      </c>
      <c r="AF249" s="159">
        <f t="shared" ref="AF249" si="831">AE249*(1+$N$249)</f>
        <v>125.3709558837195</v>
      </c>
      <c r="AG249" s="159">
        <f t="shared" ref="AG249" si="832">AF249*(1+$N$249)</f>
        <v>144.17659926627741</v>
      </c>
      <c r="AH249" s="159">
        <f t="shared" ref="AH249" si="833">AG249*(1+$N$249)</f>
        <v>165.80308915621902</v>
      </c>
      <c r="AI249" s="159">
        <f t="shared" ref="AI249" si="834">AH249*(1+$N$249)</f>
        <v>190.67355252965186</v>
      </c>
      <c r="AJ249" s="159">
        <f t="shared" ref="AJ249" si="835">AI249*(1+$N$249)</f>
        <v>219.27458540909961</v>
      </c>
      <c r="AK249" s="159">
        <f t="shared" ref="AK249" si="836">AJ249*(1+$N$249)</f>
        <v>252.16577322046453</v>
      </c>
      <c r="AL249" s="159">
        <f t="shared" ref="AL249" si="837">AK249*(1+$N$249)</f>
        <v>289.99063920353422</v>
      </c>
      <c r="AM249" s="159">
        <f t="shared" ref="AM249" si="838">AL249*(1+$N$249)</f>
        <v>333.48923508406432</v>
      </c>
      <c r="AN249" s="159">
        <f t="shared" ref="AN249" si="839">AM249*(1+$N$249)</f>
        <v>383.51262034667394</v>
      </c>
      <c r="AO249" s="159">
        <f t="shared" ref="AO249" si="840">AN249*(1+$N$249)</f>
        <v>441.03951339867501</v>
      </c>
      <c r="AP249" s="159">
        <f t="shared" ref="AP249" si="841">AO249*(1+$N$249)</f>
        <v>507.1954404084762</v>
      </c>
      <c r="AQ249" s="159">
        <f t="shared" ref="AQ249" si="842">AP249*(1+$N$249)</f>
        <v>583.27475646974756</v>
      </c>
      <c r="AR249" s="159">
        <f t="shared" ref="AR249" si="843">AQ249*(1+$N$249)</f>
        <v>670.76596994020963</v>
      </c>
      <c r="AS249" s="159">
        <f t="shared" ref="AS249" si="844">AR249*(1+$N$249)</f>
        <v>771.38086543124098</v>
      </c>
      <c r="AT249" s="159">
        <f t="shared" ref="AT249" si="845">AS249*(1+$N$249)</f>
        <v>887.087995245927</v>
      </c>
      <c r="AU249" s="159">
        <f t="shared" ref="AU249" si="846">AT249*(1+$N$249)</f>
        <v>1020.151194532816</v>
      </c>
      <c r="AV249" s="159">
        <f t="shared" ref="AV249" si="847">AU249*(1+$N$249)</f>
        <v>1173.1738737127384</v>
      </c>
    </row>
    <row r="250" spans="2:48">
      <c r="B250" s="10"/>
      <c r="C250" s="10"/>
      <c r="D250" s="10"/>
      <c r="E250" s="13" t="s">
        <v>393</v>
      </c>
      <c r="F250" s="13"/>
      <c r="G250" s="13"/>
      <c r="H250" s="13"/>
      <c r="I250" s="12"/>
      <c r="J250" s="164">
        <v>0</v>
      </c>
      <c r="K250" s="165"/>
      <c r="L250" s="164">
        <v>0.05</v>
      </c>
      <c r="M250" s="163"/>
      <c r="N250" s="163"/>
      <c r="O250" s="164">
        <v>0.12</v>
      </c>
      <c r="P250" s="163"/>
      <c r="Q250" s="164">
        <v>0.2</v>
      </c>
      <c r="R250" s="10"/>
      <c r="S250" s="10"/>
      <c r="T250" s="10"/>
      <c r="U250" s="10"/>
      <c r="V250" s="110">
        <f>U205-V249</f>
        <v>-30.989782886334609</v>
      </c>
      <c r="W250" s="158">
        <f>V250-W249</f>
        <v>-66.628033205619403</v>
      </c>
      <c r="X250" s="158">
        <f t="shared" ref="X250:AC250" si="848">W250-X249</f>
        <v>-107.61202107279692</v>
      </c>
      <c r="Y250" s="158">
        <f t="shared" si="848"/>
        <v>-154.74360712005105</v>
      </c>
      <c r="Z250" s="158">
        <f t="shared" si="848"/>
        <v>-208.94493107439331</v>
      </c>
      <c r="AA250" s="158">
        <f t="shared" si="848"/>
        <v>-271.2764536218869</v>
      </c>
      <c r="AB250" s="158">
        <f t="shared" si="848"/>
        <v>-342.95770455150455</v>
      </c>
      <c r="AC250" s="158">
        <f t="shared" si="848"/>
        <v>-425.39114312056483</v>
      </c>
      <c r="AD250" s="158">
        <f>AC250-AD249</f>
        <v>-520.18959747498411</v>
      </c>
      <c r="AE250" s="158">
        <f t="shared" ref="AE250" si="849">AD250-AE249</f>
        <v>-629.20781998256632</v>
      </c>
      <c r="AF250" s="158">
        <f t="shared" ref="AF250" si="850">AE250-AF249</f>
        <v>-754.57877586628581</v>
      </c>
      <c r="AG250" s="158">
        <f t="shared" ref="AG250" si="851">AF250-AG249</f>
        <v>-898.75537513256324</v>
      </c>
      <c r="AH250" s="158">
        <f t="shared" ref="AH250" si="852">AG250-AH249</f>
        <v>-1064.5584642887823</v>
      </c>
      <c r="AI250" s="158">
        <f t="shared" ref="AI250" si="853">AH250-AI249</f>
        <v>-1255.2320168184342</v>
      </c>
      <c r="AJ250" s="158">
        <f t="shared" ref="AJ250" si="854">AI250-AJ249</f>
        <v>-1474.5066022275339</v>
      </c>
      <c r="AK250" s="158">
        <f t="shared" ref="AK250" si="855">AJ250-AK249</f>
        <v>-1726.6723754479985</v>
      </c>
      <c r="AL250" s="158">
        <f t="shared" ref="AL250" si="856">AK250-AL249</f>
        <v>-2016.6630146515326</v>
      </c>
      <c r="AM250" s="158">
        <f t="shared" ref="AM250" si="857">AL250-AM249</f>
        <v>-2350.1522497355968</v>
      </c>
      <c r="AN250" s="158">
        <f t="shared" ref="AN250" si="858">AM250-AN249</f>
        <v>-2733.6648700822707</v>
      </c>
      <c r="AO250" s="158">
        <f t="shared" ref="AO250" si="859">AN250-AO249</f>
        <v>-3174.7043834809456</v>
      </c>
      <c r="AP250" s="158">
        <f t="shared" ref="AP250" si="860">AO250-AP249</f>
        <v>-3681.8998238894219</v>
      </c>
      <c r="AQ250" s="158">
        <f t="shared" ref="AQ250" si="861">AP250-AQ249</f>
        <v>-4265.1745803591693</v>
      </c>
      <c r="AR250" s="158">
        <f t="shared" ref="AR250" si="862">AQ250-AR249</f>
        <v>-4935.9405502993786</v>
      </c>
      <c r="AS250" s="158">
        <f t="shared" ref="AS250" si="863">AR250-AS249</f>
        <v>-5707.3214157306193</v>
      </c>
      <c r="AT250" s="158">
        <f t="shared" ref="AT250" si="864">AS250-AT249</f>
        <v>-6594.4094109765465</v>
      </c>
      <c r="AU250" s="158">
        <f t="shared" ref="AU250" si="865">AT250-AU249</f>
        <v>-7614.5606055093622</v>
      </c>
      <c r="AV250" s="158">
        <f t="shared" ref="AV250" si="866">AU250-AV249</f>
        <v>-8787.7344792221011</v>
      </c>
    </row>
    <row r="251" spans="2:48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spans="2:48">
      <c r="B252" s="10" t="s">
        <v>254</v>
      </c>
      <c r="C252" s="15"/>
      <c r="D252" s="15"/>
      <c r="E252" s="15"/>
      <c r="F252" s="15"/>
      <c r="G252" s="15"/>
      <c r="H252" s="15" t="e">
        <f t="shared" ref="H252:I252" si="867">H10/H7</f>
        <v>#DIV/0!</v>
      </c>
      <c r="I252" s="15" t="e">
        <f t="shared" si="867"/>
        <v>#DIV/0!</v>
      </c>
      <c r="J252" s="15" t="e">
        <f t="shared" ref="J252:T252" si="868">J10/J7</f>
        <v>#DIV/0!</v>
      </c>
      <c r="K252" s="15" t="e">
        <f t="shared" si="868"/>
        <v>#DIV/0!</v>
      </c>
      <c r="L252" s="15" t="e">
        <f t="shared" si="868"/>
        <v>#DIV/0!</v>
      </c>
      <c r="M252" s="15" t="e">
        <f t="shared" si="868"/>
        <v>#DIV/0!</v>
      </c>
      <c r="N252" s="15">
        <f t="shared" si="868"/>
        <v>0.10599571734475374</v>
      </c>
      <c r="O252" s="15">
        <f t="shared" si="868"/>
        <v>0.82146341463414629</v>
      </c>
      <c r="P252" s="15">
        <f t="shared" si="868"/>
        <v>1.1964757709251101</v>
      </c>
      <c r="Q252" s="15">
        <f t="shared" si="868"/>
        <v>1.1964757709251101</v>
      </c>
      <c r="R252" s="15">
        <f t="shared" si="868"/>
        <v>1.5229571984435797</v>
      </c>
      <c r="S252" s="15">
        <f t="shared" si="868"/>
        <v>1.4652822842310189</v>
      </c>
      <c r="T252" s="15">
        <f t="shared" si="868"/>
        <v>1.4179810725552051</v>
      </c>
      <c r="U252" s="15">
        <f t="shared" ref="U252:V252" si="869">U10/U7</f>
        <v>1.7972027972027973</v>
      </c>
      <c r="V252" s="15">
        <f t="shared" si="869"/>
        <v>1.3040494166094716</v>
      </c>
      <c r="W252" s="101" t="e">
        <f t="shared" ref="W252:W254" si="870">((U252/G252)^(1/($K$2-$K$1) ))-1</f>
        <v>#DIV/0!</v>
      </c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2:48">
      <c r="B253" s="10" t="s">
        <v>255</v>
      </c>
      <c r="C253" s="96"/>
      <c r="D253" s="96"/>
      <c r="E253" s="96"/>
      <c r="F253" s="96"/>
      <c r="G253" s="96"/>
      <c r="H253" s="96" t="e">
        <f t="shared" ref="H253:I253" si="871">H10/H12</f>
        <v>#DIV/0!</v>
      </c>
      <c r="I253" s="96" t="e">
        <f t="shared" si="871"/>
        <v>#DIV/0!</v>
      </c>
      <c r="J253" s="96" t="e">
        <f t="shared" ref="J253:T253" si="872">J10/J12</f>
        <v>#DIV/0!</v>
      </c>
      <c r="K253" s="96" t="e">
        <f t="shared" si="872"/>
        <v>#DIV/0!</v>
      </c>
      <c r="L253" s="96" t="e">
        <f t="shared" si="872"/>
        <v>#DIV/0!</v>
      </c>
      <c r="M253" s="96" t="e">
        <f t="shared" si="872"/>
        <v>#DIV/0!</v>
      </c>
      <c r="N253" s="96">
        <f t="shared" si="872"/>
        <v>2.2000000000000002</v>
      </c>
      <c r="O253" s="96">
        <f t="shared" si="872"/>
        <v>2.9858156028368796</v>
      </c>
      <c r="P253" s="96">
        <f t="shared" si="872"/>
        <v>2.9017094017094016</v>
      </c>
      <c r="Q253" s="96">
        <f t="shared" si="872"/>
        <v>2.9017094017094016</v>
      </c>
      <c r="R253" s="96">
        <f t="shared" si="872"/>
        <v>4.0350515463917525</v>
      </c>
      <c r="S253" s="96">
        <f t="shared" si="872"/>
        <v>6.2896935933147633</v>
      </c>
      <c r="T253" s="96">
        <f t="shared" si="872"/>
        <v>41.492307692307691</v>
      </c>
      <c r="U253" s="96">
        <f t="shared" ref="U253:V253" si="873">U10/U12</f>
        <v>31.598360655737704</v>
      </c>
      <c r="V253" s="96">
        <f t="shared" si="873"/>
        <v>3.5087719298245612</v>
      </c>
      <c r="W253" s="101" t="e">
        <f t="shared" si="870"/>
        <v>#DIV/0!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2:48">
      <c r="B254" s="10" t="s">
        <v>256</v>
      </c>
      <c r="C254" s="15"/>
      <c r="D254" s="15"/>
      <c r="E254" s="15"/>
      <c r="F254" s="15"/>
      <c r="G254" s="15"/>
      <c r="H254" s="15" t="e">
        <f t="shared" ref="H254:I254" si="874">H10/(H12+H13)</f>
        <v>#DIV/0!</v>
      </c>
      <c r="I254" s="15" t="e">
        <f t="shared" si="874"/>
        <v>#DIV/0!</v>
      </c>
      <c r="J254" s="15" t="e">
        <f t="shared" ref="J254:T254" si="875">J10/(J12+J13)</f>
        <v>#DIV/0!</v>
      </c>
      <c r="K254" s="15" t="e">
        <f t="shared" si="875"/>
        <v>#DIV/0!</v>
      </c>
      <c r="L254" s="15" t="e">
        <f t="shared" si="875"/>
        <v>#DIV/0!</v>
      </c>
      <c r="M254" s="15" t="e">
        <f t="shared" si="875"/>
        <v>#DIV/0!</v>
      </c>
      <c r="N254" s="15">
        <f t="shared" si="875"/>
        <v>0.56896551724137934</v>
      </c>
      <c r="O254" s="15">
        <f t="shared" si="875"/>
        <v>2.1262626262626263</v>
      </c>
      <c r="P254" s="15">
        <f t="shared" si="875"/>
        <v>2.5719696969696968</v>
      </c>
      <c r="Q254" s="15">
        <f t="shared" si="875"/>
        <v>2.5719696969696968</v>
      </c>
      <c r="R254" s="15">
        <f t="shared" si="875"/>
        <v>3.6307977736549164</v>
      </c>
      <c r="S254" s="15">
        <f t="shared" si="875"/>
        <v>6.2896935933147633</v>
      </c>
      <c r="T254" s="15">
        <f t="shared" si="875"/>
        <v>10.702380952380953</v>
      </c>
      <c r="U254" s="15">
        <f t="shared" ref="U254:V254" si="876">U10/(U12+U13)</f>
        <v>3.292058070025619</v>
      </c>
      <c r="V254" s="15">
        <f t="shared" si="876"/>
        <v>2.7476500361532898</v>
      </c>
      <c r="W254" s="101" t="e">
        <f t="shared" si="870"/>
        <v>#DIV/0!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2:48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2:48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2:37" ht="15" customHeight="1">
      <c r="B257" s="10"/>
      <c r="C257" s="147" t="s">
        <v>319</v>
      </c>
      <c r="D257" s="148"/>
      <c r="E257" s="148"/>
      <c r="F257" s="148"/>
      <c r="G257" s="148"/>
      <c r="H257" s="148"/>
      <c r="I257" s="148"/>
      <c r="J257" s="148"/>
      <c r="K257" s="148"/>
      <c r="L257" s="148"/>
      <c r="M257" s="314" t="s">
        <v>281</v>
      </c>
      <c r="N257" s="314"/>
      <c r="O257" s="314"/>
      <c r="P257" s="315"/>
      <c r="Q257" s="10"/>
      <c r="R257" s="13"/>
      <c r="S257" s="140"/>
      <c r="T257" s="140"/>
      <c r="U257" s="140"/>
      <c r="V257" s="140"/>
      <c r="W257" s="141"/>
      <c r="X257" s="14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2:37">
      <c r="B258" s="10"/>
      <c r="C258" s="139" t="s">
        <v>282</v>
      </c>
      <c r="D258" s="139" t="s">
        <v>0</v>
      </c>
      <c r="E258" s="139" t="s">
        <v>320</v>
      </c>
      <c r="F258" s="139"/>
      <c r="G258" s="139" t="s">
        <v>321</v>
      </c>
      <c r="H258" s="139" t="s">
        <v>322</v>
      </c>
      <c r="I258" s="139" t="s">
        <v>323</v>
      </c>
      <c r="J258" s="139" t="s">
        <v>324</v>
      </c>
      <c r="K258" s="139" t="s">
        <v>325</v>
      </c>
      <c r="L258" s="10"/>
      <c r="M258" s="139" t="s">
        <v>282</v>
      </c>
      <c r="N258" s="139"/>
      <c r="O258" s="139" t="s">
        <v>0</v>
      </c>
      <c r="P258" s="139" t="s">
        <v>314</v>
      </c>
      <c r="Q258" s="10"/>
      <c r="R258" s="10"/>
      <c r="S258" s="142"/>
      <c r="T258" s="142"/>
      <c r="U258" s="142"/>
      <c r="V258" s="142"/>
      <c r="W258" s="143"/>
      <c r="X258" s="143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2:37">
      <c r="B259" s="10"/>
      <c r="C259" s="140" t="s">
        <v>283</v>
      </c>
      <c r="D259" s="11"/>
      <c r="E259" s="149" t="s">
        <v>326</v>
      </c>
      <c r="F259" s="149"/>
      <c r="G259" s="12">
        <v>1</v>
      </c>
      <c r="H259" s="12">
        <v>1</v>
      </c>
      <c r="I259" s="140">
        <f>G259/H259</f>
        <v>1</v>
      </c>
      <c r="J259" s="140">
        <f>I259*D260</f>
        <v>0</v>
      </c>
      <c r="K259" s="150">
        <f>J259+D260</f>
        <v>0</v>
      </c>
      <c r="L259" s="10"/>
      <c r="M259" s="140" t="s">
        <v>283</v>
      </c>
      <c r="N259" s="140"/>
      <c r="O259" s="11">
        <v>1</v>
      </c>
      <c r="P259" s="146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2:37">
      <c r="B260" s="10"/>
      <c r="C260" s="140" t="s">
        <v>284</v>
      </c>
      <c r="D260" s="11"/>
      <c r="E260" s="149" t="s">
        <v>327</v>
      </c>
      <c r="F260" s="149"/>
      <c r="G260" s="12">
        <v>0</v>
      </c>
      <c r="H260" s="12">
        <v>1</v>
      </c>
      <c r="I260" s="140">
        <f>G260/H260</f>
        <v>0</v>
      </c>
      <c r="J260" s="140">
        <f>I260*K259</f>
        <v>0</v>
      </c>
      <c r="K260" s="140">
        <f>J260+K259</f>
        <v>0</v>
      </c>
      <c r="L260" s="10"/>
      <c r="M260" s="140" t="s">
        <v>284</v>
      </c>
      <c r="N260" s="140"/>
      <c r="O260" s="11">
        <v>1</v>
      </c>
      <c r="P260" s="146">
        <f>O260</f>
        <v>1</v>
      </c>
      <c r="Q260" s="10"/>
      <c r="R260" s="10"/>
      <c r="S260" s="140"/>
      <c r="T260" s="140"/>
      <c r="U260" s="140"/>
      <c r="V260" s="140"/>
      <c r="W260" s="141"/>
      <c r="X260" s="14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2:37">
      <c r="B261" s="10"/>
      <c r="C261" s="140" t="s">
        <v>286</v>
      </c>
      <c r="D261" s="141">
        <f>D259*D260</f>
        <v>0</v>
      </c>
      <c r="E261" s="149" t="s">
        <v>339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0</v>
      </c>
      <c r="L261" s="10"/>
      <c r="M261" s="140" t="s">
        <v>285</v>
      </c>
      <c r="N261" s="140"/>
      <c r="O261" s="141">
        <f>O259*O260</f>
        <v>1</v>
      </c>
      <c r="P261" s="146">
        <f>O261</f>
        <v>1</v>
      </c>
      <c r="Q261" s="10"/>
      <c r="R261" s="10"/>
      <c r="S261" s="142"/>
      <c r="T261" s="142"/>
      <c r="U261" s="142"/>
      <c r="V261" s="142"/>
      <c r="W261" s="143"/>
      <c r="X261" s="143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2:37">
      <c r="B262" s="10"/>
      <c r="C262" s="140"/>
      <c r="D262" s="141"/>
      <c r="E262" s="149" t="s">
        <v>394</v>
      </c>
      <c r="F262" s="149"/>
      <c r="G262" s="12">
        <v>0</v>
      </c>
      <c r="H262" s="12">
        <v>1</v>
      </c>
      <c r="I262" s="140">
        <f t="shared" ref="I262:I265" si="877">G262/H262</f>
        <v>0</v>
      </c>
      <c r="J262" s="140">
        <f t="shared" ref="J262:J264" si="878">I262*K261</f>
        <v>0</v>
      </c>
      <c r="K262" s="140">
        <f t="shared" ref="K262:K264" si="879">J262+K261</f>
        <v>0</v>
      </c>
      <c r="L262" s="10"/>
      <c r="M262" s="140" t="s">
        <v>287</v>
      </c>
      <c r="N262" s="140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2:37">
      <c r="B263" s="10"/>
      <c r="C263" s="140"/>
      <c r="D263" s="141"/>
      <c r="E263" s="149" t="s">
        <v>395</v>
      </c>
      <c r="F263" s="149"/>
      <c r="G263" s="12">
        <v>0</v>
      </c>
      <c r="H263" s="12">
        <v>1</v>
      </c>
      <c r="I263" s="140">
        <f t="shared" si="877"/>
        <v>0</v>
      </c>
      <c r="J263" s="140">
        <f t="shared" si="878"/>
        <v>0</v>
      </c>
      <c r="K263" s="140">
        <f t="shared" si="879"/>
        <v>0</v>
      </c>
      <c r="L263" s="10"/>
      <c r="M263" s="140" t="s">
        <v>288</v>
      </c>
      <c r="N263" s="140"/>
      <c r="O263" s="141">
        <f>O262*O260</f>
        <v>1</v>
      </c>
      <c r="P263" s="141">
        <f>P262*P260</f>
        <v>1</v>
      </c>
      <c r="Q263" s="10"/>
      <c r="R263" s="10"/>
      <c r="S263" s="140"/>
      <c r="T263" s="140"/>
      <c r="U263" s="140"/>
      <c r="V263" s="140"/>
      <c r="W263" s="141"/>
      <c r="X263" s="14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2:37">
      <c r="B264" s="10"/>
      <c r="C264" s="140"/>
      <c r="D264" s="141"/>
      <c r="E264" s="149" t="s">
        <v>396</v>
      </c>
      <c r="F264" s="149"/>
      <c r="G264" s="12">
        <v>0</v>
      </c>
      <c r="H264" s="12">
        <v>1</v>
      </c>
      <c r="I264" s="140">
        <f t="shared" si="877"/>
        <v>0</v>
      </c>
      <c r="J264" s="140">
        <f t="shared" si="878"/>
        <v>0</v>
      </c>
      <c r="K264" s="140">
        <f t="shared" si="879"/>
        <v>0</v>
      </c>
      <c r="L264" s="10"/>
      <c r="M264" s="140"/>
      <c r="N264" s="140"/>
      <c r="O264" s="141"/>
      <c r="P264" s="141"/>
      <c r="Q264" s="10"/>
      <c r="R264" s="10"/>
      <c r="S264" s="142"/>
      <c r="T264" s="142"/>
      <c r="U264" s="142"/>
      <c r="V264" s="142"/>
      <c r="W264" s="143"/>
      <c r="X264" s="143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2:37">
      <c r="B265" s="10"/>
      <c r="C265" s="140"/>
      <c r="D265" s="141"/>
      <c r="E265" s="149" t="s">
        <v>328</v>
      </c>
      <c r="F265" s="149"/>
      <c r="G265" s="12">
        <v>10</v>
      </c>
      <c r="H265" s="12">
        <v>1</v>
      </c>
      <c r="I265" s="140">
        <f t="shared" si="877"/>
        <v>10</v>
      </c>
      <c r="J265" s="140">
        <f>I265*K264</f>
        <v>0</v>
      </c>
      <c r="K265" s="140">
        <f>J265</f>
        <v>0</v>
      </c>
      <c r="L265" s="10"/>
      <c r="M265" s="140"/>
      <c r="N265" s="140"/>
      <c r="O265" s="141"/>
      <c r="P265" s="141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2:37">
      <c r="B266" s="10"/>
      <c r="C266" s="140"/>
      <c r="D266" s="141"/>
      <c r="E266" s="149" t="s">
        <v>397</v>
      </c>
      <c r="F266" s="149"/>
      <c r="G266" s="12">
        <v>0</v>
      </c>
      <c r="H266" s="12">
        <v>1</v>
      </c>
      <c r="I266" s="140">
        <f>G266/H266</f>
        <v>0</v>
      </c>
      <c r="J266" s="140">
        <f>I266*K265</f>
        <v>0</v>
      </c>
      <c r="K266" s="140">
        <f>J266</f>
        <v>0</v>
      </c>
      <c r="L266" s="10"/>
      <c r="M266" s="142" t="s">
        <v>289</v>
      </c>
      <c r="N266" s="142"/>
      <c r="O266" s="143">
        <f>O263/O261</f>
        <v>1</v>
      </c>
      <c r="P266" s="143">
        <f>P263/P261</f>
        <v>1</v>
      </c>
      <c r="Q266" s="10"/>
      <c r="R266" s="10"/>
      <c r="S266" s="142"/>
      <c r="T266" s="142"/>
      <c r="U266" s="142"/>
      <c r="V266" s="142"/>
      <c r="W266" s="143"/>
      <c r="X266" s="143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2:37">
      <c r="B267" s="10"/>
      <c r="C267" s="140" t="s">
        <v>287</v>
      </c>
      <c r="D267" s="11"/>
      <c r="E267" s="149"/>
      <c r="F267" s="149"/>
      <c r="G267" s="140"/>
      <c r="H267" s="140"/>
      <c r="I267" s="142" t="s">
        <v>329</v>
      </c>
      <c r="J267" s="140"/>
      <c r="K267" s="140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2:37">
      <c r="B268" s="10"/>
      <c r="C268" s="140" t="s">
        <v>284</v>
      </c>
      <c r="D268" s="11"/>
      <c r="E268" s="149" t="s">
        <v>328</v>
      </c>
      <c r="F268" s="149"/>
      <c r="G268" s="12">
        <v>10</v>
      </c>
      <c r="H268" s="12">
        <v>2</v>
      </c>
      <c r="I268" s="140">
        <f>G268/H268</f>
        <v>5</v>
      </c>
      <c r="J268" s="150">
        <f>I268*D260</f>
        <v>0</v>
      </c>
      <c r="K268" s="150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2:37">
      <c r="B269" s="10"/>
      <c r="C269" s="140" t="s">
        <v>286</v>
      </c>
      <c r="D269" s="141">
        <f>D268*D267</f>
        <v>0</v>
      </c>
      <c r="E269" s="140"/>
      <c r="F269" s="140"/>
      <c r="G269" s="140"/>
      <c r="H269" s="140"/>
      <c r="I269" s="142" t="s">
        <v>329</v>
      </c>
      <c r="J269" s="140"/>
      <c r="K269" s="140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2:37">
      <c r="B270" s="10"/>
      <c r="C270" s="140"/>
      <c r="D270" s="141"/>
      <c r="E270" s="149" t="s">
        <v>328</v>
      </c>
      <c r="F270" s="149"/>
      <c r="G270" s="12">
        <v>10</v>
      </c>
      <c r="H270" s="12">
        <v>2</v>
      </c>
      <c r="I270" s="140">
        <f>G270/H270</f>
        <v>5</v>
      </c>
      <c r="J270" s="140">
        <f>I270*K269</f>
        <v>0</v>
      </c>
      <c r="K270" s="140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2:37">
      <c r="B271" s="10"/>
      <c r="C271" s="142" t="s">
        <v>289</v>
      </c>
      <c r="D271" s="143" t="e">
        <f>D269/D261</f>
        <v>#DIV/0!</v>
      </c>
      <c r="E271" s="149"/>
      <c r="F271" s="149"/>
      <c r="G271" s="140"/>
      <c r="H271" s="140"/>
      <c r="I271" s="142" t="s">
        <v>329</v>
      </c>
      <c r="J271" s="140"/>
      <c r="K271" s="140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2:37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2:35">
      <c r="B273" s="10"/>
      <c r="C273" s="10"/>
      <c r="D273" s="114"/>
      <c r="E273" s="151"/>
      <c r="F273" s="151"/>
      <c r="G273" s="151"/>
      <c r="H273" s="151"/>
      <c r="I273" s="151"/>
      <c r="J273" s="152"/>
      <c r="K273" s="10"/>
      <c r="L273" s="114"/>
      <c r="M273" s="151"/>
      <c r="N273" s="152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2:35" ht="14.25">
      <c r="B274" s="10"/>
      <c r="C274" s="10"/>
      <c r="D274" s="305" t="s">
        <v>15</v>
      </c>
      <c r="E274" s="306"/>
      <c r="F274" s="306"/>
      <c r="G274" s="306"/>
      <c r="H274" s="306"/>
      <c r="I274" s="306"/>
      <c r="J274" s="307"/>
      <c r="K274" s="10"/>
      <c r="L274" s="305" t="s">
        <v>334</v>
      </c>
      <c r="M274" s="306"/>
      <c r="N274" s="307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2:35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2:35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2:35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2:35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6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2:35">
      <c r="B279" s="10"/>
      <c r="C279" s="10"/>
      <c r="D279" s="13" t="s">
        <v>20</v>
      </c>
      <c r="E279" s="138"/>
      <c r="F279" s="138"/>
      <c r="G279" s="138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7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2:35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2:35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2:35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2:3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</sheetData>
  <mergeCells count="8">
    <mergeCell ref="A36:A45"/>
    <mergeCell ref="A128:A136"/>
    <mergeCell ref="D274:J274"/>
    <mergeCell ref="L274:N274"/>
    <mergeCell ref="AJ2:AK2"/>
    <mergeCell ref="AJ3:AK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1" t="s">
        <v>15</v>
      </c>
      <c r="K5" s="291"/>
      <c r="M5" s="291" t="s">
        <v>53</v>
      </c>
      <c r="N5" s="291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1" t="s">
        <v>24</v>
      </c>
      <c r="K14" s="291"/>
      <c r="L14" s="291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91" t="s">
        <v>15</v>
      </c>
      <c r="S5" s="291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1" t="s">
        <v>24</v>
      </c>
      <c r="S14" s="291"/>
      <c r="T14" s="291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91" t="s">
        <v>15</v>
      </c>
      <c r="C2" s="291"/>
      <c r="E2" s="291" t="s">
        <v>53</v>
      </c>
      <c r="F2" s="291"/>
      <c r="H2" s="319" t="s">
        <v>24</v>
      </c>
      <c r="I2" s="320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6" t="s">
        <v>56</v>
      </c>
      <c r="E10" s="317"/>
      <c r="F10" s="317"/>
      <c r="G10" s="317"/>
      <c r="H10" s="318"/>
      <c r="I10" s="316" t="s">
        <v>60</v>
      </c>
      <c r="J10" s="317"/>
      <c r="K10" s="317"/>
      <c r="L10" s="318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>
      <c r="B3" s="321" t="s">
        <v>373</v>
      </c>
      <c r="C3" s="322"/>
      <c r="F3" s="321" t="s">
        <v>374</v>
      </c>
      <c r="G3" s="322"/>
    </row>
    <row r="4" spans="2:7">
      <c r="B4" s="161" t="s">
        <v>375</v>
      </c>
      <c r="C4" s="161"/>
      <c r="F4" s="161" t="s">
        <v>376</v>
      </c>
      <c r="G4" s="161"/>
    </row>
    <row r="5" spans="2:7">
      <c r="B5" s="161" t="s">
        <v>377</v>
      </c>
      <c r="C5" s="161"/>
      <c r="F5" s="161" t="s">
        <v>241</v>
      </c>
      <c r="G5" s="161"/>
    </row>
    <row r="6" spans="2:7">
      <c r="B6" s="161" t="s">
        <v>378</v>
      </c>
      <c r="C6" s="161"/>
      <c r="F6" s="161" t="s">
        <v>379</v>
      </c>
      <c r="G6" s="161"/>
    </row>
    <row r="7" spans="2:7">
      <c r="B7" s="161" t="s">
        <v>380</v>
      </c>
      <c r="C7" s="161"/>
      <c r="F7" s="161" t="s">
        <v>381</v>
      </c>
      <c r="G7" s="161"/>
    </row>
    <row r="8" spans="2:7">
      <c r="B8" s="161" t="s">
        <v>382</v>
      </c>
      <c r="C8" s="161"/>
      <c r="F8" s="161" t="s">
        <v>383</v>
      </c>
      <c r="G8" s="161"/>
    </row>
    <row r="9" spans="2:7">
      <c r="B9" s="161" t="s">
        <v>384</v>
      </c>
      <c r="C9" s="161"/>
      <c r="F9" s="161" t="s">
        <v>385</v>
      </c>
      <c r="G9" s="161"/>
    </row>
    <row r="10" spans="2:7">
      <c r="B10" s="161" t="s">
        <v>383</v>
      </c>
      <c r="C10" s="161"/>
      <c r="F10" s="161"/>
      <c r="G10" s="161"/>
    </row>
    <row r="11" spans="2:7">
      <c r="B11" s="161" t="s">
        <v>386</v>
      </c>
      <c r="C11" s="161"/>
      <c r="F11" s="161"/>
      <c r="G11" s="161"/>
    </row>
    <row r="12" spans="2:7">
      <c r="B12" s="161" t="s">
        <v>387</v>
      </c>
      <c r="C12" s="161"/>
      <c r="F12" s="161"/>
      <c r="G12" s="161"/>
    </row>
    <row r="13" spans="2:7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2019-08-07T01:57:08Z</dcterms:modified>
</cp:coreProperties>
</file>